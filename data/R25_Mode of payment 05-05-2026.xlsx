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Y:\Live Report\Weekly\MDO Report_Thrusday\Weekly MDO reports 06-05-2026\Mode of Payment\"/>
    </mc:Choice>
  </mc:AlternateContent>
  <xr:revisionPtr revIDLastSave="0" documentId="8_{1A1CDA96-0FBC-4A0C-AC7E-BD0561BDB822}" xr6:coauthVersionLast="47" xr6:coauthVersionMax="47" xr10:uidLastSave="{00000000-0000-0000-0000-000000000000}"/>
  <bookViews>
    <workbookView xWindow="-120" yWindow="-120" windowWidth="29040" windowHeight="15720" activeTab="5" xr2:uid="{F4829B1F-94F0-4722-A868-E473E7835534}"/>
  </bookViews>
  <sheets>
    <sheet name="summary" sheetId="1" r:id="rId1"/>
    <sheet name="%of category" sheetId="2" r:id="rId2"/>
    <sheet name="Receipt Count" sheetId="3" r:id="rId3"/>
    <sheet name="Receipt Value" sheetId="4" r:id="rId4"/>
    <sheet name="Sobha One app Count " sheetId="5" r:id="rId5"/>
    <sheet name="Sobha one app Value" sheetId="6" r:id="rId6"/>
  </sheets>
  <definedNames>
    <definedName name="_xlnm.Print_Area" localSheetId="1">'%of category'!$B$1:$X$30</definedName>
    <definedName name="_xlnm.Print_Area" localSheetId="2">'Receipt Count'!$A$2:$AU$92</definedName>
    <definedName name="_xlnm.Print_Area" localSheetId="3">'Receipt Value'!$A$2:$AU$99</definedName>
    <definedName name="_xlnm.Print_Area" localSheetId="4">'Sobha One app Count '!$A$2:$AQ$92</definedName>
    <definedName name="_xlnm.Print_Area" localSheetId="5">'Sobha one app Value'!$A$2:$AQ$99</definedName>
    <definedName name="_xlnm.Print_Area" localSheetId="0">summary!$B$1:$X$26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P98" i="6" l="1"/>
  <c r="AO98" i="6"/>
  <c r="AN98" i="6"/>
  <c r="AM98" i="6"/>
  <c r="AL98" i="6"/>
  <c r="AK98" i="6"/>
  <c r="AJ98" i="6"/>
  <c r="AI98" i="6"/>
  <c r="AI99" i="6" s="1"/>
  <c r="AE98" i="6"/>
  <c r="AD98" i="6"/>
  <c r="AC98" i="6"/>
  <c r="AB98" i="6"/>
  <c r="AA98" i="6"/>
  <c r="Z98" i="6"/>
  <c r="Y98" i="6"/>
  <c r="X98" i="6"/>
  <c r="T98" i="6"/>
  <c r="S98" i="6"/>
  <c r="R98" i="6"/>
  <c r="Q98" i="6"/>
  <c r="P98" i="6"/>
  <c r="O98" i="6"/>
  <c r="N98" i="6"/>
  <c r="M98" i="6"/>
  <c r="I98" i="6"/>
  <c r="H98" i="6"/>
  <c r="G98" i="6"/>
  <c r="F98" i="6"/>
  <c r="E98" i="6"/>
  <c r="D98" i="6"/>
  <c r="C98" i="6"/>
  <c r="B98" i="6"/>
  <c r="B60" i="6" s="1"/>
  <c r="AQ97" i="6"/>
  <c r="AF97" i="6"/>
  <c r="U97" i="6"/>
  <c r="J97" i="6"/>
  <c r="AQ96" i="6"/>
  <c r="AF96" i="6"/>
  <c r="U96" i="6"/>
  <c r="J96" i="6"/>
  <c r="AQ95" i="6"/>
  <c r="AF95" i="6"/>
  <c r="U95" i="6"/>
  <c r="J95" i="6"/>
  <c r="AQ94" i="6"/>
  <c r="AF94" i="6"/>
  <c r="U94" i="6"/>
  <c r="J94" i="6"/>
  <c r="AQ93" i="6"/>
  <c r="AF93" i="6"/>
  <c r="U93" i="6"/>
  <c r="J93" i="6"/>
  <c r="AQ92" i="6"/>
  <c r="AF92" i="6"/>
  <c r="U92" i="6"/>
  <c r="J92" i="6"/>
  <c r="AQ91" i="6"/>
  <c r="AF91" i="6"/>
  <c r="U91" i="6"/>
  <c r="J91" i="6"/>
  <c r="AQ90" i="6"/>
  <c r="AF90" i="6"/>
  <c r="U90" i="6"/>
  <c r="J90" i="6"/>
  <c r="AQ89" i="6"/>
  <c r="AF89" i="6"/>
  <c r="U89" i="6"/>
  <c r="J89" i="6"/>
  <c r="AQ88" i="6"/>
  <c r="AF88" i="6"/>
  <c r="U88" i="6"/>
  <c r="J88" i="6"/>
  <c r="AQ87" i="6"/>
  <c r="AF87" i="6"/>
  <c r="U87" i="6"/>
  <c r="J87" i="6"/>
  <c r="AQ86" i="6"/>
  <c r="AQ98" i="6" s="1"/>
  <c r="AQ99" i="6" s="1"/>
  <c r="AF86" i="6"/>
  <c r="AF98" i="6" s="1"/>
  <c r="U86" i="6"/>
  <c r="U98" i="6" s="1"/>
  <c r="J86" i="6"/>
  <c r="J98" i="6" s="1"/>
  <c r="J99" i="6" s="1"/>
  <c r="AM80" i="6"/>
  <c r="S80" i="6"/>
  <c r="R80" i="6"/>
  <c r="P80" i="6"/>
  <c r="I80" i="6"/>
  <c r="H80" i="6"/>
  <c r="AP78" i="6"/>
  <c r="AP80" i="6" s="1"/>
  <c r="AO78" i="6"/>
  <c r="AO80" i="6" s="1"/>
  <c r="AN78" i="6"/>
  <c r="AN80" i="6" s="1"/>
  <c r="AM78" i="6"/>
  <c r="AL78" i="6"/>
  <c r="AL80" i="6" s="1"/>
  <c r="AK78" i="6"/>
  <c r="AK80" i="6" s="1"/>
  <c r="AJ78" i="6"/>
  <c r="AJ80" i="6" s="1"/>
  <c r="AI78" i="6"/>
  <c r="AI80" i="6" s="1"/>
  <c r="AE78" i="6"/>
  <c r="AE80" i="6" s="1"/>
  <c r="AD78" i="6"/>
  <c r="AD80" i="6" s="1"/>
  <c r="AC78" i="6"/>
  <c r="AB78" i="6"/>
  <c r="AA78" i="6"/>
  <c r="Z78" i="6"/>
  <c r="Y78" i="6"/>
  <c r="X78" i="6"/>
  <c r="X80" i="6" s="1"/>
  <c r="T78" i="6"/>
  <c r="T80" i="6" s="1"/>
  <c r="S78" i="6"/>
  <c r="R78" i="6"/>
  <c r="Q78" i="6"/>
  <c r="P78" i="6"/>
  <c r="O78" i="6"/>
  <c r="O80" i="6" s="1"/>
  <c r="N78" i="6"/>
  <c r="N80" i="6" s="1"/>
  <c r="M78" i="6"/>
  <c r="M80" i="6" s="1"/>
  <c r="I78" i="6"/>
  <c r="H78" i="6"/>
  <c r="G78" i="6"/>
  <c r="G80" i="6" s="1"/>
  <c r="F78" i="6"/>
  <c r="E78" i="6"/>
  <c r="E80" i="6" s="1"/>
  <c r="D78" i="6"/>
  <c r="D80" i="6" s="1"/>
  <c r="C78" i="6"/>
  <c r="C80" i="6" s="1"/>
  <c r="B78" i="6"/>
  <c r="B80" i="6" s="1"/>
  <c r="AQ77" i="6"/>
  <c r="AF77" i="6"/>
  <c r="U77" i="6"/>
  <c r="J77" i="6"/>
  <c r="AQ76" i="6"/>
  <c r="AF76" i="6"/>
  <c r="U76" i="6"/>
  <c r="J76" i="6"/>
  <c r="AQ75" i="6"/>
  <c r="AF75" i="6"/>
  <c r="U75" i="6"/>
  <c r="J75" i="6"/>
  <c r="AQ74" i="6"/>
  <c r="AF74" i="6"/>
  <c r="U74" i="6"/>
  <c r="J74" i="6"/>
  <c r="AQ73" i="6"/>
  <c r="AF73" i="6"/>
  <c r="U73" i="6"/>
  <c r="J73" i="6"/>
  <c r="AQ72" i="6"/>
  <c r="AF72" i="6"/>
  <c r="U72" i="6"/>
  <c r="J72" i="6"/>
  <c r="AQ71" i="6"/>
  <c r="AF71" i="6"/>
  <c r="U71" i="6"/>
  <c r="J71" i="6"/>
  <c r="AQ70" i="6"/>
  <c r="AF70" i="6"/>
  <c r="U70" i="6"/>
  <c r="J70" i="6"/>
  <c r="AQ69" i="6"/>
  <c r="AF69" i="6"/>
  <c r="U69" i="6"/>
  <c r="J69" i="6"/>
  <c r="AQ68" i="6"/>
  <c r="AF68" i="6"/>
  <c r="U68" i="6"/>
  <c r="J68" i="6"/>
  <c r="AQ67" i="6"/>
  <c r="AF67" i="6"/>
  <c r="U67" i="6"/>
  <c r="J67" i="6"/>
  <c r="AQ66" i="6"/>
  <c r="AF66" i="6"/>
  <c r="AF78" i="6" s="1"/>
  <c r="U66" i="6"/>
  <c r="J66" i="6"/>
  <c r="J78" i="6" s="1"/>
  <c r="AO60" i="6"/>
  <c r="AM60" i="6"/>
  <c r="AL60" i="6"/>
  <c r="U59" i="6"/>
  <c r="T59" i="6"/>
  <c r="S59" i="6"/>
  <c r="AP58" i="6"/>
  <c r="AO58" i="6"/>
  <c r="AN58" i="6"/>
  <c r="AM58" i="6"/>
  <c r="AL58" i="6"/>
  <c r="AK58" i="6"/>
  <c r="AJ58" i="6"/>
  <c r="AI58" i="6"/>
  <c r="AE58" i="6"/>
  <c r="AD58" i="6"/>
  <c r="AC58" i="6"/>
  <c r="AC60" i="6" s="1"/>
  <c r="AB58" i="6"/>
  <c r="AB60" i="6" s="1"/>
  <c r="AA58" i="6"/>
  <c r="AA60" i="6" s="1"/>
  <c r="Z58" i="6"/>
  <c r="Z60" i="6" s="1"/>
  <c r="Y58" i="6"/>
  <c r="X58" i="6"/>
  <c r="X60" i="6" s="1"/>
  <c r="T58" i="6"/>
  <c r="T60" i="6" s="1"/>
  <c r="S58" i="6"/>
  <c r="S60" i="6" s="1"/>
  <c r="R58" i="6"/>
  <c r="R60" i="6" s="1"/>
  <c r="Q58" i="6"/>
  <c r="Q60" i="6" s="1"/>
  <c r="P58" i="6"/>
  <c r="P60" i="6" s="1"/>
  <c r="O58" i="6"/>
  <c r="N58" i="6"/>
  <c r="N59" i="6" s="1"/>
  <c r="M58" i="6"/>
  <c r="I58" i="6"/>
  <c r="H58" i="6"/>
  <c r="H60" i="6" s="1"/>
  <c r="G58" i="6"/>
  <c r="F58" i="6"/>
  <c r="E58" i="6"/>
  <c r="D58" i="6"/>
  <c r="C58" i="6"/>
  <c r="B58" i="6"/>
  <c r="AQ57" i="6"/>
  <c r="AF57" i="6"/>
  <c r="U57" i="6"/>
  <c r="J57" i="6"/>
  <c r="AQ56" i="6"/>
  <c r="AF56" i="6"/>
  <c r="U56" i="6"/>
  <c r="J56" i="6"/>
  <c r="AQ55" i="6"/>
  <c r="AF55" i="6"/>
  <c r="U55" i="6"/>
  <c r="J55" i="6"/>
  <c r="AQ54" i="6"/>
  <c r="AF54" i="6"/>
  <c r="U54" i="6"/>
  <c r="J54" i="6"/>
  <c r="AQ53" i="6"/>
  <c r="AF53" i="6"/>
  <c r="U53" i="6"/>
  <c r="J53" i="6"/>
  <c r="AQ52" i="6"/>
  <c r="AF52" i="6"/>
  <c r="U52" i="6"/>
  <c r="J52" i="6"/>
  <c r="AQ51" i="6"/>
  <c r="AF51" i="6"/>
  <c r="U51" i="6"/>
  <c r="J51" i="6"/>
  <c r="AQ50" i="6"/>
  <c r="AF50" i="6"/>
  <c r="AF58" i="6" s="1"/>
  <c r="U50" i="6"/>
  <c r="J50" i="6"/>
  <c r="AQ49" i="6"/>
  <c r="AF49" i="6"/>
  <c r="U49" i="6"/>
  <c r="J49" i="6"/>
  <c r="AQ48" i="6"/>
  <c r="AF48" i="6"/>
  <c r="U48" i="6"/>
  <c r="J48" i="6"/>
  <c r="AQ47" i="6"/>
  <c r="AF47" i="6"/>
  <c r="U47" i="6"/>
  <c r="J47" i="6"/>
  <c r="AQ46" i="6"/>
  <c r="AF46" i="6"/>
  <c r="U46" i="6"/>
  <c r="U58" i="6" s="1"/>
  <c r="J46" i="6"/>
  <c r="P40" i="6"/>
  <c r="H40" i="6"/>
  <c r="AP38" i="6"/>
  <c r="AP40" i="6" s="1"/>
  <c r="AO38" i="6"/>
  <c r="AO40" i="6" s="1"/>
  <c r="AN38" i="6"/>
  <c r="AM38" i="6"/>
  <c r="AL38" i="6"/>
  <c r="AL40" i="6" s="1"/>
  <c r="AK38" i="6"/>
  <c r="AJ38" i="6"/>
  <c r="AI38" i="6"/>
  <c r="AE38" i="6"/>
  <c r="AD38" i="6"/>
  <c r="AC38" i="6"/>
  <c r="AB38" i="6"/>
  <c r="AA38" i="6"/>
  <c r="Z38" i="6"/>
  <c r="Y38" i="6"/>
  <c r="Y40" i="6" s="1"/>
  <c r="X38" i="6"/>
  <c r="X40" i="6" s="1"/>
  <c r="T38" i="6"/>
  <c r="S38" i="6"/>
  <c r="R38" i="6"/>
  <c r="Q38" i="6"/>
  <c r="P38" i="6"/>
  <c r="O38" i="6"/>
  <c r="O40" i="6" s="1"/>
  <c r="N38" i="6"/>
  <c r="N40" i="6" s="1"/>
  <c r="M38" i="6"/>
  <c r="M40" i="6" s="1"/>
  <c r="I38" i="6"/>
  <c r="H38" i="6"/>
  <c r="G38" i="6"/>
  <c r="F38" i="6"/>
  <c r="E38" i="6"/>
  <c r="D38" i="6"/>
  <c r="C38" i="6"/>
  <c r="C40" i="6" s="1"/>
  <c r="B38" i="6"/>
  <c r="AQ37" i="6"/>
  <c r="AF37" i="6"/>
  <c r="U37" i="6"/>
  <c r="J37" i="6"/>
  <c r="AQ36" i="6"/>
  <c r="AF36" i="6"/>
  <c r="U36" i="6"/>
  <c r="J36" i="6"/>
  <c r="AQ35" i="6"/>
  <c r="AF35" i="6"/>
  <c r="U35" i="6"/>
  <c r="J35" i="6"/>
  <c r="AQ34" i="6"/>
  <c r="AF34" i="6"/>
  <c r="U34" i="6"/>
  <c r="J34" i="6"/>
  <c r="AQ33" i="6"/>
  <c r="AF33" i="6"/>
  <c r="U33" i="6"/>
  <c r="J33" i="6"/>
  <c r="AQ32" i="6"/>
  <c r="AF32" i="6"/>
  <c r="U32" i="6"/>
  <c r="J32" i="6"/>
  <c r="AQ31" i="6"/>
  <c r="AF31" i="6"/>
  <c r="U31" i="6"/>
  <c r="J31" i="6"/>
  <c r="AQ30" i="6"/>
  <c r="AF30" i="6"/>
  <c r="U30" i="6"/>
  <c r="U38" i="6" s="1"/>
  <c r="J30" i="6"/>
  <c r="AQ29" i="6"/>
  <c r="AF29" i="6"/>
  <c r="U29" i="6"/>
  <c r="J29" i="6"/>
  <c r="AQ28" i="6"/>
  <c r="AF28" i="6"/>
  <c r="U28" i="6"/>
  <c r="J28" i="6"/>
  <c r="AQ27" i="6"/>
  <c r="AF27" i="6"/>
  <c r="U27" i="6"/>
  <c r="J27" i="6"/>
  <c r="AQ26" i="6"/>
  <c r="AF26" i="6"/>
  <c r="U26" i="6"/>
  <c r="J26" i="6"/>
  <c r="AO20" i="6"/>
  <c r="AN20" i="6"/>
  <c r="AM20" i="6"/>
  <c r="AK20" i="6"/>
  <c r="AJ20" i="6"/>
  <c r="AI20" i="6"/>
  <c r="AE20" i="6"/>
  <c r="AD20" i="6"/>
  <c r="Y20" i="6"/>
  <c r="X20" i="6"/>
  <c r="AP18" i="6"/>
  <c r="AO18" i="6"/>
  <c r="AN18" i="6"/>
  <c r="AM18" i="6"/>
  <c r="AL18" i="6"/>
  <c r="AL20" i="6" s="1"/>
  <c r="AK18" i="6"/>
  <c r="AJ18" i="6"/>
  <c r="AI18" i="6"/>
  <c r="AE18" i="6"/>
  <c r="AD18" i="6"/>
  <c r="AC18" i="6"/>
  <c r="AC20" i="6" s="1"/>
  <c r="AB18" i="6"/>
  <c r="AB20" i="6" s="1"/>
  <c r="AA18" i="6"/>
  <c r="AA20" i="6" s="1"/>
  <c r="Z18" i="6"/>
  <c r="Z20" i="6" s="1"/>
  <c r="Y18" i="6"/>
  <c r="Y19" i="6" s="1"/>
  <c r="X18" i="6"/>
  <c r="X19" i="6" s="1"/>
  <c r="T18" i="6"/>
  <c r="T20" i="6" s="1"/>
  <c r="S18" i="6"/>
  <c r="S20" i="6" s="1"/>
  <c r="R18" i="6"/>
  <c r="R20" i="6" s="1"/>
  <c r="Q18" i="6"/>
  <c r="Q20" i="6" s="1"/>
  <c r="P18" i="6"/>
  <c r="P20" i="6" s="1"/>
  <c r="O18" i="6"/>
  <c r="N18" i="6"/>
  <c r="M18" i="6"/>
  <c r="I18" i="6"/>
  <c r="I20" i="6" s="1"/>
  <c r="H18" i="6"/>
  <c r="H20" i="6" s="1"/>
  <c r="G18" i="6"/>
  <c r="G19" i="6" s="1"/>
  <c r="F18" i="6"/>
  <c r="E18" i="6"/>
  <c r="D18" i="6"/>
  <c r="C18" i="6"/>
  <c r="B18" i="6"/>
  <c r="AQ17" i="6"/>
  <c r="AF17" i="6"/>
  <c r="U17" i="6"/>
  <c r="J17" i="6"/>
  <c r="AQ16" i="6"/>
  <c r="AF16" i="6"/>
  <c r="U16" i="6"/>
  <c r="J16" i="6"/>
  <c r="AQ15" i="6"/>
  <c r="AF15" i="6"/>
  <c r="U15" i="6"/>
  <c r="J15" i="6"/>
  <c r="AQ14" i="6"/>
  <c r="AF14" i="6"/>
  <c r="U14" i="6"/>
  <c r="J14" i="6"/>
  <c r="AQ13" i="6"/>
  <c r="AF13" i="6"/>
  <c r="U13" i="6"/>
  <c r="J13" i="6"/>
  <c r="AQ12" i="6"/>
  <c r="AF12" i="6"/>
  <c r="U12" i="6"/>
  <c r="J12" i="6"/>
  <c r="AQ11" i="6"/>
  <c r="AF11" i="6"/>
  <c r="U11" i="6"/>
  <c r="J11" i="6"/>
  <c r="AQ10" i="6"/>
  <c r="AF10" i="6"/>
  <c r="U10" i="6"/>
  <c r="J10" i="6"/>
  <c r="AQ9" i="6"/>
  <c r="AF9" i="6"/>
  <c r="U9" i="6"/>
  <c r="J9" i="6"/>
  <c r="AQ8" i="6"/>
  <c r="AF8" i="6"/>
  <c r="U8" i="6"/>
  <c r="J8" i="6"/>
  <c r="AQ7" i="6"/>
  <c r="AF7" i="6"/>
  <c r="U7" i="6"/>
  <c r="J7" i="6"/>
  <c r="AQ6" i="6"/>
  <c r="AF6" i="6"/>
  <c r="AF18" i="6" s="1"/>
  <c r="U6" i="6"/>
  <c r="J6" i="6"/>
  <c r="J18" i="6" s="1"/>
  <c r="AH2" i="6"/>
  <c r="W2" i="6"/>
  <c r="L2" i="6"/>
  <c r="A2" i="6"/>
  <c r="AQ91" i="5"/>
  <c r="AQ92" i="5" s="1"/>
  <c r="AP91" i="5"/>
  <c r="AO91" i="5"/>
  <c r="AN91" i="5"/>
  <c r="AM91" i="5"/>
  <c r="AL91" i="5"/>
  <c r="AK91" i="5"/>
  <c r="AJ91" i="5"/>
  <c r="AI91" i="5"/>
  <c r="AE91" i="5"/>
  <c r="AD91" i="5"/>
  <c r="AC91" i="5"/>
  <c r="AB91" i="5"/>
  <c r="AA91" i="5"/>
  <c r="Z91" i="5"/>
  <c r="Y91" i="5"/>
  <c r="X91" i="5"/>
  <c r="T91" i="5"/>
  <c r="S91" i="5"/>
  <c r="R91" i="5"/>
  <c r="Q91" i="5"/>
  <c r="P91" i="5"/>
  <c r="O91" i="5"/>
  <c r="N91" i="5"/>
  <c r="M91" i="5"/>
  <c r="I91" i="5"/>
  <c r="H91" i="5"/>
  <c r="G91" i="5"/>
  <c r="F91" i="5"/>
  <c r="E91" i="5"/>
  <c r="D91" i="5"/>
  <c r="C91" i="5"/>
  <c r="B91" i="5"/>
  <c r="AQ90" i="5"/>
  <c r="AF90" i="5"/>
  <c r="U90" i="5"/>
  <c r="J90" i="5"/>
  <c r="AQ89" i="5"/>
  <c r="AF89" i="5"/>
  <c r="U89" i="5"/>
  <c r="J89" i="5"/>
  <c r="AQ88" i="5"/>
  <c r="AF88" i="5"/>
  <c r="U88" i="5"/>
  <c r="J88" i="5"/>
  <c r="AQ87" i="5"/>
  <c r="AF87" i="5"/>
  <c r="U87" i="5"/>
  <c r="J87" i="5"/>
  <c r="AQ86" i="5"/>
  <c r="AF86" i="5"/>
  <c r="U86" i="5"/>
  <c r="J86" i="5"/>
  <c r="AQ85" i="5"/>
  <c r="AF85" i="5"/>
  <c r="U85" i="5"/>
  <c r="J85" i="5"/>
  <c r="AQ84" i="5"/>
  <c r="AF84" i="5"/>
  <c r="U84" i="5"/>
  <c r="J84" i="5"/>
  <c r="AQ83" i="5"/>
  <c r="AF83" i="5"/>
  <c r="U83" i="5"/>
  <c r="J83" i="5"/>
  <c r="AQ82" i="5"/>
  <c r="AF82" i="5"/>
  <c r="U82" i="5"/>
  <c r="J82" i="5"/>
  <c r="AQ81" i="5"/>
  <c r="AF81" i="5"/>
  <c r="U81" i="5"/>
  <c r="J81" i="5"/>
  <c r="J91" i="5" s="1"/>
  <c r="AQ80" i="5"/>
  <c r="AF80" i="5"/>
  <c r="AF91" i="5" s="1"/>
  <c r="U80" i="5"/>
  <c r="J80" i="5"/>
  <c r="AQ79" i="5"/>
  <c r="AF79" i="5"/>
  <c r="U79" i="5"/>
  <c r="J79" i="5"/>
  <c r="AQ72" i="5"/>
  <c r="AQ73" i="5" s="1"/>
  <c r="AP72" i="5"/>
  <c r="AP73" i="5" s="1"/>
  <c r="AO72" i="5"/>
  <c r="AN72" i="5"/>
  <c r="AM72" i="5"/>
  <c r="AL72" i="5"/>
  <c r="AK72" i="5"/>
  <c r="AJ72" i="5"/>
  <c r="AI72" i="5"/>
  <c r="AE72" i="5"/>
  <c r="AD72" i="5"/>
  <c r="AC72" i="5"/>
  <c r="AB72" i="5"/>
  <c r="AA72" i="5"/>
  <c r="Z72" i="5"/>
  <c r="Y72" i="5"/>
  <c r="X72" i="5"/>
  <c r="T72" i="5"/>
  <c r="S72" i="5"/>
  <c r="R72" i="5"/>
  <c r="Q72" i="5"/>
  <c r="P72" i="5"/>
  <c r="O72" i="5"/>
  <c r="N72" i="5"/>
  <c r="M72" i="5"/>
  <c r="I72" i="5"/>
  <c r="H72" i="5"/>
  <c r="G72" i="5"/>
  <c r="F72" i="5"/>
  <c r="E72" i="5"/>
  <c r="D72" i="5"/>
  <c r="C72" i="5"/>
  <c r="B72" i="5"/>
  <c r="AQ71" i="5"/>
  <c r="AF71" i="5"/>
  <c r="U71" i="5"/>
  <c r="J71" i="5"/>
  <c r="AQ70" i="5"/>
  <c r="AF70" i="5"/>
  <c r="U70" i="5"/>
  <c r="J70" i="5"/>
  <c r="AQ69" i="5"/>
  <c r="AF69" i="5"/>
  <c r="U69" i="5"/>
  <c r="J69" i="5"/>
  <c r="AQ68" i="5"/>
  <c r="AF68" i="5"/>
  <c r="U68" i="5"/>
  <c r="J68" i="5"/>
  <c r="AQ67" i="5"/>
  <c r="AF67" i="5"/>
  <c r="U67" i="5"/>
  <c r="J67" i="5"/>
  <c r="AQ66" i="5"/>
  <c r="AF66" i="5"/>
  <c r="U66" i="5"/>
  <c r="J66" i="5"/>
  <c r="AQ65" i="5"/>
  <c r="AF65" i="5"/>
  <c r="U65" i="5"/>
  <c r="J65" i="5"/>
  <c r="AQ64" i="5"/>
  <c r="AF64" i="5"/>
  <c r="U64" i="5"/>
  <c r="J64" i="5"/>
  <c r="AQ63" i="5"/>
  <c r="AF63" i="5"/>
  <c r="U63" i="5"/>
  <c r="J63" i="5"/>
  <c r="AQ62" i="5"/>
  <c r="AF62" i="5"/>
  <c r="U62" i="5"/>
  <c r="J62" i="5"/>
  <c r="J72" i="5" s="1"/>
  <c r="AQ61" i="5"/>
  <c r="AF61" i="5"/>
  <c r="U61" i="5"/>
  <c r="J61" i="5"/>
  <c r="AQ60" i="5"/>
  <c r="AF60" i="5"/>
  <c r="U60" i="5"/>
  <c r="J60" i="5"/>
  <c r="AP54" i="5"/>
  <c r="AO54" i="5"/>
  <c r="AN54" i="5"/>
  <c r="AM54" i="5"/>
  <c r="AL54" i="5"/>
  <c r="AK54" i="5"/>
  <c r="AJ54" i="5"/>
  <c r="AI54" i="5"/>
  <c r="AE54" i="5"/>
  <c r="AD54" i="5"/>
  <c r="AC54" i="5"/>
  <c r="AB54" i="5"/>
  <c r="AA54" i="5"/>
  <c r="Z54" i="5"/>
  <c r="Y54" i="5"/>
  <c r="X54" i="5"/>
  <c r="T54" i="5"/>
  <c r="S54" i="5"/>
  <c r="R54" i="5"/>
  <c r="Q54" i="5"/>
  <c r="P54" i="5"/>
  <c r="O54" i="5"/>
  <c r="N54" i="5"/>
  <c r="M54" i="5"/>
  <c r="I54" i="5"/>
  <c r="H54" i="5"/>
  <c r="G54" i="5"/>
  <c r="F54" i="5"/>
  <c r="E54" i="5"/>
  <c r="D54" i="5"/>
  <c r="C54" i="5"/>
  <c r="B54" i="5"/>
  <c r="AQ53" i="5"/>
  <c r="AF53" i="5"/>
  <c r="U53" i="5"/>
  <c r="J53" i="5"/>
  <c r="AQ52" i="5"/>
  <c r="AF52" i="5"/>
  <c r="U52" i="5"/>
  <c r="J52" i="5"/>
  <c r="AQ51" i="5"/>
  <c r="AF51" i="5"/>
  <c r="U51" i="5"/>
  <c r="J51" i="5"/>
  <c r="AQ50" i="5"/>
  <c r="AF50" i="5"/>
  <c r="U50" i="5"/>
  <c r="J50" i="5"/>
  <c r="AQ49" i="5"/>
  <c r="AF49" i="5"/>
  <c r="U49" i="5"/>
  <c r="J49" i="5"/>
  <c r="AQ48" i="5"/>
  <c r="AF48" i="5"/>
  <c r="U48" i="5"/>
  <c r="J48" i="5"/>
  <c r="AQ47" i="5"/>
  <c r="AF47" i="5"/>
  <c r="AF54" i="5" s="1"/>
  <c r="U47" i="5"/>
  <c r="J47" i="5"/>
  <c r="AQ46" i="5"/>
  <c r="AF46" i="5"/>
  <c r="U46" i="5"/>
  <c r="J46" i="5"/>
  <c r="AQ45" i="5"/>
  <c r="AF45" i="5"/>
  <c r="U45" i="5"/>
  <c r="J45" i="5"/>
  <c r="AQ44" i="5"/>
  <c r="AF44" i="5"/>
  <c r="U44" i="5"/>
  <c r="J44" i="5"/>
  <c r="J54" i="5" s="1"/>
  <c r="AQ43" i="5"/>
  <c r="AF43" i="5"/>
  <c r="U43" i="5"/>
  <c r="J43" i="5"/>
  <c r="AQ42" i="5"/>
  <c r="AF42" i="5"/>
  <c r="U42" i="5"/>
  <c r="J42" i="5"/>
  <c r="AQ36" i="5"/>
  <c r="AQ37" i="5" s="1"/>
  <c r="AP36" i="5"/>
  <c r="AP37" i="5" s="1"/>
  <c r="AO36" i="5"/>
  <c r="AN36" i="5"/>
  <c r="AN37" i="5" s="1"/>
  <c r="AM36" i="5"/>
  <c r="AL36" i="5"/>
  <c r="AK36" i="5"/>
  <c r="AJ36" i="5"/>
  <c r="AI36" i="5"/>
  <c r="AE36" i="5"/>
  <c r="AD36" i="5"/>
  <c r="AC36" i="5"/>
  <c r="AB36" i="5"/>
  <c r="AA36" i="5"/>
  <c r="Z36" i="5"/>
  <c r="Y36" i="5"/>
  <c r="X36" i="5"/>
  <c r="T36" i="5"/>
  <c r="S36" i="5"/>
  <c r="R36" i="5"/>
  <c r="Q36" i="5"/>
  <c r="P36" i="5"/>
  <c r="O36" i="5"/>
  <c r="N36" i="5"/>
  <c r="M36" i="5"/>
  <c r="I36" i="5"/>
  <c r="H36" i="5"/>
  <c r="G36" i="5"/>
  <c r="F36" i="5"/>
  <c r="E36" i="5"/>
  <c r="D36" i="5"/>
  <c r="C36" i="5"/>
  <c r="B36" i="5"/>
  <c r="AQ35" i="5"/>
  <c r="AF35" i="5"/>
  <c r="U35" i="5"/>
  <c r="J35" i="5"/>
  <c r="AQ34" i="5"/>
  <c r="AF34" i="5"/>
  <c r="U34" i="5"/>
  <c r="J34" i="5"/>
  <c r="AQ33" i="5"/>
  <c r="AF33" i="5"/>
  <c r="U33" i="5"/>
  <c r="J33" i="5"/>
  <c r="AQ32" i="5"/>
  <c r="AF32" i="5"/>
  <c r="U32" i="5"/>
  <c r="J32" i="5"/>
  <c r="AQ31" i="5"/>
  <c r="AF31" i="5"/>
  <c r="U31" i="5"/>
  <c r="J31" i="5"/>
  <c r="AQ30" i="5"/>
  <c r="AF30" i="5"/>
  <c r="U30" i="5"/>
  <c r="J30" i="5"/>
  <c r="AQ29" i="5"/>
  <c r="AF29" i="5"/>
  <c r="U29" i="5"/>
  <c r="J29" i="5"/>
  <c r="AQ28" i="5"/>
  <c r="AF28" i="5"/>
  <c r="U28" i="5"/>
  <c r="J28" i="5"/>
  <c r="AQ27" i="5"/>
  <c r="AF27" i="5"/>
  <c r="U27" i="5"/>
  <c r="J27" i="5"/>
  <c r="AQ26" i="5"/>
  <c r="AF26" i="5"/>
  <c r="U26" i="5"/>
  <c r="J26" i="5"/>
  <c r="J36" i="5" s="1"/>
  <c r="AQ25" i="5"/>
  <c r="AF25" i="5"/>
  <c r="AF36" i="5" s="1"/>
  <c r="U25" i="5"/>
  <c r="J25" i="5"/>
  <c r="AQ24" i="5"/>
  <c r="AF24" i="5"/>
  <c r="U24" i="5"/>
  <c r="J24" i="5"/>
  <c r="AQ18" i="5"/>
  <c r="AP18" i="5"/>
  <c r="AO18" i="5"/>
  <c r="AN18" i="5"/>
  <c r="AM18" i="5"/>
  <c r="AL18" i="5"/>
  <c r="AK18" i="5"/>
  <c r="AJ18" i="5"/>
  <c r="AI18" i="5"/>
  <c r="AE18" i="5"/>
  <c r="AD18" i="5"/>
  <c r="AC18" i="5"/>
  <c r="AB18" i="5"/>
  <c r="AA18" i="5"/>
  <c r="Z18" i="5"/>
  <c r="Y18" i="5"/>
  <c r="X18" i="5"/>
  <c r="T18" i="5"/>
  <c r="S18" i="5"/>
  <c r="R18" i="5"/>
  <c r="Q18" i="5"/>
  <c r="P18" i="5"/>
  <c r="O18" i="5"/>
  <c r="N18" i="5"/>
  <c r="M18" i="5"/>
  <c r="I18" i="5"/>
  <c r="H18" i="5"/>
  <c r="G18" i="5"/>
  <c r="F18" i="5"/>
  <c r="E18" i="5"/>
  <c r="D18" i="5"/>
  <c r="C18" i="5"/>
  <c r="B18" i="5"/>
  <c r="AQ17" i="5"/>
  <c r="AF17" i="5"/>
  <c r="U17" i="5"/>
  <c r="J17" i="5"/>
  <c r="AQ16" i="5"/>
  <c r="AF16" i="5"/>
  <c r="U16" i="5"/>
  <c r="J16" i="5"/>
  <c r="AQ15" i="5"/>
  <c r="AF15" i="5"/>
  <c r="U15" i="5"/>
  <c r="J15" i="5"/>
  <c r="AQ14" i="5"/>
  <c r="AF14" i="5"/>
  <c r="U14" i="5"/>
  <c r="J14" i="5"/>
  <c r="AQ13" i="5"/>
  <c r="AF13" i="5"/>
  <c r="U13" i="5"/>
  <c r="J13" i="5"/>
  <c r="AQ12" i="5"/>
  <c r="AF12" i="5"/>
  <c r="U12" i="5"/>
  <c r="J12" i="5"/>
  <c r="AQ11" i="5"/>
  <c r="AF11" i="5"/>
  <c r="U11" i="5"/>
  <c r="J11" i="5"/>
  <c r="AQ10" i="5"/>
  <c r="AF10" i="5"/>
  <c r="U10" i="5"/>
  <c r="J10" i="5"/>
  <c r="AQ9" i="5"/>
  <c r="AF9" i="5"/>
  <c r="U9" i="5"/>
  <c r="J9" i="5"/>
  <c r="AQ8" i="5"/>
  <c r="AF8" i="5"/>
  <c r="U8" i="5"/>
  <c r="J8" i="5"/>
  <c r="AQ7" i="5"/>
  <c r="AF7" i="5"/>
  <c r="U7" i="5"/>
  <c r="J7" i="5"/>
  <c r="AQ6" i="5"/>
  <c r="AF6" i="5"/>
  <c r="U6" i="5"/>
  <c r="J6" i="5"/>
  <c r="AH2" i="5"/>
  <c r="W2" i="5"/>
  <c r="L2" i="5"/>
  <c r="A2" i="5"/>
  <c r="AT98" i="4"/>
  <c r="AS98" i="4"/>
  <c r="AR98" i="4"/>
  <c r="AQ98" i="4"/>
  <c r="AP98" i="4"/>
  <c r="AO98" i="4"/>
  <c r="AN98" i="4"/>
  <c r="AM98" i="4"/>
  <c r="AL98" i="4"/>
  <c r="AH98" i="4"/>
  <c r="AG98" i="4"/>
  <c r="AF98" i="4"/>
  <c r="AE98" i="4"/>
  <c r="AD98" i="4"/>
  <c r="AD80" i="4" s="1"/>
  <c r="AC98" i="4"/>
  <c r="AB98" i="4"/>
  <c r="AA98" i="4"/>
  <c r="Z98" i="4"/>
  <c r="V98" i="4"/>
  <c r="U98" i="4"/>
  <c r="T98" i="4"/>
  <c r="S98" i="4"/>
  <c r="R98" i="4"/>
  <c r="Q98" i="4"/>
  <c r="P98" i="4"/>
  <c r="O98" i="4"/>
  <c r="N98" i="4"/>
  <c r="J98" i="4"/>
  <c r="I98" i="4"/>
  <c r="H98" i="4"/>
  <c r="G98" i="4"/>
  <c r="F98" i="4"/>
  <c r="E98" i="4"/>
  <c r="D98" i="4"/>
  <c r="C98" i="4"/>
  <c r="B98" i="4"/>
  <c r="AU97" i="4"/>
  <c r="AI97" i="4"/>
  <c r="W97" i="4"/>
  <c r="K97" i="4"/>
  <c r="AU96" i="4"/>
  <c r="AI96" i="4"/>
  <c r="W96" i="4"/>
  <c r="K96" i="4"/>
  <c r="AU95" i="4"/>
  <c r="AI95" i="4"/>
  <c r="W95" i="4"/>
  <c r="K95" i="4"/>
  <c r="AU94" i="4"/>
  <c r="AI94" i="4"/>
  <c r="W94" i="4"/>
  <c r="K94" i="4"/>
  <c r="AU93" i="4"/>
  <c r="AI93" i="4"/>
  <c r="W93" i="4"/>
  <c r="K93" i="4"/>
  <c r="AU92" i="4"/>
  <c r="AI92" i="4"/>
  <c r="W92" i="4"/>
  <c r="K92" i="4"/>
  <c r="AU91" i="4"/>
  <c r="AI91" i="4"/>
  <c r="W91" i="4"/>
  <c r="K91" i="4"/>
  <c r="AU90" i="4"/>
  <c r="AI90" i="4"/>
  <c r="W90" i="4"/>
  <c r="K90" i="4"/>
  <c r="AU89" i="4"/>
  <c r="AI89" i="4"/>
  <c r="W89" i="4"/>
  <c r="K89" i="4"/>
  <c r="AU88" i="4"/>
  <c r="AU98" i="4" s="1"/>
  <c r="AI88" i="4"/>
  <c r="W88" i="4"/>
  <c r="K88" i="4"/>
  <c r="AU87" i="4"/>
  <c r="AI87" i="4"/>
  <c r="W87" i="4"/>
  <c r="K87" i="4"/>
  <c r="AU86" i="4"/>
  <c r="AI86" i="4"/>
  <c r="W86" i="4"/>
  <c r="K86" i="4"/>
  <c r="AR80" i="4"/>
  <c r="AQ80" i="4"/>
  <c r="AO80" i="4"/>
  <c r="AN80" i="4"/>
  <c r="AM80" i="4"/>
  <c r="AL80" i="4"/>
  <c r="AH80" i="4"/>
  <c r="AG80" i="4"/>
  <c r="AF80" i="4"/>
  <c r="I80" i="4"/>
  <c r="H80" i="4"/>
  <c r="G80" i="4"/>
  <c r="F80" i="4"/>
  <c r="E80" i="4"/>
  <c r="D80" i="4"/>
  <c r="AT78" i="4"/>
  <c r="AS78" i="4"/>
  <c r="AR78" i="4"/>
  <c r="AQ78" i="4"/>
  <c r="AP78" i="4"/>
  <c r="AO78" i="4"/>
  <c r="AN78" i="4"/>
  <c r="AM78" i="4"/>
  <c r="AL78" i="4"/>
  <c r="AH78" i="4"/>
  <c r="AG78" i="4"/>
  <c r="AF78" i="4"/>
  <c r="AE78" i="4"/>
  <c r="AE80" i="4" s="1"/>
  <c r="AD78" i="4"/>
  <c r="AC78" i="4"/>
  <c r="AC80" i="4" s="1"/>
  <c r="AB78" i="4"/>
  <c r="AA78" i="4"/>
  <c r="Z78" i="4"/>
  <c r="V78" i="4"/>
  <c r="U78" i="4"/>
  <c r="T78" i="4"/>
  <c r="T80" i="4" s="1"/>
  <c r="S78" i="4"/>
  <c r="R78" i="4"/>
  <c r="Q78" i="4"/>
  <c r="P78" i="4"/>
  <c r="O78" i="4"/>
  <c r="O80" i="4" s="1"/>
  <c r="N78" i="4"/>
  <c r="J78" i="4"/>
  <c r="I78" i="4"/>
  <c r="H78" i="4"/>
  <c r="G78" i="4"/>
  <c r="F78" i="4"/>
  <c r="E78" i="4"/>
  <c r="D78" i="4"/>
  <c r="C78" i="4"/>
  <c r="C80" i="4" s="1"/>
  <c r="B78" i="4"/>
  <c r="B80" i="4" s="1"/>
  <c r="AU77" i="4"/>
  <c r="AI77" i="4"/>
  <c r="W77" i="4"/>
  <c r="K77" i="4"/>
  <c r="AU76" i="4"/>
  <c r="AI76" i="4"/>
  <c r="W76" i="4"/>
  <c r="K76" i="4"/>
  <c r="AU75" i="4"/>
  <c r="AI75" i="4"/>
  <c r="W75" i="4"/>
  <c r="K75" i="4"/>
  <c r="AU74" i="4"/>
  <c r="AI74" i="4"/>
  <c r="W74" i="4"/>
  <c r="K74" i="4"/>
  <c r="AU73" i="4"/>
  <c r="AI73" i="4"/>
  <c r="W73" i="4"/>
  <c r="K73" i="4"/>
  <c r="AU72" i="4"/>
  <c r="AI72" i="4"/>
  <c r="W72" i="4"/>
  <c r="K72" i="4"/>
  <c r="AU71" i="4"/>
  <c r="AI71" i="4"/>
  <c r="W71" i="4"/>
  <c r="K71" i="4"/>
  <c r="AU70" i="4"/>
  <c r="AI70" i="4"/>
  <c r="W70" i="4"/>
  <c r="K70" i="4"/>
  <c r="AU69" i="4"/>
  <c r="AI69" i="4"/>
  <c r="W69" i="4"/>
  <c r="W78" i="4" s="1"/>
  <c r="K69" i="4"/>
  <c r="AU68" i="4"/>
  <c r="AU78" i="4" s="1"/>
  <c r="AI68" i="4"/>
  <c r="W68" i="4"/>
  <c r="K68" i="4"/>
  <c r="AU67" i="4"/>
  <c r="AI67" i="4"/>
  <c r="W67" i="4"/>
  <c r="K67" i="4"/>
  <c r="AU66" i="4"/>
  <c r="AI66" i="4"/>
  <c r="W66" i="4"/>
  <c r="K66" i="4"/>
  <c r="K78" i="4" s="1"/>
  <c r="I79" i="4" s="1"/>
  <c r="AS60" i="4"/>
  <c r="AP60" i="4"/>
  <c r="AO60" i="4"/>
  <c r="AN60" i="4"/>
  <c r="AM60" i="4"/>
  <c r="AL60" i="4"/>
  <c r="AH60" i="4"/>
  <c r="AG60" i="4"/>
  <c r="AF60" i="4"/>
  <c r="I60" i="4"/>
  <c r="H60" i="4"/>
  <c r="G60" i="4"/>
  <c r="F60" i="4"/>
  <c r="E60" i="4"/>
  <c r="D60" i="4"/>
  <c r="B60" i="4"/>
  <c r="AT58" i="4"/>
  <c r="AS58" i="4"/>
  <c r="AR58" i="4"/>
  <c r="AR60" i="4" s="1"/>
  <c r="AQ58" i="4"/>
  <c r="AP58" i="4"/>
  <c r="AO58" i="4"/>
  <c r="AN58" i="4"/>
  <c r="AM58" i="4"/>
  <c r="AL58" i="4"/>
  <c r="AH58" i="4"/>
  <c r="AG58" i="4"/>
  <c r="AF58" i="4"/>
  <c r="AE58" i="4"/>
  <c r="AD58" i="4"/>
  <c r="AC58" i="4"/>
  <c r="AB58" i="4"/>
  <c r="AA58" i="4"/>
  <c r="Z58" i="4"/>
  <c r="V58" i="4"/>
  <c r="V59" i="4" s="1"/>
  <c r="U58" i="4"/>
  <c r="T58" i="4"/>
  <c r="S58" i="4"/>
  <c r="R58" i="4"/>
  <c r="Q58" i="4"/>
  <c r="P58" i="4"/>
  <c r="P60" i="4" s="1"/>
  <c r="O58" i="4"/>
  <c r="N58" i="4"/>
  <c r="J58" i="4"/>
  <c r="I58" i="4"/>
  <c r="H58" i="4"/>
  <c r="G58" i="4"/>
  <c r="F58" i="4"/>
  <c r="E58" i="4"/>
  <c r="D58" i="4"/>
  <c r="C58" i="4"/>
  <c r="C60" i="4" s="1"/>
  <c r="B58" i="4"/>
  <c r="AU57" i="4"/>
  <c r="AI57" i="4"/>
  <c r="W57" i="4"/>
  <c r="K57" i="4"/>
  <c r="AU56" i="4"/>
  <c r="AI56" i="4"/>
  <c r="W56" i="4"/>
  <c r="K56" i="4"/>
  <c r="AU55" i="4"/>
  <c r="AI55" i="4"/>
  <c r="W55" i="4"/>
  <c r="K55" i="4"/>
  <c r="AU54" i="4"/>
  <c r="AI54" i="4"/>
  <c r="W54" i="4"/>
  <c r="K54" i="4"/>
  <c r="AU53" i="4"/>
  <c r="AI53" i="4"/>
  <c r="W53" i="4"/>
  <c r="K53" i="4"/>
  <c r="AU52" i="4"/>
  <c r="AI52" i="4"/>
  <c r="W52" i="4"/>
  <c r="K52" i="4"/>
  <c r="AU51" i="4"/>
  <c r="AI51" i="4"/>
  <c r="W51" i="4"/>
  <c r="K51" i="4"/>
  <c r="AU50" i="4"/>
  <c r="AI50" i="4"/>
  <c r="W50" i="4"/>
  <c r="K50" i="4"/>
  <c r="AU49" i="4"/>
  <c r="AI49" i="4"/>
  <c r="W49" i="4"/>
  <c r="W58" i="4" s="1"/>
  <c r="K49" i="4"/>
  <c r="AU48" i="4"/>
  <c r="AU58" i="4" s="1"/>
  <c r="AI48" i="4"/>
  <c r="W48" i="4"/>
  <c r="K48" i="4"/>
  <c r="AU47" i="4"/>
  <c r="AI47" i="4"/>
  <c r="W47" i="4"/>
  <c r="K47" i="4"/>
  <c r="AU46" i="4"/>
  <c r="AI46" i="4"/>
  <c r="W46" i="4"/>
  <c r="K46" i="4"/>
  <c r="AQ40" i="4"/>
  <c r="AP40" i="4"/>
  <c r="AO40" i="4"/>
  <c r="AN40" i="4"/>
  <c r="AM40" i="4"/>
  <c r="AL40" i="4"/>
  <c r="AH40" i="4"/>
  <c r="AG40" i="4"/>
  <c r="AF40" i="4"/>
  <c r="AD40" i="4"/>
  <c r="Q40" i="4"/>
  <c r="N40" i="4"/>
  <c r="I40" i="4"/>
  <c r="H40" i="4"/>
  <c r="G40" i="4"/>
  <c r="F40" i="4"/>
  <c r="E40" i="4"/>
  <c r="D40" i="4"/>
  <c r="B40" i="4"/>
  <c r="AT38" i="4"/>
  <c r="AS38" i="4"/>
  <c r="AR38" i="4"/>
  <c r="AQ38" i="4"/>
  <c r="AP38" i="4"/>
  <c r="AO38" i="4"/>
  <c r="AN38" i="4"/>
  <c r="AM38" i="4"/>
  <c r="AL38" i="4"/>
  <c r="AH38" i="4"/>
  <c r="AG38" i="4"/>
  <c r="AF38" i="4"/>
  <c r="AE38" i="4"/>
  <c r="AE40" i="4" s="1"/>
  <c r="AD38" i="4"/>
  <c r="AC38" i="4"/>
  <c r="AB38" i="4"/>
  <c r="AA38" i="4"/>
  <c r="Z38" i="4"/>
  <c r="V38" i="4"/>
  <c r="U38" i="4"/>
  <c r="T38" i="4"/>
  <c r="S38" i="4"/>
  <c r="R38" i="4"/>
  <c r="Q38" i="4"/>
  <c r="P38" i="4"/>
  <c r="O38" i="4"/>
  <c r="N38" i="4"/>
  <c r="J38" i="4"/>
  <c r="I38" i="4"/>
  <c r="H38" i="4"/>
  <c r="G38" i="4"/>
  <c r="F38" i="4"/>
  <c r="E38" i="4"/>
  <c r="D38" i="4"/>
  <c r="C38" i="4"/>
  <c r="C40" i="4" s="1"/>
  <c r="B38" i="4"/>
  <c r="AU37" i="4"/>
  <c r="AI37" i="4"/>
  <c r="W37" i="4"/>
  <c r="K37" i="4"/>
  <c r="AU36" i="4"/>
  <c r="AI36" i="4"/>
  <c r="W36" i="4"/>
  <c r="K36" i="4"/>
  <c r="AU35" i="4"/>
  <c r="AI35" i="4"/>
  <c r="W35" i="4"/>
  <c r="K35" i="4"/>
  <c r="AU34" i="4"/>
  <c r="AI34" i="4"/>
  <c r="W34" i="4"/>
  <c r="K34" i="4"/>
  <c r="AU33" i="4"/>
  <c r="AI33" i="4"/>
  <c r="W33" i="4"/>
  <c r="K33" i="4"/>
  <c r="AU32" i="4"/>
  <c r="AI32" i="4"/>
  <c r="W32" i="4"/>
  <c r="K32" i="4"/>
  <c r="AU31" i="4"/>
  <c r="AI31" i="4"/>
  <c r="W31" i="4"/>
  <c r="K31" i="4"/>
  <c r="AU30" i="4"/>
  <c r="AI30" i="4"/>
  <c r="W30" i="4"/>
  <c r="K30" i="4"/>
  <c r="AU29" i="4"/>
  <c r="AU38" i="4" s="1"/>
  <c r="AI29" i="4"/>
  <c r="W29" i="4"/>
  <c r="W38" i="4" s="1"/>
  <c r="K29" i="4"/>
  <c r="AU28" i="4"/>
  <c r="AI28" i="4"/>
  <c r="W28" i="4"/>
  <c r="K28" i="4"/>
  <c r="AU27" i="4"/>
  <c r="AI27" i="4"/>
  <c r="W27" i="4"/>
  <c r="K27" i="4"/>
  <c r="AU26" i="4"/>
  <c r="AI26" i="4"/>
  <c r="W26" i="4"/>
  <c r="K26" i="4"/>
  <c r="AT20" i="4"/>
  <c r="AR20" i="4"/>
  <c r="AQ20" i="4"/>
  <c r="AP20" i="4"/>
  <c r="AO20" i="4"/>
  <c r="AN20" i="4"/>
  <c r="AM20" i="4"/>
  <c r="AL20" i="4"/>
  <c r="AH20" i="4"/>
  <c r="AG20" i="4"/>
  <c r="AF20" i="4"/>
  <c r="R20" i="4"/>
  <c r="O20" i="4"/>
  <c r="J20" i="4"/>
  <c r="I20" i="4"/>
  <c r="H20" i="4"/>
  <c r="G20" i="4"/>
  <c r="F20" i="4"/>
  <c r="E20" i="4"/>
  <c r="D20" i="4"/>
  <c r="AT18" i="4"/>
  <c r="AS18" i="4"/>
  <c r="AR18" i="4"/>
  <c r="AQ18" i="4"/>
  <c r="AP18" i="4"/>
  <c r="AO18" i="4"/>
  <c r="AN18" i="4"/>
  <c r="AM18" i="4"/>
  <c r="AL18" i="4"/>
  <c r="AH18" i="4"/>
  <c r="AG18" i="4"/>
  <c r="AF18" i="4"/>
  <c r="AE18" i="4"/>
  <c r="AD18" i="4"/>
  <c r="AC18" i="4"/>
  <c r="AC20" i="4" s="1"/>
  <c r="AB18" i="4"/>
  <c r="AA18" i="4"/>
  <c r="Z18" i="4"/>
  <c r="V18" i="4"/>
  <c r="U18" i="4"/>
  <c r="T18" i="4"/>
  <c r="S18" i="4"/>
  <c r="R18" i="4"/>
  <c r="Q18" i="4"/>
  <c r="P18" i="4"/>
  <c r="O18" i="4"/>
  <c r="N18" i="4"/>
  <c r="J18" i="4"/>
  <c r="I18" i="4"/>
  <c r="H18" i="4"/>
  <c r="G18" i="4"/>
  <c r="F18" i="4"/>
  <c r="E18" i="4"/>
  <c r="D18" i="4"/>
  <c r="C18" i="4"/>
  <c r="C20" i="4" s="1"/>
  <c r="B18" i="4"/>
  <c r="AU17" i="4"/>
  <c r="AI17" i="4"/>
  <c r="W17" i="4"/>
  <c r="K17" i="4"/>
  <c r="AU16" i="4"/>
  <c r="AI16" i="4"/>
  <c r="W16" i="4"/>
  <c r="K16" i="4"/>
  <c r="AU15" i="4"/>
  <c r="AI15" i="4"/>
  <c r="W15" i="4"/>
  <c r="K15" i="4"/>
  <c r="AU14" i="4"/>
  <c r="AI14" i="4"/>
  <c r="W14" i="4"/>
  <c r="K14" i="4"/>
  <c r="AU13" i="4"/>
  <c r="AI13" i="4"/>
  <c r="W13" i="4"/>
  <c r="K13" i="4"/>
  <c r="AU12" i="4"/>
  <c r="AI12" i="4"/>
  <c r="W12" i="4"/>
  <c r="K12" i="4"/>
  <c r="AU11" i="4"/>
  <c r="AI11" i="4"/>
  <c r="W11" i="4"/>
  <c r="K11" i="4"/>
  <c r="AU10" i="4"/>
  <c r="AI10" i="4"/>
  <c r="W10" i="4"/>
  <c r="W18" i="4" s="1"/>
  <c r="K10" i="4"/>
  <c r="AU9" i="4"/>
  <c r="AU18" i="4" s="1"/>
  <c r="AI9" i="4"/>
  <c r="W9" i="4"/>
  <c r="K9" i="4"/>
  <c r="AU8" i="4"/>
  <c r="AI8" i="4"/>
  <c r="W8" i="4"/>
  <c r="K8" i="4"/>
  <c r="AU7" i="4"/>
  <c r="AI7" i="4"/>
  <c r="W7" i="4"/>
  <c r="K7" i="4"/>
  <c r="AU6" i="4"/>
  <c r="AI6" i="4"/>
  <c r="W6" i="4"/>
  <c r="K6" i="4"/>
  <c r="AK2" i="4"/>
  <c r="Y2" i="4"/>
  <c r="M2" i="4"/>
  <c r="A2" i="4"/>
  <c r="AT91" i="3"/>
  <c r="AS91" i="3"/>
  <c r="AR91" i="3"/>
  <c r="AQ91" i="3"/>
  <c r="AP91" i="3"/>
  <c r="AO91" i="3"/>
  <c r="AN91" i="3"/>
  <c r="AM91" i="3"/>
  <c r="AL91" i="3"/>
  <c r="AH91" i="3"/>
  <c r="AG91" i="3"/>
  <c r="AF91" i="3"/>
  <c r="AE91" i="3"/>
  <c r="AD91" i="3"/>
  <c r="AC91" i="3"/>
  <c r="AB91" i="3"/>
  <c r="AA91" i="3"/>
  <c r="Z91" i="3"/>
  <c r="V91" i="3"/>
  <c r="U91" i="3"/>
  <c r="T91" i="3"/>
  <c r="S91" i="3"/>
  <c r="R91" i="3"/>
  <c r="Q91" i="3"/>
  <c r="P91" i="3"/>
  <c r="O91" i="3"/>
  <c r="N91" i="3"/>
  <c r="K91" i="3"/>
  <c r="I92" i="3" s="1"/>
  <c r="J91" i="3"/>
  <c r="I91" i="3"/>
  <c r="H91" i="3"/>
  <c r="G91" i="3"/>
  <c r="F91" i="3"/>
  <c r="F92" i="3" s="1"/>
  <c r="E91" i="3"/>
  <c r="D91" i="3"/>
  <c r="C91" i="3"/>
  <c r="B91" i="3"/>
  <c r="AU90" i="3"/>
  <c r="AI90" i="3"/>
  <c r="W90" i="3"/>
  <c r="K90" i="3"/>
  <c r="AU89" i="3"/>
  <c r="AI89" i="3"/>
  <c r="W89" i="3"/>
  <c r="K89" i="3"/>
  <c r="AU88" i="3"/>
  <c r="AI88" i="3"/>
  <c r="W88" i="3"/>
  <c r="K88" i="3"/>
  <c r="AU87" i="3"/>
  <c r="AI87" i="3"/>
  <c r="W87" i="3"/>
  <c r="K87" i="3"/>
  <c r="AU86" i="3"/>
  <c r="AI86" i="3"/>
  <c r="W86" i="3"/>
  <c r="K86" i="3"/>
  <c r="AU85" i="3"/>
  <c r="AI85" i="3"/>
  <c r="W85" i="3"/>
  <c r="K85" i="3"/>
  <c r="AU84" i="3"/>
  <c r="AI84" i="3"/>
  <c r="W84" i="3"/>
  <c r="K84" i="3"/>
  <c r="AU83" i="3"/>
  <c r="AI83" i="3"/>
  <c r="W83" i="3"/>
  <c r="K83" i="3"/>
  <c r="AU82" i="3"/>
  <c r="AI82" i="3"/>
  <c r="W82" i="3"/>
  <c r="K82" i="3"/>
  <c r="AU81" i="3"/>
  <c r="AI81" i="3"/>
  <c r="AI91" i="3" s="1"/>
  <c r="W81" i="3"/>
  <c r="K81" i="3"/>
  <c r="AU80" i="3"/>
  <c r="AI80" i="3"/>
  <c r="W80" i="3"/>
  <c r="K80" i="3"/>
  <c r="AU79" i="3"/>
  <c r="AI79" i="3"/>
  <c r="W79" i="3"/>
  <c r="K79" i="3"/>
  <c r="AT72" i="3"/>
  <c r="AS72" i="3"/>
  <c r="AR72" i="3"/>
  <c r="AQ72" i="3"/>
  <c r="AP72" i="3"/>
  <c r="AO72" i="3"/>
  <c r="AN72" i="3"/>
  <c r="AM72" i="3"/>
  <c r="AL72" i="3"/>
  <c r="AH72" i="3"/>
  <c r="AG72" i="3"/>
  <c r="AF72" i="3"/>
  <c r="AE72" i="3"/>
  <c r="AD72" i="3"/>
  <c r="AC72" i="3"/>
  <c r="AB72" i="3"/>
  <c r="AA72" i="3"/>
  <c r="Z72" i="3"/>
  <c r="V72" i="3"/>
  <c r="U72" i="3"/>
  <c r="T72" i="3"/>
  <c r="S72" i="3"/>
  <c r="R72" i="3"/>
  <c r="Q72" i="3"/>
  <c r="P72" i="3"/>
  <c r="O72" i="3"/>
  <c r="N72" i="3"/>
  <c r="J72" i="3"/>
  <c r="I72" i="3"/>
  <c r="H72" i="3"/>
  <c r="G72" i="3"/>
  <c r="F72" i="3"/>
  <c r="E72" i="3"/>
  <c r="D72" i="3"/>
  <c r="C72" i="3"/>
  <c r="B72" i="3"/>
  <c r="AU71" i="3"/>
  <c r="AI71" i="3"/>
  <c r="W71" i="3"/>
  <c r="K71" i="3"/>
  <c r="AU70" i="3"/>
  <c r="AI70" i="3"/>
  <c r="W70" i="3"/>
  <c r="K70" i="3"/>
  <c r="AU69" i="3"/>
  <c r="AI69" i="3"/>
  <c r="W69" i="3"/>
  <c r="K69" i="3"/>
  <c r="AU68" i="3"/>
  <c r="AI68" i="3"/>
  <c r="W68" i="3"/>
  <c r="K68" i="3"/>
  <c r="AU67" i="3"/>
  <c r="AI67" i="3"/>
  <c r="W67" i="3"/>
  <c r="K67" i="3"/>
  <c r="AU66" i="3"/>
  <c r="AI66" i="3"/>
  <c r="W66" i="3"/>
  <c r="K66" i="3"/>
  <c r="AU65" i="3"/>
  <c r="AI65" i="3"/>
  <c r="W65" i="3"/>
  <c r="K65" i="3"/>
  <c r="AU64" i="3"/>
  <c r="AI64" i="3"/>
  <c r="W64" i="3"/>
  <c r="K64" i="3"/>
  <c r="AU63" i="3"/>
  <c r="AI63" i="3"/>
  <c r="W63" i="3"/>
  <c r="K63" i="3"/>
  <c r="AU62" i="3"/>
  <c r="AU72" i="3" s="1"/>
  <c r="AI62" i="3"/>
  <c r="W62" i="3"/>
  <c r="K62" i="3"/>
  <c r="AU61" i="3"/>
  <c r="AI61" i="3"/>
  <c r="W61" i="3"/>
  <c r="K61" i="3"/>
  <c r="K72" i="3" s="1"/>
  <c r="AU60" i="3"/>
  <c r="AI60" i="3"/>
  <c r="W60" i="3"/>
  <c r="K60" i="3"/>
  <c r="AT54" i="3"/>
  <c r="AS54" i="3"/>
  <c r="AR54" i="3"/>
  <c r="AQ54" i="3"/>
  <c r="AP54" i="3"/>
  <c r="AO54" i="3"/>
  <c r="AN54" i="3"/>
  <c r="AM54" i="3"/>
  <c r="AL54" i="3"/>
  <c r="AH54" i="3"/>
  <c r="AG54" i="3"/>
  <c r="AF54" i="3"/>
  <c r="AF55" i="3" s="1"/>
  <c r="AE54" i="3"/>
  <c r="AE55" i="3" s="1"/>
  <c r="AD54" i="3"/>
  <c r="AC54" i="3"/>
  <c r="AB54" i="3"/>
  <c r="AA54" i="3"/>
  <c r="Z54" i="3"/>
  <c r="V54" i="3"/>
  <c r="U54" i="3"/>
  <c r="T54" i="3"/>
  <c r="S54" i="3"/>
  <c r="R54" i="3"/>
  <c r="Q54" i="3"/>
  <c r="P54" i="3"/>
  <c r="O54" i="3"/>
  <c r="N54" i="3"/>
  <c r="J54" i="3"/>
  <c r="I54" i="3"/>
  <c r="H54" i="3"/>
  <c r="G54" i="3"/>
  <c r="F54" i="3"/>
  <c r="F55" i="3" s="1"/>
  <c r="E54" i="3"/>
  <c r="D54" i="3"/>
  <c r="D55" i="3" s="1"/>
  <c r="C54" i="3"/>
  <c r="C55" i="3" s="1"/>
  <c r="B54" i="3"/>
  <c r="AU53" i="3"/>
  <c r="AI53" i="3"/>
  <c r="W53" i="3"/>
  <c r="K53" i="3"/>
  <c r="AU52" i="3"/>
  <c r="AI52" i="3"/>
  <c r="W52" i="3"/>
  <c r="K52" i="3"/>
  <c r="AU51" i="3"/>
  <c r="AI51" i="3"/>
  <c r="W51" i="3"/>
  <c r="K51" i="3"/>
  <c r="AU50" i="3"/>
  <c r="AI50" i="3"/>
  <c r="W50" i="3"/>
  <c r="K50" i="3"/>
  <c r="AU49" i="3"/>
  <c r="AI49" i="3"/>
  <c r="W49" i="3"/>
  <c r="K49" i="3"/>
  <c r="AU48" i="3"/>
  <c r="AI48" i="3"/>
  <c r="W48" i="3"/>
  <c r="K48" i="3"/>
  <c r="AU47" i="3"/>
  <c r="AI47" i="3"/>
  <c r="W47" i="3"/>
  <c r="K47" i="3"/>
  <c r="AU46" i="3"/>
  <c r="AI46" i="3"/>
  <c r="W46" i="3"/>
  <c r="K46" i="3"/>
  <c r="AU45" i="3"/>
  <c r="AI45" i="3"/>
  <c r="W45" i="3"/>
  <c r="K45" i="3"/>
  <c r="AU44" i="3"/>
  <c r="AI44" i="3"/>
  <c r="W44" i="3"/>
  <c r="K44" i="3"/>
  <c r="AU43" i="3"/>
  <c r="AI43" i="3"/>
  <c r="W43" i="3"/>
  <c r="K43" i="3"/>
  <c r="AU42" i="3"/>
  <c r="AI42" i="3"/>
  <c r="AI54" i="3" s="1"/>
  <c r="W42" i="3"/>
  <c r="K42" i="3"/>
  <c r="K54" i="3" s="1"/>
  <c r="AT36" i="3"/>
  <c r="AS36" i="3"/>
  <c r="AR36" i="3"/>
  <c r="AQ36" i="3"/>
  <c r="AP36" i="3"/>
  <c r="AO36" i="3"/>
  <c r="AN36" i="3"/>
  <c r="AM36" i="3"/>
  <c r="AL36" i="3"/>
  <c r="AH36" i="3"/>
  <c r="AH37" i="3" s="1"/>
  <c r="AG36" i="3"/>
  <c r="AF36" i="3"/>
  <c r="AE36" i="3"/>
  <c r="AD36" i="3"/>
  <c r="AC36" i="3"/>
  <c r="AB36" i="3"/>
  <c r="AA36" i="3"/>
  <c r="Z36" i="3"/>
  <c r="V36" i="3"/>
  <c r="U36" i="3"/>
  <c r="T36" i="3"/>
  <c r="S36" i="3"/>
  <c r="R36" i="3"/>
  <c r="Q36" i="3"/>
  <c r="Q37" i="3" s="1"/>
  <c r="P36" i="3"/>
  <c r="O36" i="3"/>
  <c r="O37" i="3" s="1"/>
  <c r="N36" i="3"/>
  <c r="N37" i="3" s="1"/>
  <c r="J36" i="3"/>
  <c r="I36" i="3"/>
  <c r="H36" i="3"/>
  <c r="G36" i="3"/>
  <c r="F36" i="3"/>
  <c r="E36" i="3"/>
  <c r="D36" i="3"/>
  <c r="C36" i="3"/>
  <c r="B36" i="3"/>
  <c r="AU35" i="3"/>
  <c r="AI35" i="3"/>
  <c r="W35" i="3"/>
  <c r="K35" i="3"/>
  <c r="AU34" i="3"/>
  <c r="AI34" i="3"/>
  <c r="W34" i="3"/>
  <c r="K34" i="3"/>
  <c r="AU33" i="3"/>
  <c r="AI33" i="3"/>
  <c r="W33" i="3"/>
  <c r="K33" i="3"/>
  <c r="AU32" i="3"/>
  <c r="AI32" i="3"/>
  <c r="W32" i="3"/>
  <c r="K32" i="3"/>
  <c r="AU31" i="3"/>
  <c r="AI31" i="3"/>
  <c r="W31" i="3"/>
  <c r="K31" i="3"/>
  <c r="AU30" i="3"/>
  <c r="AI30" i="3"/>
  <c r="W30" i="3"/>
  <c r="K30" i="3"/>
  <c r="AU29" i="3"/>
  <c r="AI29" i="3"/>
  <c r="W29" i="3"/>
  <c r="K29" i="3"/>
  <c r="AU28" i="3"/>
  <c r="AI28" i="3"/>
  <c r="W28" i="3"/>
  <c r="K28" i="3"/>
  <c r="AU27" i="3"/>
  <c r="AI27" i="3"/>
  <c r="W27" i="3"/>
  <c r="K27" i="3"/>
  <c r="AU26" i="3"/>
  <c r="AI26" i="3"/>
  <c r="W26" i="3"/>
  <c r="K26" i="3"/>
  <c r="AU25" i="3"/>
  <c r="AI25" i="3"/>
  <c r="W25" i="3"/>
  <c r="K25" i="3"/>
  <c r="AU24" i="3"/>
  <c r="AI24" i="3"/>
  <c r="AI36" i="3" s="1"/>
  <c r="W24" i="3"/>
  <c r="W36" i="3" s="1"/>
  <c r="W37" i="3" s="1"/>
  <c r="K24" i="3"/>
  <c r="AT18" i="3"/>
  <c r="AT19" i="3" s="1"/>
  <c r="AS18" i="3"/>
  <c r="AR18" i="3"/>
  <c r="AR19" i="3" s="1"/>
  <c r="AQ18" i="3"/>
  <c r="AP18" i="3"/>
  <c r="AO18" i="3"/>
  <c r="AN18" i="3"/>
  <c r="AM18" i="3"/>
  <c r="AL18" i="3"/>
  <c r="AH18" i="3"/>
  <c r="AG18" i="3"/>
  <c r="AF18" i="3"/>
  <c r="AE18" i="3"/>
  <c r="AD18" i="3"/>
  <c r="AC18" i="3"/>
  <c r="AB18" i="3"/>
  <c r="AA18" i="3"/>
  <c r="Z18" i="3"/>
  <c r="V18" i="3"/>
  <c r="U18" i="3"/>
  <c r="T18" i="3"/>
  <c r="S18" i="3"/>
  <c r="R18" i="3"/>
  <c r="Q18" i="3"/>
  <c r="P18" i="3"/>
  <c r="O18" i="3"/>
  <c r="N18" i="3"/>
  <c r="J18" i="3"/>
  <c r="I18" i="3"/>
  <c r="H18" i="3"/>
  <c r="G18" i="3"/>
  <c r="F18" i="3"/>
  <c r="E18" i="3"/>
  <c r="D18" i="3"/>
  <c r="C18" i="3"/>
  <c r="B18" i="3"/>
  <c r="AU17" i="3"/>
  <c r="AI17" i="3"/>
  <c r="W17" i="3"/>
  <c r="K17" i="3"/>
  <c r="AU16" i="3"/>
  <c r="AI16" i="3"/>
  <c r="W16" i="3"/>
  <c r="K16" i="3"/>
  <c r="AU15" i="3"/>
  <c r="AI15" i="3"/>
  <c r="W15" i="3"/>
  <c r="K15" i="3"/>
  <c r="AU14" i="3"/>
  <c r="AI14" i="3"/>
  <c r="W14" i="3"/>
  <c r="K14" i="3"/>
  <c r="AU13" i="3"/>
  <c r="AI13" i="3"/>
  <c r="W13" i="3"/>
  <c r="K13" i="3"/>
  <c r="AU12" i="3"/>
  <c r="AI12" i="3"/>
  <c r="W12" i="3"/>
  <c r="K12" i="3"/>
  <c r="AU11" i="3"/>
  <c r="AI11" i="3"/>
  <c r="W11" i="3"/>
  <c r="K11" i="3"/>
  <c r="AU10" i="3"/>
  <c r="AI10" i="3"/>
  <c r="W10" i="3"/>
  <c r="K10" i="3"/>
  <c r="AU9" i="3"/>
  <c r="AU18" i="3" s="1"/>
  <c r="AU19" i="3" s="1"/>
  <c r="AI9" i="3"/>
  <c r="W9" i="3"/>
  <c r="W18" i="3" s="1"/>
  <c r="W19" i="3" s="1"/>
  <c r="K9" i="3"/>
  <c r="AU8" i="3"/>
  <c r="AI8" i="3"/>
  <c r="W8" i="3"/>
  <c r="K8" i="3"/>
  <c r="AU7" i="3"/>
  <c r="AI7" i="3"/>
  <c r="W7" i="3"/>
  <c r="K7" i="3"/>
  <c r="AU6" i="3"/>
  <c r="AI6" i="3"/>
  <c r="W6" i="3"/>
  <c r="K6" i="3"/>
  <c r="AK2" i="3"/>
  <c r="Y2" i="3"/>
  <c r="M2" i="3"/>
  <c r="A2" i="3"/>
  <c r="W41" i="2"/>
  <c r="V41" i="2"/>
  <c r="U41" i="2"/>
  <c r="T41" i="2"/>
  <c r="S41" i="2"/>
  <c r="R41" i="2"/>
  <c r="Q41" i="2"/>
  <c r="P41" i="2"/>
  <c r="X41" i="2" s="1"/>
  <c r="O41" i="2"/>
  <c r="K41" i="2"/>
  <c r="J41" i="2"/>
  <c r="I41" i="2"/>
  <c r="H41" i="2"/>
  <c r="G41" i="2"/>
  <c r="W40" i="2"/>
  <c r="V40" i="2"/>
  <c r="U40" i="2"/>
  <c r="T40" i="2"/>
  <c r="S40" i="2"/>
  <c r="R40" i="2"/>
  <c r="Q40" i="2"/>
  <c r="P40" i="2"/>
  <c r="O40" i="2"/>
  <c r="K40" i="2"/>
  <c r="J40" i="2"/>
  <c r="I40" i="2"/>
  <c r="H40" i="2"/>
  <c r="G40" i="2"/>
  <c r="F40" i="2"/>
  <c r="E40" i="2"/>
  <c r="L40" i="2" s="1"/>
  <c r="D40" i="2"/>
  <c r="C40" i="2"/>
  <c r="S39" i="2"/>
  <c r="R39" i="2"/>
  <c r="Q39" i="2"/>
  <c r="P39" i="2"/>
  <c r="O39" i="2"/>
  <c r="K39" i="2"/>
  <c r="J39" i="2"/>
  <c r="I39" i="2"/>
  <c r="H39" i="2"/>
  <c r="G39" i="2"/>
  <c r="F39" i="2"/>
  <c r="E39" i="2"/>
  <c r="D39" i="2"/>
  <c r="C39" i="2"/>
  <c r="L39" i="2" s="1"/>
  <c r="W38" i="2"/>
  <c r="U38" i="2"/>
  <c r="K38" i="2"/>
  <c r="J38" i="2"/>
  <c r="I38" i="2"/>
  <c r="E38" i="2"/>
  <c r="D38" i="2"/>
  <c r="U37" i="2"/>
  <c r="G37" i="2"/>
  <c r="F37" i="2"/>
  <c r="E37" i="2"/>
  <c r="D37" i="2"/>
  <c r="C37" i="2"/>
  <c r="W30" i="2"/>
  <c r="V30" i="2"/>
  <c r="U30" i="2"/>
  <c r="T30" i="2"/>
  <c r="P30" i="2"/>
  <c r="O30" i="2"/>
  <c r="D30" i="2"/>
  <c r="C30" i="2"/>
  <c r="W29" i="2"/>
  <c r="V29" i="2"/>
  <c r="U29" i="2"/>
  <c r="S29" i="2"/>
  <c r="R29" i="2"/>
  <c r="O28" i="2"/>
  <c r="J28" i="2"/>
  <c r="I28" i="2"/>
  <c r="H28" i="2"/>
  <c r="F28" i="2"/>
  <c r="E28" i="2"/>
  <c r="C28" i="2"/>
  <c r="R27" i="2"/>
  <c r="Q27" i="2"/>
  <c r="P27" i="2"/>
  <c r="O27" i="2"/>
  <c r="K27" i="2"/>
  <c r="V19" i="2"/>
  <c r="U19" i="2"/>
  <c r="T19" i="2"/>
  <c r="W18" i="2"/>
  <c r="V18" i="2"/>
  <c r="U18" i="2"/>
  <c r="T18" i="2"/>
  <c r="S18" i="2"/>
  <c r="R18" i="2"/>
  <c r="Q18" i="2"/>
  <c r="P18" i="2"/>
  <c r="O18" i="2"/>
  <c r="W17" i="2"/>
  <c r="V17" i="2"/>
  <c r="U17" i="2"/>
  <c r="T17" i="2"/>
  <c r="S17" i="2"/>
  <c r="R17" i="2"/>
  <c r="Q17" i="2"/>
  <c r="P17" i="2"/>
  <c r="O17" i="2"/>
  <c r="X17" i="2" s="1"/>
  <c r="K17" i="2"/>
  <c r="J17" i="2"/>
  <c r="I17" i="2"/>
  <c r="H17" i="2"/>
  <c r="G17" i="2"/>
  <c r="W16" i="2"/>
  <c r="V16" i="2"/>
  <c r="U16" i="2"/>
  <c r="T16" i="2"/>
  <c r="S16" i="2"/>
  <c r="R16" i="2"/>
  <c r="Q16" i="2"/>
  <c r="P16" i="2"/>
  <c r="O16" i="2"/>
  <c r="X16" i="2" s="1"/>
  <c r="K16" i="2"/>
  <c r="J16" i="2"/>
  <c r="I16" i="2"/>
  <c r="H16" i="2"/>
  <c r="G16" i="2"/>
  <c r="F16" i="2"/>
  <c r="E16" i="2"/>
  <c r="D16" i="2"/>
  <c r="C16" i="2"/>
  <c r="L16" i="2" s="1"/>
  <c r="S15" i="2"/>
  <c r="R15" i="2"/>
  <c r="Q15" i="2"/>
  <c r="P15" i="2"/>
  <c r="O15" i="2"/>
  <c r="K15" i="2"/>
  <c r="J15" i="2"/>
  <c r="I15" i="2"/>
  <c r="H15" i="2"/>
  <c r="G15" i="2"/>
  <c r="F15" i="2"/>
  <c r="E15" i="2"/>
  <c r="D15" i="2"/>
  <c r="C15" i="2"/>
  <c r="L15" i="2" s="1"/>
  <c r="K8" i="2"/>
  <c r="J8" i="2"/>
  <c r="H8" i="2"/>
  <c r="G8" i="2"/>
  <c r="E8" i="2"/>
  <c r="D8" i="2"/>
  <c r="C8" i="2"/>
  <c r="W7" i="2"/>
  <c r="V7" i="2"/>
  <c r="U7" i="2"/>
  <c r="S7" i="2"/>
  <c r="F7" i="2"/>
  <c r="E7" i="2"/>
  <c r="D7" i="2"/>
  <c r="V6" i="2"/>
  <c r="U6" i="2"/>
  <c r="S6" i="2"/>
  <c r="R6" i="2"/>
  <c r="P6" i="2"/>
  <c r="O6" i="2"/>
  <c r="K6" i="2"/>
  <c r="D6" i="2"/>
  <c r="C6" i="2"/>
  <c r="W5" i="2"/>
  <c r="V5" i="2"/>
  <c r="U5" i="2"/>
  <c r="T5" i="2"/>
  <c r="S5" i="2"/>
  <c r="R5" i="2"/>
  <c r="K4" i="2"/>
  <c r="J4" i="2"/>
  <c r="I4" i="2"/>
  <c r="H4" i="2"/>
  <c r="G4" i="2"/>
  <c r="F4" i="2"/>
  <c r="E4" i="2"/>
  <c r="C4" i="2"/>
  <c r="L4" i="2" s="1"/>
  <c r="X35" i="1"/>
  <c r="L35" i="1"/>
  <c r="F41" i="2" s="1"/>
  <c r="X34" i="1"/>
  <c r="L34" i="1"/>
  <c r="X33" i="1"/>
  <c r="T39" i="2" s="1"/>
  <c r="L33" i="1"/>
  <c r="X32" i="1"/>
  <c r="L32" i="1"/>
  <c r="H38" i="2" s="1"/>
  <c r="X31" i="1"/>
  <c r="L31" i="1"/>
  <c r="H37" i="2" s="1"/>
  <c r="X26" i="1"/>
  <c r="S30" i="2" s="1"/>
  <c r="L26" i="1"/>
  <c r="X25" i="1"/>
  <c r="T29" i="2" s="1"/>
  <c r="L25" i="1"/>
  <c r="G29" i="2" s="1"/>
  <c r="X24" i="1"/>
  <c r="L24" i="1"/>
  <c r="X23" i="1"/>
  <c r="L23" i="1"/>
  <c r="X22" i="1"/>
  <c r="L22" i="1"/>
  <c r="I26" i="2" s="1"/>
  <c r="X17" i="1"/>
  <c r="L17" i="1"/>
  <c r="X16" i="1"/>
  <c r="L16" i="1"/>
  <c r="K18" i="2" s="1"/>
  <c r="X15" i="1"/>
  <c r="L15" i="1"/>
  <c r="F17" i="2" s="1"/>
  <c r="X14" i="1"/>
  <c r="L14" i="1"/>
  <c r="X13" i="1"/>
  <c r="W15" i="2" s="1"/>
  <c r="L13" i="1"/>
  <c r="X8" i="1"/>
  <c r="L8" i="1"/>
  <c r="I8" i="2" s="1"/>
  <c r="X7" i="1"/>
  <c r="L7" i="1"/>
  <c r="H7" i="2" s="1"/>
  <c r="X6" i="1"/>
  <c r="W6" i="2" s="1"/>
  <c r="L6" i="1"/>
  <c r="X5" i="1"/>
  <c r="Q5" i="2" s="1"/>
  <c r="L5" i="1"/>
  <c r="G5" i="2" s="1"/>
  <c r="X4" i="1"/>
  <c r="R4" i="2" s="1"/>
  <c r="L4" i="1"/>
  <c r="D4" i="2" s="1"/>
  <c r="AF55" i="5" l="1"/>
  <c r="AE55" i="5"/>
  <c r="AA55" i="5"/>
  <c r="AD55" i="5"/>
  <c r="Y55" i="5"/>
  <c r="X55" i="5"/>
  <c r="J92" i="5"/>
  <c r="B92" i="5"/>
  <c r="Q37" i="5"/>
  <c r="AU19" i="4"/>
  <c r="AM19" i="4"/>
  <c r="AO19" i="4"/>
  <c r="AU20" i="4"/>
  <c r="AL19" i="4"/>
  <c r="AI92" i="3"/>
  <c r="AA92" i="3"/>
  <c r="W19" i="4"/>
  <c r="T19" i="4"/>
  <c r="P19" i="3"/>
  <c r="AF92" i="5"/>
  <c r="AC92" i="5"/>
  <c r="AD92" i="5"/>
  <c r="AA92" i="5"/>
  <c r="Y92" i="5"/>
  <c r="Z92" i="5"/>
  <c r="AE92" i="5"/>
  <c r="AB92" i="5"/>
  <c r="X92" i="5"/>
  <c r="AU39" i="4"/>
  <c r="AU40" i="4"/>
  <c r="AO39" i="4"/>
  <c r="AN39" i="4"/>
  <c r="AM39" i="4"/>
  <c r="AL39" i="4"/>
  <c r="W79" i="4"/>
  <c r="T79" i="4"/>
  <c r="AI37" i="3"/>
  <c r="AA37" i="3"/>
  <c r="T19" i="3"/>
  <c r="C73" i="5"/>
  <c r="B73" i="5"/>
  <c r="J73" i="5"/>
  <c r="AF99" i="6"/>
  <c r="AA99" i="6"/>
  <c r="AC99" i="6"/>
  <c r="AB99" i="6"/>
  <c r="Z99" i="6"/>
  <c r="X99" i="6"/>
  <c r="AF20" i="6"/>
  <c r="AU99" i="4"/>
  <c r="AN99" i="4"/>
  <c r="AO99" i="4"/>
  <c r="AM99" i="4"/>
  <c r="AL99" i="4"/>
  <c r="W39" i="4"/>
  <c r="Z55" i="3"/>
  <c r="U39" i="6"/>
  <c r="O39" i="6"/>
  <c r="N39" i="6"/>
  <c r="U40" i="6"/>
  <c r="M39" i="6"/>
  <c r="AU59" i="4"/>
  <c r="AU60" i="4"/>
  <c r="AO59" i="4"/>
  <c r="AN59" i="4"/>
  <c r="AM59" i="4"/>
  <c r="AL59" i="4"/>
  <c r="Z55" i="5"/>
  <c r="AU73" i="3"/>
  <c r="AT73" i="3"/>
  <c r="AH55" i="3"/>
  <c r="J55" i="5"/>
  <c r="B55" i="5"/>
  <c r="S19" i="3"/>
  <c r="K73" i="3"/>
  <c r="G73" i="3"/>
  <c r="D73" i="3"/>
  <c r="C73" i="3"/>
  <c r="E73" i="3"/>
  <c r="B73" i="3"/>
  <c r="AU79" i="4"/>
  <c r="AN79" i="4"/>
  <c r="AL79" i="4"/>
  <c r="AU80" i="4"/>
  <c r="AO79" i="4"/>
  <c r="AM79" i="4"/>
  <c r="N92" i="5"/>
  <c r="AF59" i="6"/>
  <c r="AC59" i="6"/>
  <c r="AB59" i="6"/>
  <c r="AF60" i="6"/>
  <c r="AA59" i="6"/>
  <c r="Y59" i="6"/>
  <c r="Z59" i="6"/>
  <c r="X59" i="6"/>
  <c r="AH73" i="3"/>
  <c r="U19" i="3"/>
  <c r="AR73" i="3"/>
  <c r="W59" i="4"/>
  <c r="AB55" i="5"/>
  <c r="B37" i="5"/>
  <c r="J37" i="5"/>
  <c r="AI55" i="3"/>
  <c r="AD55" i="3"/>
  <c r="AC55" i="3"/>
  <c r="AB55" i="3"/>
  <c r="AN19" i="4"/>
  <c r="AF37" i="5"/>
  <c r="Y37" i="5"/>
  <c r="X37" i="5"/>
  <c r="AA37" i="5"/>
  <c r="AD37" i="5"/>
  <c r="AE37" i="5"/>
  <c r="AB37" i="5"/>
  <c r="AC37" i="5"/>
  <c r="I99" i="6"/>
  <c r="W54" i="3"/>
  <c r="AG55" i="3"/>
  <c r="N59" i="4"/>
  <c r="N60" i="4"/>
  <c r="R19" i="2"/>
  <c r="P19" i="2"/>
  <c r="O19" i="2"/>
  <c r="S19" i="2"/>
  <c r="Q19" i="2"/>
  <c r="W19" i="2"/>
  <c r="AP37" i="3"/>
  <c r="K36" i="3"/>
  <c r="K37" i="3" s="1"/>
  <c r="AF37" i="3"/>
  <c r="N73" i="3"/>
  <c r="T20" i="4"/>
  <c r="AA80" i="4"/>
  <c r="W98" i="4"/>
  <c r="W99" i="4" s="1"/>
  <c r="AF18" i="5"/>
  <c r="E37" i="5"/>
  <c r="AJ37" i="5"/>
  <c r="AQ54" i="5"/>
  <c r="AF72" i="5"/>
  <c r="D73" i="5"/>
  <c r="E92" i="5"/>
  <c r="AJ92" i="5"/>
  <c r="Q39" i="6"/>
  <c r="Q40" i="6"/>
  <c r="AJ60" i="6"/>
  <c r="Z79" i="6"/>
  <c r="Z80" i="6"/>
  <c r="O19" i="3"/>
  <c r="AG37" i="3"/>
  <c r="O73" i="3"/>
  <c r="AS73" i="3"/>
  <c r="U19" i="4"/>
  <c r="U20" i="4"/>
  <c r="AB80" i="4"/>
  <c r="AL19" i="5"/>
  <c r="F37" i="5"/>
  <c r="AK37" i="5"/>
  <c r="F55" i="5"/>
  <c r="AK55" i="5"/>
  <c r="F92" i="5"/>
  <c r="AK92" i="5"/>
  <c r="J19" i="6"/>
  <c r="J20" i="6"/>
  <c r="AI19" i="6"/>
  <c r="R39" i="6"/>
  <c r="R40" i="6"/>
  <c r="AQ58" i="6"/>
  <c r="AK59" i="6" s="1"/>
  <c r="E59" i="6"/>
  <c r="AK60" i="6"/>
  <c r="AA79" i="6"/>
  <c r="AA80" i="6"/>
  <c r="T40" i="4"/>
  <c r="T39" i="4"/>
  <c r="AS19" i="3"/>
  <c r="O39" i="4"/>
  <c r="O40" i="4"/>
  <c r="AR39" i="4"/>
  <c r="AR40" i="4"/>
  <c r="G37" i="5"/>
  <c r="AL37" i="5"/>
  <c r="G55" i="5"/>
  <c r="AL55" i="5"/>
  <c r="AL92" i="5"/>
  <c r="S39" i="6"/>
  <c r="F59" i="6"/>
  <c r="AB79" i="6"/>
  <c r="J19" i="2"/>
  <c r="I19" i="2"/>
  <c r="K19" i="2"/>
  <c r="H19" i="2"/>
  <c r="G19" i="2"/>
  <c r="E19" i="2"/>
  <c r="U73" i="3"/>
  <c r="AQ59" i="4"/>
  <c r="AQ60" i="4"/>
  <c r="V19" i="3"/>
  <c r="C19" i="2"/>
  <c r="V20" i="4"/>
  <c r="V19" i="4"/>
  <c r="G92" i="5"/>
  <c r="D19" i="2"/>
  <c r="Q19" i="3"/>
  <c r="AU36" i="3"/>
  <c r="AM37" i="3" s="1"/>
  <c r="P39" i="4"/>
  <c r="P40" i="4"/>
  <c r="AS39" i="4"/>
  <c r="H37" i="5"/>
  <c r="AM37" i="5"/>
  <c r="H92" i="5"/>
  <c r="AM92" i="5"/>
  <c r="AF19" i="6"/>
  <c r="AC19" i="6"/>
  <c r="AB19" i="6"/>
  <c r="AA19" i="6"/>
  <c r="D19" i="6"/>
  <c r="T39" i="6"/>
  <c r="AC79" i="6"/>
  <c r="F19" i="2"/>
  <c r="R19" i="3"/>
  <c r="R73" i="3"/>
  <c r="Z20" i="4"/>
  <c r="Q39" i="4"/>
  <c r="AT39" i="4"/>
  <c r="K80" i="4"/>
  <c r="K79" i="4"/>
  <c r="G79" i="4"/>
  <c r="I37" i="5"/>
  <c r="AN73" i="5"/>
  <c r="I92" i="5"/>
  <c r="AN92" i="5"/>
  <c r="X39" i="6"/>
  <c r="AN60" i="6"/>
  <c r="Y99" i="6"/>
  <c r="AA20" i="4"/>
  <c r="R39" i="4"/>
  <c r="R40" i="4"/>
  <c r="AO37" i="5"/>
  <c r="AO55" i="5"/>
  <c r="I73" i="5"/>
  <c r="AO73" i="5"/>
  <c r="AO92" i="5"/>
  <c r="I59" i="6"/>
  <c r="S73" i="3"/>
  <c r="H37" i="3"/>
  <c r="J55" i="3"/>
  <c r="I55" i="3"/>
  <c r="H55" i="3"/>
  <c r="B55" i="3"/>
  <c r="T73" i="3"/>
  <c r="AB20" i="4"/>
  <c r="AB19" i="4"/>
  <c r="S39" i="4"/>
  <c r="S40" i="4"/>
  <c r="AQ19" i="5"/>
  <c r="AN19" i="5"/>
  <c r="AP19" i="5"/>
  <c r="AP55" i="5"/>
  <c r="J80" i="6"/>
  <c r="G79" i="6"/>
  <c r="F79" i="6"/>
  <c r="D79" i="6"/>
  <c r="C79" i="6"/>
  <c r="AF80" i="6"/>
  <c r="K18" i="4"/>
  <c r="B19" i="4" s="1"/>
  <c r="AE20" i="4"/>
  <c r="AS59" i="4"/>
  <c r="AQ78" i="6"/>
  <c r="V26" i="2"/>
  <c r="T26" i="2"/>
  <c r="S26" i="2"/>
  <c r="O26" i="2"/>
  <c r="R26" i="2"/>
  <c r="P26" i="2"/>
  <c r="Q26" i="2"/>
  <c r="U26" i="2"/>
  <c r="I19" i="6"/>
  <c r="AE99" i="6"/>
  <c r="H27" i="2"/>
  <c r="E27" i="2"/>
  <c r="G27" i="2"/>
  <c r="F27" i="2"/>
  <c r="C27" i="2"/>
  <c r="D26" i="2"/>
  <c r="X40" i="2"/>
  <c r="AA19" i="3"/>
  <c r="G55" i="3"/>
  <c r="H92" i="3"/>
  <c r="Z40" i="4"/>
  <c r="R59" i="4"/>
  <c r="R60" i="4"/>
  <c r="U99" i="6"/>
  <c r="T99" i="6"/>
  <c r="R99" i="6"/>
  <c r="Q99" i="6"/>
  <c r="C99" i="6"/>
  <c r="E55" i="3"/>
  <c r="H19" i="6"/>
  <c r="AB39" i="6"/>
  <c r="AT59" i="4"/>
  <c r="AT60" i="4"/>
  <c r="AP79" i="4"/>
  <c r="AP80" i="4"/>
  <c r="W28" i="2"/>
  <c r="U28" i="2"/>
  <c r="R28" i="2"/>
  <c r="T28" i="2"/>
  <c r="X28" i="2" s="1"/>
  <c r="S28" i="2"/>
  <c r="P28" i="2"/>
  <c r="Q28" i="2"/>
  <c r="K92" i="3"/>
  <c r="AC40" i="4"/>
  <c r="U59" i="4"/>
  <c r="AR79" i="4"/>
  <c r="V28" i="2"/>
  <c r="AS79" i="4"/>
  <c r="AS80" i="4"/>
  <c r="Y60" i="6"/>
  <c r="AT79" i="4"/>
  <c r="AT80" i="4"/>
  <c r="J30" i="2"/>
  <c r="I30" i="2"/>
  <c r="E30" i="2"/>
  <c r="L30" i="2" s="1"/>
  <c r="H30" i="2"/>
  <c r="F30" i="2"/>
  <c r="G30" i="2"/>
  <c r="K30" i="2"/>
  <c r="B20" i="4"/>
  <c r="Z60" i="4"/>
  <c r="Z37" i="3"/>
  <c r="AT55" i="3"/>
  <c r="F73" i="3"/>
  <c r="AL73" i="3"/>
  <c r="AI38" i="4"/>
  <c r="AD39" i="4" s="1"/>
  <c r="S79" i="4"/>
  <c r="S80" i="4"/>
  <c r="B79" i="4"/>
  <c r="AP99" i="4"/>
  <c r="Z40" i="6"/>
  <c r="C60" i="6"/>
  <c r="Q80" i="6"/>
  <c r="Y79" i="6"/>
  <c r="AO99" i="6"/>
  <c r="W27" i="2"/>
  <c r="V27" i="2"/>
  <c r="U27" i="2"/>
  <c r="T27" i="2"/>
  <c r="S27" i="2"/>
  <c r="X27" i="2" s="1"/>
  <c r="E26" i="2"/>
  <c r="J79" i="4"/>
  <c r="AQ79" i="4"/>
  <c r="AI40" i="6"/>
  <c r="S40" i="6"/>
  <c r="AJ99" i="6"/>
  <c r="L37" i="2"/>
  <c r="F99" i="6"/>
  <c r="P4" i="2"/>
  <c r="H26" i="2"/>
  <c r="P79" i="4"/>
  <c r="P80" i="4"/>
  <c r="AL99" i="6"/>
  <c r="K26" i="2"/>
  <c r="AB92" i="3"/>
  <c r="Z73" i="5"/>
  <c r="X79" i="6"/>
  <c r="R37" i="3"/>
  <c r="U4" i="2"/>
  <c r="W26" i="2"/>
  <c r="K29" i="2"/>
  <c r="K18" i="3"/>
  <c r="H19" i="3" s="1"/>
  <c r="S37" i="3"/>
  <c r="R55" i="3"/>
  <c r="AM73" i="3"/>
  <c r="AB60" i="4"/>
  <c r="C79" i="4"/>
  <c r="J80" i="4"/>
  <c r="J99" i="4"/>
  <c r="J60" i="4"/>
  <c r="J40" i="4"/>
  <c r="AQ99" i="4"/>
  <c r="AC19" i="5"/>
  <c r="AC55" i="5"/>
  <c r="AP92" i="5"/>
  <c r="Z19" i="6"/>
  <c r="I40" i="6"/>
  <c r="AA40" i="6"/>
  <c r="E60" i="6"/>
  <c r="U78" i="6"/>
  <c r="AD79" i="6"/>
  <c r="M99" i="6"/>
  <c r="AP99" i="6"/>
  <c r="J18" i="2"/>
  <c r="I18" i="2"/>
  <c r="H18" i="2"/>
  <c r="G18" i="2"/>
  <c r="F18" i="2"/>
  <c r="E18" i="2"/>
  <c r="AU54" i="3"/>
  <c r="P59" i="4"/>
  <c r="AA40" i="4"/>
  <c r="J38" i="6"/>
  <c r="B40" i="6"/>
  <c r="AE40" i="6"/>
  <c r="N79" i="4"/>
  <c r="N80" i="4"/>
  <c r="T40" i="6"/>
  <c r="AK99" i="6"/>
  <c r="E79" i="6"/>
  <c r="Q79" i="4"/>
  <c r="Q80" i="4"/>
  <c r="Z19" i="5"/>
  <c r="H99" i="6"/>
  <c r="R79" i="4"/>
  <c r="R80" i="4"/>
  <c r="J37" i="2"/>
  <c r="K37" i="2"/>
  <c r="I37" i="2"/>
  <c r="G7" i="2"/>
  <c r="R7" i="2"/>
  <c r="P7" i="2"/>
  <c r="O7" i="2"/>
  <c r="R37" i="2"/>
  <c r="P37" i="2"/>
  <c r="O37" i="2"/>
  <c r="V37" i="2"/>
  <c r="Q37" i="2"/>
  <c r="S37" i="2"/>
  <c r="AM19" i="3"/>
  <c r="AB37" i="3"/>
  <c r="T37" i="3"/>
  <c r="AI72" i="3"/>
  <c r="H73" i="3"/>
  <c r="AN73" i="3"/>
  <c r="P19" i="4"/>
  <c r="P20" i="4"/>
  <c r="AS19" i="4"/>
  <c r="AS20" i="4"/>
  <c r="AS40" i="4"/>
  <c r="AC60" i="4"/>
  <c r="AC59" i="4"/>
  <c r="U79" i="4"/>
  <c r="D79" i="4"/>
  <c r="N20" i="4"/>
  <c r="AR99" i="4"/>
  <c r="AD19" i="5"/>
  <c r="AL19" i="6"/>
  <c r="AD59" i="6"/>
  <c r="AD60" i="6"/>
  <c r="F60" i="6"/>
  <c r="AE79" i="6"/>
  <c r="AD20" i="4"/>
  <c r="U39" i="4"/>
  <c r="U40" i="4"/>
  <c r="O59" i="4"/>
  <c r="O60" i="4"/>
  <c r="AR59" i="4"/>
  <c r="O37" i="5"/>
  <c r="O55" i="5"/>
  <c r="J92" i="3"/>
  <c r="I79" i="6"/>
  <c r="C18" i="2"/>
  <c r="H29" i="2"/>
  <c r="F29" i="2"/>
  <c r="E29" i="2"/>
  <c r="D29" i="2"/>
  <c r="C29" i="2"/>
  <c r="L29" i="2" s="1"/>
  <c r="U60" i="4"/>
  <c r="Q4" i="2"/>
  <c r="J26" i="2"/>
  <c r="P37" i="3"/>
  <c r="Z37" i="5"/>
  <c r="AM99" i="6"/>
  <c r="I29" i="2"/>
  <c r="K7" i="2"/>
  <c r="J7" i="2"/>
  <c r="I7" i="2"/>
  <c r="C7" i="2"/>
  <c r="O5" i="2"/>
  <c r="Q7" i="2"/>
  <c r="D27" i="2"/>
  <c r="O29" i="2"/>
  <c r="T37" i="2"/>
  <c r="AI18" i="3"/>
  <c r="AH19" i="3" s="1"/>
  <c r="AC37" i="3"/>
  <c r="U37" i="3"/>
  <c r="I73" i="3"/>
  <c r="AO73" i="3"/>
  <c r="W91" i="3"/>
  <c r="N92" i="3" s="1"/>
  <c r="C92" i="3"/>
  <c r="AF92" i="3"/>
  <c r="Q19" i="4"/>
  <c r="Q20" i="4"/>
  <c r="AT19" i="4"/>
  <c r="AT40" i="4"/>
  <c r="V80" i="4"/>
  <c r="V79" i="4"/>
  <c r="E79" i="4"/>
  <c r="AS99" i="4"/>
  <c r="AD73" i="5"/>
  <c r="AM40" i="6"/>
  <c r="AE59" i="6"/>
  <c r="AE60" i="6"/>
  <c r="I60" i="6"/>
  <c r="AF79" i="6"/>
  <c r="O99" i="6"/>
  <c r="P99" i="6"/>
  <c r="V40" i="4"/>
  <c r="V39" i="4"/>
  <c r="P37" i="5"/>
  <c r="P92" i="5"/>
  <c r="AD99" i="6"/>
  <c r="C26" i="2"/>
  <c r="AR37" i="3"/>
  <c r="Q59" i="4"/>
  <c r="Q60" i="4"/>
  <c r="H79" i="6"/>
  <c r="F26" i="2"/>
  <c r="W4" i="2"/>
  <c r="V4" i="2"/>
  <c r="S4" i="2"/>
  <c r="O4" i="2"/>
  <c r="G26" i="2"/>
  <c r="O79" i="4"/>
  <c r="D18" i="2"/>
  <c r="Z92" i="3"/>
  <c r="V60" i="4"/>
  <c r="J79" i="6"/>
  <c r="X18" i="2"/>
  <c r="AN99" i="6"/>
  <c r="T4" i="2"/>
  <c r="J29" i="2"/>
  <c r="V8" i="2"/>
  <c r="T8" i="2"/>
  <c r="S8" i="2"/>
  <c r="P8" i="2"/>
  <c r="R8" i="2"/>
  <c r="Q8" i="2"/>
  <c r="O8" i="2"/>
  <c r="X8" i="2" s="1"/>
  <c r="W8" i="2"/>
  <c r="U8" i="2"/>
  <c r="V38" i="2"/>
  <c r="T38" i="2"/>
  <c r="O38" i="2"/>
  <c r="S38" i="2"/>
  <c r="R38" i="2"/>
  <c r="Q38" i="2"/>
  <c r="P38" i="2"/>
  <c r="P5" i="2"/>
  <c r="I27" i="2"/>
  <c r="P29" i="2"/>
  <c r="AD37" i="3"/>
  <c r="U55" i="3"/>
  <c r="K55" i="3"/>
  <c r="J73" i="3"/>
  <c r="AP73" i="3"/>
  <c r="R19" i="4"/>
  <c r="F79" i="4"/>
  <c r="U80" i="4"/>
  <c r="P99" i="4"/>
  <c r="AT99" i="4"/>
  <c r="J18" i="5"/>
  <c r="E19" i="5" s="1"/>
  <c r="AI19" i="5"/>
  <c r="U36" i="5"/>
  <c r="C37" i="5"/>
  <c r="U54" i="5"/>
  <c r="C55" i="5"/>
  <c r="AE73" i="5"/>
  <c r="U91" i="5"/>
  <c r="C92" i="5"/>
  <c r="D20" i="6"/>
  <c r="J58" i="6"/>
  <c r="C59" i="6" s="1"/>
  <c r="B59" i="6"/>
  <c r="S99" i="6"/>
  <c r="O92" i="5"/>
  <c r="B99" i="6"/>
  <c r="S59" i="4"/>
  <c r="S60" i="4"/>
  <c r="D99" i="6"/>
  <c r="D28" i="2"/>
  <c r="L28" i="2" s="1"/>
  <c r="K28" i="2"/>
  <c r="G28" i="2"/>
  <c r="T60" i="4"/>
  <c r="T59" i="4"/>
  <c r="AI98" i="4"/>
  <c r="AA99" i="4" s="1"/>
  <c r="E99" i="6"/>
  <c r="B79" i="6"/>
  <c r="H5" i="2"/>
  <c r="F5" i="2"/>
  <c r="E5" i="2"/>
  <c r="D5" i="2"/>
  <c r="C5" i="2"/>
  <c r="K5" i="2"/>
  <c r="I5" i="2"/>
  <c r="J5" i="2"/>
  <c r="G99" i="6"/>
  <c r="AD60" i="4"/>
  <c r="F40" i="6"/>
  <c r="J6" i="2"/>
  <c r="I6" i="2"/>
  <c r="E6" i="2"/>
  <c r="L6" i="2" s="1"/>
  <c r="H6" i="2"/>
  <c r="F6" i="2"/>
  <c r="G6" i="2"/>
  <c r="AC92" i="3"/>
  <c r="V37" i="3"/>
  <c r="T7" i="2"/>
  <c r="J27" i="2"/>
  <c r="Q29" i="2"/>
  <c r="W37" i="2"/>
  <c r="AE37" i="3"/>
  <c r="W72" i="3"/>
  <c r="AQ73" i="3"/>
  <c r="AH92" i="3"/>
  <c r="S19" i="4"/>
  <c r="S20" i="4"/>
  <c r="H79" i="4"/>
  <c r="D37" i="5"/>
  <c r="AI37" i="5"/>
  <c r="D55" i="5"/>
  <c r="AI55" i="5"/>
  <c r="AI73" i="5"/>
  <c r="D92" i="5"/>
  <c r="AI92" i="5"/>
  <c r="AD19" i="6"/>
  <c r="G20" i="6"/>
  <c r="U60" i="6"/>
  <c r="R59" i="6"/>
  <c r="Q59" i="6"/>
  <c r="P59" i="6"/>
  <c r="AI60" i="6"/>
  <c r="Y80" i="6"/>
  <c r="Q73" i="3"/>
  <c r="AB40" i="4"/>
  <c r="AA60" i="4"/>
  <c r="Z80" i="4"/>
  <c r="E55" i="5"/>
  <c r="AJ55" i="5"/>
  <c r="M92" i="5"/>
  <c r="AD40" i="6"/>
  <c r="D59" i="6"/>
  <c r="AI59" i="6"/>
  <c r="D60" i="6"/>
  <c r="F80" i="6"/>
  <c r="N99" i="6"/>
  <c r="S55" i="3"/>
  <c r="AD92" i="3"/>
  <c r="K38" i="4"/>
  <c r="H55" i="5"/>
  <c r="AM55" i="5"/>
  <c r="B19" i="6"/>
  <c r="AE19" i="6"/>
  <c r="B20" i="6"/>
  <c r="AF38" i="6"/>
  <c r="D40" i="6"/>
  <c r="AJ40" i="6"/>
  <c r="G60" i="6"/>
  <c r="Q6" i="2"/>
  <c r="F8" i="2"/>
  <c r="L8" i="2" s="1"/>
  <c r="T55" i="3"/>
  <c r="B92" i="3"/>
  <c r="AE92" i="3"/>
  <c r="AI18" i="4"/>
  <c r="AE19" i="4" s="1"/>
  <c r="K58" i="4"/>
  <c r="AE60" i="4"/>
  <c r="U18" i="5"/>
  <c r="Q19" i="5" s="1"/>
  <c r="I55" i="5"/>
  <c r="U18" i="6"/>
  <c r="O19" i="6" s="1"/>
  <c r="C19" i="6"/>
  <c r="C20" i="6"/>
  <c r="AQ38" i="6"/>
  <c r="AL39" i="6" s="1"/>
  <c r="E40" i="6"/>
  <c r="AK40" i="6"/>
  <c r="D92" i="3"/>
  <c r="AG92" i="3"/>
  <c r="AI58" i="4"/>
  <c r="AD59" i="4" s="1"/>
  <c r="K98" i="4"/>
  <c r="AJ19" i="5"/>
  <c r="AQ18" i="6"/>
  <c r="AJ19" i="6" s="1"/>
  <c r="E19" i="6"/>
  <c r="E20" i="6"/>
  <c r="G40" i="6"/>
  <c r="T6" i="2"/>
  <c r="X6" i="2" s="1"/>
  <c r="C38" i="2"/>
  <c r="AL19" i="3"/>
  <c r="AU91" i="3"/>
  <c r="AR92" i="3" s="1"/>
  <c r="E92" i="3"/>
  <c r="AI78" i="4"/>
  <c r="AD79" i="4" s="1"/>
  <c r="AK19" i="5"/>
  <c r="U72" i="5"/>
  <c r="M73" i="5" s="1"/>
  <c r="F19" i="6"/>
  <c r="AK19" i="6"/>
  <c r="F20" i="6"/>
  <c r="AN40" i="6"/>
  <c r="M59" i="6"/>
  <c r="M60" i="6"/>
  <c r="P79" i="6"/>
  <c r="O59" i="6"/>
  <c r="R79" i="6"/>
  <c r="AM19" i="5"/>
  <c r="AJ73" i="5"/>
  <c r="Q30" i="2"/>
  <c r="F38" i="2"/>
  <c r="AO19" i="3"/>
  <c r="AP19" i="4"/>
  <c r="F73" i="5"/>
  <c r="AK73" i="5"/>
  <c r="AN19" i="6"/>
  <c r="S79" i="6"/>
  <c r="AA55" i="3"/>
  <c r="G92" i="3"/>
  <c r="E73" i="5"/>
  <c r="R30" i="2"/>
  <c r="X30" i="2" s="1"/>
  <c r="AP19" i="3"/>
  <c r="N19" i="4"/>
  <c r="AQ19" i="4"/>
  <c r="AP39" i="4"/>
  <c r="AO19" i="5"/>
  <c r="G73" i="5"/>
  <c r="AL73" i="5"/>
  <c r="AO19" i="6"/>
  <c r="T79" i="6"/>
  <c r="AN19" i="3"/>
  <c r="G38" i="2"/>
  <c r="N19" i="3"/>
  <c r="AQ19" i="3"/>
  <c r="O19" i="4"/>
  <c r="AR19" i="4"/>
  <c r="N39" i="4"/>
  <c r="AQ39" i="4"/>
  <c r="AP59" i="4"/>
  <c r="AE59" i="4"/>
  <c r="M19" i="5"/>
  <c r="H73" i="5"/>
  <c r="AM73" i="5"/>
  <c r="AP19" i="6"/>
  <c r="M20" i="6"/>
  <c r="P39" i="6"/>
  <c r="N20" i="6"/>
  <c r="AP20" i="6"/>
  <c r="AB40" i="6"/>
  <c r="N60" i="6"/>
  <c r="AP60" i="6"/>
  <c r="AB80" i="6"/>
  <c r="O20" i="6"/>
  <c r="AC40" i="6"/>
  <c r="O60" i="6"/>
  <c r="AC80" i="6"/>
  <c r="U15" i="2"/>
  <c r="X15" i="2" s="1"/>
  <c r="C17" i="2"/>
  <c r="U39" i="2"/>
  <c r="X39" i="2" s="1"/>
  <c r="C41" i="2"/>
  <c r="T15" i="2"/>
  <c r="V15" i="2"/>
  <c r="D17" i="2"/>
  <c r="V39" i="2"/>
  <c r="D41" i="2"/>
  <c r="E17" i="2"/>
  <c r="W39" i="2"/>
  <c r="E41" i="2"/>
  <c r="AE79" i="4" l="1"/>
  <c r="L17" i="2"/>
  <c r="I19" i="5"/>
  <c r="AO59" i="6"/>
  <c r="N55" i="5"/>
  <c r="U55" i="5"/>
  <c r="P55" i="5"/>
  <c r="T55" i="5"/>
  <c r="S55" i="5"/>
  <c r="R55" i="5"/>
  <c r="Q55" i="5"/>
  <c r="S99" i="4"/>
  <c r="D19" i="5"/>
  <c r="W55" i="3"/>
  <c r="N55" i="3"/>
  <c r="Q55" i="3"/>
  <c r="P55" i="3"/>
  <c r="O55" i="3"/>
  <c r="P19" i="5"/>
  <c r="AP59" i="6"/>
  <c r="I99" i="4"/>
  <c r="F99" i="4"/>
  <c r="K99" i="4"/>
  <c r="H99" i="4"/>
  <c r="G99" i="4"/>
  <c r="E99" i="4"/>
  <c r="D99" i="4"/>
  <c r="C99" i="4"/>
  <c r="B99" i="4"/>
  <c r="AF40" i="6"/>
  <c r="AF39" i="6"/>
  <c r="AD39" i="6"/>
  <c r="Y39" i="6"/>
  <c r="AE39" i="6"/>
  <c r="D37" i="3"/>
  <c r="AB79" i="4"/>
  <c r="AF19" i="5"/>
  <c r="AA19" i="5"/>
  <c r="AE19" i="5"/>
  <c r="X19" i="5"/>
  <c r="AB19" i="5"/>
  <c r="Y19" i="5"/>
  <c r="AN37" i="3"/>
  <c r="AS92" i="3"/>
  <c r="M19" i="6"/>
  <c r="AG59" i="4"/>
  <c r="AF59" i="4"/>
  <c r="AA59" i="4"/>
  <c r="AI60" i="4"/>
  <c r="AI59" i="4"/>
  <c r="AH59" i="4"/>
  <c r="U37" i="5"/>
  <c r="S37" i="5"/>
  <c r="R37" i="5"/>
  <c r="T37" i="5"/>
  <c r="X26" i="2"/>
  <c r="AN59" i="6"/>
  <c r="R99" i="4"/>
  <c r="AO37" i="3"/>
  <c r="AQ92" i="3"/>
  <c r="Z19" i="3"/>
  <c r="J40" i="6"/>
  <c r="D39" i="6"/>
  <c r="C39" i="6"/>
  <c r="B39" i="6"/>
  <c r="G39" i="6"/>
  <c r="F39" i="6"/>
  <c r="E39" i="6"/>
  <c r="J39" i="6"/>
  <c r="I39" i="6"/>
  <c r="H39" i="6"/>
  <c r="AF39" i="4"/>
  <c r="AI40" i="4"/>
  <c r="AI39" i="4"/>
  <c r="AH39" i="4"/>
  <c r="AG39" i="4"/>
  <c r="AB39" i="4"/>
  <c r="AC39" i="4"/>
  <c r="AA79" i="4"/>
  <c r="AP92" i="3"/>
  <c r="X37" i="2"/>
  <c r="AA39" i="4"/>
  <c r="Z39" i="4"/>
  <c r="I37" i="3"/>
  <c r="AL92" i="3"/>
  <c r="W40" i="4"/>
  <c r="W20" i="4"/>
  <c r="AQ80" i="6"/>
  <c r="AO79" i="6"/>
  <c r="AQ79" i="6"/>
  <c r="AP79" i="6"/>
  <c r="AN79" i="6"/>
  <c r="AJ79" i="6"/>
  <c r="AI79" i="6"/>
  <c r="AM79" i="6"/>
  <c r="AL79" i="6"/>
  <c r="AK79" i="6"/>
  <c r="K40" i="4"/>
  <c r="I39" i="4"/>
  <c r="H39" i="4"/>
  <c r="F39" i="4"/>
  <c r="J39" i="4"/>
  <c r="D39" i="4"/>
  <c r="K39" i="4"/>
  <c r="E39" i="4"/>
  <c r="G39" i="4"/>
  <c r="B39" i="4"/>
  <c r="C39" i="4"/>
  <c r="W80" i="4"/>
  <c r="AH99" i="4"/>
  <c r="AI99" i="4"/>
  <c r="AF99" i="4"/>
  <c r="AD99" i="4"/>
  <c r="AG99" i="4"/>
  <c r="AE99" i="4"/>
  <c r="X7" i="2"/>
  <c r="N19" i="5"/>
  <c r="J19" i="5"/>
  <c r="B19" i="5"/>
  <c r="C19" i="5"/>
  <c r="U73" i="5"/>
  <c r="R73" i="5"/>
  <c r="T73" i="5"/>
  <c r="S73" i="5"/>
  <c r="AQ40" i="6"/>
  <c r="AQ39" i="6"/>
  <c r="AP39" i="6"/>
  <c r="AO39" i="6"/>
  <c r="AN39" i="6"/>
  <c r="AK39" i="6"/>
  <c r="AJ39" i="6"/>
  <c r="AI39" i="6"/>
  <c r="AM39" i="6"/>
  <c r="V92" i="3"/>
  <c r="U92" i="3"/>
  <c r="S92" i="3"/>
  <c r="R92" i="3"/>
  <c r="W92" i="3"/>
  <c r="T92" i="3"/>
  <c r="AU55" i="3"/>
  <c r="AS55" i="3"/>
  <c r="AP55" i="3"/>
  <c r="AM55" i="3"/>
  <c r="AL55" i="3"/>
  <c r="AO55" i="3"/>
  <c r="AQ55" i="3"/>
  <c r="AN55" i="3"/>
  <c r="Z19" i="4"/>
  <c r="V99" i="4"/>
  <c r="G19" i="5"/>
  <c r="L41" i="2"/>
  <c r="F19" i="5"/>
  <c r="N99" i="4"/>
  <c r="AB59" i="4"/>
  <c r="Z59" i="4"/>
  <c r="AS37" i="3"/>
  <c r="U99" i="4"/>
  <c r="C37" i="3"/>
  <c r="B37" i="3"/>
  <c r="O73" i="5"/>
  <c r="K20" i="4"/>
  <c r="J19" i="4"/>
  <c r="I19" i="4"/>
  <c r="H19" i="4"/>
  <c r="G19" i="4"/>
  <c r="K19" i="4"/>
  <c r="F19" i="4"/>
  <c r="E19" i="4"/>
  <c r="D19" i="4"/>
  <c r="C19" i="4"/>
  <c r="AQ59" i="6"/>
  <c r="AQ60" i="6"/>
  <c r="AM59" i="6"/>
  <c r="AL59" i="6"/>
  <c r="P92" i="3"/>
  <c r="AO92" i="3"/>
  <c r="AN92" i="3"/>
  <c r="AM92" i="3"/>
  <c r="AU92" i="3"/>
  <c r="AT92" i="3"/>
  <c r="U19" i="5"/>
  <c r="S19" i="5"/>
  <c r="R19" i="5"/>
  <c r="T19" i="5"/>
  <c r="L18" i="2"/>
  <c r="AA39" i="6"/>
  <c r="J37" i="3"/>
  <c r="N37" i="5"/>
  <c r="AJ59" i="6"/>
  <c r="AF19" i="3"/>
  <c r="AC19" i="3"/>
  <c r="AE19" i="3"/>
  <c r="AD19" i="3"/>
  <c r="AG19" i="3"/>
  <c r="AI19" i="3"/>
  <c r="AB19" i="3"/>
  <c r="Q92" i="3"/>
  <c r="L26" i="2"/>
  <c r="K59" i="4"/>
  <c r="H59" i="4"/>
  <c r="G59" i="4"/>
  <c r="C59" i="4"/>
  <c r="B59" i="4"/>
  <c r="F59" i="4"/>
  <c r="I59" i="4"/>
  <c r="K60" i="4"/>
  <c r="J59" i="4"/>
  <c r="E59" i="4"/>
  <c r="D59" i="4"/>
  <c r="X19" i="2"/>
  <c r="AU37" i="3"/>
  <c r="AT37" i="3"/>
  <c r="AQ37" i="3"/>
  <c r="AL37" i="3"/>
  <c r="U20" i="6"/>
  <c r="U19" i="6"/>
  <c r="S19" i="6"/>
  <c r="Q19" i="6"/>
  <c r="T19" i="6"/>
  <c r="R19" i="6"/>
  <c r="P19" i="6"/>
  <c r="AR55" i="3"/>
  <c r="F37" i="3"/>
  <c r="J59" i="6"/>
  <c r="J60" i="6"/>
  <c r="H59" i="6"/>
  <c r="X5" i="2"/>
  <c r="Q73" i="5"/>
  <c r="L7" i="2"/>
  <c r="U79" i="6"/>
  <c r="M79" i="6"/>
  <c r="O79" i="6"/>
  <c r="N79" i="6"/>
  <c r="U80" i="6"/>
  <c r="AC39" i="6"/>
  <c r="Z99" i="4"/>
  <c r="Z39" i="6"/>
  <c r="L38" i="2"/>
  <c r="K19" i="3"/>
  <c r="F19" i="3"/>
  <c r="G19" i="3"/>
  <c r="C19" i="3"/>
  <c r="B19" i="3"/>
  <c r="D19" i="3"/>
  <c r="E19" i="3"/>
  <c r="Q99" i="4"/>
  <c r="O99" i="4"/>
  <c r="M37" i="5"/>
  <c r="AB99" i="4"/>
  <c r="T99" i="4"/>
  <c r="AF73" i="5"/>
  <c r="AC73" i="5"/>
  <c r="AA73" i="5"/>
  <c r="X73" i="5"/>
  <c r="Y73" i="5"/>
  <c r="AB73" i="5"/>
  <c r="AC99" i="4"/>
  <c r="I19" i="3"/>
  <c r="X4" i="2"/>
  <c r="AQ19" i="6"/>
  <c r="AQ20" i="6"/>
  <c r="AM19" i="6"/>
  <c r="L5" i="2"/>
  <c r="U92" i="5"/>
  <c r="T92" i="5"/>
  <c r="S92" i="5"/>
  <c r="R92" i="5"/>
  <c r="Q92" i="5"/>
  <c r="AI73" i="3"/>
  <c r="AD73" i="3"/>
  <c r="Z73" i="3"/>
  <c r="AC73" i="3"/>
  <c r="AG73" i="3"/>
  <c r="AF73" i="3"/>
  <c r="AE73" i="3"/>
  <c r="AB73" i="3"/>
  <c r="AA73" i="3"/>
  <c r="Q79" i="6"/>
  <c r="N19" i="6"/>
  <c r="AN55" i="5"/>
  <c r="AQ55" i="5"/>
  <c r="W60" i="4"/>
  <c r="AH79" i="4"/>
  <c r="AG79" i="4"/>
  <c r="AF79" i="4"/>
  <c r="AI80" i="4"/>
  <c r="AI79" i="4"/>
  <c r="Z79" i="4"/>
  <c r="L27" i="2"/>
  <c r="H19" i="5"/>
  <c r="J19" i="3"/>
  <c r="AG19" i="4"/>
  <c r="AF19" i="4"/>
  <c r="AI19" i="4"/>
  <c r="AC19" i="4"/>
  <c r="AH19" i="4"/>
  <c r="AI20" i="4"/>
  <c r="X29" i="2"/>
  <c r="E37" i="3"/>
  <c r="AC79" i="4"/>
  <c r="M55" i="5"/>
  <c r="G59" i="6"/>
  <c r="P73" i="3"/>
  <c r="V73" i="3"/>
  <c r="W73" i="3"/>
  <c r="X38" i="2"/>
  <c r="AA19" i="4"/>
  <c r="O92" i="3"/>
  <c r="P73" i="5"/>
  <c r="AE39" i="4"/>
  <c r="G37" i="3"/>
  <c r="V55" i="3"/>
  <c r="AD19" i="4"/>
  <c r="L19" i="2"/>
  <c r="N73" i="5"/>
  <c r="O19" i="5"/>
</calcChain>
</file>

<file path=xl/sharedStrings.xml><?xml version="1.0" encoding="utf-8"?>
<sst xmlns="http://schemas.openxmlformats.org/spreadsheetml/2006/main" count="2876" uniqueCount="69">
  <si>
    <t>2026 transactions Count</t>
  </si>
  <si>
    <t>2026 transactions values</t>
  </si>
  <si>
    <t>Category</t>
  </si>
  <si>
    <t>CDM Payment</t>
  </si>
  <si>
    <t>Cheque payment</t>
  </si>
  <si>
    <t>Card Payment</t>
  </si>
  <si>
    <t>Sobha One</t>
  </si>
  <si>
    <t>Cash payment</t>
  </si>
  <si>
    <t>Wire Transfer Paymment</t>
  </si>
  <si>
    <t>Grand Total</t>
  </si>
  <si>
    <t xml:space="preserve">CDM Cash </t>
  </si>
  <si>
    <t xml:space="preserve">CDM Cheque </t>
  </si>
  <si>
    <t>Cheque</t>
  </si>
  <si>
    <t>Credit Card</t>
  </si>
  <si>
    <t>Website (Payment link)</t>
  </si>
  <si>
    <t>Sobha One App</t>
  </si>
  <si>
    <t>OTC Deposit</t>
  </si>
  <si>
    <t>DWT(Domestic)</t>
  </si>
  <si>
    <t>IWT(International)</t>
  </si>
  <si>
    <t>New sales</t>
  </si>
  <si>
    <t>Registration</t>
  </si>
  <si>
    <t xml:space="preserve">Other charges </t>
  </si>
  <si>
    <t>Due + Advance</t>
  </si>
  <si>
    <t>Total amount</t>
  </si>
  <si>
    <t>2025 transactions Count</t>
  </si>
  <si>
    <t>2025 transactions values</t>
  </si>
  <si>
    <t>2024 transactions Count</t>
  </si>
  <si>
    <t>2024 transactions Values</t>
  </si>
  <si>
    <t>2023 transactions Count</t>
  </si>
  <si>
    <t>2023 transactions values</t>
  </si>
  <si>
    <t>2026 transactions Count%</t>
  </si>
  <si>
    <t>2026 transactions values%</t>
  </si>
  <si>
    <t>2025 transactions Count%</t>
  </si>
  <si>
    <t>2025 transactions values%</t>
  </si>
  <si>
    <t>2024 transactions Count%</t>
  </si>
  <si>
    <t>2024 transactions Values%</t>
  </si>
  <si>
    <t>2023 transactions Count%</t>
  </si>
  <si>
    <t>2023 transactions values%</t>
  </si>
  <si>
    <t xml:space="preserve">Month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</si>
  <si>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</si>
  <si>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</si>
  <si>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</si>
  <si>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</si>
  <si>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</si>
  <si>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</si>
  <si>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</si>
  <si>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</si>
  <si>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</si>
  <si>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</si>
  <si>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</si>
  <si>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</si>
  <si>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% of mode from New sales</t>
  </si>
  <si>
    <t>% of Mode from Registration</t>
  </si>
  <si>
    <t>Other charges</t>
  </si>
  <si>
    <t>% of Mode from Other charges</t>
  </si>
  <si>
    <t xml:space="preserve">% of Mode from Dues+ Advance </t>
  </si>
  <si>
    <t>Total Amount</t>
  </si>
  <si>
    <t xml:space="preserve">% of Mode from Total amount </t>
  </si>
  <si>
    <t>% of mode from New sale</t>
  </si>
  <si>
    <t>% of mode in New sale from Grand total</t>
  </si>
  <si>
    <t>CDM Cheque</t>
  </si>
  <si>
    <t>% of mode from Registration</t>
  </si>
  <si>
    <t>% of mode in Registration from Grand total</t>
  </si>
  <si>
    <t xml:space="preserve">% of mode from Other charges </t>
  </si>
  <si>
    <t>% of mode in Other charges  from Grand total</t>
  </si>
  <si>
    <t>Month</t>
  </si>
  <si>
    <t>% of mode from Due + Advance</t>
  </si>
  <si>
    <t>% of mode in Due + Advance from Grand total</t>
  </si>
  <si>
    <t>% of mode from 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</si>
</sst>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,,&quot;M&quot;"/>
    <numFmt numFmtId="166" formatCode="0,,&quot;M&quot;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2" tint="-0.249977111117893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0" fontId="2" fillId="3" borderId="3" xfId="0" applyFont="1" applyFill="1" applyBorder="1" applyAlignment="1">
      <alignment horizontal="center" vertical="top"/>
    </xf>
    <xf numFmtId="0" fontId="2" fillId="3" borderId="4" xfId="0" applyFont="1" applyFill="1" applyBorder="1" applyAlignment="1">
      <alignment horizontal="center" vertical="top"/>
    </xf>
    <xf numFmtId="0" fontId="2" fillId="3" borderId="5" xfId="0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2" borderId="7" xfId="0" applyFont="1" applyFill="1" applyBorder="1" applyAlignment="1">
      <alignment horizontal="center" vertical="top"/>
    </xf>
    <xf numFmtId="0" fontId="2" fillId="2" borderId="8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top"/>
    </xf>
    <xf numFmtId="0" fontId="2" fillId="0" borderId="11" xfId="0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164" fontId="2" fillId="0" borderId="13" xfId="1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165" fontId="0" fillId="0" borderId="12" xfId="1" applyNumberFormat="1" applyFont="1" applyBorder="1" applyAlignment="1">
      <alignment horizontal="center"/>
    </xf>
    <xf numFmtId="165" fontId="2" fillId="0" borderId="13" xfId="1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64" fontId="0" fillId="0" borderId="15" xfId="1" applyNumberFormat="1" applyFont="1" applyBorder="1" applyAlignment="1">
      <alignment horizontal="center"/>
    </xf>
    <xf numFmtId="164" fontId="2" fillId="0" borderId="16" xfId="1" applyNumberFormat="1" applyFont="1" applyBorder="1" applyAlignment="1">
      <alignment horizontal="center"/>
    </xf>
    <xf numFmtId="0" fontId="0" fillId="0" borderId="14" xfId="0" applyBorder="1" applyAlignment="1">
      <alignment horizontal="center"/>
    </xf>
    <xf numFmtId="165" fontId="0" fillId="0" borderId="15" xfId="1" applyNumberFormat="1" applyFont="1" applyBorder="1" applyAlignment="1">
      <alignment horizontal="center"/>
    </xf>
    <xf numFmtId="165" fontId="2" fillId="0" borderId="16" xfId="1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0" borderId="8" xfId="1" applyNumberFormat="1" applyFont="1" applyBorder="1" applyAlignment="1">
      <alignment horizontal="center"/>
    </xf>
    <xf numFmtId="164" fontId="2" fillId="0" borderId="9" xfId="1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5" fontId="2" fillId="0" borderId="8" xfId="1" applyNumberFormat="1" applyFont="1" applyBorder="1" applyAlignment="1">
      <alignment horizontal="center"/>
    </xf>
    <xf numFmtId="165" fontId="2" fillId="0" borderId="9" xfId="1" applyNumberFormat="1" applyFont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164" fontId="2" fillId="0" borderId="0" xfId="1" applyNumberFormat="1" applyFont="1" applyBorder="1" applyAlignment="1">
      <alignment horizontal="center"/>
    </xf>
    <xf numFmtId="166" fontId="2" fillId="0" borderId="8" xfId="1" applyNumberFormat="1" applyFont="1" applyBorder="1" applyAlignment="1">
      <alignment horizontal="center"/>
    </xf>
    <xf numFmtId="9" fontId="0" fillId="0" borderId="0" xfId="2" applyFont="1" applyAlignment="1">
      <alignment horizontal="center"/>
    </xf>
    <xf numFmtId="164" fontId="0" fillId="0" borderId="0" xfId="1" applyNumberFormat="1" applyFont="1"/>
    <xf numFmtId="9" fontId="0" fillId="0" borderId="12" xfId="2" applyFont="1" applyBorder="1" applyAlignment="1">
      <alignment horizontal="center"/>
    </xf>
    <xf numFmtId="9" fontId="2" fillId="0" borderId="13" xfId="2" applyFont="1" applyBorder="1" applyAlignment="1">
      <alignment horizontal="center"/>
    </xf>
    <xf numFmtId="9" fontId="0" fillId="0" borderId="15" xfId="2" applyFont="1" applyBorder="1" applyAlignment="1">
      <alignment horizontal="center"/>
    </xf>
    <xf numFmtId="9" fontId="2" fillId="0" borderId="16" xfId="2" applyFont="1" applyBorder="1" applyAlignment="1">
      <alignment horizontal="center"/>
    </xf>
    <xf numFmtId="9" fontId="2" fillId="0" borderId="8" xfId="2" applyFont="1" applyBorder="1" applyAlignment="1">
      <alignment horizontal="center"/>
    </xf>
    <xf numFmtId="9" fontId="2" fillId="0" borderId="9" xfId="2" applyFont="1" applyBorder="1" applyAlignment="1">
      <alignment horizontal="center"/>
    </xf>
    <xf numFmtId="9" fontId="2" fillId="0" borderId="0" xfId="2" applyFont="1" applyBorder="1" applyAlignment="1">
      <alignment horizontal="center"/>
    </xf>
    <xf numFmtId="9" fontId="2" fillId="0" borderId="0" xfId="2" applyFont="1" applyAlignment="1">
      <alignment horizontal="center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3" fillId="4" borderId="15" xfId="0" applyFont="1" applyFill="1" applyBorder="1" applyAlignment="1">
      <alignment horizontal="center" vertical="top"/>
    </xf>
    <xf numFmtId="0" fontId="3" fillId="5" borderId="15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2" borderId="15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left" vertical="top"/>
    </xf>
    <xf numFmtId="164" fontId="0" fillId="0" borderId="15" xfId="1" applyNumberFormat="1" applyFont="1" applyBorder="1" applyAlignment="1">
      <alignment horizontal="center" vertical="center"/>
    </xf>
    <xf numFmtId="164" fontId="2" fillId="6" borderId="15" xfId="1" applyNumberFormat="1" applyFont="1" applyFill="1" applyBorder="1" applyAlignment="1">
      <alignment horizontal="center" vertical="center"/>
    </xf>
    <xf numFmtId="164" fontId="0" fillId="0" borderId="15" xfId="1" applyNumberFormat="1" applyFont="1" applyBorder="1" applyAlignment="1">
      <alignment horizontal="left" vertical="top"/>
    </xf>
    <xf numFmtId="164" fontId="2" fillId="6" borderId="15" xfId="1" applyNumberFormat="1" applyFont="1" applyFill="1" applyBorder="1" applyAlignment="1">
      <alignment horizontal="left" vertical="top"/>
    </xf>
    <xf numFmtId="0" fontId="2" fillId="2" borderId="15" xfId="0" applyFont="1" applyFill="1" applyBorder="1" applyAlignment="1">
      <alignment horizontal="center" vertical="center"/>
    </xf>
    <xf numFmtId="164" fontId="2" fillId="2" borderId="15" xfId="1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9" fontId="2" fillId="3" borderId="15" xfId="2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0" borderId="21" xfId="0" applyFont="1" applyBorder="1" applyAlignment="1">
      <alignment vertical="top"/>
    </xf>
    <xf numFmtId="0" fontId="2" fillId="0" borderId="22" xfId="0" applyFont="1" applyBorder="1" applyAlignment="1">
      <alignment horizontal="left" vertical="top" wrapText="1"/>
    </xf>
    <xf numFmtId="164" fontId="2" fillId="0" borderId="0" xfId="1" applyNumberFormat="1" applyFont="1" applyAlignment="1">
      <alignment horizontal="left" vertical="top"/>
    </xf>
    <xf numFmtId="0" fontId="3" fillId="4" borderId="15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165" fontId="2" fillId="6" borderId="15" xfId="0" applyNumberFormat="1" applyFont="1" applyFill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2" borderId="15" xfId="0" applyFont="1" applyFill="1" applyBorder="1" applyAlignment="1">
      <alignment horizontal="center"/>
    </xf>
    <xf numFmtId="165" fontId="2" fillId="7" borderId="15" xfId="0" applyNumberFormat="1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 wrapText="1"/>
    </xf>
    <xf numFmtId="9" fontId="2" fillId="0" borderId="0" xfId="2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22" xfId="0" applyFont="1" applyBorder="1" applyAlignment="1">
      <alignment horizontal="center" wrapText="1"/>
    </xf>
    <xf numFmtId="9" fontId="2" fillId="0" borderId="22" xfId="2" applyFont="1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2" fillId="0" borderId="22" xfId="0" applyFont="1" applyBorder="1" applyAlignment="1">
      <alignment horizontal="center" wrapText="1"/>
    </xf>
    <xf numFmtId="0" fontId="0" fillId="0" borderId="19" xfId="0" applyBorder="1" applyAlignment="1">
      <alignment horizontal="center"/>
    </xf>
    <xf numFmtId="164" fontId="2" fillId="0" borderId="0" xfId="1" applyNumberFormat="1" applyFont="1" applyAlignment="1">
      <alignment horizontal="center"/>
    </xf>
    <xf numFmtId="0" fontId="2" fillId="5" borderId="15" xfId="0" applyFont="1" applyFill="1" applyBorder="1" applyAlignment="1">
      <alignment horizontal="center" vertical="top"/>
    </xf>
    <xf numFmtId="0" fontId="2" fillId="3" borderId="15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left" vertical="top"/>
    </xf>
    <xf numFmtId="0" fontId="2" fillId="3" borderId="20" xfId="0" applyFont="1" applyFill="1" applyBorder="1" applyAlignment="1">
      <alignment horizontal="left" vertical="top"/>
    </xf>
    <xf numFmtId="0" fontId="2" fillId="3" borderId="15" xfId="0" applyFont="1" applyFill="1" applyBorder="1" applyAlignment="1">
      <alignment horizontal="left" vertical="top"/>
    </xf>
    <xf numFmtId="0" fontId="2" fillId="3" borderId="15" xfId="0" applyFont="1" applyFill="1" applyBorder="1" applyAlignment="1">
      <alignment horizontal="left" vertical="top"/>
    </xf>
    <xf numFmtId="0" fontId="2" fillId="2" borderId="15" xfId="0" applyFont="1" applyFill="1" applyBorder="1" applyAlignment="1">
      <alignment horizontal="left" vertical="top"/>
    </xf>
    <xf numFmtId="164" fontId="2" fillId="3" borderId="15" xfId="1" applyNumberFormat="1" applyFont="1" applyFill="1" applyBorder="1" applyAlignment="1">
      <alignment horizontal="left" vertical="top"/>
    </xf>
    <xf numFmtId="164" fontId="2" fillId="3" borderId="15" xfId="1" applyNumberFormat="1" applyFont="1" applyFill="1" applyBorder="1" applyAlignment="1">
      <alignment horizontal="left" vertical="top"/>
    </xf>
    <xf numFmtId="164" fontId="2" fillId="2" borderId="15" xfId="1" applyNumberFormat="1" applyFont="1" applyFill="1" applyBorder="1" applyAlignment="1">
      <alignment horizontal="left" vertical="top"/>
    </xf>
    <xf numFmtId="0" fontId="2" fillId="2" borderId="15" xfId="0" applyFont="1" applyFill="1" applyBorder="1" applyAlignment="1">
      <alignment horizontal="left" vertical="top" wrapText="1"/>
    </xf>
    <xf numFmtId="164" fontId="2" fillId="2" borderId="15" xfId="1" applyNumberFormat="1" applyFont="1" applyFill="1" applyBorder="1" applyAlignment="1">
      <alignment horizontal="left" vertical="top" wrapText="1"/>
    </xf>
    <xf numFmtId="0" fontId="2" fillId="5" borderId="18" xfId="0" applyFont="1" applyFill="1" applyBorder="1" applyAlignment="1">
      <alignment horizontal="center" vertical="top"/>
    </xf>
    <xf numFmtId="0" fontId="2" fillId="5" borderId="19" xfId="0" applyFont="1" applyFill="1" applyBorder="1" applyAlignment="1">
      <alignment horizontal="center" vertical="top"/>
    </xf>
    <xf numFmtId="0" fontId="2" fillId="5" borderId="20" xfId="0" applyFont="1" applyFill="1" applyBorder="1" applyAlignment="1">
      <alignment horizontal="center" vertical="top"/>
    </xf>
    <xf numFmtId="0" fontId="2" fillId="2" borderId="17" xfId="0" applyFont="1" applyFill="1" applyBorder="1" applyAlignment="1">
      <alignment horizontal="left" vertical="top"/>
    </xf>
    <xf numFmtId="0" fontId="2" fillId="2" borderId="12" xfId="0" applyFont="1" applyFill="1" applyBorder="1" applyAlignment="1">
      <alignment horizontal="left" vertical="top"/>
    </xf>
    <xf numFmtId="0" fontId="2" fillId="0" borderId="21" xfId="0" applyFont="1" applyBorder="1" applyAlignment="1">
      <alignment vertical="top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51637-C1DE-4614-A835-FA5AB031F55A}">
  <sheetPr>
    <pageSetUpPr fitToPage="1"/>
  </sheetPr>
  <dimension ref="A1:X35"/>
  <sheetViews>
    <sheetView showGridLines="0" tabSelected="1" topLeftCell="O1" zoomScale="70" zoomScaleNormal="70" zoomScaleSheetLayoutView="80" workbookViewId="0"/>
  </sheetViews>
  <sheetFormatPr defaultRowHeight="15" x14ac:dyDescent="0.25"/>
  <cols>
    <col min="1" max="1" width="15.140625" hidden="1" customWidth="1"/>
    <col min="2" max="2" width="19.140625" style="1" bestFit="1" customWidth="1"/>
    <col min="3" max="3" width="10.7109375" style="1" bestFit="1" customWidth="1"/>
    <col min="4" max="4" width="10.5703125" style="1" bestFit="1" customWidth="1"/>
    <col min="5" max="5" width="12.85546875" style="1" customWidth="1"/>
    <col min="6" max="6" width="10.7109375" style="1" bestFit="1" customWidth="1"/>
    <col min="7" max="7" width="14.140625" style="1" bestFit="1" customWidth="1"/>
    <col min="8" max="8" width="11.5703125" style="1" bestFit="1" customWidth="1"/>
    <col min="9" max="9" width="13.140625" style="1" bestFit="1" customWidth="1"/>
    <col min="10" max="10" width="13.28515625" style="1" bestFit="1" customWidth="1"/>
    <col min="11" max="11" width="12.28515625" style="1" bestFit="1" customWidth="1"/>
    <col min="12" max="12" width="15" style="1" bestFit="1" customWidth="1"/>
    <col min="13" max="13" width="4.28515625" style="1" customWidth="1"/>
    <col min="14" max="14" width="16.7109375" style="1" bestFit="1" customWidth="1"/>
    <col min="15" max="15" width="10.140625" style="1" bestFit="1" customWidth="1"/>
    <col min="16" max="16" width="10.5703125" style="1" bestFit="1" customWidth="1"/>
    <col min="17" max="17" width="13.28515625" style="1" customWidth="1"/>
    <col min="18" max="18" width="9.7109375" style="1" bestFit="1" customWidth="1"/>
    <col min="19" max="19" width="12.42578125" style="1" bestFit="1" customWidth="1"/>
    <col min="20" max="20" width="11.5703125" style="1" bestFit="1" customWidth="1"/>
    <col min="21" max="21" width="17.85546875" style="1" bestFit="1" customWidth="1"/>
    <col min="22" max="22" width="14" style="1" bestFit="1" customWidth="1"/>
    <col min="23" max="23" width="13.140625" style="1" bestFit="1" customWidth="1"/>
    <col min="24" max="24" width="15" style="1" bestFit="1" customWidth="1"/>
    <col min="26" max="26" width="18.140625" bestFit="1" customWidth="1"/>
    <col min="27" max="27" width="19.28515625" customWidth="1"/>
    <col min="28" max="28" width="5" bestFit="1" customWidth="1"/>
  </cols>
  <sheetData>
    <row r="1" spans="2:24" ht="19.5" thickBot="1" x14ac:dyDescent="0.35">
      <c r="B1" s="1">
        <v>2026</v>
      </c>
      <c r="C1" s="2" t="s">
        <v>0</v>
      </c>
      <c r="D1" s="2"/>
      <c r="E1" s="2"/>
      <c r="F1" s="2"/>
      <c r="G1" s="2"/>
      <c r="H1" s="2"/>
      <c r="I1" s="2"/>
      <c r="J1" s="2"/>
      <c r="K1" s="2"/>
      <c r="N1" s="1">
        <v>2026</v>
      </c>
      <c r="O1" s="2" t="s">
        <v>1</v>
      </c>
      <c r="P1" s="2"/>
      <c r="Q1" s="2"/>
      <c r="R1" s="2"/>
      <c r="S1" s="2"/>
      <c r="T1" s="2"/>
      <c r="U1" s="2"/>
      <c r="V1" s="2"/>
      <c r="W1" s="2"/>
    </row>
    <row r="2" spans="2:24" ht="14.45" customHeight="1" x14ac:dyDescent="0.25">
      <c r="B2" s="3" t="s">
        <v>2</v>
      </c>
      <c r="C2" s="4" t="s">
        <v>3</v>
      </c>
      <c r="D2" s="4"/>
      <c r="E2" s="5" t="s">
        <v>4</v>
      </c>
      <c r="F2" s="6" t="s">
        <v>5</v>
      </c>
      <c r="G2" s="7"/>
      <c r="H2" s="5" t="s">
        <v>6</v>
      </c>
      <c r="I2" s="5" t="s">
        <v>7</v>
      </c>
      <c r="J2" s="4" t="s">
        <v>8</v>
      </c>
      <c r="K2" s="8"/>
      <c r="L2" s="9" t="s">
        <v>9</v>
      </c>
      <c r="M2" s="10"/>
      <c r="N2" s="3" t="s">
        <v>2</v>
      </c>
      <c r="O2" s="4" t="s">
        <v>3</v>
      </c>
      <c r="P2" s="4"/>
      <c r="Q2" s="5" t="s">
        <v>4</v>
      </c>
      <c r="R2" s="6" t="s">
        <v>5</v>
      </c>
      <c r="S2" s="7"/>
      <c r="T2" s="5" t="s">
        <v>6</v>
      </c>
      <c r="U2" s="5" t="s">
        <v>7</v>
      </c>
      <c r="V2" s="4" t="s">
        <v>8</v>
      </c>
      <c r="W2" s="8"/>
      <c r="X2" s="9" t="s">
        <v>9</v>
      </c>
    </row>
    <row r="3" spans="2:24" ht="45.75" thickBot="1" x14ac:dyDescent="0.3">
      <c r="B3" s="11"/>
      <c r="C3" s="12" t="s">
        <v>10</v>
      </c>
      <c r="D3" s="12" t="s">
        <v>11</v>
      </c>
      <c r="E3" s="12" t="s">
        <v>12</v>
      </c>
      <c r="F3" s="12" t="s">
        <v>13</v>
      </c>
      <c r="G3" s="12" t="s">
        <v>14</v>
      </c>
      <c r="H3" s="12" t="s">
        <v>15</v>
      </c>
      <c r="I3" s="12" t="s">
        <v>16</v>
      </c>
      <c r="J3" s="12" t="s">
        <v>17</v>
      </c>
      <c r="K3" s="13" t="s">
        <v>18</v>
      </c>
      <c r="L3" s="14"/>
      <c r="M3" s="10"/>
      <c r="N3" s="11"/>
      <c r="O3" s="12" t="s">
        <v>10</v>
      </c>
      <c r="P3" s="12" t="s">
        <v>11</v>
      </c>
      <c r="Q3" s="12" t="s">
        <v>12</v>
      </c>
      <c r="R3" s="12" t="s">
        <v>13</v>
      </c>
      <c r="S3" s="12" t="s">
        <v>14</v>
      </c>
      <c r="T3" s="12" t="s">
        <v>15</v>
      </c>
      <c r="U3" s="12" t="s">
        <v>16</v>
      </c>
      <c r="V3" s="12" t="s">
        <v>17</v>
      </c>
      <c r="W3" s="13" t="s">
        <v>18</v>
      </c>
      <c r="X3" s="14"/>
    </row>
    <row r="4" spans="2:24" x14ac:dyDescent="0.25">
      <c r="B4" s="15" t="s">
        <v>19</v>
      </c>
      <c r="C4" s="16">
        <v>47</v>
      </c>
      <c r="D4" s="16">
        <v>26</v>
      </c>
      <c r="E4" s="16">
        <v>299</v>
      </c>
      <c r="F4" s="16">
        <v>113</v>
      </c>
      <c r="G4" s="16">
        <v>2962</v>
      </c>
      <c r="H4" s="16">
        <v>266</v>
      </c>
      <c r="I4" s="16">
        <v>875</v>
      </c>
      <c r="J4" s="16">
        <v>836</v>
      </c>
      <c r="K4" s="16">
        <v>1300</v>
      </c>
      <c r="L4" s="17">
        <f>SUM(C4:K4)</f>
        <v>6724</v>
      </c>
      <c r="N4" s="18" t="s">
        <v>19</v>
      </c>
      <c r="O4" s="19">
        <v>1589714</v>
      </c>
      <c r="P4" s="19">
        <v>3784772</v>
      </c>
      <c r="Q4" s="19">
        <v>62441290</v>
      </c>
      <c r="R4" s="19">
        <v>5028696</v>
      </c>
      <c r="S4" s="19">
        <v>138515101</v>
      </c>
      <c r="T4" s="19">
        <v>11791648</v>
      </c>
      <c r="U4" s="19">
        <v>147944071</v>
      </c>
      <c r="V4" s="19">
        <v>139710418</v>
      </c>
      <c r="W4" s="19">
        <v>186230923</v>
      </c>
      <c r="X4" s="20">
        <f>SUM(O4:W4)</f>
        <v>697036633</v>
      </c>
    </row>
    <row r="5" spans="2:24" x14ac:dyDescent="0.25">
      <c r="B5" s="21" t="s">
        <v>20</v>
      </c>
      <c r="C5" s="22">
        <v>13</v>
      </c>
      <c r="D5" s="22">
        <v>15</v>
      </c>
      <c r="E5" s="22">
        <v>68</v>
      </c>
      <c r="F5" s="22">
        <v>18</v>
      </c>
      <c r="G5" s="22">
        <v>1150</v>
      </c>
      <c r="H5" s="22">
        <v>14</v>
      </c>
      <c r="I5" s="22">
        <v>392</v>
      </c>
      <c r="J5" s="22">
        <v>565</v>
      </c>
      <c r="K5" s="22">
        <v>518</v>
      </c>
      <c r="L5" s="23">
        <f>SUM(C5:K5)</f>
        <v>2753</v>
      </c>
      <c r="N5" s="24" t="s">
        <v>20</v>
      </c>
      <c r="O5" s="25">
        <v>400440</v>
      </c>
      <c r="P5" s="25">
        <v>1545235</v>
      </c>
      <c r="Q5" s="25">
        <v>10944269</v>
      </c>
      <c r="R5" s="25">
        <v>229432</v>
      </c>
      <c r="S5" s="25">
        <v>30094201</v>
      </c>
      <c r="T5" s="25">
        <v>336876</v>
      </c>
      <c r="U5" s="25">
        <v>43130606</v>
      </c>
      <c r="V5" s="25">
        <v>32392605</v>
      </c>
      <c r="W5" s="25">
        <v>46550218</v>
      </c>
      <c r="X5" s="26">
        <f t="shared" ref="X5:X8" si="0">SUM(O5:W5)</f>
        <v>165623882</v>
      </c>
    </row>
    <row r="6" spans="2:24" x14ac:dyDescent="0.25">
      <c r="B6" s="21" t="s">
        <v>21</v>
      </c>
      <c r="C6" s="22">
        <v>30</v>
      </c>
      <c r="D6" s="22">
        <v>6</v>
      </c>
      <c r="E6" s="22">
        <v>38</v>
      </c>
      <c r="F6" s="22">
        <v>27</v>
      </c>
      <c r="G6" s="22">
        <v>812</v>
      </c>
      <c r="H6" s="22">
        <v>13</v>
      </c>
      <c r="I6" s="22">
        <v>203</v>
      </c>
      <c r="J6" s="22">
        <v>851</v>
      </c>
      <c r="K6" s="22">
        <v>494</v>
      </c>
      <c r="L6" s="23">
        <f t="shared" ref="L6:L8" si="1">SUM(C6:K6)</f>
        <v>2474</v>
      </c>
      <c r="N6" s="24" t="s">
        <v>21</v>
      </c>
      <c r="O6" s="25">
        <v>183975</v>
      </c>
      <c r="P6" s="25">
        <v>81517</v>
      </c>
      <c r="Q6" s="25">
        <v>602367</v>
      </c>
      <c r="R6" s="25">
        <v>246429</v>
      </c>
      <c r="S6" s="25">
        <v>5066986</v>
      </c>
      <c r="T6" s="25">
        <v>86572</v>
      </c>
      <c r="U6" s="25">
        <v>602210</v>
      </c>
      <c r="V6" s="25">
        <v>4804954</v>
      </c>
      <c r="W6" s="25">
        <v>1123385</v>
      </c>
      <c r="X6" s="26">
        <f t="shared" si="0"/>
        <v>12798395</v>
      </c>
    </row>
    <row r="7" spans="2:24" x14ac:dyDescent="0.25">
      <c r="B7" s="21" t="s">
        <v>22</v>
      </c>
      <c r="C7" s="22">
        <v>1398</v>
      </c>
      <c r="D7" s="22">
        <v>182</v>
      </c>
      <c r="E7" s="22">
        <v>1388</v>
      </c>
      <c r="F7" s="22">
        <v>446</v>
      </c>
      <c r="G7" s="22">
        <v>4895</v>
      </c>
      <c r="H7" s="22">
        <v>7023</v>
      </c>
      <c r="I7" s="22">
        <v>469</v>
      </c>
      <c r="J7" s="22">
        <v>7441</v>
      </c>
      <c r="K7" s="22">
        <v>5274</v>
      </c>
      <c r="L7" s="23">
        <f t="shared" si="1"/>
        <v>28516</v>
      </c>
      <c r="N7" s="24" t="s">
        <v>22</v>
      </c>
      <c r="O7" s="25">
        <v>66431584</v>
      </c>
      <c r="P7" s="25">
        <v>66772930</v>
      </c>
      <c r="Q7" s="25">
        <v>568112611</v>
      </c>
      <c r="R7" s="25">
        <v>19760509</v>
      </c>
      <c r="S7" s="25">
        <v>289155304</v>
      </c>
      <c r="T7" s="25">
        <v>355030883</v>
      </c>
      <c r="U7" s="25">
        <v>321420950</v>
      </c>
      <c r="V7" s="25">
        <v>1357021749</v>
      </c>
      <c r="W7" s="25">
        <v>880570420</v>
      </c>
      <c r="X7" s="26">
        <f t="shared" si="0"/>
        <v>3924276940</v>
      </c>
    </row>
    <row r="8" spans="2:24" ht="15.75" thickBot="1" x14ac:dyDescent="0.3">
      <c r="B8" s="27" t="s">
        <v>23</v>
      </c>
      <c r="C8" s="28">
        <v>1474</v>
      </c>
      <c r="D8" s="28">
        <v>222</v>
      </c>
      <c r="E8" s="28">
        <v>1717</v>
      </c>
      <c r="F8" s="28">
        <v>597</v>
      </c>
      <c r="G8" s="28">
        <v>9584</v>
      </c>
      <c r="H8" s="28">
        <v>7268</v>
      </c>
      <c r="I8" s="28">
        <v>1899</v>
      </c>
      <c r="J8" s="28">
        <v>9469</v>
      </c>
      <c r="K8" s="28">
        <v>7220</v>
      </c>
      <c r="L8" s="29">
        <f t="shared" si="1"/>
        <v>39450</v>
      </c>
      <c r="M8" s="30"/>
      <c r="N8" s="27" t="s">
        <v>23</v>
      </c>
      <c r="O8" s="31">
        <v>68605774</v>
      </c>
      <c r="P8" s="31">
        <v>72184469</v>
      </c>
      <c r="Q8" s="31">
        <v>642100813</v>
      </c>
      <c r="R8" s="31">
        <v>25265124</v>
      </c>
      <c r="S8" s="31">
        <v>462833159</v>
      </c>
      <c r="T8" s="31">
        <v>367246294</v>
      </c>
      <c r="U8" s="31">
        <v>513098021</v>
      </c>
      <c r="V8" s="31">
        <v>1533930849</v>
      </c>
      <c r="W8" s="31">
        <v>1114477096</v>
      </c>
      <c r="X8" s="32">
        <f t="shared" si="0"/>
        <v>4799741599</v>
      </c>
    </row>
    <row r="9" spans="2:24" x14ac:dyDescent="0.25">
      <c r="C9" s="33"/>
      <c r="D9" s="33"/>
      <c r="E9" s="33"/>
      <c r="F9" s="33"/>
      <c r="G9" s="33"/>
      <c r="H9" s="33"/>
      <c r="I9" s="33"/>
      <c r="J9" s="33"/>
      <c r="K9" s="33"/>
      <c r="L9" s="34"/>
      <c r="O9" s="33"/>
      <c r="P9" s="33"/>
      <c r="Q9" s="33"/>
      <c r="R9" s="33"/>
      <c r="S9" s="33"/>
      <c r="T9" s="33"/>
      <c r="U9" s="33"/>
      <c r="V9" s="33"/>
      <c r="W9" s="33"/>
      <c r="X9" s="34"/>
    </row>
    <row r="10" spans="2:24" ht="19.5" thickBot="1" x14ac:dyDescent="0.35">
      <c r="B10" s="1">
        <v>2025</v>
      </c>
      <c r="C10" s="2" t="s">
        <v>24</v>
      </c>
      <c r="D10" s="2"/>
      <c r="E10" s="2"/>
      <c r="F10" s="2"/>
      <c r="G10" s="2"/>
      <c r="H10" s="2"/>
      <c r="I10" s="2"/>
      <c r="J10" s="2"/>
      <c r="K10" s="2"/>
      <c r="L10" s="30"/>
      <c r="N10" s="1">
        <v>2025</v>
      </c>
      <c r="O10" s="2" t="s">
        <v>25</v>
      </c>
      <c r="P10" s="2"/>
      <c r="Q10" s="2"/>
      <c r="R10" s="2"/>
      <c r="S10" s="2"/>
      <c r="T10" s="2"/>
      <c r="U10" s="2"/>
      <c r="V10" s="2"/>
      <c r="W10" s="2"/>
      <c r="X10" s="30"/>
    </row>
    <row r="11" spans="2:24" x14ac:dyDescent="0.25">
      <c r="B11" s="3" t="s">
        <v>2</v>
      </c>
      <c r="C11" s="4" t="s">
        <v>3</v>
      </c>
      <c r="D11" s="4"/>
      <c r="E11" s="5" t="s">
        <v>4</v>
      </c>
      <c r="F11" s="6" t="s">
        <v>5</v>
      </c>
      <c r="G11" s="7"/>
      <c r="H11" s="5" t="s">
        <v>6</v>
      </c>
      <c r="I11" s="5" t="s">
        <v>7</v>
      </c>
      <c r="J11" s="4" t="s">
        <v>8</v>
      </c>
      <c r="K11" s="8"/>
      <c r="L11" s="9" t="s">
        <v>9</v>
      </c>
      <c r="M11" s="10"/>
      <c r="N11" s="3" t="s">
        <v>2</v>
      </c>
      <c r="O11" s="4" t="s">
        <v>3</v>
      </c>
      <c r="P11" s="4"/>
      <c r="Q11" s="5" t="s">
        <v>4</v>
      </c>
      <c r="R11" s="6" t="s">
        <v>5</v>
      </c>
      <c r="S11" s="7"/>
      <c r="T11" s="5" t="s">
        <v>6</v>
      </c>
      <c r="U11" s="5" t="s">
        <v>7</v>
      </c>
      <c r="V11" s="4" t="s">
        <v>8</v>
      </c>
      <c r="W11" s="8"/>
      <c r="X11" s="9" t="s">
        <v>9</v>
      </c>
    </row>
    <row r="12" spans="2:24" ht="45.75" thickBot="1" x14ac:dyDescent="0.3">
      <c r="B12" s="11"/>
      <c r="C12" s="12" t="s">
        <v>10</v>
      </c>
      <c r="D12" s="12" t="s">
        <v>11</v>
      </c>
      <c r="E12" s="12" t="s">
        <v>12</v>
      </c>
      <c r="F12" s="12" t="s">
        <v>13</v>
      </c>
      <c r="G12" s="12" t="s">
        <v>14</v>
      </c>
      <c r="H12" s="12" t="s">
        <v>15</v>
      </c>
      <c r="I12" s="12" t="s">
        <v>16</v>
      </c>
      <c r="J12" s="12" t="s">
        <v>17</v>
      </c>
      <c r="K12" s="13" t="s">
        <v>18</v>
      </c>
      <c r="L12" s="14"/>
      <c r="M12" s="10"/>
      <c r="N12" s="11"/>
      <c r="O12" s="12" t="s">
        <v>10</v>
      </c>
      <c r="P12" s="12" t="s">
        <v>11</v>
      </c>
      <c r="Q12" s="12" t="s">
        <v>12</v>
      </c>
      <c r="R12" s="12" t="s">
        <v>13</v>
      </c>
      <c r="S12" s="12" t="s">
        <v>14</v>
      </c>
      <c r="T12" s="12" t="s">
        <v>15</v>
      </c>
      <c r="U12" s="12" t="s">
        <v>16</v>
      </c>
      <c r="V12" s="12" t="s">
        <v>17</v>
      </c>
      <c r="W12" s="13" t="s">
        <v>18</v>
      </c>
      <c r="X12" s="14"/>
    </row>
    <row r="13" spans="2:24" x14ac:dyDescent="0.25">
      <c r="B13" s="18" t="s">
        <v>19</v>
      </c>
      <c r="C13" s="16">
        <v>498</v>
      </c>
      <c r="D13" s="16">
        <v>62</v>
      </c>
      <c r="E13" s="16">
        <v>1243</v>
      </c>
      <c r="F13" s="16">
        <v>817</v>
      </c>
      <c r="G13" s="16">
        <v>17721</v>
      </c>
      <c r="H13" s="16">
        <v>280</v>
      </c>
      <c r="I13" s="16">
        <v>6141</v>
      </c>
      <c r="J13" s="16">
        <v>4710</v>
      </c>
      <c r="K13" s="16">
        <v>9114</v>
      </c>
      <c r="L13" s="17">
        <f>SUM(C13:K13)</f>
        <v>40586</v>
      </c>
      <c r="N13" s="18" t="s">
        <v>19</v>
      </c>
      <c r="O13" s="19">
        <v>22411024</v>
      </c>
      <c r="P13" s="19">
        <v>8723947</v>
      </c>
      <c r="Q13" s="19">
        <v>306760998</v>
      </c>
      <c r="R13" s="19">
        <v>34021178</v>
      </c>
      <c r="S13" s="19">
        <v>745066424</v>
      </c>
      <c r="T13" s="19">
        <v>16107517</v>
      </c>
      <c r="U13" s="19">
        <v>837151689</v>
      </c>
      <c r="V13" s="19">
        <v>640264013</v>
      </c>
      <c r="W13" s="19">
        <v>1210795248</v>
      </c>
      <c r="X13" s="20">
        <f>SUM(O13:W13)</f>
        <v>3821302038</v>
      </c>
    </row>
    <row r="14" spans="2:24" x14ac:dyDescent="0.25">
      <c r="B14" s="24" t="s">
        <v>20</v>
      </c>
      <c r="C14" s="22">
        <v>46</v>
      </c>
      <c r="D14" s="22">
        <v>29</v>
      </c>
      <c r="E14" s="22">
        <v>342</v>
      </c>
      <c r="F14" s="22">
        <v>144</v>
      </c>
      <c r="G14" s="22">
        <v>4153</v>
      </c>
      <c r="H14" s="22">
        <v>14</v>
      </c>
      <c r="I14" s="22">
        <v>2704</v>
      </c>
      <c r="J14" s="22">
        <v>2469</v>
      </c>
      <c r="K14" s="22">
        <v>3200</v>
      </c>
      <c r="L14" s="23">
        <f t="shared" ref="L14:L17" si="2">SUM(C14:K14)</f>
        <v>13101</v>
      </c>
      <c r="N14" s="24" t="s">
        <v>20</v>
      </c>
      <c r="O14" s="25">
        <v>1571633</v>
      </c>
      <c r="P14" s="25">
        <v>1149075</v>
      </c>
      <c r="Q14" s="25">
        <v>41484545</v>
      </c>
      <c r="R14" s="25">
        <v>5666637</v>
      </c>
      <c r="S14" s="25">
        <v>134131868</v>
      </c>
      <c r="T14" s="25">
        <v>525913</v>
      </c>
      <c r="U14" s="25">
        <v>246214209</v>
      </c>
      <c r="V14" s="25">
        <v>144528443</v>
      </c>
      <c r="W14" s="25">
        <v>238873319</v>
      </c>
      <c r="X14" s="26">
        <f t="shared" ref="X14:X17" si="3">SUM(O14:W14)</f>
        <v>814145642</v>
      </c>
    </row>
    <row r="15" spans="2:24" x14ac:dyDescent="0.25">
      <c r="B15" s="24" t="s">
        <v>21</v>
      </c>
      <c r="C15" s="22">
        <v>189</v>
      </c>
      <c r="D15" s="22">
        <v>19</v>
      </c>
      <c r="E15" s="22">
        <v>298</v>
      </c>
      <c r="F15" s="22">
        <v>166</v>
      </c>
      <c r="G15" s="22">
        <v>2526</v>
      </c>
      <c r="H15" s="22">
        <v>9</v>
      </c>
      <c r="I15" s="22">
        <v>830</v>
      </c>
      <c r="J15" s="22">
        <v>3530</v>
      </c>
      <c r="K15" s="22">
        <v>1863</v>
      </c>
      <c r="L15" s="23">
        <f t="shared" si="2"/>
        <v>9430</v>
      </c>
      <c r="N15" s="24" t="s">
        <v>21</v>
      </c>
      <c r="O15" s="25">
        <v>1277706</v>
      </c>
      <c r="P15" s="25">
        <v>196354</v>
      </c>
      <c r="Q15" s="25">
        <v>3804443</v>
      </c>
      <c r="R15" s="25">
        <v>1390736</v>
      </c>
      <c r="S15" s="25">
        <v>15973888</v>
      </c>
      <c r="T15" s="25">
        <v>127499</v>
      </c>
      <c r="U15" s="25">
        <v>2511478</v>
      </c>
      <c r="V15" s="25">
        <v>18581680</v>
      </c>
      <c r="W15" s="25">
        <v>4715706</v>
      </c>
      <c r="X15" s="26">
        <f t="shared" si="3"/>
        <v>48579490</v>
      </c>
    </row>
    <row r="16" spans="2:24" x14ac:dyDescent="0.25">
      <c r="B16" s="24" t="s">
        <v>22</v>
      </c>
      <c r="C16" s="22">
        <v>6722</v>
      </c>
      <c r="D16" s="22">
        <v>389</v>
      </c>
      <c r="E16" s="22">
        <v>7420</v>
      </c>
      <c r="F16" s="22">
        <v>1316</v>
      </c>
      <c r="G16" s="22">
        <v>22982</v>
      </c>
      <c r="H16" s="22">
        <v>5356</v>
      </c>
      <c r="I16" s="22">
        <v>420</v>
      </c>
      <c r="J16" s="22">
        <v>25415</v>
      </c>
      <c r="K16" s="22">
        <v>18346</v>
      </c>
      <c r="L16" s="23">
        <f t="shared" si="2"/>
        <v>88366</v>
      </c>
      <c r="N16" s="24" t="s">
        <v>22</v>
      </c>
      <c r="O16" s="25">
        <v>344379790</v>
      </c>
      <c r="P16" s="25">
        <v>132327075</v>
      </c>
      <c r="Q16" s="25">
        <v>3277942482</v>
      </c>
      <c r="R16" s="25">
        <v>87636651</v>
      </c>
      <c r="S16" s="25">
        <v>1194268380</v>
      </c>
      <c r="T16" s="25">
        <v>234704242</v>
      </c>
      <c r="U16" s="25">
        <v>355104268</v>
      </c>
      <c r="V16" s="25">
        <v>4186760536</v>
      </c>
      <c r="W16" s="25">
        <v>3061219432</v>
      </c>
      <c r="X16" s="26">
        <f t="shared" si="3"/>
        <v>12874342856</v>
      </c>
    </row>
    <row r="17" spans="2:24" ht="15.75" thickBot="1" x14ac:dyDescent="0.3">
      <c r="B17" s="27" t="s">
        <v>23</v>
      </c>
      <c r="C17" s="28">
        <v>7373</v>
      </c>
      <c r="D17" s="28">
        <v>477</v>
      </c>
      <c r="E17" s="28">
        <v>8869</v>
      </c>
      <c r="F17" s="28">
        <v>2411</v>
      </c>
      <c r="G17" s="28">
        <v>46381</v>
      </c>
      <c r="H17" s="28">
        <v>5613</v>
      </c>
      <c r="I17" s="28">
        <v>9892</v>
      </c>
      <c r="J17" s="28">
        <v>35103</v>
      </c>
      <c r="K17" s="28">
        <v>30352</v>
      </c>
      <c r="L17" s="29">
        <f t="shared" si="2"/>
        <v>146471</v>
      </c>
      <c r="M17" s="30"/>
      <c r="N17" s="27" t="s">
        <v>23</v>
      </c>
      <c r="O17" s="31">
        <v>369641411</v>
      </c>
      <c r="P17" s="31">
        <v>142396481</v>
      </c>
      <c r="Q17" s="31">
        <v>3629996955</v>
      </c>
      <c r="R17" s="31">
        <v>128715744</v>
      </c>
      <c r="S17" s="31">
        <v>2089456677</v>
      </c>
      <c r="T17" s="35">
        <v>251465574</v>
      </c>
      <c r="U17" s="31">
        <v>1440985051</v>
      </c>
      <c r="V17" s="31">
        <v>4990145826</v>
      </c>
      <c r="W17" s="31">
        <v>4515623859</v>
      </c>
      <c r="X17" s="32">
        <f t="shared" si="3"/>
        <v>17558427578</v>
      </c>
    </row>
    <row r="18" spans="2:24" x14ac:dyDescent="0.25">
      <c r="C18" s="33"/>
      <c r="D18" s="33"/>
      <c r="E18" s="33"/>
      <c r="F18" s="33"/>
      <c r="G18" s="33"/>
      <c r="H18" s="33"/>
      <c r="I18" s="33"/>
      <c r="J18" s="33"/>
      <c r="K18" s="33"/>
      <c r="L18" s="34"/>
      <c r="O18" s="33"/>
      <c r="P18" s="33"/>
      <c r="Q18" s="33"/>
      <c r="R18" s="33"/>
      <c r="S18" s="33"/>
      <c r="T18" s="33"/>
      <c r="U18" s="33"/>
      <c r="V18" s="33"/>
      <c r="W18" s="33"/>
      <c r="X18" s="34"/>
    </row>
    <row r="19" spans="2:24" ht="19.5" thickBot="1" x14ac:dyDescent="0.35">
      <c r="B19" s="1">
        <v>2024</v>
      </c>
      <c r="C19" s="2" t="s">
        <v>26</v>
      </c>
      <c r="D19" s="2"/>
      <c r="E19" s="2"/>
      <c r="F19" s="2"/>
      <c r="G19" s="2"/>
      <c r="H19" s="2"/>
      <c r="I19" s="2"/>
      <c r="J19" s="2"/>
      <c r="K19" s="2"/>
      <c r="L19" s="30"/>
      <c r="N19" s="1">
        <v>2024</v>
      </c>
      <c r="O19" s="2" t="s">
        <v>27</v>
      </c>
      <c r="P19" s="2"/>
      <c r="Q19" s="2"/>
      <c r="R19" s="2"/>
      <c r="S19" s="2"/>
      <c r="T19" s="2"/>
      <c r="U19" s="2"/>
      <c r="V19" s="2"/>
      <c r="W19" s="2"/>
      <c r="X19" s="30"/>
    </row>
    <row r="20" spans="2:24" x14ac:dyDescent="0.25">
      <c r="B20" s="3" t="s">
        <v>2</v>
      </c>
      <c r="C20" s="4" t="s">
        <v>3</v>
      </c>
      <c r="D20" s="4"/>
      <c r="E20" s="5" t="s">
        <v>4</v>
      </c>
      <c r="F20" s="6" t="s">
        <v>5</v>
      </c>
      <c r="G20" s="7"/>
      <c r="H20" s="5" t="s">
        <v>6</v>
      </c>
      <c r="I20" s="5" t="s">
        <v>7</v>
      </c>
      <c r="J20" s="4" t="s">
        <v>8</v>
      </c>
      <c r="K20" s="8"/>
      <c r="L20" s="9" t="s">
        <v>9</v>
      </c>
      <c r="M20" s="10"/>
      <c r="N20" s="3" t="s">
        <v>2</v>
      </c>
      <c r="O20" s="4" t="s">
        <v>3</v>
      </c>
      <c r="P20" s="4"/>
      <c r="Q20" s="5" t="s">
        <v>4</v>
      </c>
      <c r="R20" s="6" t="s">
        <v>5</v>
      </c>
      <c r="S20" s="7"/>
      <c r="T20" s="5" t="s">
        <v>6</v>
      </c>
      <c r="U20" s="5" t="s">
        <v>7</v>
      </c>
      <c r="V20" s="4" t="s">
        <v>8</v>
      </c>
      <c r="W20" s="8"/>
      <c r="X20" s="9" t="s">
        <v>9</v>
      </c>
    </row>
    <row r="21" spans="2:24" ht="45.75" thickBot="1" x14ac:dyDescent="0.3">
      <c r="B21" s="11"/>
      <c r="C21" s="12" t="s">
        <v>10</v>
      </c>
      <c r="D21" s="12" t="s">
        <v>11</v>
      </c>
      <c r="E21" s="12" t="s">
        <v>12</v>
      </c>
      <c r="F21" s="12" t="s">
        <v>13</v>
      </c>
      <c r="G21" s="12" t="s">
        <v>14</v>
      </c>
      <c r="H21" s="12" t="s">
        <v>15</v>
      </c>
      <c r="I21" s="12" t="s">
        <v>16</v>
      </c>
      <c r="J21" s="12" t="s">
        <v>17</v>
      </c>
      <c r="K21" s="13" t="s">
        <v>18</v>
      </c>
      <c r="L21" s="14"/>
      <c r="M21" s="10"/>
      <c r="N21" s="11"/>
      <c r="O21" s="12" t="s">
        <v>10</v>
      </c>
      <c r="P21" s="12" t="s">
        <v>11</v>
      </c>
      <c r="Q21" s="12" t="s">
        <v>12</v>
      </c>
      <c r="R21" s="12" t="s">
        <v>13</v>
      </c>
      <c r="S21" s="12" t="s">
        <v>14</v>
      </c>
      <c r="T21" s="12" t="s">
        <v>15</v>
      </c>
      <c r="U21" s="12" t="s">
        <v>16</v>
      </c>
      <c r="V21" s="12" t="s">
        <v>17</v>
      </c>
      <c r="W21" s="13" t="s">
        <v>18</v>
      </c>
      <c r="X21" s="14"/>
    </row>
    <row r="22" spans="2:24" x14ac:dyDescent="0.25">
      <c r="B22" s="18" t="s">
        <v>19</v>
      </c>
      <c r="C22" s="16">
        <v>1587</v>
      </c>
      <c r="D22" s="16">
        <v>179</v>
      </c>
      <c r="E22" s="16">
        <v>1673</v>
      </c>
      <c r="F22" s="16">
        <v>902</v>
      </c>
      <c r="G22" s="16">
        <v>10306</v>
      </c>
      <c r="H22" s="16">
        <v>1</v>
      </c>
      <c r="I22" s="16">
        <v>5658</v>
      </c>
      <c r="J22" s="16">
        <v>4369</v>
      </c>
      <c r="K22" s="16">
        <v>5699</v>
      </c>
      <c r="L22" s="17">
        <f>SUM(C22:K22)</f>
        <v>30374</v>
      </c>
      <c r="N22" s="18" t="s">
        <v>19</v>
      </c>
      <c r="O22" s="19">
        <v>68908372</v>
      </c>
      <c r="P22" s="19">
        <v>27875255</v>
      </c>
      <c r="Q22" s="19">
        <v>438339867</v>
      </c>
      <c r="R22" s="19">
        <v>41480005</v>
      </c>
      <c r="S22" s="19">
        <v>441701601</v>
      </c>
      <c r="T22" s="19">
        <v>150000</v>
      </c>
      <c r="U22" s="19">
        <v>746714272</v>
      </c>
      <c r="V22" s="19">
        <v>567470768</v>
      </c>
      <c r="W22" s="19">
        <v>882797497</v>
      </c>
      <c r="X22" s="20">
        <f>SUM(O22:W22)</f>
        <v>3215437637</v>
      </c>
    </row>
    <row r="23" spans="2:24" x14ac:dyDescent="0.25">
      <c r="B23" s="24" t="s">
        <v>20</v>
      </c>
      <c r="C23" s="22">
        <v>212</v>
      </c>
      <c r="D23" s="22">
        <v>57</v>
      </c>
      <c r="E23" s="22">
        <v>519</v>
      </c>
      <c r="F23" s="22">
        <v>155</v>
      </c>
      <c r="G23" s="22">
        <v>2575</v>
      </c>
      <c r="H23" s="22">
        <v>0</v>
      </c>
      <c r="I23" s="22">
        <v>2841</v>
      </c>
      <c r="J23" s="22">
        <v>1898</v>
      </c>
      <c r="K23" s="22">
        <v>2323</v>
      </c>
      <c r="L23" s="23">
        <f t="shared" ref="L23:L26" si="4">SUM(C23:K23)</f>
        <v>10580</v>
      </c>
      <c r="N23" s="24" t="s">
        <v>20</v>
      </c>
      <c r="O23" s="25">
        <v>6401543</v>
      </c>
      <c r="P23" s="25">
        <v>5053574</v>
      </c>
      <c r="Q23" s="25">
        <v>52718406</v>
      </c>
      <c r="R23" s="25">
        <v>6704311</v>
      </c>
      <c r="S23" s="25">
        <v>70147560</v>
      </c>
      <c r="T23" s="25">
        <v>0</v>
      </c>
      <c r="U23" s="25">
        <v>211687157</v>
      </c>
      <c r="V23" s="25">
        <v>114644670</v>
      </c>
      <c r="W23" s="25">
        <v>170577544</v>
      </c>
      <c r="X23" s="26">
        <f t="shared" ref="X23:X26" si="5">SUM(O23:W23)</f>
        <v>637934765</v>
      </c>
    </row>
    <row r="24" spans="2:24" x14ac:dyDescent="0.25">
      <c r="B24" s="24" t="s">
        <v>21</v>
      </c>
      <c r="C24" s="22">
        <v>152</v>
      </c>
      <c r="D24" s="22">
        <v>10</v>
      </c>
      <c r="E24" s="22">
        <v>168</v>
      </c>
      <c r="F24" s="22">
        <v>25</v>
      </c>
      <c r="G24" s="22">
        <v>1038</v>
      </c>
      <c r="H24" s="22">
        <v>0</v>
      </c>
      <c r="I24" s="22">
        <v>411</v>
      </c>
      <c r="J24" s="22">
        <v>866</v>
      </c>
      <c r="K24" s="22">
        <v>65</v>
      </c>
      <c r="L24" s="23">
        <f t="shared" si="4"/>
        <v>2735</v>
      </c>
      <c r="N24" s="24" t="s">
        <v>21</v>
      </c>
      <c r="O24" s="25">
        <v>1224705</v>
      </c>
      <c r="P24" s="25">
        <v>136490</v>
      </c>
      <c r="Q24" s="25">
        <v>2487905</v>
      </c>
      <c r="R24" s="25">
        <v>220732</v>
      </c>
      <c r="S24" s="25">
        <v>6040675</v>
      </c>
      <c r="T24" s="25">
        <v>0</v>
      </c>
      <c r="U24" s="25">
        <v>1509136</v>
      </c>
      <c r="V24" s="25">
        <v>6513662</v>
      </c>
      <c r="W24" s="25">
        <v>584955</v>
      </c>
      <c r="X24" s="26">
        <f t="shared" si="5"/>
        <v>18718260</v>
      </c>
    </row>
    <row r="25" spans="2:24" x14ac:dyDescent="0.25">
      <c r="B25" s="24" t="s">
        <v>22</v>
      </c>
      <c r="C25" s="22">
        <v>7371</v>
      </c>
      <c r="D25" s="22">
        <v>302</v>
      </c>
      <c r="E25" s="22">
        <v>5855</v>
      </c>
      <c r="F25" s="22">
        <v>953</v>
      </c>
      <c r="G25" s="22">
        <v>10794</v>
      </c>
      <c r="H25" s="22">
        <v>47</v>
      </c>
      <c r="I25" s="22">
        <v>254</v>
      </c>
      <c r="J25" s="22">
        <v>12699</v>
      </c>
      <c r="K25" s="22">
        <v>9209</v>
      </c>
      <c r="L25" s="23">
        <f t="shared" si="4"/>
        <v>47484</v>
      </c>
      <c r="N25" s="24" t="s">
        <v>22</v>
      </c>
      <c r="O25" s="25">
        <v>408462212</v>
      </c>
      <c r="P25" s="25">
        <v>119375841</v>
      </c>
      <c r="Q25" s="25">
        <v>2222664940</v>
      </c>
      <c r="R25" s="25">
        <v>72667793</v>
      </c>
      <c r="S25" s="25">
        <v>529730800</v>
      </c>
      <c r="T25" s="25">
        <v>2712424</v>
      </c>
      <c r="U25" s="25">
        <v>38718194</v>
      </c>
      <c r="V25" s="25">
        <v>2017092818</v>
      </c>
      <c r="W25" s="25">
        <v>1565824805</v>
      </c>
      <c r="X25" s="26">
        <f t="shared" si="5"/>
        <v>6977249827</v>
      </c>
    </row>
    <row r="26" spans="2:24" ht="15.75" thickBot="1" x14ac:dyDescent="0.3">
      <c r="B26" s="27" t="s">
        <v>23</v>
      </c>
      <c r="C26" s="28">
        <v>9108</v>
      </c>
      <c r="D26" s="28">
        <v>504</v>
      </c>
      <c r="E26" s="28">
        <v>7714</v>
      </c>
      <c r="F26" s="28">
        <v>1991</v>
      </c>
      <c r="G26" s="28">
        <v>24112</v>
      </c>
      <c r="H26" s="28">
        <v>48</v>
      </c>
      <c r="I26" s="28">
        <v>8984</v>
      </c>
      <c r="J26" s="28">
        <v>19013</v>
      </c>
      <c r="K26" s="28">
        <v>16016</v>
      </c>
      <c r="L26" s="29">
        <f t="shared" si="4"/>
        <v>87490</v>
      </c>
      <c r="M26" s="30"/>
      <c r="N26" s="27" t="s">
        <v>23</v>
      </c>
      <c r="O26" s="31">
        <v>484999516</v>
      </c>
      <c r="P26" s="31">
        <v>152441564</v>
      </c>
      <c r="Q26" s="31">
        <v>2716215003</v>
      </c>
      <c r="R26" s="31">
        <v>121073038</v>
      </c>
      <c r="S26" s="31">
        <v>1047629739</v>
      </c>
      <c r="T26" s="31">
        <v>2862424</v>
      </c>
      <c r="U26" s="31">
        <v>998629782</v>
      </c>
      <c r="V26" s="31">
        <v>2705729782</v>
      </c>
      <c r="W26" s="31">
        <v>2619790909</v>
      </c>
      <c r="X26" s="32">
        <f t="shared" si="5"/>
        <v>10849371757</v>
      </c>
    </row>
    <row r="28" spans="2:24" ht="19.5" thickBot="1" x14ac:dyDescent="0.35">
      <c r="B28" s="1">
        <v>2023</v>
      </c>
      <c r="C28" s="2" t="s">
        <v>28</v>
      </c>
      <c r="D28" s="2"/>
      <c r="E28" s="2"/>
      <c r="F28" s="2"/>
      <c r="G28" s="2"/>
      <c r="H28" s="2"/>
      <c r="I28" s="2"/>
      <c r="J28" s="2"/>
      <c r="K28" s="2"/>
      <c r="L28" s="30"/>
      <c r="N28" s="1">
        <v>2023</v>
      </c>
      <c r="O28" s="2" t="s">
        <v>29</v>
      </c>
      <c r="P28" s="2"/>
      <c r="Q28" s="2"/>
      <c r="R28" s="2"/>
      <c r="S28" s="2"/>
      <c r="T28" s="2"/>
      <c r="U28" s="2"/>
      <c r="V28" s="2"/>
      <c r="W28" s="2"/>
      <c r="X28" s="30"/>
    </row>
    <row r="29" spans="2:24" x14ac:dyDescent="0.25">
      <c r="B29" s="3" t="s">
        <v>2</v>
      </c>
      <c r="C29" s="4" t="s">
        <v>3</v>
      </c>
      <c r="D29" s="4"/>
      <c r="E29" s="5" t="s">
        <v>4</v>
      </c>
      <c r="F29" s="6" t="s">
        <v>5</v>
      </c>
      <c r="G29" s="7"/>
      <c r="H29" s="5" t="s">
        <v>6</v>
      </c>
      <c r="I29" s="5" t="s">
        <v>7</v>
      </c>
      <c r="J29" s="4" t="s">
        <v>8</v>
      </c>
      <c r="K29" s="8"/>
      <c r="L29" s="9" t="s">
        <v>9</v>
      </c>
      <c r="M29" s="10"/>
      <c r="N29" s="3" t="s">
        <v>2</v>
      </c>
      <c r="O29" s="4" t="s">
        <v>3</v>
      </c>
      <c r="P29" s="4"/>
      <c r="Q29" s="5" t="s">
        <v>4</v>
      </c>
      <c r="R29" s="6" t="s">
        <v>5</v>
      </c>
      <c r="S29" s="7"/>
      <c r="T29" s="5" t="s">
        <v>6</v>
      </c>
      <c r="U29" s="5" t="s">
        <v>7</v>
      </c>
      <c r="V29" s="4" t="s">
        <v>8</v>
      </c>
      <c r="W29" s="8"/>
      <c r="X29" s="9" t="s">
        <v>9</v>
      </c>
    </row>
    <row r="30" spans="2:24" ht="45.75" thickBot="1" x14ac:dyDescent="0.3">
      <c r="B30" s="11"/>
      <c r="C30" s="12" t="s">
        <v>10</v>
      </c>
      <c r="D30" s="12" t="s">
        <v>11</v>
      </c>
      <c r="E30" s="12" t="s">
        <v>12</v>
      </c>
      <c r="F30" s="12" t="s">
        <v>13</v>
      </c>
      <c r="G30" s="12" t="s">
        <v>14</v>
      </c>
      <c r="H30" s="12" t="s">
        <v>15</v>
      </c>
      <c r="I30" s="12" t="s">
        <v>16</v>
      </c>
      <c r="J30" s="12" t="s">
        <v>17</v>
      </c>
      <c r="K30" s="13" t="s">
        <v>18</v>
      </c>
      <c r="L30" s="14"/>
      <c r="M30" s="10"/>
      <c r="N30" s="11"/>
      <c r="O30" s="12" t="s">
        <v>10</v>
      </c>
      <c r="P30" s="12" t="s">
        <v>11</v>
      </c>
      <c r="Q30" s="12" t="s">
        <v>12</v>
      </c>
      <c r="R30" s="12" t="s">
        <v>13</v>
      </c>
      <c r="S30" s="12" t="s">
        <v>14</v>
      </c>
      <c r="T30" s="12" t="s">
        <v>15</v>
      </c>
      <c r="U30" s="12" t="s">
        <v>16</v>
      </c>
      <c r="V30" s="12" t="s">
        <v>17</v>
      </c>
      <c r="W30" s="13" t="s">
        <v>18</v>
      </c>
      <c r="X30" s="14"/>
    </row>
    <row r="31" spans="2:24" x14ac:dyDescent="0.25">
      <c r="B31" s="18" t="s">
        <v>19</v>
      </c>
      <c r="C31" s="16">
        <v>1591</v>
      </c>
      <c r="D31" s="16">
        <v>204</v>
      </c>
      <c r="E31" s="16">
        <v>1665</v>
      </c>
      <c r="F31" s="16">
        <v>1134</v>
      </c>
      <c r="G31" s="16">
        <v>4353</v>
      </c>
      <c r="H31" s="16">
        <v>0</v>
      </c>
      <c r="I31" s="16">
        <v>4492</v>
      </c>
      <c r="J31" s="16">
        <v>2225</v>
      </c>
      <c r="K31" s="16">
        <v>3829</v>
      </c>
      <c r="L31" s="17">
        <f>SUM(C31:K31)</f>
        <v>19493</v>
      </c>
      <c r="N31" s="18" t="s">
        <v>19</v>
      </c>
      <c r="O31" s="19">
        <v>71009342</v>
      </c>
      <c r="P31" s="19">
        <v>31367357</v>
      </c>
      <c r="Q31" s="19">
        <v>504411131</v>
      </c>
      <c r="R31" s="19">
        <v>49922445</v>
      </c>
      <c r="S31" s="19">
        <v>184256775</v>
      </c>
      <c r="T31" s="19">
        <v>0</v>
      </c>
      <c r="U31" s="19">
        <v>678324105</v>
      </c>
      <c r="V31" s="19">
        <v>329515124</v>
      </c>
      <c r="W31" s="19">
        <v>618412051</v>
      </c>
      <c r="X31" s="20">
        <f>SUM(O31:W31)</f>
        <v>2467218330</v>
      </c>
    </row>
    <row r="32" spans="2:24" x14ac:dyDescent="0.25">
      <c r="B32" s="24" t="s">
        <v>20</v>
      </c>
      <c r="C32" s="22">
        <v>363</v>
      </c>
      <c r="D32" s="22">
        <v>95</v>
      </c>
      <c r="E32" s="22">
        <v>568</v>
      </c>
      <c r="F32" s="22">
        <v>370</v>
      </c>
      <c r="G32" s="22">
        <v>2464</v>
      </c>
      <c r="H32" s="22">
        <v>0</v>
      </c>
      <c r="I32" s="22">
        <v>3163</v>
      </c>
      <c r="J32" s="22">
        <v>1496</v>
      </c>
      <c r="K32" s="22">
        <v>2219</v>
      </c>
      <c r="L32" s="17">
        <f t="shared" ref="L32:L35" si="6">SUM(C32:K32)</f>
        <v>10738</v>
      </c>
      <c r="N32" s="24" t="s">
        <v>20</v>
      </c>
      <c r="O32" s="25">
        <v>9717164</v>
      </c>
      <c r="P32" s="25">
        <v>8793718</v>
      </c>
      <c r="Q32" s="25">
        <v>63265194</v>
      </c>
      <c r="R32" s="25">
        <v>10413527</v>
      </c>
      <c r="S32" s="25">
        <v>44740583</v>
      </c>
      <c r="T32" s="25">
        <v>0</v>
      </c>
      <c r="U32" s="25">
        <v>241028755</v>
      </c>
      <c r="V32" s="25">
        <v>87002328</v>
      </c>
      <c r="W32" s="25">
        <v>172643956</v>
      </c>
      <c r="X32" s="26">
        <f t="shared" ref="X32:X35" si="7">SUM(O32:W32)</f>
        <v>637605225</v>
      </c>
    </row>
    <row r="33" spans="2:24" x14ac:dyDescent="0.25">
      <c r="B33" s="24" t="s">
        <v>21</v>
      </c>
      <c r="C33" s="22">
        <v>143</v>
      </c>
      <c r="D33" s="22">
        <v>16</v>
      </c>
      <c r="E33" s="22">
        <v>128</v>
      </c>
      <c r="F33" s="22">
        <v>77</v>
      </c>
      <c r="G33" s="22">
        <v>1024</v>
      </c>
      <c r="H33" s="22">
        <v>0</v>
      </c>
      <c r="I33" s="22">
        <v>376</v>
      </c>
      <c r="J33" s="22">
        <v>677</v>
      </c>
      <c r="K33" s="22">
        <v>91</v>
      </c>
      <c r="L33" s="17">
        <f t="shared" si="6"/>
        <v>2532</v>
      </c>
      <c r="N33" s="24" t="s">
        <v>21</v>
      </c>
      <c r="O33" s="25">
        <v>1011054</v>
      </c>
      <c r="P33" s="25">
        <v>177350</v>
      </c>
      <c r="Q33" s="25">
        <v>974252</v>
      </c>
      <c r="R33" s="25">
        <v>453482</v>
      </c>
      <c r="S33" s="25">
        <v>4330590</v>
      </c>
      <c r="T33" s="25">
        <v>0</v>
      </c>
      <c r="U33" s="25">
        <v>1170040</v>
      </c>
      <c r="V33" s="25">
        <v>4067705</v>
      </c>
      <c r="W33" s="25">
        <v>716758</v>
      </c>
      <c r="X33" s="26">
        <f t="shared" si="7"/>
        <v>12901231</v>
      </c>
    </row>
    <row r="34" spans="2:24" x14ac:dyDescent="0.25">
      <c r="B34" s="24" t="s">
        <v>22</v>
      </c>
      <c r="C34" s="22">
        <v>6123</v>
      </c>
      <c r="D34" s="22">
        <v>337</v>
      </c>
      <c r="E34" s="22">
        <v>4638</v>
      </c>
      <c r="F34" s="22">
        <v>1220</v>
      </c>
      <c r="G34" s="22">
        <v>6251</v>
      </c>
      <c r="H34" s="22">
        <v>1</v>
      </c>
      <c r="I34" s="22">
        <v>698</v>
      </c>
      <c r="J34" s="22">
        <v>6058</v>
      </c>
      <c r="K34" s="22">
        <v>5998</v>
      </c>
      <c r="L34" s="17">
        <f t="shared" si="6"/>
        <v>31324</v>
      </c>
      <c r="N34" s="24" t="s">
        <v>22</v>
      </c>
      <c r="O34" s="25">
        <v>299844462</v>
      </c>
      <c r="P34" s="25">
        <v>117778534</v>
      </c>
      <c r="Q34" s="25">
        <v>1951915207</v>
      </c>
      <c r="R34" s="25">
        <v>61775331</v>
      </c>
      <c r="S34" s="25">
        <v>300018728</v>
      </c>
      <c r="T34" s="25">
        <v>500</v>
      </c>
      <c r="U34" s="25">
        <v>80772806</v>
      </c>
      <c r="V34" s="25">
        <v>915480235</v>
      </c>
      <c r="W34" s="25">
        <v>965416231</v>
      </c>
      <c r="X34" s="26">
        <f t="shared" si="7"/>
        <v>4693002034</v>
      </c>
    </row>
    <row r="35" spans="2:24" ht="15.75" thickBot="1" x14ac:dyDescent="0.3">
      <c r="B35" s="27" t="s">
        <v>23</v>
      </c>
      <c r="C35" s="28">
        <v>7923</v>
      </c>
      <c r="D35" s="28">
        <v>603</v>
      </c>
      <c r="E35" s="28">
        <v>6357</v>
      </c>
      <c r="F35" s="28">
        <v>2719</v>
      </c>
      <c r="G35" s="28">
        <v>13665</v>
      </c>
      <c r="H35" s="28">
        <v>1</v>
      </c>
      <c r="I35" s="28">
        <v>8418</v>
      </c>
      <c r="J35" s="28">
        <v>9921</v>
      </c>
      <c r="K35" s="28">
        <v>11071</v>
      </c>
      <c r="L35" s="17">
        <f t="shared" si="6"/>
        <v>60678</v>
      </c>
      <c r="M35" s="30"/>
      <c r="N35" s="27" t="s">
        <v>23</v>
      </c>
      <c r="O35" s="31">
        <v>381584979</v>
      </c>
      <c r="P35" s="31">
        <v>158117224</v>
      </c>
      <c r="Q35" s="31">
        <v>2520568742</v>
      </c>
      <c r="R35" s="31">
        <v>122564868</v>
      </c>
      <c r="S35" s="31">
        <v>533349171</v>
      </c>
      <c r="T35" s="31">
        <v>500</v>
      </c>
      <c r="U35" s="31">
        <v>1001296321</v>
      </c>
      <c r="V35" s="31">
        <v>1336067642</v>
      </c>
      <c r="W35" s="31">
        <v>1757192867</v>
      </c>
      <c r="X35" s="32">
        <f t="shared" si="7"/>
        <v>7810742314</v>
      </c>
    </row>
  </sheetData>
  <mergeCells count="52">
    <mergeCell ref="M29:M30"/>
    <mergeCell ref="N29:N30"/>
    <mergeCell ref="O29:P29"/>
    <mergeCell ref="R29:S29"/>
    <mergeCell ref="V29:W29"/>
    <mergeCell ref="X29:X30"/>
    <mergeCell ref="R20:S20"/>
    <mergeCell ref="V20:W20"/>
    <mergeCell ref="X20:X21"/>
    <mergeCell ref="C28:K28"/>
    <mergeCell ref="O28:W28"/>
    <mergeCell ref="B29:B30"/>
    <mergeCell ref="C29:D29"/>
    <mergeCell ref="F29:G29"/>
    <mergeCell ref="J29:K29"/>
    <mergeCell ref="L29:L30"/>
    <mergeCell ref="C19:K19"/>
    <mergeCell ref="O19:W19"/>
    <mergeCell ref="B20:B21"/>
    <mergeCell ref="C20:D20"/>
    <mergeCell ref="F20:G20"/>
    <mergeCell ref="J20:K20"/>
    <mergeCell ref="L20:L21"/>
    <mergeCell ref="M20:M21"/>
    <mergeCell ref="N20:N21"/>
    <mergeCell ref="O20:P20"/>
    <mergeCell ref="M11:M12"/>
    <mergeCell ref="N11:N12"/>
    <mergeCell ref="O11:P11"/>
    <mergeCell ref="R11:S11"/>
    <mergeCell ref="V11:W11"/>
    <mergeCell ref="X11:X12"/>
    <mergeCell ref="R2:S2"/>
    <mergeCell ref="V2:W2"/>
    <mergeCell ref="X2:X3"/>
    <mergeCell ref="C10:K10"/>
    <mergeCell ref="O10:W10"/>
    <mergeCell ref="B11:B12"/>
    <mergeCell ref="C11:D11"/>
    <mergeCell ref="F11:G11"/>
    <mergeCell ref="J11:K11"/>
    <mergeCell ref="L11:L12"/>
    <mergeCell ref="C1:K1"/>
    <mergeCell ref="O1:W1"/>
    <mergeCell ref="B2:B3"/>
    <mergeCell ref="C2:D2"/>
    <mergeCell ref="F2:G2"/>
    <mergeCell ref="J2:K2"/>
    <mergeCell ref="L2:L3"/>
    <mergeCell ref="M2:M3"/>
    <mergeCell ref="N2:N3"/>
    <mergeCell ref="O2:P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41" orientation="landscape" r:id="rId1"/>
  <headerFooter>
    <oddHeader>&amp;LSOBHA LLC&amp;C&amp;"-,Bold"&amp;36Mode of Payment summary&amp;R&amp;D</oddHeader>
    <oddFooter>&amp;LCOLLECTIONS&amp;R&amp;P/&amp;N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3CC61-6C98-49D3-88ED-3DBF623388A4}">
  <sheetPr>
    <pageSetUpPr fitToPage="1"/>
  </sheetPr>
  <dimension ref="A1:AA41"/>
  <sheetViews>
    <sheetView showGridLines="0" tabSelected="1" topLeftCell="B1" zoomScale="70" zoomScaleNormal="70" zoomScaleSheetLayoutView="80" workbookViewId="0"/>
  </sheetViews>
  <sheetFormatPr defaultRowHeight="15" x14ac:dyDescent="0.25"/>
  <cols>
    <col min="1" max="1" width="15.140625" hidden="1" customWidth="1"/>
    <col min="2" max="2" width="19.140625" style="1" bestFit="1" customWidth="1"/>
    <col min="3" max="3" width="7.42578125" style="1" bestFit="1" customWidth="1"/>
    <col min="4" max="4" width="10.5703125" style="1" bestFit="1" customWidth="1"/>
    <col min="5" max="5" width="21" style="1" bestFit="1" customWidth="1"/>
    <col min="6" max="6" width="8.5703125" style="1" bestFit="1" customWidth="1"/>
    <col min="7" max="7" width="17.85546875" style="1" bestFit="1" customWidth="1"/>
    <col min="8" max="8" width="14.7109375" style="1" bestFit="1" customWidth="1"/>
    <col min="9" max="9" width="17.85546875" style="1" bestFit="1" customWidth="1"/>
    <col min="10" max="10" width="13.28515625" style="1" bestFit="1" customWidth="1"/>
    <col min="11" max="11" width="12.28515625" style="1" bestFit="1" customWidth="1"/>
    <col min="12" max="12" width="15" style="1" bestFit="1" customWidth="1"/>
    <col min="13" max="13" width="4.28515625" style="1" customWidth="1"/>
    <col min="14" max="14" width="19.140625" style="1" bestFit="1" customWidth="1"/>
    <col min="15" max="15" width="7.42578125" style="1" bestFit="1" customWidth="1"/>
    <col min="16" max="16" width="10.5703125" style="1" bestFit="1" customWidth="1"/>
    <col min="17" max="17" width="14.42578125" style="1" customWidth="1"/>
    <col min="18" max="18" width="8.5703125" style="1" bestFit="1" customWidth="1"/>
    <col min="19" max="19" width="17.85546875" style="1" bestFit="1" customWidth="1"/>
    <col min="20" max="20" width="14.7109375" style="1" bestFit="1" customWidth="1"/>
    <col min="21" max="21" width="17.85546875" style="1" bestFit="1" customWidth="1"/>
    <col min="22" max="22" width="14" style="1" bestFit="1" customWidth="1"/>
    <col min="23" max="23" width="13.140625" style="1" bestFit="1" customWidth="1"/>
    <col min="24" max="24" width="15" style="36" bestFit="1" customWidth="1"/>
    <col min="26" max="26" width="16" customWidth="1"/>
    <col min="27" max="27" width="11.140625" bestFit="1" customWidth="1"/>
    <col min="28" max="28" width="3.42578125" bestFit="1" customWidth="1"/>
  </cols>
  <sheetData>
    <row r="1" spans="2:27" ht="19.5" thickBot="1" x14ac:dyDescent="0.35">
      <c r="B1" s="1">
        <v>2026</v>
      </c>
      <c r="C1" s="2" t="s">
        <v>30</v>
      </c>
      <c r="D1" s="2"/>
      <c r="E1" s="2"/>
      <c r="F1" s="2"/>
      <c r="G1" s="2"/>
      <c r="H1" s="2"/>
      <c r="I1" s="2"/>
      <c r="J1" s="2"/>
      <c r="K1" s="2"/>
      <c r="N1" s="1">
        <v>2026</v>
      </c>
      <c r="O1" s="2" t="s">
        <v>31</v>
      </c>
      <c r="P1" s="2"/>
      <c r="Q1" s="2"/>
      <c r="R1" s="2"/>
      <c r="S1" s="2"/>
      <c r="T1" s="2"/>
      <c r="U1" s="2"/>
      <c r="V1" s="2"/>
      <c r="W1" s="2"/>
      <c r="Z1" s="37"/>
      <c r="AA1" s="37"/>
    </row>
    <row r="2" spans="2:27" x14ac:dyDescent="0.25">
      <c r="B2" s="3" t="s">
        <v>2</v>
      </c>
      <c r="C2" s="4" t="s">
        <v>3</v>
      </c>
      <c r="D2" s="4"/>
      <c r="E2" s="5" t="s">
        <v>4</v>
      </c>
      <c r="F2" s="6" t="s">
        <v>5</v>
      </c>
      <c r="G2" s="7"/>
      <c r="H2" s="5" t="s">
        <v>6</v>
      </c>
      <c r="I2" s="5" t="s">
        <v>7</v>
      </c>
      <c r="J2" s="4" t="s">
        <v>8</v>
      </c>
      <c r="K2" s="8"/>
      <c r="L2" s="9" t="s">
        <v>9</v>
      </c>
      <c r="M2" s="10"/>
      <c r="N2" s="3" t="s">
        <v>2</v>
      </c>
      <c r="O2" s="4" t="s">
        <v>3</v>
      </c>
      <c r="P2" s="4"/>
      <c r="Q2" s="5" t="s">
        <v>4</v>
      </c>
      <c r="R2" s="6" t="s">
        <v>5</v>
      </c>
      <c r="S2" s="7"/>
      <c r="T2" s="5" t="s">
        <v>6</v>
      </c>
      <c r="U2" s="5" t="s">
        <v>7</v>
      </c>
      <c r="V2" s="4" t="s">
        <v>8</v>
      </c>
      <c r="W2" s="8"/>
      <c r="X2" s="9" t="s">
        <v>9</v>
      </c>
      <c r="Z2" s="37"/>
      <c r="AA2" s="37"/>
    </row>
    <row r="3" spans="2:27" ht="30.75" thickBot="1" x14ac:dyDescent="0.3">
      <c r="B3" s="11"/>
      <c r="C3" s="12" t="s">
        <v>10</v>
      </c>
      <c r="D3" s="12" t="s">
        <v>11</v>
      </c>
      <c r="E3" s="12" t="s">
        <v>12</v>
      </c>
      <c r="F3" s="12" t="s">
        <v>13</v>
      </c>
      <c r="G3" s="12" t="s">
        <v>14</v>
      </c>
      <c r="H3" s="12" t="s">
        <v>15</v>
      </c>
      <c r="I3" s="12" t="s">
        <v>16</v>
      </c>
      <c r="J3" s="12" t="s">
        <v>17</v>
      </c>
      <c r="K3" s="13" t="s">
        <v>18</v>
      </c>
      <c r="L3" s="14"/>
      <c r="M3" s="10"/>
      <c r="N3" s="11"/>
      <c r="O3" s="12" t="s">
        <v>10</v>
      </c>
      <c r="P3" s="12" t="s">
        <v>11</v>
      </c>
      <c r="Q3" s="12" t="s">
        <v>12</v>
      </c>
      <c r="R3" s="12" t="s">
        <v>13</v>
      </c>
      <c r="S3" s="12" t="s">
        <v>14</v>
      </c>
      <c r="T3" s="12" t="s">
        <v>15</v>
      </c>
      <c r="U3" s="12" t="s">
        <v>16</v>
      </c>
      <c r="V3" s="12" t="s">
        <v>17</v>
      </c>
      <c r="W3" s="13" t="s">
        <v>18</v>
      </c>
      <c r="X3" s="14"/>
      <c r="Z3" s="37"/>
      <c r="AA3" s="37"/>
    </row>
    <row r="4" spans="2:27" x14ac:dyDescent="0.25">
      <c r="B4" s="15" t="s">
        <v>19</v>
      </c>
      <c r="C4" s="38">
        <f>summary!C4/summary!$L4</f>
        <v>6.9898869720404523E-3</v>
      </c>
      <c r="D4" s="38">
        <f>summary!D4/summary!$L4</f>
        <v>3.8667459845330159E-3</v>
      </c>
      <c r="E4" s="38">
        <f>summary!E4/summary!$L4</f>
        <v>4.4467578822129684E-2</v>
      </c>
      <c r="F4" s="38">
        <f>summary!F4/summary!$L4</f>
        <v>1.6805472932778107E-2</v>
      </c>
      <c r="G4" s="38">
        <f>summary!G4/summary!$L4</f>
        <v>0.4405116002379536</v>
      </c>
      <c r="H4" s="38">
        <f>summary!H4/summary!$L4</f>
        <v>3.9559785841760856E-2</v>
      </c>
      <c r="I4" s="38">
        <f>summary!I4/summary!$L4</f>
        <v>0.13013087447947649</v>
      </c>
      <c r="J4" s="38">
        <f>summary!J4/summary!$L4</f>
        <v>0.12433075550267698</v>
      </c>
      <c r="K4" s="38">
        <f>summary!K4/summary!$L4</f>
        <v>0.1933372992266508</v>
      </c>
      <c r="L4" s="39">
        <f>SUM(C4:K4)</f>
        <v>1</v>
      </c>
      <c r="N4" s="15" t="s">
        <v>19</v>
      </c>
      <c r="O4" s="38">
        <f>summary!O4/summary!$X4</f>
        <v>2.2806749670501178E-3</v>
      </c>
      <c r="P4" s="38">
        <f>summary!P4/summary!$X4</f>
        <v>5.4298035724615924E-3</v>
      </c>
      <c r="Q4" s="38">
        <f>summary!Q4/summary!$X4</f>
        <v>8.9581073710942247E-2</v>
      </c>
      <c r="R4" s="38">
        <f>summary!R4/summary!$X4</f>
        <v>7.2143927046657815E-3</v>
      </c>
      <c r="S4" s="38">
        <f>summary!S4/summary!$X4</f>
        <v>0.19871997315813961</v>
      </c>
      <c r="T4" s="38">
        <f>summary!T4/summary!$X4</f>
        <v>1.6916826809015073E-2</v>
      </c>
      <c r="U4" s="38">
        <f>summary!U4/summary!$X4</f>
        <v>0.21224719619578444</v>
      </c>
      <c r="V4" s="38">
        <f>summary!V4/summary!$X4</f>
        <v>0.20043482850922126</v>
      </c>
      <c r="W4" s="38">
        <f>summary!W4/summary!$X4</f>
        <v>0.2671752303727199</v>
      </c>
      <c r="X4" s="39">
        <f>SUM(O4:W4)</f>
        <v>1</v>
      </c>
    </row>
    <row r="5" spans="2:27" x14ac:dyDescent="0.25">
      <c r="B5" s="21" t="s">
        <v>20</v>
      </c>
      <c r="C5" s="40">
        <f>summary!C5/summary!$L5</f>
        <v>4.7221213221939704E-3</v>
      </c>
      <c r="D5" s="40">
        <f>summary!D5/summary!$L5</f>
        <v>5.4486015256084274E-3</v>
      </c>
      <c r="E5" s="40">
        <f>summary!E5/summary!$L5</f>
        <v>2.4700326916091538E-2</v>
      </c>
      <c r="F5" s="40">
        <f>summary!F5/summary!$L5</f>
        <v>6.5383218307301129E-3</v>
      </c>
      <c r="G5" s="40">
        <f>summary!G5/summary!$L5</f>
        <v>0.41772611696331274</v>
      </c>
      <c r="H5" s="40">
        <f>summary!H5/summary!$L5</f>
        <v>5.0853614239011989E-3</v>
      </c>
      <c r="I5" s="40">
        <f>summary!I5/summary!$L5</f>
        <v>0.14239011986923356</v>
      </c>
      <c r="J5" s="40">
        <f>summary!J5/summary!$L5</f>
        <v>0.20523065746458408</v>
      </c>
      <c r="K5" s="40">
        <f>summary!K5/summary!$L5</f>
        <v>0.18815837268434435</v>
      </c>
      <c r="L5" s="41">
        <f t="shared" ref="L5:L8" si="0">SUM(C5:K5)</f>
        <v>1</v>
      </c>
      <c r="N5" s="21" t="s">
        <v>20</v>
      </c>
      <c r="O5" s="40">
        <f>summary!O5/summary!$X5</f>
        <v>2.4177672637814393E-3</v>
      </c>
      <c r="P5" s="40">
        <f>summary!P5/summary!$X5</f>
        <v>9.3297837325175114E-3</v>
      </c>
      <c r="Q5" s="40">
        <f>summary!Q5/summary!$X5</f>
        <v>6.607905132908308E-2</v>
      </c>
      <c r="R5" s="40">
        <f>summary!R5/summary!$X5</f>
        <v>1.3852591620814685E-3</v>
      </c>
      <c r="S5" s="40">
        <f>summary!S5/summary!$X5</f>
        <v>0.18170206274962206</v>
      </c>
      <c r="T5" s="40">
        <f>summary!T5/summary!$X5</f>
        <v>2.0339820316492762E-3</v>
      </c>
      <c r="U5" s="40">
        <f>summary!U5/summary!$X5</f>
        <v>0.26041296387437651</v>
      </c>
      <c r="V5" s="40">
        <f>summary!V5/summary!$X5</f>
        <v>0.19557931265009235</v>
      </c>
      <c r="W5" s="40">
        <f>summary!W5/summary!$X5</f>
        <v>0.28105981720679629</v>
      </c>
      <c r="X5" s="41">
        <f t="shared" ref="X5:X8" si="1">SUM(O5:W5)</f>
        <v>1</v>
      </c>
    </row>
    <row r="6" spans="2:27" x14ac:dyDescent="0.25">
      <c r="B6" s="21" t="s">
        <v>21</v>
      </c>
      <c r="C6" s="40">
        <f>summary!C6/summary!$L6</f>
        <v>1.2126111560226353E-2</v>
      </c>
      <c r="D6" s="40">
        <f>summary!D6/summary!$L6</f>
        <v>2.425222312045271E-3</v>
      </c>
      <c r="E6" s="40">
        <f>summary!E6/summary!$L6</f>
        <v>1.5359741309620048E-2</v>
      </c>
      <c r="F6" s="40">
        <f>summary!F6/summary!$L6</f>
        <v>1.0913500404203719E-2</v>
      </c>
      <c r="G6" s="40">
        <f>summary!G6/summary!$L6</f>
        <v>0.32821341956346001</v>
      </c>
      <c r="H6" s="40">
        <f>summary!H6/summary!$L6</f>
        <v>5.2546483427647539E-3</v>
      </c>
      <c r="I6" s="40">
        <f>summary!I6/summary!$L6</f>
        <v>8.2053354890865002E-2</v>
      </c>
      <c r="J6" s="40">
        <f>summary!J6/summary!$L6</f>
        <v>0.34397736459175426</v>
      </c>
      <c r="K6" s="40">
        <f>summary!K6/summary!$L6</f>
        <v>0.19967663702506064</v>
      </c>
      <c r="L6" s="41">
        <f t="shared" si="0"/>
        <v>1</v>
      </c>
      <c r="N6" s="21" t="s">
        <v>21</v>
      </c>
      <c r="O6" s="40">
        <f>summary!O6/summary!$X6</f>
        <v>1.4374849346343819E-2</v>
      </c>
      <c r="P6" s="40">
        <f>summary!P6/summary!$X6</f>
        <v>6.3693142772980518E-3</v>
      </c>
      <c r="Q6" s="40">
        <f>summary!Q6/summary!$X6</f>
        <v>4.7065823488023302E-2</v>
      </c>
      <c r="R6" s="40">
        <f>summary!R6/summary!$X6</f>
        <v>1.9254679981357038E-2</v>
      </c>
      <c r="S6" s="40">
        <f>summary!S6/summary!$X6</f>
        <v>0.395907924392082</v>
      </c>
      <c r="T6" s="40">
        <f>summary!T6/summary!$X6</f>
        <v>6.7642856780088445E-3</v>
      </c>
      <c r="U6" s="40">
        <f>summary!U6/summary!$X6</f>
        <v>4.7053556324836043E-2</v>
      </c>
      <c r="V6" s="40">
        <f>summary!V6/summary!$X6</f>
        <v>0.37543410716734404</v>
      </c>
      <c r="W6" s="40">
        <f>summary!W6/summary!$X6</f>
        <v>8.7775459344706888E-2</v>
      </c>
      <c r="X6" s="41">
        <f t="shared" si="1"/>
        <v>1</v>
      </c>
    </row>
    <row r="7" spans="2:27" x14ac:dyDescent="0.25">
      <c r="B7" s="21" t="s">
        <v>22</v>
      </c>
      <c r="C7" s="40">
        <f>summary!C7/summary!$L7</f>
        <v>4.9025108710899143E-2</v>
      </c>
      <c r="D7" s="40">
        <f>summary!D7/summary!$L7</f>
        <v>6.3823818207322204E-3</v>
      </c>
      <c r="E7" s="40">
        <f>summary!E7/summary!$L7</f>
        <v>4.8674428391078696E-2</v>
      </c>
      <c r="F7" s="40">
        <f>summary!F7/summary!$L7</f>
        <v>1.5640342263992146E-2</v>
      </c>
      <c r="G7" s="40">
        <f>summary!G7/summary!$L7</f>
        <v>0.1716580165521111</v>
      </c>
      <c r="H7" s="40">
        <f>summary!H7/summary!$L7</f>
        <v>0.24628278860990321</v>
      </c>
      <c r="I7" s="40">
        <f>summary!I7/summary!$L7</f>
        <v>1.6446906999579184E-2</v>
      </c>
      <c r="J7" s="40">
        <f>summary!J7/summary!$L7</f>
        <v>0.26094122597839808</v>
      </c>
      <c r="K7" s="40">
        <f>summary!K7/summary!$L7</f>
        <v>0.18494880067330621</v>
      </c>
      <c r="L7" s="41">
        <f t="shared" si="0"/>
        <v>1</v>
      </c>
      <c r="N7" s="21" t="s">
        <v>22</v>
      </c>
      <c r="O7" s="40">
        <f>summary!O7/summary!$X7</f>
        <v>1.6928362859120742E-2</v>
      </c>
      <c r="P7" s="40">
        <f>summary!P7/summary!$X7</f>
        <v>1.7015346016838455E-2</v>
      </c>
      <c r="Q7" s="40">
        <f>summary!Q7/summary!$X7</f>
        <v>0.1447687356642062</v>
      </c>
      <c r="R7" s="40">
        <f>summary!R7/summary!$X7</f>
        <v>5.0354522125036364E-3</v>
      </c>
      <c r="S7" s="40">
        <f>summary!S7/summary!$X7</f>
        <v>7.3683715094786356E-2</v>
      </c>
      <c r="T7" s="40">
        <f>summary!T7/summary!$X7</f>
        <v>9.0470394528272005E-2</v>
      </c>
      <c r="U7" s="40">
        <f>summary!U7/summary!$X7</f>
        <v>8.1905776507200337E-2</v>
      </c>
      <c r="V7" s="40">
        <f>summary!V7/summary!$X7</f>
        <v>0.34580172850899765</v>
      </c>
      <c r="W7" s="40">
        <f>summary!W7/summary!$X7</f>
        <v>0.22439048860807465</v>
      </c>
      <c r="X7" s="41">
        <f t="shared" si="1"/>
        <v>1</v>
      </c>
    </row>
    <row r="8" spans="2:27" ht="15.75" thickBot="1" x14ac:dyDescent="0.3">
      <c r="B8" s="27" t="s">
        <v>23</v>
      </c>
      <c r="C8" s="42">
        <f>summary!C8/summary!$L8</f>
        <v>3.7363751584283907E-2</v>
      </c>
      <c r="D8" s="42">
        <f>summary!D8/summary!$L8</f>
        <v>5.6273764258555131E-3</v>
      </c>
      <c r="E8" s="42">
        <f>summary!E8/summary!$L8</f>
        <v>4.3523447401774398E-2</v>
      </c>
      <c r="F8" s="42">
        <f>summary!F8/summary!$L8</f>
        <v>1.5133079847908746E-2</v>
      </c>
      <c r="G8" s="42">
        <f>summary!G8/summary!$L8</f>
        <v>0.2429404309252218</v>
      </c>
      <c r="H8" s="42">
        <f>summary!H8/summary!$L8</f>
        <v>0.18423320659062103</v>
      </c>
      <c r="I8" s="42">
        <f>summary!I8/summary!$L8</f>
        <v>4.8136882129277567E-2</v>
      </c>
      <c r="J8" s="42">
        <f>summary!J8/summary!$L8</f>
        <v>0.2400253485424588</v>
      </c>
      <c r="K8" s="42">
        <f>summary!K8/summary!$L8</f>
        <v>0.18301647655259823</v>
      </c>
      <c r="L8" s="43">
        <f t="shared" si="0"/>
        <v>1</v>
      </c>
      <c r="M8" s="30"/>
      <c r="N8" s="27" t="s">
        <v>23</v>
      </c>
      <c r="O8" s="42">
        <f>summary!O8/summary!$X8</f>
        <v>1.4293639060547267E-2</v>
      </c>
      <c r="P8" s="42">
        <f>summary!P8/summary!$X8</f>
        <v>1.5039240657255225E-2</v>
      </c>
      <c r="Q8" s="42">
        <f>summary!Q8/summary!$X8</f>
        <v>0.13377820446287739</v>
      </c>
      <c r="R8" s="42">
        <f>summary!R8/summary!$X8</f>
        <v>5.2638508717352305E-3</v>
      </c>
      <c r="S8" s="42">
        <f>summary!S8/summary!$X8</f>
        <v>9.6428765893653262E-2</v>
      </c>
      <c r="T8" s="42">
        <f>summary!T8/summary!$X8</f>
        <v>7.651376359021364E-2</v>
      </c>
      <c r="U8" s="42">
        <f>summary!U8/summary!$X8</f>
        <v>0.10690117591057427</v>
      </c>
      <c r="V8" s="42">
        <f>summary!V8/summary!$X8</f>
        <v>0.31958613132831692</v>
      </c>
      <c r="W8" s="42">
        <f>summary!W8/summary!$X8</f>
        <v>0.23219522822482677</v>
      </c>
      <c r="X8" s="43">
        <f t="shared" si="1"/>
        <v>0.99999999999999989</v>
      </c>
    </row>
    <row r="9" spans="2:27" x14ac:dyDescent="0.25">
      <c r="C9" s="33"/>
      <c r="D9" s="33"/>
      <c r="E9" s="33"/>
      <c r="F9" s="33"/>
      <c r="G9" s="33"/>
      <c r="H9" s="33"/>
      <c r="I9" s="33"/>
      <c r="J9" s="33"/>
      <c r="K9" s="33"/>
      <c r="L9" s="34"/>
      <c r="O9" s="33"/>
      <c r="P9" s="33"/>
      <c r="Q9" s="33"/>
      <c r="R9" s="33"/>
      <c r="S9" s="33"/>
      <c r="T9" s="33"/>
      <c r="U9" s="33"/>
      <c r="V9" s="33"/>
      <c r="W9" s="33"/>
      <c r="X9" s="44"/>
    </row>
    <row r="10" spans="2:27" x14ac:dyDescent="0.25">
      <c r="C10" s="33"/>
      <c r="D10" s="33"/>
      <c r="E10" s="33"/>
      <c r="F10" s="33"/>
      <c r="G10" s="33"/>
      <c r="H10" s="33"/>
      <c r="I10" s="33"/>
      <c r="J10" s="33"/>
      <c r="K10" s="33"/>
      <c r="L10" s="34"/>
      <c r="O10" s="33"/>
      <c r="P10" s="33"/>
      <c r="Q10" s="33"/>
      <c r="R10" s="33"/>
      <c r="S10" s="33"/>
      <c r="T10" s="33"/>
      <c r="U10" s="33"/>
      <c r="V10" s="33"/>
      <c r="W10" s="33"/>
      <c r="X10" s="44"/>
    </row>
    <row r="11" spans="2:27" x14ac:dyDescent="0.25">
      <c r="C11" s="33"/>
      <c r="D11" s="33"/>
      <c r="E11" s="33"/>
      <c r="F11" s="33"/>
      <c r="G11" s="33"/>
      <c r="H11" s="33"/>
      <c r="I11" s="33"/>
      <c r="J11" s="33"/>
      <c r="K11" s="33"/>
      <c r="L11" s="34"/>
      <c r="O11" s="33"/>
      <c r="P11" s="33"/>
      <c r="Q11" s="33"/>
      <c r="R11" s="33"/>
      <c r="S11" s="33"/>
      <c r="T11" s="33"/>
      <c r="U11" s="33"/>
      <c r="V11" s="33"/>
      <c r="W11" s="33"/>
      <c r="X11" s="44"/>
    </row>
    <row r="12" spans="2:27" ht="19.5" thickBot="1" x14ac:dyDescent="0.35">
      <c r="B12" s="1">
        <v>2025</v>
      </c>
      <c r="C12" s="2" t="s">
        <v>32</v>
      </c>
      <c r="D12" s="2"/>
      <c r="E12" s="2"/>
      <c r="F12" s="2"/>
      <c r="G12" s="2"/>
      <c r="H12" s="2"/>
      <c r="I12" s="2"/>
      <c r="J12" s="2"/>
      <c r="K12" s="2"/>
      <c r="L12" s="30"/>
      <c r="N12" s="1">
        <v>2025</v>
      </c>
      <c r="O12" s="2" t="s">
        <v>33</v>
      </c>
      <c r="P12" s="2"/>
      <c r="Q12" s="2"/>
      <c r="R12" s="2"/>
      <c r="S12" s="2"/>
      <c r="T12" s="2"/>
      <c r="U12" s="2"/>
      <c r="V12" s="2"/>
      <c r="W12" s="2"/>
      <c r="X12" s="45"/>
    </row>
    <row r="13" spans="2:27" x14ac:dyDescent="0.25">
      <c r="B13" s="3" t="s">
        <v>2</v>
      </c>
      <c r="C13" s="4" t="s">
        <v>3</v>
      </c>
      <c r="D13" s="4"/>
      <c r="E13" s="5" t="s">
        <v>4</v>
      </c>
      <c r="F13" s="6" t="s">
        <v>5</v>
      </c>
      <c r="G13" s="7"/>
      <c r="H13" s="5" t="s">
        <v>6</v>
      </c>
      <c r="I13" s="5" t="s">
        <v>7</v>
      </c>
      <c r="J13" s="4" t="s">
        <v>8</v>
      </c>
      <c r="K13" s="8"/>
      <c r="L13" s="9" t="s">
        <v>9</v>
      </c>
      <c r="M13" s="10"/>
      <c r="N13" s="3" t="s">
        <v>2</v>
      </c>
      <c r="O13" s="4" t="s">
        <v>3</v>
      </c>
      <c r="P13" s="4"/>
      <c r="Q13" s="5" t="s">
        <v>4</v>
      </c>
      <c r="R13" s="6" t="s">
        <v>5</v>
      </c>
      <c r="S13" s="7"/>
      <c r="T13" s="5" t="s">
        <v>6</v>
      </c>
      <c r="U13" s="5" t="s">
        <v>7</v>
      </c>
      <c r="V13" s="4" t="s">
        <v>8</v>
      </c>
      <c r="W13" s="8"/>
      <c r="X13" s="9" t="s">
        <v>9</v>
      </c>
    </row>
    <row r="14" spans="2:27" ht="30.75" thickBot="1" x14ac:dyDescent="0.3">
      <c r="B14" s="11"/>
      <c r="C14" s="12" t="s">
        <v>10</v>
      </c>
      <c r="D14" s="12" t="s">
        <v>11</v>
      </c>
      <c r="E14" s="12" t="s">
        <v>12</v>
      </c>
      <c r="F14" s="12" t="s">
        <v>13</v>
      </c>
      <c r="G14" s="12" t="s">
        <v>14</v>
      </c>
      <c r="H14" s="12" t="s">
        <v>15</v>
      </c>
      <c r="I14" s="12" t="s">
        <v>16</v>
      </c>
      <c r="J14" s="12" t="s">
        <v>17</v>
      </c>
      <c r="K14" s="13" t="s">
        <v>18</v>
      </c>
      <c r="L14" s="14"/>
      <c r="M14" s="10"/>
      <c r="N14" s="11"/>
      <c r="O14" s="12" t="s">
        <v>10</v>
      </c>
      <c r="P14" s="12" t="s">
        <v>11</v>
      </c>
      <c r="Q14" s="12" t="s">
        <v>12</v>
      </c>
      <c r="R14" s="12" t="s">
        <v>13</v>
      </c>
      <c r="S14" s="12" t="s">
        <v>14</v>
      </c>
      <c r="T14" s="12" t="s">
        <v>15</v>
      </c>
      <c r="U14" s="12" t="s">
        <v>16</v>
      </c>
      <c r="V14" s="12" t="s">
        <v>17</v>
      </c>
      <c r="W14" s="13" t="s">
        <v>18</v>
      </c>
      <c r="X14" s="14"/>
    </row>
    <row r="15" spans="2:27" x14ac:dyDescent="0.25">
      <c r="B15" s="15" t="s">
        <v>19</v>
      </c>
      <c r="C15" s="38">
        <f>summary!C13/summary!$L13</f>
        <v>1.227024096979254E-2</v>
      </c>
      <c r="D15" s="38">
        <f>summary!D13/summary!$L13</f>
        <v>1.5276203617010792E-3</v>
      </c>
      <c r="E15" s="38">
        <f>summary!E13/summary!$L13</f>
        <v>3.0626324348297443E-2</v>
      </c>
      <c r="F15" s="38">
        <f>summary!F13/summary!$L13</f>
        <v>2.013009412112551E-2</v>
      </c>
      <c r="G15" s="38">
        <f>summary!G13/summary!$L13</f>
        <v>0.43662839402749715</v>
      </c>
      <c r="H15" s="38">
        <f>summary!H13/summary!$L13</f>
        <v>6.8989306657468094E-3</v>
      </c>
      <c r="I15" s="38">
        <f>summary!I13/summary!$L13</f>
        <v>0.1513083329226827</v>
      </c>
      <c r="J15" s="38">
        <f>summary!J13/summary!$L13</f>
        <v>0.11604986941309811</v>
      </c>
      <c r="K15" s="38">
        <f>summary!K13/summary!$L13</f>
        <v>0.22456019317005865</v>
      </c>
      <c r="L15" s="39">
        <f>SUM(C15:K15)</f>
        <v>1</v>
      </c>
      <c r="N15" s="15" t="s">
        <v>19</v>
      </c>
      <c r="O15" s="38">
        <f>summary!O13/summary!$X13</f>
        <v>5.8647612193799582E-3</v>
      </c>
      <c r="P15" s="38">
        <f>summary!P13/summary!$X13</f>
        <v>2.2829776116221252E-3</v>
      </c>
      <c r="Q15" s="38">
        <f>summary!Q13/summary!$X13</f>
        <v>8.0276564100270162E-2</v>
      </c>
      <c r="R15" s="38">
        <f>summary!R13/summary!$X13</f>
        <v>8.9030329614578352E-3</v>
      </c>
      <c r="S15" s="38">
        <f>summary!S13/summary!$X13</f>
        <v>0.19497710900391277</v>
      </c>
      <c r="T15" s="38">
        <f>summary!T13/summary!$X13</f>
        <v>4.2151907490752503E-3</v>
      </c>
      <c r="U15" s="38">
        <f>summary!U13/summary!$X13</f>
        <v>0.21907498561358157</v>
      </c>
      <c r="V15" s="38">
        <f>summary!V13/summary!$X13</f>
        <v>0.16755127091055658</v>
      </c>
      <c r="W15" s="38">
        <f>summary!W13/summary!$X13</f>
        <v>0.31685410783014373</v>
      </c>
      <c r="X15" s="39">
        <f>SUM(O15:W15)</f>
        <v>1</v>
      </c>
    </row>
    <row r="16" spans="2:27" x14ac:dyDescent="0.25">
      <c r="B16" s="21" t="s">
        <v>20</v>
      </c>
      <c r="C16" s="40">
        <f>summary!C14/summary!$L14</f>
        <v>3.5111823524921764E-3</v>
      </c>
      <c r="D16" s="40">
        <f>summary!D14/summary!$L14</f>
        <v>2.2135714830928935E-3</v>
      </c>
      <c r="E16" s="40">
        <f>summary!E14/summary!$L14</f>
        <v>2.6104877490267919E-2</v>
      </c>
      <c r="F16" s="40">
        <f>summary!F14/summary!$L14</f>
        <v>1.0991527364323335E-2</v>
      </c>
      <c r="G16" s="40">
        <f>summary!G14/summary!$L14</f>
        <v>0.31699870238913058</v>
      </c>
      <c r="H16" s="40">
        <f>summary!H14/summary!$L14</f>
        <v>1.0686207159758797E-3</v>
      </c>
      <c r="I16" s="40">
        <f>summary!I14/summary!$L14</f>
        <v>0.20639645828562705</v>
      </c>
      <c r="J16" s="40">
        <f>summary!J14/summary!$L14</f>
        <v>0.18845889626746051</v>
      </c>
      <c r="K16" s="40">
        <f>summary!K14/summary!$L14</f>
        <v>0.24425616365162964</v>
      </c>
      <c r="L16" s="41">
        <f t="shared" ref="L16:L19" si="2">SUM(C16:K16)</f>
        <v>0.99999999999999989</v>
      </c>
      <c r="N16" s="21" t="s">
        <v>20</v>
      </c>
      <c r="O16" s="40">
        <f>summary!O14/summary!$X14</f>
        <v>1.9304076800548667E-3</v>
      </c>
      <c r="P16" s="40">
        <f>summary!P14/summary!$X14</f>
        <v>1.4113875217427008E-3</v>
      </c>
      <c r="Q16" s="40">
        <f>summary!Q14/summary!$X14</f>
        <v>5.095469761170815E-2</v>
      </c>
      <c r="R16" s="40">
        <f>summary!R14/summary!$X14</f>
        <v>6.9602251829040682E-3</v>
      </c>
      <c r="S16" s="40">
        <f>summary!S14/summary!$X14</f>
        <v>0.16475168702063753</v>
      </c>
      <c r="T16" s="40">
        <f>summary!T14/summary!$X14</f>
        <v>6.4596918888868782E-4</v>
      </c>
      <c r="U16" s="40">
        <f>summary!U14/summary!$X14</f>
        <v>0.3024203487660504</v>
      </c>
      <c r="V16" s="40">
        <f>summary!V14/summary!$X14</f>
        <v>0.1775216073686236</v>
      </c>
      <c r="W16" s="40">
        <f>summary!W14/summary!$X14</f>
        <v>0.29340366965939002</v>
      </c>
      <c r="X16" s="41">
        <f t="shared" ref="X16:X19" si="3">SUM(O16:W16)</f>
        <v>1</v>
      </c>
    </row>
    <row r="17" spans="2:24" x14ac:dyDescent="0.25">
      <c r="B17" s="21" t="s">
        <v>21</v>
      </c>
      <c r="C17" s="40">
        <f>summary!C15/summary!$L15</f>
        <v>2.0042417815482504E-2</v>
      </c>
      <c r="D17" s="40">
        <f>summary!D15/summary!$L15</f>
        <v>2.0148462354188761E-3</v>
      </c>
      <c r="E17" s="40">
        <f>summary!E15/summary!$L15</f>
        <v>3.1601272534464472E-2</v>
      </c>
      <c r="F17" s="40">
        <f>summary!F15/summary!$L15</f>
        <v>1.76033934252386E-2</v>
      </c>
      <c r="G17" s="40">
        <f>summary!G15/summary!$L15</f>
        <v>0.26786850477200425</v>
      </c>
      <c r="H17" s="40">
        <f>summary!H15/summary!$L15</f>
        <v>9.5440084835630968E-4</v>
      </c>
      <c r="I17" s="40">
        <f>summary!I15/summary!$L15</f>
        <v>8.8016967126193002E-2</v>
      </c>
      <c r="J17" s="40">
        <f>summary!J15/summary!$L15</f>
        <v>0.37433722163308591</v>
      </c>
      <c r="K17" s="40">
        <f>summary!K15/summary!$L15</f>
        <v>0.19756097560975611</v>
      </c>
      <c r="L17" s="41">
        <f t="shared" si="2"/>
        <v>1</v>
      </c>
      <c r="N17" s="21" t="s">
        <v>21</v>
      </c>
      <c r="O17" s="40">
        <f>summary!O15/summary!$X15</f>
        <v>2.6301346514753448E-2</v>
      </c>
      <c r="P17" s="40">
        <f>summary!P15/summary!$X15</f>
        <v>4.0419115145095179E-3</v>
      </c>
      <c r="Q17" s="40">
        <f>summary!Q15/summary!$X15</f>
        <v>7.8313769864607474E-2</v>
      </c>
      <c r="R17" s="40">
        <f>summary!R15/summary!$X15</f>
        <v>2.8628048585936164E-2</v>
      </c>
      <c r="S17" s="40">
        <f>summary!S15/summary!$X15</f>
        <v>0.32881959032505281</v>
      </c>
      <c r="T17" s="40">
        <f>summary!T15/summary!$X15</f>
        <v>2.6245438146839336E-3</v>
      </c>
      <c r="U17" s="40">
        <f>summary!U15/summary!$X15</f>
        <v>5.1698319599485294E-2</v>
      </c>
      <c r="V17" s="40">
        <f>summary!V15/summary!$X15</f>
        <v>0.38250051616433189</v>
      </c>
      <c r="W17" s="40">
        <f>summary!W15/summary!$X15</f>
        <v>9.707195361663945E-2</v>
      </c>
      <c r="X17" s="41">
        <f t="shared" si="3"/>
        <v>1</v>
      </c>
    </row>
    <row r="18" spans="2:24" x14ac:dyDescent="0.25">
      <c r="B18" s="21" t="s">
        <v>22</v>
      </c>
      <c r="C18" s="40">
        <f>summary!C16/summary!$L16</f>
        <v>7.6069981667157047E-2</v>
      </c>
      <c r="D18" s="40">
        <f>summary!D16/summary!$L16</f>
        <v>4.4021456216191751E-3</v>
      </c>
      <c r="E18" s="40">
        <f>summary!E16/summary!$L16</f>
        <v>8.3968947332684521E-2</v>
      </c>
      <c r="F18" s="40">
        <f>summary!F16/summary!$L16</f>
        <v>1.4892605753344047E-2</v>
      </c>
      <c r="G18" s="40">
        <f>summary!G16/summary!$L16</f>
        <v>0.26007740533689427</v>
      </c>
      <c r="H18" s="40">
        <f>summary!H16/summary!$L16</f>
        <v>6.0611547427743703E-2</v>
      </c>
      <c r="I18" s="40">
        <f>summary!I16/summary!$L16</f>
        <v>4.7529592829821422E-3</v>
      </c>
      <c r="J18" s="40">
        <f>summary!J16/summary!$L16</f>
        <v>0.28761061946902655</v>
      </c>
      <c r="K18" s="40">
        <f>summary!K16/summary!$L16</f>
        <v>0.20761378810854852</v>
      </c>
      <c r="L18" s="41">
        <f t="shared" si="2"/>
        <v>1</v>
      </c>
      <c r="N18" s="21" t="s">
        <v>22</v>
      </c>
      <c r="O18" s="40">
        <f>summary!O16/summary!$X16</f>
        <v>2.6749310147469323E-2</v>
      </c>
      <c r="P18" s="40">
        <f>summary!P16/summary!$X16</f>
        <v>1.0278355678428268E-2</v>
      </c>
      <c r="Q18" s="40">
        <f>summary!Q16/summary!$X16</f>
        <v>0.25461046972757428</v>
      </c>
      <c r="R18" s="40">
        <f>summary!R16/summary!$X16</f>
        <v>6.8070776101133218E-3</v>
      </c>
      <c r="S18" s="40">
        <f>summary!S16/summary!$X16</f>
        <v>9.2763443801204923E-2</v>
      </c>
      <c r="T18" s="40">
        <f>summary!T16/summary!$X16</f>
        <v>1.8230386173894515E-2</v>
      </c>
      <c r="U18" s="40">
        <f>summary!U16/summary!$X16</f>
        <v>2.7582321829692929E-2</v>
      </c>
      <c r="V18" s="40">
        <f>summary!V16/summary!$X16</f>
        <v>0.32520188275464396</v>
      </c>
      <c r="W18" s="40">
        <f>summary!W16/summary!$X16</f>
        <v>0.2377767522769785</v>
      </c>
      <c r="X18" s="41">
        <f t="shared" si="3"/>
        <v>1</v>
      </c>
    </row>
    <row r="19" spans="2:24" ht="15.75" thickBot="1" x14ac:dyDescent="0.3">
      <c r="B19" s="27" t="s">
        <v>23</v>
      </c>
      <c r="C19" s="42">
        <f>summary!C17/summary!$L17</f>
        <v>5.0337609492664075E-2</v>
      </c>
      <c r="D19" s="42">
        <f>summary!D17/summary!$L17</f>
        <v>3.2566173508749171E-3</v>
      </c>
      <c r="E19" s="42">
        <f>summary!E17/summary!$L17</f>
        <v>6.0551235398133417E-2</v>
      </c>
      <c r="F19" s="42">
        <f>summary!F17/summary!$L17</f>
        <v>1.6460596295512421E-2</v>
      </c>
      <c r="G19" s="42">
        <f>summary!G17/summary!$L17</f>
        <v>0.31665653951976841</v>
      </c>
      <c r="H19" s="42">
        <f>summary!H17/summary!$L17</f>
        <v>3.8321579015641323E-2</v>
      </c>
      <c r="I19" s="42">
        <f>summary!I17/summary!$L17</f>
        <v>6.7535553112902894E-2</v>
      </c>
      <c r="J19" s="42">
        <f>summary!J17/summary!$L17</f>
        <v>0.23965836240621011</v>
      </c>
      <c r="K19" s="42">
        <f>summary!K17/summary!$L17</f>
        <v>0.20722190740829244</v>
      </c>
      <c r="L19" s="43">
        <f t="shared" si="2"/>
        <v>1</v>
      </c>
      <c r="M19" s="30"/>
      <c r="N19" s="27" t="s">
        <v>23</v>
      </c>
      <c r="O19" s="42">
        <f>summary!O17/summary!$X17</f>
        <v>2.1052079370885452E-2</v>
      </c>
      <c r="P19" s="42">
        <f>summary!P17/summary!$X17</f>
        <v>8.1098652124417473E-3</v>
      </c>
      <c r="Q19" s="42">
        <f>summary!Q17/summary!$X17</f>
        <v>0.20673815686936792</v>
      </c>
      <c r="R19" s="42">
        <f>summary!R17/summary!$X17</f>
        <v>7.3307101919123799E-3</v>
      </c>
      <c r="S19" s="42">
        <f>summary!S17/summary!$X17</f>
        <v>0.11900021614794282</v>
      </c>
      <c r="T19" s="42">
        <f>summary!T17/summary!$X17</f>
        <v>1.4321645425418174E-2</v>
      </c>
      <c r="U19" s="42">
        <f>summary!U17/summary!$X17</f>
        <v>8.2068000941353997E-2</v>
      </c>
      <c r="V19" s="42">
        <f>summary!V17/summary!$X17</f>
        <v>0.28420231844977117</v>
      </c>
      <c r="W19" s="42">
        <f>summary!W17/summary!$X17</f>
        <v>0.25717700739090638</v>
      </c>
      <c r="X19" s="43">
        <f t="shared" si="3"/>
        <v>1</v>
      </c>
    </row>
    <row r="20" spans="2:24" x14ac:dyDescent="0.25">
      <c r="C20" s="33"/>
      <c r="D20" s="33"/>
      <c r="E20" s="33"/>
      <c r="F20" s="33"/>
      <c r="G20" s="33"/>
      <c r="H20" s="33"/>
      <c r="I20" s="33"/>
      <c r="J20" s="33"/>
      <c r="K20" s="33"/>
      <c r="L20" s="34"/>
      <c r="O20" s="33"/>
      <c r="P20" s="33"/>
      <c r="Q20" s="33"/>
      <c r="R20" s="33"/>
      <c r="S20" s="33"/>
      <c r="T20" s="33"/>
      <c r="U20" s="33"/>
      <c r="V20" s="33"/>
      <c r="W20" s="33"/>
      <c r="X20" s="44"/>
    </row>
    <row r="21" spans="2:24" x14ac:dyDescent="0.25">
      <c r="C21" s="33"/>
      <c r="D21" s="33"/>
      <c r="E21" s="33"/>
      <c r="F21" s="33"/>
      <c r="G21" s="33"/>
      <c r="H21" s="33"/>
      <c r="I21" s="33"/>
      <c r="J21" s="33"/>
      <c r="K21" s="33"/>
      <c r="L21" s="34"/>
      <c r="O21" s="33"/>
      <c r="P21" s="33"/>
      <c r="Q21" s="33"/>
      <c r="R21" s="33"/>
      <c r="S21" s="33"/>
      <c r="T21" s="33"/>
      <c r="U21" s="33"/>
      <c r="V21" s="33"/>
      <c r="W21" s="33"/>
      <c r="X21" s="44"/>
    </row>
    <row r="22" spans="2:24" x14ac:dyDescent="0.25">
      <c r="L22" s="30"/>
      <c r="X22" s="45"/>
    </row>
    <row r="23" spans="2:24" ht="19.5" thickBot="1" x14ac:dyDescent="0.35">
      <c r="B23" s="1">
        <v>2024</v>
      </c>
      <c r="C23" s="2" t="s">
        <v>34</v>
      </c>
      <c r="D23" s="2"/>
      <c r="E23" s="2"/>
      <c r="F23" s="2"/>
      <c r="G23" s="2"/>
      <c r="H23" s="2"/>
      <c r="I23" s="2"/>
      <c r="J23" s="2"/>
      <c r="K23" s="2"/>
      <c r="L23" s="30"/>
      <c r="N23" s="1">
        <v>2024</v>
      </c>
      <c r="O23" s="2" t="s">
        <v>35</v>
      </c>
      <c r="P23" s="2"/>
      <c r="Q23" s="2"/>
      <c r="R23" s="2"/>
      <c r="S23" s="2"/>
      <c r="T23" s="2"/>
      <c r="U23" s="2"/>
      <c r="V23" s="2"/>
      <c r="W23" s="2"/>
      <c r="X23" s="45"/>
    </row>
    <row r="24" spans="2:24" x14ac:dyDescent="0.25">
      <c r="B24" s="3" t="s">
        <v>2</v>
      </c>
      <c r="C24" s="4" t="s">
        <v>3</v>
      </c>
      <c r="D24" s="4"/>
      <c r="E24" s="5" t="s">
        <v>4</v>
      </c>
      <c r="F24" s="6" t="s">
        <v>5</v>
      </c>
      <c r="G24" s="7"/>
      <c r="H24" s="5" t="s">
        <v>6</v>
      </c>
      <c r="I24" s="5" t="s">
        <v>7</v>
      </c>
      <c r="J24" s="4" t="s">
        <v>8</v>
      </c>
      <c r="K24" s="8"/>
      <c r="L24" s="9" t="s">
        <v>9</v>
      </c>
      <c r="M24" s="10"/>
      <c r="N24" s="3" t="s">
        <v>2</v>
      </c>
      <c r="O24" s="4" t="s">
        <v>3</v>
      </c>
      <c r="P24" s="4"/>
      <c r="Q24" s="5" t="s">
        <v>4</v>
      </c>
      <c r="R24" s="6" t="s">
        <v>5</v>
      </c>
      <c r="S24" s="7"/>
      <c r="T24" s="5" t="s">
        <v>6</v>
      </c>
      <c r="U24" s="5" t="s">
        <v>7</v>
      </c>
      <c r="V24" s="4" t="s">
        <v>8</v>
      </c>
      <c r="W24" s="8"/>
      <c r="X24" s="9" t="s">
        <v>9</v>
      </c>
    </row>
    <row r="25" spans="2:24" ht="30.75" thickBot="1" x14ac:dyDescent="0.3">
      <c r="B25" s="11"/>
      <c r="C25" s="12" t="s">
        <v>10</v>
      </c>
      <c r="D25" s="12" t="s">
        <v>11</v>
      </c>
      <c r="E25" s="12" t="s">
        <v>12</v>
      </c>
      <c r="F25" s="12" t="s">
        <v>13</v>
      </c>
      <c r="G25" s="12" t="s">
        <v>14</v>
      </c>
      <c r="H25" s="12" t="s">
        <v>15</v>
      </c>
      <c r="I25" s="12" t="s">
        <v>16</v>
      </c>
      <c r="J25" s="12" t="s">
        <v>17</v>
      </c>
      <c r="K25" s="13" t="s">
        <v>18</v>
      </c>
      <c r="L25" s="14"/>
      <c r="M25" s="10"/>
      <c r="N25" s="11"/>
      <c r="O25" s="12" t="s">
        <v>10</v>
      </c>
      <c r="P25" s="12" t="s">
        <v>11</v>
      </c>
      <c r="Q25" s="12" t="s">
        <v>12</v>
      </c>
      <c r="R25" s="12" t="s">
        <v>13</v>
      </c>
      <c r="S25" s="12" t="s">
        <v>14</v>
      </c>
      <c r="T25" s="12" t="s">
        <v>15</v>
      </c>
      <c r="U25" s="12" t="s">
        <v>16</v>
      </c>
      <c r="V25" s="12" t="s">
        <v>17</v>
      </c>
      <c r="W25" s="13" t="s">
        <v>18</v>
      </c>
      <c r="X25" s="14"/>
    </row>
    <row r="26" spans="2:24" x14ac:dyDescent="0.25">
      <c r="B26" s="15" t="s">
        <v>19</v>
      </c>
      <c r="C26" s="38">
        <f>summary!C22/summary!$L22</f>
        <v>5.224863369987489E-2</v>
      </c>
      <c r="D26" s="38">
        <f>summary!D22/summary!$L22</f>
        <v>5.8931981299795875E-3</v>
      </c>
      <c r="E26" s="38">
        <f>summary!E22/summary!$L22</f>
        <v>5.5080002633831567E-2</v>
      </c>
      <c r="F26" s="38">
        <f>summary!F22/summary!$L22</f>
        <v>2.969645091196418E-2</v>
      </c>
      <c r="G26" s="38">
        <f>summary!G22/summary!$L22</f>
        <v>0.33930335155066832</v>
      </c>
      <c r="H26" s="38">
        <f>summary!H22/summary!$L22</f>
        <v>3.2922894580891549E-5</v>
      </c>
      <c r="I26" s="38">
        <f>summary!I22/summary!$L22</f>
        <v>0.1862777375386844</v>
      </c>
      <c r="J26" s="38">
        <f>summary!J22/summary!$L22</f>
        <v>0.14384012642391519</v>
      </c>
      <c r="K26" s="38">
        <f>summary!K22/summary!$L22</f>
        <v>0.18762757621650095</v>
      </c>
      <c r="L26" s="39">
        <f>SUM(C26:K26)</f>
        <v>1</v>
      </c>
      <c r="N26" s="15" t="s">
        <v>19</v>
      </c>
      <c r="O26" s="38">
        <f>summary!O22/summary!$X22</f>
        <v>2.1430480009026528E-2</v>
      </c>
      <c r="P26" s="38">
        <f>summary!P22/summary!$X22</f>
        <v>8.669194724612226E-3</v>
      </c>
      <c r="Q26" s="38">
        <f>summary!Q22/summary!$X22</f>
        <v>0.13632354798489285</v>
      </c>
      <c r="R26" s="38">
        <f>summary!R22/summary!$X22</f>
        <v>1.2900267298824306E-2</v>
      </c>
      <c r="S26" s="38">
        <f>summary!S22/summary!$X22</f>
        <v>0.13736904610350556</v>
      </c>
      <c r="T26" s="38">
        <f>summary!T22/summary!$X22</f>
        <v>4.6649948446815423E-5</v>
      </c>
      <c r="U26" s="38">
        <f>summary!U22/summary!$X22</f>
        <v>0.23222788195534205</v>
      </c>
      <c r="V26" s="38">
        <f>summary!V22/summary!$X22</f>
        <v>0.17648321381516502</v>
      </c>
      <c r="W26" s="38">
        <f>summary!W22/summary!$X22</f>
        <v>0.27454971816018459</v>
      </c>
      <c r="X26" s="39">
        <f>SUM(O26:W26)</f>
        <v>1</v>
      </c>
    </row>
    <row r="27" spans="2:24" x14ac:dyDescent="0.25">
      <c r="B27" s="21" t="s">
        <v>20</v>
      </c>
      <c r="C27" s="40">
        <f>summary!C23/summary!$L23</f>
        <v>2.0037807183364838E-2</v>
      </c>
      <c r="D27" s="40">
        <f>summary!D23/summary!$L23</f>
        <v>5.3875236294896028E-3</v>
      </c>
      <c r="E27" s="40">
        <f>summary!E23/summary!$L23</f>
        <v>4.9054820415879018E-2</v>
      </c>
      <c r="F27" s="40">
        <f>summary!F23/summary!$L23</f>
        <v>1.4650283553875236E-2</v>
      </c>
      <c r="G27" s="40">
        <f>summary!G23/summary!$L23</f>
        <v>0.24338374291115311</v>
      </c>
      <c r="H27" s="40">
        <f>summary!H23/summary!$L23</f>
        <v>0</v>
      </c>
      <c r="I27" s="40">
        <f>summary!I23/summary!$L23</f>
        <v>0.26852551984877127</v>
      </c>
      <c r="J27" s="40">
        <f>summary!J23/summary!$L23</f>
        <v>0.17939508506616256</v>
      </c>
      <c r="K27" s="40">
        <f>summary!K23/summary!$L23</f>
        <v>0.21956521739130436</v>
      </c>
      <c r="L27" s="41">
        <f t="shared" ref="L27:L30" si="4">SUM(C27:K27)</f>
        <v>1</v>
      </c>
      <c r="N27" s="21" t="s">
        <v>20</v>
      </c>
      <c r="O27" s="40">
        <f>summary!O23/summary!$X23</f>
        <v>1.0034792507349869E-2</v>
      </c>
      <c r="P27" s="40">
        <f>summary!P23/summary!$X23</f>
        <v>7.9217723774624507E-3</v>
      </c>
      <c r="Q27" s="40">
        <f>summary!Q23/summary!$X23</f>
        <v>8.2639180198934598E-2</v>
      </c>
      <c r="R27" s="40">
        <f>summary!R23/summary!$X23</f>
        <v>1.0509399029225191E-2</v>
      </c>
      <c r="S27" s="40">
        <f>summary!S23/summary!$X23</f>
        <v>0.10996039696942994</v>
      </c>
      <c r="T27" s="40">
        <f>summary!T23/summary!$X23</f>
        <v>0</v>
      </c>
      <c r="U27" s="40">
        <f>summary!U23/summary!$X23</f>
        <v>0.3318319812841678</v>
      </c>
      <c r="V27" s="40">
        <f>summary!V23/summary!$X23</f>
        <v>0.17971221555859243</v>
      </c>
      <c r="W27" s="40">
        <f>summary!W23/summary!$X23</f>
        <v>0.26739026207483768</v>
      </c>
      <c r="X27" s="41">
        <f t="shared" ref="X27:X30" si="5">SUM(O27:W27)</f>
        <v>1</v>
      </c>
    </row>
    <row r="28" spans="2:24" x14ac:dyDescent="0.25">
      <c r="B28" s="21" t="s">
        <v>21</v>
      </c>
      <c r="C28" s="40">
        <f>summary!C24/summary!$L24</f>
        <v>5.5575868372943329E-2</v>
      </c>
      <c r="D28" s="40">
        <f>summary!D24/summary!$L24</f>
        <v>3.6563071297989031E-3</v>
      </c>
      <c r="E28" s="40">
        <f>summary!E24/summary!$L24</f>
        <v>6.142595978062157E-2</v>
      </c>
      <c r="F28" s="40">
        <f>summary!F24/summary!$L24</f>
        <v>9.140767824497258E-3</v>
      </c>
      <c r="G28" s="40">
        <f>summary!G24/summary!$L24</f>
        <v>0.37952468007312612</v>
      </c>
      <c r="H28" s="40">
        <f>summary!H24/summary!$L24</f>
        <v>0</v>
      </c>
      <c r="I28" s="40">
        <f>summary!I24/summary!$L24</f>
        <v>0.15027422303473492</v>
      </c>
      <c r="J28" s="40">
        <f>summary!J24/summary!$L24</f>
        <v>0.31663619744058502</v>
      </c>
      <c r="K28" s="40">
        <f>summary!K24/summary!$L24</f>
        <v>2.376599634369287E-2</v>
      </c>
      <c r="L28" s="41">
        <f t="shared" si="4"/>
        <v>1</v>
      </c>
      <c r="N28" s="21" t="s">
        <v>21</v>
      </c>
      <c r="O28" s="40">
        <f>summary!O24/summary!$X24</f>
        <v>6.5428357122937708E-2</v>
      </c>
      <c r="P28" s="40">
        <f>summary!P24/summary!$X24</f>
        <v>7.2918102430460947E-3</v>
      </c>
      <c r="Q28" s="40">
        <f>summary!Q24/summary!$X24</f>
        <v>0.13291326223698144</v>
      </c>
      <c r="R28" s="40">
        <f>summary!R24/summary!$X24</f>
        <v>1.1792335398696247E-2</v>
      </c>
      <c r="S28" s="40">
        <f>summary!S24/summary!$X24</f>
        <v>0.32271562634561118</v>
      </c>
      <c r="T28" s="40">
        <f>summary!T24/summary!$X24</f>
        <v>0</v>
      </c>
      <c r="U28" s="40">
        <f>summary!U24/summary!$X24</f>
        <v>8.062373318887546E-2</v>
      </c>
      <c r="V28" s="40">
        <f>summary!V24/summary!$X24</f>
        <v>0.34798437461601667</v>
      </c>
      <c r="W28" s="40">
        <f>summary!W24/summary!$X24</f>
        <v>3.1250500847835212E-2</v>
      </c>
      <c r="X28" s="41">
        <f t="shared" si="5"/>
        <v>1</v>
      </c>
    </row>
    <row r="29" spans="2:24" x14ac:dyDescent="0.25">
      <c r="B29" s="21" t="s">
        <v>22</v>
      </c>
      <c r="C29" s="40">
        <f>summary!C25/summary!$L25</f>
        <v>0.15523123578468537</v>
      </c>
      <c r="D29" s="40">
        <f>summary!D25/summary!$L25</f>
        <v>6.3600370651166705E-3</v>
      </c>
      <c r="E29" s="40">
        <f>summary!E25/summary!$L25</f>
        <v>0.12330469210681493</v>
      </c>
      <c r="F29" s="40">
        <f>summary!F25/summary!$L25</f>
        <v>2.0069918288265522E-2</v>
      </c>
      <c r="G29" s="40">
        <f>summary!G25/summary!$L25</f>
        <v>0.22731867576446804</v>
      </c>
      <c r="H29" s="40">
        <f>summary!H25/summary!$L25</f>
        <v>9.8980709291550829E-4</v>
      </c>
      <c r="I29" s="40">
        <f>summary!I25/summary!$L25</f>
        <v>5.3491702468199814E-3</v>
      </c>
      <c r="J29" s="40">
        <f>summary!J25/summary!$L25</f>
        <v>0.26743745261561791</v>
      </c>
      <c r="K29" s="40">
        <f>summary!K25/summary!$L25</f>
        <v>0.19393901103529609</v>
      </c>
      <c r="L29" s="41">
        <f t="shared" si="4"/>
        <v>1</v>
      </c>
      <c r="N29" s="21" t="s">
        <v>22</v>
      </c>
      <c r="O29" s="40">
        <f>summary!O25/summary!$X25</f>
        <v>5.8542007542766464E-2</v>
      </c>
      <c r="P29" s="40">
        <f>summary!P25/summary!$X25</f>
        <v>1.71092972102058E-2</v>
      </c>
      <c r="Q29" s="40">
        <f>summary!Q25/summary!$X25</f>
        <v>0.31855888711321617</v>
      </c>
      <c r="R29" s="40">
        <f>summary!R25/summary!$X25</f>
        <v>1.0414962170165675E-2</v>
      </c>
      <c r="S29" s="40">
        <f>summary!S25/summary!$X25</f>
        <v>7.5922578828995113E-2</v>
      </c>
      <c r="T29" s="40">
        <f>summary!T25/summary!$X25</f>
        <v>3.8875259840971725E-4</v>
      </c>
      <c r="U29" s="40">
        <f>summary!U25/summary!$X25</f>
        <v>5.5492056268605216E-3</v>
      </c>
      <c r="V29" s="40">
        <f>summary!V25/summary!$X25</f>
        <v>0.28909568497811511</v>
      </c>
      <c r="W29" s="40">
        <f>summary!W25/summary!$X25</f>
        <v>0.22441862393126547</v>
      </c>
      <c r="X29" s="41">
        <f t="shared" si="5"/>
        <v>1</v>
      </c>
    </row>
    <row r="30" spans="2:24" ht="15.75" thickBot="1" x14ac:dyDescent="0.3">
      <c r="B30" s="27" t="s">
        <v>23</v>
      </c>
      <c r="C30" s="42">
        <f>summary!C26/summary!$L26</f>
        <v>0.10410332609441079</v>
      </c>
      <c r="D30" s="42">
        <f>summary!D26/summary!$L26</f>
        <v>5.7606583609555381E-3</v>
      </c>
      <c r="E30" s="42">
        <f>summary!E26/summary!$L26</f>
        <v>8.8170076580180598E-2</v>
      </c>
      <c r="F30" s="42">
        <f>summary!F26/summary!$L26</f>
        <v>2.2756886501314435E-2</v>
      </c>
      <c r="G30" s="42">
        <f>summary!G26/summary!$L26</f>
        <v>0.27559721110984114</v>
      </c>
      <c r="H30" s="42">
        <f>summary!H26/summary!$L26</f>
        <v>5.4863412961481312E-4</v>
      </c>
      <c r="I30" s="42">
        <f>summary!I26/summary!$L26</f>
        <v>0.10268602125957252</v>
      </c>
      <c r="J30" s="42">
        <f>summary!J26/summary!$L26</f>
        <v>0.21731626471596754</v>
      </c>
      <c r="K30" s="42">
        <f>summary!K26/summary!$L26</f>
        <v>0.18306092124814263</v>
      </c>
      <c r="L30" s="43">
        <f t="shared" si="4"/>
        <v>1</v>
      </c>
      <c r="M30" s="30"/>
      <c r="N30" s="27" t="s">
        <v>23</v>
      </c>
      <c r="O30" s="42">
        <f>summary!O26/summary!$X26</f>
        <v>4.4703004640529433E-2</v>
      </c>
      <c r="P30" s="42">
        <f>summary!P26/summary!$X26</f>
        <v>1.4050727306089857E-2</v>
      </c>
      <c r="Q30" s="42">
        <f>summary!Q26/summary!$X26</f>
        <v>0.25035689290004298</v>
      </c>
      <c r="R30" s="42">
        <f>summary!R26/summary!$X26</f>
        <v>1.115945150666294E-2</v>
      </c>
      <c r="S30" s="42">
        <f>summary!S26/summary!$X26</f>
        <v>9.6561327463414712E-2</v>
      </c>
      <c r="T30" s="42">
        <f>summary!T26/summary!$X26</f>
        <v>2.6383315680497059E-4</v>
      </c>
      <c r="U30" s="42">
        <f>summary!U26/summary!$X26</f>
        <v>9.2044940883852136E-2</v>
      </c>
      <c r="V30" s="42">
        <f>summary!V26/summary!$X26</f>
        <v>0.24939045712524938</v>
      </c>
      <c r="W30" s="42">
        <f>summary!W26/summary!$X26</f>
        <v>0.24146936501735361</v>
      </c>
      <c r="X30" s="43">
        <f t="shared" si="5"/>
        <v>1</v>
      </c>
    </row>
    <row r="34" spans="2:24" ht="19.5" thickBot="1" x14ac:dyDescent="0.35">
      <c r="B34" s="1">
        <v>2023</v>
      </c>
      <c r="C34" s="2" t="s">
        <v>36</v>
      </c>
      <c r="D34" s="2"/>
      <c r="E34" s="2"/>
      <c r="F34" s="2"/>
      <c r="G34" s="2"/>
      <c r="H34" s="2"/>
      <c r="I34" s="2"/>
      <c r="J34" s="2"/>
      <c r="K34" s="2"/>
      <c r="L34" s="30"/>
      <c r="N34" s="1">
        <v>2023</v>
      </c>
      <c r="O34" s="2" t="s">
        <v>37</v>
      </c>
      <c r="P34" s="2"/>
      <c r="Q34" s="2"/>
      <c r="R34" s="2"/>
      <c r="S34" s="2"/>
      <c r="T34" s="2"/>
      <c r="U34" s="2"/>
      <c r="V34" s="2"/>
      <c r="W34" s="2"/>
      <c r="X34" s="45"/>
    </row>
    <row r="35" spans="2:24" x14ac:dyDescent="0.25">
      <c r="B35" s="3" t="s">
        <v>2</v>
      </c>
      <c r="C35" s="4" t="s">
        <v>3</v>
      </c>
      <c r="D35" s="4"/>
      <c r="E35" s="5" t="s">
        <v>4</v>
      </c>
      <c r="F35" s="6" t="s">
        <v>5</v>
      </c>
      <c r="G35" s="7"/>
      <c r="H35" s="5" t="s">
        <v>6</v>
      </c>
      <c r="I35" s="5" t="s">
        <v>7</v>
      </c>
      <c r="J35" s="4" t="s">
        <v>8</v>
      </c>
      <c r="K35" s="8"/>
      <c r="L35" s="9" t="s">
        <v>9</v>
      </c>
      <c r="M35" s="10"/>
      <c r="N35" s="3" t="s">
        <v>2</v>
      </c>
      <c r="O35" s="4" t="s">
        <v>3</v>
      </c>
      <c r="P35" s="4"/>
      <c r="Q35" s="5" t="s">
        <v>4</v>
      </c>
      <c r="R35" s="6" t="s">
        <v>5</v>
      </c>
      <c r="S35" s="7"/>
      <c r="T35" s="5" t="s">
        <v>6</v>
      </c>
      <c r="U35" s="5" t="s">
        <v>7</v>
      </c>
      <c r="V35" s="4" t="s">
        <v>8</v>
      </c>
      <c r="W35" s="8"/>
      <c r="X35" s="9" t="s">
        <v>9</v>
      </c>
    </row>
    <row r="36" spans="2:24" ht="30.75" thickBot="1" x14ac:dyDescent="0.3">
      <c r="B36" s="11"/>
      <c r="C36" s="12" t="s">
        <v>10</v>
      </c>
      <c r="D36" s="12" t="s">
        <v>11</v>
      </c>
      <c r="E36" s="12" t="s">
        <v>12</v>
      </c>
      <c r="F36" s="12" t="s">
        <v>13</v>
      </c>
      <c r="G36" s="12" t="s">
        <v>14</v>
      </c>
      <c r="H36" s="12" t="s">
        <v>15</v>
      </c>
      <c r="I36" s="12" t="s">
        <v>16</v>
      </c>
      <c r="J36" s="12" t="s">
        <v>17</v>
      </c>
      <c r="K36" s="13" t="s">
        <v>18</v>
      </c>
      <c r="L36" s="14"/>
      <c r="M36" s="10"/>
      <c r="N36" s="11"/>
      <c r="O36" s="12" t="s">
        <v>10</v>
      </c>
      <c r="P36" s="12" t="s">
        <v>11</v>
      </c>
      <c r="Q36" s="12" t="s">
        <v>12</v>
      </c>
      <c r="R36" s="12" t="s">
        <v>13</v>
      </c>
      <c r="S36" s="12" t="s">
        <v>14</v>
      </c>
      <c r="T36" s="12" t="s">
        <v>15</v>
      </c>
      <c r="U36" s="12" t="s">
        <v>16</v>
      </c>
      <c r="V36" s="12" t="s">
        <v>17</v>
      </c>
      <c r="W36" s="13" t="s">
        <v>18</v>
      </c>
      <c r="X36" s="14"/>
    </row>
    <row r="37" spans="2:24" x14ac:dyDescent="0.25">
      <c r="B37" s="15" t="s">
        <v>19</v>
      </c>
      <c r="C37" s="38">
        <f>summary!C31/summary!$L31</f>
        <v>8.1619042733288877E-2</v>
      </c>
      <c r="D37" s="38">
        <f>summary!D31/summary!$L31</f>
        <v>1.0465295234186631E-2</v>
      </c>
      <c r="E37" s="38">
        <f>summary!E31/summary!$L31</f>
        <v>8.5415277279023233E-2</v>
      </c>
      <c r="F37" s="38">
        <f>summary!F31/summary!$L31</f>
        <v>5.8174729390037448E-2</v>
      </c>
      <c r="G37" s="38">
        <f>summary!G31/summary!$L31</f>
        <v>0.22331093212948239</v>
      </c>
      <c r="H37" s="38">
        <f>summary!H31/summary!$L31</f>
        <v>0</v>
      </c>
      <c r="I37" s="38">
        <f>summary!I31/summary!$L31</f>
        <v>0.23044169701944286</v>
      </c>
      <c r="J37" s="38">
        <f>summary!J31/summary!$L31</f>
        <v>0.11414353870620222</v>
      </c>
      <c r="K37" s="38">
        <f>summary!K31/summary!$L31</f>
        <v>0.19642948750833633</v>
      </c>
      <c r="L37" s="39">
        <f>SUM(C37:K37)</f>
        <v>1</v>
      </c>
      <c r="N37" s="15" t="s">
        <v>19</v>
      </c>
      <c r="O37" s="38">
        <f>summary!O31/summary!$X31</f>
        <v>2.8781134258191086E-2</v>
      </c>
      <c r="P37" s="38">
        <f>summary!P31/summary!$X31</f>
        <v>1.2713652707014382E-2</v>
      </c>
      <c r="Q37" s="38">
        <f>summary!Q31/summary!$X31</f>
        <v>0.20444527542076099</v>
      </c>
      <c r="R37" s="38">
        <f>summary!R31/summary!$X31</f>
        <v>2.0234303706717353E-2</v>
      </c>
      <c r="S37" s="38">
        <f>summary!S31/summary!$X31</f>
        <v>7.4681990142315455E-2</v>
      </c>
      <c r="T37" s="38">
        <f>summary!T31/summary!$X31</f>
        <v>0</v>
      </c>
      <c r="U37" s="38">
        <f>summary!U31/summary!$X31</f>
        <v>0.27493477036545849</v>
      </c>
      <c r="V37" s="38">
        <f>summary!V31/summary!$X31</f>
        <v>0.13355734269370478</v>
      </c>
      <c r="W37" s="38">
        <f>summary!W31/summary!$X31</f>
        <v>0.25065153070583746</v>
      </c>
      <c r="X37" s="39">
        <f>SUM(O37:W37)</f>
        <v>1</v>
      </c>
    </row>
    <row r="38" spans="2:24" x14ac:dyDescent="0.25">
      <c r="B38" s="21" t="s">
        <v>20</v>
      </c>
      <c r="C38" s="40">
        <f>summary!C32/summary!$L32</f>
        <v>3.3805177872974483E-2</v>
      </c>
      <c r="D38" s="40">
        <f>summary!D32/summary!$L32</f>
        <v>8.8470851182715585E-3</v>
      </c>
      <c r="E38" s="40">
        <f>summary!E32/summary!$L32</f>
        <v>5.2896256286086796E-2</v>
      </c>
      <c r="F38" s="40">
        <f>summary!F32/summary!$L32</f>
        <v>3.4457068355373439E-2</v>
      </c>
      <c r="G38" s="40">
        <f>summary!G32/summary!$L32</f>
        <v>0.22946544980443284</v>
      </c>
      <c r="H38" s="40">
        <f>summary!H32/summary!$L32</f>
        <v>0</v>
      </c>
      <c r="I38" s="40">
        <f>summary!I32/summary!$L32</f>
        <v>0.29456137083255729</v>
      </c>
      <c r="J38" s="40">
        <f>summary!J32/summary!$L32</f>
        <v>0.13931830880983423</v>
      </c>
      <c r="K38" s="40">
        <f>summary!K32/summary!$L32</f>
        <v>0.20664928292046936</v>
      </c>
      <c r="L38" s="41">
        <f t="shared" ref="L38:L41" si="6">SUM(C38:K38)</f>
        <v>1</v>
      </c>
      <c r="N38" s="21" t="s">
        <v>20</v>
      </c>
      <c r="O38" s="40">
        <f>summary!O32/summary!$X32</f>
        <v>1.5240094683979417E-2</v>
      </c>
      <c r="P38" s="40">
        <f>summary!P32/summary!$X32</f>
        <v>1.3791790994184528E-2</v>
      </c>
      <c r="Q38" s="40">
        <f>summary!Q32/summary!$X32</f>
        <v>9.922314234485767E-2</v>
      </c>
      <c r="R38" s="40">
        <f>summary!R32/summary!$X32</f>
        <v>1.6332248531997207E-2</v>
      </c>
      <c r="S38" s="40">
        <f>summary!S32/summary!$X32</f>
        <v>7.0169724534487624E-2</v>
      </c>
      <c r="T38" s="40">
        <f>summary!T32/summary!$X32</f>
        <v>0</v>
      </c>
      <c r="U38" s="40">
        <f>summary!U32/summary!$X32</f>
        <v>0.37802192571430071</v>
      </c>
      <c r="V38" s="40">
        <f>summary!V32/summary!$X32</f>
        <v>0.13645171744005077</v>
      </c>
      <c r="W38" s="40">
        <f>summary!W32/summary!$X32</f>
        <v>0.27076935575614203</v>
      </c>
      <c r="X38" s="41">
        <f t="shared" ref="X38:X41" si="7">SUM(O38:W38)</f>
        <v>1</v>
      </c>
    </row>
    <row r="39" spans="2:24" x14ac:dyDescent="0.25">
      <c r="B39" s="21" t="s">
        <v>21</v>
      </c>
      <c r="C39" s="40">
        <f>summary!C33/summary!$L33</f>
        <v>5.6477093206951025E-2</v>
      </c>
      <c r="D39" s="40">
        <f>summary!D33/summary!$L33</f>
        <v>6.3191153238546603E-3</v>
      </c>
      <c r="E39" s="40">
        <f>summary!E33/summary!$L33</f>
        <v>5.0552922590837282E-2</v>
      </c>
      <c r="F39" s="40">
        <f>summary!F33/summary!$L33</f>
        <v>3.0410742496050552E-2</v>
      </c>
      <c r="G39" s="40">
        <f>summary!G33/summary!$L33</f>
        <v>0.40442338072669826</v>
      </c>
      <c r="H39" s="40">
        <f>summary!H33/summary!$L33</f>
        <v>0</v>
      </c>
      <c r="I39" s="40">
        <f>summary!I33/summary!$L33</f>
        <v>0.14849921011058451</v>
      </c>
      <c r="J39" s="40">
        <f>summary!J33/summary!$L33</f>
        <v>0.26737756714060029</v>
      </c>
      <c r="K39" s="40">
        <f>summary!K33/summary!$L33</f>
        <v>3.5939968404423379E-2</v>
      </c>
      <c r="L39" s="41">
        <f t="shared" si="6"/>
        <v>0.99999999999999989</v>
      </c>
      <c r="N39" s="21" t="s">
        <v>21</v>
      </c>
      <c r="O39" s="40">
        <f>summary!O33/summary!$X33</f>
        <v>7.8368800620653947E-2</v>
      </c>
      <c r="P39" s="40">
        <f>summary!P33/summary!$X33</f>
        <v>1.3746750213216087E-2</v>
      </c>
      <c r="Q39" s="40">
        <f>summary!Q33/summary!$X33</f>
        <v>7.5516204616443192E-2</v>
      </c>
      <c r="R39" s="40">
        <f>summary!R33/summary!$X33</f>
        <v>3.5150289146826379E-2</v>
      </c>
      <c r="S39" s="40">
        <f>summary!S33/summary!$X33</f>
        <v>0.33567261914773872</v>
      </c>
      <c r="T39" s="40">
        <f>summary!T33/summary!$X33</f>
        <v>0</v>
      </c>
      <c r="U39" s="40">
        <f>summary!U33/summary!$X33</f>
        <v>9.0692120775141535E-2</v>
      </c>
      <c r="V39" s="40">
        <f>summary!V33/summary!$X33</f>
        <v>0.31529588145503323</v>
      </c>
      <c r="W39" s="40">
        <f>summary!W33/summary!$X33</f>
        <v>5.5557334024946919E-2</v>
      </c>
      <c r="X39" s="41">
        <f t="shared" si="7"/>
        <v>1</v>
      </c>
    </row>
    <row r="40" spans="2:24" x14ac:dyDescent="0.25">
      <c r="B40" s="21" t="s">
        <v>22</v>
      </c>
      <c r="C40" s="40">
        <f>summary!C34/summary!$L34</f>
        <v>0.19547311965266251</v>
      </c>
      <c r="D40" s="40">
        <f>summary!D34/summary!$L34</f>
        <v>1.0758523815604649E-2</v>
      </c>
      <c r="E40" s="40">
        <f>summary!E34/summary!$L34</f>
        <v>0.14806538117737197</v>
      </c>
      <c r="F40" s="40">
        <f>summary!F34/summary!$L34</f>
        <v>3.8947771676669643E-2</v>
      </c>
      <c r="G40" s="40">
        <f>summary!G34/summary!$L34</f>
        <v>0.19955944323841143</v>
      </c>
      <c r="H40" s="40">
        <f>summary!H34/summary!$L34</f>
        <v>3.1924403013663641E-5</v>
      </c>
      <c r="I40" s="40">
        <f>summary!I34/summary!$L34</f>
        <v>2.2283233303537223E-2</v>
      </c>
      <c r="J40" s="40">
        <f>summary!J34/summary!$L34</f>
        <v>0.19339803345677437</v>
      </c>
      <c r="K40" s="40">
        <f>summary!K34/summary!$L34</f>
        <v>0.19148256927595453</v>
      </c>
      <c r="L40" s="41">
        <f t="shared" si="6"/>
        <v>1</v>
      </c>
      <c r="N40" s="21" t="s">
        <v>22</v>
      </c>
      <c r="O40" s="40">
        <f>summary!O34/summary!$X34</f>
        <v>6.3891824428729829E-2</v>
      </c>
      <c r="P40" s="40">
        <f>summary!P34/summary!$X34</f>
        <v>2.5096629651279626E-2</v>
      </c>
      <c r="Q40" s="40">
        <f>summary!Q34/summary!$X34</f>
        <v>0.41592038376687396</v>
      </c>
      <c r="R40" s="40">
        <f>summary!R34/summary!$X34</f>
        <v>1.3163286645189636E-2</v>
      </c>
      <c r="S40" s="40">
        <f>summary!S34/summary!$X34</f>
        <v>6.3928957589708138E-2</v>
      </c>
      <c r="T40" s="40">
        <f>summary!T34/summary!$X34</f>
        <v>1.0654161161183933E-7</v>
      </c>
      <c r="U40" s="40">
        <f>summary!U34/summary!$X34</f>
        <v>1.7211329851300892E-2</v>
      </c>
      <c r="V40" s="40">
        <f>summary!V34/summary!$X34</f>
        <v>0.19507347927137081</v>
      </c>
      <c r="W40" s="40">
        <f>summary!W34/summary!$X34</f>
        <v>0.20571400225393552</v>
      </c>
      <c r="X40" s="41">
        <f t="shared" si="7"/>
        <v>1</v>
      </c>
    </row>
    <row r="41" spans="2:24" ht="15.75" thickBot="1" x14ac:dyDescent="0.3">
      <c r="B41" s="27" t="s">
        <v>23</v>
      </c>
      <c r="C41" s="42">
        <f>summary!C35/summary!$L35</f>
        <v>0.13057450805893406</v>
      </c>
      <c r="D41" s="42">
        <f>summary!D35/summary!$L35</f>
        <v>9.9377039454167908E-3</v>
      </c>
      <c r="E41" s="42">
        <f>summary!E35/summary!$L35</f>
        <v>0.10476614258874715</v>
      </c>
      <c r="F41" s="42">
        <f>summary!F35/summary!$L35</f>
        <v>4.4810310161837896E-2</v>
      </c>
      <c r="G41" s="42">
        <f>summary!G35/summary!$L35</f>
        <v>0.22520518144961929</v>
      </c>
      <c r="H41" s="42">
        <f>summary!H35/summary!$L35</f>
        <v>1.6480437720425855E-5</v>
      </c>
      <c r="I41" s="42">
        <f>summary!I35/summary!$L35</f>
        <v>0.13873232473054484</v>
      </c>
      <c r="J41" s="42">
        <f>summary!J35/summary!$L35</f>
        <v>0.16350242262434489</v>
      </c>
      <c r="K41" s="42">
        <f>summary!K35/summary!$L35</f>
        <v>0.18245492600283464</v>
      </c>
      <c r="L41" s="43">
        <f t="shared" si="6"/>
        <v>1</v>
      </c>
      <c r="M41" s="30"/>
      <c r="N41" s="27" t="s">
        <v>23</v>
      </c>
      <c r="O41" s="42">
        <f>summary!O35/summary!$X35</f>
        <v>4.8853868641402474E-2</v>
      </c>
      <c r="P41" s="42">
        <f>summary!P35/summary!$X35</f>
        <v>2.0243559145023921E-2</v>
      </c>
      <c r="Q41" s="42">
        <f>summary!Q35/summary!$X35</f>
        <v>0.32270540246630902</v>
      </c>
      <c r="R41" s="42">
        <f>summary!R35/summary!$X35</f>
        <v>1.5691833512458134E-2</v>
      </c>
      <c r="S41" s="42">
        <f>summary!S35/summary!$X35</f>
        <v>6.8284056695100945E-2</v>
      </c>
      <c r="T41" s="42">
        <f>summary!T35/summary!$X35</f>
        <v>6.4014402203974688E-8</v>
      </c>
      <c r="U41" s="42">
        <f>summary!U35/summary!$X35</f>
        <v>0.12819477083570829</v>
      </c>
      <c r="V41" s="42">
        <f>summary!V35/summary!$X35</f>
        <v>0.17105514281340814</v>
      </c>
      <c r="W41" s="42">
        <f>summary!W35/summary!$X35</f>
        <v>0.22497130187618683</v>
      </c>
      <c r="X41" s="43">
        <f t="shared" si="7"/>
        <v>1</v>
      </c>
    </row>
  </sheetData>
  <mergeCells count="52">
    <mergeCell ref="M35:M36"/>
    <mergeCell ref="N35:N36"/>
    <mergeCell ref="O35:P35"/>
    <mergeCell ref="R35:S35"/>
    <mergeCell ref="V35:W35"/>
    <mergeCell ref="X35:X36"/>
    <mergeCell ref="R24:S24"/>
    <mergeCell ref="V24:W24"/>
    <mergeCell ref="X24:X25"/>
    <mergeCell ref="C34:K34"/>
    <mergeCell ref="O34:W34"/>
    <mergeCell ref="B35:B36"/>
    <mergeCell ref="C35:D35"/>
    <mergeCell ref="F35:G35"/>
    <mergeCell ref="J35:K35"/>
    <mergeCell ref="L35:L36"/>
    <mergeCell ref="C23:K23"/>
    <mergeCell ref="O23:W23"/>
    <mergeCell ref="B24:B25"/>
    <mergeCell ref="C24:D24"/>
    <mergeCell ref="F24:G24"/>
    <mergeCell ref="J24:K24"/>
    <mergeCell ref="L24:L25"/>
    <mergeCell ref="M24:M25"/>
    <mergeCell ref="N24:N25"/>
    <mergeCell ref="O24:P24"/>
    <mergeCell ref="M13:M14"/>
    <mergeCell ref="N13:N14"/>
    <mergeCell ref="O13:P13"/>
    <mergeCell ref="R13:S13"/>
    <mergeCell ref="V13:W13"/>
    <mergeCell ref="X13:X14"/>
    <mergeCell ref="R2:S2"/>
    <mergeCell ref="V2:W2"/>
    <mergeCell ref="X2:X3"/>
    <mergeCell ref="C12:K12"/>
    <mergeCell ref="O12:W12"/>
    <mergeCell ref="B13:B14"/>
    <mergeCell ref="C13:D13"/>
    <mergeCell ref="F13:G13"/>
    <mergeCell ref="J13:K13"/>
    <mergeCell ref="L13:L14"/>
    <mergeCell ref="C1:K1"/>
    <mergeCell ref="O1:W1"/>
    <mergeCell ref="B2:B3"/>
    <mergeCell ref="C2:D2"/>
    <mergeCell ref="F2:G2"/>
    <mergeCell ref="J2:K2"/>
    <mergeCell ref="L2:L3"/>
    <mergeCell ref="M2:M3"/>
    <mergeCell ref="N2:N3"/>
    <mergeCell ref="O2:P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38" orientation="landscape" r:id="rId1"/>
  <headerFooter>
    <oddHeader>&amp;LSOBHA LLC&amp;C&amp;"-,Bold"&amp;36%Mode of Payment summary&amp;R&amp;D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1C750-3FD9-4E8A-AB8B-33EA0E0AB27B}">
  <sheetPr>
    <tabColor theme="4" tint="0.39997558519241921"/>
    <pageSetUpPr fitToPage="1"/>
  </sheetPr>
  <dimension ref="A1:AU93"/>
  <sheetViews>
    <sheetView tabSelected="1" showWhiteSpace="0" view="pageBreakPreview" zoomScale="72" zoomScaleNormal="100" zoomScaleSheetLayoutView="72" workbookViewId="0">
      <pane ySplit="1" topLeftCell="A2" activePane="bottomLeft" state="frozen"/>
      <selection pane="bottomLeft"/>
    </sheetView>
  </sheetViews>
  <sheetFormatPr defaultColWidth="5.42578125" defaultRowHeight="15" x14ac:dyDescent="0.25"/>
  <cols>
    <col min="1" max="1" width="34" style="46" customWidth="1"/>
    <col min="2" max="2" width="10.7109375" style="47" bestFit="1" customWidth="1"/>
    <col min="3" max="3" width="8.5703125" style="47" bestFit="1" customWidth="1"/>
    <col min="4" max="4" width="21" style="47" bestFit="1" customWidth="1"/>
    <col min="5" max="5" width="10.28515625" style="47" bestFit="1" customWidth="1"/>
    <col min="6" max="6" width="12.42578125" style="47" bestFit="1" customWidth="1"/>
    <col min="7" max="7" width="11.5703125" style="47" bestFit="1" customWidth="1"/>
    <col min="8" max="8" width="17.85546875" style="47" bestFit="1" customWidth="1"/>
    <col min="9" max="9" width="11.7109375" style="47" bestFit="1" customWidth="1"/>
    <col min="10" max="10" width="11.42578125" style="48" bestFit="1" customWidth="1"/>
    <col min="11" max="11" width="15" style="48" bestFit="1" customWidth="1"/>
    <col min="12" max="12" width="5.42578125" style="49"/>
    <col min="13" max="13" width="34" style="46" customWidth="1"/>
    <col min="14" max="14" width="10.7109375" style="47" bestFit="1" customWidth="1"/>
    <col min="15" max="15" width="8.5703125" style="47" bestFit="1" customWidth="1"/>
    <col min="16" max="16" width="21" style="47" bestFit="1" customWidth="1"/>
    <col min="17" max="17" width="10.28515625" style="47" bestFit="1" customWidth="1"/>
    <col min="18" max="18" width="12.42578125" style="47" bestFit="1" customWidth="1"/>
    <col min="19" max="19" width="11.5703125" style="47" bestFit="1" customWidth="1"/>
    <col min="20" max="20" width="17.85546875" style="47" bestFit="1" customWidth="1"/>
    <col min="21" max="21" width="11.7109375" style="47" bestFit="1" customWidth="1"/>
    <col min="22" max="22" width="11.42578125" style="48" bestFit="1" customWidth="1"/>
    <col min="23" max="23" width="15" style="48" bestFit="1" customWidth="1"/>
    <col min="24" max="24" width="5.42578125" style="49"/>
    <col min="25" max="25" width="34" style="46" bestFit="1" customWidth="1"/>
    <col min="26" max="26" width="10.7109375" style="49" bestFit="1" customWidth="1"/>
    <col min="27" max="27" width="9.140625" style="49" bestFit="1" customWidth="1"/>
    <col min="28" max="28" width="21" style="49" bestFit="1" customWidth="1"/>
    <col min="29" max="29" width="10.28515625" style="49" bestFit="1" customWidth="1"/>
    <col min="30" max="30" width="12.42578125" style="49" bestFit="1" customWidth="1"/>
    <col min="31" max="31" width="11.5703125" style="49" bestFit="1" customWidth="1"/>
    <col min="32" max="32" width="17.85546875" style="49" bestFit="1" customWidth="1"/>
    <col min="33" max="33" width="11.7109375" style="49" bestFit="1" customWidth="1"/>
    <col min="34" max="34" width="11.7109375" style="46" bestFit="1" customWidth="1"/>
    <col min="35" max="35" width="15" style="46" bestFit="1" customWidth="1"/>
    <col min="36" max="36" width="5.42578125" style="49"/>
    <col min="37" max="37" width="34" style="46" bestFit="1" customWidth="1"/>
    <col min="38" max="38" width="10.7109375" style="49" bestFit="1" customWidth="1"/>
    <col min="39" max="39" width="8.5703125" style="49" bestFit="1" customWidth="1"/>
    <col min="40" max="40" width="23.5703125" style="49" bestFit="1" customWidth="1"/>
    <col min="41" max="41" width="10.7109375" style="49" bestFit="1" customWidth="1"/>
    <col min="42" max="42" width="12.42578125" style="49" bestFit="1" customWidth="1"/>
    <col min="43" max="43" width="11.5703125" style="49" bestFit="1" customWidth="1"/>
    <col min="44" max="44" width="20.28515625" style="49" bestFit="1" customWidth="1"/>
    <col min="45" max="45" width="10.7109375" style="49" bestFit="1" customWidth="1"/>
    <col min="46" max="46" width="11.7109375" style="46" bestFit="1" customWidth="1"/>
    <col min="47" max="47" width="17.7109375" style="46" bestFit="1" customWidth="1"/>
    <col min="48" max="16384" width="5.42578125" style="49"/>
  </cols>
  <sheetData>
    <row r="1" spans="1:47" x14ac:dyDescent="0.25">
      <c r="A1" s="46">
        <v>2026</v>
      </c>
      <c r="M1" s="46">
        <v>2025</v>
      </c>
      <c r="Y1" s="46">
        <v>2024</v>
      </c>
      <c r="AK1" s="46">
        <v>2023</v>
      </c>
    </row>
    <row r="2" spans="1:47" ht="18.75" x14ac:dyDescent="0.25">
      <c r="A2" s="50" t="str">
        <f>_xlfn.CONCAT("Receipt count ", A1)</f>
        <v>Receipt count 2026</v>
      </c>
      <c r="B2" s="50"/>
      <c r="C2" s="50"/>
      <c r="D2" s="50"/>
      <c r="E2" s="50"/>
      <c r="F2" s="50"/>
      <c r="G2" s="50"/>
      <c r="H2" s="50"/>
      <c r="I2" s="50"/>
      <c r="J2" s="50"/>
      <c r="K2" s="50"/>
      <c r="M2" s="50" t="str">
        <f>_xlfn.CONCAT("Receipt count ", M1)</f>
        <v>Receipt count 2025</v>
      </c>
      <c r="N2" s="50"/>
      <c r="O2" s="50"/>
      <c r="P2" s="50"/>
      <c r="Q2" s="50"/>
      <c r="R2" s="50"/>
      <c r="S2" s="50"/>
      <c r="T2" s="50"/>
      <c r="U2" s="50"/>
      <c r="V2" s="50"/>
      <c r="W2" s="50"/>
      <c r="X2" s="46"/>
      <c r="Y2" s="50" t="str">
        <f>_xlfn.CONCAT("Receipt count ", Y1)</f>
        <v>Receipt count 2024</v>
      </c>
      <c r="Z2" s="50"/>
      <c r="AA2" s="50"/>
      <c r="AB2" s="50"/>
      <c r="AC2" s="50"/>
      <c r="AD2" s="50"/>
      <c r="AE2" s="50"/>
      <c r="AF2" s="50"/>
      <c r="AG2" s="50"/>
      <c r="AH2" s="50"/>
      <c r="AI2" s="50"/>
      <c r="AK2" s="50" t="str">
        <f>_xlfn.CONCAT("Receipt count ", AK1)</f>
        <v>Receipt count 2023</v>
      </c>
      <c r="AL2" s="50"/>
      <c r="AM2" s="50"/>
      <c r="AN2" s="50"/>
      <c r="AO2" s="50"/>
      <c r="AP2" s="50"/>
      <c r="AQ2" s="50"/>
      <c r="AR2" s="50"/>
      <c r="AS2" s="50"/>
      <c r="AT2" s="50"/>
      <c r="AU2" s="50"/>
    </row>
    <row r="3" spans="1:47" s="52" customFormat="1" ht="20.45" customHeight="1" thickBot="1" x14ac:dyDescent="0.3">
      <c r="A3" s="51" t="s">
        <v>19</v>
      </c>
      <c r="B3" s="51"/>
      <c r="C3" s="51"/>
      <c r="D3" s="51"/>
      <c r="E3" s="51"/>
      <c r="F3" s="51"/>
      <c r="G3" s="51"/>
      <c r="H3" s="51"/>
      <c r="I3" s="51"/>
      <c r="J3" s="51"/>
      <c r="K3" s="51"/>
      <c r="M3" s="51" t="s">
        <v>19</v>
      </c>
      <c r="N3" s="51"/>
      <c r="O3" s="51"/>
      <c r="P3" s="51"/>
      <c r="Q3" s="51"/>
      <c r="R3" s="51"/>
      <c r="S3" s="51"/>
      <c r="T3" s="51"/>
      <c r="U3" s="51"/>
      <c r="V3" s="51"/>
      <c r="W3" s="51"/>
      <c r="X3" s="53"/>
      <c r="Y3" s="51" t="s">
        <v>19</v>
      </c>
      <c r="Z3" s="51"/>
      <c r="AA3" s="51"/>
      <c r="AB3" s="51"/>
      <c r="AC3" s="51"/>
      <c r="AD3" s="51"/>
      <c r="AE3" s="51"/>
      <c r="AF3" s="51"/>
      <c r="AG3" s="51"/>
      <c r="AH3" s="51"/>
      <c r="AI3" s="51"/>
      <c r="AK3" s="51" t="s">
        <v>19</v>
      </c>
      <c r="AL3" s="51"/>
      <c r="AM3" s="51"/>
      <c r="AN3" s="51"/>
      <c r="AO3" s="51"/>
      <c r="AP3" s="51"/>
      <c r="AQ3" s="51"/>
      <c r="AR3" s="51"/>
      <c r="AS3" s="51"/>
      <c r="AT3" s="51"/>
      <c r="AU3" s="51"/>
    </row>
    <row r="4" spans="1:47" x14ac:dyDescent="0.25">
      <c r="A4" s="54" t="s">
        <v>38</v>
      </c>
      <c r="B4" s="4" t="s">
        <v>3</v>
      </c>
      <c r="C4" s="4"/>
      <c r="D4" s="5" t="s">
        <v>4</v>
      </c>
      <c r="E4" s="6" t="s">
        <v>5</v>
      </c>
      <c r="F4" s="7"/>
      <c r="G4" s="5" t="s">
        <v>6</v>
      </c>
      <c r="H4" s="5" t="s">
        <v>7</v>
      </c>
      <c r="I4" s="4" t="s">
        <v>8</v>
      </c>
      <c r="J4" s="8"/>
      <c r="K4" s="9" t="s">
        <v>9</v>
      </c>
      <c r="M4" s="54" t="s">
        <v>38</v>
      </c>
      <c r="N4" s="4" t="s">
        <v>3</v>
      </c>
      <c r="O4" s="4"/>
      <c r="P4" s="5" t="s">
        <v>4</v>
      </c>
      <c r="Q4" s="6" t="s">
        <v>5</v>
      </c>
      <c r="R4" s="7"/>
      <c r="S4" s="5" t="s">
        <v>6</v>
      </c>
      <c r="T4" s="5" t="s">
        <v>7</v>
      </c>
      <c r="U4" s="4" t="s">
        <v>8</v>
      </c>
      <c r="V4" s="8"/>
      <c r="W4" s="9" t="s">
        <v>9</v>
      </c>
      <c r="Y4" s="55" t="s">
        <v>38</v>
      </c>
      <c r="Z4" s="4" t="s">
        <v>3</v>
      </c>
      <c r="AA4" s="4"/>
      <c r="AB4" s="5" t="s">
        <v>4</v>
      </c>
      <c r="AC4" s="6" t="s">
        <v>5</v>
      </c>
      <c r="AD4" s="7"/>
      <c r="AE4" s="5" t="s">
        <v>6</v>
      </c>
      <c r="AF4" s="5" t="s">
        <v>7</v>
      </c>
      <c r="AG4" s="4" t="s">
        <v>8</v>
      </c>
      <c r="AH4" s="8"/>
      <c r="AI4" s="9" t="s">
        <v>9</v>
      </c>
      <c r="AK4" s="55" t="s">
        <v>38</v>
      </c>
      <c r="AL4" s="4" t="s">
        <v>3</v>
      </c>
      <c r="AM4" s="4"/>
      <c r="AN4" s="5" t="s">
        <v>4</v>
      </c>
      <c r="AO4" s="6" t="s">
        <v>5</v>
      </c>
      <c r="AP4" s="7"/>
      <c r="AQ4" s="5" t="s">
        <v>6</v>
      </c>
      <c r="AR4" s="5" t="s">
        <v>7</v>
      </c>
      <c r="AS4" s="4" t="s">
        <v>8</v>
      </c>
      <c r="AT4" s="8"/>
      <c r="AU4" s="9" t="s">
        <v>9</v>
      </c>
    </row>
    <row r="5" spans="1:47" ht="45.75" thickBot="1" x14ac:dyDescent="0.3">
      <c r="A5" s="54"/>
      <c r="B5" s="12" t="s">
        <v>10</v>
      </c>
      <c r="C5" s="12" t="s">
        <v>11</v>
      </c>
      <c r="D5" s="12" t="s">
        <v>12</v>
      </c>
      <c r="E5" s="12" t="s">
        <v>13</v>
      </c>
      <c r="F5" s="12" t="s">
        <v>14</v>
      </c>
      <c r="G5" s="12" t="s">
        <v>15</v>
      </c>
      <c r="H5" s="12" t="s">
        <v>16</v>
      </c>
      <c r="I5" s="12" t="s">
        <v>17</v>
      </c>
      <c r="J5" s="13" t="s">
        <v>18</v>
      </c>
      <c r="K5" s="14"/>
      <c r="M5" s="54"/>
      <c r="N5" s="12" t="s">
        <v>10</v>
      </c>
      <c r="O5" s="12" t="s">
        <v>11</v>
      </c>
      <c r="P5" s="12" t="s">
        <v>12</v>
      </c>
      <c r="Q5" s="12" t="s">
        <v>13</v>
      </c>
      <c r="R5" s="12" t="s">
        <v>14</v>
      </c>
      <c r="S5" s="12" t="s">
        <v>15</v>
      </c>
      <c r="T5" s="12" t="s">
        <v>16</v>
      </c>
      <c r="U5" s="12" t="s">
        <v>17</v>
      </c>
      <c r="V5" s="13" t="s">
        <v>18</v>
      </c>
      <c r="W5" s="14"/>
      <c r="Y5" s="56"/>
      <c r="Z5" s="12" t="s">
        <v>10</v>
      </c>
      <c r="AA5" s="12" t="s">
        <v>11</v>
      </c>
      <c r="AB5" s="12" t="s">
        <v>12</v>
      </c>
      <c r="AC5" s="12" t="s">
        <v>13</v>
      </c>
      <c r="AD5" s="12" t="s">
        <v>14</v>
      </c>
      <c r="AE5" s="12" t="s">
        <v>15</v>
      </c>
      <c r="AF5" s="12" t="s">
        <v>16</v>
      </c>
      <c r="AG5" s="12" t="s">
        <v>17</v>
      </c>
      <c r="AH5" s="13" t="s">
        <v>18</v>
      </c>
      <c r="AI5" s="14"/>
      <c r="AK5" s="56"/>
      <c r="AL5" s="12" t="s">
        <v>10</v>
      </c>
      <c r="AM5" s="12" t="s">
        <v>11</v>
      </c>
      <c r="AN5" s="12" t="s">
        <v>12</v>
      </c>
      <c r="AO5" s="12" t="s">
        <v>13</v>
      </c>
      <c r="AP5" s="12" t="s">
        <v>14</v>
      </c>
      <c r="AQ5" s="12" t="s">
        <v>15</v>
      </c>
      <c r="AR5" s="12" t="s">
        <v>16</v>
      </c>
      <c r="AS5" s="12" t="s">
        <v>17</v>
      </c>
      <c r="AT5" s="13" t="s">
        <v>18</v>
      </c>
      <c r="AU5" s="14"/>
    </row>
    <row r="6" spans="1:47" x14ac:dyDescent="0.25">
      <c r="A6" s="57" t="s">
        <v>39</v>
      </c>
      <c r="B6" s="58">
        <v>14</v>
      </c>
      <c r="C6" s="58">
        <v>3</v>
      </c>
      <c r="D6" s="58">
        <v>81</v>
      </c>
      <c r="E6" s="58">
        <v>58</v>
      </c>
      <c r="F6" s="58">
        <v>902</v>
      </c>
      <c r="G6" s="58">
        <v>66</v>
      </c>
      <c r="H6" s="58">
        <v>279</v>
      </c>
      <c r="I6" s="58">
        <v>270</v>
      </c>
      <c r="J6" s="58">
        <v>446</v>
      </c>
      <c r="K6" s="59">
        <f t="shared" ref="K6:K17" si="0">SUM(B6:J6)</f>
        <v>2119</v>
      </c>
      <c r="M6" s="57" t="s">
        <v>39</v>
      </c>
      <c r="N6" s="58">
        <v>65</v>
      </c>
      <c r="O6" s="58">
        <v>10</v>
      </c>
      <c r="P6" s="58">
        <v>123</v>
      </c>
      <c r="Q6" s="58">
        <v>95</v>
      </c>
      <c r="R6" s="58">
        <v>1341</v>
      </c>
      <c r="S6" s="58">
        <v>3</v>
      </c>
      <c r="T6" s="58">
        <v>614</v>
      </c>
      <c r="U6" s="58">
        <v>478</v>
      </c>
      <c r="V6" s="58">
        <v>740</v>
      </c>
      <c r="W6" s="59">
        <f t="shared" ref="W6:W17" si="1">SUM(N6:V6)</f>
        <v>3469</v>
      </c>
      <c r="Y6" s="57" t="s">
        <v>39</v>
      </c>
      <c r="Z6" s="60">
        <v>99</v>
      </c>
      <c r="AA6" s="60">
        <v>22</v>
      </c>
      <c r="AB6" s="60">
        <v>132</v>
      </c>
      <c r="AC6" s="60">
        <v>72</v>
      </c>
      <c r="AD6" s="60">
        <v>377</v>
      </c>
      <c r="AE6" s="60">
        <v>0</v>
      </c>
      <c r="AF6" s="60">
        <v>428</v>
      </c>
      <c r="AG6" s="60">
        <v>234</v>
      </c>
      <c r="AH6" s="60">
        <v>349</v>
      </c>
      <c r="AI6" s="61">
        <f t="shared" ref="AI6:AI17" si="2">SUM(Z6:AH6)</f>
        <v>1713</v>
      </c>
      <c r="AK6" s="57" t="s">
        <v>39</v>
      </c>
      <c r="AL6" s="60">
        <v>59</v>
      </c>
      <c r="AM6" s="60">
        <v>14</v>
      </c>
      <c r="AN6" s="60">
        <v>92</v>
      </c>
      <c r="AO6" s="60">
        <v>129</v>
      </c>
      <c r="AP6" s="60">
        <v>241</v>
      </c>
      <c r="AQ6" s="60">
        <v>0</v>
      </c>
      <c r="AR6" s="60">
        <v>344</v>
      </c>
      <c r="AS6" s="60">
        <v>95</v>
      </c>
      <c r="AT6" s="60">
        <v>371</v>
      </c>
      <c r="AU6" s="61">
        <f t="shared" ref="AU6:AU17" si="3">SUM(AL6:AT6)</f>
        <v>1345</v>
      </c>
    </row>
    <row r="7" spans="1:47" x14ac:dyDescent="0.25">
      <c r="A7" s="57" t="s">
        <v>40</v>
      </c>
      <c r="B7" s="58">
        <v>22</v>
      </c>
      <c r="C7" s="58">
        <v>2</v>
      </c>
      <c r="D7" s="58">
        <v>65</v>
      </c>
      <c r="E7" s="58">
        <v>42</v>
      </c>
      <c r="F7" s="58">
        <v>998</v>
      </c>
      <c r="G7" s="58">
        <v>88</v>
      </c>
      <c r="H7" s="58">
        <v>349</v>
      </c>
      <c r="I7" s="58">
        <v>284</v>
      </c>
      <c r="J7" s="58">
        <v>457</v>
      </c>
      <c r="K7" s="59">
        <f t="shared" si="0"/>
        <v>2307</v>
      </c>
      <c r="M7" s="57" t="s">
        <v>40</v>
      </c>
      <c r="N7" s="58">
        <v>105</v>
      </c>
      <c r="O7" s="58">
        <v>10</v>
      </c>
      <c r="P7" s="58">
        <v>123</v>
      </c>
      <c r="Q7" s="58">
        <v>103</v>
      </c>
      <c r="R7" s="58">
        <v>1561</v>
      </c>
      <c r="S7" s="58">
        <v>0</v>
      </c>
      <c r="T7" s="58">
        <v>631</v>
      </c>
      <c r="U7" s="58">
        <v>536</v>
      </c>
      <c r="V7" s="58">
        <v>811</v>
      </c>
      <c r="W7" s="59">
        <f t="shared" si="1"/>
        <v>3880</v>
      </c>
      <c r="Y7" s="57" t="s">
        <v>40</v>
      </c>
      <c r="Z7" s="60">
        <v>127</v>
      </c>
      <c r="AA7" s="60">
        <v>25</v>
      </c>
      <c r="AB7" s="60">
        <v>126</v>
      </c>
      <c r="AC7" s="60">
        <v>79</v>
      </c>
      <c r="AD7" s="60">
        <v>498</v>
      </c>
      <c r="AE7" s="60">
        <v>0</v>
      </c>
      <c r="AF7" s="60">
        <v>482</v>
      </c>
      <c r="AG7" s="60">
        <v>216</v>
      </c>
      <c r="AH7" s="60">
        <v>392</v>
      </c>
      <c r="AI7" s="61">
        <f t="shared" si="2"/>
        <v>1945</v>
      </c>
      <c r="AK7" s="57" t="s">
        <v>40</v>
      </c>
      <c r="AL7" s="60">
        <v>104</v>
      </c>
      <c r="AM7" s="60">
        <v>19</v>
      </c>
      <c r="AN7" s="60">
        <v>99</v>
      </c>
      <c r="AO7" s="60">
        <v>80</v>
      </c>
      <c r="AP7" s="60">
        <v>222</v>
      </c>
      <c r="AQ7" s="60">
        <v>0</v>
      </c>
      <c r="AR7" s="60">
        <v>269</v>
      </c>
      <c r="AS7" s="60">
        <v>87</v>
      </c>
      <c r="AT7" s="60">
        <v>281</v>
      </c>
      <c r="AU7" s="61">
        <f t="shared" si="3"/>
        <v>1161</v>
      </c>
    </row>
    <row r="8" spans="1:47" x14ac:dyDescent="0.25">
      <c r="A8" s="57" t="s">
        <v>41</v>
      </c>
      <c r="B8" s="58">
        <v>9</v>
      </c>
      <c r="C8" s="58">
        <v>0</v>
      </c>
      <c r="D8" s="58">
        <v>17</v>
      </c>
      <c r="E8" s="58">
        <v>6</v>
      </c>
      <c r="F8" s="58">
        <v>381</v>
      </c>
      <c r="G8" s="58">
        <v>51</v>
      </c>
      <c r="H8" s="58">
        <v>76</v>
      </c>
      <c r="I8" s="58">
        <v>75</v>
      </c>
      <c r="J8" s="58">
        <v>191</v>
      </c>
      <c r="K8" s="59">
        <f t="shared" si="0"/>
        <v>806</v>
      </c>
      <c r="M8" s="57" t="s">
        <v>41</v>
      </c>
      <c r="N8" s="58">
        <v>46</v>
      </c>
      <c r="O8" s="58">
        <v>11</v>
      </c>
      <c r="P8" s="58">
        <v>152</v>
      </c>
      <c r="Q8" s="58">
        <v>90</v>
      </c>
      <c r="R8" s="58">
        <v>1986</v>
      </c>
      <c r="S8" s="58">
        <v>1</v>
      </c>
      <c r="T8" s="58">
        <v>606</v>
      </c>
      <c r="U8" s="58">
        <v>502</v>
      </c>
      <c r="V8" s="58">
        <v>1031</v>
      </c>
      <c r="W8" s="59">
        <f t="shared" si="1"/>
        <v>4425</v>
      </c>
      <c r="Y8" s="57" t="s">
        <v>41</v>
      </c>
      <c r="Z8" s="60">
        <v>151</v>
      </c>
      <c r="AA8" s="60">
        <v>15</v>
      </c>
      <c r="AB8" s="60">
        <v>170</v>
      </c>
      <c r="AC8" s="60">
        <v>67</v>
      </c>
      <c r="AD8" s="60">
        <v>701</v>
      </c>
      <c r="AE8" s="60">
        <v>0</v>
      </c>
      <c r="AF8" s="60">
        <v>444</v>
      </c>
      <c r="AG8" s="60">
        <v>303</v>
      </c>
      <c r="AH8" s="60">
        <v>536</v>
      </c>
      <c r="AI8" s="61">
        <f t="shared" si="2"/>
        <v>2387</v>
      </c>
      <c r="AK8" s="57" t="s">
        <v>41</v>
      </c>
      <c r="AL8" s="60">
        <v>98</v>
      </c>
      <c r="AM8" s="60">
        <v>18</v>
      </c>
      <c r="AN8" s="60">
        <v>96</v>
      </c>
      <c r="AO8" s="60">
        <v>79</v>
      </c>
      <c r="AP8" s="60">
        <v>219</v>
      </c>
      <c r="AQ8" s="60">
        <v>0</v>
      </c>
      <c r="AR8" s="60">
        <v>342</v>
      </c>
      <c r="AS8" s="60">
        <v>127</v>
      </c>
      <c r="AT8" s="60">
        <v>445</v>
      </c>
      <c r="AU8" s="61">
        <f t="shared" si="3"/>
        <v>1424</v>
      </c>
    </row>
    <row r="9" spans="1:47" x14ac:dyDescent="0.25">
      <c r="A9" s="46" t="s">
        <v>42</v>
      </c>
      <c r="B9" s="58">
        <v>2</v>
      </c>
      <c r="C9" s="58">
        <v>21</v>
      </c>
      <c r="D9" s="58">
        <v>113</v>
      </c>
      <c r="E9" s="58">
        <v>7</v>
      </c>
      <c r="F9" s="58">
        <v>601</v>
      </c>
      <c r="G9" s="58">
        <v>48</v>
      </c>
      <c r="H9" s="58">
        <v>145</v>
      </c>
      <c r="I9" s="58">
        <v>180</v>
      </c>
      <c r="J9" s="58">
        <v>196</v>
      </c>
      <c r="K9" s="59">
        <f t="shared" si="0"/>
        <v>1313</v>
      </c>
      <c r="M9" s="46" t="s">
        <v>42</v>
      </c>
      <c r="N9" s="58">
        <v>64</v>
      </c>
      <c r="O9" s="58">
        <v>7</v>
      </c>
      <c r="P9" s="58">
        <v>135</v>
      </c>
      <c r="Q9" s="58">
        <v>57</v>
      </c>
      <c r="R9" s="58">
        <v>1631</v>
      </c>
      <c r="S9" s="58">
        <v>1</v>
      </c>
      <c r="T9" s="58">
        <v>574</v>
      </c>
      <c r="U9" s="58">
        <v>368</v>
      </c>
      <c r="V9" s="58">
        <v>936</v>
      </c>
      <c r="W9" s="59">
        <f t="shared" si="1"/>
        <v>3773</v>
      </c>
      <c r="X9" s="46"/>
      <c r="Y9" s="57" t="s">
        <v>42</v>
      </c>
      <c r="Z9" s="60">
        <v>194</v>
      </c>
      <c r="AA9" s="60">
        <v>10</v>
      </c>
      <c r="AB9" s="60">
        <v>139</v>
      </c>
      <c r="AC9" s="60">
        <v>65</v>
      </c>
      <c r="AD9" s="60">
        <v>676</v>
      </c>
      <c r="AE9" s="60">
        <v>0</v>
      </c>
      <c r="AF9" s="60">
        <v>342</v>
      </c>
      <c r="AG9" s="60">
        <v>416</v>
      </c>
      <c r="AH9" s="60">
        <v>452</v>
      </c>
      <c r="AI9" s="61">
        <f t="shared" si="2"/>
        <v>2294</v>
      </c>
      <c r="AK9" s="57" t="s">
        <v>42</v>
      </c>
      <c r="AL9" s="60">
        <v>84</v>
      </c>
      <c r="AM9" s="60">
        <v>13</v>
      </c>
      <c r="AN9" s="60">
        <v>115</v>
      </c>
      <c r="AO9" s="60">
        <v>46</v>
      </c>
      <c r="AP9" s="60">
        <v>268</v>
      </c>
      <c r="AQ9" s="60">
        <v>0</v>
      </c>
      <c r="AR9" s="60">
        <v>305</v>
      </c>
      <c r="AS9" s="60">
        <v>131</v>
      </c>
      <c r="AT9" s="60">
        <v>250</v>
      </c>
      <c r="AU9" s="61">
        <f t="shared" si="3"/>
        <v>1212</v>
      </c>
    </row>
    <row r="10" spans="1:47" x14ac:dyDescent="0.25">
      <c r="A10" s="57" t="s">
        <v>43</v>
      </c>
      <c r="B10" s="58">
        <v>0</v>
      </c>
      <c r="C10" s="58">
        <v>0</v>
      </c>
      <c r="D10" s="58">
        <v>23</v>
      </c>
      <c r="E10" s="58">
        <v>0</v>
      </c>
      <c r="F10" s="58">
        <v>80</v>
      </c>
      <c r="G10" s="58">
        <v>13</v>
      </c>
      <c r="H10" s="58">
        <v>26</v>
      </c>
      <c r="I10" s="58">
        <v>27</v>
      </c>
      <c r="J10" s="58">
        <v>10</v>
      </c>
      <c r="K10" s="59">
        <f t="shared" si="0"/>
        <v>179</v>
      </c>
      <c r="M10" s="57" t="s">
        <v>43</v>
      </c>
      <c r="N10" s="58">
        <v>42</v>
      </c>
      <c r="O10" s="58">
        <v>5</v>
      </c>
      <c r="P10" s="58">
        <v>151</v>
      </c>
      <c r="Q10" s="58">
        <v>89</v>
      </c>
      <c r="R10" s="58">
        <v>2118</v>
      </c>
      <c r="S10" s="58">
        <v>8</v>
      </c>
      <c r="T10" s="58">
        <v>748</v>
      </c>
      <c r="U10" s="58">
        <v>657</v>
      </c>
      <c r="V10" s="58">
        <v>1118</v>
      </c>
      <c r="W10" s="59">
        <f t="shared" si="1"/>
        <v>4936</v>
      </c>
      <c r="X10" s="46"/>
      <c r="Y10" s="57" t="s">
        <v>43</v>
      </c>
      <c r="Z10" s="60">
        <v>179</v>
      </c>
      <c r="AA10" s="60">
        <v>23</v>
      </c>
      <c r="AB10" s="60">
        <v>178</v>
      </c>
      <c r="AC10" s="60">
        <v>66</v>
      </c>
      <c r="AD10" s="60">
        <v>734</v>
      </c>
      <c r="AE10" s="60">
        <v>0</v>
      </c>
      <c r="AF10" s="60">
        <v>446</v>
      </c>
      <c r="AG10" s="60">
        <v>411</v>
      </c>
      <c r="AH10" s="60">
        <v>393</v>
      </c>
      <c r="AI10" s="61">
        <f t="shared" si="2"/>
        <v>2430</v>
      </c>
      <c r="AK10" s="57" t="s">
        <v>43</v>
      </c>
      <c r="AL10" s="60">
        <v>154</v>
      </c>
      <c r="AM10" s="60">
        <v>15</v>
      </c>
      <c r="AN10" s="60">
        <v>187</v>
      </c>
      <c r="AO10" s="60">
        <v>109</v>
      </c>
      <c r="AP10" s="60">
        <v>456</v>
      </c>
      <c r="AQ10" s="60">
        <v>0</v>
      </c>
      <c r="AR10" s="60">
        <v>547</v>
      </c>
      <c r="AS10" s="60">
        <v>161</v>
      </c>
      <c r="AT10" s="60">
        <v>350</v>
      </c>
      <c r="AU10" s="61">
        <f t="shared" si="3"/>
        <v>1979</v>
      </c>
    </row>
    <row r="11" spans="1:47" x14ac:dyDescent="0.25">
      <c r="A11" s="57" t="s">
        <v>44</v>
      </c>
      <c r="B11" s="58">
        <v>0</v>
      </c>
      <c r="C11" s="58">
        <v>0</v>
      </c>
      <c r="D11" s="58">
        <v>0</v>
      </c>
      <c r="E11" s="58">
        <v>0</v>
      </c>
      <c r="F11" s="58">
        <v>0</v>
      </c>
      <c r="G11" s="58">
        <v>0</v>
      </c>
      <c r="H11" s="58">
        <v>0</v>
      </c>
      <c r="I11" s="58">
        <v>0</v>
      </c>
      <c r="J11" s="58">
        <v>0</v>
      </c>
      <c r="K11" s="59">
        <f t="shared" si="0"/>
        <v>0</v>
      </c>
      <c r="M11" s="57" t="s">
        <v>44</v>
      </c>
      <c r="N11" s="58">
        <v>25</v>
      </c>
      <c r="O11" s="58">
        <v>3</v>
      </c>
      <c r="P11" s="58">
        <v>78</v>
      </c>
      <c r="Q11" s="58">
        <v>53</v>
      </c>
      <c r="R11" s="58">
        <v>1375</v>
      </c>
      <c r="S11" s="58">
        <v>12</v>
      </c>
      <c r="T11" s="58">
        <v>383</v>
      </c>
      <c r="U11" s="58">
        <v>431</v>
      </c>
      <c r="V11" s="58">
        <v>775</v>
      </c>
      <c r="W11" s="59">
        <f t="shared" si="1"/>
        <v>3135</v>
      </c>
      <c r="X11" s="46"/>
      <c r="Y11" s="57" t="s">
        <v>44</v>
      </c>
      <c r="Z11" s="60">
        <v>124</v>
      </c>
      <c r="AA11" s="60">
        <v>10</v>
      </c>
      <c r="AB11" s="60">
        <v>125</v>
      </c>
      <c r="AC11" s="60">
        <v>48</v>
      </c>
      <c r="AD11" s="60">
        <v>570</v>
      </c>
      <c r="AE11" s="60">
        <v>0</v>
      </c>
      <c r="AF11" s="60">
        <v>293</v>
      </c>
      <c r="AG11" s="60">
        <v>285</v>
      </c>
      <c r="AH11" s="60">
        <v>367</v>
      </c>
      <c r="AI11" s="61">
        <f t="shared" si="2"/>
        <v>1822</v>
      </c>
      <c r="AK11" s="57" t="s">
        <v>44</v>
      </c>
      <c r="AL11" s="60">
        <v>145</v>
      </c>
      <c r="AM11" s="60">
        <v>24</v>
      </c>
      <c r="AN11" s="60">
        <v>142</v>
      </c>
      <c r="AO11" s="60">
        <v>77</v>
      </c>
      <c r="AP11" s="60">
        <v>334</v>
      </c>
      <c r="AQ11" s="60">
        <v>0</v>
      </c>
      <c r="AR11" s="60">
        <v>419</v>
      </c>
      <c r="AS11" s="60">
        <v>192</v>
      </c>
      <c r="AT11" s="60">
        <v>231</v>
      </c>
      <c r="AU11" s="61">
        <f t="shared" si="3"/>
        <v>1564</v>
      </c>
    </row>
    <row r="12" spans="1:47" x14ac:dyDescent="0.25">
      <c r="A12" s="57" t="s">
        <v>45</v>
      </c>
      <c r="B12" s="58">
        <v>0</v>
      </c>
      <c r="C12" s="58">
        <v>0</v>
      </c>
      <c r="D12" s="58">
        <v>0</v>
      </c>
      <c r="E12" s="58">
        <v>0</v>
      </c>
      <c r="F12" s="58">
        <v>0</v>
      </c>
      <c r="G12" s="58">
        <v>0</v>
      </c>
      <c r="H12" s="58">
        <v>0</v>
      </c>
      <c r="I12" s="58">
        <v>0</v>
      </c>
      <c r="J12" s="58">
        <v>0</v>
      </c>
      <c r="K12" s="59">
        <f t="shared" si="0"/>
        <v>0</v>
      </c>
      <c r="M12" s="57" t="s">
        <v>45</v>
      </c>
      <c r="N12" s="58">
        <v>28</v>
      </c>
      <c r="O12" s="58">
        <v>5</v>
      </c>
      <c r="P12" s="58">
        <v>99</v>
      </c>
      <c r="Q12" s="58">
        <v>65</v>
      </c>
      <c r="R12" s="58">
        <v>1295</v>
      </c>
      <c r="S12" s="58">
        <v>13</v>
      </c>
      <c r="T12" s="58">
        <v>457</v>
      </c>
      <c r="U12" s="58">
        <v>311</v>
      </c>
      <c r="V12" s="58">
        <v>647</v>
      </c>
      <c r="W12" s="59">
        <f t="shared" si="1"/>
        <v>2920</v>
      </c>
      <c r="X12" s="46"/>
      <c r="Y12" s="57" t="s">
        <v>45</v>
      </c>
      <c r="Z12" s="60">
        <v>153</v>
      </c>
      <c r="AA12" s="60">
        <v>19</v>
      </c>
      <c r="AB12" s="60">
        <v>94</v>
      </c>
      <c r="AC12" s="60">
        <v>57</v>
      </c>
      <c r="AD12" s="60">
        <v>554</v>
      </c>
      <c r="AE12" s="60">
        <v>0</v>
      </c>
      <c r="AF12" s="60">
        <v>371</v>
      </c>
      <c r="AG12" s="60">
        <v>282</v>
      </c>
      <c r="AH12" s="60">
        <v>329</v>
      </c>
      <c r="AI12" s="61">
        <f t="shared" si="2"/>
        <v>1859</v>
      </c>
      <c r="AK12" s="57" t="s">
        <v>45</v>
      </c>
      <c r="AL12" s="60">
        <v>177</v>
      </c>
      <c r="AM12" s="60">
        <v>8</v>
      </c>
      <c r="AN12" s="60">
        <v>157</v>
      </c>
      <c r="AO12" s="60">
        <v>63</v>
      </c>
      <c r="AP12" s="60">
        <v>352</v>
      </c>
      <c r="AQ12" s="60">
        <v>0</v>
      </c>
      <c r="AR12" s="60">
        <v>378</v>
      </c>
      <c r="AS12" s="60">
        <v>253</v>
      </c>
      <c r="AT12" s="60">
        <v>347</v>
      </c>
      <c r="AU12" s="61">
        <f t="shared" si="3"/>
        <v>1735</v>
      </c>
    </row>
    <row r="13" spans="1:47" x14ac:dyDescent="0.25">
      <c r="A13" s="57" t="s">
        <v>46</v>
      </c>
      <c r="B13" s="58">
        <v>0</v>
      </c>
      <c r="C13" s="58">
        <v>0</v>
      </c>
      <c r="D13" s="58">
        <v>0</v>
      </c>
      <c r="E13" s="58">
        <v>0</v>
      </c>
      <c r="F13" s="58">
        <v>0</v>
      </c>
      <c r="G13" s="58">
        <v>0</v>
      </c>
      <c r="H13" s="58">
        <v>0</v>
      </c>
      <c r="I13" s="58">
        <v>0</v>
      </c>
      <c r="J13" s="58">
        <v>0</v>
      </c>
      <c r="K13" s="59">
        <f t="shared" si="0"/>
        <v>0</v>
      </c>
      <c r="M13" s="57" t="s">
        <v>46</v>
      </c>
      <c r="N13" s="58">
        <v>28</v>
      </c>
      <c r="O13" s="58">
        <v>0</v>
      </c>
      <c r="P13" s="58">
        <v>81</v>
      </c>
      <c r="Q13" s="58">
        <v>63</v>
      </c>
      <c r="R13" s="58">
        <v>1127</v>
      </c>
      <c r="S13" s="58">
        <v>43</v>
      </c>
      <c r="T13" s="58">
        <v>399</v>
      </c>
      <c r="U13" s="58">
        <v>268</v>
      </c>
      <c r="V13" s="58">
        <v>567</v>
      </c>
      <c r="W13" s="59">
        <f t="shared" si="1"/>
        <v>2576</v>
      </c>
      <c r="X13" s="46"/>
      <c r="Y13" s="57" t="s">
        <v>46</v>
      </c>
      <c r="Z13" s="60">
        <v>173</v>
      </c>
      <c r="AA13" s="60">
        <v>25</v>
      </c>
      <c r="AB13" s="60">
        <v>125</v>
      </c>
      <c r="AC13" s="60">
        <v>58</v>
      </c>
      <c r="AD13" s="60">
        <v>948</v>
      </c>
      <c r="AE13" s="60">
        <v>0</v>
      </c>
      <c r="AF13" s="60">
        <v>420</v>
      </c>
      <c r="AG13" s="60">
        <v>385</v>
      </c>
      <c r="AH13" s="60">
        <v>408</v>
      </c>
      <c r="AI13" s="61">
        <f t="shared" si="2"/>
        <v>2542</v>
      </c>
      <c r="AK13" s="57" t="s">
        <v>46</v>
      </c>
      <c r="AL13" s="60">
        <v>156</v>
      </c>
      <c r="AM13" s="60">
        <v>13</v>
      </c>
      <c r="AN13" s="60">
        <v>188</v>
      </c>
      <c r="AO13" s="60">
        <v>93</v>
      </c>
      <c r="AP13" s="60">
        <v>420</v>
      </c>
      <c r="AQ13" s="60">
        <v>0</v>
      </c>
      <c r="AR13" s="60">
        <v>262</v>
      </c>
      <c r="AS13" s="60">
        <v>305</v>
      </c>
      <c r="AT13" s="60">
        <v>251</v>
      </c>
      <c r="AU13" s="61">
        <f t="shared" si="3"/>
        <v>1688</v>
      </c>
    </row>
    <row r="14" spans="1:47" x14ac:dyDescent="0.25">
      <c r="A14" s="57" t="s">
        <v>47</v>
      </c>
      <c r="B14" s="58">
        <v>0</v>
      </c>
      <c r="C14" s="58">
        <v>0</v>
      </c>
      <c r="D14" s="58">
        <v>0</v>
      </c>
      <c r="E14" s="58">
        <v>0</v>
      </c>
      <c r="F14" s="58">
        <v>0</v>
      </c>
      <c r="G14" s="58">
        <v>0</v>
      </c>
      <c r="H14" s="58">
        <v>0</v>
      </c>
      <c r="I14" s="58">
        <v>0</v>
      </c>
      <c r="J14" s="58">
        <v>0</v>
      </c>
      <c r="K14" s="59">
        <f t="shared" si="0"/>
        <v>0</v>
      </c>
      <c r="M14" s="57" t="s">
        <v>47</v>
      </c>
      <c r="N14" s="58">
        <v>24</v>
      </c>
      <c r="O14" s="58">
        <v>3</v>
      </c>
      <c r="P14" s="58">
        <v>67</v>
      </c>
      <c r="Q14" s="58">
        <v>55</v>
      </c>
      <c r="R14" s="58">
        <v>1353</v>
      </c>
      <c r="S14" s="58">
        <v>56</v>
      </c>
      <c r="T14" s="58">
        <v>457</v>
      </c>
      <c r="U14" s="58">
        <v>307</v>
      </c>
      <c r="V14" s="58">
        <v>652</v>
      </c>
      <c r="W14" s="59">
        <f t="shared" si="1"/>
        <v>2974</v>
      </c>
      <c r="X14" s="46"/>
      <c r="Y14" s="57" t="s">
        <v>47</v>
      </c>
      <c r="Z14" s="60">
        <v>131</v>
      </c>
      <c r="AA14" s="60">
        <v>10</v>
      </c>
      <c r="AB14" s="60">
        <v>115</v>
      </c>
      <c r="AC14" s="60">
        <v>82</v>
      </c>
      <c r="AD14" s="60">
        <v>970</v>
      </c>
      <c r="AE14" s="60">
        <v>0</v>
      </c>
      <c r="AF14" s="60">
        <v>535</v>
      </c>
      <c r="AG14" s="60">
        <v>373</v>
      </c>
      <c r="AH14" s="60">
        <v>479</v>
      </c>
      <c r="AI14" s="61">
        <f t="shared" si="2"/>
        <v>2695</v>
      </c>
      <c r="AK14" s="57" t="s">
        <v>47</v>
      </c>
      <c r="AL14" s="60">
        <v>110</v>
      </c>
      <c r="AM14" s="60">
        <v>30</v>
      </c>
      <c r="AN14" s="60">
        <v>157</v>
      </c>
      <c r="AO14" s="60">
        <v>71</v>
      </c>
      <c r="AP14" s="60">
        <v>416</v>
      </c>
      <c r="AQ14" s="60">
        <v>0</v>
      </c>
      <c r="AR14" s="60">
        <v>379</v>
      </c>
      <c r="AS14" s="60">
        <v>236</v>
      </c>
      <c r="AT14" s="60">
        <v>290</v>
      </c>
      <c r="AU14" s="61">
        <f t="shared" si="3"/>
        <v>1689</v>
      </c>
    </row>
    <row r="15" spans="1:47" x14ac:dyDescent="0.25">
      <c r="A15" s="57" t="s">
        <v>48</v>
      </c>
      <c r="B15" s="58">
        <v>0</v>
      </c>
      <c r="C15" s="58">
        <v>0</v>
      </c>
      <c r="D15" s="58">
        <v>0</v>
      </c>
      <c r="E15" s="58">
        <v>0</v>
      </c>
      <c r="F15" s="58">
        <v>0</v>
      </c>
      <c r="G15" s="58">
        <v>0</v>
      </c>
      <c r="H15" s="58">
        <v>0</v>
      </c>
      <c r="I15" s="58">
        <v>0</v>
      </c>
      <c r="J15" s="58">
        <v>0</v>
      </c>
      <c r="K15" s="59">
        <f t="shared" si="0"/>
        <v>0</v>
      </c>
      <c r="M15" s="57" t="s">
        <v>48</v>
      </c>
      <c r="N15" s="58">
        <v>15</v>
      </c>
      <c r="O15" s="58">
        <v>1</v>
      </c>
      <c r="P15" s="58">
        <v>79</v>
      </c>
      <c r="Q15" s="58">
        <v>70</v>
      </c>
      <c r="R15" s="58">
        <v>1548</v>
      </c>
      <c r="S15" s="58">
        <v>59</v>
      </c>
      <c r="T15" s="58">
        <v>433</v>
      </c>
      <c r="U15" s="58">
        <v>322</v>
      </c>
      <c r="V15" s="58">
        <v>723</v>
      </c>
      <c r="W15" s="59">
        <f t="shared" si="1"/>
        <v>3250</v>
      </c>
      <c r="X15" s="46"/>
      <c r="Y15" s="57" t="s">
        <v>48</v>
      </c>
      <c r="Z15" s="60">
        <v>89</v>
      </c>
      <c r="AA15" s="60">
        <v>6</v>
      </c>
      <c r="AB15" s="60">
        <v>172</v>
      </c>
      <c r="AC15" s="60">
        <v>91</v>
      </c>
      <c r="AD15" s="60">
        <v>1206</v>
      </c>
      <c r="AE15" s="60">
        <v>0</v>
      </c>
      <c r="AF15" s="60">
        <v>557</v>
      </c>
      <c r="AG15" s="60">
        <v>449</v>
      </c>
      <c r="AH15" s="60">
        <v>537</v>
      </c>
      <c r="AI15" s="61">
        <f t="shared" si="2"/>
        <v>3107</v>
      </c>
      <c r="AK15" s="57" t="s">
        <v>48</v>
      </c>
      <c r="AL15" s="60">
        <v>167</v>
      </c>
      <c r="AM15" s="60">
        <v>30</v>
      </c>
      <c r="AN15" s="60">
        <v>149</v>
      </c>
      <c r="AO15" s="60">
        <v>129</v>
      </c>
      <c r="AP15" s="60">
        <v>537</v>
      </c>
      <c r="AQ15" s="60">
        <v>0</v>
      </c>
      <c r="AR15" s="60">
        <v>419</v>
      </c>
      <c r="AS15" s="60">
        <v>218</v>
      </c>
      <c r="AT15" s="60">
        <v>408</v>
      </c>
      <c r="AU15" s="61">
        <f t="shared" si="3"/>
        <v>2057</v>
      </c>
    </row>
    <row r="16" spans="1:47" x14ac:dyDescent="0.25">
      <c r="A16" s="57" t="s">
        <v>49</v>
      </c>
      <c r="B16" s="58">
        <v>0</v>
      </c>
      <c r="C16" s="58">
        <v>0</v>
      </c>
      <c r="D16" s="58">
        <v>0</v>
      </c>
      <c r="E16" s="58">
        <v>0</v>
      </c>
      <c r="F16" s="58">
        <v>0</v>
      </c>
      <c r="G16" s="58">
        <v>0</v>
      </c>
      <c r="H16" s="58">
        <v>0</v>
      </c>
      <c r="I16" s="58">
        <v>0</v>
      </c>
      <c r="J16" s="58">
        <v>0</v>
      </c>
      <c r="K16" s="59">
        <f t="shared" si="0"/>
        <v>0</v>
      </c>
      <c r="M16" s="57" t="s">
        <v>49</v>
      </c>
      <c r="N16" s="58">
        <v>43</v>
      </c>
      <c r="O16" s="58">
        <v>3</v>
      </c>
      <c r="P16" s="58">
        <v>79</v>
      </c>
      <c r="Q16" s="58">
        <v>37</v>
      </c>
      <c r="R16" s="58">
        <v>1216</v>
      </c>
      <c r="S16" s="58">
        <v>39</v>
      </c>
      <c r="T16" s="58">
        <v>444</v>
      </c>
      <c r="U16" s="58">
        <v>269</v>
      </c>
      <c r="V16" s="58">
        <v>515</v>
      </c>
      <c r="W16" s="59">
        <f t="shared" si="1"/>
        <v>2645</v>
      </c>
      <c r="X16" s="46"/>
      <c r="Y16" s="57" t="s">
        <v>49</v>
      </c>
      <c r="Z16" s="60">
        <v>88</v>
      </c>
      <c r="AA16" s="60">
        <v>10</v>
      </c>
      <c r="AB16" s="60">
        <v>150</v>
      </c>
      <c r="AC16" s="60">
        <v>104</v>
      </c>
      <c r="AD16" s="60">
        <v>1568</v>
      </c>
      <c r="AE16" s="60">
        <v>0</v>
      </c>
      <c r="AF16" s="60">
        <v>588</v>
      </c>
      <c r="AG16" s="60">
        <v>531</v>
      </c>
      <c r="AH16" s="60">
        <v>683</v>
      </c>
      <c r="AI16" s="61">
        <f t="shared" si="2"/>
        <v>3722</v>
      </c>
      <c r="AK16" s="57" t="s">
        <v>49</v>
      </c>
      <c r="AL16" s="60">
        <v>180</v>
      </c>
      <c r="AM16" s="60">
        <v>7</v>
      </c>
      <c r="AN16" s="60">
        <v>153</v>
      </c>
      <c r="AO16" s="60">
        <v>117</v>
      </c>
      <c r="AP16" s="60">
        <v>450</v>
      </c>
      <c r="AQ16" s="60">
        <v>0</v>
      </c>
      <c r="AR16" s="60">
        <v>452</v>
      </c>
      <c r="AS16" s="60">
        <v>211</v>
      </c>
      <c r="AT16" s="60">
        <v>331</v>
      </c>
      <c r="AU16" s="61">
        <f t="shared" si="3"/>
        <v>1901</v>
      </c>
    </row>
    <row r="17" spans="1:47" x14ac:dyDescent="0.25">
      <c r="A17" s="57" t="s">
        <v>50</v>
      </c>
      <c r="B17" s="58">
        <v>0</v>
      </c>
      <c r="C17" s="58">
        <v>0</v>
      </c>
      <c r="D17" s="58">
        <v>0</v>
      </c>
      <c r="E17" s="58">
        <v>0</v>
      </c>
      <c r="F17" s="58">
        <v>0</v>
      </c>
      <c r="G17" s="58">
        <v>0</v>
      </c>
      <c r="H17" s="58">
        <v>0</v>
      </c>
      <c r="I17" s="58">
        <v>0</v>
      </c>
      <c r="J17" s="58">
        <v>0</v>
      </c>
      <c r="K17" s="59">
        <f t="shared" si="0"/>
        <v>0</v>
      </c>
      <c r="M17" s="57" t="s">
        <v>50</v>
      </c>
      <c r="N17" s="58">
        <v>13</v>
      </c>
      <c r="O17" s="58">
        <v>4</v>
      </c>
      <c r="P17" s="58">
        <v>76</v>
      </c>
      <c r="Q17" s="58">
        <v>40</v>
      </c>
      <c r="R17" s="58">
        <v>1170</v>
      </c>
      <c r="S17" s="58">
        <v>45</v>
      </c>
      <c r="T17" s="58">
        <v>395</v>
      </c>
      <c r="U17" s="58">
        <v>261</v>
      </c>
      <c r="V17" s="58">
        <v>599</v>
      </c>
      <c r="W17" s="59">
        <f t="shared" si="1"/>
        <v>2603</v>
      </c>
      <c r="X17" s="46"/>
      <c r="Y17" s="57" t="s">
        <v>50</v>
      </c>
      <c r="Z17" s="60">
        <v>79</v>
      </c>
      <c r="AA17" s="60">
        <v>4</v>
      </c>
      <c r="AB17" s="60">
        <v>147</v>
      </c>
      <c r="AC17" s="60">
        <v>113</v>
      </c>
      <c r="AD17" s="60">
        <v>1504</v>
      </c>
      <c r="AE17" s="60">
        <v>1</v>
      </c>
      <c r="AF17" s="60">
        <v>752</v>
      </c>
      <c r="AG17" s="60">
        <v>484</v>
      </c>
      <c r="AH17" s="60">
        <v>774</v>
      </c>
      <c r="AI17" s="61">
        <f t="shared" si="2"/>
        <v>3858</v>
      </c>
      <c r="AK17" s="57" t="s">
        <v>50</v>
      </c>
      <c r="AL17" s="60">
        <v>157</v>
      </c>
      <c r="AM17" s="60">
        <v>13</v>
      </c>
      <c r="AN17" s="60">
        <v>130</v>
      </c>
      <c r="AO17" s="60">
        <v>141</v>
      </c>
      <c r="AP17" s="60">
        <v>438</v>
      </c>
      <c r="AQ17" s="60">
        <v>0</v>
      </c>
      <c r="AR17" s="60">
        <v>376</v>
      </c>
      <c r="AS17" s="60">
        <v>209</v>
      </c>
      <c r="AT17" s="60">
        <v>274</v>
      </c>
      <c r="AU17" s="61">
        <f t="shared" si="3"/>
        <v>1738</v>
      </c>
    </row>
    <row r="18" spans="1:47" s="47" customFormat="1" x14ac:dyDescent="0.25">
      <c r="A18" s="62" t="s">
        <v>9</v>
      </c>
      <c r="B18" s="63">
        <f t="shared" ref="B18:K18" si="4">SUM(B6:B17)</f>
        <v>47</v>
      </c>
      <c r="C18" s="63">
        <f t="shared" si="4"/>
        <v>26</v>
      </c>
      <c r="D18" s="63">
        <f t="shared" si="4"/>
        <v>299</v>
      </c>
      <c r="E18" s="63">
        <f t="shared" si="4"/>
        <v>113</v>
      </c>
      <c r="F18" s="63">
        <f t="shared" si="4"/>
        <v>2962</v>
      </c>
      <c r="G18" s="63">
        <f t="shared" si="4"/>
        <v>266</v>
      </c>
      <c r="H18" s="63">
        <f t="shared" si="4"/>
        <v>875</v>
      </c>
      <c r="I18" s="63">
        <f t="shared" si="4"/>
        <v>836</v>
      </c>
      <c r="J18" s="63">
        <f t="shared" si="4"/>
        <v>1300</v>
      </c>
      <c r="K18" s="63">
        <f t="shared" si="4"/>
        <v>6724</v>
      </c>
      <c r="M18" s="62" t="s">
        <v>9</v>
      </c>
      <c r="N18" s="63">
        <f t="shared" ref="N18:W18" si="5">SUM(N6:N17)</f>
        <v>498</v>
      </c>
      <c r="O18" s="63">
        <f t="shared" si="5"/>
        <v>62</v>
      </c>
      <c r="P18" s="63">
        <f t="shared" si="5"/>
        <v>1243</v>
      </c>
      <c r="Q18" s="63">
        <f t="shared" si="5"/>
        <v>817</v>
      </c>
      <c r="R18" s="63">
        <f t="shared" si="5"/>
        <v>17721</v>
      </c>
      <c r="S18" s="63">
        <f t="shared" si="5"/>
        <v>280</v>
      </c>
      <c r="T18" s="63">
        <f t="shared" si="5"/>
        <v>6141</v>
      </c>
      <c r="U18" s="63">
        <f t="shared" si="5"/>
        <v>4710</v>
      </c>
      <c r="V18" s="63">
        <f t="shared" si="5"/>
        <v>9114</v>
      </c>
      <c r="W18" s="63">
        <f t="shared" si="5"/>
        <v>40586</v>
      </c>
      <c r="X18" s="48"/>
      <c r="Y18" s="62" t="s">
        <v>9</v>
      </c>
      <c r="Z18" s="63">
        <f t="shared" ref="Z18:AI18" si="6">SUM(Z6:Z17)</f>
        <v>1587</v>
      </c>
      <c r="AA18" s="63">
        <f t="shared" si="6"/>
        <v>179</v>
      </c>
      <c r="AB18" s="63">
        <f t="shared" si="6"/>
        <v>1673</v>
      </c>
      <c r="AC18" s="63">
        <f t="shared" si="6"/>
        <v>902</v>
      </c>
      <c r="AD18" s="63">
        <f t="shared" si="6"/>
        <v>10306</v>
      </c>
      <c r="AE18" s="63">
        <f t="shared" si="6"/>
        <v>1</v>
      </c>
      <c r="AF18" s="63">
        <f t="shared" si="6"/>
        <v>5658</v>
      </c>
      <c r="AG18" s="63">
        <f t="shared" si="6"/>
        <v>4369</v>
      </c>
      <c r="AH18" s="63">
        <f t="shared" si="6"/>
        <v>5699</v>
      </c>
      <c r="AI18" s="63">
        <f t="shared" si="6"/>
        <v>30374</v>
      </c>
      <c r="AK18" s="62" t="s">
        <v>9</v>
      </c>
      <c r="AL18" s="63">
        <f t="shared" ref="AL18:AU18" si="7">SUM(AL6:AL17)</f>
        <v>1591</v>
      </c>
      <c r="AM18" s="63">
        <f t="shared" si="7"/>
        <v>204</v>
      </c>
      <c r="AN18" s="63">
        <f t="shared" si="7"/>
        <v>1665</v>
      </c>
      <c r="AO18" s="63">
        <f t="shared" si="7"/>
        <v>1134</v>
      </c>
      <c r="AP18" s="63">
        <f t="shared" si="7"/>
        <v>4353</v>
      </c>
      <c r="AQ18" s="63">
        <f t="shared" si="7"/>
        <v>0</v>
      </c>
      <c r="AR18" s="63">
        <f t="shared" si="7"/>
        <v>4492</v>
      </c>
      <c r="AS18" s="63">
        <f t="shared" si="7"/>
        <v>2225</v>
      </c>
      <c r="AT18" s="63">
        <f t="shared" si="7"/>
        <v>3829</v>
      </c>
      <c r="AU18" s="63">
        <f t="shared" si="7"/>
        <v>19493</v>
      </c>
    </row>
    <row r="19" spans="1:47" s="47" customFormat="1" ht="16.149999999999999" customHeight="1" x14ac:dyDescent="0.25">
      <c r="A19" s="64" t="s">
        <v>51</v>
      </c>
      <c r="B19" s="65">
        <f t="shared" ref="B19:K19" si="8">B18/$K18</f>
        <v>6.9898869720404523E-3</v>
      </c>
      <c r="C19" s="65">
        <f t="shared" si="8"/>
        <v>3.8667459845330159E-3</v>
      </c>
      <c r="D19" s="65">
        <f t="shared" si="8"/>
        <v>4.4467578822129684E-2</v>
      </c>
      <c r="E19" s="65">
        <f t="shared" si="8"/>
        <v>1.6805472932778107E-2</v>
      </c>
      <c r="F19" s="65">
        <f t="shared" si="8"/>
        <v>0.4405116002379536</v>
      </c>
      <c r="G19" s="65">
        <f t="shared" si="8"/>
        <v>3.9559785841760856E-2</v>
      </c>
      <c r="H19" s="65">
        <f t="shared" si="8"/>
        <v>0.13013087447947649</v>
      </c>
      <c r="I19" s="65">
        <f t="shared" si="8"/>
        <v>0.12433075550267698</v>
      </c>
      <c r="J19" s="65">
        <f t="shared" si="8"/>
        <v>0.1933372992266508</v>
      </c>
      <c r="K19" s="65">
        <f t="shared" si="8"/>
        <v>1</v>
      </c>
      <c r="M19" s="64" t="s">
        <v>51</v>
      </c>
      <c r="N19" s="65">
        <f t="shared" ref="N19:W19" si="9">N18/$W18</f>
        <v>1.227024096979254E-2</v>
      </c>
      <c r="O19" s="65">
        <f t="shared" si="9"/>
        <v>1.5276203617010792E-3</v>
      </c>
      <c r="P19" s="65">
        <f t="shared" si="9"/>
        <v>3.0626324348297443E-2</v>
      </c>
      <c r="Q19" s="65">
        <f t="shared" si="9"/>
        <v>2.013009412112551E-2</v>
      </c>
      <c r="R19" s="65">
        <f t="shared" si="9"/>
        <v>0.43662839402749715</v>
      </c>
      <c r="S19" s="65">
        <f t="shared" si="9"/>
        <v>6.8989306657468094E-3</v>
      </c>
      <c r="T19" s="65">
        <f t="shared" si="9"/>
        <v>0.1513083329226827</v>
      </c>
      <c r="U19" s="65">
        <f t="shared" si="9"/>
        <v>0.11604986941309811</v>
      </c>
      <c r="V19" s="65">
        <f t="shared" si="9"/>
        <v>0.22456019317005865</v>
      </c>
      <c r="W19" s="65">
        <f t="shared" si="9"/>
        <v>1</v>
      </c>
      <c r="X19" s="48"/>
      <c r="Y19" s="64" t="s">
        <v>51</v>
      </c>
      <c r="Z19" s="65">
        <f t="shared" ref="Z19:AI19" si="10">Z18/$AI18</f>
        <v>5.224863369987489E-2</v>
      </c>
      <c r="AA19" s="65">
        <f t="shared" si="10"/>
        <v>5.8931981299795875E-3</v>
      </c>
      <c r="AB19" s="65">
        <f t="shared" si="10"/>
        <v>5.5080002633831567E-2</v>
      </c>
      <c r="AC19" s="65">
        <f t="shared" si="10"/>
        <v>2.969645091196418E-2</v>
      </c>
      <c r="AD19" s="65">
        <f t="shared" si="10"/>
        <v>0.33930335155066832</v>
      </c>
      <c r="AE19" s="65">
        <f t="shared" si="10"/>
        <v>3.2922894580891549E-5</v>
      </c>
      <c r="AF19" s="65">
        <f t="shared" si="10"/>
        <v>0.1862777375386844</v>
      </c>
      <c r="AG19" s="65">
        <f t="shared" si="10"/>
        <v>0.14384012642391519</v>
      </c>
      <c r="AH19" s="65">
        <f t="shared" si="10"/>
        <v>0.18762757621650095</v>
      </c>
      <c r="AI19" s="65">
        <f t="shared" si="10"/>
        <v>1</v>
      </c>
      <c r="AK19" s="64" t="s">
        <v>51</v>
      </c>
      <c r="AL19" s="65">
        <f t="shared" ref="AL19:AU19" si="11">AL18/$AU18</f>
        <v>8.1619042733288877E-2</v>
      </c>
      <c r="AM19" s="65">
        <f t="shared" si="11"/>
        <v>1.0465295234186631E-2</v>
      </c>
      <c r="AN19" s="65">
        <f t="shared" si="11"/>
        <v>8.5415277279023233E-2</v>
      </c>
      <c r="AO19" s="65">
        <f t="shared" si="11"/>
        <v>5.8174729390037448E-2</v>
      </c>
      <c r="AP19" s="65">
        <f t="shared" si="11"/>
        <v>0.22331093212948239</v>
      </c>
      <c r="AQ19" s="65">
        <f t="shared" si="11"/>
        <v>0</v>
      </c>
      <c r="AR19" s="65">
        <f t="shared" si="11"/>
        <v>0.23044169701944286</v>
      </c>
      <c r="AS19" s="65">
        <f t="shared" si="11"/>
        <v>0.11414353870620222</v>
      </c>
      <c r="AT19" s="65">
        <f t="shared" si="11"/>
        <v>0.19642948750833633</v>
      </c>
      <c r="AU19" s="65">
        <f t="shared" si="11"/>
        <v>1</v>
      </c>
    </row>
    <row r="20" spans="1:47" x14ac:dyDescent="0.25">
      <c r="X20" s="46"/>
    </row>
    <row r="21" spans="1:47" s="52" customFormat="1" ht="16.149999999999999" customHeight="1" thickBot="1" x14ac:dyDescent="0.3">
      <c r="A21" s="51" t="s">
        <v>20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M21" s="51" t="s">
        <v>20</v>
      </c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3"/>
      <c r="Y21" s="66" t="s">
        <v>20</v>
      </c>
      <c r="Z21" s="67"/>
      <c r="AA21" s="67"/>
      <c r="AB21" s="67"/>
      <c r="AC21" s="67"/>
      <c r="AD21" s="67"/>
      <c r="AE21" s="67"/>
      <c r="AF21" s="67"/>
      <c r="AG21" s="67"/>
      <c r="AH21" s="67"/>
      <c r="AI21" s="68"/>
      <c r="AK21" s="51" t="s">
        <v>20</v>
      </c>
      <c r="AL21" s="51"/>
      <c r="AM21" s="51"/>
      <c r="AN21" s="51"/>
      <c r="AO21" s="51"/>
      <c r="AP21" s="51"/>
      <c r="AQ21" s="51"/>
      <c r="AR21" s="51"/>
      <c r="AS21" s="51"/>
      <c r="AT21" s="51"/>
      <c r="AU21" s="51"/>
    </row>
    <row r="22" spans="1:47" x14ac:dyDescent="0.25">
      <c r="A22" s="54" t="s">
        <v>38</v>
      </c>
      <c r="B22" s="4" t="s">
        <v>3</v>
      </c>
      <c r="C22" s="4"/>
      <c r="D22" s="5" t="s">
        <v>4</v>
      </c>
      <c r="E22" s="6" t="s">
        <v>5</v>
      </c>
      <c r="F22" s="7"/>
      <c r="G22" s="5" t="s">
        <v>6</v>
      </c>
      <c r="H22" s="5" t="s">
        <v>7</v>
      </c>
      <c r="I22" s="4" t="s">
        <v>8</v>
      </c>
      <c r="J22" s="8"/>
      <c r="K22" s="9" t="s">
        <v>9</v>
      </c>
      <c r="M22" s="54" t="s">
        <v>38</v>
      </c>
      <c r="N22" s="4" t="s">
        <v>3</v>
      </c>
      <c r="O22" s="4"/>
      <c r="P22" s="5" t="s">
        <v>4</v>
      </c>
      <c r="Q22" s="6" t="s">
        <v>5</v>
      </c>
      <c r="R22" s="7"/>
      <c r="S22" s="5" t="s">
        <v>6</v>
      </c>
      <c r="T22" s="5" t="s">
        <v>7</v>
      </c>
      <c r="U22" s="4" t="s">
        <v>8</v>
      </c>
      <c r="V22" s="8"/>
      <c r="W22" s="9" t="s">
        <v>9</v>
      </c>
      <c r="X22" s="46"/>
      <c r="Y22" s="55" t="s">
        <v>38</v>
      </c>
      <c r="Z22" s="4" t="s">
        <v>3</v>
      </c>
      <c r="AA22" s="4"/>
      <c r="AB22" s="5" t="s">
        <v>4</v>
      </c>
      <c r="AC22" s="6" t="s">
        <v>5</v>
      </c>
      <c r="AD22" s="7"/>
      <c r="AE22" s="5" t="s">
        <v>6</v>
      </c>
      <c r="AF22" s="5" t="s">
        <v>7</v>
      </c>
      <c r="AG22" s="4" t="s">
        <v>8</v>
      </c>
      <c r="AH22" s="8"/>
      <c r="AI22" s="9" t="s">
        <v>9</v>
      </c>
      <c r="AK22" s="55" t="s">
        <v>38</v>
      </c>
      <c r="AL22" s="4" t="s">
        <v>3</v>
      </c>
      <c r="AM22" s="4"/>
      <c r="AN22" s="5" t="s">
        <v>4</v>
      </c>
      <c r="AO22" s="6" t="s">
        <v>5</v>
      </c>
      <c r="AP22" s="7"/>
      <c r="AQ22" s="5" t="s">
        <v>6</v>
      </c>
      <c r="AR22" s="5" t="s">
        <v>7</v>
      </c>
      <c r="AS22" s="4" t="s">
        <v>8</v>
      </c>
      <c r="AT22" s="8"/>
      <c r="AU22" s="9" t="s">
        <v>9</v>
      </c>
    </row>
    <row r="23" spans="1:47" ht="45.75" thickBot="1" x14ac:dyDescent="0.3">
      <c r="A23" s="54"/>
      <c r="B23" s="12" t="s">
        <v>10</v>
      </c>
      <c r="C23" s="12" t="s">
        <v>11</v>
      </c>
      <c r="D23" s="12" t="s">
        <v>12</v>
      </c>
      <c r="E23" s="12" t="s">
        <v>13</v>
      </c>
      <c r="F23" s="12" t="s">
        <v>14</v>
      </c>
      <c r="G23" s="12" t="s">
        <v>15</v>
      </c>
      <c r="H23" s="12" t="s">
        <v>16</v>
      </c>
      <c r="I23" s="12" t="s">
        <v>17</v>
      </c>
      <c r="J23" s="13" t="s">
        <v>18</v>
      </c>
      <c r="K23" s="14"/>
      <c r="M23" s="54"/>
      <c r="N23" s="12" t="s">
        <v>10</v>
      </c>
      <c r="O23" s="12" t="s">
        <v>11</v>
      </c>
      <c r="P23" s="12" t="s">
        <v>12</v>
      </c>
      <c r="Q23" s="12" t="s">
        <v>13</v>
      </c>
      <c r="R23" s="12" t="s">
        <v>14</v>
      </c>
      <c r="S23" s="12" t="s">
        <v>15</v>
      </c>
      <c r="T23" s="12" t="s">
        <v>16</v>
      </c>
      <c r="U23" s="12" t="s">
        <v>17</v>
      </c>
      <c r="V23" s="13" t="s">
        <v>18</v>
      </c>
      <c r="W23" s="14"/>
      <c r="X23" s="46"/>
      <c r="Y23" s="56"/>
      <c r="Z23" s="12" t="s">
        <v>10</v>
      </c>
      <c r="AA23" s="12" t="s">
        <v>11</v>
      </c>
      <c r="AB23" s="12" t="s">
        <v>12</v>
      </c>
      <c r="AC23" s="12" t="s">
        <v>13</v>
      </c>
      <c r="AD23" s="12" t="s">
        <v>14</v>
      </c>
      <c r="AE23" s="12" t="s">
        <v>15</v>
      </c>
      <c r="AF23" s="12" t="s">
        <v>16</v>
      </c>
      <c r="AG23" s="12" t="s">
        <v>17</v>
      </c>
      <c r="AH23" s="13" t="s">
        <v>18</v>
      </c>
      <c r="AI23" s="14"/>
      <c r="AJ23" s="46"/>
      <c r="AK23" s="56"/>
      <c r="AL23" s="12" t="s">
        <v>10</v>
      </c>
      <c r="AM23" s="12" t="s">
        <v>11</v>
      </c>
      <c r="AN23" s="12" t="s">
        <v>12</v>
      </c>
      <c r="AO23" s="12" t="s">
        <v>13</v>
      </c>
      <c r="AP23" s="12" t="s">
        <v>14</v>
      </c>
      <c r="AQ23" s="12" t="s">
        <v>15</v>
      </c>
      <c r="AR23" s="12" t="s">
        <v>16</v>
      </c>
      <c r="AS23" s="12" t="s">
        <v>17</v>
      </c>
      <c r="AT23" s="13" t="s">
        <v>18</v>
      </c>
      <c r="AU23" s="14"/>
    </row>
    <row r="24" spans="1:47" x14ac:dyDescent="0.25">
      <c r="A24" s="57" t="s">
        <v>39</v>
      </c>
      <c r="B24" s="58">
        <v>5</v>
      </c>
      <c r="C24" s="58">
        <v>0</v>
      </c>
      <c r="D24" s="58">
        <v>17</v>
      </c>
      <c r="E24" s="58">
        <v>6</v>
      </c>
      <c r="F24" s="58">
        <v>269</v>
      </c>
      <c r="G24" s="58">
        <v>2</v>
      </c>
      <c r="H24" s="58">
        <v>138</v>
      </c>
      <c r="I24" s="58">
        <v>139</v>
      </c>
      <c r="J24" s="58">
        <v>173</v>
      </c>
      <c r="K24" s="59">
        <f>SUM(B24:J24)</f>
        <v>749</v>
      </c>
      <c r="M24" s="57" t="s">
        <v>39</v>
      </c>
      <c r="N24" s="58">
        <v>9</v>
      </c>
      <c r="O24" s="58">
        <v>4</v>
      </c>
      <c r="P24" s="58">
        <v>41</v>
      </c>
      <c r="Q24" s="58">
        <v>9</v>
      </c>
      <c r="R24" s="58">
        <v>261</v>
      </c>
      <c r="S24" s="58">
        <v>0</v>
      </c>
      <c r="T24" s="58">
        <v>238</v>
      </c>
      <c r="U24" s="58">
        <v>272</v>
      </c>
      <c r="V24" s="58">
        <v>221</v>
      </c>
      <c r="W24" s="59">
        <f>SUM(N24:V24)</f>
        <v>1055</v>
      </c>
      <c r="X24" s="46"/>
      <c r="Y24" s="57" t="s">
        <v>39</v>
      </c>
      <c r="Z24" s="60">
        <v>24</v>
      </c>
      <c r="AA24" s="60">
        <v>5</v>
      </c>
      <c r="AB24" s="60">
        <v>40</v>
      </c>
      <c r="AC24" s="60">
        <v>23</v>
      </c>
      <c r="AD24" s="60">
        <v>189</v>
      </c>
      <c r="AE24" s="60">
        <v>0</v>
      </c>
      <c r="AF24" s="60">
        <v>263</v>
      </c>
      <c r="AG24" s="60">
        <v>139</v>
      </c>
      <c r="AH24" s="60">
        <v>202</v>
      </c>
      <c r="AI24" s="61">
        <f>SUM(Z24:AH24)</f>
        <v>885</v>
      </c>
      <c r="AK24" s="57" t="s">
        <v>39</v>
      </c>
      <c r="AL24" s="60">
        <v>30</v>
      </c>
      <c r="AM24" s="60">
        <v>4</v>
      </c>
      <c r="AN24" s="60">
        <v>60</v>
      </c>
      <c r="AO24" s="60">
        <v>72</v>
      </c>
      <c r="AP24" s="60">
        <v>112</v>
      </c>
      <c r="AQ24" s="60">
        <v>0</v>
      </c>
      <c r="AR24" s="60">
        <v>274</v>
      </c>
      <c r="AS24" s="60">
        <v>66</v>
      </c>
      <c r="AT24" s="60">
        <v>259</v>
      </c>
      <c r="AU24" s="61">
        <f>SUM(AL24:AT24)</f>
        <v>877</v>
      </c>
    </row>
    <row r="25" spans="1:47" x14ac:dyDescent="0.25">
      <c r="A25" s="57" t="s">
        <v>40</v>
      </c>
      <c r="B25" s="58">
        <v>1</v>
      </c>
      <c r="C25" s="58">
        <v>14</v>
      </c>
      <c r="D25" s="58">
        <v>18</v>
      </c>
      <c r="E25" s="58">
        <v>2</v>
      </c>
      <c r="F25" s="58">
        <v>192</v>
      </c>
      <c r="G25" s="58">
        <v>4</v>
      </c>
      <c r="H25" s="58">
        <v>137</v>
      </c>
      <c r="I25" s="58">
        <v>115</v>
      </c>
      <c r="J25" s="58">
        <v>171</v>
      </c>
      <c r="K25" s="59">
        <f t="shared" ref="K25:K32" si="12">SUM(B25:J25)</f>
        <v>654</v>
      </c>
      <c r="M25" s="57" t="s">
        <v>40</v>
      </c>
      <c r="N25" s="58">
        <v>3</v>
      </c>
      <c r="O25" s="58">
        <v>1</v>
      </c>
      <c r="P25" s="58">
        <v>21</v>
      </c>
      <c r="Q25" s="58">
        <v>5</v>
      </c>
      <c r="R25" s="58">
        <v>268</v>
      </c>
      <c r="S25" s="58">
        <v>0</v>
      </c>
      <c r="T25" s="58">
        <v>249</v>
      </c>
      <c r="U25" s="58">
        <v>215</v>
      </c>
      <c r="V25" s="58">
        <v>217</v>
      </c>
      <c r="W25" s="59">
        <f t="shared" ref="W25:W32" si="13">SUM(N25:V25)</f>
        <v>979</v>
      </c>
      <c r="Y25" s="57" t="s">
        <v>40</v>
      </c>
      <c r="Z25" s="60">
        <v>21</v>
      </c>
      <c r="AA25" s="60">
        <v>7</v>
      </c>
      <c r="AB25" s="60">
        <v>49</v>
      </c>
      <c r="AC25" s="60">
        <v>18</v>
      </c>
      <c r="AD25" s="60">
        <v>229</v>
      </c>
      <c r="AE25" s="60">
        <v>0</v>
      </c>
      <c r="AF25" s="60">
        <v>306</v>
      </c>
      <c r="AG25" s="60">
        <v>148</v>
      </c>
      <c r="AH25" s="60">
        <v>218</v>
      </c>
      <c r="AI25" s="61">
        <f t="shared" ref="AI25:AI35" si="14">SUM(Z25:AH25)</f>
        <v>996</v>
      </c>
      <c r="AK25" s="57" t="s">
        <v>40</v>
      </c>
      <c r="AL25" s="60">
        <v>41</v>
      </c>
      <c r="AM25" s="60">
        <v>16</v>
      </c>
      <c r="AN25" s="60">
        <v>33</v>
      </c>
      <c r="AO25" s="60">
        <v>37</v>
      </c>
      <c r="AP25" s="60">
        <v>216</v>
      </c>
      <c r="AQ25" s="60">
        <v>0</v>
      </c>
      <c r="AR25" s="60">
        <v>157</v>
      </c>
      <c r="AS25" s="60">
        <v>60</v>
      </c>
      <c r="AT25" s="60">
        <v>184</v>
      </c>
      <c r="AU25" s="61">
        <f t="shared" ref="AU25:AU35" si="15">SUM(AL25:AT25)</f>
        <v>744</v>
      </c>
    </row>
    <row r="26" spans="1:47" x14ac:dyDescent="0.25">
      <c r="A26" s="57" t="s">
        <v>41</v>
      </c>
      <c r="B26" s="58">
        <v>2</v>
      </c>
      <c r="C26" s="58">
        <v>0</v>
      </c>
      <c r="D26" s="58">
        <v>22</v>
      </c>
      <c r="E26" s="58">
        <v>1</v>
      </c>
      <c r="F26" s="58">
        <v>192</v>
      </c>
      <c r="G26" s="58">
        <v>4</v>
      </c>
      <c r="H26" s="58">
        <v>49</v>
      </c>
      <c r="I26" s="58">
        <v>70</v>
      </c>
      <c r="J26" s="58">
        <v>93</v>
      </c>
      <c r="K26" s="59">
        <f t="shared" si="12"/>
        <v>433</v>
      </c>
      <c r="M26" s="57" t="s">
        <v>41</v>
      </c>
      <c r="N26" s="58">
        <v>5</v>
      </c>
      <c r="O26" s="58">
        <v>8</v>
      </c>
      <c r="P26" s="58">
        <v>40</v>
      </c>
      <c r="Q26" s="58">
        <v>13</v>
      </c>
      <c r="R26" s="58">
        <v>302</v>
      </c>
      <c r="S26" s="58">
        <v>0</v>
      </c>
      <c r="T26" s="58">
        <v>232</v>
      </c>
      <c r="U26" s="58">
        <v>223</v>
      </c>
      <c r="V26" s="58">
        <v>330</v>
      </c>
      <c r="W26" s="59">
        <f t="shared" si="13"/>
        <v>1153</v>
      </c>
      <c r="Y26" s="57" t="s">
        <v>41</v>
      </c>
      <c r="Z26" s="60">
        <v>23</v>
      </c>
      <c r="AA26" s="60">
        <v>6</v>
      </c>
      <c r="AB26" s="60">
        <v>58</v>
      </c>
      <c r="AC26" s="60">
        <v>17</v>
      </c>
      <c r="AD26" s="60">
        <v>228</v>
      </c>
      <c r="AE26" s="60">
        <v>0</v>
      </c>
      <c r="AF26" s="60">
        <v>301</v>
      </c>
      <c r="AG26" s="60">
        <v>135</v>
      </c>
      <c r="AH26" s="60">
        <v>246</v>
      </c>
      <c r="AI26" s="61">
        <f t="shared" si="14"/>
        <v>1014</v>
      </c>
      <c r="AK26" s="57" t="s">
        <v>41</v>
      </c>
      <c r="AL26" s="60">
        <v>27</v>
      </c>
      <c r="AM26" s="60">
        <v>8</v>
      </c>
      <c r="AN26" s="60">
        <v>38</v>
      </c>
      <c r="AO26" s="60">
        <v>41</v>
      </c>
      <c r="AP26" s="60">
        <v>233</v>
      </c>
      <c r="AQ26" s="60">
        <v>0</v>
      </c>
      <c r="AR26" s="60">
        <v>265</v>
      </c>
      <c r="AS26" s="60">
        <v>84</v>
      </c>
      <c r="AT26" s="60">
        <v>196</v>
      </c>
      <c r="AU26" s="61">
        <f t="shared" si="15"/>
        <v>892</v>
      </c>
    </row>
    <row r="27" spans="1:47" x14ac:dyDescent="0.25">
      <c r="A27" s="57" t="s">
        <v>42</v>
      </c>
      <c r="B27" s="58">
        <v>4</v>
      </c>
      <c r="C27" s="58">
        <v>1</v>
      </c>
      <c r="D27" s="58">
        <v>4</v>
      </c>
      <c r="E27" s="58">
        <v>8</v>
      </c>
      <c r="F27" s="58">
        <v>413</v>
      </c>
      <c r="G27" s="58">
        <v>4</v>
      </c>
      <c r="H27" s="58">
        <v>55</v>
      </c>
      <c r="I27" s="58">
        <v>224</v>
      </c>
      <c r="J27" s="58">
        <v>77</v>
      </c>
      <c r="K27" s="59">
        <f t="shared" si="12"/>
        <v>790</v>
      </c>
      <c r="M27" s="57" t="s">
        <v>42</v>
      </c>
      <c r="N27" s="58">
        <v>4</v>
      </c>
      <c r="O27" s="58">
        <v>2</v>
      </c>
      <c r="P27" s="58">
        <v>36</v>
      </c>
      <c r="Q27" s="58">
        <v>16</v>
      </c>
      <c r="R27" s="58">
        <v>359</v>
      </c>
      <c r="S27" s="58">
        <v>0</v>
      </c>
      <c r="T27" s="58">
        <v>274</v>
      </c>
      <c r="U27" s="58">
        <v>200</v>
      </c>
      <c r="V27" s="58">
        <v>365</v>
      </c>
      <c r="W27" s="59">
        <f t="shared" si="13"/>
        <v>1256</v>
      </c>
      <c r="Y27" s="57" t="s">
        <v>42</v>
      </c>
      <c r="Z27" s="60">
        <v>20</v>
      </c>
      <c r="AA27" s="60">
        <v>4</v>
      </c>
      <c r="AB27" s="60">
        <v>45</v>
      </c>
      <c r="AC27" s="60">
        <v>18</v>
      </c>
      <c r="AD27" s="60">
        <v>249</v>
      </c>
      <c r="AE27" s="60">
        <v>0</v>
      </c>
      <c r="AF27" s="60">
        <v>253</v>
      </c>
      <c r="AG27" s="60">
        <v>237</v>
      </c>
      <c r="AH27" s="60">
        <v>226</v>
      </c>
      <c r="AI27" s="61">
        <f t="shared" si="14"/>
        <v>1052</v>
      </c>
      <c r="AK27" s="57" t="s">
        <v>42</v>
      </c>
      <c r="AL27" s="60">
        <v>17</v>
      </c>
      <c r="AM27" s="60">
        <v>2</v>
      </c>
      <c r="AN27" s="60">
        <v>60</v>
      </c>
      <c r="AO27" s="60">
        <v>26</v>
      </c>
      <c r="AP27" s="60">
        <v>152</v>
      </c>
      <c r="AQ27" s="60">
        <v>0</v>
      </c>
      <c r="AR27" s="60">
        <v>236</v>
      </c>
      <c r="AS27" s="60">
        <v>85</v>
      </c>
      <c r="AT27" s="60">
        <v>160</v>
      </c>
      <c r="AU27" s="61">
        <f t="shared" si="15"/>
        <v>738</v>
      </c>
    </row>
    <row r="28" spans="1:47" x14ac:dyDescent="0.25">
      <c r="A28" s="57" t="s">
        <v>43</v>
      </c>
      <c r="B28" s="58">
        <v>1</v>
      </c>
      <c r="C28" s="58">
        <v>0</v>
      </c>
      <c r="D28" s="58">
        <v>7</v>
      </c>
      <c r="E28" s="58">
        <v>1</v>
      </c>
      <c r="F28" s="58">
        <v>84</v>
      </c>
      <c r="G28" s="58">
        <v>0</v>
      </c>
      <c r="H28" s="58">
        <v>13</v>
      </c>
      <c r="I28" s="58">
        <v>17</v>
      </c>
      <c r="J28" s="58">
        <v>4</v>
      </c>
      <c r="K28" s="59">
        <f t="shared" si="12"/>
        <v>127</v>
      </c>
      <c r="M28" s="57" t="s">
        <v>43</v>
      </c>
      <c r="N28" s="58">
        <v>4</v>
      </c>
      <c r="O28" s="58">
        <v>6</v>
      </c>
      <c r="P28" s="58">
        <v>38</v>
      </c>
      <c r="Q28" s="58">
        <v>24</v>
      </c>
      <c r="R28" s="58">
        <v>354</v>
      </c>
      <c r="S28" s="58">
        <v>1</v>
      </c>
      <c r="T28" s="58">
        <v>266</v>
      </c>
      <c r="U28" s="58">
        <v>239</v>
      </c>
      <c r="V28" s="58">
        <v>338</v>
      </c>
      <c r="W28" s="59">
        <f t="shared" si="13"/>
        <v>1270</v>
      </c>
      <c r="Y28" s="57" t="s">
        <v>43</v>
      </c>
      <c r="Z28" s="60">
        <v>31</v>
      </c>
      <c r="AA28" s="60">
        <v>15</v>
      </c>
      <c r="AB28" s="60">
        <v>65</v>
      </c>
      <c r="AC28" s="60">
        <v>12</v>
      </c>
      <c r="AD28" s="60">
        <v>260</v>
      </c>
      <c r="AE28" s="60">
        <v>0</v>
      </c>
      <c r="AF28" s="60">
        <v>295</v>
      </c>
      <c r="AG28" s="60">
        <v>213</v>
      </c>
      <c r="AH28" s="60">
        <v>222</v>
      </c>
      <c r="AI28" s="61">
        <f t="shared" si="14"/>
        <v>1113</v>
      </c>
      <c r="AK28" s="57" t="s">
        <v>43</v>
      </c>
      <c r="AL28" s="60">
        <v>34</v>
      </c>
      <c r="AM28" s="60">
        <v>6</v>
      </c>
      <c r="AN28" s="60">
        <v>63</v>
      </c>
      <c r="AO28" s="60">
        <v>28</v>
      </c>
      <c r="AP28" s="60">
        <v>284</v>
      </c>
      <c r="AQ28" s="60">
        <v>0</v>
      </c>
      <c r="AR28" s="60">
        <v>332</v>
      </c>
      <c r="AS28" s="60">
        <v>148</v>
      </c>
      <c r="AT28" s="60">
        <v>217</v>
      </c>
      <c r="AU28" s="61">
        <f t="shared" si="15"/>
        <v>1112</v>
      </c>
    </row>
    <row r="29" spans="1:47" x14ac:dyDescent="0.25">
      <c r="A29" s="57" t="s">
        <v>44</v>
      </c>
      <c r="B29" s="58">
        <v>0</v>
      </c>
      <c r="C29" s="58">
        <v>0</v>
      </c>
      <c r="D29" s="58">
        <v>0</v>
      </c>
      <c r="E29" s="58">
        <v>0</v>
      </c>
      <c r="F29" s="58">
        <v>0</v>
      </c>
      <c r="G29" s="58">
        <v>0</v>
      </c>
      <c r="H29" s="58">
        <v>0</v>
      </c>
      <c r="I29" s="58">
        <v>0</v>
      </c>
      <c r="J29" s="58">
        <v>0</v>
      </c>
      <c r="K29" s="59">
        <f t="shared" si="12"/>
        <v>0</v>
      </c>
      <c r="M29" s="57" t="s">
        <v>44</v>
      </c>
      <c r="N29" s="58">
        <v>3</v>
      </c>
      <c r="O29" s="58">
        <v>4</v>
      </c>
      <c r="P29" s="58">
        <v>23</v>
      </c>
      <c r="Q29" s="58">
        <v>7</v>
      </c>
      <c r="R29" s="58">
        <v>332</v>
      </c>
      <c r="S29" s="58">
        <v>0</v>
      </c>
      <c r="T29" s="58">
        <v>206</v>
      </c>
      <c r="U29" s="58">
        <v>269</v>
      </c>
      <c r="V29" s="58">
        <v>277</v>
      </c>
      <c r="W29" s="59">
        <f t="shared" si="13"/>
        <v>1121</v>
      </c>
      <c r="Y29" s="57" t="s">
        <v>44</v>
      </c>
      <c r="Z29" s="60">
        <v>21</v>
      </c>
      <c r="AA29" s="60">
        <v>1</v>
      </c>
      <c r="AB29" s="60">
        <v>47</v>
      </c>
      <c r="AC29" s="60">
        <v>9</v>
      </c>
      <c r="AD29" s="60">
        <v>196</v>
      </c>
      <c r="AE29" s="60">
        <v>0</v>
      </c>
      <c r="AF29" s="60">
        <v>206</v>
      </c>
      <c r="AG29" s="60">
        <v>176</v>
      </c>
      <c r="AH29" s="60">
        <v>153</v>
      </c>
      <c r="AI29" s="61">
        <f t="shared" si="14"/>
        <v>809</v>
      </c>
      <c r="AK29" s="57" t="s">
        <v>44</v>
      </c>
      <c r="AL29" s="60">
        <v>21</v>
      </c>
      <c r="AM29" s="60">
        <v>3</v>
      </c>
      <c r="AN29" s="60">
        <v>41</v>
      </c>
      <c r="AO29" s="60">
        <v>13</v>
      </c>
      <c r="AP29" s="60">
        <v>213</v>
      </c>
      <c r="AQ29" s="60">
        <v>0</v>
      </c>
      <c r="AR29" s="60">
        <v>249</v>
      </c>
      <c r="AS29" s="60">
        <v>123</v>
      </c>
      <c r="AT29" s="60">
        <v>175</v>
      </c>
      <c r="AU29" s="61">
        <f t="shared" si="15"/>
        <v>838</v>
      </c>
    </row>
    <row r="30" spans="1:47" x14ac:dyDescent="0.25">
      <c r="A30" s="57" t="s">
        <v>45</v>
      </c>
      <c r="B30" s="58">
        <v>0</v>
      </c>
      <c r="C30" s="58">
        <v>0</v>
      </c>
      <c r="D30" s="58">
        <v>0</v>
      </c>
      <c r="E30" s="58">
        <v>0</v>
      </c>
      <c r="F30" s="58">
        <v>0</v>
      </c>
      <c r="G30" s="58">
        <v>0</v>
      </c>
      <c r="H30" s="58">
        <v>0</v>
      </c>
      <c r="I30" s="58">
        <v>0</v>
      </c>
      <c r="J30" s="58">
        <v>0</v>
      </c>
      <c r="K30" s="59">
        <f t="shared" si="12"/>
        <v>0</v>
      </c>
      <c r="M30" s="57" t="s">
        <v>45</v>
      </c>
      <c r="N30" s="58">
        <v>3</v>
      </c>
      <c r="O30" s="58">
        <v>2</v>
      </c>
      <c r="P30" s="58">
        <v>42</v>
      </c>
      <c r="Q30" s="58">
        <v>17</v>
      </c>
      <c r="R30" s="58">
        <v>499</v>
      </c>
      <c r="S30" s="58">
        <v>0</v>
      </c>
      <c r="T30" s="58">
        <v>261</v>
      </c>
      <c r="U30" s="58">
        <v>251</v>
      </c>
      <c r="V30" s="58">
        <v>299</v>
      </c>
      <c r="W30" s="59">
        <f t="shared" si="13"/>
        <v>1374</v>
      </c>
      <c r="Y30" s="57" t="s">
        <v>45</v>
      </c>
      <c r="Z30" s="60">
        <v>26</v>
      </c>
      <c r="AA30" s="60">
        <v>3</v>
      </c>
      <c r="AB30" s="60">
        <v>33</v>
      </c>
      <c r="AC30" s="60">
        <v>8</v>
      </c>
      <c r="AD30" s="60">
        <v>189</v>
      </c>
      <c r="AE30" s="60">
        <v>0</v>
      </c>
      <c r="AF30" s="60">
        <v>210</v>
      </c>
      <c r="AG30" s="60">
        <v>153</v>
      </c>
      <c r="AH30" s="60">
        <v>220</v>
      </c>
      <c r="AI30" s="61">
        <f t="shared" si="14"/>
        <v>842</v>
      </c>
      <c r="AK30" s="57" t="s">
        <v>45</v>
      </c>
      <c r="AL30" s="60">
        <v>52</v>
      </c>
      <c r="AM30" s="60">
        <v>8</v>
      </c>
      <c r="AN30" s="60">
        <v>42</v>
      </c>
      <c r="AO30" s="60">
        <v>17</v>
      </c>
      <c r="AP30" s="60">
        <v>185</v>
      </c>
      <c r="AQ30" s="60">
        <v>0</v>
      </c>
      <c r="AR30" s="60">
        <v>295</v>
      </c>
      <c r="AS30" s="60">
        <v>161</v>
      </c>
      <c r="AT30" s="60">
        <v>177</v>
      </c>
      <c r="AU30" s="61">
        <f t="shared" si="15"/>
        <v>937</v>
      </c>
    </row>
    <row r="31" spans="1:47" x14ac:dyDescent="0.25">
      <c r="A31" s="57" t="s">
        <v>46</v>
      </c>
      <c r="B31" s="58">
        <v>0</v>
      </c>
      <c r="C31" s="58">
        <v>0</v>
      </c>
      <c r="D31" s="58">
        <v>0</v>
      </c>
      <c r="E31" s="58">
        <v>0</v>
      </c>
      <c r="F31" s="58">
        <v>0</v>
      </c>
      <c r="G31" s="58">
        <v>0</v>
      </c>
      <c r="H31" s="58">
        <v>0</v>
      </c>
      <c r="I31" s="58">
        <v>0</v>
      </c>
      <c r="J31" s="58">
        <v>0</v>
      </c>
      <c r="K31" s="59">
        <f t="shared" si="12"/>
        <v>0</v>
      </c>
      <c r="M31" s="57" t="s">
        <v>46</v>
      </c>
      <c r="N31" s="58">
        <v>5</v>
      </c>
      <c r="O31" s="58">
        <v>1</v>
      </c>
      <c r="P31" s="58">
        <v>17</v>
      </c>
      <c r="Q31" s="58">
        <v>13</v>
      </c>
      <c r="R31" s="58">
        <v>378</v>
      </c>
      <c r="S31" s="58">
        <v>2</v>
      </c>
      <c r="T31" s="58">
        <v>219</v>
      </c>
      <c r="U31" s="58">
        <v>194</v>
      </c>
      <c r="V31" s="58">
        <v>216</v>
      </c>
      <c r="W31" s="59">
        <f t="shared" si="13"/>
        <v>1045</v>
      </c>
      <c r="Y31" s="57" t="s">
        <v>46</v>
      </c>
      <c r="Z31" s="60">
        <v>15</v>
      </c>
      <c r="AA31" s="60">
        <v>2</v>
      </c>
      <c r="AB31" s="60">
        <v>41</v>
      </c>
      <c r="AC31" s="60">
        <v>13</v>
      </c>
      <c r="AD31" s="60">
        <v>211</v>
      </c>
      <c r="AE31" s="60">
        <v>0</v>
      </c>
      <c r="AF31" s="60">
        <v>170</v>
      </c>
      <c r="AG31" s="60">
        <v>118</v>
      </c>
      <c r="AH31" s="60">
        <v>161</v>
      </c>
      <c r="AI31" s="61">
        <f t="shared" si="14"/>
        <v>731</v>
      </c>
      <c r="AK31" s="57" t="s">
        <v>46</v>
      </c>
      <c r="AL31" s="60">
        <v>44</v>
      </c>
      <c r="AM31" s="60">
        <v>10</v>
      </c>
      <c r="AN31" s="60">
        <v>47</v>
      </c>
      <c r="AO31" s="60">
        <v>33</v>
      </c>
      <c r="AP31" s="60">
        <v>160</v>
      </c>
      <c r="AQ31" s="60">
        <v>0</v>
      </c>
      <c r="AR31" s="60">
        <v>202</v>
      </c>
      <c r="AS31" s="60">
        <v>192</v>
      </c>
      <c r="AT31" s="60">
        <v>145</v>
      </c>
      <c r="AU31" s="61">
        <f t="shared" si="15"/>
        <v>833</v>
      </c>
    </row>
    <row r="32" spans="1:47" x14ac:dyDescent="0.25">
      <c r="A32" s="57" t="s">
        <v>47</v>
      </c>
      <c r="B32" s="58">
        <v>0</v>
      </c>
      <c r="C32" s="58">
        <v>0</v>
      </c>
      <c r="D32" s="58">
        <v>0</v>
      </c>
      <c r="E32" s="58">
        <v>0</v>
      </c>
      <c r="F32" s="58">
        <v>0</v>
      </c>
      <c r="G32" s="58">
        <v>0</v>
      </c>
      <c r="H32" s="58">
        <v>0</v>
      </c>
      <c r="I32" s="58">
        <v>0</v>
      </c>
      <c r="J32" s="58">
        <v>0</v>
      </c>
      <c r="K32" s="59">
        <f t="shared" si="12"/>
        <v>0</v>
      </c>
      <c r="M32" s="57" t="s">
        <v>47</v>
      </c>
      <c r="N32" s="58">
        <v>0</v>
      </c>
      <c r="O32" s="58">
        <v>0</v>
      </c>
      <c r="P32" s="58">
        <v>25</v>
      </c>
      <c r="Q32" s="58">
        <v>13</v>
      </c>
      <c r="R32" s="58">
        <v>333</v>
      </c>
      <c r="S32" s="58">
        <v>5</v>
      </c>
      <c r="T32" s="58">
        <v>218</v>
      </c>
      <c r="U32" s="58">
        <v>185</v>
      </c>
      <c r="V32" s="58">
        <v>257</v>
      </c>
      <c r="W32" s="59">
        <f t="shared" si="13"/>
        <v>1036</v>
      </c>
      <c r="Y32" s="57" t="s">
        <v>47</v>
      </c>
      <c r="Z32" s="60">
        <v>10</v>
      </c>
      <c r="AA32" s="60">
        <v>5</v>
      </c>
      <c r="AB32" s="60">
        <v>26</v>
      </c>
      <c r="AC32" s="60">
        <v>13</v>
      </c>
      <c r="AD32" s="60">
        <v>163</v>
      </c>
      <c r="AE32" s="60">
        <v>0</v>
      </c>
      <c r="AF32" s="60">
        <v>207</v>
      </c>
      <c r="AG32" s="60">
        <v>140</v>
      </c>
      <c r="AH32" s="60">
        <v>136</v>
      </c>
      <c r="AI32" s="61">
        <f t="shared" si="14"/>
        <v>700</v>
      </c>
      <c r="AK32" s="57" t="s">
        <v>47</v>
      </c>
      <c r="AL32" s="60">
        <v>15</v>
      </c>
      <c r="AM32" s="60">
        <v>12</v>
      </c>
      <c r="AN32" s="60">
        <v>50</v>
      </c>
      <c r="AO32" s="60">
        <v>16</v>
      </c>
      <c r="AP32" s="60">
        <v>195</v>
      </c>
      <c r="AQ32" s="60">
        <v>0</v>
      </c>
      <c r="AR32" s="60">
        <v>257</v>
      </c>
      <c r="AS32" s="60">
        <v>138</v>
      </c>
      <c r="AT32" s="60">
        <v>162</v>
      </c>
      <c r="AU32" s="61">
        <f t="shared" si="15"/>
        <v>845</v>
      </c>
    </row>
    <row r="33" spans="1:47" x14ac:dyDescent="0.25">
      <c r="A33" s="57" t="s">
        <v>48</v>
      </c>
      <c r="B33" s="58">
        <v>0</v>
      </c>
      <c r="C33" s="58">
        <v>0</v>
      </c>
      <c r="D33" s="58">
        <v>0</v>
      </c>
      <c r="E33" s="58">
        <v>0</v>
      </c>
      <c r="F33" s="58">
        <v>0</v>
      </c>
      <c r="G33" s="58">
        <v>0</v>
      </c>
      <c r="H33" s="58">
        <v>0</v>
      </c>
      <c r="I33" s="58">
        <v>0</v>
      </c>
      <c r="J33" s="58">
        <v>0</v>
      </c>
      <c r="K33" s="59">
        <f>SUM(B33:J33)</f>
        <v>0</v>
      </c>
      <c r="M33" s="57" t="s">
        <v>48</v>
      </c>
      <c r="N33" s="58">
        <v>1</v>
      </c>
      <c r="O33" s="58">
        <v>0</v>
      </c>
      <c r="P33" s="58">
        <v>22</v>
      </c>
      <c r="Q33" s="58">
        <v>10</v>
      </c>
      <c r="R33" s="58">
        <v>444</v>
      </c>
      <c r="S33" s="58">
        <v>2</v>
      </c>
      <c r="T33" s="58">
        <v>184</v>
      </c>
      <c r="U33" s="58">
        <v>151</v>
      </c>
      <c r="V33" s="58">
        <v>276</v>
      </c>
      <c r="W33" s="59">
        <f>SUM(N33:V33)</f>
        <v>1090</v>
      </c>
      <c r="Y33" s="57" t="s">
        <v>48</v>
      </c>
      <c r="Z33" s="60">
        <v>2</v>
      </c>
      <c r="AA33" s="60">
        <v>2</v>
      </c>
      <c r="AB33" s="60">
        <v>38</v>
      </c>
      <c r="AC33" s="60">
        <v>6</v>
      </c>
      <c r="AD33" s="60">
        <v>200</v>
      </c>
      <c r="AE33" s="60">
        <v>0</v>
      </c>
      <c r="AF33" s="60">
        <v>201</v>
      </c>
      <c r="AG33" s="60">
        <v>128</v>
      </c>
      <c r="AH33" s="60">
        <v>168</v>
      </c>
      <c r="AI33" s="61">
        <f t="shared" si="14"/>
        <v>745</v>
      </c>
      <c r="AK33" s="57" t="s">
        <v>48</v>
      </c>
      <c r="AL33" s="60">
        <v>35</v>
      </c>
      <c r="AM33" s="60">
        <v>8</v>
      </c>
      <c r="AN33" s="60">
        <v>29</v>
      </c>
      <c r="AO33" s="60">
        <v>40</v>
      </c>
      <c r="AP33" s="60">
        <v>252</v>
      </c>
      <c r="AQ33" s="60">
        <v>0</v>
      </c>
      <c r="AR33" s="60">
        <v>288</v>
      </c>
      <c r="AS33" s="60">
        <v>149</v>
      </c>
      <c r="AT33" s="60">
        <v>218</v>
      </c>
      <c r="AU33" s="61">
        <f t="shared" si="15"/>
        <v>1019</v>
      </c>
    </row>
    <row r="34" spans="1:47" x14ac:dyDescent="0.25">
      <c r="A34" s="57" t="s">
        <v>49</v>
      </c>
      <c r="B34" s="58">
        <v>0</v>
      </c>
      <c r="C34" s="58">
        <v>0</v>
      </c>
      <c r="D34" s="58">
        <v>0</v>
      </c>
      <c r="E34" s="58">
        <v>0</v>
      </c>
      <c r="F34" s="58">
        <v>0</v>
      </c>
      <c r="G34" s="58">
        <v>0</v>
      </c>
      <c r="H34" s="58">
        <v>0</v>
      </c>
      <c r="I34" s="58">
        <v>0</v>
      </c>
      <c r="J34" s="58">
        <v>0</v>
      </c>
      <c r="K34" s="59">
        <f>SUM(B34:J34)</f>
        <v>0</v>
      </c>
      <c r="M34" s="57" t="s">
        <v>49</v>
      </c>
      <c r="N34" s="58">
        <v>8</v>
      </c>
      <c r="O34" s="58">
        <v>1</v>
      </c>
      <c r="P34" s="58">
        <v>18</v>
      </c>
      <c r="Q34" s="58">
        <v>11</v>
      </c>
      <c r="R34" s="58">
        <v>294</v>
      </c>
      <c r="S34" s="58">
        <v>2</v>
      </c>
      <c r="T34" s="58">
        <v>164</v>
      </c>
      <c r="U34" s="58">
        <v>144</v>
      </c>
      <c r="V34" s="58">
        <v>185</v>
      </c>
      <c r="W34" s="59">
        <f>SUM(N34:V34)</f>
        <v>827</v>
      </c>
      <c r="Y34" s="57" t="s">
        <v>49</v>
      </c>
      <c r="Z34" s="60">
        <v>8</v>
      </c>
      <c r="AA34" s="60">
        <v>4</v>
      </c>
      <c r="AB34" s="60">
        <v>49</v>
      </c>
      <c r="AC34" s="60">
        <v>6</v>
      </c>
      <c r="AD34" s="60">
        <v>219</v>
      </c>
      <c r="AE34" s="60">
        <v>0</v>
      </c>
      <c r="AF34" s="60">
        <v>191</v>
      </c>
      <c r="AG34" s="60">
        <v>170</v>
      </c>
      <c r="AH34" s="60">
        <v>158</v>
      </c>
      <c r="AI34" s="61">
        <f t="shared" si="14"/>
        <v>805</v>
      </c>
      <c r="AK34" s="57" t="s">
        <v>49</v>
      </c>
      <c r="AL34" s="60">
        <v>30</v>
      </c>
      <c r="AM34" s="60">
        <v>7</v>
      </c>
      <c r="AN34" s="60">
        <v>60</v>
      </c>
      <c r="AO34" s="60">
        <v>31</v>
      </c>
      <c r="AP34" s="60">
        <v>189</v>
      </c>
      <c r="AQ34" s="60">
        <v>0</v>
      </c>
      <c r="AR34" s="60">
        <v>315</v>
      </c>
      <c r="AS34" s="60">
        <v>164</v>
      </c>
      <c r="AT34" s="60">
        <v>174</v>
      </c>
      <c r="AU34" s="61">
        <f t="shared" si="15"/>
        <v>970</v>
      </c>
    </row>
    <row r="35" spans="1:47" x14ac:dyDescent="0.25">
      <c r="A35" s="57" t="s">
        <v>50</v>
      </c>
      <c r="B35" s="58">
        <v>0</v>
      </c>
      <c r="C35" s="58">
        <v>0</v>
      </c>
      <c r="D35" s="58">
        <v>0</v>
      </c>
      <c r="E35" s="58">
        <v>0</v>
      </c>
      <c r="F35" s="58">
        <v>0</v>
      </c>
      <c r="G35" s="58">
        <v>0</v>
      </c>
      <c r="H35" s="58">
        <v>0</v>
      </c>
      <c r="I35" s="58">
        <v>0</v>
      </c>
      <c r="J35" s="58">
        <v>0</v>
      </c>
      <c r="K35" s="59">
        <f>SUM(B35:J35)</f>
        <v>0</v>
      </c>
      <c r="M35" s="57" t="s">
        <v>50</v>
      </c>
      <c r="N35" s="58">
        <v>1</v>
      </c>
      <c r="O35" s="58">
        <v>0</v>
      </c>
      <c r="P35" s="58">
        <v>19</v>
      </c>
      <c r="Q35" s="58">
        <v>6</v>
      </c>
      <c r="R35" s="58">
        <v>329</v>
      </c>
      <c r="S35" s="58">
        <v>2</v>
      </c>
      <c r="T35" s="58">
        <v>193</v>
      </c>
      <c r="U35" s="58">
        <v>126</v>
      </c>
      <c r="V35" s="58">
        <v>219</v>
      </c>
      <c r="W35" s="59">
        <f>SUM(N35:V35)</f>
        <v>895</v>
      </c>
      <c r="Y35" s="57" t="s">
        <v>50</v>
      </c>
      <c r="Z35" s="60">
        <v>11</v>
      </c>
      <c r="AA35" s="60">
        <v>3</v>
      </c>
      <c r="AB35" s="60">
        <v>28</v>
      </c>
      <c r="AC35" s="60">
        <v>12</v>
      </c>
      <c r="AD35" s="60">
        <v>242</v>
      </c>
      <c r="AE35" s="60">
        <v>0</v>
      </c>
      <c r="AF35" s="60">
        <v>238</v>
      </c>
      <c r="AG35" s="60">
        <v>141</v>
      </c>
      <c r="AH35" s="60">
        <v>213</v>
      </c>
      <c r="AI35" s="61">
        <f t="shared" si="14"/>
        <v>888</v>
      </c>
      <c r="AK35" s="57" t="s">
        <v>50</v>
      </c>
      <c r="AL35" s="60">
        <v>17</v>
      </c>
      <c r="AM35" s="60">
        <v>11</v>
      </c>
      <c r="AN35" s="60">
        <v>45</v>
      </c>
      <c r="AO35" s="60">
        <v>16</v>
      </c>
      <c r="AP35" s="60">
        <v>273</v>
      </c>
      <c r="AQ35" s="60">
        <v>0</v>
      </c>
      <c r="AR35" s="60">
        <v>293</v>
      </c>
      <c r="AS35" s="60">
        <v>126</v>
      </c>
      <c r="AT35" s="60">
        <v>152</v>
      </c>
      <c r="AU35" s="61">
        <f t="shared" si="15"/>
        <v>933</v>
      </c>
    </row>
    <row r="36" spans="1:47" s="47" customFormat="1" x14ac:dyDescent="0.25">
      <c r="A36" s="62" t="s">
        <v>9</v>
      </c>
      <c r="B36" s="63">
        <f>SUM(B24:B35)</f>
        <v>13</v>
      </c>
      <c r="C36" s="63">
        <f t="shared" ref="C36:K36" si="16">SUM(C24:C35)</f>
        <v>15</v>
      </c>
      <c r="D36" s="63">
        <f t="shared" si="16"/>
        <v>68</v>
      </c>
      <c r="E36" s="63">
        <f t="shared" si="16"/>
        <v>18</v>
      </c>
      <c r="F36" s="63">
        <f t="shared" si="16"/>
        <v>1150</v>
      </c>
      <c r="G36" s="63">
        <f t="shared" si="16"/>
        <v>14</v>
      </c>
      <c r="H36" s="63">
        <f t="shared" si="16"/>
        <v>392</v>
      </c>
      <c r="I36" s="63">
        <f t="shared" si="16"/>
        <v>565</v>
      </c>
      <c r="J36" s="63">
        <f t="shared" si="16"/>
        <v>518</v>
      </c>
      <c r="K36" s="63">
        <f t="shared" si="16"/>
        <v>2753</v>
      </c>
      <c r="M36" s="62" t="s">
        <v>9</v>
      </c>
      <c r="N36" s="63">
        <f>SUM(N24:N35)</f>
        <v>46</v>
      </c>
      <c r="O36" s="63">
        <f t="shared" ref="O36:W36" si="17">SUM(O24:O35)</f>
        <v>29</v>
      </c>
      <c r="P36" s="63">
        <f t="shared" si="17"/>
        <v>342</v>
      </c>
      <c r="Q36" s="63">
        <f t="shared" si="17"/>
        <v>144</v>
      </c>
      <c r="R36" s="63">
        <f t="shared" si="17"/>
        <v>4153</v>
      </c>
      <c r="S36" s="63">
        <f t="shared" si="17"/>
        <v>14</v>
      </c>
      <c r="T36" s="63">
        <f t="shared" si="17"/>
        <v>2704</v>
      </c>
      <c r="U36" s="63">
        <f t="shared" si="17"/>
        <v>2469</v>
      </c>
      <c r="V36" s="63">
        <f t="shared" si="17"/>
        <v>3200</v>
      </c>
      <c r="W36" s="63">
        <f t="shared" si="17"/>
        <v>13101</v>
      </c>
      <c r="Y36" s="62" t="s">
        <v>9</v>
      </c>
      <c r="Z36" s="63">
        <f>SUM(Z24:Z35)</f>
        <v>212</v>
      </c>
      <c r="AA36" s="63">
        <f t="shared" ref="AA36:AI36" si="18">SUM(AA24:AA35)</f>
        <v>57</v>
      </c>
      <c r="AB36" s="63">
        <f t="shared" si="18"/>
        <v>519</v>
      </c>
      <c r="AC36" s="63">
        <f t="shared" si="18"/>
        <v>155</v>
      </c>
      <c r="AD36" s="63">
        <f t="shared" si="18"/>
        <v>2575</v>
      </c>
      <c r="AE36" s="63">
        <f t="shared" si="18"/>
        <v>0</v>
      </c>
      <c r="AF36" s="63">
        <f t="shared" si="18"/>
        <v>2841</v>
      </c>
      <c r="AG36" s="63">
        <f t="shared" si="18"/>
        <v>1898</v>
      </c>
      <c r="AH36" s="63">
        <f t="shared" si="18"/>
        <v>2323</v>
      </c>
      <c r="AI36" s="63">
        <f t="shared" si="18"/>
        <v>10580</v>
      </c>
      <c r="AK36" s="62" t="s">
        <v>9</v>
      </c>
      <c r="AL36" s="63">
        <f>SUM(AL24:AL35)</f>
        <v>363</v>
      </c>
      <c r="AM36" s="63">
        <f t="shared" ref="AM36:AU36" si="19">SUM(AM24:AM35)</f>
        <v>95</v>
      </c>
      <c r="AN36" s="63">
        <f t="shared" si="19"/>
        <v>568</v>
      </c>
      <c r="AO36" s="63">
        <f t="shared" si="19"/>
        <v>370</v>
      </c>
      <c r="AP36" s="63">
        <f t="shared" si="19"/>
        <v>2464</v>
      </c>
      <c r="AQ36" s="63">
        <f t="shared" si="19"/>
        <v>0</v>
      </c>
      <c r="AR36" s="63">
        <f t="shared" si="19"/>
        <v>3163</v>
      </c>
      <c r="AS36" s="63">
        <f t="shared" si="19"/>
        <v>1496</v>
      </c>
      <c r="AT36" s="63">
        <f t="shared" si="19"/>
        <v>2219</v>
      </c>
      <c r="AU36" s="63">
        <f t="shared" si="19"/>
        <v>10738</v>
      </c>
    </row>
    <row r="37" spans="1:47" s="47" customFormat="1" ht="15" customHeight="1" x14ac:dyDescent="0.25">
      <c r="A37" s="64" t="s">
        <v>52</v>
      </c>
      <c r="B37" s="65">
        <f t="shared" ref="B37:K37" si="20">B36/$K36</f>
        <v>4.7221213221939704E-3</v>
      </c>
      <c r="C37" s="65">
        <f t="shared" si="20"/>
        <v>5.4486015256084274E-3</v>
      </c>
      <c r="D37" s="65">
        <f t="shared" si="20"/>
        <v>2.4700326916091538E-2</v>
      </c>
      <c r="E37" s="65">
        <f t="shared" si="20"/>
        <v>6.5383218307301129E-3</v>
      </c>
      <c r="F37" s="65">
        <f t="shared" si="20"/>
        <v>0.41772611696331274</v>
      </c>
      <c r="G37" s="65">
        <f t="shared" si="20"/>
        <v>5.0853614239011989E-3</v>
      </c>
      <c r="H37" s="65">
        <f t="shared" si="20"/>
        <v>0.14239011986923356</v>
      </c>
      <c r="I37" s="65">
        <f t="shared" si="20"/>
        <v>0.20523065746458408</v>
      </c>
      <c r="J37" s="65">
        <f t="shared" si="20"/>
        <v>0.18815837268434435</v>
      </c>
      <c r="K37" s="65">
        <f t="shared" si="20"/>
        <v>1</v>
      </c>
      <c r="M37" s="64" t="s">
        <v>52</v>
      </c>
      <c r="N37" s="65">
        <f t="shared" ref="N37:W37" si="21">N36/$W36</f>
        <v>3.5111823524921764E-3</v>
      </c>
      <c r="O37" s="65">
        <f t="shared" si="21"/>
        <v>2.2135714830928935E-3</v>
      </c>
      <c r="P37" s="65">
        <f t="shared" si="21"/>
        <v>2.6104877490267919E-2</v>
      </c>
      <c r="Q37" s="65">
        <f t="shared" si="21"/>
        <v>1.0991527364323335E-2</v>
      </c>
      <c r="R37" s="65">
        <f t="shared" si="21"/>
        <v>0.31699870238913058</v>
      </c>
      <c r="S37" s="65">
        <f t="shared" si="21"/>
        <v>1.0686207159758797E-3</v>
      </c>
      <c r="T37" s="65">
        <f t="shared" si="21"/>
        <v>0.20639645828562705</v>
      </c>
      <c r="U37" s="65">
        <f t="shared" si="21"/>
        <v>0.18845889626746051</v>
      </c>
      <c r="V37" s="65">
        <f t="shared" si="21"/>
        <v>0.24425616365162964</v>
      </c>
      <c r="W37" s="65">
        <f t="shared" si="21"/>
        <v>1</v>
      </c>
      <c r="Y37" s="64" t="s">
        <v>52</v>
      </c>
      <c r="Z37" s="65">
        <f t="shared" ref="Z37:AI37" si="22">Z36/$AI36</f>
        <v>2.0037807183364838E-2</v>
      </c>
      <c r="AA37" s="65">
        <f t="shared" si="22"/>
        <v>5.3875236294896028E-3</v>
      </c>
      <c r="AB37" s="65">
        <f t="shared" si="22"/>
        <v>4.9054820415879018E-2</v>
      </c>
      <c r="AC37" s="65">
        <f t="shared" si="22"/>
        <v>1.4650283553875236E-2</v>
      </c>
      <c r="AD37" s="65">
        <f t="shared" si="22"/>
        <v>0.24338374291115311</v>
      </c>
      <c r="AE37" s="65">
        <f t="shared" si="22"/>
        <v>0</v>
      </c>
      <c r="AF37" s="65">
        <f t="shared" si="22"/>
        <v>0.26852551984877127</v>
      </c>
      <c r="AG37" s="65">
        <f t="shared" si="22"/>
        <v>0.17939508506616256</v>
      </c>
      <c r="AH37" s="65">
        <f t="shared" si="22"/>
        <v>0.21956521739130436</v>
      </c>
      <c r="AI37" s="65">
        <f t="shared" si="22"/>
        <v>1</v>
      </c>
      <c r="AK37" s="64" t="s">
        <v>52</v>
      </c>
      <c r="AL37" s="65">
        <f t="shared" ref="AL37:AU37" si="23">AL36/$AU36</f>
        <v>3.3805177872974483E-2</v>
      </c>
      <c r="AM37" s="65">
        <f t="shared" si="23"/>
        <v>8.8470851182715585E-3</v>
      </c>
      <c r="AN37" s="65">
        <f t="shared" si="23"/>
        <v>5.2896256286086796E-2</v>
      </c>
      <c r="AO37" s="65">
        <f t="shared" si="23"/>
        <v>3.4457068355373439E-2</v>
      </c>
      <c r="AP37" s="65">
        <f t="shared" si="23"/>
        <v>0.22946544980443284</v>
      </c>
      <c r="AQ37" s="65">
        <f t="shared" si="23"/>
        <v>0</v>
      </c>
      <c r="AR37" s="65">
        <f t="shared" si="23"/>
        <v>0.29456137083255729</v>
      </c>
      <c r="AS37" s="65">
        <f t="shared" si="23"/>
        <v>0.13931830880983423</v>
      </c>
      <c r="AT37" s="65">
        <f t="shared" si="23"/>
        <v>0.20664928292046936</v>
      </c>
      <c r="AU37" s="65">
        <f t="shared" si="23"/>
        <v>1</v>
      </c>
    </row>
    <row r="39" spans="1:47" s="52" customFormat="1" ht="19.149999999999999" customHeight="1" thickBot="1" x14ac:dyDescent="0.3">
      <c r="A39" s="51" t="s">
        <v>53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M39" s="51" t="s">
        <v>53</v>
      </c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69"/>
      <c r="Y39" s="51" t="s">
        <v>53</v>
      </c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K39" s="51" t="s">
        <v>53</v>
      </c>
      <c r="AL39" s="51"/>
      <c r="AM39" s="51"/>
      <c r="AN39" s="51"/>
      <c r="AO39" s="51"/>
      <c r="AP39" s="51"/>
      <c r="AQ39" s="51"/>
      <c r="AR39" s="51"/>
      <c r="AS39" s="51"/>
      <c r="AT39" s="51"/>
      <c r="AU39" s="51"/>
    </row>
    <row r="40" spans="1:47" x14ac:dyDescent="0.25">
      <c r="A40" s="54" t="s">
        <v>38</v>
      </c>
      <c r="B40" s="4" t="s">
        <v>3</v>
      </c>
      <c r="C40" s="4"/>
      <c r="D40" s="5" t="s">
        <v>4</v>
      </c>
      <c r="E40" s="6" t="s">
        <v>5</v>
      </c>
      <c r="F40" s="7"/>
      <c r="G40" s="5" t="s">
        <v>6</v>
      </c>
      <c r="H40" s="5" t="s">
        <v>7</v>
      </c>
      <c r="I40" s="4" t="s">
        <v>8</v>
      </c>
      <c r="J40" s="8"/>
      <c r="K40" s="9" t="s">
        <v>9</v>
      </c>
      <c r="M40" s="54" t="s">
        <v>38</v>
      </c>
      <c r="N40" s="4" t="s">
        <v>3</v>
      </c>
      <c r="O40" s="4"/>
      <c r="P40" s="5" t="s">
        <v>4</v>
      </c>
      <c r="Q40" s="6" t="s">
        <v>5</v>
      </c>
      <c r="R40" s="7"/>
      <c r="S40" s="5" t="s">
        <v>6</v>
      </c>
      <c r="T40" s="5" t="s">
        <v>7</v>
      </c>
      <c r="U40" s="4" t="s">
        <v>8</v>
      </c>
      <c r="V40" s="8"/>
      <c r="W40" s="9" t="s">
        <v>9</v>
      </c>
      <c r="X40" s="46"/>
      <c r="Y40" s="55" t="s">
        <v>38</v>
      </c>
      <c r="Z40" s="4" t="s">
        <v>3</v>
      </c>
      <c r="AA40" s="4"/>
      <c r="AB40" s="5" t="s">
        <v>4</v>
      </c>
      <c r="AC40" s="6" t="s">
        <v>5</v>
      </c>
      <c r="AD40" s="7"/>
      <c r="AE40" s="5" t="s">
        <v>6</v>
      </c>
      <c r="AF40" s="5" t="s">
        <v>7</v>
      </c>
      <c r="AG40" s="4" t="s">
        <v>8</v>
      </c>
      <c r="AH40" s="8"/>
      <c r="AI40" s="9" t="s">
        <v>9</v>
      </c>
      <c r="AK40" s="55" t="s">
        <v>38</v>
      </c>
      <c r="AL40" s="4" t="s">
        <v>3</v>
      </c>
      <c r="AM40" s="4"/>
      <c r="AN40" s="5" t="s">
        <v>4</v>
      </c>
      <c r="AO40" s="6" t="s">
        <v>5</v>
      </c>
      <c r="AP40" s="7"/>
      <c r="AQ40" s="5" t="s">
        <v>6</v>
      </c>
      <c r="AR40" s="5" t="s">
        <v>7</v>
      </c>
      <c r="AS40" s="4" t="s">
        <v>8</v>
      </c>
      <c r="AT40" s="8"/>
      <c r="AU40" s="9" t="s">
        <v>9</v>
      </c>
    </row>
    <row r="41" spans="1:47" ht="45.75" thickBot="1" x14ac:dyDescent="0.3">
      <c r="A41" s="54"/>
      <c r="B41" s="12" t="s">
        <v>10</v>
      </c>
      <c r="C41" s="12" t="s">
        <v>11</v>
      </c>
      <c r="D41" s="12" t="s">
        <v>12</v>
      </c>
      <c r="E41" s="12" t="s">
        <v>13</v>
      </c>
      <c r="F41" s="12" t="s">
        <v>14</v>
      </c>
      <c r="G41" s="12" t="s">
        <v>15</v>
      </c>
      <c r="H41" s="12" t="s">
        <v>16</v>
      </c>
      <c r="I41" s="12" t="s">
        <v>17</v>
      </c>
      <c r="J41" s="13" t="s">
        <v>18</v>
      </c>
      <c r="K41" s="14"/>
      <c r="M41" s="54"/>
      <c r="N41" s="12" t="s">
        <v>10</v>
      </c>
      <c r="O41" s="12" t="s">
        <v>11</v>
      </c>
      <c r="P41" s="12" t="s">
        <v>12</v>
      </c>
      <c r="Q41" s="12" t="s">
        <v>13</v>
      </c>
      <c r="R41" s="12" t="s">
        <v>14</v>
      </c>
      <c r="S41" s="12" t="s">
        <v>15</v>
      </c>
      <c r="T41" s="12" t="s">
        <v>16</v>
      </c>
      <c r="U41" s="12" t="s">
        <v>17</v>
      </c>
      <c r="V41" s="13" t="s">
        <v>18</v>
      </c>
      <c r="W41" s="14"/>
      <c r="X41" s="46"/>
      <c r="Y41" s="56"/>
      <c r="Z41" s="12" t="s">
        <v>10</v>
      </c>
      <c r="AA41" s="12" t="s">
        <v>11</v>
      </c>
      <c r="AB41" s="12" t="s">
        <v>12</v>
      </c>
      <c r="AC41" s="12" t="s">
        <v>13</v>
      </c>
      <c r="AD41" s="12" t="s">
        <v>14</v>
      </c>
      <c r="AE41" s="12" t="s">
        <v>15</v>
      </c>
      <c r="AF41" s="12" t="s">
        <v>16</v>
      </c>
      <c r="AG41" s="12" t="s">
        <v>17</v>
      </c>
      <c r="AH41" s="13" t="s">
        <v>18</v>
      </c>
      <c r="AI41" s="14"/>
      <c r="AK41" s="56"/>
      <c r="AL41" s="12" t="s">
        <v>10</v>
      </c>
      <c r="AM41" s="12" t="s">
        <v>11</v>
      </c>
      <c r="AN41" s="12" t="s">
        <v>12</v>
      </c>
      <c r="AO41" s="12" t="s">
        <v>13</v>
      </c>
      <c r="AP41" s="12" t="s">
        <v>14</v>
      </c>
      <c r="AQ41" s="12" t="s">
        <v>15</v>
      </c>
      <c r="AR41" s="12" t="s">
        <v>16</v>
      </c>
      <c r="AS41" s="12" t="s">
        <v>17</v>
      </c>
      <c r="AT41" s="13" t="s">
        <v>18</v>
      </c>
      <c r="AU41" s="14"/>
    </row>
    <row r="42" spans="1:47" x14ac:dyDescent="0.25">
      <c r="A42" s="57" t="s">
        <v>39</v>
      </c>
      <c r="B42" s="58">
        <v>4</v>
      </c>
      <c r="C42" s="58">
        <v>0</v>
      </c>
      <c r="D42" s="58">
        <v>9</v>
      </c>
      <c r="E42" s="58">
        <v>2</v>
      </c>
      <c r="F42" s="58">
        <v>167</v>
      </c>
      <c r="G42" s="58">
        <v>6</v>
      </c>
      <c r="H42" s="58">
        <v>42</v>
      </c>
      <c r="I42" s="58">
        <v>223</v>
      </c>
      <c r="J42" s="58">
        <v>192</v>
      </c>
      <c r="K42" s="59">
        <f>SUM(B42:J42)</f>
        <v>645</v>
      </c>
      <c r="M42" s="57" t="s">
        <v>39</v>
      </c>
      <c r="N42" s="58">
        <v>22</v>
      </c>
      <c r="O42" s="58">
        <v>0</v>
      </c>
      <c r="P42" s="58">
        <v>16</v>
      </c>
      <c r="Q42" s="58">
        <v>0</v>
      </c>
      <c r="R42" s="58">
        <v>122</v>
      </c>
      <c r="S42" s="58">
        <v>0</v>
      </c>
      <c r="T42" s="58">
        <v>26</v>
      </c>
      <c r="U42" s="58">
        <v>183</v>
      </c>
      <c r="V42" s="58">
        <v>43</v>
      </c>
      <c r="W42" s="59">
        <f>SUM(N42:V42)</f>
        <v>412</v>
      </c>
      <c r="X42" s="46"/>
      <c r="Y42" s="57" t="s">
        <v>39</v>
      </c>
      <c r="Z42" s="60">
        <v>20</v>
      </c>
      <c r="AA42" s="60">
        <v>0</v>
      </c>
      <c r="AB42" s="60">
        <v>15</v>
      </c>
      <c r="AC42" s="60">
        <v>4</v>
      </c>
      <c r="AD42" s="60">
        <v>129</v>
      </c>
      <c r="AE42" s="60">
        <v>0</v>
      </c>
      <c r="AF42" s="60">
        <v>71</v>
      </c>
      <c r="AG42" s="60">
        <v>73</v>
      </c>
      <c r="AH42" s="60">
        <v>8</v>
      </c>
      <c r="AI42" s="61">
        <f>SUM(Z42:AH42)</f>
        <v>320</v>
      </c>
      <c r="AK42" s="57" t="s">
        <v>39</v>
      </c>
      <c r="AL42" s="60">
        <v>4</v>
      </c>
      <c r="AM42" s="60">
        <v>0</v>
      </c>
      <c r="AN42" s="60">
        <v>1</v>
      </c>
      <c r="AO42" s="60">
        <v>14</v>
      </c>
      <c r="AP42" s="60">
        <v>11</v>
      </c>
      <c r="AQ42" s="60">
        <v>0</v>
      </c>
      <c r="AR42" s="60">
        <v>43</v>
      </c>
      <c r="AS42" s="60">
        <v>32</v>
      </c>
      <c r="AT42" s="60">
        <v>21</v>
      </c>
      <c r="AU42" s="61">
        <f>SUM(AL42:AT42)</f>
        <v>126</v>
      </c>
    </row>
    <row r="43" spans="1:47" x14ac:dyDescent="0.25">
      <c r="A43" s="57" t="s">
        <v>40</v>
      </c>
      <c r="B43" s="58">
        <v>11</v>
      </c>
      <c r="C43" s="58">
        <v>0</v>
      </c>
      <c r="D43" s="58">
        <v>12</v>
      </c>
      <c r="E43" s="58">
        <v>15</v>
      </c>
      <c r="F43" s="58">
        <v>159</v>
      </c>
      <c r="G43" s="58">
        <v>5</v>
      </c>
      <c r="H43" s="58">
        <v>29</v>
      </c>
      <c r="I43" s="58">
        <v>213</v>
      </c>
      <c r="J43" s="58">
        <v>112</v>
      </c>
      <c r="K43" s="59">
        <f t="shared" ref="K43:K49" si="24">SUM(B43:J43)</f>
        <v>556</v>
      </c>
      <c r="M43" s="57" t="s">
        <v>40</v>
      </c>
      <c r="N43" s="58">
        <v>14</v>
      </c>
      <c r="O43" s="58">
        <v>1</v>
      </c>
      <c r="P43" s="58">
        <v>14</v>
      </c>
      <c r="Q43" s="58">
        <v>5</v>
      </c>
      <c r="R43" s="58">
        <v>148</v>
      </c>
      <c r="S43" s="58">
        <v>0</v>
      </c>
      <c r="T43" s="58">
        <v>17</v>
      </c>
      <c r="U43" s="58">
        <v>154</v>
      </c>
      <c r="V43" s="58">
        <v>21</v>
      </c>
      <c r="W43" s="59">
        <f t="shared" ref="W43:W49" si="25">SUM(N43:V43)</f>
        <v>374</v>
      </c>
      <c r="X43" s="46"/>
      <c r="Y43" s="57" t="s">
        <v>40</v>
      </c>
      <c r="Z43" s="60">
        <v>18</v>
      </c>
      <c r="AA43" s="60">
        <v>1</v>
      </c>
      <c r="AB43" s="60">
        <v>13</v>
      </c>
      <c r="AC43" s="60">
        <v>3</v>
      </c>
      <c r="AD43" s="60">
        <v>178</v>
      </c>
      <c r="AE43" s="60">
        <v>0</v>
      </c>
      <c r="AF43" s="60">
        <v>50</v>
      </c>
      <c r="AG43" s="60">
        <v>80</v>
      </c>
      <c r="AH43" s="60">
        <v>5</v>
      </c>
      <c r="AI43" s="61">
        <f t="shared" ref="AI43:AI53" si="26">SUM(Z43:AH43)</f>
        <v>348</v>
      </c>
      <c r="AK43" s="57" t="s">
        <v>40</v>
      </c>
      <c r="AL43" s="60">
        <v>11</v>
      </c>
      <c r="AM43" s="60">
        <v>0</v>
      </c>
      <c r="AN43" s="60">
        <v>10</v>
      </c>
      <c r="AO43" s="60">
        <v>37</v>
      </c>
      <c r="AP43" s="60">
        <v>52</v>
      </c>
      <c r="AQ43" s="60">
        <v>0</v>
      </c>
      <c r="AR43" s="60">
        <v>8</v>
      </c>
      <c r="AS43" s="60">
        <v>28</v>
      </c>
      <c r="AT43" s="60">
        <v>13</v>
      </c>
      <c r="AU43" s="61">
        <f t="shared" ref="AU43:AU53" si="27">SUM(AL43:AT43)</f>
        <v>159</v>
      </c>
    </row>
    <row r="44" spans="1:47" x14ac:dyDescent="0.25">
      <c r="A44" s="57" t="s">
        <v>41</v>
      </c>
      <c r="B44" s="58">
        <v>12</v>
      </c>
      <c r="C44" s="58">
        <v>2</v>
      </c>
      <c r="D44" s="58">
        <v>4</v>
      </c>
      <c r="E44" s="58">
        <v>1</v>
      </c>
      <c r="F44" s="58">
        <v>116</v>
      </c>
      <c r="G44" s="58">
        <v>1</v>
      </c>
      <c r="H44" s="58">
        <v>19</v>
      </c>
      <c r="I44" s="58">
        <v>124</v>
      </c>
      <c r="J44" s="58">
        <v>93</v>
      </c>
      <c r="K44" s="59">
        <f t="shared" si="24"/>
        <v>372</v>
      </c>
      <c r="M44" s="57" t="s">
        <v>41</v>
      </c>
      <c r="N44" s="58">
        <v>4</v>
      </c>
      <c r="O44" s="58">
        <v>0</v>
      </c>
      <c r="P44" s="58">
        <v>20</v>
      </c>
      <c r="Q44" s="58">
        <v>4</v>
      </c>
      <c r="R44" s="58">
        <v>144</v>
      </c>
      <c r="S44" s="58">
        <v>0</v>
      </c>
      <c r="T44" s="58">
        <v>13</v>
      </c>
      <c r="U44" s="58">
        <v>119</v>
      </c>
      <c r="V44" s="58">
        <v>14</v>
      </c>
      <c r="W44" s="59">
        <f t="shared" si="25"/>
        <v>318</v>
      </c>
      <c r="X44" s="46"/>
      <c r="Y44" s="57" t="s">
        <v>41</v>
      </c>
      <c r="Z44" s="60">
        <v>18</v>
      </c>
      <c r="AA44" s="60">
        <v>2</v>
      </c>
      <c r="AB44" s="60">
        <v>18</v>
      </c>
      <c r="AC44" s="60">
        <v>0</v>
      </c>
      <c r="AD44" s="60">
        <v>119</v>
      </c>
      <c r="AE44" s="60">
        <v>0</v>
      </c>
      <c r="AF44" s="60">
        <v>35</v>
      </c>
      <c r="AG44" s="60">
        <v>98</v>
      </c>
      <c r="AH44" s="60">
        <v>8</v>
      </c>
      <c r="AI44" s="61">
        <f t="shared" si="26"/>
        <v>298</v>
      </c>
      <c r="AK44" s="57" t="s">
        <v>41</v>
      </c>
      <c r="AL44" s="60">
        <v>8</v>
      </c>
      <c r="AM44" s="60">
        <v>0</v>
      </c>
      <c r="AN44" s="60">
        <v>8</v>
      </c>
      <c r="AO44" s="60">
        <v>14</v>
      </c>
      <c r="AP44" s="60">
        <v>76</v>
      </c>
      <c r="AQ44" s="60">
        <v>0</v>
      </c>
      <c r="AR44" s="60">
        <v>13</v>
      </c>
      <c r="AS44" s="60">
        <v>54</v>
      </c>
      <c r="AT44" s="60">
        <v>7</v>
      </c>
      <c r="AU44" s="61">
        <f t="shared" si="27"/>
        <v>180</v>
      </c>
    </row>
    <row r="45" spans="1:47" x14ac:dyDescent="0.25">
      <c r="A45" s="57" t="s">
        <v>42</v>
      </c>
      <c r="B45" s="58">
        <v>3</v>
      </c>
      <c r="C45" s="58">
        <v>4</v>
      </c>
      <c r="D45" s="58">
        <v>12</v>
      </c>
      <c r="E45" s="58">
        <v>9</v>
      </c>
      <c r="F45" s="58">
        <v>312</v>
      </c>
      <c r="G45" s="58">
        <v>1</v>
      </c>
      <c r="H45" s="58">
        <v>93</v>
      </c>
      <c r="I45" s="58">
        <v>282</v>
      </c>
      <c r="J45" s="58">
        <v>85</v>
      </c>
      <c r="K45" s="59">
        <f t="shared" si="24"/>
        <v>801</v>
      </c>
      <c r="M45" s="57" t="s">
        <v>42</v>
      </c>
      <c r="N45" s="58">
        <v>13</v>
      </c>
      <c r="O45" s="58">
        <v>0</v>
      </c>
      <c r="P45" s="58">
        <v>18</v>
      </c>
      <c r="Q45" s="58">
        <v>2</v>
      </c>
      <c r="R45" s="58">
        <v>119</v>
      </c>
      <c r="S45" s="58">
        <v>0</v>
      </c>
      <c r="T45" s="58">
        <v>24</v>
      </c>
      <c r="U45" s="58">
        <v>113</v>
      </c>
      <c r="V45" s="58">
        <v>16</v>
      </c>
      <c r="W45" s="59">
        <f t="shared" si="25"/>
        <v>305</v>
      </c>
      <c r="X45" s="46"/>
      <c r="Y45" s="57" t="s">
        <v>42</v>
      </c>
      <c r="Z45" s="60">
        <v>15</v>
      </c>
      <c r="AA45" s="60">
        <v>0</v>
      </c>
      <c r="AB45" s="60">
        <v>34</v>
      </c>
      <c r="AC45" s="60">
        <v>3</v>
      </c>
      <c r="AD45" s="60">
        <v>63</v>
      </c>
      <c r="AE45" s="60">
        <v>0</v>
      </c>
      <c r="AF45" s="60">
        <v>21</v>
      </c>
      <c r="AG45" s="60">
        <v>45</v>
      </c>
      <c r="AH45" s="60">
        <v>6</v>
      </c>
      <c r="AI45" s="61">
        <f t="shared" si="26"/>
        <v>187</v>
      </c>
      <c r="AK45" s="57" t="s">
        <v>42</v>
      </c>
      <c r="AL45" s="60">
        <v>12</v>
      </c>
      <c r="AM45" s="60">
        <v>0</v>
      </c>
      <c r="AN45" s="60">
        <v>2</v>
      </c>
      <c r="AO45" s="60">
        <v>1</v>
      </c>
      <c r="AP45" s="60">
        <v>46</v>
      </c>
      <c r="AQ45" s="60">
        <v>0</v>
      </c>
      <c r="AR45" s="60">
        <v>12</v>
      </c>
      <c r="AS45" s="60">
        <v>26</v>
      </c>
      <c r="AT45" s="60">
        <v>4</v>
      </c>
      <c r="AU45" s="61">
        <f t="shared" si="27"/>
        <v>103</v>
      </c>
    </row>
    <row r="46" spans="1:47" x14ac:dyDescent="0.25">
      <c r="A46" s="57" t="s">
        <v>43</v>
      </c>
      <c r="B46" s="58">
        <v>0</v>
      </c>
      <c r="C46" s="58">
        <v>0</v>
      </c>
      <c r="D46" s="58">
        <v>1</v>
      </c>
      <c r="E46" s="58">
        <v>0</v>
      </c>
      <c r="F46" s="58">
        <v>58</v>
      </c>
      <c r="G46" s="58">
        <v>0</v>
      </c>
      <c r="H46" s="58">
        <v>20</v>
      </c>
      <c r="I46" s="58">
        <v>9</v>
      </c>
      <c r="J46" s="58">
        <v>12</v>
      </c>
      <c r="K46" s="59">
        <f t="shared" si="24"/>
        <v>100</v>
      </c>
      <c r="M46" s="57" t="s">
        <v>43</v>
      </c>
      <c r="N46" s="58">
        <v>18</v>
      </c>
      <c r="O46" s="58">
        <v>2</v>
      </c>
      <c r="P46" s="58">
        <v>28</v>
      </c>
      <c r="Q46" s="58">
        <v>11</v>
      </c>
      <c r="R46" s="58">
        <v>185</v>
      </c>
      <c r="S46" s="58">
        <v>0</v>
      </c>
      <c r="T46" s="58">
        <v>152</v>
      </c>
      <c r="U46" s="58">
        <v>637</v>
      </c>
      <c r="V46" s="58">
        <v>399</v>
      </c>
      <c r="W46" s="59">
        <f t="shared" si="25"/>
        <v>1432</v>
      </c>
      <c r="X46" s="46"/>
      <c r="Y46" s="57" t="s">
        <v>43</v>
      </c>
      <c r="Z46" s="60">
        <v>32</v>
      </c>
      <c r="AA46" s="60">
        <v>2</v>
      </c>
      <c r="AB46" s="60">
        <v>16</v>
      </c>
      <c r="AC46" s="60">
        <v>4</v>
      </c>
      <c r="AD46" s="60">
        <v>73</v>
      </c>
      <c r="AE46" s="60">
        <v>0</v>
      </c>
      <c r="AF46" s="60">
        <v>43</v>
      </c>
      <c r="AG46" s="60">
        <v>105</v>
      </c>
      <c r="AH46" s="60">
        <v>5</v>
      </c>
      <c r="AI46" s="61">
        <f t="shared" si="26"/>
        <v>280</v>
      </c>
      <c r="AK46" s="57" t="s">
        <v>43</v>
      </c>
      <c r="AL46" s="60">
        <v>13</v>
      </c>
      <c r="AM46" s="60">
        <v>1</v>
      </c>
      <c r="AN46" s="60">
        <v>1</v>
      </c>
      <c r="AO46" s="60">
        <v>0</v>
      </c>
      <c r="AP46" s="60">
        <v>67</v>
      </c>
      <c r="AQ46" s="60">
        <v>0</v>
      </c>
      <c r="AR46" s="60">
        <v>24</v>
      </c>
      <c r="AS46" s="60">
        <v>54</v>
      </c>
      <c r="AT46" s="60">
        <v>3</v>
      </c>
      <c r="AU46" s="61">
        <f t="shared" si="27"/>
        <v>163</v>
      </c>
    </row>
    <row r="47" spans="1:47" x14ac:dyDescent="0.25">
      <c r="A47" s="57" t="s">
        <v>44</v>
      </c>
      <c r="B47" s="58">
        <v>0</v>
      </c>
      <c r="C47" s="58">
        <v>0</v>
      </c>
      <c r="D47" s="58">
        <v>0</v>
      </c>
      <c r="E47" s="58">
        <v>0</v>
      </c>
      <c r="F47" s="58">
        <v>0</v>
      </c>
      <c r="G47" s="58">
        <v>0</v>
      </c>
      <c r="H47" s="58">
        <v>0</v>
      </c>
      <c r="I47" s="58">
        <v>0</v>
      </c>
      <c r="J47" s="58">
        <v>0</v>
      </c>
      <c r="K47" s="59">
        <f t="shared" si="24"/>
        <v>0</v>
      </c>
      <c r="M47" s="57" t="s">
        <v>44</v>
      </c>
      <c r="N47" s="58">
        <v>29</v>
      </c>
      <c r="O47" s="58">
        <v>0</v>
      </c>
      <c r="P47" s="58">
        <v>20</v>
      </c>
      <c r="Q47" s="58">
        <v>15</v>
      </c>
      <c r="R47" s="58">
        <v>159</v>
      </c>
      <c r="S47" s="58">
        <v>0</v>
      </c>
      <c r="T47" s="58">
        <v>85</v>
      </c>
      <c r="U47" s="58">
        <v>512</v>
      </c>
      <c r="V47" s="58">
        <v>225</v>
      </c>
      <c r="W47" s="59">
        <f t="shared" si="25"/>
        <v>1045</v>
      </c>
      <c r="X47" s="46"/>
      <c r="Y47" s="57" t="s">
        <v>44</v>
      </c>
      <c r="Z47" s="60">
        <v>3</v>
      </c>
      <c r="AA47" s="60">
        <v>1</v>
      </c>
      <c r="AB47" s="60">
        <v>6</v>
      </c>
      <c r="AC47" s="60">
        <v>2</v>
      </c>
      <c r="AD47" s="60">
        <v>60</v>
      </c>
      <c r="AE47" s="60">
        <v>0</v>
      </c>
      <c r="AF47" s="60">
        <v>31</v>
      </c>
      <c r="AG47" s="60">
        <v>92</v>
      </c>
      <c r="AH47" s="60">
        <v>5</v>
      </c>
      <c r="AI47" s="61">
        <f t="shared" si="26"/>
        <v>200</v>
      </c>
      <c r="AK47" s="57" t="s">
        <v>44</v>
      </c>
      <c r="AL47" s="60">
        <v>8</v>
      </c>
      <c r="AM47" s="60">
        <v>0</v>
      </c>
      <c r="AN47" s="60">
        <v>11</v>
      </c>
      <c r="AO47" s="60">
        <v>1</v>
      </c>
      <c r="AP47" s="60">
        <v>97</v>
      </c>
      <c r="AQ47" s="60">
        <v>0</v>
      </c>
      <c r="AR47" s="60">
        <v>10</v>
      </c>
      <c r="AS47" s="60">
        <v>42</v>
      </c>
      <c r="AT47" s="60">
        <v>6</v>
      </c>
      <c r="AU47" s="61">
        <f t="shared" si="27"/>
        <v>175</v>
      </c>
    </row>
    <row r="48" spans="1:47" x14ac:dyDescent="0.25">
      <c r="A48" s="57" t="s">
        <v>45</v>
      </c>
      <c r="B48" s="58">
        <v>0</v>
      </c>
      <c r="C48" s="58">
        <v>0</v>
      </c>
      <c r="D48" s="58">
        <v>0</v>
      </c>
      <c r="E48" s="58">
        <v>0</v>
      </c>
      <c r="F48" s="58">
        <v>0</v>
      </c>
      <c r="G48" s="58">
        <v>0</v>
      </c>
      <c r="H48" s="58">
        <v>0</v>
      </c>
      <c r="I48" s="58">
        <v>0</v>
      </c>
      <c r="J48" s="58">
        <v>0</v>
      </c>
      <c r="K48" s="59">
        <f t="shared" si="24"/>
        <v>0</v>
      </c>
      <c r="M48" s="57" t="s">
        <v>45</v>
      </c>
      <c r="N48" s="58">
        <v>42</v>
      </c>
      <c r="O48" s="58">
        <v>8</v>
      </c>
      <c r="P48" s="58">
        <v>41</v>
      </c>
      <c r="Q48" s="58">
        <v>64</v>
      </c>
      <c r="R48" s="58">
        <v>526</v>
      </c>
      <c r="S48" s="58">
        <v>0</v>
      </c>
      <c r="T48" s="58">
        <v>116</v>
      </c>
      <c r="U48" s="58">
        <v>568</v>
      </c>
      <c r="V48" s="58">
        <v>215</v>
      </c>
      <c r="W48" s="59">
        <f t="shared" si="25"/>
        <v>1580</v>
      </c>
      <c r="X48" s="46"/>
      <c r="Y48" s="57" t="s">
        <v>45</v>
      </c>
      <c r="Z48" s="60">
        <v>10</v>
      </c>
      <c r="AA48" s="60">
        <v>0</v>
      </c>
      <c r="AB48" s="60">
        <v>7</v>
      </c>
      <c r="AC48" s="60">
        <v>4</v>
      </c>
      <c r="AD48" s="60">
        <v>62</v>
      </c>
      <c r="AE48" s="60">
        <v>0</v>
      </c>
      <c r="AF48" s="60">
        <v>36</v>
      </c>
      <c r="AG48" s="60">
        <v>71</v>
      </c>
      <c r="AH48" s="60">
        <v>3</v>
      </c>
      <c r="AI48" s="61">
        <f t="shared" si="26"/>
        <v>193</v>
      </c>
      <c r="AK48" s="57" t="s">
        <v>45</v>
      </c>
      <c r="AL48" s="60">
        <v>17</v>
      </c>
      <c r="AM48" s="60">
        <v>5</v>
      </c>
      <c r="AN48" s="60">
        <v>4</v>
      </c>
      <c r="AO48" s="60">
        <v>3</v>
      </c>
      <c r="AP48" s="60">
        <v>102</v>
      </c>
      <c r="AQ48" s="60">
        <v>0</v>
      </c>
      <c r="AR48" s="60">
        <v>14</v>
      </c>
      <c r="AS48" s="60">
        <v>66</v>
      </c>
      <c r="AT48" s="60">
        <v>3</v>
      </c>
      <c r="AU48" s="61">
        <f t="shared" si="27"/>
        <v>214</v>
      </c>
    </row>
    <row r="49" spans="1:47" x14ac:dyDescent="0.25">
      <c r="A49" s="57" t="s">
        <v>46</v>
      </c>
      <c r="B49" s="58">
        <v>0</v>
      </c>
      <c r="C49" s="58">
        <v>0</v>
      </c>
      <c r="D49" s="58">
        <v>0</v>
      </c>
      <c r="E49" s="58">
        <v>0</v>
      </c>
      <c r="F49" s="58">
        <v>0</v>
      </c>
      <c r="G49" s="58">
        <v>0</v>
      </c>
      <c r="H49" s="58">
        <v>0</v>
      </c>
      <c r="I49" s="58">
        <v>0</v>
      </c>
      <c r="J49" s="58">
        <v>0</v>
      </c>
      <c r="K49" s="59">
        <f t="shared" si="24"/>
        <v>0</v>
      </c>
      <c r="M49" s="57" t="s">
        <v>46</v>
      </c>
      <c r="N49" s="58">
        <v>15</v>
      </c>
      <c r="O49" s="58">
        <v>1</v>
      </c>
      <c r="P49" s="58">
        <v>30</v>
      </c>
      <c r="Q49" s="58">
        <v>27</v>
      </c>
      <c r="R49" s="58">
        <v>359</v>
      </c>
      <c r="S49" s="58">
        <v>3</v>
      </c>
      <c r="T49" s="58">
        <v>103</v>
      </c>
      <c r="U49" s="58">
        <v>415</v>
      </c>
      <c r="V49" s="58">
        <v>291</v>
      </c>
      <c r="W49" s="59">
        <f t="shared" si="25"/>
        <v>1244</v>
      </c>
      <c r="X49" s="46"/>
      <c r="Y49" s="57" t="s">
        <v>46</v>
      </c>
      <c r="Z49" s="60">
        <v>6</v>
      </c>
      <c r="AA49" s="60">
        <v>0</v>
      </c>
      <c r="AB49" s="60">
        <v>14</v>
      </c>
      <c r="AC49" s="60">
        <v>0</v>
      </c>
      <c r="AD49" s="60">
        <v>70</v>
      </c>
      <c r="AE49" s="60">
        <v>0</v>
      </c>
      <c r="AF49" s="60">
        <v>18</v>
      </c>
      <c r="AG49" s="60">
        <v>68</v>
      </c>
      <c r="AH49" s="60">
        <v>8</v>
      </c>
      <c r="AI49" s="61">
        <f t="shared" si="26"/>
        <v>184</v>
      </c>
      <c r="AK49" s="57" t="s">
        <v>46</v>
      </c>
      <c r="AL49" s="60">
        <v>13</v>
      </c>
      <c r="AM49" s="60">
        <v>3</v>
      </c>
      <c r="AN49" s="60">
        <v>4</v>
      </c>
      <c r="AO49" s="60">
        <v>0</v>
      </c>
      <c r="AP49" s="60">
        <v>137</v>
      </c>
      <c r="AQ49" s="60">
        <v>0</v>
      </c>
      <c r="AR49" s="60">
        <v>20</v>
      </c>
      <c r="AS49" s="60">
        <v>103</v>
      </c>
      <c r="AT49" s="60">
        <v>7</v>
      </c>
      <c r="AU49" s="61">
        <f t="shared" si="27"/>
        <v>287</v>
      </c>
    </row>
    <row r="50" spans="1:47" x14ac:dyDescent="0.25">
      <c r="A50" s="57" t="s">
        <v>47</v>
      </c>
      <c r="B50" s="58">
        <v>0</v>
      </c>
      <c r="C50" s="58">
        <v>0</v>
      </c>
      <c r="D50" s="58">
        <v>0</v>
      </c>
      <c r="E50" s="58">
        <v>0</v>
      </c>
      <c r="F50" s="58">
        <v>0</v>
      </c>
      <c r="G50" s="58">
        <v>0</v>
      </c>
      <c r="H50" s="58">
        <v>0</v>
      </c>
      <c r="I50" s="58">
        <v>0</v>
      </c>
      <c r="J50" s="58">
        <v>0</v>
      </c>
      <c r="K50" s="59">
        <f>SUM(B50:J50)</f>
        <v>0</v>
      </c>
      <c r="M50" s="57" t="s">
        <v>47</v>
      </c>
      <c r="N50" s="58">
        <v>2</v>
      </c>
      <c r="O50" s="58">
        <v>0</v>
      </c>
      <c r="P50" s="58">
        <v>32</v>
      </c>
      <c r="Q50" s="58">
        <v>19</v>
      </c>
      <c r="R50" s="58">
        <v>212</v>
      </c>
      <c r="S50" s="58">
        <v>1</v>
      </c>
      <c r="T50" s="58">
        <v>131</v>
      </c>
      <c r="U50" s="58">
        <v>239</v>
      </c>
      <c r="V50" s="58">
        <v>295</v>
      </c>
      <c r="W50" s="59">
        <f>SUM(N50:V50)</f>
        <v>931</v>
      </c>
      <c r="X50" s="46"/>
      <c r="Y50" s="57" t="s">
        <v>47</v>
      </c>
      <c r="Z50" s="60">
        <v>8</v>
      </c>
      <c r="AA50" s="60">
        <v>0</v>
      </c>
      <c r="AB50" s="60">
        <v>9</v>
      </c>
      <c r="AC50" s="60">
        <v>2</v>
      </c>
      <c r="AD50" s="60">
        <v>64</v>
      </c>
      <c r="AE50" s="60">
        <v>0</v>
      </c>
      <c r="AF50" s="60">
        <v>21</v>
      </c>
      <c r="AG50" s="60">
        <v>55</v>
      </c>
      <c r="AH50" s="60">
        <v>3</v>
      </c>
      <c r="AI50" s="61">
        <f t="shared" si="26"/>
        <v>162</v>
      </c>
      <c r="AK50" s="57" t="s">
        <v>47</v>
      </c>
      <c r="AL50" s="60">
        <v>8</v>
      </c>
      <c r="AM50" s="60">
        <v>0</v>
      </c>
      <c r="AN50" s="60">
        <v>1</v>
      </c>
      <c r="AO50" s="60">
        <v>1</v>
      </c>
      <c r="AP50" s="60">
        <v>133</v>
      </c>
      <c r="AQ50" s="60">
        <v>0</v>
      </c>
      <c r="AR50" s="60">
        <v>36</v>
      </c>
      <c r="AS50" s="60">
        <v>74</v>
      </c>
      <c r="AT50" s="60">
        <v>8</v>
      </c>
      <c r="AU50" s="61">
        <f t="shared" si="27"/>
        <v>261</v>
      </c>
    </row>
    <row r="51" spans="1:47" x14ac:dyDescent="0.25">
      <c r="A51" s="57" t="s">
        <v>48</v>
      </c>
      <c r="B51" s="58">
        <v>0</v>
      </c>
      <c r="C51" s="58">
        <v>0</v>
      </c>
      <c r="D51" s="58">
        <v>0</v>
      </c>
      <c r="E51" s="58">
        <v>0</v>
      </c>
      <c r="F51" s="58">
        <v>0</v>
      </c>
      <c r="G51" s="58">
        <v>0</v>
      </c>
      <c r="H51" s="58">
        <v>0</v>
      </c>
      <c r="I51" s="58">
        <v>0</v>
      </c>
      <c r="J51" s="58">
        <v>0</v>
      </c>
      <c r="K51" s="59">
        <f>SUM(B51:J51)</f>
        <v>0</v>
      </c>
      <c r="M51" s="57" t="s">
        <v>48</v>
      </c>
      <c r="N51" s="58">
        <v>14</v>
      </c>
      <c r="O51" s="58">
        <v>0</v>
      </c>
      <c r="P51" s="58">
        <v>20</v>
      </c>
      <c r="Q51" s="58">
        <v>6</v>
      </c>
      <c r="R51" s="58">
        <v>229</v>
      </c>
      <c r="S51" s="58">
        <v>1</v>
      </c>
      <c r="T51" s="58">
        <v>64</v>
      </c>
      <c r="U51" s="58">
        <v>164</v>
      </c>
      <c r="V51" s="58">
        <v>57</v>
      </c>
      <c r="W51" s="59">
        <f>SUM(N51:V51)</f>
        <v>555</v>
      </c>
      <c r="X51" s="46"/>
      <c r="Y51" s="57" t="s">
        <v>48</v>
      </c>
      <c r="Z51" s="60">
        <v>4</v>
      </c>
      <c r="AA51" s="60">
        <v>1</v>
      </c>
      <c r="AB51" s="60">
        <v>15</v>
      </c>
      <c r="AC51" s="60">
        <v>0</v>
      </c>
      <c r="AD51" s="60">
        <v>61</v>
      </c>
      <c r="AE51" s="60">
        <v>0</v>
      </c>
      <c r="AF51" s="60">
        <v>36</v>
      </c>
      <c r="AG51" s="60">
        <v>62</v>
      </c>
      <c r="AH51" s="60">
        <v>5</v>
      </c>
      <c r="AI51" s="61">
        <f t="shared" si="26"/>
        <v>184</v>
      </c>
      <c r="AK51" s="57" t="s">
        <v>48</v>
      </c>
      <c r="AL51" s="60">
        <v>19</v>
      </c>
      <c r="AM51" s="60">
        <v>3</v>
      </c>
      <c r="AN51" s="60">
        <v>6</v>
      </c>
      <c r="AO51" s="60">
        <v>2</v>
      </c>
      <c r="AP51" s="60">
        <v>136</v>
      </c>
      <c r="AQ51" s="60">
        <v>0</v>
      </c>
      <c r="AR51" s="60">
        <v>54</v>
      </c>
      <c r="AS51" s="60">
        <v>49</v>
      </c>
      <c r="AT51" s="60">
        <v>6</v>
      </c>
      <c r="AU51" s="61">
        <f t="shared" si="27"/>
        <v>275</v>
      </c>
    </row>
    <row r="52" spans="1:47" x14ac:dyDescent="0.25">
      <c r="A52" s="57" t="s">
        <v>49</v>
      </c>
      <c r="B52" s="58">
        <v>0</v>
      </c>
      <c r="C52" s="58">
        <v>0</v>
      </c>
      <c r="D52" s="58">
        <v>0</v>
      </c>
      <c r="E52" s="58">
        <v>0</v>
      </c>
      <c r="F52" s="58">
        <v>0</v>
      </c>
      <c r="G52" s="58">
        <v>0</v>
      </c>
      <c r="H52" s="58">
        <v>0</v>
      </c>
      <c r="I52" s="58">
        <v>0</v>
      </c>
      <c r="J52" s="58">
        <v>0</v>
      </c>
      <c r="K52" s="59">
        <f>SUM(B52:J52)</f>
        <v>0</v>
      </c>
      <c r="M52" s="57" t="s">
        <v>49</v>
      </c>
      <c r="N52" s="58">
        <v>8</v>
      </c>
      <c r="O52" s="58">
        <v>5</v>
      </c>
      <c r="P52" s="58">
        <v>37</v>
      </c>
      <c r="Q52" s="58">
        <v>3</v>
      </c>
      <c r="R52" s="58">
        <v>175</v>
      </c>
      <c r="S52" s="58">
        <v>3</v>
      </c>
      <c r="T52" s="58">
        <v>57</v>
      </c>
      <c r="U52" s="58">
        <v>241</v>
      </c>
      <c r="V52" s="58">
        <v>205</v>
      </c>
      <c r="W52" s="59">
        <f>SUM(N52:V52)</f>
        <v>734</v>
      </c>
      <c r="X52" s="46"/>
      <c r="Y52" s="57" t="s">
        <v>49</v>
      </c>
      <c r="Z52" s="60">
        <v>8</v>
      </c>
      <c r="AA52" s="60">
        <v>1</v>
      </c>
      <c r="AB52" s="60">
        <v>8</v>
      </c>
      <c r="AC52" s="60">
        <v>2</v>
      </c>
      <c r="AD52" s="60">
        <v>83</v>
      </c>
      <c r="AE52" s="60">
        <v>0</v>
      </c>
      <c r="AF52" s="60">
        <v>31</v>
      </c>
      <c r="AG52" s="60">
        <v>62</v>
      </c>
      <c r="AH52" s="60">
        <v>4</v>
      </c>
      <c r="AI52" s="61">
        <f t="shared" si="26"/>
        <v>199</v>
      </c>
      <c r="AK52" s="57" t="s">
        <v>49</v>
      </c>
      <c r="AL52" s="60">
        <v>27</v>
      </c>
      <c r="AM52" s="60">
        <v>2</v>
      </c>
      <c r="AN52" s="60">
        <v>74</v>
      </c>
      <c r="AO52" s="60">
        <v>0</v>
      </c>
      <c r="AP52" s="60">
        <v>76</v>
      </c>
      <c r="AQ52" s="60">
        <v>0</v>
      </c>
      <c r="AR52" s="60">
        <v>62</v>
      </c>
      <c r="AS52" s="60">
        <v>69</v>
      </c>
      <c r="AT52" s="60">
        <v>9</v>
      </c>
      <c r="AU52" s="61">
        <f t="shared" si="27"/>
        <v>319</v>
      </c>
    </row>
    <row r="53" spans="1:47" x14ac:dyDescent="0.25">
      <c r="A53" s="57" t="s">
        <v>50</v>
      </c>
      <c r="B53" s="58">
        <v>0</v>
      </c>
      <c r="C53" s="58">
        <v>0</v>
      </c>
      <c r="D53" s="58">
        <v>0</v>
      </c>
      <c r="E53" s="58">
        <v>0</v>
      </c>
      <c r="F53" s="58">
        <v>0</v>
      </c>
      <c r="G53" s="58">
        <v>0</v>
      </c>
      <c r="H53" s="58">
        <v>0</v>
      </c>
      <c r="I53" s="58">
        <v>0</v>
      </c>
      <c r="J53" s="58">
        <v>0</v>
      </c>
      <c r="K53" s="59">
        <f>SUM(B53:J53)</f>
        <v>0</v>
      </c>
      <c r="M53" s="57" t="s">
        <v>50</v>
      </c>
      <c r="N53" s="58">
        <v>8</v>
      </c>
      <c r="O53" s="58">
        <v>2</v>
      </c>
      <c r="P53" s="58">
        <v>22</v>
      </c>
      <c r="Q53" s="58">
        <v>10</v>
      </c>
      <c r="R53" s="58">
        <v>148</v>
      </c>
      <c r="S53" s="58">
        <v>1</v>
      </c>
      <c r="T53" s="58">
        <v>42</v>
      </c>
      <c r="U53" s="58">
        <v>185</v>
      </c>
      <c r="V53" s="58">
        <v>82</v>
      </c>
      <c r="W53" s="59">
        <f>SUM(N53:V53)</f>
        <v>500</v>
      </c>
      <c r="X53" s="46"/>
      <c r="Y53" s="57" t="s">
        <v>50</v>
      </c>
      <c r="Z53" s="60">
        <v>10</v>
      </c>
      <c r="AA53" s="60">
        <v>2</v>
      </c>
      <c r="AB53" s="60">
        <v>13</v>
      </c>
      <c r="AC53" s="60">
        <v>1</v>
      </c>
      <c r="AD53" s="60">
        <v>76</v>
      </c>
      <c r="AE53" s="60">
        <v>0</v>
      </c>
      <c r="AF53" s="60">
        <v>18</v>
      </c>
      <c r="AG53" s="60">
        <v>55</v>
      </c>
      <c r="AH53" s="60">
        <v>5</v>
      </c>
      <c r="AI53" s="61">
        <f t="shared" si="26"/>
        <v>180</v>
      </c>
      <c r="AK53" s="57" t="s">
        <v>50</v>
      </c>
      <c r="AL53" s="60">
        <v>3</v>
      </c>
      <c r="AM53" s="60">
        <v>2</v>
      </c>
      <c r="AN53" s="60">
        <v>6</v>
      </c>
      <c r="AO53" s="60">
        <v>4</v>
      </c>
      <c r="AP53" s="60">
        <v>91</v>
      </c>
      <c r="AQ53" s="60">
        <v>0</v>
      </c>
      <c r="AR53" s="60">
        <v>80</v>
      </c>
      <c r="AS53" s="60">
        <v>80</v>
      </c>
      <c r="AT53" s="60">
        <v>4</v>
      </c>
      <c r="AU53" s="61">
        <f t="shared" si="27"/>
        <v>270</v>
      </c>
    </row>
    <row r="54" spans="1:47" s="47" customFormat="1" ht="15" customHeight="1" x14ac:dyDescent="0.25">
      <c r="A54" s="62" t="s">
        <v>9</v>
      </c>
      <c r="B54" s="63">
        <f>SUM(B42:B53)</f>
        <v>30</v>
      </c>
      <c r="C54" s="63">
        <f t="shared" ref="C54:K54" si="28">SUM(C42:C53)</f>
        <v>6</v>
      </c>
      <c r="D54" s="63">
        <f t="shared" si="28"/>
        <v>38</v>
      </c>
      <c r="E54" s="63">
        <f t="shared" si="28"/>
        <v>27</v>
      </c>
      <c r="F54" s="63">
        <f t="shared" si="28"/>
        <v>812</v>
      </c>
      <c r="G54" s="63">
        <f t="shared" si="28"/>
        <v>13</v>
      </c>
      <c r="H54" s="63">
        <f t="shared" si="28"/>
        <v>203</v>
      </c>
      <c r="I54" s="63">
        <f t="shared" si="28"/>
        <v>851</v>
      </c>
      <c r="J54" s="63">
        <f t="shared" si="28"/>
        <v>494</v>
      </c>
      <c r="K54" s="63">
        <f t="shared" si="28"/>
        <v>2474</v>
      </c>
      <c r="M54" s="62" t="s">
        <v>9</v>
      </c>
      <c r="N54" s="63">
        <f>SUM(N42:N53)</f>
        <v>189</v>
      </c>
      <c r="O54" s="63">
        <f t="shared" ref="O54:W54" si="29">SUM(O42:O53)</f>
        <v>19</v>
      </c>
      <c r="P54" s="63">
        <f t="shared" si="29"/>
        <v>298</v>
      </c>
      <c r="Q54" s="63">
        <f t="shared" si="29"/>
        <v>166</v>
      </c>
      <c r="R54" s="63">
        <f t="shared" si="29"/>
        <v>2526</v>
      </c>
      <c r="S54" s="63">
        <f t="shared" si="29"/>
        <v>9</v>
      </c>
      <c r="T54" s="63">
        <f t="shared" si="29"/>
        <v>830</v>
      </c>
      <c r="U54" s="63">
        <f t="shared" si="29"/>
        <v>3530</v>
      </c>
      <c r="V54" s="63">
        <f t="shared" si="29"/>
        <v>1863</v>
      </c>
      <c r="W54" s="63">
        <f t="shared" si="29"/>
        <v>9430</v>
      </c>
      <c r="Y54" s="62" t="s">
        <v>9</v>
      </c>
      <c r="Z54" s="63">
        <f>SUM(Z42:Z53)</f>
        <v>152</v>
      </c>
      <c r="AA54" s="63">
        <f t="shared" ref="AA54:AI54" si="30">SUM(AA42:AA53)</f>
        <v>10</v>
      </c>
      <c r="AB54" s="63">
        <f t="shared" si="30"/>
        <v>168</v>
      </c>
      <c r="AC54" s="63">
        <f t="shared" si="30"/>
        <v>25</v>
      </c>
      <c r="AD54" s="63">
        <f t="shared" si="30"/>
        <v>1038</v>
      </c>
      <c r="AE54" s="63">
        <f t="shared" si="30"/>
        <v>0</v>
      </c>
      <c r="AF54" s="63">
        <f t="shared" si="30"/>
        <v>411</v>
      </c>
      <c r="AG54" s="63">
        <f t="shared" si="30"/>
        <v>866</v>
      </c>
      <c r="AH54" s="63">
        <f t="shared" si="30"/>
        <v>65</v>
      </c>
      <c r="AI54" s="63">
        <f t="shared" si="30"/>
        <v>2735</v>
      </c>
      <c r="AK54" s="62" t="s">
        <v>9</v>
      </c>
      <c r="AL54" s="63">
        <f>SUM(AL42:AL53)</f>
        <v>143</v>
      </c>
      <c r="AM54" s="63">
        <f t="shared" ref="AM54:AU54" si="31">SUM(AM42:AM53)</f>
        <v>16</v>
      </c>
      <c r="AN54" s="63">
        <f t="shared" si="31"/>
        <v>128</v>
      </c>
      <c r="AO54" s="63">
        <f t="shared" si="31"/>
        <v>77</v>
      </c>
      <c r="AP54" s="63">
        <f t="shared" si="31"/>
        <v>1024</v>
      </c>
      <c r="AQ54" s="63">
        <f t="shared" si="31"/>
        <v>0</v>
      </c>
      <c r="AR54" s="63">
        <f t="shared" si="31"/>
        <v>376</v>
      </c>
      <c r="AS54" s="63">
        <f t="shared" si="31"/>
        <v>677</v>
      </c>
      <c r="AT54" s="63">
        <f t="shared" si="31"/>
        <v>91</v>
      </c>
      <c r="AU54" s="63">
        <f t="shared" si="31"/>
        <v>2532</v>
      </c>
    </row>
    <row r="55" spans="1:47" s="47" customFormat="1" ht="14.45" customHeight="1" x14ac:dyDescent="0.25">
      <c r="A55" s="64" t="s">
        <v>54</v>
      </c>
      <c r="B55" s="65">
        <f t="shared" ref="B55:K55" si="32">B54/$K54</f>
        <v>1.2126111560226353E-2</v>
      </c>
      <c r="C55" s="65">
        <f t="shared" si="32"/>
        <v>2.425222312045271E-3</v>
      </c>
      <c r="D55" s="65">
        <f t="shared" si="32"/>
        <v>1.5359741309620048E-2</v>
      </c>
      <c r="E55" s="65">
        <f t="shared" si="32"/>
        <v>1.0913500404203719E-2</v>
      </c>
      <c r="F55" s="65">
        <f t="shared" si="32"/>
        <v>0.32821341956346001</v>
      </c>
      <c r="G55" s="65">
        <f t="shared" si="32"/>
        <v>5.2546483427647539E-3</v>
      </c>
      <c r="H55" s="65">
        <f t="shared" si="32"/>
        <v>8.2053354890865002E-2</v>
      </c>
      <c r="I55" s="65">
        <f t="shared" si="32"/>
        <v>0.34397736459175426</v>
      </c>
      <c r="J55" s="65">
        <f t="shared" si="32"/>
        <v>0.19967663702506064</v>
      </c>
      <c r="K55" s="65">
        <f t="shared" si="32"/>
        <v>1</v>
      </c>
      <c r="M55" s="64" t="s">
        <v>54</v>
      </c>
      <c r="N55" s="65">
        <f t="shared" ref="N55:W55" si="33">N54/$W54</f>
        <v>2.0042417815482504E-2</v>
      </c>
      <c r="O55" s="65">
        <f t="shared" si="33"/>
        <v>2.0148462354188761E-3</v>
      </c>
      <c r="P55" s="65">
        <f t="shared" si="33"/>
        <v>3.1601272534464472E-2</v>
      </c>
      <c r="Q55" s="65">
        <f t="shared" si="33"/>
        <v>1.76033934252386E-2</v>
      </c>
      <c r="R55" s="65">
        <f t="shared" si="33"/>
        <v>0.26786850477200425</v>
      </c>
      <c r="S55" s="65">
        <f t="shared" si="33"/>
        <v>9.5440084835630968E-4</v>
      </c>
      <c r="T55" s="65">
        <f t="shared" si="33"/>
        <v>8.8016967126193002E-2</v>
      </c>
      <c r="U55" s="65">
        <f t="shared" si="33"/>
        <v>0.37433722163308591</v>
      </c>
      <c r="V55" s="65">
        <f t="shared" si="33"/>
        <v>0.19756097560975611</v>
      </c>
      <c r="W55" s="65">
        <f t="shared" si="33"/>
        <v>1</v>
      </c>
      <c r="Y55" s="64" t="s">
        <v>54</v>
      </c>
      <c r="Z55" s="65">
        <f t="shared" ref="Z55:AI55" si="34">Z54/$AI54</f>
        <v>5.5575868372943329E-2</v>
      </c>
      <c r="AA55" s="65">
        <f t="shared" si="34"/>
        <v>3.6563071297989031E-3</v>
      </c>
      <c r="AB55" s="65">
        <f t="shared" si="34"/>
        <v>6.142595978062157E-2</v>
      </c>
      <c r="AC55" s="65">
        <f t="shared" si="34"/>
        <v>9.140767824497258E-3</v>
      </c>
      <c r="AD55" s="65">
        <f t="shared" si="34"/>
        <v>0.37952468007312612</v>
      </c>
      <c r="AE55" s="65">
        <f t="shared" si="34"/>
        <v>0</v>
      </c>
      <c r="AF55" s="65">
        <f t="shared" si="34"/>
        <v>0.15027422303473492</v>
      </c>
      <c r="AG55" s="65">
        <f t="shared" si="34"/>
        <v>0.31663619744058502</v>
      </c>
      <c r="AH55" s="65">
        <f t="shared" si="34"/>
        <v>2.376599634369287E-2</v>
      </c>
      <c r="AI55" s="65">
        <f t="shared" si="34"/>
        <v>1</v>
      </c>
      <c r="AK55" s="64" t="s">
        <v>54</v>
      </c>
      <c r="AL55" s="65">
        <f t="shared" ref="AL55:AU55" si="35">AL54/$AU54</f>
        <v>5.6477093206951025E-2</v>
      </c>
      <c r="AM55" s="65">
        <f t="shared" si="35"/>
        <v>6.3191153238546603E-3</v>
      </c>
      <c r="AN55" s="65">
        <f t="shared" si="35"/>
        <v>5.0552922590837282E-2</v>
      </c>
      <c r="AO55" s="65">
        <f t="shared" si="35"/>
        <v>3.0410742496050552E-2</v>
      </c>
      <c r="AP55" s="65">
        <f t="shared" si="35"/>
        <v>0.40442338072669826</v>
      </c>
      <c r="AQ55" s="65">
        <f t="shared" si="35"/>
        <v>0</v>
      </c>
      <c r="AR55" s="65">
        <f t="shared" si="35"/>
        <v>0.14849921011058451</v>
      </c>
      <c r="AS55" s="65">
        <f t="shared" si="35"/>
        <v>0.26737756714060029</v>
      </c>
      <c r="AT55" s="65">
        <f t="shared" si="35"/>
        <v>3.5939968404423379E-2</v>
      </c>
      <c r="AU55" s="65">
        <f t="shared" si="35"/>
        <v>1</v>
      </c>
    </row>
    <row r="57" spans="1:47" s="52" customFormat="1" ht="17.45" customHeight="1" thickBot="1" x14ac:dyDescent="0.3">
      <c r="A57" s="51" t="s">
        <v>22</v>
      </c>
      <c r="B57" s="51"/>
      <c r="C57" s="51"/>
      <c r="D57" s="51"/>
      <c r="E57" s="51"/>
      <c r="F57" s="51"/>
      <c r="G57" s="51"/>
      <c r="H57" s="51"/>
      <c r="I57" s="51"/>
      <c r="J57" s="51"/>
      <c r="K57" s="51"/>
      <c r="M57" s="51" t="s">
        <v>22</v>
      </c>
      <c r="N57" s="51"/>
      <c r="O57" s="51"/>
      <c r="P57" s="51"/>
      <c r="Q57" s="51"/>
      <c r="R57" s="51"/>
      <c r="S57" s="51"/>
      <c r="T57" s="51"/>
      <c r="U57" s="51"/>
      <c r="V57" s="51"/>
      <c r="W57" s="51"/>
      <c r="Y57" s="66" t="s">
        <v>22</v>
      </c>
      <c r="Z57" s="67"/>
      <c r="AA57" s="67"/>
      <c r="AB57" s="67"/>
      <c r="AC57" s="67"/>
      <c r="AD57" s="67"/>
      <c r="AE57" s="67"/>
      <c r="AF57" s="67"/>
      <c r="AG57" s="67"/>
      <c r="AH57" s="67"/>
      <c r="AI57" s="68"/>
      <c r="AK57" s="51" t="s">
        <v>22</v>
      </c>
      <c r="AL57" s="51"/>
      <c r="AM57" s="51"/>
      <c r="AN57" s="51"/>
      <c r="AO57" s="51"/>
      <c r="AP57" s="51"/>
      <c r="AQ57" s="51"/>
      <c r="AR57" s="51"/>
      <c r="AS57" s="51"/>
      <c r="AT57" s="51"/>
      <c r="AU57" s="51"/>
    </row>
    <row r="58" spans="1:47" x14ac:dyDescent="0.25">
      <c r="A58" s="54" t="s">
        <v>38</v>
      </c>
      <c r="B58" s="4" t="s">
        <v>3</v>
      </c>
      <c r="C58" s="4"/>
      <c r="D58" s="5" t="s">
        <v>4</v>
      </c>
      <c r="E58" s="6" t="s">
        <v>5</v>
      </c>
      <c r="F58" s="7"/>
      <c r="G58" s="5" t="s">
        <v>6</v>
      </c>
      <c r="H58" s="5" t="s">
        <v>7</v>
      </c>
      <c r="I58" s="4" t="s">
        <v>8</v>
      </c>
      <c r="J58" s="8"/>
      <c r="K58" s="9" t="s">
        <v>9</v>
      </c>
      <c r="M58" s="54" t="s">
        <v>38</v>
      </c>
      <c r="N58" s="4" t="s">
        <v>3</v>
      </c>
      <c r="O58" s="4"/>
      <c r="P58" s="5" t="s">
        <v>4</v>
      </c>
      <c r="Q58" s="6" t="s">
        <v>5</v>
      </c>
      <c r="R58" s="7"/>
      <c r="S58" s="5" t="s">
        <v>6</v>
      </c>
      <c r="T58" s="5" t="s">
        <v>7</v>
      </c>
      <c r="U58" s="4" t="s">
        <v>8</v>
      </c>
      <c r="V58" s="8"/>
      <c r="W58" s="9" t="s">
        <v>9</v>
      </c>
      <c r="Y58" s="55" t="s">
        <v>38</v>
      </c>
      <c r="Z58" s="4" t="s">
        <v>3</v>
      </c>
      <c r="AA58" s="4"/>
      <c r="AB58" s="5" t="s">
        <v>4</v>
      </c>
      <c r="AC58" s="6" t="s">
        <v>5</v>
      </c>
      <c r="AD58" s="7"/>
      <c r="AE58" s="5" t="s">
        <v>6</v>
      </c>
      <c r="AF58" s="5" t="s">
        <v>7</v>
      </c>
      <c r="AG58" s="4" t="s">
        <v>8</v>
      </c>
      <c r="AH58" s="8"/>
      <c r="AI58" s="9" t="s">
        <v>9</v>
      </c>
      <c r="AK58" s="55" t="s">
        <v>38</v>
      </c>
      <c r="AL58" s="4" t="s">
        <v>3</v>
      </c>
      <c r="AM58" s="4"/>
      <c r="AN58" s="5" t="s">
        <v>4</v>
      </c>
      <c r="AO58" s="6" t="s">
        <v>5</v>
      </c>
      <c r="AP58" s="7"/>
      <c r="AQ58" s="5" t="s">
        <v>6</v>
      </c>
      <c r="AR58" s="5" t="s">
        <v>7</v>
      </c>
      <c r="AS58" s="4" t="s">
        <v>8</v>
      </c>
      <c r="AT58" s="8"/>
      <c r="AU58" s="9" t="s">
        <v>9</v>
      </c>
    </row>
    <row r="59" spans="1:47" ht="45.75" thickBot="1" x14ac:dyDescent="0.3">
      <c r="A59" s="54"/>
      <c r="B59" s="12" t="s">
        <v>10</v>
      </c>
      <c r="C59" s="12" t="s">
        <v>11</v>
      </c>
      <c r="D59" s="12" t="s">
        <v>12</v>
      </c>
      <c r="E59" s="12" t="s">
        <v>13</v>
      </c>
      <c r="F59" s="12" t="s">
        <v>14</v>
      </c>
      <c r="G59" s="12" t="s">
        <v>15</v>
      </c>
      <c r="H59" s="12" t="s">
        <v>16</v>
      </c>
      <c r="I59" s="12" t="s">
        <v>17</v>
      </c>
      <c r="J59" s="13" t="s">
        <v>18</v>
      </c>
      <c r="K59" s="14"/>
      <c r="M59" s="54"/>
      <c r="N59" s="12" t="s">
        <v>10</v>
      </c>
      <c r="O59" s="12" t="s">
        <v>11</v>
      </c>
      <c r="P59" s="12" t="s">
        <v>12</v>
      </c>
      <c r="Q59" s="12" t="s">
        <v>13</v>
      </c>
      <c r="R59" s="12" t="s">
        <v>14</v>
      </c>
      <c r="S59" s="12" t="s">
        <v>15</v>
      </c>
      <c r="T59" s="12" t="s">
        <v>16</v>
      </c>
      <c r="U59" s="12" t="s">
        <v>17</v>
      </c>
      <c r="V59" s="13" t="s">
        <v>18</v>
      </c>
      <c r="W59" s="14"/>
      <c r="Y59" s="56"/>
      <c r="Z59" s="12" t="s">
        <v>10</v>
      </c>
      <c r="AA59" s="12" t="s">
        <v>11</v>
      </c>
      <c r="AB59" s="12" t="s">
        <v>12</v>
      </c>
      <c r="AC59" s="12" t="s">
        <v>13</v>
      </c>
      <c r="AD59" s="12" t="s">
        <v>14</v>
      </c>
      <c r="AE59" s="12" t="s">
        <v>15</v>
      </c>
      <c r="AF59" s="12" t="s">
        <v>16</v>
      </c>
      <c r="AG59" s="12" t="s">
        <v>17</v>
      </c>
      <c r="AH59" s="13" t="s">
        <v>18</v>
      </c>
      <c r="AI59" s="14"/>
      <c r="AK59" s="56"/>
      <c r="AL59" s="12" t="s">
        <v>10</v>
      </c>
      <c r="AM59" s="12" t="s">
        <v>11</v>
      </c>
      <c r="AN59" s="12" t="s">
        <v>12</v>
      </c>
      <c r="AO59" s="12" t="s">
        <v>13</v>
      </c>
      <c r="AP59" s="12" t="s">
        <v>14</v>
      </c>
      <c r="AQ59" s="12" t="s">
        <v>15</v>
      </c>
      <c r="AR59" s="12" t="s">
        <v>16</v>
      </c>
      <c r="AS59" s="12" t="s">
        <v>17</v>
      </c>
      <c r="AT59" s="13" t="s">
        <v>18</v>
      </c>
      <c r="AU59" s="14"/>
    </row>
    <row r="60" spans="1:47" x14ac:dyDescent="0.25">
      <c r="A60" s="57" t="s">
        <v>39</v>
      </c>
      <c r="B60" s="58">
        <v>487</v>
      </c>
      <c r="C60" s="58">
        <v>46</v>
      </c>
      <c r="D60" s="58">
        <v>396</v>
      </c>
      <c r="E60" s="58">
        <v>131</v>
      </c>
      <c r="F60" s="58">
        <v>1598</v>
      </c>
      <c r="G60" s="58">
        <v>1722</v>
      </c>
      <c r="H60" s="58">
        <v>26</v>
      </c>
      <c r="I60" s="58">
        <v>2228</v>
      </c>
      <c r="J60" s="58">
        <v>1636</v>
      </c>
      <c r="K60" s="59">
        <f>SUM(B60:J60)</f>
        <v>8270</v>
      </c>
      <c r="M60" s="57" t="s">
        <v>39</v>
      </c>
      <c r="N60" s="58">
        <v>560</v>
      </c>
      <c r="O60" s="58">
        <v>22</v>
      </c>
      <c r="P60" s="58">
        <v>532</v>
      </c>
      <c r="Q60" s="58">
        <v>134</v>
      </c>
      <c r="R60" s="58">
        <v>1611</v>
      </c>
      <c r="S60" s="58">
        <v>11</v>
      </c>
      <c r="T60" s="58">
        <v>22</v>
      </c>
      <c r="U60" s="58">
        <v>1662</v>
      </c>
      <c r="V60" s="58">
        <v>1211</v>
      </c>
      <c r="W60" s="59">
        <f>SUM(N60:V60)</f>
        <v>5765</v>
      </c>
      <c r="Y60" s="57" t="s">
        <v>39</v>
      </c>
      <c r="Z60" s="60">
        <v>696</v>
      </c>
      <c r="AA60" s="60">
        <v>17</v>
      </c>
      <c r="AB60" s="60">
        <v>463</v>
      </c>
      <c r="AC60" s="60">
        <v>123</v>
      </c>
      <c r="AD60" s="60">
        <v>539</v>
      </c>
      <c r="AE60" s="60">
        <v>0</v>
      </c>
      <c r="AF60" s="60">
        <v>10</v>
      </c>
      <c r="AG60" s="60">
        <v>803</v>
      </c>
      <c r="AH60" s="60">
        <v>646</v>
      </c>
      <c r="AI60" s="61">
        <f>SUM(Z60:AH60)</f>
        <v>3297</v>
      </c>
      <c r="AK60" s="57" t="s">
        <v>39</v>
      </c>
      <c r="AL60" s="60">
        <v>225</v>
      </c>
      <c r="AM60" s="60">
        <v>7</v>
      </c>
      <c r="AN60" s="60">
        <v>171</v>
      </c>
      <c r="AO60" s="60">
        <v>119</v>
      </c>
      <c r="AP60" s="60">
        <v>420</v>
      </c>
      <c r="AQ60" s="60">
        <v>0</v>
      </c>
      <c r="AR60" s="60">
        <v>357</v>
      </c>
      <c r="AS60" s="60">
        <v>160</v>
      </c>
      <c r="AT60" s="60">
        <v>609</v>
      </c>
      <c r="AU60" s="61">
        <f>SUM(AL60:AT60)</f>
        <v>2068</v>
      </c>
    </row>
    <row r="61" spans="1:47" x14ac:dyDescent="0.25">
      <c r="A61" s="57" t="s">
        <v>40</v>
      </c>
      <c r="B61" s="58">
        <v>476</v>
      </c>
      <c r="C61" s="58">
        <v>50</v>
      </c>
      <c r="D61" s="58">
        <v>404</v>
      </c>
      <c r="E61" s="58">
        <v>191</v>
      </c>
      <c r="F61" s="58">
        <v>985</v>
      </c>
      <c r="G61" s="58">
        <v>1907</v>
      </c>
      <c r="H61" s="58">
        <v>52</v>
      </c>
      <c r="I61" s="58">
        <v>1948</v>
      </c>
      <c r="J61" s="58">
        <v>1356</v>
      </c>
      <c r="K61" s="59">
        <f t="shared" ref="K61:K67" si="36">SUM(B61:J61)</f>
        <v>7369</v>
      </c>
      <c r="M61" s="57" t="s">
        <v>40</v>
      </c>
      <c r="N61" s="58">
        <v>609</v>
      </c>
      <c r="O61" s="58">
        <v>33</v>
      </c>
      <c r="P61" s="58">
        <v>662</v>
      </c>
      <c r="Q61" s="58">
        <v>108</v>
      </c>
      <c r="R61" s="58">
        <v>1931</v>
      </c>
      <c r="S61" s="58">
        <v>13</v>
      </c>
      <c r="T61" s="58">
        <v>12</v>
      </c>
      <c r="U61" s="58">
        <v>1627</v>
      </c>
      <c r="V61" s="58">
        <v>1153</v>
      </c>
      <c r="W61" s="59">
        <f t="shared" ref="W61:W67" si="37">SUM(N61:V61)</f>
        <v>6148</v>
      </c>
      <c r="Y61" s="57" t="s">
        <v>40</v>
      </c>
      <c r="Z61" s="60">
        <v>677</v>
      </c>
      <c r="AA61" s="60">
        <v>24</v>
      </c>
      <c r="AB61" s="60">
        <v>491</v>
      </c>
      <c r="AC61" s="60">
        <v>117</v>
      </c>
      <c r="AD61" s="60">
        <v>658</v>
      </c>
      <c r="AE61" s="60">
        <v>1</v>
      </c>
      <c r="AF61" s="60">
        <v>35</v>
      </c>
      <c r="AG61" s="60">
        <v>824</v>
      </c>
      <c r="AH61" s="60">
        <v>635</v>
      </c>
      <c r="AI61" s="61">
        <f t="shared" ref="AI61:AI71" si="38">SUM(Z61:AH61)</f>
        <v>3462</v>
      </c>
      <c r="AK61" s="57" t="s">
        <v>40</v>
      </c>
      <c r="AL61" s="60">
        <v>515</v>
      </c>
      <c r="AM61" s="60">
        <v>14</v>
      </c>
      <c r="AN61" s="60">
        <v>368</v>
      </c>
      <c r="AO61" s="60">
        <v>92</v>
      </c>
      <c r="AP61" s="60">
        <v>410</v>
      </c>
      <c r="AQ61" s="60">
        <v>0</v>
      </c>
      <c r="AR61" s="60">
        <v>50</v>
      </c>
      <c r="AS61" s="60">
        <v>385</v>
      </c>
      <c r="AT61" s="60">
        <v>458</v>
      </c>
      <c r="AU61" s="61">
        <f t="shared" ref="AU61:AU71" si="39">SUM(AL61:AT61)</f>
        <v>2292</v>
      </c>
    </row>
    <row r="62" spans="1:47" x14ac:dyDescent="0.25">
      <c r="A62" s="57" t="s">
        <v>41</v>
      </c>
      <c r="B62" s="58">
        <v>220</v>
      </c>
      <c r="C62" s="58">
        <v>50</v>
      </c>
      <c r="D62" s="58">
        <v>209</v>
      </c>
      <c r="E62" s="58">
        <v>69</v>
      </c>
      <c r="F62" s="58">
        <v>873</v>
      </c>
      <c r="G62" s="58">
        <v>1653</v>
      </c>
      <c r="H62" s="58">
        <v>25</v>
      </c>
      <c r="I62" s="58">
        <v>1531</v>
      </c>
      <c r="J62" s="58">
        <v>1157</v>
      </c>
      <c r="K62" s="59">
        <f t="shared" si="36"/>
        <v>5787</v>
      </c>
      <c r="M62" s="57" t="s">
        <v>41</v>
      </c>
      <c r="N62" s="58">
        <v>734</v>
      </c>
      <c r="O62" s="58">
        <v>32</v>
      </c>
      <c r="P62" s="58">
        <v>686</v>
      </c>
      <c r="Q62" s="58">
        <v>82</v>
      </c>
      <c r="R62" s="58">
        <v>1700</v>
      </c>
      <c r="S62" s="58">
        <v>87</v>
      </c>
      <c r="T62" s="58">
        <v>14</v>
      </c>
      <c r="U62" s="58">
        <v>1828</v>
      </c>
      <c r="V62" s="58">
        <v>1368</v>
      </c>
      <c r="W62" s="59">
        <f t="shared" si="37"/>
        <v>6531</v>
      </c>
      <c r="X62" s="46"/>
      <c r="Y62" s="57" t="s">
        <v>41</v>
      </c>
      <c r="Z62" s="60">
        <v>593</v>
      </c>
      <c r="AA62" s="60">
        <v>25</v>
      </c>
      <c r="AB62" s="60">
        <v>528</v>
      </c>
      <c r="AC62" s="60">
        <v>85</v>
      </c>
      <c r="AD62" s="60">
        <v>745</v>
      </c>
      <c r="AE62" s="60">
        <v>2</v>
      </c>
      <c r="AF62" s="60">
        <v>15</v>
      </c>
      <c r="AG62" s="60">
        <v>840</v>
      </c>
      <c r="AH62" s="60">
        <v>623</v>
      </c>
      <c r="AI62" s="61">
        <f t="shared" si="38"/>
        <v>3456</v>
      </c>
      <c r="AK62" s="57" t="s">
        <v>41</v>
      </c>
      <c r="AL62" s="60">
        <v>516</v>
      </c>
      <c r="AM62" s="60">
        <v>19</v>
      </c>
      <c r="AN62" s="60">
        <v>359</v>
      </c>
      <c r="AO62" s="60">
        <v>122</v>
      </c>
      <c r="AP62" s="60">
        <v>458</v>
      </c>
      <c r="AQ62" s="60">
        <v>0</v>
      </c>
      <c r="AR62" s="60">
        <v>54</v>
      </c>
      <c r="AS62" s="60">
        <v>482</v>
      </c>
      <c r="AT62" s="60">
        <v>652</v>
      </c>
      <c r="AU62" s="61">
        <f t="shared" si="39"/>
        <v>2662</v>
      </c>
    </row>
    <row r="63" spans="1:47" x14ac:dyDescent="0.25">
      <c r="A63" s="57" t="s">
        <v>42</v>
      </c>
      <c r="B63" s="58">
        <v>210</v>
      </c>
      <c r="C63" s="58">
        <v>35</v>
      </c>
      <c r="D63" s="58">
        <v>270</v>
      </c>
      <c r="E63" s="58">
        <v>52</v>
      </c>
      <c r="F63" s="58">
        <v>1224</v>
      </c>
      <c r="G63" s="58">
        <v>1435</v>
      </c>
      <c r="H63" s="58">
        <v>321</v>
      </c>
      <c r="I63" s="58">
        <v>1596</v>
      </c>
      <c r="J63" s="58">
        <v>1055</v>
      </c>
      <c r="K63" s="59">
        <f t="shared" si="36"/>
        <v>6198</v>
      </c>
      <c r="M63" s="57" t="s">
        <v>42</v>
      </c>
      <c r="N63" s="58">
        <v>544</v>
      </c>
      <c r="O63" s="58">
        <v>21</v>
      </c>
      <c r="P63" s="58">
        <v>733</v>
      </c>
      <c r="Q63" s="58">
        <v>126</v>
      </c>
      <c r="R63" s="58">
        <v>1833</v>
      </c>
      <c r="S63" s="58">
        <v>175</v>
      </c>
      <c r="T63" s="58">
        <v>28</v>
      </c>
      <c r="U63" s="58">
        <v>2063</v>
      </c>
      <c r="V63" s="58">
        <v>1576</v>
      </c>
      <c r="W63" s="59">
        <f t="shared" si="37"/>
        <v>7099</v>
      </c>
      <c r="Y63" s="57" t="s">
        <v>42</v>
      </c>
      <c r="Z63" s="60">
        <v>524</v>
      </c>
      <c r="AA63" s="60">
        <v>25</v>
      </c>
      <c r="AB63" s="60">
        <v>355</v>
      </c>
      <c r="AC63" s="60">
        <v>47</v>
      </c>
      <c r="AD63" s="60">
        <v>709</v>
      </c>
      <c r="AE63" s="60">
        <v>8</v>
      </c>
      <c r="AF63" s="60">
        <v>20</v>
      </c>
      <c r="AG63" s="60">
        <v>886</v>
      </c>
      <c r="AH63" s="60">
        <v>588</v>
      </c>
      <c r="AI63" s="61">
        <f t="shared" si="38"/>
        <v>3162</v>
      </c>
      <c r="AK63" s="57" t="s">
        <v>42</v>
      </c>
      <c r="AL63" s="60">
        <v>511</v>
      </c>
      <c r="AM63" s="60">
        <v>19</v>
      </c>
      <c r="AN63" s="60">
        <v>308</v>
      </c>
      <c r="AO63" s="60">
        <v>110</v>
      </c>
      <c r="AP63" s="60">
        <v>455</v>
      </c>
      <c r="AQ63" s="60">
        <v>0</v>
      </c>
      <c r="AR63" s="60">
        <v>38</v>
      </c>
      <c r="AS63" s="60">
        <v>426</v>
      </c>
      <c r="AT63" s="60">
        <v>424</v>
      </c>
      <c r="AU63" s="61">
        <f t="shared" si="39"/>
        <v>2291</v>
      </c>
    </row>
    <row r="64" spans="1:47" x14ac:dyDescent="0.25">
      <c r="A64" s="57" t="s">
        <v>43</v>
      </c>
      <c r="B64" s="58">
        <v>5</v>
      </c>
      <c r="C64" s="58">
        <v>1</v>
      </c>
      <c r="D64" s="58">
        <v>109</v>
      </c>
      <c r="E64" s="58">
        <v>3</v>
      </c>
      <c r="F64" s="58">
        <v>215</v>
      </c>
      <c r="G64" s="58">
        <v>306</v>
      </c>
      <c r="H64" s="58">
        <v>45</v>
      </c>
      <c r="I64" s="58">
        <v>138</v>
      </c>
      <c r="J64" s="58">
        <v>70</v>
      </c>
      <c r="K64" s="59">
        <f t="shared" si="36"/>
        <v>892</v>
      </c>
      <c r="M64" s="57" t="s">
        <v>43</v>
      </c>
      <c r="N64" s="58">
        <v>674</v>
      </c>
      <c r="O64" s="58">
        <v>30</v>
      </c>
      <c r="P64" s="58">
        <v>838</v>
      </c>
      <c r="Q64" s="58">
        <v>101</v>
      </c>
      <c r="R64" s="58">
        <v>2180</v>
      </c>
      <c r="S64" s="58">
        <v>255</v>
      </c>
      <c r="T64" s="58">
        <v>56</v>
      </c>
      <c r="U64" s="58">
        <v>2410</v>
      </c>
      <c r="V64" s="58">
        <v>1745</v>
      </c>
      <c r="W64" s="59">
        <f t="shared" si="37"/>
        <v>8289</v>
      </c>
      <c r="Y64" s="57" t="s">
        <v>43</v>
      </c>
      <c r="Z64" s="60">
        <v>785</v>
      </c>
      <c r="AA64" s="60">
        <v>36</v>
      </c>
      <c r="AB64" s="60">
        <v>479</v>
      </c>
      <c r="AC64" s="60">
        <v>58</v>
      </c>
      <c r="AD64" s="60">
        <v>945</v>
      </c>
      <c r="AE64" s="60">
        <v>5</v>
      </c>
      <c r="AF64" s="60">
        <v>8</v>
      </c>
      <c r="AG64" s="60">
        <v>1051</v>
      </c>
      <c r="AH64" s="60">
        <v>660</v>
      </c>
      <c r="AI64" s="61">
        <f t="shared" si="38"/>
        <v>4027</v>
      </c>
      <c r="AK64" s="57" t="s">
        <v>43</v>
      </c>
      <c r="AL64" s="60">
        <v>447</v>
      </c>
      <c r="AM64" s="60">
        <v>15</v>
      </c>
      <c r="AN64" s="60">
        <v>356</v>
      </c>
      <c r="AO64" s="60">
        <v>84</v>
      </c>
      <c r="AP64" s="60">
        <v>606</v>
      </c>
      <c r="AQ64" s="60">
        <v>0</v>
      </c>
      <c r="AR64" s="60">
        <v>65</v>
      </c>
      <c r="AS64" s="60">
        <v>452</v>
      </c>
      <c r="AT64" s="60">
        <v>445</v>
      </c>
      <c r="AU64" s="61">
        <f t="shared" si="39"/>
        <v>2470</v>
      </c>
    </row>
    <row r="65" spans="1:47" x14ac:dyDescent="0.25">
      <c r="A65" s="57" t="s">
        <v>44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9">
        <f t="shared" si="36"/>
        <v>0</v>
      </c>
      <c r="M65" s="57" t="s">
        <v>44</v>
      </c>
      <c r="N65" s="58">
        <v>676</v>
      </c>
      <c r="O65" s="58">
        <v>29</v>
      </c>
      <c r="P65" s="58">
        <v>496</v>
      </c>
      <c r="Q65" s="58">
        <v>75</v>
      </c>
      <c r="R65" s="58">
        <v>2118</v>
      </c>
      <c r="S65" s="58">
        <v>200</v>
      </c>
      <c r="T65" s="58">
        <v>29</v>
      </c>
      <c r="U65" s="58">
        <v>2142</v>
      </c>
      <c r="V65" s="58">
        <v>1608</v>
      </c>
      <c r="W65" s="59">
        <f t="shared" si="37"/>
        <v>7373</v>
      </c>
      <c r="Y65" s="57" t="s">
        <v>44</v>
      </c>
      <c r="Z65" s="60">
        <v>515</v>
      </c>
      <c r="AA65" s="60">
        <v>33</v>
      </c>
      <c r="AB65" s="60">
        <v>472</v>
      </c>
      <c r="AC65" s="60">
        <v>47</v>
      </c>
      <c r="AD65" s="60">
        <v>793</v>
      </c>
      <c r="AE65" s="60">
        <v>1</v>
      </c>
      <c r="AF65" s="60">
        <v>7</v>
      </c>
      <c r="AG65" s="60">
        <v>886</v>
      </c>
      <c r="AH65" s="60">
        <v>650</v>
      </c>
      <c r="AI65" s="61">
        <f t="shared" si="38"/>
        <v>3404</v>
      </c>
      <c r="AK65" s="57" t="s">
        <v>44</v>
      </c>
      <c r="AL65" s="60">
        <v>481</v>
      </c>
      <c r="AM65" s="60">
        <v>40</v>
      </c>
      <c r="AN65" s="60">
        <v>246</v>
      </c>
      <c r="AO65" s="60">
        <v>51</v>
      </c>
      <c r="AP65" s="60">
        <v>452</v>
      </c>
      <c r="AQ65" s="60">
        <v>0</v>
      </c>
      <c r="AR65" s="60">
        <v>32</v>
      </c>
      <c r="AS65" s="60">
        <v>416</v>
      </c>
      <c r="AT65" s="60">
        <v>368</v>
      </c>
      <c r="AU65" s="61">
        <f t="shared" si="39"/>
        <v>2086</v>
      </c>
    </row>
    <row r="66" spans="1:47" x14ac:dyDescent="0.25">
      <c r="A66" s="57" t="s">
        <v>45</v>
      </c>
      <c r="B66" s="58">
        <v>0</v>
      </c>
      <c r="C66" s="58">
        <v>0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9">
        <f t="shared" si="36"/>
        <v>0</v>
      </c>
      <c r="M66" s="57" t="s">
        <v>45</v>
      </c>
      <c r="N66" s="58">
        <v>541</v>
      </c>
      <c r="O66" s="58">
        <v>23</v>
      </c>
      <c r="P66" s="58">
        <v>658</v>
      </c>
      <c r="Q66" s="58">
        <v>127</v>
      </c>
      <c r="R66" s="58">
        <v>2349</v>
      </c>
      <c r="S66" s="58">
        <v>307</v>
      </c>
      <c r="T66" s="58">
        <v>23</v>
      </c>
      <c r="U66" s="58">
        <v>2405</v>
      </c>
      <c r="V66" s="58">
        <v>1727</v>
      </c>
      <c r="W66" s="59">
        <f t="shared" si="37"/>
        <v>8160</v>
      </c>
      <c r="Y66" s="57" t="s">
        <v>45</v>
      </c>
      <c r="Z66" s="60">
        <v>696</v>
      </c>
      <c r="AA66" s="60">
        <v>17</v>
      </c>
      <c r="AB66" s="60">
        <v>434</v>
      </c>
      <c r="AC66" s="60">
        <v>86</v>
      </c>
      <c r="AD66" s="60">
        <v>954</v>
      </c>
      <c r="AE66" s="60">
        <v>3</v>
      </c>
      <c r="AF66" s="60">
        <v>14</v>
      </c>
      <c r="AG66" s="60">
        <v>1012</v>
      </c>
      <c r="AH66" s="60">
        <v>831</v>
      </c>
      <c r="AI66" s="61">
        <f t="shared" si="38"/>
        <v>4047</v>
      </c>
      <c r="AK66" s="57" t="s">
        <v>45</v>
      </c>
      <c r="AL66" s="60">
        <v>550</v>
      </c>
      <c r="AM66" s="60">
        <v>14</v>
      </c>
      <c r="AN66" s="60">
        <v>351</v>
      </c>
      <c r="AO66" s="60">
        <v>107</v>
      </c>
      <c r="AP66" s="60">
        <v>486</v>
      </c>
      <c r="AQ66" s="60">
        <v>0</v>
      </c>
      <c r="AR66" s="60">
        <v>29</v>
      </c>
      <c r="AS66" s="60">
        <v>479</v>
      </c>
      <c r="AT66" s="60">
        <v>467</v>
      </c>
      <c r="AU66" s="61">
        <f t="shared" si="39"/>
        <v>2483</v>
      </c>
    </row>
    <row r="67" spans="1:47" x14ac:dyDescent="0.25">
      <c r="A67" s="57" t="s">
        <v>46</v>
      </c>
      <c r="B67" s="58">
        <v>0</v>
      </c>
      <c r="C67" s="58">
        <v>0</v>
      </c>
      <c r="D67" s="58">
        <v>0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9">
        <f t="shared" si="36"/>
        <v>0</v>
      </c>
      <c r="M67" s="57" t="s">
        <v>46</v>
      </c>
      <c r="N67" s="58">
        <v>451</v>
      </c>
      <c r="O67" s="58">
        <v>23</v>
      </c>
      <c r="P67" s="58">
        <v>591</v>
      </c>
      <c r="Q67" s="58">
        <v>130</v>
      </c>
      <c r="R67" s="58">
        <v>1944</v>
      </c>
      <c r="S67" s="58">
        <v>535</v>
      </c>
      <c r="T67" s="58">
        <v>44</v>
      </c>
      <c r="U67" s="58">
        <v>2123</v>
      </c>
      <c r="V67" s="58">
        <v>1490</v>
      </c>
      <c r="W67" s="59">
        <f t="shared" si="37"/>
        <v>7331</v>
      </c>
      <c r="Y67" s="57" t="s">
        <v>46</v>
      </c>
      <c r="Z67" s="60">
        <v>544</v>
      </c>
      <c r="AA67" s="60">
        <v>28</v>
      </c>
      <c r="AB67" s="60">
        <v>478</v>
      </c>
      <c r="AC67" s="60">
        <v>91</v>
      </c>
      <c r="AD67" s="60">
        <v>992</v>
      </c>
      <c r="AE67" s="60">
        <v>3</v>
      </c>
      <c r="AF67" s="60">
        <v>61</v>
      </c>
      <c r="AG67" s="60">
        <v>1027</v>
      </c>
      <c r="AH67" s="60">
        <v>820</v>
      </c>
      <c r="AI67" s="61">
        <f t="shared" si="38"/>
        <v>4044</v>
      </c>
      <c r="AK67" s="57" t="s">
        <v>46</v>
      </c>
      <c r="AL67" s="60">
        <v>618</v>
      </c>
      <c r="AM67" s="60">
        <v>22</v>
      </c>
      <c r="AN67" s="60">
        <v>577</v>
      </c>
      <c r="AO67" s="60">
        <v>105</v>
      </c>
      <c r="AP67" s="60">
        <v>576</v>
      </c>
      <c r="AQ67" s="60">
        <v>0</v>
      </c>
      <c r="AR67" s="60">
        <v>16</v>
      </c>
      <c r="AS67" s="60">
        <v>576</v>
      </c>
      <c r="AT67" s="60">
        <v>522</v>
      </c>
      <c r="AU67" s="61">
        <f t="shared" si="39"/>
        <v>3012</v>
      </c>
    </row>
    <row r="68" spans="1:47" x14ac:dyDescent="0.25">
      <c r="A68" s="57" t="s">
        <v>47</v>
      </c>
      <c r="B68" s="58">
        <v>0</v>
      </c>
      <c r="C68" s="58">
        <v>0</v>
      </c>
      <c r="D68" s="58">
        <v>0</v>
      </c>
      <c r="E68" s="58">
        <v>0</v>
      </c>
      <c r="F68" s="58">
        <v>0</v>
      </c>
      <c r="G68" s="58">
        <v>0</v>
      </c>
      <c r="H68" s="58">
        <v>0</v>
      </c>
      <c r="I68" s="58">
        <v>0</v>
      </c>
      <c r="J68" s="58">
        <v>0</v>
      </c>
      <c r="K68" s="59">
        <f>SUM(B68:J68)</f>
        <v>0</v>
      </c>
      <c r="M68" s="57" t="s">
        <v>47</v>
      </c>
      <c r="N68" s="58">
        <v>444</v>
      </c>
      <c r="O68" s="58">
        <v>46</v>
      </c>
      <c r="P68" s="58">
        <v>535</v>
      </c>
      <c r="Q68" s="58">
        <v>87</v>
      </c>
      <c r="R68" s="58">
        <v>1955</v>
      </c>
      <c r="S68" s="58">
        <v>533</v>
      </c>
      <c r="T68" s="58">
        <v>28</v>
      </c>
      <c r="U68" s="58">
        <v>2214</v>
      </c>
      <c r="V68" s="58">
        <v>1743</v>
      </c>
      <c r="W68" s="59">
        <f>SUM(N68:V68)</f>
        <v>7585</v>
      </c>
      <c r="Y68" s="57" t="s">
        <v>47</v>
      </c>
      <c r="Z68" s="60">
        <v>542</v>
      </c>
      <c r="AA68" s="60">
        <v>18</v>
      </c>
      <c r="AB68" s="60">
        <v>471</v>
      </c>
      <c r="AC68" s="60">
        <v>50</v>
      </c>
      <c r="AD68" s="60">
        <v>938</v>
      </c>
      <c r="AE68" s="60">
        <v>0</v>
      </c>
      <c r="AF68" s="60">
        <v>24</v>
      </c>
      <c r="AG68" s="60">
        <v>1274</v>
      </c>
      <c r="AH68" s="60">
        <v>867</v>
      </c>
      <c r="AI68" s="61">
        <f t="shared" si="38"/>
        <v>4184</v>
      </c>
      <c r="AK68" s="57" t="s">
        <v>47</v>
      </c>
      <c r="AL68" s="60">
        <v>410</v>
      </c>
      <c r="AM68" s="60">
        <v>46</v>
      </c>
      <c r="AN68" s="60">
        <v>418</v>
      </c>
      <c r="AO68" s="60">
        <v>144</v>
      </c>
      <c r="AP68" s="60">
        <v>508</v>
      </c>
      <c r="AQ68" s="60">
        <v>0</v>
      </c>
      <c r="AR68" s="60">
        <v>15</v>
      </c>
      <c r="AS68" s="60">
        <v>719</v>
      </c>
      <c r="AT68" s="60">
        <v>444</v>
      </c>
      <c r="AU68" s="61">
        <f t="shared" si="39"/>
        <v>2704</v>
      </c>
    </row>
    <row r="69" spans="1:47" x14ac:dyDescent="0.25">
      <c r="A69" s="57" t="s">
        <v>48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9">
        <f>SUM(B69:J69)</f>
        <v>0</v>
      </c>
      <c r="M69" s="57" t="s">
        <v>48</v>
      </c>
      <c r="N69" s="58">
        <v>513</v>
      </c>
      <c r="O69" s="58">
        <v>27</v>
      </c>
      <c r="P69" s="58">
        <v>576</v>
      </c>
      <c r="Q69" s="58">
        <v>109</v>
      </c>
      <c r="R69" s="58">
        <v>1977</v>
      </c>
      <c r="S69" s="58">
        <v>903</v>
      </c>
      <c r="T69" s="58">
        <v>50</v>
      </c>
      <c r="U69" s="58">
        <v>2449</v>
      </c>
      <c r="V69" s="58">
        <v>1665</v>
      </c>
      <c r="W69" s="59">
        <f>SUM(N69:V69)</f>
        <v>8269</v>
      </c>
      <c r="Y69" s="57" t="s">
        <v>48</v>
      </c>
      <c r="Z69" s="60">
        <v>521</v>
      </c>
      <c r="AA69" s="60">
        <v>23</v>
      </c>
      <c r="AB69" s="60">
        <v>567</v>
      </c>
      <c r="AC69" s="60">
        <v>73</v>
      </c>
      <c r="AD69" s="60">
        <v>1066</v>
      </c>
      <c r="AE69" s="60">
        <v>0</v>
      </c>
      <c r="AF69" s="60">
        <v>17</v>
      </c>
      <c r="AG69" s="60">
        <v>1230</v>
      </c>
      <c r="AH69" s="60">
        <v>944</v>
      </c>
      <c r="AI69" s="61">
        <f t="shared" si="38"/>
        <v>4441</v>
      </c>
      <c r="AK69" s="57" t="s">
        <v>48</v>
      </c>
      <c r="AL69" s="60">
        <v>525</v>
      </c>
      <c r="AM69" s="60">
        <v>49</v>
      </c>
      <c r="AN69" s="60">
        <v>507</v>
      </c>
      <c r="AO69" s="60">
        <v>103</v>
      </c>
      <c r="AP69" s="60">
        <v>670</v>
      </c>
      <c r="AQ69" s="60">
        <v>0</v>
      </c>
      <c r="AR69" s="60">
        <v>14</v>
      </c>
      <c r="AS69" s="60">
        <v>554</v>
      </c>
      <c r="AT69" s="60">
        <v>483</v>
      </c>
      <c r="AU69" s="61">
        <f t="shared" si="39"/>
        <v>2905</v>
      </c>
    </row>
    <row r="70" spans="1:47" x14ac:dyDescent="0.25">
      <c r="A70" s="57" t="s">
        <v>49</v>
      </c>
      <c r="B70" s="58">
        <v>0</v>
      </c>
      <c r="C70" s="58">
        <v>0</v>
      </c>
      <c r="D70" s="58">
        <v>0</v>
      </c>
      <c r="E70" s="58">
        <v>0</v>
      </c>
      <c r="F70" s="58">
        <v>0</v>
      </c>
      <c r="G70" s="58">
        <v>0</v>
      </c>
      <c r="H70" s="58">
        <v>0</v>
      </c>
      <c r="I70" s="58">
        <v>0</v>
      </c>
      <c r="J70" s="58">
        <v>0</v>
      </c>
      <c r="K70" s="59">
        <f>SUM(B70:J70)</f>
        <v>0</v>
      </c>
      <c r="M70" s="57" t="s">
        <v>49</v>
      </c>
      <c r="N70" s="58">
        <v>470</v>
      </c>
      <c r="O70" s="58">
        <v>55</v>
      </c>
      <c r="P70" s="58">
        <v>668</v>
      </c>
      <c r="Q70" s="58">
        <v>114</v>
      </c>
      <c r="R70" s="58">
        <v>1658</v>
      </c>
      <c r="S70" s="58">
        <v>1104</v>
      </c>
      <c r="T70" s="58">
        <v>44</v>
      </c>
      <c r="U70" s="58">
        <v>2202</v>
      </c>
      <c r="V70" s="58">
        <v>1407</v>
      </c>
      <c r="W70" s="59">
        <f>SUM(N70:V70)</f>
        <v>7722</v>
      </c>
      <c r="Y70" s="57" t="s">
        <v>49</v>
      </c>
      <c r="Z70" s="60">
        <v>713</v>
      </c>
      <c r="AA70" s="60">
        <v>30</v>
      </c>
      <c r="AB70" s="60">
        <v>594</v>
      </c>
      <c r="AC70" s="60">
        <v>83</v>
      </c>
      <c r="AD70" s="60">
        <v>1189</v>
      </c>
      <c r="AE70" s="60">
        <v>7</v>
      </c>
      <c r="AF70" s="60">
        <v>14</v>
      </c>
      <c r="AG70" s="60">
        <v>1437</v>
      </c>
      <c r="AH70" s="60">
        <v>898</v>
      </c>
      <c r="AI70" s="61">
        <f t="shared" si="38"/>
        <v>4965</v>
      </c>
      <c r="AK70" s="57" t="s">
        <v>49</v>
      </c>
      <c r="AL70" s="60">
        <v>631</v>
      </c>
      <c r="AM70" s="60">
        <v>23</v>
      </c>
      <c r="AN70" s="60">
        <v>545</v>
      </c>
      <c r="AO70" s="60">
        <v>99</v>
      </c>
      <c r="AP70" s="60">
        <v>574</v>
      </c>
      <c r="AQ70" s="60">
        <v>1</v>
      </c>
      <c r="AR70" s="60">
        <v>18</v>
      </c>
      <c r="AS70" s="60">
        <v>646</v>
      </c>
      <c r="AT70" s="60">
        <v>574</v>
      </c>
      <c r="AU70" s="61">
        <f t="shared" si="39"/>
        <v>3111</v>
      </c>
    </row>
    <row r="71" spans="1:47" x14ac:dyDescent="0.25">
      <c r="A71" s="57" t="s">
        <v>50</v>
      </c>
      <c r="B71" s="58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9">
        <f>SUM(B71:J71)</f>
        <v>0</v>
      </c>
      <c r="M71" s="57" t="s">
        <v>50</v>
      </c>
      <c r="N71" s="58">
        <v>506</v>
      </c>
      <c r="O71" s="58">
        <v>48</v>
      </c>
      <c r="P71" s="58">
        <v>445</v>
      </c>
      <c r="Q71" s="58">
        <v>123</v>
      </c>
      <c r="R71" s="58">
        <v>1726</v>
      </c>
      <c r="S71" s="58">
        <v>1233</v>
      </c>
      <c r="T71" s="58">
        <v>70</v>
      </c>
      <c r="U71" s="58">
        <v>2290</v>
      </c>
      <c r="V71" s="58">
        <v>1653</v>
      </c>
      <c r="W71" s="59">
        <f>SUM(N71:V71)</f>
        <v>8094</v>
      </c>
      <c r="Y71" s="57" t="s">
        <v>50</v>
      </c>
      <c r="Z71" s="60">
        <v>565</v>
      </c>
      <c r="AA71" s="60">
        <v>26</v>
      </c>
      <c r="AB71" s="60">
        <v>523</v>
      </c>
      <c r="AC71" s="60">
        <v>93</v>
      </c>
      <c r="AD71" s="60">
        <v>1266</v>
      </c>
      <c r="AE71" s="60">
        <v>17</v>
      </c>
      <c r="AF71" s="60">
        <v>29</v>
      </c>
      <c r="AG71" s="60">
        <v>1429</v>
      </c>
      <c r="AH71" s="60">
        <v>1047</v>
      </c>
      <c r="AI71" s="61">
        <f t="shared" si="38"/>
        <v>4995</v>
      </c>
      <c r="AK71" s="57" t="s">
        <v>50</v>
      </c>
      <c r="AL71" s="60">
        <v>694</v>
      </c>
      <c r="AM71" s="60">
        <v>69</v>
      </c>
      <c r="AN71" s="60">
        <v>432</v>
      </c>
      <c r="AO71" s="60">
        <v>84</v>
      </c>
      <c r="AP71" s="60">
        <v>636</v>
      </c>
      <c r="AQ71" s="60">
        <v>0</v>
      </c>
      <c r="AR71" s="60">
        <v>10</v>
      </c>
      <c r="AS71" s="60">
        <v>763</v>
      </c>
      <c r="AT71" s="60">
        <v>552</v>
      </c>
      <c r="AU71" s="61">
        <f t="shared" si="39"/>
        <v>3240</v>
      </c>
    </row>
    <row r="72" spans="1:47" s="47" customFormat="1" x14ac:dyDescent="0.25">
      <c r="A72" s="62" t="s">
        <v>9</v>
      </c>
      <c r="B72" s="63">
        <f>SUM(B60:B71)</f>
        <v>1398</v>
      </c>
      <c r="C72" s="63">
        <f t="shared" ref="C72:K72" si="40">SUM(C60:C71)</f>
        <v>182</v>
      </c>
      <c r="D72" s="63">
        <f t="shared" si="40"/>
        <v>1388</v>
      </c>
      <c r="E72" s="63">
        <f t="shared" si="40"/>
        <v>446</v>
      </c>
      <c r="F72" s="63">
        <f t="shared" si="40"/>
        <v>4895</v>
      </c>
      <c r="G72" s="63">
        <f t="shared" si="40"/>
        <v>7023</v>
      </c>
      <c r="H72" s="63">
        <f t="shared" si="40"/>
        <v>469</v>
      </c>
      <c r="I72" s="63">
        <f t="shared" si="40"/>
        <v>7441</v>
      </c>
      <c r="J72" s="63">
        <f t="shared" si="40"/>
        <v>5274</v>
      </c>
      <c r="K72" s="63">
        <f t="shared" si="40"/>
        <v>28516</v>
      </c>
      <c r="M72" s="62" t="s">
        <v>9</v>
      </c>
      <c r="N72" s="63">
        <f>SUM(N60:N71)</f>
        <v>6722</v>
      </c>
      <c r="O72" s="63">
        <f t="shared" ref="O72:W72" si="41">SUM(O60:O71)</f>
        <v>389</v>
      </c>
      <c r="P72" s="63">
        <f t="shared" si="41"/>
        <v>7420</v>
      </c>
      <c r="Q72" s="63">
        <f t="shared" si="41"/>
        <v>1316</v>
      </c>
      <c r="R72" s="63">
        <f t="shared" si="41"/>
        <v>22982</v>
      </c>
      <c r="S72" s="63">
        <f t="shared" si="41"/>
        <v>5356</v>
      </c>
      <c r="T72" s="63">
        <f t="shared" si="41"/>
        <v>420</v>
      </c>
      <c r="U72" s="63">
        <f t="shared" si="41"/>
        <v>25415</v>
      </c>
      <c r="V72" s="63">
        <f t="shared" si="41"/>
        <v>18346</v>
      </c>
      <c r="W72" s="63">
        <f t="shared" si="41"/>
        <v>88366</v>
      </c>
      <c r="Y72" s="62" t="s">
        <v>9</v>
      </c>
      <c r="Z72" s="63">
        <f>SUM(Z60:Z71)</f>
        <v>7371</v>
      </c>
      <c r="AA72" s="63">
        <f t="shared" ref="AA72:AI72" si="42">SUM(AA60:AA71)</f>
        <v>302</v>
      </c>
      <c r="AB72" s="63">
        <f t="shared" si="42"/>
        <v>5855</v>
      </c>
      <c r="AC72" s="63">
        <f t="shared" si="42"/>
        <v>953</v>
      </c>
      <c r="AD72" s="63">
        <f t="shared" si="42"/>
        <v>10794</v>
      </c>
      <c r="AE72" s="63">
        <f t="shared" si="42"/>
        <v>47</v>
      </c>
      <c r="AF72" s="63">
        <f t="shared" si="42"/>
        <v>254</v>
      </c>
      <c r="AG72" s="63">
        <f t="shared" si="42"/>
        <v>12699</v>
      </c>
      <c r="AH72" s="63">
        <f t="shared" si="42"/>
        <v>9209</v>
      </c>
      <c r="AI72" s="63">
        <f t="shared" si="42"/>
        <v>47484</v>
      </c>
      <c r="AK72" s="62" t="s">
        <v>9</v>
      </c>
      <c r="AL72" s="63">
        <f>SUM(AL60:AL71)</f>
        <v>6123</v>
      </c>
      <c r="AM72" s="63">
        <f t="shared" ref="AM72:AU72" si="43">SUM(AM60:AM71)</f>
        <v>337</v>
      </c>
      <c r="AN72" s="63">
        <f t="shared" si="43"/>
        <v>4638</v>
      </c>
      <c r="AO72" s="63">
        <f t="shared" si="43"/>
        <v>1220</v>
      </c>
      <c r="AP72" s="63">
        <f t="shared" si="43"/>
        <v>6251</v>
      </c>
      <c r="AQ72" s="63">
        <f t="shared" si="43"/>
        <v>1</v>
      </c>
      <c r="AR72" s="63">
        <f t="shared" si="43"/>
        <v>698</v>
      </c>
      <c r="AS72" s="63">
        <f t="shared" si="43"/>
        <v>6058</v>
      </c>
      <c r="AT72" s="63">
        <f t="shared" si="43"/>
        <v>5998</v>
      </c>
      <c r="AU72" s="63">
        <f t="shared" si="43"/>
        <v>31324</v>
      </c>
    </row>
    <row r="73" spans="1:47" s="47" customFormat="1" x14ac:dyDescent="0.25">
      <c r="A73" s="64" t="s">
        <v>55</v>
      </c>
      <c r="B73" s="65">
        <f t="shared" ref="B73:K73" si="44">B72/$K72</f>
        <v>4.9025108710899143E-2</v>
      </c>
      <c r="C73" s="65">
        <f t="shared" si="44"/>
        <v>6.3823818207322204E-3</v>
      </c>
      <c r="D73" s="65">
        <f t="shared" si="44"/>
        <v>4.8674428391078696E-2</v>
      </c>
      <c r="E73" s="65">
        <f t="shared" si="44"/>
        <v>1.5640342263992146E-2</v>
      </c>
      <c r="F73" s="65">
        <f t="shared" si="44"/>
        <v>0.1716580165521111</v>
      </c>
      <c r="G73" s="65">
        <f t="shared" si="44"/>
        <v>0.24628278860990321</v>
      </c>
      <c r="H73" s="65">
        <f t="shared" si="44"/>
        <v>1.6446906999579184E-2</v>
      </c>
      <c r="I73" s="65">
        <f t="shared" si="44"/>
        <v>0.26094122597839808</v>
      </c>
      <c r="J73" s="65">
        <f t="shared" si="44"/>
        <v>0.18494880067330621</v>
      </c>
      <c r="K73" s="65">
        <f t="shared" si="44"/>
        <v>1</v>
      </c>
      <c r="M73" s="64" t="s">
        <v>55</v>
      </c>
      <c r="N73" s="65">
        <f t="shared" ref="N73:W73" si="45">N72/$W72</f>
        <v>7.6069981667157047E-2</v>
      </c>
      <c r="O73" s="65">
        <f t="shared" si="45"/>
        <v>4.4021456216191751E-3</v>
      </c>
      <c r="P73" s="65">
        <f t="shared" si="45"/>
        <v>8.3968947332684521E-2</v>
      </c>
      <c r="Q73" s="65">
        <f t="shared" si="45"/>
        <v>1.4892605753344047E-2</v>
      </c>
      <c r="R73" s="65">
        <f t="shared" si="45"/>
        <v>0.26007740533689427</v>
      </c>
      <c r="S73" s="65">
        <f t="shared" si="45"/>
        <v>6.0611547427743703E-2</v>
      </c>
      <c r="T73" s="65">
        <f t="shared" si="45"/>
        <v>4.7529592829821422E-3</v>
      </c>
      <c r="U73" s="65">
        <f t="shared" si="45"/>
        <v>0.28761061946902655</v>
      </c>
      <c r="V73" s="65">
        <f t="shared" si="45"/>
        <v>0.20761378810854852</v>
      </c>
      <c r="W73" s="65">
        <f t="shared" si="45"/>
        <v>1</v>
      </c>
      <c r="Y73" s="64" t="s">
        <v>55</v>
      </c>
      <c r="Z73" s="65">
        <f t="shared" ref="Z73:AI73" si="46">Z72/$AI72</f>
        <v>0.15523123578468537</v>
      </c>
      <c r="AA73" s="65">
        <f t="shared" si="46"/>
        <v>6.3600370651166705E-3</v>
      </c>
      <c r="AB73" s="65">
        <f t="shared" si="46"/>
        <v>0.12330469210681493</v>
      </c>
      <c r="AC73" s="65">
        <f t="shared" si="46"/>
        <v>2.0069918288265522E-2</v>
      </c>
      <c r="AD73" s="65">
        <f t="shared" si="46"/>
        <v>0.22731867576446804</v>
      </c>
      <c r="AE73" s="65">
        <f t="shared" si="46"/>
        <v>9.8980709291550829E-4</v>
      </c>
      <c r="AF73" s="65">
        <f t="shared" si="46"/>
        <v>5.3491702468199814E-3</v>
      </c>
      <c r="AG73" s="65">
        <f t="shared" si="46"/>
        <v>0.26743745261561791</v>
      </c>
      <c r="AH73" s="65">
        <f t="shared" si="46"/>
        <v>0.19393901103529609</v>
      </c>
      <c r="AI73" s="65">
        <f t="shared" si="46"/>
        <v>1</v>
      </c>
      <c r="AK73" s="64" t="s">
        <v>55</v>
      </c>
      <c r="AL73" s="65">
        <f t="shared" ref="AL73:AU73" si="47">AL72/$AU72</f>
        <v>0.19547311965266251</v>
      </c>
      <c r="AM73" s="65">
        <f t="shared" si="47"/>
        <v>1.0758523815604649E-2</v>
      </c>
      <c r="AN73" s="65">
        <f t="shared" si="47"/>
        <v>0.14806538117737197</v>
      </c>
      <c r="AO73" s="65">
        <f t="shared" si="47"/>
        <v>3.8947771676669643E-2</v>
      </c>
      <c r="AP73" s="65">
        <f t="shared" si="47"/>
        <v>0.19955944323841143</v>
      </c>
      <c r="AQ73" s="65">
        <f t="shared" si="47"/>
        <v>3.1924403013663641E-5</v>
      </c>
      <c r="AR73" s="65">
        <f t="shared" si="47"/>
        <v>2.2283233303537223E-2</v>
      </c>
      <c r="AS73" s="65">
        <f t="shared" si="47"/>
        <v>0.19339803345677437</v>
      </c>
      <c r="AT73" s="65">
        <f t="shared" si="47"/>
        <v>0.19148256927595453</v>
      </c>
      <c r="AU73" s="65">
        <f t="shared" si="47"/>
        <v>1</v>
      </c>
    </row>
    <row r="74" spans="1:47" ht="16.899999999999999" customHeight="1" x14ac:dyDescent="0.25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</row>
    <row r="76" spans="1:47" s="52" customFormat="1" ht="15" customHeight="1" thickBot="1" x14ac:dyDescent="0.3">
      <c r="A76" s="51" t="s">
        <v>56</v>
      </c>
      <c r="B76" s="51"/>
      <c r="C76" s="51"/>
      <c r="D76" s="51"/>
      <c r="E76" s="51"/>
      <c r="F76" s="51"/>
      <c r="G76" s="51"/>
      <c r="H76" s="51"/>
      <c r="I76" s="51"/>
      <c r="J76" s="51"/>
      <c r="K76" s="51"/>
      <c r="M76" s="51" t="s">
        <v>56</v>
      </c>
      <c r="N76" s="51"/>
      <c r="O76" s="51"/>
      <c r="P76" s="51"/>
      <c r="Q76" s="51"/>
      <c r="R76" s="51"/>
      <c r="S76" s="51"/>
      <c r="T76" s="51"/>
      <c r="U76" s="51"/>
      <c r="V76" s="51"/>
      <c r="W76" s="51"/>
      <c r="Y76" s="66" t="s">
        <v>56</v>
      </c>
      <c r="Z76" s="67"/>
      <c r="AA76" s="67"/>
      <c r="AB76" s="67"/>
      <c r="AC76" s="67"/>
      <c r="AD76" s="67"/>
      <c r="AE76" s="67"/>
      <c r="AF76" s="67"/>
      <c r="AG76" s="67"/>
      <c r="AH76" s="67"/>
      <c r="AI76" s="68"/>
      <c r="AK76" s="51" t="s">
        <v>56</v>
      </c>
      <c r="AL76" s="51"/>
      <c r="AM76" s="51"/>
      <c r="AN76" s="51"/>
      <c r="AO76" s="51"/>
      <c r="AP76" s="51"/>
      <c r="AQ76" s="51"/>
      <c r="AR76" s="51"/>
      <c r="AS76" s="51"/>
      <c r="AT76" s="51"/>
      <c r="AU76" s="51"/>
    </row>
    <row r="77" spans="1:47" x14ac:dyDescent="0.25">
      <c r="A77" s="54" t="s">
        <v>38</v>
      </c>
      <c r="B77" s="4" t="s">
        <v>3</v>
      </c>
      <c r="C77" s="4"/>
      <c r="D77" s="5" t="s">
        <v>4</v>
      </c>
      <c r="E77" s="6" t="s">
        <v>5</v>
      </c>
      <c r="F77" s="7"/>
      <c r="G77" s="5" t="s">
        <v>6</v>
      </c>
      <c r="H77" s="5" t="s">
        <v>7</v>
      </c>
      <c r="I77" s="4" t="s">
        <v>8</v>
      </c>
      <c r="J77" s="8"/>
      <c r="K77" s="9" t="s">
        <v>9</v>
      </c>
      <c r="M77" s="54" t="s">
        <v>38</v>
      </c>
      <c r="N77" s="4" t="s">
        <v>3</v>
      </c>
      <c r="O77" s="4"/>
      <c r="P77" s="5" t="s">
        <v>4</v>
      </c>
      <c r="Q77" s="6" t="s">
        <v>5</v>
      </c>
      <c r="R77" s="7"/>
      <c r="S77" s="5" t="s">
        <v>6</v>
      </c>
      <c r="T77" s="5" t="s">
        <v>7</v>
      </c>
      <c r="U77" s="4" t="s">
        <v>8</v>
      </c>
      <c r="V77" s="8"/>
      <c r="W77" s="9" t="s">
        <v>9</v>
      </c>
      <c r="Y77" s="55" t="s">
        <v>38</v>
      </c>
      <c r="Z77" s="4" t="s">
        <v>3</v>
      </c>
      <c r="AA77" s="4"/>
      <c r="AB77" s="5" t="s">
        <v>4</v>
      </c>
      <c r="AC77" s="6" t="s">
        <v>5</v>
      </c>
      <c r="AD77" s="7"/>
      <c r="AE77" s="5" t="s">
        <v>6</v>
      </c>
      <c r="AF77" s="5" t="s">
        <v>7</v>
      </c>
      <c r="AG77" s="4" t="s">
        <v>8</v>
      </c>
      <c r="AH77" s="8"/>
      <c r="AI77" s="9" t="s">
        <v>9</v>
      </c>
      <c r="AK77" s="55" t="s">
        <v>38</v>
      </c>
      <c r="AL77" s="4" t="s">
        <v>3</v>
      </c>
      <c r="AM77" s="4"/>
      <c r="AN77" s="5" t="s">
        <v>4</v>
      </c>
      <c r="AO77" s="6" t="s">
        <v>5</v>
      </c>
      <c r="AP77" s="7"/>
      <c r="AQ77" s="5" t="s">
        <v>6</v>
      </c>
      <c r="AR77" s="5" t="s">
        <v>7</v>
      </c>
      <c r="AS77" s="4" t="s">
        <v>8</v>
      </c>
      <c r="AT77" s="8"/>
      <c r="AU77" s="9" t="s">
        <v>9</v>
      </c>
    </row>
    <row r="78" spans="1:47" ht="45.75" thickBot="1" x14ac:dyDescent="0.3">
      <c r="A78" s="54"/>
      <c r="B78" s="12" t="s">
        <v>10</v>
      </c>
      <c r="C78" s="12" t="s">
        <v>11</v>
      </c>
      <c r="D78" s="12" t="s">
        <v>12</v>
      </c>
      <c r="E78" s="12" t="s">
        <v>13</v>
      </c>
      <c r="F78" s="12" t="s">
        <v>14</v>
      </c>
      <c r="G78" s="12" t="s">
        <v>15</v>
      </c>
      <c r="H78" s="12" t="s">
        <v>16</v>
      </c>
      <c r="I78" s="12" t="s">
        <v>17</v>
      </c>
      <c r="J78" s="13" t="s">
        <v>18</v>
      </c>
      <c r="K78" s="14"/>
      <c r="M78" s="54"/>
      <c r="N78" s="12" t="s">
        <v>10</v>
      </c>
      <c r="O78" s="12" t="s">
        <v>11</v>
      </c>
      <c r="P78" s="12" t="s">
        <v>12</v>
      </c>
      <c r="Q78" s="12" t="s">
        <v>13</v>
      </c>
      <c r="R78" s="12" t="s">
        <v>14</v>
      </c>
      <c r="S78" s="12" t="s">
        <v>15</v>
      </c>
      <c r="T78" s="12" t="s">
        <v>16</v>
      </c>
      <c r="U78" s="12" t="s">
        <v>17</v>
      </c>
      <c r="V78" s="13" t="s">
        <v>18</v>
      </c>
      <c r="W78" s="14"/>
      <c r="Y78" s="56"/>
      <c r="Z78" s="12" t="s">
        <v>10</v>
      </c>
      <c r="AA78" s="12" t="s">
        <v>11</v>
      </c>
      <c r="AB78" s="12" t="s">
        <v>12</v>
      </c>
      <c r="AC78" s="12" t="s">
        <v>13</v>
      </c>
      <c r="AD78" s="12" t="s">
        <v>14</v>
      </c>
      <c r="AE78" s="12" t="s">
        <v>15</v>
      </c>
      <c r="AF78" s="12" t="s">
        <v>16</v>
      </c>
      <c r="AG78" s="12" t="s">
        <v>17</v>
      </c>
      <c r="AH78" s="13" t="s">
        <v>18</v>
      </c>
      <c r="AI78" s="14"/>
      <c r="AK78" s="56"/>
      <c r="AL78" s="12" t="s">
        <v>10</v>
      </c>
      <c r="AM78" s="12" t="s">
        <v>11</v>
      </c>
      <c r="AN78" s="12" t="s">
        <v>12</v>
      </c>
      <c r="AO78" s="12" t="s">
        <v>13</v>
      </c>
      <c r="AP78" s="12" t="s">
        <v>14</v>
      </c>
      <c r="AQ78" s="12" t="s">
        <v>15</v>
      </c>
      <c r="AR78" s="12" t="s">
        <v>16</v>
      </c>
      <c r="AS78" s="12" t="s">
        <v>17</v>
      </c>
      <c r="AT78" s="13" t="s">
        <v>18</v>
      </c>
      <c r="AU78" s="14"/>
    </row>
    <row r="79" spans="1:47" x14ac:dyDescent="0.25">
      <c r="A79" s="57" t="s">
        <v>39</v>
      </c>
      <c r="B79" s="58">
        <v>508</v>
      </c>
      <c r="C79" s="58">
        <v>47</v>
      </c>
      <c r="D79" s="58">
        <v>477</v>
      </c>
      <c r="E79" s="58">
        <v>194</v>
      </c>
      <c r="F79" s="58">
        <v>2864</v>
      </c>
      <c r="G79" s="58">
        <v>1775</v>
      </c>
      <c r="H79" s="58">
        <v>475</v>
      </c>
      <c r="I79" s="58">
        <v>2777</v>
      </c>
      <c r="J79" s="58">
        <v>2318</v>
      </c>
      <c r="K79" s="59">
        <f>SUM(B79:J79)</f>
        <v>11435</v>
      </c>
      <c r="M79" s="57" t="s">
        <v>39</v>
      </c>
      <c r="N79" s="58">
        <v>653</v>
      </c>
      <c r="O79" s="58">
        <v>36</v>
      </c>
      <c r="P79" s="58">
        <v>668</v>
      </c>
      <c r="Q79" s="58">
        <v>236</v>
      </c>
      <c r="R79" s="58">
        <v>3271</v>
      </c>
      <c r="S79" s="58">
        <v>14</v>
      </c>
      <c r="T79" s="58">
        <v>881</v>
      </c>
      <c r="U79" s="58">
        <v>2532</v>
      </c>
      <c r="V79" s="58">
        <v>2052</v>
      </c>
      <c r="W79" s="59">
        <f>SUM(N79:V79)</f>
        <v>10343</v>
      </c>
      <c r="Y79" s="57" t="s">
        <v>39</v>
      </c>
      <c r="Z79" s="60">
        <v>819</v>
      </c>
      <c r="AA79" s="60">
        <v>41</v>
      </c>
      <c r="AB79" s="60">
        <v>612</v>
      </c>
      <c r="AC79" s="60">
        <v>217</v>
      </c>
      <c r="AD79" s="60">
        <v>1209</v>
      </c>
      <c r="AE79" s="60">
        <v>0</v>
      </c>
      <c r="AF79" s="60">
        <v>762</v>
      </c>
      <c r="AG79" s="60">
        <v>1193</v>
      </c>
      <c r="AH79" s="60">
        <v>1122</v>
      </c>
      <c r="AI79" s="61">
        <f>SUM(Z79:AH79)</f>
        <v>5975</v>
      </c>
      <c r="AK79" s="57" t="s">
        <v>39</v>
      </c>
      <c r="AL79" s="60">
        <v>305</v>
      </c>
      <c r="AM79" s="60">
        <v>25</v>
      </c>
      <c r="AN79" s="60">
        <v>297</v>
      </c>
      <c r="AO79" s="60">
        <v>320</v>
      </c>
      <c r="AP79" s="60">
        <v>738</v>
      </c>
      <c r="AQ79" s="60">
        <v>0</v>
      </c>
      <c r="AR79" s="60">
        <v>916</v>
      </c>
      <c r="AS79" s="60">
        <v>328</v>
      </c>
      <c r="AT79" s="60">
        <v>1125</v>
      </c>
      <c r="AU79" s="61">
        <f>SUM(AL79:AT79)</f>
        <v>4054</v>
      </c>
    </row>
    <row r="80" spans="1:47" x14ac:dyDescent="0.25">
      <c r="A80" s="57" t="s">
        <v>40</v>
      </c>
      <c r="B80" s="58">
        <v>504</v>
      </c>
      <c r="C80" s="58">
        <v>66</v>
      </c>
      <c r="D80" s="58">
        <v>476</v>
      </c>
      <c r="E80" s="58">
        <v>249</v>
      </c>
      <c r="F80" s="58">
        <v>2260</v>
      </c>
      <c r="G80" s="58">
        <v>1986</v>
      </c>
      <c r="H80" s="58">
        <v>553</v>
      </c>
      <c r="I80" s="58">
        <v>2487</v>
      </c>
      <c r="J80" s="58">
        <v>1971</v>
      </c>
      <c r="K80" s="59">
        <f t="shared" ref="K80:K88" si="48">SUM(B80:J80)</f>
        <v>10552</v>
      </c>
      <c r="M80" s="57" t="s">
        <v>40</v>
      </c>
      <c r="N80" s="58">
        <v>721</v>
      </c>
      <c r="O80" s="58">
        <v>43</v>
      </c>
      <c r="P80" s="58">
        <v>780</v>
      </c>
      <c r="Q80" s="58">
        <v>215</v>
      </c>
      <c r="R80" s="58">
        <v>3843</v>
      </c>
      <c r="S80" s="58">
        <v>13</v>
      </c>
      <c r="T80" s="58">
        <v>900</v>
      </c>
      <c r="U80" s="58">
        <v>2459</v>
      </c>
      <c r="V80" s="58">
        <v>2014</v>
      </c>
      <c r="W80" s="59">
        <f t="shared" ref="W80:W88" si="49">SUM(N80:V80)</f>
        <v>10988</v>
      </c>
      <c r="Y80" s="57" t="s">
        <v>40</v>
      </c>
      <c r="Z80" s="60">
        <v>826</v>
      </c>
      <c r="AA80" s="60">
        <v>52</v>
      </c>
      <c r="AB80" s="60">
        <v>632</v>
      </c>
      <c r="AC80" s="60">
        <v>213</v>
      </c>
      <c r="AD80" s="60">
        <v>1534</v>
      </c>
      <c r="AE80" s="60">
        <v>1</v>
      </c>
      <c r="AF80" s="60">
        <v>846</v>
      </c>
      <c r="AG80" s="60">
        <v>1216</v>
      </c>
      <c r="AH80" s="60">
        <v>1172</v>
      </c>
      <c r="AI80" s="61">
        <f t="shared" ref="AI80:AI90" si="50">SUM(Z80:AH80)</f>
        <v>6492</v>
      </c>
      <c r="AK80" s="57" t="s">
        <v>40</v>
      </c>
      <c r="AL80" s="60">
        <v>645</v>
      </c>
      <c r="AM80" s="60">
        <v>47</v>
      </c>
      <c r="AN80" s="60">
        <v>457</v>
      </c>
      <c r="AO80" s="60">
        <v>240</v>
      </c>
      <c r="AP80" s="60">
        <v>851</v>
      </c>
      <c r="AQ80" s="60">
        <v>0</v>
      </c>
      <c r="AR80" s="60">
        <v>449</v>
      </c>
      <c r="AS80" s="60">
        <v>523</v>
      </c>
      <c r="AT80" s="60">
        <v>810</v>
      </c>
      <c r="AU80" s="61">
        <f t="shared" ref="AU80:AU90" si="51">SUM(AL80:AT80)</f>
        <v>4022</v>
      </c>
    </row>
    <row r="81" spans="1:47" x14ac:dyDescent="0.25">
      <c r="A81" s="57" t="s">
        <v>41</v>
      </c>
      <c r="B81" s="58">
        <v>238</v>
      </c>
      <c r="C81" s="58">
        <v>51</v>
      </c>
      <c r="D81" s="58">
        <v>242</v>
      </c>
      <c r="E81" s="58">
        <v>77</v>
      </c>
      <c r="F81" s="58">
        <v>1519</v>
      </c>
      <c r="G81" s="58">
        <v>1703</v>
      </c>
      <c r="H81" s="58">
        <v>167</v>
      </c>
      <c r="I81" s="58">
        <v>1769</v>
      </c>
      <c r="J81" s="58">
        <v>1474</v>
      </c>
      <c r="K81" s="59">
        <f t="shared" si="48"/>
        <v>7240</v>
      </c>
      <c r="M81" s="57" t="s">
        <v>41</v>
      </c>
      <c r="N81" s="58">
        <v>780</v>
      </c>
      <c r="O81" s="58">
        <v>48</v>
      </c>
      <c r="P81" s="58">
        <v>855</v>
      </c>
      <c r="Q81" s="58">
        <v>185</v>
      </c>
      <c r="R81" s="58">
        <v>4053</v>
      </c>
      <c r="S81" s="58">
        <v>87</v>
      </c>
      <c r="T81" s="58">
        <v>853</v>
      </c>
      <c r="U81" s="58">
        <v>2589</v>
      </c>
      <c r="V81" s="58">
        <v>2507</v>
      </c>
      <c r="W81" s="59">
        <f t="shared" si="49"/>
        <v>11957</v>
      </c>
      <c r="Y81" s="57" t="s">
        <v>41</v>
      </c>
      <c r="Z81" s="60">
        <v>762</v>
      </c>
      <c r="AA81" s="60">
        <v>41</v>
      </c>
      <c r="AB81" s="60">
        <v>729</v>
      </c>
      <c r="AC81" s="60">
        <v>168</v>
      </c>
      <c r="AD81" s="60">
        <v>1751</v>
      </c>
      <c r="AE81" s="60">
        <v>2</v>
      </c>
      <c r="AF81" s="60">
        <v>784</v>
      </c>
      <c r="AG81" s="60">
        <v>1316</v>
      </c>
      <c r="AH81" s="60">
        <v>1286</v>
      </c>
      <c r="AI81" s="61">
        <f t="shared" si="50"/>
        <v>6839</v>
      </c>
      <c r="AK81" s="57" t="s">
        <v>41</v>
      </c>
      <c r="AL81" s="60">
        <v>629</v>
      </c>
      <c r="AM81" s="60">
        <v>38</v>
      </c>
      <c r="AN81" s="60">
        <v>440</v>
      </c>
      <c r="AO81" s="60">
        <v>247</v>
      </c>
      <c r="AP81" s="60">
        <v>956</v>
      </c>
      <c r="AQ81" s="60">
        <v>0</v>
      </c>
      <c r="AR81" s="60">
        <v>640</v>
      </c>
      <c r="AS81" s="60">
        <v>692</v>
      </c>
      <c r="AT81" s="60">
        <v>1127</v>
      </c>
      <c r="AU81" s="61">
        <f t="shared" si="51"/>
        <v>4769</v>
      </c>
    </row>
    <row r="82" spans="1:47" x14ac:dyDescent="0.25">
      <c r="A82" s="57" t="s">
        <v>42</v>
      </c>
      <c r="B82" s="58">
        <v>218</v>
      </c>
      <c r="C82" s="58">
        <v>57</v>
      </c>
      <c r="D82" s="58">
        <v>388</v>
      </c>
      <c r="E82" s="58">
        <v>73</v>
      </c>
      <c r="F82" s="58">
        <v>2510</v>
      </c>
      <c r="G82" s="58">
        <v>1485</v>
      </c>
      <c r="H82" s="58">
        <v>601</v>
      </c>
      <c r="I82" s="58">
        <v>2249</v>
      </c>
      <c r="J82" s="58">
        <v>1364</v>
      </c>
      <c r="K82" s="59">
        <f t="shared" si="48"/>
        <v>8945</v>
      </c>
      <c r="M82" s="57" t="s">
        <v>42</v>
      </c>
      <c r="N82" s="58">
        <v>619</v>
      </c>
      <c r="O82" s="58">
        <v>30</v>
      </c>
      <c r="P82" s="58">
        <v>866</v>
      </c>
      <c r="Q82" s="58">
        <v>201</v>
      </c>
      <c r="R82" s="58">
        <v>3835</v>
      </c>
      <c r="S82" s="58">
        <v>176</v>
      </c>
      <c r="T82" s="58">
        <v>879</v>
      </c>
      <c r="U82" s="58">
        <v>2671</v>
      </c>
      <c r="V82" s="58">
        <v>2665</v>
      </c>
      <c r="W82" s="59">
        <f t="shared" si="49"/>
        <v>11942</v>
      </c>
      <c r="Y82" s="57" t="s">
        <v>42</v>
      </c>
      <c r="Z82" s="60">
        <v>736</v>
      </c>
      <c r="AA82" s="60">
        <v>34</v>
      </c>
      <c r="AB82" s="60">
        <v>511</v>
      </c>
      <c r="AC82" s="60">
        <v>131</v>
      </c>
      <c r="AD82" s="60">
        <v>1633</v>
      </c>
      <c r="AE82" s="60">
        <v>8</v>
      </c>
      <c r="AF82" s="60">
        <v>622</v>
      </c>
      <c r="AG82" s="60">
        <v>1495</v>
      </c>
      <c r="AH82" s="60">
        <v>1173</v>
      </c>
      <c r="AI82" s="61">
        <f t="shared" si="50"/>
        <v>6343</v>
      </c>
      <c r="AK82" s="57" t="s">
        <v>42</v>
      </c>
      <c r="AL82" s="60">
        <v>598</v>
      </c>
      <c r="AM82" s="60">
        <v>34</v>
      </c>
      <c r="AN82" s="60">
        <v>433</v>
      </c>
      <c r="AO82" s="60">
        <v>179</v>
      </c>
      <c r="AP82" s="60">
        <v>895</v>
      </c>
      <c r="AQ82" s="60">
        <v>0</v>
      </c>
      <c r="AR82" s="60">
        <v>561</v>
      </c>
      <c r="AS82" s="60">
        <v>637</v>
      </c>
      <c r="AT82" s="60">
        <v>759</v>
      </c>
      <c r="AU82" s="61">
        <f t="shared" si="51"/>
        <v>4096</v>
      </c>
    </row>
    <row r="83" spans="1:47" x14ac:dyDescent="0.25">
      <c r="A83" s="57" t="s">
        <v>43</v>
      </c>
      <c r="B83" s="58">
        <v>6</v>
      </c>
      <c r="C83" s="58">
        <v>1</v>
      </c>
      <c r="D83" s="58">
        <v>134</v>
      </c>
      <c r="E83" s="58">
        <v>4</v>
      </c>
      <c r="F83" s="58">
        <v>431</v>
      </c>
      <c r="G83" s="58">
        <v>319</v>
      </c>
      <c r="H83" s="58">
        <v>103</v>
      </c>
      <c r="I83" s="58">
        <v>187</v>
      </c>
      <c r="J83" s="58">
        <v>93</v>
      </c>
      <c r="K83" s="59">
        <f t="shared" si="48"/>
        <v>1278</v>
      </c>
      <c r="M83" s="57" t="s">
        <v>43</v>
      </c>
      <c r="N83" s="58">
        <v>724</v>
      </c>
      <c r="O83" s="58">
        <v>40</v>
      </c>
      <c r="P83" s="58">
        <v>1019</v>
      </c>
      <c r="Q83" s="58">
        <v>221</v>
      </c>
      <c r="R83" s="58">
        <v>4732</v>
      </c>
      <c r="S83" s="58">
        <v>263</v>
      </c>
      <c r="T83" s="58">
        <v>1188</v>
      </c>
      <c r="U83" s="58">
        <v>3840</v>
      </c>
      <c r="V83" s="58">
        <v>3333</v>
      </c>
      <c r="W83" s="59">
        <f t="shared" si="49"/>
        <v>15360</v>
      </c>
      <c r="Y83" s="57" t="s">
        <v>43</v>
      </c>
      <c r="Z83" s="60">
        <v>994</v>
      </c>
      <c r="AA83" s="60">
        <v>73</v>
      </c>
      <c r="AB83" s="60">
        <v>688</v>
      </c>
      <c r="AC83" s="60">
        <v>135</v>
      </c>
      <c r="AD83" s="60">
        <v>1949</v>
      </c>
      <c r="AE83" s="60">
        <v>5</v>
      </c>
      <c r="AF83" s="60">
        <v>788</v>
      </c>
      <c r="AG83" s="60">
        <v>1690</v>
      </c>
      <c r="AH83" s="60">
        <v>1195</v>
      </c>
      <c r="AI83" s="61">
        <f t="shared" si="50"/>
        <v>7517</v>
      </c>
      <c r="AK83" s="57" t="s">
        <v>43</v>
      </c>
      <c r="AL83" s="60">
        <v>612</v>
      </c>
      <c r="AM83" s="60">
        <v>34</v>
      </c>
      <c r="AN83" s="60">
        <v>544</v>
      </c>
      <c r="AO83" s="60">
        <v>213</v>
      </c>
      <c r="AP83" s="60">
        <v>1373</v>
      </c>
      <c r="AQ83" s="60">
        <v>0</v>
      </c>
      <c r="AR83" s="60">
        <v>926</v>
      </c>
      <c r="AS83" s="60">
        <v>775</v>
      </c>
      <c r="AT83" s="60">
        <v>920</v>
      </c>
      <c r="AU83" s="61">
        <f t="shared" si="51"/>
        <v>5397</v>
      </c>
    </row>
    <row r="84" spans="1:47" x14ac:dyDescent="0.25">
      <c r="A84" s="57" t="s">
        <v>44</v>
      </c>
      <c r="B84" s="58">
        <v>0</v>
      </c>
      <c r="C84" s="58">
        <v>0</v>
      </c>
      <c r="D84" s="58">
        <v>0</v>
      </c>
      <c r="E84" s="58">
        <v>0</v>
      </c>
      <c r="F84" s="58">
        <v>0</v>
      </c>
      <c r="G84" s="58">
        <v>0</v>
      </c>
      <c r="H84" s="58">
        <v>0</v>
      </c>
      <c r="I84" s="58">
        <v>0</v>
      </c>
      <c r="J84" s="58">
        <v>0</v>
      </c>
      <c r="K84" s="59">
        <f t="shared" si="48"/>
        <v>0</v>
      </c>
      <c r="M84" s="57" t="s">
        <v>44</v>
      </c>
      <c r="N84" s="58">
        <v>726</v>
      </c>
      <c r="O84" s="58">
        <v>35</v>
      </c>
      <c r="P84" s="58">
        <v>595</v>
      </c>
      <c r="Q84" s="58">
        <v>149</v>
      </c>
      <c r="R84" s="58">
        <v>3916</v>
      </c>
      <c r="S84" s="58">
        <v>212</v>
      </c>
      <c r="T84" s="58">
        <v>695</v>
      </c>
      <c r="U84" s="58">
        <v>3277</v>
      </c>
      <c r="V84" s="58">
        <v>2702</v>
      </c>
      <c r="W84" s="59">
        <f t="shared" si="49"/>
        <v>12307</v>
      </c>
      <c r="Y84" s="57" t="s">
        <v>44</v>
      </c>
      <c r="Z84" s="60">
        <v>644</v>
      </c>
      <c r="AA84" s="60">
        <v>43</v>
      </c>
      <c r="AB84" s="60">
        <v>621</v>
      </c>
      <c r="AC84" s="60">
        <v>104</v>
      </c>
      <c r="AD84" s="60">
        <v>1589</v>
      </c>
      <c r="AE84" s="60">
        <v>1</v>
      </c>
      <c r="AF84" s="60">
        <v>534</v>
      </c>
      <c r="AG84" s="60">
        <v>1379</v>
      </c>
      <c r="AH84" s="60">
        <v>1079</v>
      </c>
      <c r="AI84" s="61">
        <f t="shared" si="50"/>
        <v>5994</v>
      </c>
      <c r="AK84" s="57" t="s">
        <v>44</v>
      </c>
      <c r="AL84" s="60">
        <v>623</v>
      </c>
      <c r="AM84" s="60">
        <v>49</v>
      </c>
      <c r="AN84" s="60">
        <v>393</v>
      </c>
      <c r="AO84" s="60">
        <v>137</v>
      </c>
      <c r="AP84" s="60">
        <v>1056</v>
      </c>
      <c r="AQ84" s="60">
        <v>0</v>
      </c>
      <c r="AR84" s="60">
        <v>689</v>
      </c>
      <c r="AS84" s="60">
        <v>735</v>
      </c>
      <c r="AT84" s="60">
        <v>706</v>
      </c>
      <c r="AU84" s="61">
        <f t="shared" si="51"/>
        <v>4388</v>
      </c>
    </row>
    <row r="85" spans="1:47" x14ac:dyDescent="0.25">
      <c r="A85" s="57" t="s">
        <v>45</v>
      </c>
      <c r="B85" s="58">
        <v>0</v>
      </c>
      <c r="C85" s="58">
        <v>0</v>
      </c>
      <c r="D85" s="58">
        <v>0</v>
      </c>
      <c r="E85" s="58">
        <v>0</v>
      </c>
      <c r="F85" s="58">
        <v>0</v>
      </c>
      <c r="G85" s="58">
        <v>0</v>
      </c>
      <c r="H85" s="58">
        <v>0</v>
      </c>
      <c r="I85" s="58">
        <v>0</v>
      </c>
      <c r="J85" s="58">
        <v>0</v>
      </c>
      <c r="K85" s="59">
        <f t="shared" si="48"/>
        <v>0</v>
      </c>
      <c r="M85" s="57" t="s">
        <v>45</v>
      </c>
      <c r="N85" s="58">
        <v>598</v>
      </c>
      <c r="O85" s="58">
        <v>37</v>
      </c>
      <c r="P85" s="58">
        <v>793</v>
      </c>
      <c r="Q85" s="58">
        <v>270</v>
      </c>
      <c r="R85" s="58">
        <v>4559</v>
      </c>
      <c r="S85" s="58">
        <v>317</v>
      </c>
      <c r="T85" s="58">
        <v>851</v>
      </c>
      <c r="U85" s="58">
        <v>3422</v>
      </c>
      <c r="V85" s="58">
        <v>2741</v>
      </c>
      <c r="W85" s="59">
        <f t="shared" si="49"/>
        <v>13588</v>
      </c>
      <c r="Y85" s="57" t="s">
        <v>45</v>
      </c>
      <c r="Z85" s="60">
        <v>860</v>
      </c>
      <c r="AA85" s="60">
        <v>37</v>
      </c>
      <c r="AB85" s="60">
        <v>538</v>
      </c>
      <c r="AC85" s="60">
        <v>150</v>
      </c>
      <c r="AD85" s="60">
        <v>1711</v>
      </c>
      <c r="AE85" s="60">
        <v>3</v>
      </c>
      <c r="AF85" s="60">
        <v>620</v>
      </c>
      <c r="AG85" s="60">
        <v>1467</v>
      </c>
      <c r="AH85" s="60">
        <v>1304</v>
      </c>
      <c r="AI85" s="61">
        <f t="shared" si="50"/>
        <v>6690</v>
      </c>
      <c r="AK85" s="57" t="s">
        <v>45</v>
      </c>
      <c r="AL85" s="60">
        <v>751</v>
      </c>
      <c r="AM85" s="60">
        <v>32</v>
      </c>
      <c r="AN85" s="60">
        <v>491</v>
      </c>
      <c r="AO85" s="60">
        <v>182</v>
      </c>
      <c r="AP85" s="60">
        <v>1091</v>
      </c>
      <c r="AQ85" s="60">
        <v>0</v>
      </c>
      <c r="AR85" s="60">
        <v>709</v>
      </c>
      <c r="AS85" s="60">
        <v>897</v>
      </c>
      <c r="AT85" s="60">
        <v>910</v>
      </c>
      <c r="AU85" s="61">
        <f t="shared" si="51"/>
        <v>5063</v>
      </c>
    </row>
    <row r="86" spans="1:47" x14ac:dyDescent="0.25">
      <c r="A86" s="57" t="s">
        <v>46</v>
      </c>
      <c r="B86" s="58">
        <v>0</v>
      </c>
      <c r="C86" s="58">
        <v>0</v>
      </c>
      <c r="D86" s="58">
        <v>0</v>
      </c>
      <c r="E86" s="58">
        <v>0</v>
      </c>
      <c r="F86" s="58">
        <v>0</v>
      </c>
      <c r="G86" s="58">
        <v>0</v>
      </c>
      <c r="H86" s="58">
        <v>0</v>
      </c>
      <c r="I86" s="58">
        <v>0</v>
      </c>
      <c r="J86" s="58">
        <v>0</v>
      </c>
      <c r="K86" s="59">
        <f t="shared" si="48"/>
        <v>0</v>
      </c>
      <c r="M86" s="57" t="s">
        <v>46</v>
      </c>
      <c r="N86" s="58">
        <v>495</v>
      </c>
      <c r="O86" s="58">
        <v>25</v>
      </c>
      <c r="P86" s="58">
        <v>688</v>
      </c>
      <c r="Q86" s="58">
        <v>228</v>
      </c>
      <c r="R86" s="58">
        <v>3714</v>
      </c>
      <c r="S86" s="58">
        <v>573</v>
      </c>
      <c r="T86" s="58">
        <v>763</v>
      </c>
      <c r="U86" s="58">
        <v>2912</v>
      </c>
      <c r="V86" s="58">
        <v>2414</v>
      </c>
      <c r="W86" s="59">
        <f t="shared" si="49"/>
        <v>11812</v>
      </c>
      <c r="Y86" s="57" t="s">
        <v>46</v>
      </c>
      <c r="Z86" s="60">
        <v>725</v>
      </c>
      <c r="AA86" s="60">
        <v>46</v>
      </c>
      <c r="AB86" s="60">
        <v>616</v>
      </c>
      <c r="AC86" s="60">
        <v>159</v>
      </c>
      <c r="AD86" s="60">
        <v>2168</v>
      </c>
      <c r="AE86" s="60">
        <v>3</v>
      </c>
      <c r="AF86" s="60">
        <v>637</v>
      </c>
      <c r="AG86" s="60">
        <v>1527</v>
      </c>
      <c r="AH86" s="60">
        <v>1303</v>
      </c>
      <c r="AI86" s="61">
        <f t="shared" si="50"/>
        <v>7184</v>
      </c>
      <c r="AK86" s="57" t="s">
        <v>46</v>
      </c>
      <c r="AL86" s="60">
        <v>809</v>
      </c>
      <c r="AM86" s="60">
        <v>44</v>
      </c>
      <c r="AN86" s="60">
        <v>740</v>
      </c>
      <c r="AO86" s="60">
        <v>221</v>
      </c>
      <c r="AP86" s="60">
        <v>1249</v>
      </c>
      <c r="AQ86" s="60">
        <v>0</v>
      </c>
      <c r="AR86" s="60">
        <v>491</v>
      </c>
      <c r="AS86" s="60">
        <v>1105</v>
      </c>
      <c r="AT86" s="60">
        <v>857</v>
      </c>
      <c r="AU86" s="61">
        <f>SUM(AL86:AT86)</f>
        <v>5516</v>
      </c>
    </row>
    <row r="87" spans="1:47" x14ac:dyDescent="0.25">
      <c r="A87" s="57" t="s">
        <v>47</v>
      </c>
      <c r="B87" s="58">
        <v>0</v>
      </c>
      <c r="C87" s="58">
        <v>0</v>
      </c>
      <c r="D87" s="58">
        <v>0</v>
      </c>
      <c r="E87" s="58">
        <v>0</v>
      </c>
      <c r="F87" s="58">
        <v>0</v>
      </c>
      <c r="G87" s="58">
        <v>0</v>
      </c>
      <c r="H87" s="58">
        <v>0</v>
      </c>
      <c r="I87" s="58">
        <v>0</v>
      </c>
      <c r="J87" s="58">
        <v>0</v>
      </c>
      <c r="K87" s="59">
        <f t="shared" si="48"/>
        <v>0</v>
      </c>
      <c r="M87" s="57" t="s">
        <v>47</v>
      </c>
      <c r="N87" s="58">
        <v>466</v>
      </c>
      <c r="O87" s="58">
        <v>48</v>
      </c>
      <c r="P87" s="58">
        <v>627</v>
      </c>
      <c r="Q87" s="58">
        <v>174</v>
      </c>
      <c r="R87" s="58">
        <v>3777</v>
      </c>
      <c r="S87" s="58">
        <v>589</v>
      </c>
      <c r="T87" s="58">
        <v>824</v>
      </c>
      <c r="U87" s="58">
        <v>2855</v>
      </c>
      <c r="V87" s="58">
        <v>2795</v>
      </c>
      <c r="W87" s="59">
        <f t="shared" si="49"/>
        <v>12155</v>
      </c>
      <c r="Y87" s="57" t="s">
        <v>47</v>
      </c>
      <c r="Z87" s="60">
        <v>674</v>
      </c>
      <c r="AA87" s="60">
        <v>32</v>
      </c>
      <c r="AB87" s="60">
        <v>589</v>
      </c>
      <c r="AC87" s="60">
        <v>145</v>
      </c>
      <c r="AD87" s="60">
        <v>2078</v>
      </c>
      <c r="AE87" s="60">
        <v>0</v>
      </c>
      <c r="AF87" s="60">
        <v>767</v>
      </c>
      <c r="AG87" s="60">
        <v>1780</v>
      </c>
      <c r="AH87" s="60">
        <v>1363</v>
      </c>
      <c r="AI87" s="61">
        <f t="shared" si="50"/>
        <v>7428</v>
      </c>
      <c r="AK87" s="57" t="s">
        <v>47</v>
      </c>
      <c r="AL87" s="60">
        <v>529</v>
      </c>
      <c r="AM87" s="60">
        <v>83</v>
      </c>
      <c r="AN87" s="60">
        <v>570</v>
      </c>
      <c r="AO87" s="60">
        <v>228</v>
      </c>
      <c r="AP87" s="60">
        <v>1218</v>
      </c>
      <c r="AQ87" s="60">
        <v>0</v>
      </c>
      <c r="AR87" s="60">
        <v>681</v>
      </c>
      <c r="AS87" s="60">
        <v>1111</v>
      </c>
      <c r="AT87" s="60">
        <v>845</v>
      </c>
      <c r="AU87" s="61">
        <f t="shared" si="51"/>
        <v>5265</v>
      </c>
    </row>
    <row r="88" spans="1:47" x14ac:dyDescent="0.25">
      <c r="A88" s="57" t="s">
        <v>48</v>
      </c>
      <c r="B88" s="58">
        <v>0</v>
      </c>
      <c r="C88" s="58">
        <v>0</v>
      </c>
      <c r="D88" s="58">
        <v>0</v>
      </c>
      <c r="E88" s="58">
        <v>0</v>
      </c>
      <c r="F88" s="58">
        <v>0</v>
      </c>
      <c r="G88" s="58">
        <v>0</v>
      </c>
      <c r="H88" s="58">
        <v>0</v>
      </c>
      <c r="I88" s="58">
        <v>0</v>
      </c>
      <c r="J88" s="58">
        <v>0</v>
      </c>
      <c r="K88" s="59">
        <f t="shared" si="48"/>
        <v>0</v>
      </c>
      <c r="M88" s="57" t="s">
        <v>48</v>
      </c>
      <c r="N88" s="58">
        <v>537</v>
      </c>
      <c r="O88" s="58">
        <v>27</v>
      </c>
      <c r="P88" s="58">
        <v>666</v>
      </c>
      <c r="Q88" s="58">
        <v>192</v>
      </c>
      <c r="R88" s="58">
        <v>4100</v>
      </c>
      <c r="S88" s="58">
        <v>963</v>
      </c>
      <c r="T88" s="58">
        <v>714</v>
      </c>
      <c r="U88" s="58">
        <v>3004</v>
      </c>
      <c r="V88" s="58">
        <v>2549</v>
      </c>
      <c r="W88" s="59">
        <f t="shared" si="49"/>
        <v>12752</v>
      </c>
      <c r="Y88" s="57" t="s">
        <v>48</v>
      </c>
      <c r="Z88" s="60">
        <v>608</v>
      </c>
      <c r="AA88" s="60">
        <v>29</v>
      </c>
      <c r="AB88" s="60">
        <v>742</v>
      </c>
      <c r="AC88" s="60">
        <v>167</v>
      </c>
      <c r="AD88" s="60">
        <v>2473</v>
      </c>
      <c r="AE88" s="60">
        <v>0</v>
      </c>
      <c r="AF88" s="60">
        <v>798</v>
      </c>
      <c r="AG88" s="60">
        <v>1814</v>
      </c>
      <c r="AH88" s="60">
        <v>1534</v>
      </c>
      <c r="AI88" s="61">
        <f t="shared" si="50"/>
        <v>8165</v>
      </c>
      <c r="AK88" s="57" t="s">
        <v>48</v>
      </c>
      <c r="AL88" s="60">
        <v>726</v>
      </c>
      <c r="AM88" s="60">
        <v>87</v>
      </c>
      <c r="AN88" s="60">
        <v>640</v>
      </c>
      <c r="AO88" s="60">
        <v>269</v>
      </c>
      <c r="AP88" s="60">
        <v>1565</v>
      </c>
      <c r="AQ88" s="60">
        <v>0</v>
      </c>
      <c r="AR88" s="60">
        <v>763</v>
      </c>
      <c r="AS88" s="60">
        <v>933</v>
      </c>
      <c r="AT88" s="60">
        <v>1061</v>
      </c>
      <c r="AU88" s="61">
        <f t="shared" si="51"/>
        <v>6044</v>
      </c>
    </row>
    <row r="89" spans="1:47" x14ac:dyDescent="0.25">
      <c r="A89" s="57" t="s">
        <v>49</v>
      </c>
      <c r="B89" s="58">
        <v>0</v>
      </c>
      <c r="C89" s="58">
        <v>0</v>
      </c>
      <c r="D89" s="58">
        <v>0</v>
      </c>
      <c r="E89" s="58">
        <v>0</v>
      </c>
      <c r="F89" s="58">
        <v>0</v>
      </c>
      <c r="G89" s="58">
        <v>0</v>
      </c>
      <c r="H89" s="58">
        <v>0</v>
      </c>
      <c r="I89" s="58">
        <v>0</v>
      </c>
      <c r="J89" s="58">
        <v>0</v>
      </c>
      <c r="K89" s="59">
        <f>SUM(B89:J89)</f>
        <v>0</v>
      </c>
      <c r="M89" s="57" t="s">
        <v>49</v>
      </c>
      <c r="N89" s="58">
        <v>527</v>
      </c>
      <c r="O89" s="58">
        <v>58</v>
      </c>
      <c r="P89" s="58">
        <v>775</v>
      </c>
      <c r="Q89" s="58">
        <v>165</v>
      </c>
      <c r="R89" s="58">
        <v>3296</v>
      </c>
      <c r="S89" s="58">
        <v>1142</v>
      </c>
      <c r="T89" s="58">
        <v>686</v>
      </c>
      <c r="U89" s="58">
        <v>2777</v>
      </c>
      <c r="V89" s="58">
        <v>2191</v>
      </c>
      <c r="W89" s="59">
        <f>SUM(N89:V89)</f>
        <v>11617</v>
      </c>
      <c r="Y89" s="57" t="s">
        <v>49</v>
      </c>
      <c r="Z89" s="60">
        <v>805</v>
      </c>
      <c r="AA89" s="60">
        <v>42</v>
      </c>
      <c r="AB89" s="60">
        <v>759</v>
      </c>
      <c r="AC89" s="60">
        <v>189</v>
      </c>
      <c r="AD89" s="60">
        <v>2987</v>
      </c>
      <c r="AE89" s="60">
        <v>7</v>
      </c>
      <c r="AF89" s="60">
        <v>814</v>
      </c>
      <c r="AG89" s="60">
        <v>2116</v>
      </c>
      <c r="AH89" s="60">
        <v>1616</v>
      </c>
      <c r="AI89" s="61">
        <f t="shared" si="50"/>
        <v>9335</v>
      </c>
      <c r="AK89" s="57" t="s">
        <v>49</v>
      </c>
      <c r="AL89" s="60">
        <v>844</v>
      </c>
      <c r="AM89" s="60">
        <v>39</v>
      </c>
      <c r="AN89" s="60">
        <v>778</v>
      </c>
      <c r="AO89" s="60">
        <v>244</v>
      </c>
      <c r="AP89" s="60">
        <v>1261</v>
      </c>
      <c r="AQ89" s="60">
        <v>1</v>
      </c>
      <c r="AR89" s="60">
        <v>838</v>
      </c>
      <c r="AS89" s="60">
        <v>1054</v>
      </c>
      <c r="AT89" s="60">
        <v>1023</v>
      </c>
      <c r="AU89" s="61">
        <f t="shared" si="51"/>
        <v>6082</v>
      </c>
    </row>
    <row r="90" spans="1:47" x14ac:dyDescent="0.25">
      <c r="A90" s="57" t="s">
        <v>50</v>
      </c>
      <c r="B90" s="58">
        <v>0</v>
      </c>
      <c r="C90" s="58">
        <v>0</v>
      </c>
      <c r="D90" s="58">
        <v>0</v>
      </c>
      <c r="E90" s="58">
        <v>0</v>
      </c>
      <c r="F90" s="58">
        <v>0</v>
      </c>
      <c r="G90" s="58">
        <v>0</v>
      </c>
      <c r="H90" s="58">
        <v>0</v>
      </c>
      <c r="I90" s="58">
        <v>0</v>
      </c>
      <c r="J90" s="58">
        <v>0</v>
      </c>
      <c r="K90" s="59">
        <f>SUM(B90:J90)</f>
        <v>0</v>
      </c>
      <c r="M90" s="57" t="s">
        <v>50</v>
      </c>
      <c r="N90" s="58">
        <v>527</v>
      </c>
      <c r="O90" s="58">
        <v>50</v>
      </c>
      <c r="P90" s="58">
        <v>537</v>
      </c>
      <c r="Q90" s="58">
        <v>175</v>
      </c>
      <c r="R90" s="58">
        <v>3285</v>
      </c>
      <c r="S90" s="58">
        <v>1264</v>
      </c>
      <c r="T90" s="58">
        <v>658</v>
      </c>
      <c r="U90" s="58">
        <v>2765</v>
      </c>
      <c r="V90" s="58">
        <v>2389</v>
      </c>
      <c r="W90" s="59">
        <f>SUM(N90:V90)</f>
        <v>11650</v>
      </c>
      <c r="Y90" s="57" t="s">
        <v>50</v>
      </c>
      <c r="Z90" s="60">
        <v>655</v>
      </c>
      <c r="AA90" s="60">
        <v>34</v>
      </c>
      <c r="AB90" s="60">
        <v>677</v>
      </c>
      <c r="AC90" s="60">
        <v>213</v>
      </c>
      <c r="AD90" s="60">
        <v>3030</v>
      </c>
      <c r="AE90" s="60">
        <v>18</v>
      </c>
      <c r="AF90" s="60">
        <v>1012</v>
      </c>
      <c r="AG90" s="60">
        <v>2020</v>
      </c>
      <c r="AH90" s="60">
        <v>1869</v>
      </c>
      <c r="AI90" s="61">
        <f t="shared" si="50"/>
        <v>9528</v>
      </c>
      <c r="AK90" s="57" t="s">
        <v>50</v>
      </c>
      <c r="AL90" s="60">
        <v>852</v>
      </c>
      <c r="AM90" s="60">
        <v>91</v>
      </c>
      <c r="AN90" s="60">
        <v>574</v>
      </c>
      <c r="AO90" s="60">
        <v>239</v>
      </c>
      <c r="AP90" s="60">
        <v>1412</v>
      </c>
      <c r="AQ90" s="60">
        <v>0</v>
      </c>
      <c r="AR90" s="60">
        <v>755</v>
      </c>
      <c r="AS90" s="60">
        <v>1131</v>
      </c>
      <c r="AT90" s="60">
        <v>928</v>
      </c>
      <c r="AU90" s="61">
        <f t="shared" si="51"/>
        <v>5982</v>
      </c>
    </row>
    <row r="91" spans="1:47" s="47" customFormat="1" x14ac:dyDescent="0.25">
      <c r="A91" s="62" t="s">
        <v>9</v>
      </c>
      <c r="B91" s="63">
        <f>SUM(B79:B90)</f>
        <v>1474</v>
      </c>
      <c r="C91" s="63">
        <f t="shared" ref="C91:K91" si="52">SUM(C79:C90)</f>
        <v>222</v>
      </c>
      <c r="D91" s="63">
        <f t="shared" si="52"/>
        <v>1717</v>
      </c>
      <c r="E91" s="63">
        <f t="shared" si="52"/>
        <v>597</v>
      </c>
      <c r="F91" s="63">
        <f t="shared" si="52"/>
        <v>9584</v>
      </c>
      <c r="G91" s="63">
        <f t="shared" si="52"/>
        <v>7268</v>
      </c>
      <c r="H91" s="63">
        <f t="shared" si="52"/>
        <v>1899</v>
      </c>
      <c r="I91" s="63">
        <f t="shared" si="52"/>
        <v>9469</v>
      </c>
      <c r="J91" s="63">
        <f t="shared" si="52"/>
        <v>7220</v>
      </c>
      <c r="K91" s="63">
        <f t="shared" si="52"/>
        <v>39450</v>
      </c>
      <c r="M91" s="62" t="s">
        <v>9</v>
      </c>
      <c r="N91" s="63">
        <f>SUM(N79:N90)</f>
        <v>7373</v>
      </c>
      <c r="O91" s="63">
        <f t="shared" ref="O91:W91" si="53">SUM(O79:O90)</f>
        <v>477</v>
      </c>
      <c r="P91" s="63">
        <f t="shared" si="53"/>
        <v>8869</v>
      </c>
      <c r="Q91" s="63">
        <f t="shared" si="53"/>
        <v>2411</v>
      </c>
      <c r="R91" s="63">
        <f t="shared" si="53"/>
        <v>46381</v>
      </c>
      <c r="S91" s="63">
        <f t="shared" si="53"/>
        <v>5613</v>
      </c>
      <c r="T91" s="63">
        <f t="shared" si="53"/>
        <v>9892</v>
      </c>
      <c r="U91" s="63">
        <f t="shared" si="53"/>
        <v>35103</v>
      </c>
      <c r="V91" s="63">
        <f t="shared" si="53"/>
        <v>30352</v>
      </c>
      <c r="W91" s="63">
        <f t="shared" si="53"/>
        <v>146471</v>
      </c>
      <c r="Y91" s="62" t="s">
        <v>9</v>
      </c>
      <c r="Z91" s="63">
        <f>SUM(Z79:Z90)</f>
        <v>9108</v>
      </c>
      <c r="AA91" s="63">
        <f t="shared" ref="AA91:AI91" si="54">SUM(AA79:AA90)</f>
        <v>504</v>
      </c>
      <c r="AB91" s="63">
        <f t="shared" si="54"/>
        <v>7714</v>
      </c>
      <c r="AC91" s="63">
        <f t="shared" si="54"/>
        <v>1991</v>
      </c>
      <c r="AD91" s="63">
        <f t="shared" si="54"/>
        <v>24112</v>
      </c>
      <c r="AE91" s="63">
        <f t="shared" si="54"/>
        <v>48</v>
      </c>
      <c r="AF91" s="63">
        <f t="shared" si="54"/>
        <v>8984</v>
      </c>
      <c r="AG91" s="63">
        <f t="shared" si="54"/>
        <v>19013</v>
      </c>
      <c r="AH91" s="63">
        <f t="shared" si="54"/>
        <v>16016</v>
      </c>
      <c r="AI91" s="63">
        <f t="shared" si="54"/>
        <v>87490</v>
      </c>
      <c r="AK91" s="62" t="s">
        <v>9</v>
      </c>
      <c r="AL91" s="63">
        <f>SUM(AL79:AL90)</f>
        <v>7923</v>
      </c>
      <c r="AM91" s="63">
        <f t="shared" ref="AM91:AT91" si="55">SUM(AM79:AM90)</f>
        <v>603</v>
      </c>
      <c r="AN91" s="63">
        <f t="shared" si="55"/>
        <v>6357</v>
      </c>
      <c r="AO91" s="63">
        <f t="shared" si="55"/>
        <v>2719</v>
      </c>
      <c r="AP91" s="63">
        <f t="shared" si="55"/>
        <v>13665</v>
      </c>
      <c r="AQ91" s="63">
        <f t="shared" si="55"/>
        <v>1</v>
      </c>
      <c r="AR91" s="63">
        <f t="shared" si="55"/>
        <v>8418</v>
      </c>
      <c r="AS91" s="63">
        <f t="shared" si="55"/>
        <v>9921</v>
      </c>
      <c r="AT91" s="63">
        <f t="shared" si="55"/>
        <v>11071</v>
      </c>
      <c r="AU91" s="63">
        <f>SUM(AU79:AU90)</f>
        <v>60678</v>
      </c>
    </row>
    <row r="92" spans="1:47" s="47" customFormat="1" x14ac:dyDescent="0.25">
      <c r="A92" s="64" t="s">
        <v>57</v>
      </c>
      <c r="B92" s="65">
        <f t="shared" ref="B92:K92" si="56">B91/$K91</f>
        <v>3.7363751584283907E-2</v>
      </c>
      <c r="C92" s="65">
        <f t="shared" si="56"/>
        <v>5.6273764258555131E-3</v>
      </c>
      <c r="D92" s="65">
        <f t="shared" si="56"/>
        <v>4.3523447401774398E-2</v>
      </c>
      <c r="E92" s="65">
        <f t="shared" si="56"/>
        <v>1.5133079847908746E-2</v>
      </c>
      <c r="F92" s="65">
        <f t="shared" si="56"/>
        <v>0.2429404309252218</v>
      </c>
      <c r="G92" s="65">
        <f t="shared" si="56"/>
        <v>0.18423320659062103</v>
      </c>
      <c r="H92" s="65">
        <f t="shared" si="56"/>
        <v>4.8136882129277567E-2</v>
      </c>
      <c r="I92" s="65">
        <f t="shared" si="56"/>
        <v>0.2400253485424588</v>
      </c>
      <c r="J92" s="65">
        <f t="shared" si="56"/>
        <v>0.18301647655259823</v>
      </c>
      <c r="K92" s="65">
        <f t="shared" si="56"/>
        <v>1</v>
      </c>
      <c r="M92" s="64" t="s">
        <v>57</v>
      </c>
      <c r="N92" s="65">
        <f>N91/$W91</f>
        <v>5.0337609492664075E-2</v>
      </c>
      <c r="O92" s="65">
        <f t="shared" ref="O92:W92" si="57">O91/$W91</f>
        <v>3.2566173508749171E-3</v>
      </c>
      <c r="P92" s="65">
        <f t="shared" si="57"/>
        <v>6.0551235398133417E-2</v>
      </c>
      <c r="Q92" s="65">
        <f t="shared" si="57"/>
        <v>1.6460596295512421E-2</v>
      </c>
      <c r="R92" s="65">
        <f t="shared" si="57"/>
        <v>0.31665653951976841</v>
      </c>
      <c r="S92" s="65">
        <f t="shared" si="57"/>
        <v>3.8321579015641323E-2</v>
      </c>
      <c r="T92" s="65">
        <f t="shared" si="57"/>
        <v>6.7535553112902894E-2</v>
      </c>
      <c r="U92" s="65">
        <f t="shared" si="57"/>
        <v>0.23965836240621011</v>
      </c>
      <c r="V92" s="65">
        <f t="shared" si="57"/>
        <v>0.20722190740829244</v>
      </c>
      <c r="W92" s="65">
        <f t="shared" si="57"/>
        <v>1</v>
      </c>
      <c r="Y92" s="64" t="s">
        <v>57</v>
      </c>
      <c r="Z92" s="65">
        <f>Z91/$AI91</f>
        <v>0.10410332609441079</v>
      </c>
      <c r="AA92" s="65">
        <f t="shared" ref="AA92:AI92" si="58">AA91/$AI91</f>
        <v>5.7606583609555381E-3</v>
      </c>
      <c r="AB92" s="65">
        <f t="shared" si="58"/>
        <v>8.8170076580180598E-2</v>
      </c>
      <c r="AC92" s="65">
        <f t="shared" si="58"/>
        <v>2.2756886501314435E-2</v>
      </c>
      <c r="AD92" s="65">
        <f t="shared" si="58"/>
        <v>0.27559721110984114</v>
      </c>
      <c r="AE92" s="65">
        <f t="shared" si="58"/>
        <v>5.4863412961481312E-4</v>
      </c>
      <c r="AF92" s="65">
        <f t="shared" si="58"/>
        <v>0.10268602125957252</v>
      </c>
      <c r="AG92" s="65">
        <f t="shared" si="58"/>
        <v>0.21731626471596754</v>
      </c>
      <c r="AH92" s="65">
        <f t="shared" si="58"/>
        <v>0.18306092124814263</v>
      </c>
      <c r="AI92" s="65">
        <f t="shared" si="58"/>
        <v>1</v>
      </c>
      <c r="AK92" s="64" t="s">
        <v>57</v>
      </c>
      <c r="AL92" s="65">
        <f>AL91/$AU91</f>
        <v>0.13057450805893406</v>
      </c>
      <c r="AM92" s="65">
        <f t="shared" ref="AM92:AU92" si="59">AM91/$AU91</f>
        <v>9.9377039454167908E-3</v>
      </c>
      <c r="AN92" s="65">
        <f t="shared" si="59"/>
        <v>0.10476614258874715</v>
      </c>
      <c r="AO92" s="65">
        <f t="shared" si="59"/>
        <v>4.4810310161837896E-2</v>
      </c>
      <c r="AP92" s="65">
        <f t="shared" si="59"/>
        <v>0.22520518144961929</v>
      </c>
      <c r="AQ92" s="65">
        <f t="shared" si="59"/>
        <v>1.6480437720425855E-5</v>
      </c>
      <c r="AR92" s="65">
        <f t="shared" si="59"/>
        <v>0.13873232473054484</v>
      </c>
      <c r="AS92" s="65">
        <f t="shared" si="59"/>
        <v>0.16350242262434489</v>
      </c>
      <c r="AT92" s="65">
        <f t="shared" si="59"/>
        <v>0.18245492600283464</v>
      </c>
      <c r="AU92" s="65">
        <f t="shared" si="59"/>
        <v>1</v>
      </c>
    </row>
    <row r="93" spans="1:47" x14ac:dyDescent="0.25">
      <c r="K93" s="48">
        <v>39450</v>
      </c>
      <c r="W93" s="48">
        <v>146471</v>
      </c>
      <c r="AI93" s="71">
        <v>87490</v>
      </c>
      <c r="AU93" s="71">
        <v>60678</v>
      </c>
    </row>
  </sheetData>
  <mergeCells count="128">
    <mergeCell ref="AS77:AT77"/>
    <mergeCell ref="AU77:AU78"/>
    <mergeCell ref="AC77:AD77"/>
    <mergeCell ref="AG77:AH77"/>
    <mergeCell ref="AI77:AI78"/>
    <mergeCell ref="AK77:AK78"/>
    <mergeCell ref="AL77:AM77"/>
    <mergeCell ref="AO77:AP77"/>
    <mergeCell ref="N77:O77"/>
    <mergeCell ref="Q77:R77"/>
    <mergeCell ref="U77:V77"/>
    <mergeCell ref="W77:W78"/>
    <mergeCell ref="Y77:Y78"/>
    <mergeCell ref="Z77:AA77"/>
    <mergeCell ref="A76:K76"/>
    <mergeCell ref="M76:W76"/>
    <mergeCell ref="Y76:AI76"/>
    <mergeCell ref="AK76:AU76"/>
    <mergeCell ref="A77:A78"/>
    <mergeCell ref="B77:C77"/>
    <mergeCell ref="E77:F77"/>
    <mergeCell ref="I77:J77"/>
    <mergeCell ref="K77:K78"/>
    <mergeCell ref="M77:M78"/>
    <mergeCell ref="AS58:AT58"/>
    <mergeCell ref="AU58:AU59"/>
    <mergeCell ref="A74:K74"/>
    <mergeCell ref="M74:W74"/>
    <mergeCell ref="Y74:AI74"/>
    <mergeCell ref="AK74:AU74"/>
    <mergeCell ref="AC58:AD58"/>
    <mergeCell ref="AG58:AH58"/>
    <mergeCell ref="AI58:AI59"/>
    <mergeCell ref="AK58:AK59"/>
    <mergeCell ref="AL58:AM58"/>
    <mergeCell ref="AO58:AP58"/>
    <mergeCell ref="N58:O58"/>
    <mergeCell ref="Q58:R58"/>
    <mergeCell ref="U58:V58"/>
    <mergeCell ref="W58:W59"/>
    <mergeCell ref="Y58:Y59"/>
    <mergeCell ref="Z58:AA58"/>
    <mergeCell ref="A58:A59"/>
    <mergeCell ref="B58:C58"/>
    <mergeCell ref="E58:F58"/>
    <mergeCell ref="I58:J58"/>
    <mergeCell ref="K58:K59"/>
    <mergeCell ref="M58:M59"/>
    <mergeCell ref="AS40:AT40"/>
    <mergeCell ref="AU40:AU41"/>
    <mergeCell ref="A57:K57"/>
    <mergeCell ref="M57:W57"/>
    <mergeCell ref="Y57:AI57"/>
    <mergeCell ref="AK57:AU57"/>
    <mergeCell ref="AC40:AD40"/>
    <mergeCell ref="AG40:AH40"/>
    <mergeCell ref="AI40:AI41"/>
    <mergeCell ref="AK40:AK41"/>
    <mergeCell ref="AL40:AM40"/>
    <mergeCell ref="AO40:AP40"/>
    <mergeCell ref="N40:O40"/>
    <mergeCell ref="Q40:R40"/>
    <mergeCell ref="U40:V40"/>
    <mergeCell ref="W40:W41"/>
    <mergeCell ref="Y40:Y41"/>
    <mergeCell ref="Z40:AA40"/>
    <mergeCell ref="A40:A41"/>
    <mergeCell ref="B40:C40"/>
    <mergeCell ref="E40:F40"/>
    <mergeCell ref="I40:J40"/>
    <mergeCell ref="K40:K41"/>
    <mergeCell ref="M40:M41"/>
    <mergeCell ref="AS22:AT22"/>
    <mergeCell ref="AU22:AU23"/>
    <mergeCell ref="A39:K39"/>
    <mergeCell ref="M39:W39"/>
    <mergeCell ref="Y39:AI39"/>
    <mergeCell ref="AK39:AU39"/>
    <mergeCell ref="AC22:AD22"/>
    <mergeCell ref="AG22:AH22"/>
    <mergeCell ref="AI22:AI23"/>
    <mergeCell ref="AK22:AK23"/>
    <mergeCell ref="AL22:AM22"/>
    <mergeCell ref="AO22:AP22"/>
    <mergeCell ref="N22:O22"/>
    <mergeCell ref="Q22:R22"/>
    <mergeCell ref="U22:V22"/>
    <mergeCell ref="W22:W23"/>
    <mergeCell ref="Y22:Y23"/>
    <mergeCell ref="Z22:AA22"/>
    <mergeCell ref="A22:A23"/>
    <mergeCell ref="B22:C22"/>
    <mergeCell ref="E22:F22"/>
    <mergeCell ref="I22:J22"/>
    <mergeCell ref="K22:K23"/>
    <mergeCell ref="M22:M23"/>
    <mergeCell ref="AS4:AT4"/>
    <mergeCell ref="AU4:AU5"/>
    <mergeCell ref="A21:K21"/>
    <mergeCell ref="M21:W21"/>
    <mergeCell ref="Y21:AI21"/>
    <mergeCell ref="AK21:AU21"/>
    <mergeCell ref="AC4:AD4"/>
    <mergeCell ref="AG4:AH4"/>
    <mergeCell ref="AI4:AI5"/>
    <mergeCell ref="AK4:AK5"/>
    <mergeCell ref="AL4:AM4"/>
    <mergeCell ref="AO4:AP4"/>
    <mergeCell ref="N4:O4"/>
    <mergeCell ref="Q4:R4"/>
    <mergeCell ref="U4:V4"/>
    <mergeCell ref="W4:W5"/>
    <mergeCell ref="Y4:Y5"/>
    <mergeCell ref="Z4:AA4"/>
    <mergeCell ref="A4:A5"/>
    <mergeCell ref="B4:C4"/>
    <mergeCell ref="E4:F4"/>
    <mergeCell ref="I4:J4"/>
    <mergeCell ref="K4:K5"/>
    <mergeCell ref="M4:M5"/>
    <mergeCell ref="A2:K2"/>
    <mergeCell ref="M2:W2"/>
    <mergeCell ref="Y2:AI2"/>
    <mergeCell ref="AK2:AU2"/>
    <mergeCell ref="A3:K3"/>
    <mergeCell ref="M3:W3"/>
    <mergeCell ref="Y3:AI3"/>
    <mergeCell ref="AK3:AU3"/>
  </mergeCells>
  <pageMargins left="0.70866141732283472" right="0.70866141732283472" top="0.74803149606299213" bottom="0.74803149606299213" header="0.31496062992125984" footer="0.31496062992125984"/>
  <pageSetup paperSize="8" scale="28" orientation="landscape" r:id="rId1"/>
  <headerFooter>
    <oddHeader xml:space="preserve">&amp;LSOBHA LLC&amp;C&amp;"-,Bold"&amp;36Receipts Count&amp;R&amp;D
</oddHeader>
    <oddFooter>&amp;LCOLLECTIONS&amp;R&amp;P/&amp;N</oddFooter>
  </headerFooter>
  <rowBreaks count="1" manualBreakCount="1">
    <brk id="6" max="46" man="1"/>
  </rowBreaks>
  <colBreaks count="2" manualBreakCount="2">
    <brk id="23" min="1" max="91" man="1"/>
    <brk id="35" min="1" max="91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CA541-1CB6-4007-935E-EE438110FB34}">
  <sheetPr>
    <tabColor theme="6" tint="0.59999389629810485"/>
    <pageSetUpPr fitToPage="1"/>
  </sheetPr>
  <dimension ref="A1:AU100"/>
  <sheetViews>
    <sheetView showGridLines="0" tabSelected="1" showRuler="0" view="pageBreakPreview" topLeftCell="A44" zoomScale="70" zoomScaleNormal="80" zoomScaleSheetLayoutView="70" zoomScalePageLayoutView="25" workbookViewId="0"/>
  </sheetViews>
  <sheetFormatPr defaultColWidth="15.7109375" defaultRowHeight="15" x14ac:dyDescent="0.25"/>
  <cols>
    <col min="1" max="1" width="29.28515625" style="30" bestFit="1" customWidth="1"/>
    <col min="2" max="2" width="10.7109375" style="1" bestFit="1" customWidth="1"/>
    <col min="3" max="3" width="13.140625" style="1" bestFit="1" customWidth="1"/>
    <col min="4" max="4" width="16.5703125" style="1" bestFit="1" customWidth="1"/>
    <col min="5" max="5" width="11.42578125" style="1" bestFit="1" customWidth="1"/>
    <col min="6" max="6" width="22.42578125" style="1" bestFit="1" customWidth="1"/>
    <col min="7" max="7" width="14.7109375" style="1" bestFit="1" customWidth="1"/>
    <col min="8" max="8" width="14" style="1" bestFit="1" customWidth="1"/>
    <col min="9" max="9" width="15.7109375" style="1"/>
    <col min="10" max="10" width="17.7109375" style="30" bestFit="1" customWidth="1"/>
    <col min="11" max="11" width="11.28515625" style="30" bestFit="1" customWidth="1"/>
    <col min="12" max="12" width="2.7109375" style="1" customWidth="1"/>
    <col min="13" max="13" width="29.28515625" style="30" bestFit="1" customWidth="1"/>
    <col min="14" max="14" width="10.7109375" style="1" bestFit="1" customWidth="1"/>
    <col min="15" max="15" width="13.140625" style="1" bestFit="1" customWidth="1"/>
    <col min="16" max="16" width="16.5703125" style="1" bestFit="1" customWidth="1"/>
    <col min="17" max="17" width="11.42578125" style="1" bestFit="1" customWidth="1"/>
    <col min="18" max="18" width="22.42578125" style="1" bestFit="1" customWidth="1"/>
    <col min="19" max="19" width="14.7109375" style="1" bestFit="1" customWidth="1"/>
    <col min="20" max="20" width="14" style="1" bestFit="1" customWidth="1"/>
    <col min="21" max="21" width="15.7109375" style="1" bestFit="1" customWidth="1"/>
    <col min="22" max="22" width="17.7109375" style="30" bestFit="1" customWidth="1"/>
    <col min="23" max="23" width="11.28515625" style="30" bestFit="1" customWidth="1"/>
    <col min="24" max="24" width="2.7109375" style="30" customWidth="1"/>
    <col min="25" max="25" width="28.7109375" style="30" bestFit="1" customWidth="1"/>
    <col min="26" max="26" width="10.7109375" style="1" bestFit="1" customWidth="1"/>
    <col min="27" max="27" width="13.140625" style="1" bestFit="1" customWidth="1"/>
    <col min="28" max="28" width="16.5703125" style="1" bestFit="1" customWidth="1"/>
    <col min="29" max="29" width="11.42578125" style="1" bestFit="1" customWidth="1"/>
    <col min="30" max="30" width="22.42578125" style="1" bestFit="1" customWidth="1"/>
    <col min="31" max="31" width="14.7109375" style="1" bestFit="1" customWidth="1"/>
    <col min="32" max="32" width="14" style="1" bestFit="1" customWidth="1"/>
    <col min="33" max="33" width="15.7109375" style="1" bestFit="1" customWidth="1"/>
    <col min="34" max="34" width="17.7109375" style="30" bestFit="1" customWidth="1"/>
    <col min="35" max="35" width="11.28515625" style="30" bestFit="1" customWidth="1"/>
    <col min="36" max="36" width="3.140625" style="1" customWidth="1"/>
    <col min="37" max="37" width="28.7109375" style="30" bestFit="1" customWidth="1"/>
    <col min="38" max="38" width="10.7109375" style="1" bestFit="1" customWidth="1"/>
    <col min="39" max="39" width="13.140625" style="1" bestFit="1" customWidth="1"/>
    <col min="40" max="40" width="16.5703125" style="1" bestFit="1" customWidth="1"/>
    <col min="41" max="41" width="11.42578125" style="1" bestFit="1" customWidth="1"/>
    <col min="42" max="42" width="22.42578125" style="1" bestFit="1" customWidth="1"/>
    <col min="43" max="43" width="14.7109375" style="1" bestFit="1" customWidth="1"/>
    <col min="44" max="44" width="14" style="1" bestFit="1" customWidth="1"/>
    <col min="45" max="45" width="15.7109375" style="1" bestFit="1" customWidth="1"/>
    <col min="46" max="46" width="17.7109375" style="30" bestFit="1" customWidth="1"/>
    <col min="47" max="47" width="11.28515625" style="30" bestFit="1" customWidth="1"/>
    <col min="48" max="16384" width="15.7109375" style="1"/>
  </cols>
  <sheetData>
    <row r="1" spans="1:47" x14ac:dyDescent="0.25">
      <c r="A1" s="30">
        <v>2026</v>
      </c>
      <c r="M1" s="30">
        <v>2025</v>
      </c>
      <c r="Y1" s="30">
        <v>2024</v>
      </c>
      <c r="AK1" s="30">
        <v>2023</v>
      </c>
    </row>
    <row r="2" spans="1:47" ht="18.75" x14ac:dyDescent="0.3">
      <c r="A2" s="72" t="str">
        <f>_xlfn.CONCAT("Receipt Value -", A1)</f>
        <v>Receipt Value -2026</v>
      </c>
      <c r="B2" s="72"/>
      <c r="C2" s="72"/>
      <c r="D2" s="72"/>
      <c r="E2" s="72"/>
      <c r="F2" s="72"/>
      <c r="G2" s="72"/>
      <c r="H2" s="72"/>
      <c r="I2" s="72"/>
      <c r="J2" s="72"/>
      <c r="K2" s="72"/>
      <c r="M2" s="72" t="str">
        <f>_xlfn.CONCAT("Receipt Value -", M1)</f>
        <v>Receipt Value -2025</v>
      </c>
      <c r="N2" s="72"/>
      <c r="O2" s="72"/>
      <c r="P2" s="72"/>
      <c r="Q2" s="72"/>
      <c r="R2" s="72"/>
      <c r="S2" s="72"/>
      <c r="T2" s="72"/>
      <c r="U2" s="72"/>
      <c r="V2" s="72"/>
      <c r="W2" s="72"/>
      <c r="Y2" s="72" t="str">
        <f>_xlfn.CONCAT("Receipt Value-", Y1)</f>
        <v>Receipt Value-2024</v>
      </c>
      <c r="Z2" s="72"/>
      <c r="AA2" s="72"/>
      <c r="AB2" s="72"/>
      <c r="AC2" s="72"/>
      <c r="AD2" s="72"/>
      <c r="AE2" s="72"/>
      <c r="AF2" s="72"/>
      <c r="AG2" s="72"/>
      <c r="AH2" s="72"/>
      <c r="AI2" s="72"/>
      <c r="AK2" s="72" t="str">
        <f>_xlfn.CONCAT("Receipt Value -", AK1)</f>
        <v>Receipt Value -2023</v>
      </c>
      <c r="AL2" s="72"/>
      <c r="AM2" s="72"/>
      <c r="AN2" s="72"/>
      <c r="AO2" s="72"/>
      <c r="AP2" s="72"/>
      <c r="AQ2" s="72"/>
      <c r="AR2" s="72"/>
      <c r="AS2" s="72"/>
      <c r="AT2" s="72"/>
      <c r="AU2" s="72"/>
    </row>
    <row r="3" spans="1:47" x14ac:dyDescent="0.25">
      <c r="A3" s="73" t="s">
        <v>19</v>
      </c>
      <c r="B3" s="73"/>
      <c r="C3" s="73"/>
      <c r="D3" s="73"/>
      <c r="E3" s="73"/>
      <c r="F3" s="73"/>
      <c r="G3" s="73"/>
      <c r="H3" s="73"/>
      <c r="I3" s="73"/>
      <c r="J3" s="73"/>
      <c r="K3" s="73"/>
      <c r="M3" s="73" t="s">
        <v>19</v>
      </c>
      <c r="N3" s="73"/>
      <c r="O3" s="73"/>
      <c r="P3" s="73"/>
      <c r="Q3" s="73"/>
      <c r="R3" s="73"/>
      <c r="S3" s="73"/>
      <c r="T3" s="73"/>
      <c r="U3" s="73"/>
      <c r="V3" s="73"/>
      <c r="W3" s="73"/>
      <c r="Y3" s="73" t="s">
        <v>19</v>
      </c>
      <c r="Z3" s="73"/>
      <c r="AA3" s="73"/>
      <c r="AB3" s="73"/>
      <c r="AC3" s="73"/>
      <c r="AD3" s="73"/>
      <c r="AE3" s="73"/>
      <c r="AF3" s="73"/>
      <c r="AG3" s="73"/>
      <c r="AH3" s="73"/>
      <c r="AI3" s="73"/>
      <c r="AK3" s="73" t="s">
        <v>19</v>
      </c>
      <c r="AL3" s="73"/>
      <c r="AM3" s="73"/>
      <c r="AN3" s="73"/>
      <c r="AO3" s="73"/>
      <c r="AP3" s="73"/>
      <c r="AQ3" s="73"/>
      <c r="AR3" s="73"/>
      <c r="AS3" s="73"/>
      <c r="AT3" s="73"/>
      <c r="AU3" s="73"/>
    </row>
    <row r="4" spans="1:47" x14ac:dyDescent="0.25">
      <c r="A4" s="54" t="s">
        <v>38</v>
      </c>
      <c r="B4" s="74" t="s">
        <v>3</v>
      </c>
      <c r="C4" s="74"/>
      <c r="D4" s="75" t="s">
        <v>4</v>
      </c>
      <c r="E4" s="76" t="s">
        <v>5</v>
      </c>
      <c r="F4" s="77"/>
      <c r="G4" s="78"/>
      <c r="H4" s="75" t="s">
        <v>7</v>
      </c>
      <c r="I4" s="74" t="s">
        <v>8</v>
      </c>
      <c r="J4" s="74"/>
      <c r="K4" s="54" t="s">
        <v>9</v>
      </c>
      <c r="M4" s="54" t="s">
        <v>38</v>
      </c>
      <c r="N4" s="74" t="s">
        <v>3</v>
      </c>
      <c r="O4" s="74"/>
      <c r="P4" s="75" t="s">
        <v>4</v>
      </c>
      <c r="Q4" s="76" t="s">
        <v>5</v>
      </c>
      <c r="R4" s="77"/>
      <c r="S4" s="78"/>
      <c r="T4" s="75" t="s">
        <v>7</v>
      </c>
      <c r="U4" s="74" t="s">
        <v>8</v>
      </c>
      <c r="V4" s="74"/>
      <c r="W4" s="54" t="s">
        <v>9</v>
      </c>
      <c r="Y4" s="54" t="s">
        <v>38</v>
      </c>
      <c r="Z4" s="74" t="s">
        <v>3</v>
      </c>
      <c r="AA4" s="74"/>
      <c r="AB4" s="75" t="s">
        <v>4</v>
      </c>
      <c r="AC4" s="76" t="s">
        <v>5</v>
      </c>
      <c r="AD4" s="77"/>
      <c r="AE4" s="78"/>
      <c r="AF4" s="75" t="s">
        <v>7</v>
      </c>
      <c r="AG4" s="74" t="s">
        <v>8</v>
      </c>
      <c r="AH4" s="74"/>
      <c r="AI4" s="54" t="s">
        <v>9</v>
      </c>
      <c r="AK4" s="54" t="s">
        <v>38</v>
      </c>
      <c r="AL4" s="74" t="s">
        <v>3</v>
      </c>
      <c r="AM4" s="74"/>
      <c r="AN4" s="75" t="s">
        <v>4</v>
      </c>
      <c r="AO4" s="76" t="s">
        <v>5</v>
      </c>
      <c r="AP4" s="77"/>
      <c r="AQ4" s="78"/>
      <c r="AR4" s="75" t="s">
        <v>7</v>
      </c>
      <c r="AS4" s="74" t="s">
        <v>8</v>
      </c>
      <c r="AT4" s="74"/>
      <c r="AU4" s="54" t="s">
        <v>9</v>
      </c>
    </row>
    <row r="5" spans="1:47" ht="30.6" customHeight="1" x14ac:dyDescent="0.25">
      <c r="A5" s="54"/>
      <c r="B5" s="79" t="s">
        <v>10</v>
      </c>
      <c r="C5" s="79" t="s">
        <v>11</v>
      </c>
      <c r="D5" s="79" t="s">
        <v>12</v>
      </c>
      <c r="E5" s="79" t="s">
        <v>13</v>
      </c>
      <c r="F5" s="79" t="s">
        <v>14</v>
      </c>
      <c r="G5" s="79" t="s">
        <v>15</v>
      </c>
      <c r="H5" s="79" t="s">
        <v>16</v>
      </c>
      <c r="I5" s="79" t="s">
        <v>17</v>
      </c>
      <c r="J5" s="79" t="s">
        <v>18</v>
      </c>
      <c r="K5" s="54"/>
      <c r="M5" s="54"/>
      <c r="N5" s="79" t="s">
        <v>10</v>
      </c>
      <c r="O5" s="79" t="s">
        <v>11</v>
      </c>
      <c r="P5" s="79" t="s">
        <v>12</v>
      </c>
      <c r="Q5" s="79" t="s">
        <v>13</v>
      </c>
      <c r="R5" s="79" t="s">
        <v>14</v>
      </c>
      <c r="S5" s="79" t="s">
        <v>15</v>
      </c>
      <c r="T5" s="79" t="s">
        <v>16</v>
      </c>
      <c r="U5" s="79" t="s">
        <v>17</v>
      </c>
      <c r="V5" s="79" t="s">
        <v>18</v>
      </c>
      <c r="W5" s="54"/>
      <c r="Y5" s="54"/>
      <c r="Z5" s="79" t="s">
        <v>10</v>
      </c>
      <c r="AA5" s="79" t="s">
        <v>11</v>
      </c>
      <c r="AB5" s="79" t="s">
        <v>12</v>
      </c>
      <c r="AC5" s="79" t="s">
        <v>13</v>
      </c>
      <c r="AD5" s="79" t="s">
        <v>14</v>
      </c>
      <c r="AE5" s="79" t="s">
        <v>15</v>
      </c>
      <c r="AF5" s="79" t="s">
        <v>16</v>
      </c>
      <c r="AG5" s="79" t="s">
        <v>17</v>
      </c>
      <c r="AH5" s="79" t="s">
        <v>18</v>
      </c>
      <c r="AI5" s="54"/>
      <c r="AK5" s="54"/>
      <c r="AL5" s="79" t="s">
        <v>10</v>
      </c>
      <c r="AM5" s="79" t="s">
        <v>11</v>
      </c>
      <c r="AN5" s="79" t="s">
        <v>12</v>
      </c>
      <c r="AO5" s="79" t="s">
        <v>13</v>
      </c>
      <c r="AP5" s="79" t="s">
        <v>14</v>
      </c>
      <c r="AQ5" s="79" t="s">
        <v>15</v>
      </c>
      <c r="AR5" s="79" t="s">
        <v>16</v>
      </c>
      <c r="AS5" s="79" t="s">
        <v>17</v>
      </c>
      <c r="AT5" s="79" t="s">
        <v>18</v>
      </c>
      <c r="AU5" s="54"/>
    </row>
    <row r="6" spans="1:47" x14ac:dyDescent="0.25">
      <c r="A6" s="80" t="s">
        <v>39</v>
      </c>
      <c r="B6" s="81">
        <v>280556</v>
      </c>
      <c r="C6" s="81">
        <v>201998</v>
      </c>
      <c r="D6" s="81">
        <v>19663871</v>
      </c>
      <c r="E6" s="81">
        <v>3080676</v>
      </c>
      <c r="F6" s="81">
        <v>42563684</v>
      </c>
      <c r="G6" s="81">
        <v>3098603</v>
      </c>
      <c r="H6" s="81">
        <v>49118148</v>
      </c>
      <c r="I6" s="81">
        <v>48446307</v>
      </c>
      <c r="J6" s="81">
        <v>64998588</v>
      </c>
      <c r="K6" s="82">
        <f>SUM(B6:J6)</f>
        <v>231452431</v>
      </c>
      <c r="M6" s="80" t="s">
        <v>39</v>
      </c>
      <c r="N6" s="81">
        <v>3608586</v>
      </c>
      <c r="O6" s="81">
        <v>3028661</v>
      </c>
      <c r="P6" s="81">
        <v>26219958</v>
      </c>
      <c r="Q6" s="81">
        <v>4814003</v>
      </c>
      <c r="R6" s="81">
        <v>53342547</v>
      </c>
      <c r="S6" s="81">
        <v>484257</v>
      </c>
      <c r="T6" s="81">
        <v>79789150</v>
      </c>
      <c r="U6" s="81">
        <v>63533617</v>
      </c>
      <c r="V6" s="81">
        <v>104022112</v>
      </c>
      <c r="W6" s="82">
        <f>SUM(N6:V6)</f>
        <v>338842891</v>
      </c>
      <c r="Y6" s="80" t="s">
        <v>39</v>
      </c>
      <c r="Z6" s="81">
        <v>4626009</v>
      </c>
      <c r="AA6" s="81">
        <v>2003014</v>
      </c>
      <c r="AB6" s="81">
        <v>38299327</v>
      </c>
      <c r="AC6" s="81">
        <v>3488130</v>
      </c>
      <c r="AD6" s="81">
        <v>17542803</v>
      </c>
      <c r="AE6" s="81">
        <v>0</v>
      </c>
      <c r="AF6" s="81">
        <v>55397883</v>
      </c>
      <c r="AG6" s="81">
        <v>30405587</v>
      </c>
      <c r="AH6" s="81">
        <v>60238008</v>
      </c>
      <c r="AI6" s="82">
        <f t="shared" ref="AI6:AI17" si="0">SUM(Z6:AH6)</f>
        <v>212000761</v>
      </c>
      <c r="AK6" s="80" t="s">
        <v>39</v>
      </c>
      <c r="AL6" s="81">
        <v>2171623</v>
      </c>
      <c r="AM6" s="81">
        <v>2079223</v>
      </c>
      <c r="AN6" s="81">
        <v>23949169</v>
      </c>
      <c r="AO6" s="81">
        <v>5542318</v>
      </c>
      <c r="AP6" s="81">
        <v>11126818</v>
      </c>
      <c r="AQ6" s="81">
        <v>0</v>
      </c>
      <c r="AR6" s="81">
        <v>55772019</v>
      </c>
      <c r="AS6" s="81">
        <v>11066297</v>
      </c>
      <c r="AT6" s="81">
        <v>75493126</v>
      </c>
      <c r="AU6" s="82">
        <f t="shared" ref="AU6:AU17" si="1">SUM(AL6:AT6)</f>
        <v>187200593</v>
      </c>
    </row>
    <row r="7" spans="1:47" x14ac:dyDescent="0.25">
      <c r="A7" s="80" t="s">
        <v>40</v>
      </c>
      <c r="B7" s="81">
        <v>700840</v>
      </c>
      <c r="C7" s="81">
        <v>50000</v>
      </c>
      <c r="D7" s="81">
        <v>12435951</v>
      </c>
      <c r="E7" s="81">
        <v>1687982</v>
      </c>
      <c r="F7" s="81">
        <v>47570899</v>
      </c>
      <c r="G7" s="81">
        <v>4953235</v>
      </c>
      <c r="H7" s="81">
        <v>65034972</v>
      </c>
      <c r="I7" s="81">
        <v>43998558</v>
      </c>
      <c r="J7" s="81">
        <v>74747926</v>
      </c>
      <c r="K7" s="82">
        <f t="shared" ref="K7:K11" si="2">SUM(B7:J7)</f>
        <v>251180363</v>
      </c>
      <c r="M7" s="80" t="s">
        <v>40</v>
      </c>
      <c r="N7" s="81">
        <v>3469933</v>
      </c>
      <c r="O7" s="81">
        <v>1380195</v>
      </c>
      <c r="P7" s="81">
        <v>29150825</v>
      </c>
      <c r="Q7" s="81">
        <v>4478431</v>
      </c>
      <c r="R7" s="81">
        <v>63939232</v>
      </c>
      <c r="S7" s="81">
        <v>0</v>
      </c>
      <c r="T7" s="81">
        <v>78908738</v>
      </c>
      <c r="U7" s="81">
        <v>87752038</v>
      </c>
      <c r="V7" s="81">
        <v>109468063</v>
      </c>
      <c r="W7" s="82">
        <f t="shared" ref="W7:W14" si="3">SUM(N7:V7)</f>
        <v>378547455</v>
      </c>
      <c r="Y7" s="80" t="s">
        <v>40</v>
      </c>
      <c r="Z7" s="81">
        <v>6054163</v>
      </c>
      <c r="AA7" s="81">
        <v>2518853</v>
      </c>
      <c r="AB7" s="81">
        <v>38688214</v>
      </c>
      <c r="AC7" s="81">
        <v>3063797</v>
      </c>
      <c r="AD7" s="81">
        <v>23770353</v>
      </c>
      <c r="AE7" s="81">
        <v>0</v>
      </c>
      <c r="AF7" s="81">
        <v>65348154</v>
      </c>
      <c r="AG7" s="81">
        <v>31538154</v>
      </c>
      <c r="AH7" s="81">
        <v>68006323</v>
      </c>
      <c r="AI7" s="82">
        <f t="shared" si="0"/>
        <v>238988011</v>
      </c>
      <c r="AK7" s="80" t="s">
        <v>40</v>
      </c>
      <c r="AL7" s="81">
        <v>6198860</v>
      </c>
      <c r="AM7" s="81">
        <v>4003987</v>
      </c>
      <c r="AN7" s="81">
        <v>14543872</v>
      </c>
      <c r="AO7" s="81">
        <v>3429403</v>
      </c>
      <c r="AP7" s="81">
        <v>8354560</v>
      </c>
      <c r="AQ7" s="81">
        <v>0</v>
      </c>
      <c r="AR7" s="81">
        <v>50091387</v>
      </c>
      <c r="AS7" s="81">
        <v>14423923</v>
      </c>
      <c r="AT7" s="81">
        <v>52154023</v>
      </c>
      <c r="AU7" s="82">
        <f t="shared" si="1"/>
        <v>153200015</v>
      </c>
    </row>
    <row r="8" spans="1:47" x14ac:dyDescent="0.25">
      <c r="A8" s="80" t="s">
        <v>41</v>
      </c>
      <c r="B8" s="81">
        <v>352778</v>
      </c>
      <c r="C8" s="81">
        <v>0</v>
      </c>
      <c r="D8" s="81">
        <v>12188290</v>
      </c>
      <c r="E8" s="81">
        <v>171070</v>
      </c>
      <c r="F8" s="81">
        <v>16040649</v>
      </c>
      <c r="G8" s="81">
        <v>1211698</v>
      </c>
      <c r="H8" s="81">
        <v>9664640</v>
      </c>
      <c r="I8" s="81">
        <v>9439879</v>
      </c>
      <c r="J8" s="81">
        <v>24204724</v>
      </c>
      <c r="K8" s="82">
        <f t="shared" si="2"/>
        <v>73273728</v>
      </c>
      <c r="M8" s="80" t="s">
        <v>41</v>
      </c>
      <c r="N8" s="81">
        <v>2061728</v>
      </c>
      <c r="O8" s="81">
        <v>1890973</v>
      </c>
      <c r="P8" s="81">
        <v>34277104</v>
      </c>
      <c r="Q8" s="81">
        <v>3903283</v>
      </c>
      <c r="R8" s="81">
        <v>76026086</v>
      </c>
      <c r="S8" s="81">
        <v>866</v>
      </c>
      <c r="T8" s="81">
        <v>64014062</v>
      </c>
      <c r="U8" s="81">
        <v>61815614</v>
      </c>
      <c r="V8" s="81">
        <v>136933936</v>
      </c>
      <c r="W8" s="82">
        <f t="shared" si="3"/>
        <v>380923652</v>
      </c>
      <c r="Y8" s="80" t="s">
        <v>41</v>
      </c>
      <c r="Z8" s="81">
        <v>7164956</v>
      </c>
      <c r="AA8" s="81">
        <v>2198527</v>
      </c>
      <c r="AB8" s="81">
        <v>62826559</v>
      </c>
      <c r="AC8" s="81">
        <v>3514378</v>
      </c>
      <c r="AD8" s="81">
        <v>30227389</v>
      </c>
      <c r="AE8" s="81">
        <v>0</v>
      </c>
      <c r="AF8" s="81">
        <v>68487921</v>
      </c>
      <c r="AG8" s="81">
        <v>40183754</v>
      </c>
      <c r="AH8" s="81">
        <v>110900035</v>
      </c>
      <c r="AI8" s="82">
        <f t="shared" si="0"/>
        <v>325503519</v>
      </c>
      <c r="AK8" s="80" t="s">
        <v>41</v>
      </c>
      <c r="AL8" s="81">
        <v>4232412</v>
      </c>
      <c r="AM8" s="81">
        <v>1427888</v>
      </c>
      <c r="AN8" s="81">
        <v>10669447</v>
      </c>
      <c r="AO8" s="81">
        <v>4040501</v>
      </c>
      <c r="AP8" s="81">
        <v>9701884</v>
      </c>
      <c r="AQ8" s="81">
        <v>0</v>
      </c>
      <c r="AR8" s="81">
        <v>53542647</v>
      </c>
      <c r="AS8" s="81">
        <v>11825795</v>
      </c>
      <c r="AT8" s="81">
        <v>77518500</v>
      </c>
      <c r="AU8" s="82">
        <f t="shared" si="1"/>
        <v>172959074</v>
      </c>
    </row>
    <row r="9" spans="1:47" x14ac:dyDescent="0.25">
      <c r="A9" s="80" t="s">
        <v>42</v>
      </c>
      <c r="B9" s="81">
        <v>255540</v>
      </c>
      <c r="C9" s="81">
        <v>3532774</v>
      </c>
      <c r="D9" s="81">
        <v>14623731</v>
      </c>
      <c r="E9" s="81">
        <v>88968</v>
      </c>
      <c r="F9" s="81">
        <v>28783390</v>
      </c>
      <c r="G9" s="81">
        <v>2104288</v>
      </c>
      <c r="H9" s="81">
        <v>20004594</v>
      </c>
      <c r="I9" s="81">
        <v>31181264</v>
      </c>
      <c r="J9" s="81">
        <v>21144692</v>
      </c>
      <c r="K9" s="82">
        <f t="shared" si="2"/>
        <v>121719241</v>
      </c>
      <c r="M9" s="80" t="s">
        <v>42</v>
      </c>
      <c r="N9" s="81">
        <v>3700892</v>
      </c>
      <c r="O9" s="81">
        <v>705664</v>
      </c>
      <c r="P9" s="81">
        <v>45300364</v>
      </c>
      <c r="Q9" s="81">
        <v>2393548</v>
      </c>
      <c r="R9" s="81">
        <v>67438037</v>
      </c>
      <c r="S9" s="81">
        <v>194169</v>
      </c>
      <c r="T9" s="81">
        <v>72607988</v>
      </c>
      <c r="U9" s="81">
        <v>51190068</v>
      </c>
      <c r="V9" s="81">
        <v>123587495</v>
      </c>
      <c r="W9" s="82">
        <f t="shared" si="3"/>
        <v>367118225</v>
      </c>
      <c r="Y9" s="80" t="s">
        <v>42</v>
      </c>
      <c r="Z9" s="81">
        <v>7525361</v>
      </c>
      <c r="AA9" s="81">
        <v>1398936</v>
      </c>
      <c r="AB9" s="81">
        <v>37978574</v>
      </c>
      <c r="AC9" s="81">
        <v>3389093</v>
      </c>
      <c r="AD9" s="81">
        <v>31537703</v>
      </c>
      <c r="AE9" s="81">
        <v>0</v>
      </c>
      <c r="AF9" s="81">
        <v>51362174</v>
      </c>
      <c r="AG9" s="81">
        <v>44337898</v>
      </c>
      <c r="AH9" s="81">
        <v>70127804</v>
      </c>
      <c r="AI9" s="82">
        <f t="shared" si="0"/>
        <v>247657543</v>
      </c>
      <c r="AJ9" s="30"/>
      <c r="AK9" s="80" t="s">
        <v>42</v>
      </c>
      <c r="AL9" s="81">
        <v>2662388</v>
      </c>
      <c r="AM9" s="81">
        <v>543038</v>
      </c>
      <c r="AN9" s="81">
        <v>27737141</v>
      </c>
      <c r="AO9" s="81">
        <v>2326943</v>
      </c>
      <c r="AP9" s="81">
        <v>11420554</v>
      </c>
      <c r="AQ9" s="81">
        <v>0</v>
      </c>
      <c r="AR9" s="81">
        <v>42268989</v>
      </c>
      <c r="AS9" s="81">
        <v>14843264</v>
      </c>
      <c r="AT9" s="81">
        <v>41202397</v>
      </c>
      <c r="AU9" s="82">
        <f t="shared" si="1"/>
        <v>143004714</v>
      </c>
    </row>
    <row r="10" spans="1:47" x14ac:dyDescent="0.25">
      <c r="A10" s="80" t="s">
        <v>43</v>
      </c>
      <c r="B10" s="81">
        <v>0</v>
      </c>
      <c r="C10" s="81">
        <v>0</v>
      </c>
      <c r="D10" s="81">
        <v>3529447</v>
      </c>
      <c r="E10" s="81">
        <v>0</v>
      </c>
      <c r="F10" s="81">
        <v>3556479</v>
      </c>
      <c r="G10" s="81">
        <v>423824</v>
      </c>
      <c r="H10" s="81">
        <v>4121717</v>
      </c>
      <c r="I10" s="81">
        <v>6644410</v>
      </c>
      <c r="J10" s="81">
        <v>1134993</v>
      </c>
      <c r="K10" s="82">
        <f t="shared" si="2"/>
        <v>19410870</v>
      </c>
      <c r="M10" s="80" t="s">
        <v>43</v>
      </c>
      <c r="N10" s="81">
        <v>2150244</v>
      </c>
      <c r="O10" s="81">
        <v>1143450</v>
      </c>
      <c r="P10" s="81">
        <v>32398457</v>
      </c>
      <c r="Q10" s="81">
        <v>3460395</v>
      </c>
      <c r="R10" s="81">
        <v>88224813</v>
      </c>
      <c r="S10" s="81">
        <v>740248</v>
      </c>
      <c r="T10" s="81">
        <v>121193088</v>
      </c>
      <c r="U10" s="81">
        <v>85891398</v>
      </c>
      <c r="V10" s="81">
        <v>150527688</v>
      </c>
      <c r="W10" s="82">
        <f t="shared" si="3"/>
        <v>485729781</v>
      </c>
      <c r="Y10" s="80" t="s">
        <v>43</v>
      </c>
      <c r="Z10" s="81">
        <v>8060785</v>
      </c>
      <c r="AA10" s="81">
        <v>2923100</v>
      </c>
      <c r="AB10" s="81">
        <v>36750872</v>
      </c>
      <c r="AC10" s="81">
        <v>3828716</v>
      </c>
      <c r="AD10" s="81">
        <v>32615176</v>
      </c>
      <c r="AE10" s="81">
        <v>0</v>
      </c>
      <c r="AF10" s="81">
        <v>58903619</v>
      </c>
      <c r="AG10" s="81">
        <v>50436958</v>
      </c>
      <c r="AH10" s="81">
        <v>50294977</v>
      </c>
      <c r="AI10" s="82">
        <f t="shared" si="0"/>
        <v>243814203</v>
      </c>
      <c r="AJ10" s="30"/>
      <c r="AK10" s="80" t="s">
        <v>43</v>
      </c>
      <c r="AL10" s="81">
        <v>5812457</v>
      </c>
      <c r="AM10" s="81">
        <v>625944</v>
      </c>
      <c r="AN10" s="81">
        <v>58343549</v>
      </c>
      <c r="AO10" s="81">
        <v>4868840</v>
      </c>
      <c r="AP10" s="81">
        <v>17568373</v>
      </c>
      <c r="AQ10" s="81">
        <v>0</v>
      </c>
      <c r="AR10" s="81">
        <v>65687524</v>
      </c>
      <c r="AS10" s="81">
        <v>22722982</v>
      </c>
      <c r="AT10" s="81">
        <v>62908303</v>
      </c>
      <c r="AU10" s="82">
        <f t="shared" si="1"/>
        <v>238537972</v>
      </c>
    </row>
    <row r="11" spans="1:47" x14ac:dyDescent="0.25">
      <c r="A11" s="80" t="s">
        <v>44</v>
      </c>
      <c r="B11" s="81">
        <v>0</v>
      </c>
      <c r="C11" s="81">
        <v>0</v>
      </c>
      <c r="D11" s="81">
        <v>0</v>
      </c>
      <c r="E11" s="81">
        <v>0</v>
      </c>
      <c r="F11" s="81">
        <v>0</v>
      </c>
      <c r="G11" s="81">
        <v>0</v>
      </c>
      <c r="H11" s="81">
        <v>0</v>
      </c>
      <c r="I11" s="81">
        <v>0</v>
      </c>
      <c r="J11" s="81">
        <v>0</v>
      </c>
      <c r="K11" s="82">
        <f t="shared" si="2"/>
        <v>0</v>
      </c>
      <c r="M11" s="80" t="s">
        <v>44</v>
      </c>
      <c r="N11" s="81">
        <v>809493</v>
      </c>
      <c r="O11" s="81">
        <v>278934</v>
      </c>
      <c r="P11" s="81">
        <v>15021891</v>
      </c>
      <c r="Q11" s="81">
        <v>1923002</v>
      </c>
      <c r="R11" s="81">
        <v>57132892</v>
      </c>
      <c r="S11" s="81">
        <v>908962</v>
      </c>
      <c r="T11" s="81">
        <v>53963932</v>
      </c>
      <c r="U11" s="81">
        <v>54124344</v>
      </c>
      <c r="V11" s="81">
        <v>112186360</v>
      </c>
      <c r="W11" s="82">
        <f t="shared" si="3"/>
        <v>296349810</v>
      </c>
      <c r="Y11" s="80" t="s">
        <v>44</v>
      </c>
      <c r="Z11" s="81">
        <v>5352965</v>
      </c>
      <c r="AA11" s="81">
        <v>8525315</v>
      </c>
      <c r="AB11" s="81">
        <v>19109484</v>
      </c>
      <c r="AC11" s="81">
        <v>2181786</v>
      </c>
      <c r="AD11" s="81">
        <v>22726086</v>
      </c>
      <c r="AE11" s="81">
        <v>0</v>
      </c>
      <c r="AF11" s="81">
        <v>35169648</v>
      </c>
      <c r="AG11" s="81">
        <v>43823164</v>
      </c>
      <c r="AH11" s="81">
        <v>55395060</v>
      </c>
      <c r="AI11" s="82">
        <f t="shared" si="0"/>
        <v>192283508</v>
      </c>
      <c r="AJ11" s="83"/>
      <c r="AK11" s="80" t="s">
        <v>44</v>
      </c>
      <c r="AL11" s="81">
        <v>6599307</v>
      </c>
      <c r="AM11" s="81">
        <v>2034870</v>
      </c>
      <c r="AN11" s="81">
        <v>79416269</v>
      </c>
      <c r="AO11" s="81">
        <v>3425933</v>
      </c>
      <c r="AP11" s="81">
        <v>12616036</v>
      </c>
      <c r="AQ11" s="81">
        <v>0</v>
      </c>
      <c r="AR11" s="81">
        <v>76503452</v>
      </c>
      <c r="AS11" s="81">
        <v>23069417</v>
      </c>
      <c r="AT11" s="81">
        <v>29656372</v>
      </c>
      <c r="AU11" s="82">
        <f t="shared" si="1"/>
        <v>233321656</v>
      </c>
    </row>
    <row r="12" spans="1:47" x14ac:dyDescent="0.25">
      <c r="A12" s="80" t="s">
        <v>45</v>
      </c>
      <c r="B12" s="81">
        <v>0</v>
      </c>
      <c r="C12" s="81">
        <v>0</v>
      </c>
      <c r="D12" s="81">
        <v>0</v>
      </c>
      <c r="E12" s="81">
        <v>0</v>
      </c>
      <c r="F12" s="81">
        <v>0</v>
      </c>
      <c r="G12" s="81">
        <v>0</v>
      </c>
      <c r="H12" s="81">
        <v>0</v>
      </c>
      <c r="I12" s="81">
        <v>0</v>
      </c>
      <c r="J12" s="81">
        <v>0</v>
      </c>
      <c r="K12" s="82">
        <f>SUM(B12:J12)</f>
        <v>0</v>
      </c>
      <c r="M12" s="80" t="s">
        <v>45</v>
      </c>
      <c r="N12" s="81">
        <v>923720</v>
      </c>
      <c r="O12" s="81">
        <v>131384</v>
      </c>
      <c r="P12" s="81">
        <v>17443235</v>
      </c>
      <c r="Q12" s="81">
        <v>2016440</v>
      </c>
      <c r="R12" s="81">
        <v>60120676</v>
      </c>
      <c r="S12" s="81">
        <v>1137861</v>
      </c>
      <c r="T12" s="81">
        <v>59293875</v>
      </c>
      <c r="U12" s="81">
        <v>38828488</v>
      </c>
      <c r="V12" s="81">
        <v>82871555</v>
      </c>
      <c r="W12" s="82">
        <f>SUM(N12:V12)</f>
        <v>262767234</v>
      </c>
      <c r="Y12" s="80" t="s">
        <v>45</v>
      </c>
      <c r="Z12" s="81">
        <v>5929550</v>
      </c>
      <c r="AA12" s="81">
        <v>2693027</v>
      </c>
      <c r="AB12" s="81">
        <v>26496607</v>
      </c>
      <c r="AC12" s="81">
        <v>2672292</v>
      </c>
      <c r="AD12" s="81">
        <v>23855505</v>
      </c>
      <c r="AE12" s="81">
        <v>0</v>
      </c>
      <c r="AF12" s="81">
        <v>43509829</v>
      </c>
      <c r="AG12" s="81">
        <v>35580067</v>
      </c>
      <c r="AH12" s="81">
        <v>53554383</v>
      </c>
      <c r="AI12" s="82">
        <f t="shared" si="0"/>
        <v>194291260</v>
      </c>
      <c r="AJ12" s="83"/>
      <c r="AK12" s="80" t="s">
        <v>45</v>
      </c>
      <c r="AL12" s="81">
        <v>6955674</v>
      </c>
      <c r="AM12" s="81">
        <v>1573936</v>
      </c>
      <c r="AN12" s="81">
        <v>69253491</v>
      </c>
      <c r="AO12" s="81">
        <v>2568654</v>
      </c>
      <c r="AP12" s="81">
        <v>13451546</v>
      </c>
      <c r="AQ12" s="81">
        <v>0</v>
      </c>
      <c r="AR12" s="81">
        <v>68618555</v>
      </c>
      <c r="AS12" s="81">
        <v>37360352</v>
      </c>
      <c r="AT12" s="81">
        <v>47945886</v>
      </c>
      <c r="AU12" s="82">
        <f t="shared" si="1"/>
        <v>247728094</v>
      </c>
    </row>
    <row r="13" spans="1:47" x14ac:dyDescent="0.25">
      <c r="A13" s="80" t="s">
        <v>46</v>
      </c>
      <c r="B13" s="81">
        <v>0</v>
      </c>
      <c r="C13" s="81">
        <v>0</v>
      </c>
      <c r="D13" s="81">
        <v>0</v>
      </c>
      <c r="E13" s="81">
        <v>0</v>
      </c>
      <c r="F13" s="81">
        <v>0</v>
      </c>
      <c r="G13" s="81">
        <v>0</v>
      </c>
      <c r="H13" s="81">
        <v>0</v>
      </c>
      <c r="I13" s="81">
        <v>0</v>
      </c>
      <c r="J13" s="81">
        <v>0</v>
      </c>
      <c r="K13" s="82">
        <f t="shared" ref="K13:K14" si="4">SUM(B13:J13)</f>
        <v>0</v>
      </c>
      <c r="M13" s="80" t="s">
        <v>46</v>
      </c>
      <c r="N13" s="81">
        <v>899766</v>
      </c>
      <c r="O13" s="81">
        <v>0</v>
      </c>
      <c r="P13" s="81">
        <v>20023669</v>
      </c>
      <c r="Q13" s="81">
        <v>2205427</v>
      </c>
      <c r="R13" s="81">
        <v>50152988</v>
      </c>
      <c r="S13" s="81">
        <v>3429364</v>
      </c>
      <c r="T13" s="81">
        <v>47160204</v>
      </c>
      <c r="U13" s="81">
        <v>35410677</v>
      </c>
      <c r="V13" s="81">
        <v>65605501</v>
      </c>
      <c r="W13" s="82">
        <f t="shared" si="3"/>
        <v>224887596</v>
      </c>
      <c r="Y13" s="80" t="s">
        <v>46</v>
      </c>
      <c r="Z13" s="81">
        <v>5877361</v>
      </c>
      <c r="AA13" s="81">
        <v>1045485</v>
      </c>
      <c r="AB13" s="81">
        <v>28459236</v>
      </c>
      <c r="AC13" s="81">
        <v>2193240</v>
      </c>
      <c r="AD13" s="81">
        <v>40718200</v>
      </c>
      <c r="AE13" s="81">
        <v>0</v>
      </c>
      <c r="AF13" s="81">
        <v>61667138</v>
      </c>
      <c r="AG13" s="81">
        <v>41918298</v>
      </c>
      <c r="AH13" s="81">
        <v>65648493</v>
      </c>
      <c r="AI13" s="82">
        <f t="shared" si="0"/>
        <v>247527451</v>
      </c>
      <c r="AJ13" s="83"/>
      <c r="AK13" s="80" t="s">
        <v>46</v>
      </c>
      <c r="AL13" s="81">
        <v>6004042</v>
      </c>
      <c r="AM13" s="81">
        <v>3595379</v>
      </c>
      <c r="AN13" s="81">
        <v>49826116</v>
      </c>
      <c r="AO13" s="81">
        <v>3951497</v>
      </c>
      <c r="AP13" s="81">
        <v>20639486</v>
      </c>
      <c r="AQ13" s="81">
        <v>0</v>
      </c>
      <c r="AR13" s="81">
        <v>48065291</v>
      </c>
      <c r="AS13" s="81">
        <v>49775929</v>
      </c>
      <c r="AT13" s="81">
        <v>48502848</v>
      </c>
      <c r="AU13" s="82">
        <f t="shared" si="1"/>
        <v>230360588</v>
      </c>
    </row>
    <row r="14" spans="1:47" x14ac:dyDescent="0.25">
      <c r="A14" s="80" t="s">
        <v>47</v>
      </c>
      <c r="B14" s="81">
        <v>0</v>
      </c>
      <c r="C14" s="81">
        <v>0</v>
      </c>
      <c r="D14" s="81">
        <v>0</v>
      </c>
      <c r="E14" s="81">
        <v>0</v>
      </c>
      <c r="F14" s="81">
        <v>0</v>
      </c>
      <c r="G14" s="81">
        <v>0</v>
      </c>
      <c r="H14" s="81">
        <v>0</v>
      </c>
      <c r="I14" s="81">
        <v>0</v>
      </c>
      <c r="J14" s="81">
        <v>0</v>
      </c>
      <c r="K14" s="82">
        <f t="shared" si="4"/>
        <v>0</v>
      </c>
      <c r="M14" s="80" t="s">
        <v>47</v>
      </c>
      <c r="N14" s="81">
        <v>1878932</v>
      </c>
      <c r="O14" s="81">
        <v>93339</v>
      </c>
      <c r="P14" s="81">
        <v>39266815</v>
      </c>
      <c r="Q14" s="81">
        <v>3401787</v>
      </c>
      <c r="R14" s="81">
        <v>54820599</v>
      </c>
      <c r="S14" s="81">
        <v>2219138</v>
      </c>
      <c r="T14" s="81">
        <v>68190923</v>
      </c>
      <c r="U14" s="81">
        <v>41393566</v>
      </c>
      <c r="V14" s="81">
        <v>76777371</v>
      </c>
      <c r="W14" s="82">
        <f t="shared" si="3"/>
        <v>288042470</v>
      </c>
      <c r="Y14" s="80" t="s">
        <v>47</v>
      </c>
      <c r="Z14" s="81">
        <v>5943813</v>
      </c>
      <c r="AA14" s="81">
        <v>881061</v>
      </c>
      <c r="AB14" s="81">
        <v>33993718</v>
      </c>
      <c r="AC14" s="81">
        <v>3974330</v>
      </c>
      <c r="AD14" s="81">
        <v>42088933</v>
      </c>
      <c r="AE14" s="81">
        <v>0</v>
      </c>
      <c r="AF14" s="81">
        <v>61676511</v>
      </c>
      <c r="AG14" s="81">
        <v>50670615</v>
      </c>
      <c r="AH14" s="81">
        <v>65875649</v>
      </c>
      <c r="AI14" s="82">
        <f t="shared" si="0"/>
        <v>265104630</v>
      </c>
      <c r="AJ14" s="83"/>
      <c r="AK14" s="80" t="s">
        <v>47</v>
      </c>
      <c r="AL14" s="81">
        <v>5728265</v>
      </c>
      <c r="AM14" s="81">
        <v>9546360</v>
      </c>
      <c r="AN14" s="81">
        <v>58206923</v>
      </c>
      <c r="AO14" s="81">
        <v>2611379</v>
      </c>
      <c r="AP14" s="81">
        <v>19071596</v>
      </c>
      <c r="AQ14" s="81">
        <v>0</v>
      </c>
      <c r="AR14" s="81">
        <v>50184831</v>
      </c>
      <c r="AS14" s="81">
        <v>30090378</v>
      </c>
      <c r="AT14" s="81">
        <v>44534332</v>
      </c>
      <c r="AU14" s="82">
        <f t="shared" si="1"/>
        <v>219974064</v>
      </c>
    </row>
    <row r="15" spans="1:47" x14ac:dyDescent="0.25">
      <c r="A15" s="80" t="s">
        <v>48</v>
      </c>
      <c r="B15" s="81">
        <v>0</v>
      </c>
      <c r="C15" s="81">
        <v>0</v>
      </c>
      <c r="D15" s="81">
        <v>0</v>
      </c>
      <c r="E15" s="81">
        <v>0</v>
      </c>
      <c r="F15" s="81">
        <v>0</v>
      </c>
      <c r="G15" s="81">
        <v>0</v>
      </c>
      <c r="H15" s="81">
        <v>0</v>
      </c>
      <c r="I15" s="81">
        <v>0</v>
      </c>
      <c r="J15" s="81">
        <v>0</v>
      </c>
      <c r="K15" s="82">
        <f>SUM(B15:J15)</f>
        <v>0</v>
      </c>
      <c r="M15" s="80" t="s">
        <v>48</v>
      </c>
      <c r="N15" s="81">
        <v>450799</v>
      </c>
      <c r="O15" s="81">
        <v>1000</v>
      </c>
      <c r="P15" s="81">
        <v>14246552</v>
      </c>
      <c r="Q15" s="81">
        <v>2636814</v>
      </c>
      <c r="R15" s="81">
        <v>67368279</v>
      </c>
      <c r="S15" s="81">
        <v>2996708</v>
      </c>
      <c r="T15" s="81">
        <v>64155098</v>
      </c>
      <c r="U15" s="81">
        <v>43726968</v>
      </c>
      <c r="V15" s="81">
        <v>85259940</v>
      </c>
      <c r="W15" s="82">
        <f>SUM(N15:V15)</f>
        <v>280842158</v>
      </c>
      <c r="Y15" s="80" t="s">
        <v>48</v>
      </c>
      <c r="Z15" s="81">
        <v>4761646</v>
      </c>
      <c r="AA15" s="81">
        <v>1088466</v>
      </c>
      <c r="AB15" s="81">
        <v>40235970</v>
      </c>
      <c r="AC15" s="81">
        <v>3391675</v>
      </c>
      <c r="AD15" s="81">
        <v>49921140</v>
      </c>
      <c r="AE15" s="81">
        <v>0</v>
      </c>
      <c r="AF15" s="81">
        <v>79147404</v>
      </c>
      <c r="AG15" s="81">
        <v>64236697</v>
      </c>
      <c r="AH15" s="81">
        <v>80588077</v>
      </c>
      <c r="AI15" s="82">
        <f t="shared" si="0"/>
        <v>323371075</v>
      </c>
      <c r="AJ15" s="83"/>
      <c r="AK15" s="80" t="s">
        <v>48</v>
      </c>
      <c r="AL15" s="81">
        <v>10184263</v>
      </c>
      <c r="AM15" s="81">
        <v>2027268</v>
      </c>
      <c r="AN15" s="81">
        <v>28317408</v>
      </c>
      <c r="AO15" s="81">
        <v>5390763</v>
      </c>
      <c r="AP15" s="81">
        <v>23428446</v>
      </c>
      <c r="AQ15" s="81">
        <v>0</v>
      </c>
      <c r="AR15" s="81">
        <v>45280742</v>
      </c>
      <c r="AS15" s="81">
        <v>44340957</v>
      </c>
      <c r="AT15" s="81">
        <v>53691007</v>
      </c>
      <c r="AU15" s="82">
        <f t="shared" si="1"/>
        <v>212660854</v>
      </c>
    </row>
    <row r="16" spans="1:47" x14ac:dyDescent="0.25">
      <c r="A16" s="80" t="s">
        <v>49</v>
      </c>
      <c r="B16" s="81">
        <v>0</v>
      </c>
      <c r="C16" s="81">
        <v>0</v>
      </c>
      <c r="D16" s="81">
        <v>0</v>
      </c>
      <c r="E16" s="81">
        <v>0</v>
      </c>
      <c r="F16" s="81">
        <v>0</v>
      </c>
      <c r="G16" s="81">
        <v>0</v>
      </c>
      <c r="H16" s="81">
        <v>0</v>
      </c>
      <c r="I16" s="81">
        <v>0</v>
      </c>
      <c r="J16" s="81">
        <v>0</v>
      </c>
      <c r="K16" s="82">
        <f>SUM(B16:J16)</f>
        <v>0</v>
      </c>
      <c r="M16" s="80" t="s">
        <v>49</v>
      </c>
      <c r="N16" s="81">
        <v>2030520</v>
      </c>
      <c r="O16" s="81">
        <v>65150</v>
      </c>
      <c r="P16" s="81">
        <v>13156526</v>
      </c>
      <c r="Q16" s="81">
        <v>1440926</v>
      </c>
      <c r="R16" s="81">
        <v>49760065</v>
      </c>
      <c r="S16" s="81">
        <v>1865276</v>
      </c>
      <c r="T16" s="81">
        <v>55341782</v>
      </c>
      <c r="U16" s="81">
        <v>37182314</v>
      </c>
      <c r="V16" s="81">
        <v>74409148</v>
      </c>
      <c r="W16" s="82">
        <f>SUM(N16:V16)</f>
        <v>235251707</v>
      </c>
      <c r="Y16" s="80" t="s">
        <v>49</v>
      </c>
      <c r="Z16" s="81">
        <v>3484697</v>
      </c>
      <c r="AA16" s="81">
        <v>2244536</v>
      </c>
      <c r="AB16" s="81">
        <v>44116588</v>
      </c>
      <c r="AC16" s="81">
        <v>4596725</v>
      </c>
      <c r="AD16" s="81">
        <v>63766988</v>
      </c>
      <c r="AE16" s="81">
        <v>0</v>
      </c>
      <c r="AF16" s="81">
        <v>80923262</v>
      </c>
      <c r="AG16" s="81">
        <v>70601839</v>
      </c>
      <c r="AH16" s="81">
        <v>94145283</v>
      </c>
      <c r="AI16" s="82">
        <f t="shared" si="0"/>
        <v>363879918</v>
      </c>
      <c r="AJ16" s="83"/>
      <c r="AK16" s="80" t="s">
        <v>49</v>
      </c>
      <c r="AL16" s="81">
        <v>7535590</v>
      </c>
      <c r="AM16" s="81">
        <v>2680793</v>
      </c>
      <c r="AN16" s="81">
        <v>35649472</v>
      </c>
      <c r="AO16" s="81">
        <v>4694376</v>
      </c>
      <c r="AP16" s="81">
        <v>18322958</v>
      </c>
      <c r="AQ16" s="81">
        <v>0</v>
      </c>
      <c r="AR16" s="81">
        <v>65006306</v>
      </c>
      <c r="AS16" s="81">
        <v>39153210</v>
      </c>
      <c r="AT16" s="81">
        <v>43945786</v>
      </c>
      <c r="AU16" s="82">
        <f t="shared" si="1"/>
        <v>216988491</v>
      </c>
    </row>
    <row r="17" spans="1:47" x14ac:dyDescent="0.25">
      <c r="A17" s="80" t="s">
        <v>50</v>
      </c>
      <c r="B17" s="81">
        <v>0</v>
      </c>
      <c r="C17" s="81">
        <v>0</v>
      </c>
      <c r="D17" s="81">
        <v>0</v>
      </c>
      <c r="E17" s="81">
        <v>0</v>
      </c>
      <c r="F17" s="81">
        <v>0</v>
      </c>
      <c r="G17" s="81">
        <v>0</v>
      </c>
      <c r="H17" s="81">
        <v>0</v>
      </c>
      <c r="I17" s="81">
        <v>0</v>
      </c>
      <c r="J17" s="81">
        <v>0</v>
      </c>
      <c r="K17" s="82">
        <f>SUM(B17:J17)</f>
        <v>0</v>
      </c>
      <c r="M17" s="80" t="s">
        <v>50</v>
      </c>
      <c r="N17" s="81">
        <v>426411</v>
      </c>
      <c r="O17" s="81">
        <v>5197</v>
      </c>
      <c r="P17" s="81">
        <v>20255602</v>
      </c>
      <c r="Q17" s="81">
        <v>1347122</v>
      </c>
      <c r="R17" s="81">
        <v>56740210</v>
      </c>
      <c r="S17" s="81">
        <v>2130668</v>
      </c>
      <c r="T17" s="81">
        <v>72532849</v>
      </c>
      <c r="U17" s="81">
        <v>39414921</v>
      </c>
      <c r="V17" s="81">
        <v>89146079</v>
      </c>
      <c r="W17" s="82">
        <f>SUM(N17:V17)</f>
        <v>281999059</v>
      </c>
      <c r="Y17" s="80" t="s">
        <v>50</v>
      </c>
      <c r="Z17" s="81">
        <v>4127066</v>
      </c>
      <c r="AA17" s="81">
        <v>354935</v>
      </c>
      <c r="AB17" s="81">
        <v>31384718</v>
      </c>
      <c r="AC17" s="81">
        <v>5185843</v>
      </c>
      <c r="AD17" s="81">
        <v>62931325</v>
      </c>
      <c r="AE17" s="81">
        <v>150000</v>
      </c>
      <c r="AF17" s="81">
        <v>85120729</v>
      </c>
      <c r="AG17" s="81">
        <v>63737737</v>
      </c>
      <c r="AH17" s="81">
        <v>108023405</v>
      </c>
      <c r="AI17" s="82">
        <f t="shared" si="0"/>
        <v>361015758</v>
      </c>
      <c r="AJ17" s="83"/>
      <c r="AK17" s="80" t="s">
        <v>50</v>
      </c>
      <c r="AL17" s="81">
        <v>6924461</v>
      </c>
      <c r="AM17" s="81">
        <v>1228671</v>
      </c>
      <c r="AN17" s="81">
        <v>48498274</v>
      </c>
      <c r="AO17" s="81">
        <v>7071838</v>
      </c>
      <c r="AP17" s="81">
        <v>18554518</v>
      </c>
      <c r="AQ17" s="81">
        <v>0</v>
      </c>
      <c r="AR17" s="81">
        <v>57302362</v>
      </c>
      <c r="AS17" s="81">
        <v>30842620</v>
      </c>
      <c r="AT17" s="81">
        <v>40859471</v>
      </c>
      <c r="AU17" s="82">
        <f t="shared" si="1"/>
        <v>211282215</v>
      </c>
    </row>
    <row r="18" spans="1:47" x14ac:dyDescent="0.25">
      <c r="A18" s="84" t="s">
        <v>9</v>
      </c>
      <c r="B18" s="85">
        <f>SUM(B6:B17)</f>
        <v>1589714</v>
      </c>
      <c r="C18" s="85">
        <f t="shared" ref="C18:J18" si="5">SUM(C6:C17)</f>
        <v>3784772</v>
      </c>
      <c r="D18" s="85">
        <f t="shared" si="5"/>
        <v>62441290</v>
      </c>
      <c r="E18" s="85">
        <f t="shared" si="5"/>
        <v>5028696</v>
      </c>
      <c r="F18" s="85">
        <f t="shared" si="5"/>
        <v>138515101</v>
      </c>
      <c r="G18" s="85">
        <f t="shared" si="5"/>
        <v>11791648</v>
      </c>
      <c r="H18" s="85">
        <f t="shared" si="5"/>
        <v>147944071</v>
      </c>
      <c r="I18" s="85">
        <f t="shared" si="5"/>
        <v>139710418</v>
      </c>
      <c r="J18" s="85">
        <f t="shared" si="5"/>
        <v>186230923</v>
      </c>
      <c r="K18" s="85">
        <f>SUM(K6:K17)</f>
        <v>697036633</v>
      </c>
      <c r="M18" s="84" t="s">
        <v>9</v>
      </c>
      <c r="N18" s="85">
        <f>SUM(N6:N17)</f>
        <v>22411024</v>
      </c>
      <c r="O18" s="85">
        <f t="shared" ref="O18:V18" si="6">SUM(O6:O17)</f>
        <v>8723947</v>
      </c>
      <c r="P18" s="85">
        <f t="shared" si="6"/>
        <v>306760998</v>
      </c>
      <c r="Q18" s="85">
        <f t="shared" si="6"/>
        <v>34021178</v>
      </c>
      <c r="R18" s="85">
        <f t="shared" si="6"/>
        <v>745066424</v>
      </c>
      <c r="S18" s="85">
        <f t="shared" si="6"/>
        <v>16107517</v>
      </c>
      <c r="T18" s="85">
        <f t="shared" si="6"/>
        <v>837151689</v>
      </c>
      <c r="U18" s="85">
        <f t="shared" si="6"/>
        <v>640264013</v>
      </c>
      <c r="V18" s="85">
        <f t="shared" si="6"/>
        <v>1210795248</v>
      </c>
      <c r="W18" s="85">
        <f>SUM(W6:W17)</f>
        <v>3821302038</v>
      </c>
      <c r="Y18" s="84" t="s">
        <v>9</v>
      </c>
      <c r="Z18" s="85">
        <f>SUM(Z6:Z17)</f>
        <v>68908372</v>
      </c>
      <c r="AA18" s="85">
        <f t="shared" ref="AA18:AH18" si="7">SUM(AA6:AA17)</f>
        <v>27875255</v>
      </c>
      <c r="AB18" s="85">
        <f t="shared" si="7"/>
        <v>438339867</v>
      </c>
      <c r="AC18" s="85">
        <f t="shared" si="7"/>
        <v>41480005</v>
      </c>
      <c r="AD18" s="85">
        <f t="shared" si="7"/>
        <v>441701601</v>
      </c>
      <c r="AE18" s="85">
        <f t="shared" si="7"/>
        <v>150000</v>
      </c>
      <c r="AF18" s="85">
        <f t="shared" si="7"/>
        <v>746714272</v>
      </c>
      <c r="AG18" s="85">
        <f t="shared" si="7"/>
        <v>567470768</v>
      </c>
      <c r="AH18" s="85">
        <f t="shared" si="7"/>
        <v>882797497</v>
      </c>
      <c r="AI18" s="85">
        <f>SUM(AI6:AI17)</f>
        <v>3215437637</v>
      </c>
      <c r="AJ18" s="83"/>
      <c r="AK18" s="84" t="s">
        <v>9</v>
      </c>
      <c r="AL18" s="85">
        <f>SUM(AL6:AL17)</f>
        <v>71009342</v>
      </c>
      <c r="AM18" s="85">
        <f t="shared" ref="AM18:AT18" si="8">SUM(AM6:AM17)</f>
        <v>31367357</v>
      </c>
      <c r="AN18" s="85">
        <f t="shared" si="8"/>
        <v>504411131</v>
      </c>
      <c r="AO18" s="85">
        <f t="shared" si="8"/>
        <v>49922445</v>
      </c>
      <c r="AP18" s="85">
        <f t="shared" si="8"/>
        <v>184256775</v>
      </c>
      <c r="AQ18" s="85">
        <f t="shared" si="8"/>
        <v>0</v>
      </c>
      <c r="AR18" s="85">
        <f t="shared" si="8"/>
        <v>678324105</v>
      </c>
      <c r="AS18" s="85">
        <f t="shared" si="8"/>
        <v>329515124</v>
      </c>
      <c r="AT18" s="85">
        <f t="shared" si="8"/>
        <v>618412051</v>
      </c>
      <c r="AU18" s="85">
        <f>SUM(AU6:AU17)</f>
        <v>2467218330</v>
      </c>
    </row>
    <row r="19" spans="1:47" ht="17.45" customHeight="1" x14ac:dyDescent="0.25">
      <c r="A19" s="86" t="s">
        <v>58</v>
      </c>
      <c r="B19" s="65">
        <f t="shared" ref="B19:K19" si="9">B18/$K18</f>
        <v>2.2806749670501178E-3</v>
      </c>
      <c r="C19" s="65">
        <f t="shared" si="9"/>
        <v>5.4298035724615924E-3</v>
      </c>
      <c r="D19" s="65">
        <f t="shared" si="9"/>
        <v>8.9581073710942247E-2</v>
      </c>
      <c r="E19" s="65">
        <f t="shared" si="9"/>
        <v>7.2143927046657815E-3</v>
      </c>
      <c r="F19" s="65">
        <f t="shared" si="9"/>
        <v>0.19871997315813961</v>
      </c>
      <c r="G19" s="65">
        <f t="shared" si="9"/>
        <v>1.6916826809015073E-2</v>
      </c>
      <c r="H19" s="65">
        <f t="shared" si="9"/>
        <v>0.21224719619578444</v>
      </c>
      <c r="I19" s="65">
        <f t="shared" si="9"/>
        <v>0.20043482850922126</v>
      </c>
      <c r="J19" s="65">
        <f t="shared" si="9"/>
        <v>0.2671752303727199</v>
      </c>
      <c r="K19" s="65">
        <f t="shared" si="9"/>
        <v>1</v>
      </c>
      <c r="M19" s="86" t="s">
        <v>58</v>
      </c>
      <c r="N19" s="65">
        <f t="shared" ref="N19:W19" si="10">N18/$W18</f>
        <v>5.8647612193799582E-3</v>
      </c>
      <c r="O19" s="65">
        <f t="shared" si="10"/>
        <v>2.2829776116221252E-3</v>
      </c>
      <c r="P19" s="65">
        <f t="shared" si="10"/>
        <v>8.0276564100270162E-2</v>
      </c>
      <c r="Q19" s="65">
        <f t="shared" si="10"/>
        <v>8.9030329614578352E-3</v>
      </c>
      <c r="R19" s="65">
        <f t="shared" si="10"/>
        <v>0.19497710900391277</v>
      </c>
      <c r="S19" s="65">
        <f t="shared" si="10"/>
        <v>4.2151907490752503E-3</v>
      </c>
      <c r="T19" s="65">
        <f t="shared" si="10"/>
        <v>0.21907498561358157</v>
      </c>
      <c r="U19" s="65">
        <f t="shared" si="10"/>
        <v>0.16755127091055658</v>
      </c>
      <c r="V19" s="65">
        <f t="shared" si="10"/>
        <v>0.31685410783014373</v>
      </c>
      <c r="W19" s="65">
        <f t="shared" si="10"/>
        <v>1</v>
      </c>
      <c r="X19" s="87"/>
      <c r="Y19" s="86" t="s">
        <v>58</v>
      </c>
      <c r="Z19" s="65">
        <f t="shared" ref="Z19:AI19" si="11">Z18/$AI18</f>
        <v>2.1430480009026528E-2</v>
      </c>
      <c r="AA19" s="65">
        <f t="shared" si="11"/>
        <v>8.669194724612226E-3</v>
      </c>
      <c r="AB19" s="65">
        <f t="shared" si="11"/>
        <v>0.13632354798489285</v>
      </c>
      <c r="AC19" s="65">
        <f t="shared" si="11"/>
        <v>1.2900267298824306E-2</v>
      </c>
      <c r="AD19" s="65">
        <f t="shared" si="11"/>
        <v>0.13736904610350556</v>
      </c>
      <c r="AE19" s="65">
        <f t="shared" si="11"/>
        <v>4.6649948446815423E-5</v>
      </c>
      <c r="AF19" s="65">
        <f t="shared" si="11"/>
        <v>0.23222788195534205</v>
      </c>
      <c r="AG19" s="65">
        <f t="shared" si="11"/>
        <v>0.17648321381516502</v>
      </c>
      <c r="AH19" s="65">
        <f t="shared" si="11"/>
        <v>0.27454971816018459</v>
      </c>
      <c r="AI19" s="65">
        <f t="shared" si="11"/>
        <v>1</v>
      </c>
      <c r="AJ19" s="83"/>
      <c r="AK19" s="86" t="s">
        <v>58</v>
      </c>
      <c r="AL19" s="65">
        <f t="shared" ref="AL19:AU19" si="12">AL18/$AU18</f>
        <v>2.8781134258191086E-2</v>
      </c>
      <c r="AM19" s="65">
        <f t="shared" si="12"/>
        <v>1.2713652707014382E-2</v>
      </c>
      <c r="AN19" s="65">
        <f t="shared" si="12"/>
        <v>0.20444527542076099</v>
      </c>
      <c r="AO19" s="65">
        <f t="shared" si="12"/>
        <v>2.0234303706717353E-2</v>
      </c>
      <c r="AP19" s="65">
        <f t="shared" si="12"/>
        <v>7.4681990142315455E-2</v>
      </c>
      <c r="AQ19" s="65">
        <f t="shared" si="12"/>
        <v>0</v>
      </c>
      <c r="AR19" s="65">
        <f t="shared" si="12"/>
        <v>0.27493477036545849</v>
      </c>
      <c r="AS19" s="65">
        <f t="shared" si="12"/>
        <v>0.13355734269370478</v>
      </c>
      <c r="AT19" s="65">
        <f t="shared" si="12"/>
        <v>0.25065153070583746</v>
      </c>
      <c r="AU19" s="65">
        <f t="shared" si="12"/>
        <v>1</v>
      </c>
    </row>
    <row r="20" spans="1:47" ht="31.15" customHeight="1" x14ac:dyDescent="0.25">
      <c r="A20" s="86" t="s">
        <v>59</v>
      </c>
      <c r="B20" s="65">
        <f t="shared" ref="B20:K20" si="13">IFERROR(B18/B$98,"")</f>
        <v>2.3171723126394581E-2</v>
      </c>
      <c r="C20" s="65">
        <f>IFERROR(C18/C$98,"")</f>
        <v>5.2431943497430175E-2</v>
      </c>
      <c r="D20" s="65">
        <f t="shared" si="13"/>
        <v>9.7245305932979711E-2</v>
      </c>
      <c r="E20" s="65">
        <f t="shared" si="13"/>
        <v>0.19903705994081011</v>
      </c>
      <c r="F20" s="65">
        <f t="shared" si="13"/>
        <v>0.29927652828348889</v>
      </c>
      <c r="G20" s="65">
        <f t="shared" si="13"/>
        <v>3.2108283167589978E-2</v>
      </c>
      <c r="H20" s="65">
        <f t="shared" si="13"/>
        <v>0.28833490862362926</v>
      </c>
      <c r="I20" s="65">
        <f t="shared" si="13"/>
        <v>9.1079997570346793E-2</v>
      </c>
      <c r="J20" s="65">
        <f t="shared" si="13"/>
        <v>0.16710161533907378</v>
      </c>
      <c r="K20" s="65">
        <f t="shared" si="13"/>
        <v>0.14522378311891285</v>
      </c>
      <c r="M20" s="86" t="s">
        <v>59</v>
      </c>
      <c r="N20" s="65">
        <f t="shared" ref="N20:W20" si="14">IFERROR(N18/N$98,"")</f>
        <v>6.0629094395486985E-2</v>
      </c>
      <c r="O20" s="65">
        <f t="shared" si="14"/>
        <v>6.126518674292239E-2</v>
      </c>
      <c r="P20" s="65">
        <f t="shared" si="14"/>
        <v>8.4507232871769727E-2</v>
      </c>
      <c r="Q20" s="65">
        <f t="shared" si="14"/>
        <v>0.26431248379374633</v>
      </c>
      <c r="R20" s="65">
        <f t="shared" si="14"/>
        <v>0.35658381061518413</v>
      </c>
      <c r="S20" s="65">
        <f t="shared" si="14"/>
        <v>6.4054561202083277E-2</v>
      </c>
      <c r="T20" s="65">
        <f t="shared" si="14"/>
        <v>0.58095792764750898</v>
      </c>
      <c r="U20" s="65">
        <f t="shared" si="14"/>
        <v>0.12830567188318476</v>
      </c>
      <c r="V20" s="65">
        <f t="shared" si="14"/>
        <v>0.26813465554416988</v>
      </c>
      <c r="W20" s="65">
        <f t="shared" si="14"/>
        <v>0.21763349941357715</v>
      </c>
      <c r="X20" s="87"/>
      <c r="Y20" s="86" t="s">
        <v>59</v>
      </c>
      <c r="Z20" s="65">
        <f t="shared" ref="Z20:AI20" si="15">IFERROR(Z18/Z$98,"")</f>
        <v>0.14207925931208559</v>
      </c>
      <c r="AA20" s="65">
        <f t="shared" si="15"/>
        <v>0.18285862640454148</v>
      </c>
      <c r="AB20" s="65">
        <f t="shared" si="15"/>
        <v>0.16137892858844502</v>
      </c>
      <c r="AC20" s="65">
        <f t="shared" si="15"/>
        <v>0.34260315661691748</v>
      </c>
      <c r="AD20" s="65">
        <f t="shared" si="15"/>
        <v>0.42161995269590186</v>
      </c>
      <c r="AE20" s="65">
        <f t="shared" si="15"/>
        <v>5.2403138039647516E-2</v>
      </c>
      <c r="AF20" s="65">
        <f t="shared" si="15"/>
        <v>0.74773883721404977</v>
      </c>
      <c r="AG20" s="65">
        <f t="shared" si="15"/>
        <v>0.20972928330653234</v>
      </c>
      <c r="AH20" s="65">
        <f t="shared" si="15"/>
        <v>0.33697250187686639</v>
      </c>
      <c r="AI20" s="65">
        <f t="shared" si="15"/>
        <v>0.29637085990028905</v>
      </c>
      <c r="AJ20" s="83"/>
      <c r="AK20" s="86" t="s">
        <v>59</v>
      </c>
      <c r="AL20" s="65">
        <f t="shared" ref="AL20:AU20" si="16">IFERROR(AL18/AL$98,"")</f>
        <v>0.18609050646094746</v>
      </c>
      <c r="AM20" s="65">
        <f t="shared" si="16"/>
        <v>0.19838039276480088</v>
      </c>
      <c r="AN20" s="65">
        <f t="shared" si="16"/>
        <v>0.20011798234066969</v>
      </c>
      <c r="AO20" s="65">
        <f t="shared" si="16"/>
        <v>0.40731447611888261</v>
      </c>
      <c r="AP20" s="65">
        <f t="shared" si="16"/>
        <v>0.34547119414197047</v>
      </c>
      <c r="AQ20" s="65">
        <f t="shared" si="16"/>
        <v>0</v>
      </c>
      <c r="AR20" s="65">
        <f t="shared" si="16"/>
        <v>0.67744591763061113</v>
      </c>
      <c r="AS20" s="65">
        <f t="shared" si="16"/>
        <v>0.24663056992139923</v>
      </c>
      <c r="AT20" s="65">
        <f t="shared" si="16"/>
        <v>0.35193180134847429</v>
      </c>
      <c r="AU20" s="65">
        <f t="shared" si="16"/>
        <v>0.31587501300327753</v>
      </c>
    </row>
    <row r="21" spans="1:47" x14ac:dyDescent="0.25">
      <c r="B21" s="30"/>
      <c r="C21" s="30"/>
      <c r="D21" s="30"/>
      <c r="E21" s="30"/>
      <c r="F21" s="30"/>
      <c r="G21" s="30"/>
      <c r="H21" s="30"/>
      <c r="I21" s="30"/>
      <c r="N21" s="30"/>
      <c r="O21" s="30"/>
      <c r="P21" s="30"/>
      <c r="Q21" s="30"/>
      <c r="R21" s="30"/>
      <c r="S21" s="30"/>
      <c r="T21" s="30"/>
      <c r="U21" s="30"/>
      <c r="Z21" s="30"/>
      <c r="AA21" s="30"/>
      <c r="AB21" s="30"/>
      <c r="AC21" s="30"/>
      <c r="AD21" s="30"/>
      <c r="AE21" s="30"/>
      <c r="AF21" s="30"/>
      <c r="AG21" s="30"/>
      <c r="AJ21" s="83"/>
      <c r="AL21" s="30"/>
      <c r="AM21" s="30"/>
      <c r="AN21" s="30"/>
      <c r="AO21" s="30"/>
      <c r="AP21" s="30"/>
      <c r="AQ21" s="30"/>
      <c r="AR21" s="30"/>
      <c r="AS21" s="30"/>
    </row>
    <row r="22" spans="1:47" x14ac:dyDescent="0.25">
      <c r="AJ22" s="83"/>
    </row>
    <row r="23" spans="1:47" x14ac:dyDescent="0.25">
      <c r="A23" s="73" t="s">
        <v>20</v>
      </c>
      <c r="B23" s="73"/>
      <c r="C23" s="73"/>
      <c r="D23" s="73"/>
      <c r="E23" s="73"/>
      <c r="F23" s="73"/>
      <c r="G23" s="73"/>
      <c r="H23" s="73"/>
      <c r="I23" s="73"/>
      <c r="J23" s="73"/>
      <c r="K23" s="73"/>
      <c r="M23" s="73" t="s">
        <v>20</v>
      </c>
      <c r="N23" s="73"/>
      <c r="O23" s="73"/>
      <c r="P23" s="73"/>
      <c r="Q23" s="73"/>
      <c r="R23" s="73"/>
      <c r="S23" s="73"/>
      <c r="T23" s="73"/>
      <c r="U23" s="73"/>
      <c r="V23" s="73"/>
      <c r="W23" s="73"/>
      <c r="Y23" s="73" t="s">
        <v>20</v>
      </c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30"/>
      <c r="AK23" s="73" t="s">
        <v>20</v>
      </c>
      <c r="AL23" s="73"/>
      <c r="AM23" s="73"/>
      <c r="AN23" s="73"/>
      <c r="AO23" s="73"/>
      <c r="AP23" s="73"/>
      <c r="AQ23" s="73"/>
      <c r="AR23" s="73"/>
      <c r="AS23" s="73"/>
      <c r="AT23" s="73"/>
      <c r="AU23" s="73"/>
    </row>
    <row r="24" spans="1:47" x14ac:dyDescent="0.25">
      <c r="A24" s="54" t="s">
        <v>38</v>
      </c>
      <c r="B24" s="74" t="s">
        <v>3</v>
      </c>
      <c r="C24" s="74"/>
      <c r="D24" s="75" t="s">
        <v>4</v>
      </c>
      <c r="E24" s="76" t="s">
        <v>5</v>
      </c>
      <c r="F24" s="77"/>
      <c r="G24" s="78"/>
      <c r="H24" s="75" t="s">
        <v>7</v>
      </c>
      <c r="I24" s="74" t="s">
        <v>8</v>
      </c>
      <c r="J24" s="74"/>
      <c r="K24" s="54" t="s">
        <v>9</v>
      </c>
      <c r="M24" s="54" t="s">
        <v>38</v>
      </c>
      <c r="N24" s="74" t="s">
        <v>3</v>
      </c>
      <c r="O24" s="74"/>
      <c r="P24" s="75" t="s">
        <v>4</v>
      </c>
      <c r="Q24" s="76" t="s">
        <v>5</v>
      </c>
      <c r="R24" s="77"/>
      <c r="S24" s="78"/>
      <c r="T24" s="75" t="s">
        <v>7</v>
      </c>
      <c r="U24" s="74" t="s">
        <v>8</v>
      </c>
      <c r="V24" s="74"/>
      <c r="W24" s="54" t="s">
        <v>9</v>
      </c>
      <c r="Y24" s="54" t="s">
        <v>38</v>
      </c>
      <c r="Z24" s="74" t="s">
        <v>3</v>
      </c>
      <c r="AA24" s="74"/>
      <c r="AB24" s="75" t="s">
        <v>4</v>
      </c>
      <c r="AC24" s="76" t="s">
        <v>5</v>
      </c>
      <c r="AD24" s="77"/>
      <c r="AE24" s="78"/>
      <c r="AF24" s="75" t="s">
        <v>7</v>
      </c>
      <c r="AG24" s="74" t="s">
        <v>8</v>
      </c>
      <c r="AH24" s="74"/>
      <c r="AI24" s="54" t="s">
        <v>9</v>
      </c>
      <c r="AJ24" s="30"/>
      <c r="AK24" s="54" t="s">
        <v>38</v>
      </c>
      <c r="AL24" s="74" t="s">
        <v>3</v>
      </c>
      <c r="AM24" s="74"/>
      <c r="AN24" s="75" t="s">
        <v>4</v>
      </c>
      <c r="AO24" s="76" t="s">
        <v>5</v>
      </c>
      <c r="AP24" s="77"/>
      <c r="AQ24" s="78"/>
      <c r="AR24" s="75" t="s">
        <v>7</v>
      </c>
      <c r="AS24" s="74" t="s">
        <v>8</v>
      </c>
      <c r="AT24" s="74"/>
      <c r="AU24" s="54" t="s">
        <v>9</v>
      </c>
    </row>
    <row r="25" spans="1:47" s="88" customFormat="1" ht="29.45" customHeight="1" x14ac:dyDescent="0.25">
      <c r="A25" s="54"/>
      <c r="B25" s="79" t="s">
        <v>10</v>
      </c>
      <c r="C25" s="79" t="s">
        <v>60</v>
      </c>
      <c r="D25" s="79" t="s">
        <v>12</v>
      </c>
      <c r="E25" s="79" t="s">
        <v>13</v>
      </c>
      <c r="F25" s="79" t="s">
        <v>14</v>
      </c>
      <c r="G25" s="79" t="s">
        <v>15</v>
      </c>
      <c r="H25" s="79" t="s">
        <v>16</v>
      </c>
      <c r="I25" s="79" t="s">
        <v>17</v>
      </c>
      <c r="J25" s="79" t="s">
        <v>18</v>
      </c>
      <c r="K25" s="54"/>
      <c r="M25" s="54"/>
      <c r="N25" s="79" t="s">
        <v>10</v>
      </c>
      <c r="O25" s="79" t="s">
        <v>60</v>
      </c>
      <c r="P25" s="79" t="s">
        <v>12</v>
      </c>
      <c r="Q25" s="79" t="s">
        <v>13</v>
      </c>
      <c r="R25" s="79" t="s">
        <v>14</v>
      </c>
      <c r="S25" s="79" t="s">
        <v>15</v>
      </c>
      <c r="T25" s="79" t="s">
        <v>16</v>
      </c>
      <c r="U25" s="79" t="s">
        <v>17</v>
      </c>
      <c r="V25" s="79" t="s">
        <v>18</v>
      </c>
      <c r="W25" s="54"/>
      <c r="X25" s="89"/>
      <c r="Y25" s="54"/>
      <c r="Z25" s="79" t="s">
        <v>10</v>
      </c>
      <c r="AA25" s="79" t="s">
        <v>60</v>
      </c>
      <c r="AB25" s="79" t="s">
        <v>12</v>
      </c>
      <c r="AC25" s="79" t="s">
        <v>13</v>
      </c>
      <c r="AD25" s="79" t="s">
        <v>14</v>
      </c>
      <c r="AE25" s="79" t="s">
        <v>15</v>
      </c>
      <c r="AF25" s="79" t="s">
        <v>16</v>
      </c>
      <c r="AG25" s="79" t="s">
        <v>17</v>
      </c>
      <c r="AH25" s="79" t="s">
        <v>18</v>
      </c>
      <c r="AI25" s="54"/>
      <c r="AK25" s="54"/>
      <c r="AL25" s="79" t="s">
        <v>10</v>
      </c>
      <c r="AM25" s="79" t="s">
        <v>60</v>
      </c>
      <c r="AN25" s="79" t="s">
        <v>12</v>
      </c>
      <c r="AO25" s="79" t="s">
        <v>13</v>
      </c>
      <c r="AP25" s="79" t="s">
        <v>14</v>
      </c>
      <c r="AQ25" s="79" t="s">
        <v>15</v>
      </c>
      <c r="AR25" s="79" t="s">
        <v>16</v>
      </c>
      <c r="AS25" s="79" t="s">
        <v>17</v>
      </c>
      <c r="AT25" s="79" t="s">
        <v>18</v>
      </c>
      <c r="AU25" s="54"/>
    </row>
    <row r="26" spans="1:47" x14ac:dyDescent="0.25">
      <c r="A26" s="80" t="s">
        <v>39</v>
      </c>
      <c r="B26" s="81">
        <v>141038</v>
      </c>
      <c r="C26" s="81">
        <v>0</v>
      </c>
      <c r="D26" s="81">
        <v>2647386</v>
      </c>
      <c r="E26" s="81">
        <v>105885</v>
      </c>
      <c r="F26" s="81">
        <v>10466850</v>
      </c>
      <c r="G26" s="81">
        <v>1300</v>
      </c>
      <c r="H26" s="81">
        <v>16454968</v>
      </c>
      <c r="I26" s="81">
        <v>12513493</v>
      </c>
      <c r="J26" s="81">
        <v>18252052</v>
      </c>
      <c r="K26" s="82">
        <f>SUM(B26:J26)</f>
        <v>60582972</v>
      </c>
      <c r="M26" s="80" t="s">
        <v>39</v>
      </c>
      <c r="N26" s="81">
        <v>322341</v>
      </c>
      <c r="O26" s="81">
        <v>214177</v>
      </c>
      <c r="P26" s="81">
        <v>3770492</v>
      </c>
      <c r="Q26" s="81">
        <v>380860</v>
      </c>
      <c r="R26" s="81">
        <v>7953581</v>
      </c>
      <c r="S26" s="81">
        <v>0</v>
      </c>
      <c r="T26" s="81">
        <v>19948113</v>
      </c>
      <c r="U26" s="81">
        <v>14584519</v>
      </c>
      <c r="V26" s="81">
        <v>18546249</v>
      </c>
      <c r="W26" s="82">
        <f>SUM(N26:V26)</f>
        <v>65720332</v>
      </c>
      <c r="X26" s="83"/>
      <c r="Y26" s="80" t="s">
        <v>39</v>
      </c>
      <c r="Z26" s="81">
        <v>378719</v>
      </c>
      <c r="AA26" s="81">
        <v>159730</v>
      </c>
      <c r="AB26" s="81">
        <v>3988525</v>
      </c>
      <c r="AC26" s="81">
        <v>1837041</v>
      </c>
      <c r="AD26" s="81">
        <v>2900616</v>
      </c>
      <c r="AE26" s="81">
        <v>0</v>
      </c>
      <c r="AF26" s="81">
        <v>17940818</v>
      </c>
      <c r="AG26" s="81">
        <v>7861551</v>
      </c>
      <c r="AH26" s="81">
        <v>16257779</v>
      </c>
      <c r="AI26" s="82">
        <f t="shared" ref="AI26:AI37" si="17">SUM(Z26:AH26)</f>
        <v>51324779</v>
      </c>
      <c r="AK26" s="80" t="s">
        <v>39</v>
      </c>
      <c r="AL26" s="81">
        <v>1037420</v>
      </c>
      <c r="AM26" s="81">
        <v>458278</v>
      </c>
      <c r="AN26" s="81">
        <v>7890080</v>
      </c>
      <c r="AO26" s="81">
        <v>1820447</v>
      </c>
      <c r="AP26" s="81">
        <v>3629738</v>
      </c>
      <c r="AQ26" s="81">
        <v>0</v>
      </c>
      <c r="AR26" s="81">
        <v>18088670</v>
      </c>
      <c r="AS26" s="81">
        <v>5089026</v>
      </c>
      <c r="AT26" s="81">
        <v>23128382</v>
      </c>
      <c r="AU26" s="82">
        <f t="shared" ref="AU26:AU37" si="18">SUM(AL26:AT26)</f>
        <v>61142041</v>
      </c>
    </row>
    <row r="27" spans="1:47" x14ac:dyDescent="0.25">
      <c r="A27" s="80" t="s">
        <v>40</v>
      </c>
      <c r="B27" s="81">
        <v>9000</v>
      </c>
      <c r="C27" s="81">
        <v>1350615</v>
      </c>
      <c r="D27" s="81">
        <v>3764071</v>
      </c>
      <c r="E27" s="81">
        <v>1740</v>
      </c>
      <c r="F27" s="81">
        <v>8215901</v>
      </c>
      <c r="G27" s="81">
        <v>54289</v>
      </c>
      <c r="H27" s="81">
        <v>18225160</v>
      </c>
      <c r="I27" s="81">
        <v>10427987</v>
      </c>
      <c r="J27" s="81">
        <v>16015552</v>
      </c>
      <c r="K27" s="82">
        <f t="shared" ref="K27:K31" si="19">SUM(B27:J27)</f>
        <v>58064315</v>
      </c>
      <c r="M27" s="80" t="s">
        <v>40</v>
      </c>
      <c r="N27" s="81">
        <v>92721</v>
      </c>
      <c r="O27" s="81">
        <v>52902</v>
      </c>
      <c r="P27" s="81">
        <v>3048013</v>
      </c>
      <c r="Q27" s="81">
        <v>186804</v>
      </c>
      <c r="R27" s="81">
        <v>7864759</v>
      </c>
      <c r="S27" s="81">
        <v>0</v>
      </c>
      <c r="T27" s="81">
        <v>23062403</v>
      </c>
      <c r="U27" s="81">
        <v>14432357</v>
      </c>
      <c r="V27" s="81">
        <v>16164072</v>
      </c>
      <c r="W27" s="82">
        <f t="shared" ref="W27:W33" si="20">SUM(N27:V27)</f>
        <v>64904031</v>
      </c>
      <c r="X27" s="83"/>
      <c r="Y27" s="80" t="s">
        <v>40</v>
      </c>
      <c r="Z27" s="81">
        <v>702308</v>
      </c>
      <c r="AA27" s="81">
        <v>362489</v>
      </c>
      <c r="AB27" s="81">
        <v>6024219</v>
      </c>
      <c r="AC27" s="81">
        <v>295660</v>
      </c>
      <c r="AD27" s="81">
        <v>4033793</v>
      </c>
      <c r="AE27" s="81">
        <v>0</v>
      </c>
      <c r="AF27" s="81">
        <v>23621017</v>
      </c>
      <c r="AG27" s="81">
        <v>8414588</v>
      </c>
      <c r="AH27" s="81">
        <v>18908928</v>
      </c>
      <c r="AI27" s="82">
        <f t="shared" si="17"/>
        <v>62363002</v>
      </c>
      <c r="AK27" s="80" t="s">
        <v>40</v>
      </c>
      <c r="AL27" s="81">
        <v>1097606</v>
      </c>
      <c r="AM27" s="81">
        <v>1179518</v>
      </c>
      <c r="AN27" s="81">
        <v>3327035</v>
      </c>
      <c r="AO27" s="81">
        <v>861882</v>
      </c>
      <c r="AP27" s="81">
        <v>3380361</v>
      </c>
      <c r="AQ27" s="81">
        <v>0</v>
      </c>
      <c r="AR27" s="81">
        <v>14529058</v>
      </c>
      <c r="AS27" s="81">
        <v>4248839</v>
      </c>
      <c r="AT27" s="81">
        <v>18436971</v>
      </c>
      <c r="AU27" s="82">
        <f t="shared" si="18"/>
        <v>47061270</v>
      </c>
    </row>
    <row r="28" spans="1:47" x14ac:dyDescent="0.25">
      <c r="A28" s="80" t="s">
        <v>41</v>
      </c>
      <c r="B28" s="81">
        <v>40720</v>
      </c>
      <c r="C28" s="81">
        <v>0</v>
      </c>
      <c r="D28" s="81">
        <v>3783120</v>
      </c>
      <c r="E28" s="81">
        <v>1410</v>
      </c>
      <c r="F28" s="81">
        <v>5213764</v>
      </c>
      <c r="G28" s="81">
        <v>200410</v>
      </c>
      <c r="H28" s="81">
        <v>5039904</v>
      </c>
      <c r="I28" s="81">
        <v>3537807</v>
      </c>
      <c r="J28" s="81">
        <v>7815963</v>
      </c>
      <c r="K28" s="82">
        <f t="shared" si="19"/>
        <v>25633098</v>
      </c>
      <c r="M28" s="80" t="s">
        <v>41</v>
      </c>
      <c r="N28" s="81">
        <v>171703</v>
      </c>
      <c r="O28" s="81">
        <v>308192</v>
      </c>
      <c r="P28" s="81">
        <v>4597535</v>
      </c>
      <c r="Q28" s="81">
        <v>512694</v>
      </c>
      <c r="R28" s="81">
        <v>10787403</v>
      </c>
      <c r="S28" s="81">
        <v>0</v>
      </c>
      <c r="T28" s="81">
        <v>18176637</v>
      </c>
      <c r="U28" s="81">
        <v>12916604</v>
      </c>
      <c r="V28" s="81">
        <v>21968352</v>
      </c>
      <c r="W28" s="82">
        <f t="shared" si="20"/>
        <v>69439120</v>
      </c>
      <c r="X28" s="83"/>
      <c r="Y28" s="80" t="s">
        <v>41</v>
      </c>
      <c r="Z28" s="81">
        <v>776317</v>
      </c>
      <c r="AA28" s="81">
        <v>558187</v>
      </c>
      <c r="AB28" s="81">
        <v>6426581</v>
      </c>
      <c r="AC28" s="81">
        <v>648317</v>
      </c>
      <c r="AD28" s="81">
        <v>4236784</v>
      </c>
      <c r="AE28" s="81">
        <v>0</v>
      </c>
      <c r="AF28" s="81">
        <v>23382087</v>
      </c>
      <c r="AG28" s="81">
        <v>7032960</v>
      </c>
      <c r="AH28" s="81">
        <v>20006523</v>
      </c>
      <c r="AI28" s="82">
        <f t="shared" si="17"/>
        <v>63067756</v>
      </c>
      <c r="AK28" s="80" t="s">
        <v>41</v>
      </c>
      <c r="AL28" s="81">
        <v>816230</v>
      </c>
      <c r="AM28" s="81">
        <v>451192</v>
      </c>
      <c r="AN28" s="81">
        <v>3904214</v>
      </c>
      <c r="AO28" s="81">
        <v>1238657</v>
      </c>
      <c r="AP28" s="81">
        <v>2977541</v>
      </c>
      <c r="AQ28" s="81">
        <v>0</v>
      </c>
      <c r="AR28" s="81">
        <v>18415028</v>
      </c>
      <c r="AS28" s="81">
        <v>5309195</v>
      </c>
      <c r="AT28" s="81">
        <v>18517469</v>
      </c>
      <c r="AU28" s="82">
        <f t="shared" si="18"/>
        <v>51629526</v>
      </c>
    </row>
    <row r="29" spans="1:47" x14ac:dyDescent="0.25">
      <c r="A29" s="80" t="s">
        <v>42</v>
      </c>
      <c r="B29" s="81">
        <v>208272</v>
      </c>
      <c r="C29" s="81">
        <v>194620</v>
      </c>
      <c r="D29" s="81">
        <v>438797</v>
      </c>
      <c r="E29" s="81">
        <v>10397</v>
      </c>
      <c r="F29" s="81">
        <v>5197438</v>
      </c>
      <c r="G29" s="81">
        <v>80877</v>
      </c>
      <c r="H29" s="81">
        <v>2691283</v>
      </c>
      <c r="I29" s="81">
        <v>4911555</v>
      </c>
      <c r="J29" s="81">
        <v>4278186</v>
      </c>
      <c r="K29" s="82">
        <f t="shared" si="19"/>
        <v>18011425</v>
      </c>
      <c r="M29" s="80" t="s">
        <v>42</v>
      </c>
      <c r="N29" s="81">
        <v>259920</v>
      </c>
      <c r="O29" s="81">
        <v>57802</v>
      </c>
      <c r="P29" s="81">
        <v>7275261</v>
      </c>
      <c r="Q29" s="81">
        <v>275910</v>
      </c>
      <c r="R29" s="81">
        <v>11383726</v>
      </c>
      <c r="S29" s="81">
        <v>0</v>
      </c>
      <c r="T29" s="81">
        <v>22511230</v>
      </c>
      <c r="U29" s="81">
        <v>14088571</v>
      </c>
      <c r="V29" s="81">
        <v>24100815</v>
      </c>
      <c r="W29" s="82">
        <f t="shared" si="20"/>
        <v>79953235</v>
      </c>
      <c r="X29" s="83"/>
      <c r="Y29" s="80" t="s">
        <v>42</v>
      </c>
      <c r="Z29" s="81">
        <v>711121</v>
      </c>
      <c r="AA29" s="81">
        <v>379774</v>
      </c>
      <c r="AB29" s="81">
        <v>3629319</v>
      </c>
      <c r="AC29" s="81">
        <v>528159</v>
      </c>
      <c r="AD29" s="81">
        <v>6817428</v>
      </c>
      <c r="AE29" s="81">
        <v>0</v>
      </c>
      <c r="AF29" s="81">
        <v>15864940</v>
      </c>
      <c r="AG29" s="81">
        <v>12304122</v>
      </c>
      <c r="AH29" s="81">
        <v>15750303</v>
      </c>
      <c r="AI29" s="82">
        <f t="shared" si="17"/>
        <v>55985166</v>
      </c>
      <c r="AK29" s="80" t="s">
        <v>42</v>
      </c>
      <c r="AL29" s="81">
        <v>313711</v>
      </c>
      <c r="AM29" s="81">
        <v>3203</v>
      </c>
      <c r="AN29" s="81">
        <v>4725737</v>
      </c>
      <c r="AO29" s="81">
        <v>714167</v>
      </c>
      <c r="AP29" s="81">
        <v>3022249</v>
      </c>
      <c r="AQ29" s="81">
        <v>0</v>
      </c>
      <c r="AR29" s="81">
        <v>16674517</v>
      </c>
      <c r="AS29" s="81">
        <v>5920481</v>
      </c>
      <c r="AT29" s="81">
        <v>14056944</v>
      </c>
      <c r="AU29" s="82">
        <f t="shared" si="18"/>
        <v>45431009</v>
      </c>
    </row>
    <row r="30" spans="1:47" x14ac:dyDescent="0.25">
      <c r="A30" s="80" t="s">
        <v>43</v>
      </c>
      <c r="B30" s="81">
        <v>1410</v>
      </c>
      <c r="C30" s="81">
        <v>0</v>
      </c>
      <c r="D30" s="81">
        <v>310895</v>
      </c>
      <c r="E30" s="81">
        <v>110000</v>
      </c>
      <c r="F30" s="81">
        <v>1000248</v>
      </c>
      <c r="G30" s="81">
        <v>0</v>
      </c>
      <c r="H30" s="81">
        <v>719291</v>
      </c>
      <c r="I30" s="81">
        <v>1001763</v>
      </c>
      <c r="J30" s="81">
        <v>188465</v>
      </c>
      <c r="K30" s="82">
        <f t="shared" si="19"/>
        <v>3332072</v>
      </c>
      <c r="M30" s="80" t="s">
        <v>43</v>
      </c>
      <c r="N30" s="81">
        <v>112387</v>
      </c>
      <c r="O30" s="81">
        <v>285955</v>
      </c>
      <c r="P30" s="81">
        <v>3584872</v>
      </c>
      <c r="Q30" s="81">
        <v>1203523</v>
      </c>
      <c r="R30" s="81">
        <v>13677783</v>
      </c>
      <c r="S30" s="81">
        <v>162</v>
      </c>
      <c r="T30" s="81">
        <v>22385225</v>
      </c>
      <c r="U30" s="81">
        <v>13513997</v>
      </c>
      <c r="V30" s="81">
        <v>24267139</v>
      </c>
      <c r="W30" s="82">
        <f t="shared" si="20"/>
        <v>79031043</v>
      </c>
      <c r="X30" s="83"/>
      <c r="Y30" s="80" t="s">
        <v>43</v>
      </c>
      <c r="Z30" s="81">
        <v>939963</v>
      </c>
      <c r="AA30" s="81">
        <v>1353955</v>
      </c>
      <c r="AB30" s="81">
        <v>5684288</v>
      </c>
      <c r="AC30" s="81">
        <v>308720</v>
      </c>
      <c r="AD30" s="81">
        <v>7600749</v>
      </c>
      <c r="AE30" s="81">
        <v>0</v>
      </c>
      <c r="AF30" s="81">
        <v>22251198</v>
      </c>
      <c r="AG30" s="81">
        <v>11910976</v>
      </c>
      <c r="AH30" s="81">
        <v>16238807</v>
      </c>
      <c r="AI30" s="82">
        <f t="shared" si="17"/>
        <v>66288656</v>
      </c>
      <c r="AK30" s="80" t="s">
        <v>43</v>
      </c>
      <c r="AL30" s="81">
        <v>856311</v>
      </c>
      <c r="AM30" s="81">
        <v>167131</v>
      </c>
      <c r="AN30" s="81">
        <v>5954803</v>
      </c>
      <c r="AO30" s="81">
        <v>1075593</v>
      </c>
      <c r="AP30" s="81">
        <v>5738637</v>
      </c>
      <c r="AQ30" s="81">
        <v>0</v>
      </c>
      <c r="AR30" s="81">
        <v>20230111</v>
      </c>
      <c r="AS30" s="81">
        <v>7197130</v>
      </c>
      <c r="AT30" s="81">
        <v>19594071</v>
      </c>
      <c r="AU30" s="82">
        <f t="shared" si="18"/>
        <v>60813787</v>
      </c>
    </row>
    <row r="31" spans="1:47" x14ac:dyDescent="0.25">
      <c r="A31" s="80" t="s">
        <v>44</v>
      </c>
      <c r="B31" s="81">
        <v>0</v>
      </c>
      <c r="C31" s="81">
        <v>0</v>
      </c>
      <c r="D31" s="81">
        <v>0</v>
      </c>
      <c r="E31" s="81">
        <v>0</v>
      </c>
      <c r="F31" s="81">
        <v>0</v>
      </c>
      <c r="G31" s="81">
        <v>0</v>
      </c>
      <c r="H31" s="81">
        <v>0</v>
      </c>
      <c r="I31" s="81">
        <v>0</v>
      </c>
      <c r="J31" s="81">
        <v>0</v>
      </c>
      <c r="K31" s="82">
        <f t="shared" si="19"/>
        <v>0</v>
      </c>
      <c r="M31" s="80" t="s">
        <v>44</v>
      </c>
      <c r="N31" s="81">
        <v>154525</v>
      </c>
      <c r="O31" s="81">
        <v>106486</v>
      </c>
      <c r="P31" s="81">
        <v>1807388</v>
      </c>
      <c r="Q31" s="81">
        <v>258023</v>
      </c>
      <c r="R31" s="81">
        <v>10242328</v>
      </c>
      <c r="S31" s="81">
        <v>0</v>
      </c>
      <c r="T31" s="81">
        <v>21847127</v>
      </c>
      <c r="U31" s="81">
        <v>14189712</v>
      </c>
      <c r="V31" s="81">
        <v>20223446</v>
      </c>
      <c r="W31" s="82">
        <f t="shared" si="20"/>
        <v>68829035</v>
      </c>
      <c r="X31" s="83"/>
      <c r="Y31" s="80" t="s">
        <v>44</v>
      </c>
      <c r="Z31" s="81">
        <v>972949</v>
      </c>
      <c r="AA31" s="81">
        <v>45048</v>
      </c>
      <c r="AB31" s="81">
        <v>3720347</v>
      </c>
      <c r="AC31" s="81">
        <v>422245</v>
      </c>
      <c r="AD31" s="81">
        <v>5382916</v>
      </c>
      <c r="AE31" s="81">
        <v>0</v>
      </c>
      <c r="AF31" s="81">
        <v>12708837</v>
      </c>
      <c r="AG31" s="81">
        <v>10540071</v>
      </c>
      <c r="AH31" s="81">
        <v>9222270</v>
      </c>
      <c r="AI31" s="82">
        <f t="shared" si="17"/>
        <v>43014683</v>
      </c>
      <c r="AK31" s="80" t="s">
        <v>44</v>
      </c>
      <c r="AL31" s="81">
        <v>763939</v>
      </c>
      <c r="AM31" s="81">
        <v>342036</v>
      </c>
      <c r="AN31" s="81">
        <v>5044846</v>
      </c>
      <c r="AO31" s="81">
        <v>402647</v>
      </c>
      <c r="AP31" s="81">
        <v>3237695</v>
      </c>
      <c r="AQ31" s="81">
        <v>0</v>
      </c>
      <c r="AR31" s="81">
        <v>17012623</v>
      </c>
      <c r="AS31" s="81">
        <v>5511178</v>
      </c>
      <c r="AT31" s="81">
        <v>11201442</v>
      </c>
      <c r="AU31" s="82">
        <f t="shared" si="18"/>
        <v>43516406</v>
      </c>
    </row>
    <row r="32" spans="1:47" x14ac:dyDescent="0.25">
      <c r="A32" s="80" t="s">
        <v>45</v>
      </c>
      <c r="B32" s="81">
        <v>0</v>
      </c>
      <c r="C32" s="81">
        <v>0</v>
      </c>
      <c r="D32" s="81">
        <v>0</v>
      </c>
      <c r="E32" s="81">
        <v>0</v>
      </c>
      <c r="F32" s="81">
        <v>0</v>
      </c>
      <c r="G32" s="81">
        <v>0</v>
      </c>
      <c r="H32" s="81">
        <v>0</v>
      </c>
      <c r="I32" s="81">
        <v>0</v>
      </c>
      <c r="J32" s="81">
        <v>0</v>
      </c>
      <c r="K32" s="82">
        <f>SUM(B32:J32)</f>
        <v>0</v>
      </c>
      <c r="M32" s="80" t="s">
        <v>45</v>
      </c>
      <c r="N32" s="81">
        <v>64909</v>
      </c>
      <c r="O32" s="81">
        <v>20000</v>
      </c>
      <c r="P32" s="81">
        <v>3669834</v>
      </c>
      <c r="Q32" s="81">
        <v>99793</v>
      </c>
      <c r="R32" s="81">
        <v>12611401</v>
      </c>
      <c r="S32" s="81">
        <v>0</v>
      </c>
      <c r="T32" s="81">
        <v>19464552</v>
      </c>
      <c r="U32" s="81">
        <v>12280782</v>
      </c>
      <c r="V32" s="81">
        <v>22687663</v>
      </c>
      <c r="W32" s="82">
        <f>SUM(N32:V32)</f>
        <v>70898934</v>
      </c>
      <c r="X32" s="83"/>
      <c r="Y32" s="80" t="s">
        <v>45</v>
      </c>
      <c r="Z32" s="81">
        <v>663481</v>
      </c>
      <c r="AA32" s="81">
        <v>249970</v>
      </c>
      <c r="AB32" s="81">
        <v>2408034</v>
      </c>
      <c r="AC32" s="81">
        <v>165385</v>
      </c>
      <c r="AD32" s="81">
        <v>5787988</v>
      </c>
      <c r="AE32" s="81">
        <v>0</v>
      </c>
      <c r="AF32" s="81">
        <v>15398530</v>
      </c>
      <c r="AG32" s="81">
        <v>9267062</v>
      </c>
      <c r="AH32" s="81">
        <v>14117807</v>
      </c>
      <c r="AI32" s="82">
        <f t="shared" si="17"/>
        <v>48058257</v>
      </c>
      <c r="AK32" s="80" t="s">
        <v>45</v>
      </c>
      <c r="AL32" s="81">
        <v>1568111</v>
      </c>
      <c r="AM32" s="81">
        <v>527830</v>
      </c>
      <c r="AN32" s="81">
        <v>6639905</v>
      </c>
      <c r="AO32" s="81">
        <v>602263</v>
      </c>
      <c r="AP32" s="81">
        <v>3348951</v>
      </c>
      <c r="AQ32" s="81">
        <v>0</v>
      </c>
      <c r="AR32" s="81">
        <v>30793644</v>
      </c>
      <c r="AS32" s="81">
        <v>8156989</v>
      </c>
      <c r="AT32" s="81">
        <v>11655229</v>
      </c>
      <c r="AU32" s="82">
        <f t="shared" si="18"/>
        <v>63292922</v>
      </c>
    </row>
    <row r="33" spans="1:47" x14ac:dyDescent="0.25">
      <c r="A33" s="80" t="s">
        <v>46</v>
      </c>
      <c r="B33" s="81">
        <v>0</v>
      </c>
      <c r="C33" s="81">
        <v>0</v>
      </c>
      <c r="D33" s="81">
        <v>0</v>
      </c>
      <c r="E33" s="81">
        <v>0</v>
      </c>
      <c r="F33" s="81">
        <v>0</v>
      </c>
      <c r="G33" s="81">
        <v>0</v>
      </c>
      <c r="H33" s="81">
        <v>0</v>
      </c>
      <c r="I33" s="81">
        <v>0</v>
      </c>
      <c r="J33" s="81">
        <v>0</v>
      </c>
      <c r="K33" s="82">
        <f t="shared" ref="K33" si="21">SUM(B33:J33)</f>
        <v>0</v>
      </c>
      <c r="M33" s="80" t="s">
        <v>46</v>
      </c>
      <c r="N33" s="81">
        <v>109791</v>
      </c>
      <c r="O33" s="81">
        <v>1410</v>
      </c>
      <c r="P33" s="81">
        <v>1356249</v>
      </c>
      <c r="Q33" s="81">
        <v>357304</v>
      </c>
      <c r="R33" s="81">
        <v>12510813</v>
      </c>
      <c r="S33" s="81">
        <v>126024</v>
      </c>
      <c r="T33" s="81">
        <v>18675617</v>
      </c>
      <c r="U33" s="81">
        <v>12623087</v>
      </c>
      <c r="V33" s="81">
        <v>16042107</v>
      </c>
      <c r="W33" s="82">
        <f t="shared" si="20"/>
        <v>61802402</v>
      </c>
      <c r="X33" s="83"/>
      <c r="Y33" s="80" t="s">
        <v>46</v>
      </c>
      <c r="Z33" s="81">
        <v>536011</v>
      </c>
      <c r="AA33" s="81">
        <v>265999</v>
      </c>
      <c r="AB33" s="81">
        <v>3881160</v>
      </c>
      <c r="AC33" s="81">
        <v>557267</v>
      </c>
      <c r="AD33" s="81">
        <v>5457740</v>
      </c>
      <c r="AE33" s="81">
        <v>0</v>
      </c>
      <c r="AF33" s="81">
        <v>16154157</v>
      </c>
      <c r="AG33" s="81">
        <v>6883106</v>
      </c>
      <c r="AH33" s="81">
        <v>11294475</v>
      </c>
      <c r="AI33" s="82">
        <f t="shared" si="17"/>
        <v>45029915</v>
      </c>
      <c r="AK33" s="80" t="s">
        <v>46</v>
      </c>
      <c r="AL33" s="81">
        <v>1165746</v>
      </c>
      <c r="AM33" s="81">
        <v>1044806</v>
      </c>
      <c r="AN33" s="81">
        <v>4696053</v>
      </c>
      <c r="AO33" s="81">
        <v>1136549</v>
      </c>
      <c r="AP33" s="81">
        <v>3186239</v>
      </c>
      <c r="AQ33" s="81">
        <v>0</v>
      </c>
      <c r="AR33" s="81">
        <v>23703934</v>
      </c>
      <c r="AS33" s="81">
        <v>10398685</v>
      </c>
      <c r="AT33" s="81">
        <v>12254222</v>
      </c>
      <c r="AU33" s="82">
        <f t="shared" si="18"/>
        <v>57586234</v>
      </c>
    </row>
    <row r="34" spans="1:47" x14ac:dyDescent="0.25">
      <c r="A34" s="80" t="s">
        <v>47</v>
      </c>
      <c r="B34" s="81">
        <v>0</v>
      </c>
      <c r="C34" s="81">
        <v>0</v>
      </c>
      <c r="D34" s="81">
        <v>0</v>
      </c>
      <c r="E34" s="81">
        <v>0</v>
      </c>
      <c r="F34" s="81">
        <v>0</v>
      </c>
      <c r="G34" s="81">
        <v>0</v>
      </c>
      <c r="H34" s="81">
        <v>0</v>
      </c>
      <c r="I34" s="81">
        <v>0</v>
      </c>
      <c r="J34" s="81">
        <v>0</v>
      </c>
      <c r="K34" s="82">
        <f>SUM(B34:J34)</f>
        <v>0</v>
      </c>
      <c r="M34" s="80" t="s">
        <v>47</v>
      </c>
      <c r="N34" s="81">
        <v>0</v>
      </c>
      <c r="O34" s="81">
        <v>0</v>
      </c>
      <c r="P34" s="81">
        <v>6204784</v>
      </c>
      <c r="Q34" s="81">
        <v>497973</v>
      </c>
      <c r="R34" s="81">
        <v>11975541</v>
      </c>
      <c r="S34" s="81">
        <v>288853</v>
      </c>
      <c r="T34" s="81">
        <v>20659306</v>
      </c>
      <c r="U34" s="81">
        <v>8547893</v>
      </c>
      <c r="V34" s="81">
        <v>19225548</v>
      </c>
      <c r="W34" s="82">
        <f>SUM(N34:V34)</f>
        <v>67399898</v>
      </c>
      <c r="X34" s="83"/>
      <c r="Y34" s="80" t="s">
        <v>47</v>
      </c>
      <c r="Z34" s="81">
        <v>164688</v>
      </c>
      <c r="AA34" s="81">
        <v>463669</v>
      </c>
      <c r="AB34" s="81">
        <v>3072698</v>
      </c>
      <c r="AC34" s="81">
        <v>561075</v>
      </c>
      <c r="AD34" s="81">
        <v>5997277</v>
      </c>
      <c r="AE34" s="81">
        <v>0</v>
      </c>
      <c r="AF34" s="81">
        <v>15704566</v>
      </c>
      <c r="AG34" s="81">
        <v>9130180</v>
      </c>
      <c r="AH34" s="81">
        <v>10882198</v>
      </c>
      <c r="AI34" s="82">
        <f t="shared" si="17"/>
        <v>45976351</v>
      </c>
      <c r="AK34" s="80" t="s">
        <v>47</v>
      </c>
      <c r="AL34" s="81">
        <v>133492</v>
      </c>
      <c r="AM34" s="81">
        <v>1318360</v>
      </c>
      <c r="AN34" s="81">
        <v>6765087</v>
      </c>
      <c r="AO34" s="81">
        <v>280211</v>
      </c>
      <c r="AP34" s="81">
        <v>3242378</v>
      </c>
      <c r="AQ34" s="81">
        <v>0</v>
      </c>
      <c r="AR34" s="81">
        <v>19464937</v>
      </c>
      <c r="AS34" s="81">
        <v>6666091</v>
      </c>
      <c r="AT34" s="81">
        <v>9994817</v>
      </c>
      <c r="AU34" s="82">
        <f t="shared" si="18"/>
        <v>47865373</v>
      </c>
    </row>
    <row r="35" spans="1:47" x14ac:dyDescent="0.25">
      <c r="A35" s="80" t="s">
        <v>48</v>
      </c>
      <c r="B35" s="81">
        <v>0</v>
      </c>
      <c r="C35" s="81">
        <v>0</v>
      </c>
      <c r="D35" s="81">
        <v>0</v>
      </c>
      <c r="E35" s="81">
        <v>0</v>
      </c>
      <c r="F35" s="81">
        <v>0</v>
      </c>
      <c r="G35" s="81">
        <v>0</v>
      </c>
      <c r="H35" s="81">
        <v>0</v>
      </c>
      <c r="I35" s="81">
        <v>0</v>
      </c>
      <c r="J35" s="81">
        <v>0</v>
      </c>
      <c r="K35" s="82">
        <f>SUM(B35:J35)</f>
        <v>0</v>
      </c>
      <c r="M35" s="80" t="s">
        <v>48</v>
      </c>
      <c r="N35" s="81">
        <v>994</v>
      </c>
      <c r="O35" s="81">
        <v>0</v>
      </c>
      <c r="P35" s="81">
        <v>2169293</v>
      </c>
      <c r="Q35" s="81">
        <v>394561</v>
      </c>
      <c r="R35" s="81">
        <v>14464119</v>
      </c>
      <c r="S35" s="81">
        <v>45650</v>
      </c>
      <c r="T35" s="81">
        <v>18693109</v>
      </c>
      <c r="U35" s="81">
        <v>10549895</v>
      </c>
      <c r="V35" s="81">
        <v>21506933</v>
      </c>
      <c r="W35" s="82">
        <f>SUM(N35:V35)</f>
        <v>67824554</v>
      </c>
      <c r="X35" s="83"/>
      <c r="Y35" s="80" t="s">
        <v>48</v>
      </c>
      <c r="Z35" s="81">
        <v>62478</v>
      </c>
      <c r="AA35" s="81">
        <v>446228</v>
      </c>
      <c r="AB35" s="81">
        <v>3568150</v>
      </c>
      <c r="AC35" s="81">
        <v>292591</v>
      </c>
      <c r="AD35" s="81">
        <v>6558891</v>
      </c>
      <c r="AE35" s="81">
        <v>0</v>
      </c>
      <c r="AF35" s="81">
        <v>14088414</v>
      </c>
      <c r="AG35" s="81">
        <v>8086276</v>
      </c>
      <c r="AH35" s="81">
        <v>10221951</v>
      </c>
      <c r="AI35" s="82">
        <f t="shared" si="17"/>
        <v>43324979</v>
      </c>
      <c r="AK35" s="80" t="s">
        <v>48</v>
      </c>
      <c r="AL35" s="81">
        <v>981616</v>
      </c>
      <c r="AM35" s="81">
        <v>349167</v>
      </c>
      <c r="AN35" s="81">
        <v>2646788</v>
      </c>
      <c r="AO35" s="81">
        <v>978128</v>
      </c>
      <c r="AP35" s="81">
        <v>6151854</v>
      </c>
      <c r="AQ35" s="81">
        <v>0</v>
      </c>
      <c r="AR35" s="81">
        <v>17336993</v>
      </c>
      <c r="AS35" s="81">
        <v>10933622</v>
      </c>
      <c r="AT35" s="81">
        <v>12794893</v>
      </c>
      <c r="AU35" s="82">
        <f t="shared" si="18"/>
        <v>52173061</v>
      </c>
    </row>
    <row r="36" spans="1:47" x14ac:dyDescent="0.25">
      <c r="A36" s="80" t="s">
        <v>49</v>
      </c>
      <c r="B36" s="81">
        <v>0</v>
      </c>
      <c r="C36" s="81">
        <v>0</v>
      </c>
      <c r="D36" s="81">
        <v>0</v>
      </c>
      <c r="E36" s="81">
        <v>0</v>
      </c>
      <c r="F36" s="81">
        <v>0</v>
      </c>
      <c r="G36" s="81">
        <v>0</v>
      </c>
      <c r="H36" s="81">
        <v>0</v>
      </c>
      <c r="I36" s="81">
        <v>0</v>
      </c>
      <c r="J36" s="81">
        <v>0</v>
      </c>
      <c r="K36" s="82">
        <f>SUM(B36:J36)</f>
        <v>0</v>
      </c>
      <c r="M36" s="80" t="s">
        <v>49</v>
      </c>
      <c r="N36" s="81">
        <v>176333</v>
      </c>
      <c r="O36" s="81">
        <v>102151</v>
      </c>
      <c r="P36" s="81">
        <v>2112329</v>
      </c>
      <c r="Q36" s="81">
        <v>1344615</v>
      </c>
      <c r="R36" s="81">
        <v>9607748</v>
      </c>
      <c r="S36" s="81">
        <v>39894</v>
      </c>
      <c r="T36" s="81">
        <v>14039832</v>
      </c>
      <c r="U36" s="81">
        <v>10050284</v>
      </c>
      <c r="V36" s="81">
        <v>14989500</v>
      </c>
      <c r="W36" s="82">
        <f>SUM(N36:V36)</f>
        <v>52462686</v>
      </c>
      <c r="X36" s="83"/>
      <c r="Y36" s="80" t="s">
        <v>49</v>
      </c>
      <c r="Z36" s="81">
        <v>101308</v>
      </c>
      <c r="AA36" s="81">
        <v>310042</v>
      </c>
      <c r="AB36" s="81">
        <v>7383201</v>
      </c>
      <c r="AC36" s="81">
        <v>594899</v>
      </c>
      <c r="AD36" s="81">
        <v>7539079</v>
      </c>
      <c r="AE36" s="81">
        <v>0</v>
      </c>
      <c r="AF36" s="81">
        <v>17807878</v>
      </c>
      <c r="AG36" s="81">
        <v>11621007</v>
      </c>
      <c r="AH36" s="81">
        <v>11283750</v>
      </c>
      <c r="AI36" s="82">
        <f t="shared" si="17"/>
        <v>56641164</v>
      </c>
      <c r="AK36" s="80" t="s">
        <v>49</v>
      </c>
      <c r="AL36" s="81">
        <v>620227</v>
      </c>
      <c r="AM36" s="81">
        <v>597119</v>
      </c>
      <c r="AN36" s="81">
        <v>6765236</v>
      </c>
      <c r="AO36" s="81">
        <v>689959</v>
      </c>
      <c r="AP36" s="81">
        <v>2680854</v>
      </c>
      <c r="AQ36" s="81">
        <v>0</v>
      </c>
      <c r="AR36" s="81">
        <v>22942544</v>
      </c>
      <c r="AS36" s="81">
        <v>9852469</v>
      </c>
      <c r="AT36" s="81">
        <v>11414597</v>
      </c>
      <c r="AU36" s="82">
        <f t="shared" si="18"/>
        <v>55563005</v>
      </c>
    </row>
    <row r="37" spans="1:47" x14ac:dyDescent="0.25">
      <c r="A37" s="80" t="s">
        <v>50</v>
      </c>
      <c r="B37" s="81">
        <v>0</v>
      </c>
      <c r="C37" s="81">
        <v>0</v>
      </c>
      <c r="D37" s="81">
        <v>0</v>
      </c>
      <c r="E37" s="81">
        <v>0</v>
      </c>
      <c r="F37" s="81">
        <v>0</v>
      </c>
      <c r="G37" s="81">
        <v>0</v>
      </c>
      <c r="H37" s="81">
        <v>0</v>
      </c>
      <c r="I37" s="81">
        <v>0</v>
      </c>
      <c r="J37" s="81">
        <v>0</v>
      </c>
      <c r="K37" s="82">
        <f>SUM(B37:J37)</f>
        <v>0</v>
      </c>
      <c r="M37" s="80" t="s">
        <v>50</v>
      </c>
      <c r="N37" s="81">
        <v>106009</v>
      </c>
      <c r="O37" s="81">
        <v>0</v>
      </c>
      <c r="P37" s="81">
        <v>1888495</v>
      </c>
      <c r="Q37" s="81">
        <v>154577</v>
      </c>
      <c r="R37" s="81">
        <v>11052666</v>
      </c>
      <c r="S37" s="81">
        <v>25330</v>
      </c>
      <c r="T37" s="81">
        <v>26751058</v>
      </c>
      <c r="U37" s="81">
        <v>6750742</v>
      </c>
      <c r="V37" s="81">
        <v>19151495</v>
      </c>
      <c r="W37" s="82">
        <f>SUM(N37:V37)</f>
        <v>65880372</v>
      </c>
      <c r="X37" s="83"/>
      <c r="Y37" s="80" t="s">
        <v>50</v>
      </c>
      <c r="Z37" s="81">
        <v>392200</v>
      </c>
      <c r="AA37" s="81">
        <v>458483</v>
      </c>
      <c r="AB37" s="81">
        <v>2931884</v>
      </c>
      <c r="AC37" s="81">
        <v>492952</v>
      </c>
      <c r="AD37" s="81">
        <v>7834299</v>
      </c>
      <c r="AE37" s="81">
        <v>0</v>
      </c>
      <c r="AF37" s="81">
        <v>16764715</v>
      </c>
      <c r="AG37" s="81">
        <v>11592771</v>
      </c>
      <c r="AH37" s="81">
        <v>16392753</v>
      </c>
      <c r="AI37" s="82">
        <f t="shared" si="17"/>
        <v>56860057</v>
      </c>
      <c r="AK37" s="80" t="s">
        <v>50</v>
      </c>
      <c r="AL37" s="81">
        <v>362755</v>
      </c>
      <c r="AM37" s="81">
        <v>2355078</v>
      </c>
      <c r="AN37" s="81">
        <v>4905410</v>
      </c>
      <c r="AO37" s="81">
        <v>613024</v>
      </c>
      <c r="AP37" s="81">
        <v>4144086</v>
      </c>
      <c r="AQ37" s="81">
        <v>0</v>
      </c>
      <c r="AR37" s="81">
        <v>21836696</v>
      </c>
      <c r="AS37" s="81">
        <v>7718623</v>
      </c>
      <c r="AT37" s="81">
        <v>9594919</v>
      </c>
      <c r="AU37" s="82">
        <f t="shared" si="18"/>
        <v>51530591</v>
      </c>
    </row>
    <row r="38" spans="1:47" x14ac:dyDescent="0.25">
      <c r="A38" s="84" t="s">
        <v>9</v>
      </c>
      <c r="B38" s="85">
        <f>SUM(B26:B37)</f>
        <v>400440</v>
      </c>
      <c r="C38" s="85">
        <f t="shared" ref="C38:I38" si="22">SUM(C26:C37)</f>
        <v>1545235</v>
      </c>
      <c r="D38" s="85">
        <f t="shared" si="22"/>
        <v>10944269</v>
      </c>
      <c r="E38" s="85">
        <f t="shared" si="22"/>
        <v>229432</v>
      </c>
      <c r="F38" s="85">
        <f t="shared" si="22"/>
        <v>30094201</v>
      </c>
      <c r="G38" s="85">
        <f t="shared" si="22"/>
        <v>336876</v>
      </c>
      <c r="H38" s="85">
        <f t="shared" si="22"/>
        <v>43130606</v>
      </c>
      <c r="I38" s="85">
        <f t="shared" si="22"/>
        <v>32392605</v>
      </c>
      <c r="J38" s="85">
        <f>SUM(J26:J37)</f>
        <v>46550218</v>
      </c>
      <c r="K38" s="85">
        <f t="shared" ref="K38" si="23">SUM(K26:K37)</f>
        <v>165623882</v>
      </c>
      <c r="M38" s="84" t="s">
        <v>9</v>
      </c>
      <c r="N38" s="85">
        <f>SUM(N26:N37)</f>
        <v>1571633</v>
      </c>
      <c r="O38" s="85">
        <f t="shared" ref="O38:W38" si="24">SUM(O26:O37)</f>
        <v>1149075</v>
      </c>
      <c r="P38" s="85">
        <f t="shared" si="24"/>
        <v>41484545</v>
      </c>
      <c r="Q38" s="85">
        <f t="shared" si="24"/>
        <v>5666637</v>
      </c>
      <c r="R38" s="85">
        <f t="shared" si="24"/>
        <v>134131868</v>
      </c>
      <c r="S38" s="85">
        <f t="shared" si="24"/>
        <v>525913</v>
      </c>
      <c r="T38" s="85">
        <f t="shared" si="24"/>
        <v>246214209</v>
      </c>
      <c r="U38" s="85">
        <f t="shared" si="24"/>
        <v>144528443</v>
      </c>
      <c r="V38" s="85">
        <f>SUM(V26:V37)</f>
        <v>238873319</v>
      </c>
      <c r="W38" s="85">
        <f t="shared" si="24"/>
        <v>814145642</v>
      </c>
      <c r="X38" s="83"/>
      <c r="Y38" s="84" t="s">
        <v>9</v>
      </c>
      <c r="Z38" s="85">
        <f>SUM(Z26:Z37)</f>
        <v>6401543</v>
      </c>
      <c r="AA38" s="85">
        <f t="shared" ref="AA38:AI38" si="25">SUM(AA26:AA37)</f>
        <v>5053574</v>
      </c>
      <c r="AB38" s="85">
        <f t="shared" si="25"/>
        <v>52718406</v>
      </c>
      <c r="AC38" s="85">
        <f t="shared" si="25"/>
        <v>6704311</v>
      </c>
      <c r="AD38" s="85">
        <f t="shared" si="25"/>
        <v>70147560</v>
      </c>
      <c r="AE38" s="85">
        <f t="shared" si="25"/>
        <v>0</v>
      </c>
      <c r="AF38" s="85">
        <f t="shared" si="25"/>
        <v>211687157</v>
      </c>
      <c r="AG38" s="85">
        <f t="shared" si="25"/>
        <v>114644670</v>
      </c>
      <c r="AH38" s="85">
        <f t="shared" si="25"/>
        <v>170577544</v>
      </c>
      <c r="AI38" s="85">
        <f t="shared" si="25"/>
        <v>637934765</v>
      </c>
      <c r="AK38" s="84" t="s">
        <v>9</v>
      </c>
      <c r="AL38" s="85">
        <f>SUM(AL26:AL37)</f>
        <v>9717164</v>
      </c>
      <c r="AM38" s="85">
        <f t="shared" ref="AM38:AU38" si="26">SUM(AM26:AM37)</f>
        <v>8793718</v>
      </c>
      <c r="AN38" s="85">
        <f t="shared" si="26"/>
        <v>63265194</v>
      </c>
      <c r="AO38" s="85">
        <f t="shared" si="26"/>
        <v>10413527</v>
      </c>
      <c r="AP38" s="85">
        <f t="shared" si="26"/>
        <v>44740583</v>
      </c>
      <c r="AQ38" s="85">
        <f t="shared" si="26"/>
        <v>0</v>
      </c>
      <c r="AR38" s="85">
        <f t="shared" si="26"/>
        <v>241028755</v>
      </c>
      <c r="AS38" s="85">
        <f t="shared" si="26"/>
        <v>87002328</v>
      </c>
      <c r="AT38" s="85">
        <f t="shared" si="26"/>
        <v>172643956</v>
      </c>
      <c r="AU38" s="85">
        <f t="shared" si="26"/>
        <v>637605225</v>
      </c>
    </row>
    <row r="39" spans="1:47" ht="16.149999999999999" customHeight="1" x14ac:dyDescent="0.25">
      <c r="A39" s="86" t="s">
        <v>61</v>
      </c>
      <c r="B39" s="65">
        <f t="shared" ref="B39:K39" si="27">B38/$K38</f>
        <v>2.4177672637814393E-3</v>
      </c>
      <c r="C39" s="65">
        <f t="shared" si="27"/>
        <v>9.3297837325175114E-3</v>
      </c>
      <c r="D39" s="65">
        <f t="shared" si="27"/>
        <v>6.607905132908308E-2</v>
      </c>
      <c r="E39" s="65">
        <f t="shared" si="27"/>
        <v>1.3852591620814685E-3</v>
      </c>
      <c r="F39" s="65">
        <f t="shared" si="27"/>
        <v>0.18170206274962206</v>
      </c>
      <c r="G39" s="65">
        <f t="shared" si="27"/>
        <v>2.0339820316492762E-3</v>
      </c>
      <c r="H39" s="65">
        <f t="shared" si="27"/>
        <v>0.26041296387437651</v>
      </c>
      <c r="I39" s="65">
        <f t="shared" si="27"/>
        <v>0.19557931265009235</v>
      </c>
      <c r="J39" s="65">
        <f t="shared" si="27"/>
        <v>0.28105981720679629</v>
      </c>
      <c r="K39" s="65">
        <f t="shared" si="27"/>
        <v>1</v>
      </c>
      <c r="M39" s="86" t="s">
        <v>61</v>
      </c>
      <c r="N39" s="65">
        <f t="shared" ref="N39:W39" si="28">N38/$W38</f>
        <v>1.9304076800548667E-3</v>
      </c>
      <c r="O39" s="65">
        <f t="shared" si="28"/>
        <v>1.4113875217427008E-3</v>
      </c>
      <c r="P39" s="65">
        <f t="shared" si="28"/>
        <v>5.095469761170815E-2</v>
      </c>
      <c r="Q39" s="65">
        <f t="shared" si="28"/>
        <v>6.9602251829040682E-3</v>
      </c>
      <c r="R39" s="65">
        <f t="shared" si="28"/>
        <v>0.16475168702063753</v>
      </c>
      <c r="S39" s="65">
        <f t="shared" si="28"/>
        <v>6.4596918888868782E-4</v>
      </c>
      <c r="T39" s="65">
        <f t="shared" si="28"/>
        <v>0.3024203487660504</v>
      </c>
      <c r="U39" s="65">
        <f t="shared" si="28"/>
        <v>0.1775216073686236</v>
      </c>
      <c r="V39" s="65">
        <f>V38/$W38</f>
        <v>0.29340366965939002</v>
      </c>
      <c r="W39" s="65">
        <f t="shared" si="28"/>
        <v>1</v>
      </c>
      <c r="X39" s="87"/>
      <c r="Y39" s="86" t="s">
        <v>61</v>
      </c>
      <c r="Z39" s="65">
        <f t="shared" ref="Z39:AI39" si="29">Z38/$AI38</f>
        <v>1.0034792507349869E-2</v>
      </c>
      <c r="AA39" s="65">
        <f t="shared" si="29"/>
        <v>7.9217723774624507E-3</v>
      </c>
      <c r="AB39" s="65">
        <f t="shared" si="29"/>
        <v>8.2639180198934598E-2</v>
      </c>
      <c r="AC39" s="65">
        <f t="shared" si="29"/>
        <v>1.0509399029225191E-2</v>
      </c>
      <c r="AD39" s="65">
        <f t="shared" si="29"/>
        <v>0.10996039696942994</v>
      </c>
      <c r="AE39" s="65">
        <f t="shared" si="29"/>
        <v>0</v>
      </c>
      <c r="AF39" s="65">
        <f t="shared" si="29"/>
        <v>0.3318319812841678</v>
      </c>
      <c r="AG39" s="65">
        <f t="shared" si="29"/>
        <v>0.17971221555859243</v>
      </c>
      <c r="AH39" s="65">
        <f t="shared" si="29"/>
        <v>0.26739026207483768</v>
      </c>
      <c r="AI39" s="65">
        <f t="shared" si="29"/>
        <v>1</v>
      </c>
      <c r="AK39" s="86" t="s">
        <v>61</v>
      </c>
      <c r="AL39" s="65">
        <f t="shared" ref="AL39:AU39" si="30">AL38/$AU38</f>
        <v>1.5240094683979417E-2</v>
      </c>
      <c r="AM39" s="65">
        <f t="shared" si="30"/>
        <v>1.3791790994184528E-2</v>
      </c>
      <c r="AN39" s="65">
        <f t="shared" si="30"/>
        <v>9.922314234485767E-2</v>
      </c>
      <c r="AO39" s="65">
        <f t="shared" si="30"/>
        <v>1.6332248531997207E-2</v>
      </c>
      <c r="AP39" s="65">
        <f t="shared" si="30"/>
        <v>7.0169724534487624E-2</v>
      </c>
      <c r="AQ39" s="65">
        <f t="shared" si="30"/>
        <v>0</v>
      </c>
      <c r="AR39" s="65">
        <f t="shared" si="30"/>
        <v>0.37802192571430071</v>
      </c>
      <c r="AS39" s="65">
        <f t="shared" si="30"/>
        <v>0.13645171744005077</v>
      </c>
      <c r="AT39" s="65">
        <f t="shared" si="30"/>
        <v>0.27076935575614203</v>
      </c>
      <c r="AU39" s="65">
        <f t="shared" si="30"/>
        <v>1</v>
      </c>
    </row>
    <row r="40" spans="1:47" ht="30.6" customHeight="1" x14ac:dyDescent="0.25">
      <c r="A40" s="86" t="s">
        <v>62</v>
      </c>
      <c r="B40" s="65">
        <f t="shared" ref="B40:I40" si="31">B38/B$98</f>
        <v>5.8368265038449968E-3</v>
      </c>
      <c r="C40" s="65">
        <f>IFERROR((C38/C$98),0)</f>
        <v>2.140675163794583E-2</v>
      </c>
      <c r="D40" s="65">
        <f t="shared" si="31"/>
        <v>1.7044471488622769E-2</v>
      </c>
      <c r="E40" s="65">
        <f t="shared" si="31"/>
        <v>9.0809766063289464E-3</v>
      </c>
      <c r="F40" s="65">
        <f t="shared" si="31"/>
        <v>6.5021704721895265E-2</v>
      </c>
      <c r="G40" s="65">
        <f t="shared" si="31"/>
        <v>9.1730265357014055E-4</v>
      </c>
      <c r="H40" s="65">
        <f t="shared" si="31"/>
        <v>8.405919382799569E-2</v>
      </c>
      <c r="I40" s="65">
        <f t="shared" si="31"/>
        <v>2.1117382847549732E-2</v>
      </c>
      <c r="J40" s="65">
        <f>J38/J$98</f>
        <v>4.1768662781024979E-2</v>
      </c>
      <c r="K40" s="65">
        <f t="shared" ref="K40" si="32">K38/K$98</f>
        <v>3.4506833041701004E-2</v>
      </c>
      <c r="M40" s="86" t="s">
        <v>62</v>
      </c>
      <c r="N40" s="65">
        <f t="shared" ref="N40:W40" si="33">N38/N$98</f>
        <v>4.2517774070503153E-3</v>
      </c>
      <c r="O40" s="65">
        <f t="shared" si="33"/>
        <v>8.069546325375836E-3</v>
      </c>
      <c r="P40" s="65">
        <f t="shared" si="33"/>
        <v>1.1428258897809461E-2</v>
      </c>
      <c r="Q40" s="65">
        <f t="shared" si="33"/>
        <v>4.4024427967413217E-2</v>
      </c>
      <c r="R40" s="65">
        <f t="shared" si="33"/>
        <v>6.4194615507694494E-2</v>
      </c>
      <c r="S40" s="65">
        <f t="shared" si="33"/>
        <v>2.0913916431360103E-3</v>
      </c>
      <c r="T40" s="65">
        <f t="shared" si="33"/>
        <v>0.17086520698402444</v>
      </c>
      <c r="U40" s="65">
        <f t="shared" si="33"/>
        <v>2.8962769433904717E-2</v>
      </c>
      <c r="V40" s="65">
        <f>V38/V$98</f>
        <v>5.2899295082761678E-2</v>
      </c>
      <c r="W40" s="65">
        <f t="shared" si="33"/>
        <v>4.6367799074450808E-2</v>
      </c>
      <c r="X40" s="87"/>
      <c r="Y40" s="86" t="s">
        <v>62</v>
      </c>
      <c r="Z40" s="65">
        <f t="shared" ref="Z40:AI40" si="34">Z38/Z$98</f>
        <v>1.3199070903815087E-2</v>
      </c>
      <c r="AA40" s="65">
        <f t="shared" si="34"/>
        <v>3.3150893151424242E-2</v>
      </c>
      <c r="AB40" s="65">
        <f t="shared" si="34"/>
        <v>1.9408775057119437E-2</v>
      </c>
      <c r="AC40" s="65">
        <f t="shared" si="34"/>
        <v>5.5374104018105171E-2</v>
      </c>
      <c r="AD40" s="65">
        <f t="shared" si="34"/>
        <v>6.6958351208088421E-2</v>
      </c>
      <c r="AE40" s="65">
        <f t="shared" si="34"/>
        <v>0</v>
      </c>
      <c r="AF40" s="65">
        <f t="shared" si="34"/>
        <v>0.21197761254029973</v>
      </c>
      <c r="AG40" s="65">
        <f t="shared" si="34"/>
        <v>4.2371071480485335E-2</v>
      </c>
      <c r="AH40" s="65">
        <f t="shared" si="34"/>
        <v>6.5111129065300533E-2</v>
      </c>
      <c r="AI40" s="65">
        <f t="shared" si="34"/>
        <v>5.8799235503051626E-2</v>
      </c>
      <c r="AK40" s="86" t="s">
        <v>62</v>
      </c>
      <c r="AL40" s="65">
        <f t="shared" ref="AL40:AU40" si="35">AL38/AL$98</f>
        <v>2.5465268642034255E-2</v>
      </c>
      <c r="AM40" s="65">
        <f t="shared" si="35"/>
        <v>5.5615180797760524E-2</v>
      </c>
      <c r="AN40" s="65">
        <f t="shared" si="35"/>
        <v>2.5099570960243227E-2</v>
      </c>
      <c r="AO40" s="65">
        <f t="shared" si="35"/>
        <v>8.4963392609373189E-2</v>
      </c>
      <c r="AP40" s="65">
        <f t="shared" si="35"/>
        <v>8.3886102074770069E-2</v>
      </c>
      <c r="AQ40" s="65">
        <f t="shared" si="35"/>
        <v>0</v>
      </c>
      <c r="AR40" s="65">
        <f t="shared" si="35"/>
        <v>0.24071670887523414</v>
      </c>
      <c r="AS40" s="65">
        <f t="shared" si="35"/>
        <v>6.511820604364281E-2</v>
      </c>
      <c r="AT40" s="65">
        <f t="shared" si="35"/>
        <v>9.8249861607251784E-2</v>
      </c>
      <c r="AU40" s="65">
        <f t="shared" si="35"/>
        <v>8.1631834641011564E-2</v>
      </c>
    </row>
    <row r="41" spans="1:47" x14ac:dyDescent="0.25">
      <c r="A41" s="90"/>
      <c r="B41" s="91"/>
      <c r="C41" s="91"/>
      <c r="D41" s="91"/>
      <c r="E41" s="91"/>
      <c r="F41" s="91"/>
      <c r="G41" s="91"/>
      <c r="H41" s="91"/>
      <c r="I41" s="91"/>
      <c r="J41" s="91"/>
      <c r="K41" s="87"/>
      <c r="M41" s="90"/>
      <c r="N41" s="91"/>
      <c r="O41" s="91"/>
      <c r="P41" s="91"/>
      <c r="Q41" s="91"/>
      <c r="R41" s="91"/>
      <c r="S41" s="91"/>
      <c r="T41" s="91"/>
      <c r="U41" s="91"/>
      <c r="V41" s="91"/>
      <c r="W41" s="87"/>
      <c r="X41" s="87"/>
      <c r="Y41" s="90"/>
      <c r="Z41" s="91"/>
      <c r="AA41" s="91"/>
      <c r="AB41" s="91"/>
      <c r="AC41" s="91"/>
      <c r="AD41" s="91"/>
      <c r="AE41" s="91"/>
      <c r="AF41" s="91"/>
      <c r="AG41" s="91"/>
      <c r="AH41" s="91"/>
      <c r="AI41" s="87"/>
      <c r="AK41" s="90"/>
      <c r="AL41" s="91"/>
      <c r="AM41" s="91"/>
      <c r="AN41" s="91"/>
      <c r="AO41" s="91"/>
      <c r="AP41" s="91"/>
      <c r="AQ41" s="91"/>
      <c r="AR41" s="91"/>
      <c r="AS41" s="91"/>
      <c r="AT41" s="91"/>
      <c r="AU41" s="87"/>
    </row>
    <row r="42" spans="1:47" x14ac:dyDescent="0.25">
      <c r="A42" s="89"/>
      <c r="B42" s="87"/>
      <c r="C42" s="87"/>
      <c r="D42" s="87"/>
      <c r="E42" s="87"/>
      <c r="F42" s="87"/>
      <c r="G42" s="87"/>
      <c r="H42" s="87"/>
      <c r="I42" s="87"/>
      <c r="J42" s="87"/>
      <c r="K42" s="87"/>
      <c r="M42" s="89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9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K42" s="89"/>
      <c r="AL42" s="87"/>
      <c r="AM42" s="87"/>
      <c r="AN42" s="87"/>
      <c r="AO42" s="87"/>
      <c r="AP42" s="87"/>
      <c r="AQ42" s="87"/>
      <c r="AR42" s="87"/>
      <c r="AS42" s="87"/>
      <c r="AT42" s="87"/>
      <c r="AU42" s="87"/>
    </row>
    <row r="43" spans="1:47" x14ac:dyDescent="0.25">
      <c r="A43" s="73" t="s">
        <v>21</v>
      </c>
      <c r="B43" s="73"/>
      <c r="C43" s="73"/>
      <c r="D43" s="73"/>
      <c r="E43" s="73"/>
      <c r="F43" s="73"/>
      <c r="G43" s="73"/>
      <c r="H43" s="73"/>
      <c r="I43" s="73"/>
      <c r="J43" s="73"/>
      <c r="K43" s="73"/>
      <c r="M43" s="73" t="s">
        <v>21</v>
      </c>
      <c r="N43" s="73"/>
      <c r="O43" s="73"/>
      <c r="P43" s="73"/>
      <c r="Q43" s="73"/>
      <c r="R43" s="73"/>
      <c r="S43" s="73"/>
      <c r="T43" s="73"/>
      <c r="U43" s="73"/>
      <c r="V43" s="73"/>
      <c r="W43" s="73"/>
      <c r="Y43" s="73" t="s">
        <v>21</v>
      </c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K43" s="73" t="s">
        <v>21</v>
      </c>
      <c r="AL43" s="73"/>
      <c r="AM43" s="73"/>
      <c r="AN43" s="73"/>
      <c r="AO43" s="73"/>
      <c r="AP43" s="73"/>
      <c r="AQ43" s="73"/>
      <c r="AR43" s="73"/>
      <c r="AS43" s="73"/>
      <c r="AT43" s="73"/>
      <c r="AU43" s="73"/>
    </row>
    <row r="44" spans="1:47" x14ac:dyDescent="0.25">
      <c r="A44" s="54" t="s">
        <v>38</v>
      </c>
      <c r="B44" s="74" t="s">
        <v>3</v>
      </c>
      <c r="C44" s="74"/>
      <c r="D44" s="75" t="s">
        <v>4</v>
      </c>
      <c r="E44" s="76" t="s">
        <v>5</v>
      </c>
      <c r="F44" s="77"/>
      <c r="G44" s="78"/>
      <c r="H44" s="75" t="s">
        <v>7</v>
      </c>
      <c r="I44" s="74" t="s">
        <v>8</v>
      </c>
      <c r="J44" s="74"/>
      <c r="K44" s="54" t="s">
        <v>9</v>
      </c>
      <c r="M44" s="54" t="s">
        <v>38</v>
      </c>
      <c r="N44" s="74" t="s">
        <v>3</v>
      </c>
      <c r="O44" s="74"/>
      <c r="P44" s="75" t="s">
        <v>4</v>
      </c>
      <c r="Q44" s="76" t="s">
        <v>5</v>
      </c>
      <c r="R44" s="77"/>
      <c r="S44" s="78"/>
      <c r="T44" s="75" t="s">
        <v>7</v>
      </c>
      <c r="U44" s="74" t="s">
        <v>8</v>
      </c>
      <c r="V44" s="74"/>
      <c r="W44" s="54" t="s">
        <v>9</v>
      </c>
      <c r="Y44" s="54" t="s">
        <v>38</v>
      </c>
      <c r="Z44" s="74" t="s">
        <v>3</v>
      </c>
      <c r="AA44" s="74"/>
      <c r="AB44" s="75" t="s">
        <v>4</v>
      </c>
      <c r="AC44" s="76" t="s">
        <v>5</v>
      </c>
      <c r="AD44" s="77"/>
      <c r="AE44" s="78"/>
      <c r="AF44" s="75" t="s">
        <v>7</v>
      </c>
      <c r="AG44" s="74" t="s">
        <v>8</v>
      </c>
      <c r="AH44" s="74"/>
      <c r="AI44" s="54" t="s">
        <v>9</v>
      </c>
      <c r="AK44" s="54" t="s">
        <v>38</v>
      </c>
      <c r="AL44" s="74" t="s">
        <v>3</v>
      </c>
      <c r="AM44" s="74"/>
      <c r="AN44" s="75" t="s">
        <v>4</v>
      </c>
      <c r="AO44" s="76" t="s">
        <v>5</v>
      </c>
      <c r="AP44" s="77"/>
      <c r="AQ44" s="78"/>
      <c r="AR44" s="75" t="s">
        <v>7</v>
      </c>
      <c r="AS44" s="74" t="s">
        <v>8</v>
      </c>
      <c r="AT44" s="74"/>
      <c r="AU44" s="54" t="s">
        <v>9</v>
      </c>
    </row>
    <row r="45" spans="1:47" ht="28.15" customHeight="1" x14ac:dyDescent="0.25">
      <c r="A45" s="54"/>
      <c r="B45" s="79" t="s">
        <v>10</v>
      </c>
      <c r="C45" s="79" t="s">
        <v>11</v>
      </c>
      <c r="D45" s="79" t="s">
        <v>12</v>
      </c>
      <c r="E45" s="79" t="s">
        <v>13</v>
      </c>
      <c r="F45" s="79" t="s">
        <v>14</v>
      </c>
      <c r="G45" s="79" t="s">
        <v>15</v>
      </c>
      <c r="H45" s="79" t="s">
        <v>16</v>
      </c>
      <c r="I45" s="79" t="s">
        <v>17</v>
      </c>
      <c r="J45" s="79" t="s">
        <v>18</v>
      </c>
      <c r="K45" s="54"/>
      <c r="M45" s="54"/>
      <c r="N45" s="79" t="s">
        <v>10</v>
      </c>
      <c r="O45" s="79" t="s">
        <v>11</v>
      </c>
      <c r="P45" s="79" t="s">
        <v>12</v>
      </c>
      <c r="Q45" s="79" t="s">
        <v>13</v>
      </c>
      <c r="R45" s="79" t="s">
        <v>14</v>
      </c>
      <c r="S45" s="79" t="s">
        <v>15</v>
      </c>
      <c r="T45" s="79" t="s">
        <v>16</v>
      </c>
      <c r="U45" s="79" t="s">
        <v>17</v>
      </c>
      <c r="V45" s="79" t="s">
        <v>18</v>
      </c>
      <c r="W45" s="54"/>
      <c r="Y45" s="54"/>
      <c r="Z45" s="79" t="s">
        <v>10</v>
      </c>
      <c r="AA45" s="79" t="s">
        <v>11</v>
      </c>
      <c r="AB45" s="79" t="s">
        <v>12</v>
      </c>
      <c r="AC45" s="79" t="s">
        <v>13</v>
      </c>
      <c r="AD45" s="79" t="s">
        <v>14</v>
      </c>
      <c r="AE45" s="79" t="s">
        <v>15</v>
      </c>
      <c r="AF45" s="79" t="s">
        <v>16</v>
      </c>
      <c r="AG45" s="79" t="s">
        <v>17</v>
      </c>
      <c r="AH45" s="79" t="s">
        <v>18</v>
      </c>
      <c r="AI45" s="54"/>
      <c r="AK45" s="54"/>
      <c r="AL45" s="79" t="s">
        <v>10</v>
      </c>
      <c r="AM45" s="79" t="s">
        <v>11</v>
      </c>
      <c r="AN45" s="79" t="s">
        <v>12</v>
      </c>
      <c r="AO45" s="79" t="s">
        <v>13</v>
      </c>
      <c r="AP45" s="79" t="s">
        <v>14</v>
      </c>
      <c r="AQ45" s="79" t="s">
        <v>15</v>
      </c>
      <c r="AR45" s="79" t="s">
        <v>16</v>
      </c>
      <c r="AS45" s="79" t="s">
        <v>17</v>
      </c>
      <c r="AT45" s="79" t="s">
        <v>18</v>
      </c>
      <c r="AU45" s="54"/>
    </row>
    <row r="46" spans="1:47" x14ac:dyDescent="0.25">
      <c r="A46" s="80" t="s">
        <v>39</v>
      </c>
      <c r="B46" s="81">
        <v>4154</v>
      </c>
      <c r="C46" s="81">
        <v>0</v>
      </c>
      <c r="D46" s="81">
        <v>139870</v>
      </c>
      <c r="E46" s="81">
        <v>50000</v>
      </c>
      <c r="F46" s="81">
        <v>805483</v>
      </c>
      <c r="G46" s="81">
        <v>46678</v>
      </c>
      <c r="H46" s="81">
        <v>81974</v>
      </c>
      <c r="I46" s="81">
        <v>923938</v>
      </c>
      <c r="J46" s="81">
        <v>290200</v>
      </c>
      <c r="K46" s="82">
        <f>SUM(B46:J46)</f>
        <v>2342297</v>
      </c>
      <c r="M46" s="80" t="s">
        <v>39</v>
      </c>
      <c r="N46" s="81">
        <v>154019</v>
      </c>
      <c r="O46" s="81">
        <v>0</v>
      </c>
      <c r="P46" s="81">
        <v>230364</v>
      </c>
      <c r="Q46" s="81">
        <v>0</v>
      </c>
      <c r="R46" s="81">
        <v>890522</v>
      </c>
      <c r="S46" s="81">
        <v>0</v>
      </c>
      <c r="T46" s="81">
        <v>127954</v>
      </c>
      <c r="U46" s="81">
        <v>1460995</v>
      </c>
      <c r="V46" s="81">
        <v>351880</v>
      </c>
      <c r="W46" s="82">
        <f>SUM(N46:V46)</f>
        <v>3215734</v>
      </c>
      <c r="X46" s="83"/>
      <c r="Y46" s="80" t="s">
        <v>39</v>
      </c>
      <c r="Z46" s="81">
        <v>96643</v>
      </c>
      <c r="AA46" s="81">
        <v>0</v>
      </c>
      <c r="AB46" s="81">
        <v>229390</v>
      </c>
      <c r="AC46" s="81">
        <v>82139</v>
      </c>
      <c r="AD46" s="81">
        <v>582874</v>
      </c>
      <c r="AE46" s="81">
        <v>0</v>
      </c>
      <c r="AF46" s="81">
        <v>321381</v>
      </c>
      <c r="AG46" s="81">
        <v>381283</v>
      </c>
      <c r="AH46" s="81">
        <v>128790</v>
      </c>
      <c r="AI46" s="82">
        <f>SUM(Z46:AH46)</f>
        <v>1822500</v>
      </c>
      <c r="AK46" s="80" t="s">
        <v>39</v>
      </c>
      <c r="AL46" s="81">
        <v>30211</v>
      </c>
      <c r="AM46" s="81">
        <v>0</v>
      </c>
      <c r="AN46" s="81">
        <v>6024</v>
      </c>
      <c r="AO46" s="81">
        <v>90126</v>
      </c>
      <c r="AP46" s="81">
        <v>76596</v>
      </c>
      <c r="AQ46" s="81">
        <v>0</v>
      </c>
      <c r="AR46" s="81">
        <v>202268</v>
      </c>
      <c r="AS46" s="81">
        <v>133536</v>
      </c>
      <c r="AT46" s="81">
        <v>150231</v>
      </c>
      <c r="AU46" s="82">
        <f>SUM(AL46:AT46)</f>
        <v>688992</v>
      </c>
    </row>
    <row r="47" spans="1:47" x14ac:dyDescent="0.25">
      <c r="A47" s="80" t="s">
        <v>40</v>
      </c>
      <c r="B47" s="81">
        <v>63093</v>
      </c>
      <c r="C47" s="81">
        <v>0</v>
      </c>
      <c r="D47" s="81">
        <v>225014</v>
      </c>
      <c r="E47" s="81">
        <v>91985</v>
      </c>
      <c r="F47" s="81">
        <v>764767</v>
      </c>
      <c r="G47" s="81">
        <v>36743</v>
      </c>
      <c r="H47" s="81">
        <v>78804</v>
      </c>
      <c r="I47" s="81">
        <v>1093458</v>
      </c>
      <c r="J47" s="81">
        <v>247314</v>
      </c>
      <c r="K47" s="82">
        <f t="shared" ref="K47:K53" si="36">SUM(B47:J47)</f>
        <v>2601178</v>
      </c>
      <c r="M47" s="80" t="s">
        <v>40</v>
      </c>
      <c r="N47" s="81">
        <v>138548</v>
      </c>
      <c r="O47" s="81">
        <v>25000</v>
      </c>
      <c r="P47" s="81">
        <v>194613</v>
      </c>
      <c r="Q47" s="81">
        <v>88621</v>
      </c>
      <c r="R47" s="81">
        <v>926833</v>
      </c>
      <c r="S47" s="81">
        <v>0</v>
      </c>
      <c r="T47" s="81">
        <v>54697</v>
      </c>
      <c r="U47" s="81">
        <v>1247276</v>
      </c>
      <c r="V47" s="81">
        <v>183741</v>
      </c>
      <c r="W47" s="82">
        <f t="shared" ref="W47:W53" si="37">SUM(N47:V47)</f>
        <v>2859329</v>
      </c>
      <c r="X47" s="83"/>
      <c r="Y47" s="80" t="s">
        <v>40</v>
      </c>
      <c r="Z47" s="81">
        <v>123670</v>
      </c>
      <c r="AA47" s="81">
        <v>10000</v>
      </c>
      <c r="AB47" s="81">
        <v>236806</v>
      </c>
      <c r="AC47" s="81">
        <v>14931</v>
      </c>
      <c r="AD47" s="81">
        <v>1017744</v>
      </c>
      <c r="AE47" s="81">
        <v>0</v>
      </c>
      <c r="AF47" s="81">
        <v>169896</v>
      </c>
      <c r="AG47" s="81">
        <v>744442</v>
      </c>
      <c r="AH47" s="81">
        <v>34967</v>
      </c>
      <c r="AI47" s="82">
        <f t="shared" ref="AI47:AI57" si="38">SUM(Z47:AH47)</f>
        <v>2352456</v>
      </c>
      <c r="AK47" s="80" t="s">
        <v>40</v>
      </c>
      <c r="AL47" s="81">
        <v>57027</v>
      </c>
      <c r="AM47" s="81">
        <v>0</v>
      </c>
      <c r="AN47" s="81">
        <v>122419</v>
      </c>
      <c r="AO47" s="81">
        <v>177885</v>
      </c>
      <c r="AP47" s="81">
        <v>225015</v>
      </c>
      <c r="AQ47" s="81">
        <v>0</v>
      </c>
      <c r="AR47" s="81">
        <v>7500</v>
      </c>
      <c r="AS47" s="81">
        <v>171610</v>
      </c>
      <c r="AT47" s="81">
        <v>106909</v>
      </c>
      <c r="AU47" s="82">
        <f t="shared" ref="AU47:AU57" si="39">SUM(AL47:AT47)</f>
        <v>868365</v>
      </c>
    </row>
    <row r="48" spans="1:47" x14ac:dyDescent="0.25">
      <c r="A48" s="80" t="s">
        <v>41</v>
      </c>
      <c r="B48" s="81">
        <v>86288</v>
      </c>
      <c r="C48" s="81">
        <v>27367</v>
      </c>
      <c r="D48" s="81">
        <v>65111</v>
      </c>
      <c r="E48" s="81">
        <v>7346</v>
      </c>
      <c r="F48" s="81">
        <v>568875</v>
      </c>
      <c r="G48" s="81">
        <v>2651</v>
      </c>
      <c r="H48" s="81">
        <v>41897</v>
      </c>
      <c r="I48" s="81">
        <v>421866</v>
      </c>
      <c r="J48" s="81">
        <v>263557</v>
      </c>
      <c r="K48" s="82">
        <f t="shared" si="36"/>
        <v>1484958</v>
      </c>
      <c r="M48" s="80" t="s">
        <v>41</v>
      </c>
      <c r="N48" s="81">
        <v>35112</v>
      </c>
      <c r="O48" s="81">
        <v>0</v>
      </c>
      <c r="P48" s="81">
        <v>330646</v>
      </c>
      <c r="Q48" s="81">
        <v>77209</v>
      </c>
      <c r="R48" s="81">
        <v>917195</v>
      </c>
      <c r="S48" s="81">
        <v>0</v>
      </c>
      <c r="T48" s="81">
        <v>39000</v>
      </c>
      <c r="U48" s="81">
        <v>943778</v>
      </c>
      <c r="V48" s="81">
        <v>87752</v>
      </c>
      <c r="W48" s="82">
        <f t="shared" si="37"/>
        <v>2430692</v>
      </c>
      <c r="X48" s="83"/>
      <c r="Y48" s="80" t="s">
        <v>41</v>
      </c>
      <c r="Z48" s="81">
        <v>93791</v>
      </c>
      <c r="AA48" s="81">
        <v>35000</v>
      </c>
      <c r="AB48" s="81">
        <v>161362</v>
      </c>
      <c r="AC48" s="81">
        <v>0</v>
      </c>
      <c r="AD48" s="81">
        <v>931395</v>
      </c>
      <c r="AE48" s="81">
        <v>0</v>
      </c>
      <c r="AF48" s="81">
        <v>122095</v>
      </c>
      <c r="AG48" s="81">
        <v>799807</v>
      </c>
      <c r="AH48" s="81">
        <v>41180</v>
      </c>
      <c r="AI48" s="82">
        <f t="shared" si="38"/>
        <v>2184630</v>
      </c>
      <c r="AK48" s="80" t="s">
        <v>41</v>
      </c>
      <c r="AL48" s="81">
        <v>96358</v>
      </c>
      <c r="AM48" s="81">
        <v>0</v>
      </c>
      <c r="AN48" s="81">
        <v>102398</v>
      </c>
      <c r="AO48" s="81">
        <v>90724</v>
      </c>
      <c r="AP48" s="81">
        <v>337187</v>
      </c>
      <c r="AQ48" s="81">
        <v>0</v>
      </c>
      <c r="AR48" s="81">
        <v>12485</v>
      </c>
      <c r="AS48" s="81">
        <v>219195</v>
      </c>
      <c r="AT48" s="81">
        <v>87839</v>
      </c>
      <c r="AU48" s="82">
        <f t="shared" si="39"/>
        <v>946186</v>
      </c>
    </row>
    <row r="49" spans="1:47" x14ac:dyDescent="0.25">
      <c r="A49" s="80" t="s">
        <v>42</v>
      </c>
      <c r="B49" s="81">
        <v>30440</v>
      </c>
      <c r="C49" s="81">
        <v>54150</v>
      </c>
      <c r="D49" s="81">
        <v>170458</v>
      </c>
      <c r="E49" s="81">
        <v>97098</v>
      </c>
      <c r="F49" s="81">
        <v>2471338</v>
      </c>
      <c r="G49" s="81">
        <v>500</v>
      </c>
      <c r="H49" s="81">
        <v>367535</v>
      </c>
      <c r="I49" s="81">
        <v>2288916</v>
      </c>
      <c r="J49" s="81">
        <v>305969</v>
      </c>
      <c r="K49" s="82">
        <f t="shared" si="36"/>
        <v>5786404</v>
      </c>
      <c r="M49" s="80" t="s">
        <v>42</v>
      </c>
      <c r="N49" s="81">
        <v>58792</v>
      </c>
      <c r="O49" s="81">
        <v>0</v>
      </c>
      <c r="P49" s="81">
        <v>215950</v>
      </c>
      <c r="Q49" s="81">
        <v>17141</v>
      </c>
      <c r="R49" s="81">
        <v>996530</v>
      </c>
      <c r="S49" s="81">
        <v>0</v>
      </c>
      <c r="T49" s="81">
        <v>119835</v>
      </c>
      <c r="U49" s="81">
        <v>813653</v>
      </c>
      <c r="V49" s="81">
        <v>219591</v>
      </c>
      <c r="W49" s="82">
        <f t="shared" si="37"/>
        <v>2441492</v>
      </c>
      <c r="X49" s="83"/>
      <c r="Y49" s="80" t="s">
        <v>42</v>
      </c>
      <c r="Z49" s="81">
        <v>68500</v>
      </c>
      <c r="AA49" s="81">
        <v>0</v>
      </c>
      <c r="AB49" s="81">
        <v>502151</v>
      </c>
      <c r="AC49" s="81">
        <v>5385</v>
      </c>
      <c r="AD49" s="81">
        <v>342892</v>
      </c>
      <c r="AE49" s="81">
        <v>0</v>
      </c>
      <c r="AF49" s="81">
        <v>61723</v>
      </c>
      <c r="AG49" s="81">
        <v>255157</v>
      </c>
      <c r="AH49" s="81">
        <v>65811</v>
      </c>
      <c r="AI49" s="82">
        <f t="shared" si="38"/>
        <v>1301619</v>
      </c>
      <c r="AK49" s="80" t="s">
        <v>42</v>
      </c>
      <c r="AL49" s="81">
        <v>155440</v>
      </c>
      <c r="AM49" s="81">
        <v>0</v>
      </c>
      <c r="AN49" s="81">
        <v>44468</v>
      </c>
      <c r="AO49" s="81">
        <v>1254</v>
      </c>
      <c r="AP49" s="81">
        <v>286265</v>
      </c>
      <c r="AQ49" s="81">
        <v>0</v>
      </c>
      <c r="AR49" s="81">
        <v>31688</v>
      </c>
      <c r="AS49" s="81">
        <v>157988</v>
      </c>
      <c r="AT49" s="81">
        <v>28862</v>
      </c>
      <c r="AU49" s="82">
        <f t="shared" si="39"/>
        <v>705965</v>
      </c>
    </row>
    <row r="50" spans="1:47" x14ac:dyDescent="0.25">
      <c r="A50" s="80" t="s">
        <v>43</v>
      </c>
      <c r="B50" s="81">
        <v>0</v>
      </c>
      <c r="C50" s="81">
        <v>0</v>
      </c>
      <c r="D50" s="81">
        <v>1914</v>
      </c>
      <c r="E50" s="81">
        <v>0</v>
      </c>
      <c r="F50" s="81">
        <v>456523</v>
      </c>
      <c r="G50" s="81">
        <v>0</v>
      </c>
      <c r="H50" s="81">
        <v>32000</v>
      </c>
      <c r="I50" s="81">
        <v>76776</v>
      </c>
      <c r="J50" s="81">
        <v>16345</v>
      </c>
      <c r="K50" s="82">
        <f t="shared" si="36"/>
        <v>583558</v>
      </c>
      <c r="M50" s="80" t="s">
        <v>43</v>
      </c>
      <c r="N50" s="81">
        <v>190504</v>
      </c>
      <c r="O50" s="81">
        <v>2000</v>
      </c>
      <c r="P50" s="81">
        <v>413243</v>
      </c>
      <c r="Q50" s="81">
        <v>160578</v>
      </c>
      <c r="R50" s="81">
        <v>1255327</v>
      </c>
      <c r="S50" s="81">
        <v>0</v>
      </c>
      <c r="T50" s="81">
        <v>279700</v>
      </c>
      <c r="U50" s="81">
        <v>1548399</v>
      </c>
      <c r="V50" s="81">
        <v>497507</v>
      </c>
      <c r="W50" s="82">
        <f t="shared" si="37"/>
        <v>4347258</v>
      </c>
      <c r="X50" s="83"/>
      <c r="Y50" s="80" t="s">
        <v>43</v>
      </c>
      <c r="Z50" s="81">
        <v>424790</v>
      </c>
      <c r="AA50" s="81">
        <v>1490</v>
      </c>
      <c r="AB50" s="81">
        <v>236485</v>
      </c>
      <c r="AC50" s="81">
        <v>39060</v>
      </c>
      <c r="AD50" s="81">
        <v>546495</v>
      </c>
      <c r="AE50" s="81">
        <v>0</v>
      </c>
      <c r="AF50" s="81">
        <v>193684</v>
      </c>
      <c r="AG50" s="81">
        <v>834629</v>
      </c>
      <c r="AH50" s="81">
        <v>60434</v>
      </c>
      <c r="AI50" s="82">
        <f t="shared" si="38"/>
        <v>2337067</v>
      </c>
      <c r="AK50" s="80" t="s">
        <v>43</v>
      </c>
      <c r="AL50" s="81">
        <v>87172</v>
      </c>
      <c r="AM50" s="81">
        <v>1000</v>
      </c>
      <c r="AN50" s="81">
        <v>2765</v>
      </c>
      <c r="AO50" s="81">
        <v>0</v>
      </c>
      <c r="AP50" s="81">
        <v>263501</v>
      </c>
      <c r="AQ50" s="81">
        <v>0</v>
      </c>
      <c r="AR50" s="81">
        <v>28200</v>
      </c>
      <c r="AS50" s="81">
        <v>445083</v>
      </c>
      <c r="AT50" s="81">
        <v>6850</v>
      </c>
      <c r="AU50" s="82">
        <f t="shared" si="39"/>
        <v>834571</v>
      </c>
    </row>
    <row r="51" spans="1:47" x14ac:dyDescent="0.25">
      <c r="A51" s="80" t="s">
        <v>44</v>
      </c>
      <c r="B51" s="81">
        <v>0</v>
      </c>
      <c r="C51" s="81">
        <v>0</v>
      </c>
      <c r="D51" s="81">
        <v>0</v>
      </c>
      <c r="E51" s="81">
        <v>0</v>
      </c>
      <c r="F51" s="81">
        <v>0</v>
      </c>
      <c r="G51" s="81">
        <v>0</v>
      </c>
      <c r="H51" s="81">
        <v>0</v>
      </c>
      <c r="I51" s="81">
        <v>0</v>
      </c>
      <c r="J51" s="81">
        <v>0</v>
      </c>
      <c r="K51" s="82">
        <f t="shared" si="36"/>
        <v>0</v>
      </c>
      <c r="M51" s="80" t="s">
        <v>44</v>
      </c>
      <c r="N51" s="81">
        <v>178804</v>
      </c>
      <c r="O51" s="81">
        <v>0</v>
      </c>
      <c r="P51" s="81">
        <v>253917</v>
      </c>
      <c r="Q51" s="81">
        <v>90077</v>
      </c>
      <c r="R51" s="81">
        <v>882290</v>
      </c>
      <c r="S51" s="81">
        <v>0</v>
      </c>
      <c r="T51" s="81">
        <v>154802</v>
      </c>
      <c r="U51" s="81">
        <v>2568232</v>
      </c>
      <c r="V51" s="81">
        <v>534956</v>
      </c>
      <c r="W51" s="82">
        <f t="shared" si="37"/>
        <v>4663078</v>
      </c>
      <c r="X51" s="83"/>
      <c r="Y51" s="80" t="s">
        <v>44</v>
      </c>
      <c r="Z51" s="81">
        <v>5601</v>
      </c>
      <c r="AA51" s="81">
        <v>25000</v>
      </c>
      <c r="AB51" s="81">
        <v>55062</v>
      </c>
      <c r="AC51" s="81">
        <v>18500</v>
      </c>
      <c r="AD51" s="81">
        <v>321887</v>
      </c>
      <c r="AE51" s="81">
        <v>0</v>
      </c>
      <c r="AF51" s="81">
        <v>134000</v>
      </c>
      <c r="AG51" s="81">
        <v>785064</v>
      </c>
      <c r="AH51" s="81">
        <v>72311</v>
      </c>
      <c r="AI51" s="82">
        <f t="shared" si="38"/>
        <v>1417425</v>
      </c>
      <c r="AK51" s="80" t="s">
        <v>44</v>
      </c>
      <c r="AL51" s="81">
        <v>38102</v>
      </c>
      <c r="AM51" s="81">
        <v>0</v>
      </c>
      <c r="AN51" s="81">
        <v>55000</v>
      </c>
      <c r="AO51" s="81">
        <v>5320</v>
      </c>
      <c r="AP51" s="81">
        <v>334745</v>
      </c>
      <c r="AQ51" s="81">
        <v>0</v>
      </c>
      <c r="AR51" s="81">
        <v>18900</v>
      </c>
      <c r="AS51" s="81">
        <v>193829</v>
      </c>
      <c r="AT51" s="81">
        <v>59272</v>
      </c>
      <c r="AU51" s="82">
        <f t="shared" si="39"/>
        <v>705168</v>
      </c>
    </row>
    <row r="52" spans="1:47" x14ac:dyDescent="0.25">
      <c r="A52" s="80" t="s">
        <v>45</v>
      </c>
      <c r="B52" s="81">
        <v>0</v>
      </c>
      <c r="C52" s="81">
        <v>0</v>
      </c>
      <c r="D52" s="81">
        <v>0</v>
      </c>
      <c r="E52" s="81">
        <v>0</v>
      </c>
      <c r="F52" s="81">
        <v>0</v>
      </c>
      <c r="G52" s="81">
        <v>0</v>
      </c>
      <c r="H52" s="81">
        <v>0</v>
      </c>
      <c r="I52" s="81">
        <v>0</v>
      </c>
      <c r="J52" s="81">
        <v>0</v>
      </c>
      <c r="K52" s="82">
        <f t="shared" si="36"/>
        <v>0</v>
      </c>
      <c r="M52" s="80" t="s">
        <v>45</v>
      </c>
      <c r="N52" s="81">
        <v>203846</v>
      </c>
      <c r="O52" s="81">
        <v>32000</v>
      </c>
      <c r="P52" s="81">
        <v>403059</v>
      </c>
      <c r="Q52" s="81">
        <v>465082</v>
      </c>
      <c r="R52" s="81">
        <v>3629718</v>
      </c>
      <c r="S52" s="81">
        <v>0</v>
      </c>
      <c r="T52" s="81">
        <v>403318</v>
      </c>
      <c r="U52" s="81">
        <v>4144626</v>
      </c>
      <c r="V52" s="81">
        <v>895726</v>
      </c>
      <c r="W52" s="82">
        <f t="shared" si="37"/>
        <v>10177375</v>
      </c>
      <c r="X52" s="83"/>
      <c r="Y52" s="80" t="s">
        <v>45</v>
      </c>
      <c r="Z52" s="81">
        <v>123508</v>
      </c>
      <c r="AA52" s="81">
        <v>0</v>
      </c>
      <c r="AB52" s="81">
        <v>134599</v>
      </c>
      <c r="AC52" s="81">
        <v>48252</v>
      </c>
      <c r="AD52" s="81">
        <v>203473</v>
      </c>
      <c r="AE52" s="81">
        <v>0</v>
      </c>
      <c r="AF52" s="81">
        <v>121900</v>
      </c>
      <c r="AG52" s="81">
        <v>483121</v>
      </c>
      <c r="AH52" s="81">
        <v>54993</v>
      </c>
      <c r="AI52" s="82">
        <f t="shared" si="38"/>
        <v>1169846</v>
      </c>
      <c r="AK52" s="80" t="s">
        <v>45</v>
      </c>
      <c r="AL52" s="81">
        <v>90002</v>
      </c>
      <c r="AM52" s="81">
        <v>10541</v>
      </c>
      <c r="AN52" s="81">
        <v>53733</v>
      </c>
      <c r="AO52" s="81">
        <v>7059</v>
      </c>
      <c r="AP52" s="81">
        <v>443657</v>
      </c>
      <c r="AQ52" s="81">
        <v>0</v>
      </c>
      <c r="AR52" s="81">
        <v>26538</v>
      </c>
      <c r="AS52" s="81">
        <v>481531</v>
      </c>
      <c r="AT52" s="81">
        <v>14320</v>
      </c>
      <c r="AU52" s="82">
        <f t="shared" si="39"/>
        <v>1127381</v>
      </c>
    </row>
    <row r="53" spans="1:47" x14ac:dyDescent="0.25">
      <c r="A53" s="80" t="s">
        <v>46</v>
      </c>
      <c r="B53" s="81">
        <v>0</v>
      </c>
      <c r="C53" s="81">
        <v>0</v>
      </c>
      <c r="D53" s="81">
        <v>0</v>
      </c>
      <c r="E53" s="81">
        <v>0</v>
      </c>
      <c r="F53" s="81">
        <v>0</v>
      </c>
      <c r="G53" s="81">
        <v>0</v>
      </c>
      <c r="H53" s="81">
        <v>0</v>
      </c>
      <c r="I53" s="81">
        <v>0</v>
      </c>
      <c r="J53" s="81">
        <v>0</v>
      </c>
      <c r="K53" s="82">
        <f t="shared" si="36"/>
        <v>0</v>
      </c>
      <c r="M53" s="80" t="s">
        <v>46</v>
      </c>
      <c r="N53" s="81">
        <v>108512</v>
      </c>
      <c r="O53" s="81">
        <v>9489</v>
      </c>
      <c r="P53" s="81">
        <v>278321</v>
      </c>
      <c r="Q53" s="81">
        <v>230815</v>
      </c>
      <c r="R53" s="81">
        <v>2387267</v>
      </c>
      <c r="S53" s="81">
        <v>75000</v>
      </c>
      <c r="T53" s="81">
        <v>276833</v>
      </c>
      <c r="U53" s="81">
        <v>1595021</v>
      </c>
      <c r="V53" s="81">
        <v>584955</v>
      </c>
      <c r="W53" s="82">
        <f t="shared" si="37"/>
        <v>5546213</v>
      </c>
      <c r="X53" s="83"/>
      <c r="Y53" s="80" t="s">
        <v>46</v>
      </c>
      <c r="Z53" s="81">
        <v>11000</v>
      </c>
      <c r="AA53" s="81">
        <v>0</v>
      </c>
      <c r="AB53" s="81">
        <v>285495</v>
      </c>
      <c r="AC53" s="81">
        <v>0</v>
      </c>
      <c r="AD53" s="81">
        <v>444402</v>
      </c>
      <c r="AE53" s="81">
        <v>0</v>
      </c>
      <c r="AF53" s="81">
        <v>72248</v>
      </c>
      <c r="AG53" s="81">
        <v>532889</v>
      </c>
      <c r="AH53" s="81">
        <v>39419</v>
      </c>
      <c r="AI53" s="82">
        <f t="shared" si="38"/>
        <v>1385453</v>
      </c>
      <c r="AK53" s="80" t="s">
        <v>46</v>
      </c>
      <c r="AL53" s="81">
        <v>29819</v>
      </c>
      <c r="AM53" s="81">
        <v>50500</v>
      </c>
      <c r="AN53" s="81">
        <v>26945</v>
      </c>
      <c r="AO53" s="81">
        <v>0</v>
      </c>
      <c r="AP53" s="81">
        <v>445458</v>
      </c>
      <c r="AQ53" s="81">
        <v>0</v>
      </c>
      <c r="AR53" s="81">
        <v>55025</v>
      </c>
      <c r="AS53" s="81">
        <v>585542</v>
      </c>
      <c r="AT53" s="81">
        <v>20803</v>
      </c>
      <c r="AU53" s="82">
        <f t="shared" si="39"/>
        <v>1214092</v>
      </c>
    </row>
    <row r="54" spans="1:47" x14ac:dyDescent="0.25">
      <c r="A54" s="80" t="s">
        <v>47</v>
      </c>
      <c r="B54" s="81">
        <v>0</v>
      </c>
      <c r="C54" s="81">
        <v>0</v>
      </c>
      <c r="D54" s="81">
        <v>0</v>
      </c>
      <c r="E54" s="81">
        <v>0</v>
      </c>
      <c r="F54" s="81">
        <v>0</v>
      </c>
      <c r="G54" s="81">
        <v>0</v>
      </c>
      <c r="H54" s="81">
        <v>0</v>
      </c>
      <c r="I54" s="81">
        <v>0</v>
      </c>
      <c r="J54" s="81">
        <v>0</v>
      </c>
      <c r="K54" s="82">
        <f>SUM(B54:J54)</f>
        <v>0</v>
      </c>
      <c r="M54" s="80" t="s">
        <v>47</v>
      </c>
      <c r="N54" s="81">
        <v>5828</v>
      </c>
      <c r="O54" s="81">
        <v>0</v>
      </c>
      <c r="P54" s="81">
        <v>402726</v>
      </c>
      <c r="Q54" s="81">
        <v>116900</v>
      </c>
      <c r="R54" s="81">
        <v>1172951</v>
      </c>
      <c r="S54" s="81">
        <v>150</v>
      </c>
      <c r="T54" s="81">
        <v>400330</v>
      </c>
      <c r="U54" s="81">
        <v>1283195</v>
      </c>
      <c r="V54" s="81">
        <v>601225</v>
      </c>
      <c r="W54" s="82">
        <f>SUM(N54:V54)</f>
        <v>3983305</v>
      </c>
      <c r="X54" s="83"/>
      <c r="Y54" s="80" t="s">
        <v>47</v>
      </c>
      <c r="Z54" s="81">
        <v>117386</v>
      </c>
      <c r="AA54" s="81">
        <v>0</v>
      </c>
      <c r="AB54" s="81">
        <v>183476</v>
      </c>
      <c r="AC54" s="81">
        <v>7450</v>
      </c>
      <c r="AD54" s="81">
        <v>315182</v>
      </c>
      <c r="AE54" s="81">
        <v>0</v>
      </c>
      <c r="AF54" s="81">
        <v>52500</v>
      </c>
      <c r="AG54" s="81">
        <v>292661</v>
      </c>
      <c r="AH54" s="81">
        <v>30500</v>
      </c>
      <c r="AI54" s="82">
        <f t="shared" si="38"/>
        <v>999155</v>
      </c>
      <c r="AK54" s="80" t="s">
        <v>47</v>
      </c>
      <c r="AL54" s="81">
        <v>80305</v>
      </c>
      <c r="AM54" s="81">
        <v>0</v>
      </c>
      <c r="AN54" s="81">
        <v>25000</v>
      </c>
      <c r="AO54" s="81">
        <v>2118</v>
      </c>
      <c r="AP54" s="81">
        <v>475554</v>
      </c>
      <c r="AQ54" s="81">
        <v>0</v>
      </c>
      <c r="AR54" s="81">
        <v>63771</v>
      </c>
      <c r="AS54" s="81">
        <v>589163</v>
      </c>
      <c r="AT54" s="81">
        <v>67270</v>
      </c>
      <c r="AU54" s="82">
        <f t="shared" si="39"/>
        <v>1303181</v>
      </c>
    </row>
    <row r="55" spans="1:47" x14ac:dyDescent="0.25">
      <c r="A55" s="80" t="s">
        <v>48</v>
      </c>
      <c r="B55" s="81">
        <v>0</v>
      </c>
      <c r="C55" s="81">
        <v>0</v>
      </c>
      <c r="D55" s="81">
        <v>0</v>
      </c>
      <c r="E55" s="81">
        <v>0</v>
      </c>
      <c r="F55" s="81">
        <v>0</v>
      </c>
      <c r="G55" s="81">
        <v>0</v>
      </c>
      <c r="H55" s="81">
        <v>0</v>
      </c>
      <c r="I55" s="81">
        <v>0</v>
      </c>
      <c r="J55" s="81">
        <v>0</v>
      </c>
      <c r="K55" s="82">
        <f>SUM(B55:J55)</f>
        <v>0</v>
      </c>
      <c r="M55" s="80" t="s">
        <v>48</v>
      </c>
      <c r="N55" s="81">
        <v>69401</v>
      </c>
      <c r="O55" s="81">
        <v>0</v>
      </c>
      <c r="P55" s="81">
        <v>315205</v>
      </c>
      <c r="Q55" s="81">
        <v>43942</v>
      </c>
      <c r="R55" s="81">
        <v>1419641</v>
      </c>
      <c r="S55" s="81">
        <v>10508</v>
      </c>
      <c r="T55" s="81">
        <v>339383</v>
      </c>
      <c r="U55" s="81">
        <v>1134072</v>
      </c>
      <c r="V55" s="81">
        <v>237541</v>
      </c>
      <c r="W55" s="82">
        <f>SUM(N55:V55)</f>
        <v>3569693</v>
      </c>
      <c r="X55" s="83"/>
      <c r="Y55" s="80" t="s">
        <v>48</v>
      </c>
      <c r="Z55" s="81">
        <v>12500</v>
      </c>
      <c r="AA55" s="81">
        <v>25000</v>
      </c>
      <c r="AB55" s="81">
        <v>254347</v>
      </c>
      <c r="AC55" s="81">
        <v>0</v>
      </c>
      <c r="AD55" s="81">
        <v>349310</v>
      </c>
      <c r="AE55" s="81">
        <v>0</v>
      </c>
      <c r="AF55" s="81">
        <v>90781</v>
      </c>
      <c r="AG55" s="81">
        <v>304676</v>
      </c>
      <c r="AH55" s="81">
        <v>13146</v>
      </c>
      <c r="AI55" s="82">
        <f t="shared" si="38"/>
        <v>1049760</v>
      </c>
      <c r="AK55" s="80" t="s">
        <v>48</v>
      </c>
      <c r="AL55" s="81">
        <v>66317</v>
      </c>
      <c r="AM55" s="81">
        <v>50500</v>
      </c>
      <c r="AN55" s="81">
        <v>148288</v>
      </c>
      <c r="AO55" s="81">
        <v>5996</v>
      </c>
      <c r="AP55" s="81">
        <v>503249</v>
      </c>
      <c r="AQ55" s="81">
        <v>0</v>
      </c>
      <c r="AR55" s="81">
        <v>165014</v>
      </c>
      <c r="AS55" s="81">
        <v>203837</v>
      </c>
      <c r="AT55" s="81">
        <v>87401</v>
      </c>
      <c r="AU55" s="82">
        <f t="shared" si="39"/>
        <v>1230602</v>
      </c>
    </row>
    <row r="56" spans="1:47" x14ac:dyDescent="0.25">
      <c r="A56" s="80" t="s">
        <v>49</v>
      </c>
      <c r="B56" s="81">
        <v>0</v>
      </c>
      <c r="C56" s="81">
        <v>0</v>
      </c>
      <c r="D56" s="81">
        <v>0</v>
      </c>
      <c r="E56" s="81">
        <v>0</v>
      </c>
      <c r="F56" s="81">
        <v>0</v>
      </c>
      <c r="G56" s="81">
        <v>0</v>
      </c>
      <c r="H56" s="81">
        <v>0</v>
      </c>
      <c r="I56" s="81">
        <v>0</v>
      </c>
      <c r="J56" s="81">
        <v>0</v>
      </c>
      <c r="K56" s="82">
        <f>SUM(B56:J56)</f>
        <v>0</v>
      </c>
      <c r="M56" s="80" t="s">
        <v>49</v>
      </c>
      <c r="N56" s="81">
        <v>74414</v>
      </c>
      <c r="O56" s="81">
        <v>125000</v>
      </c>
      <c r="P56" s="81">
        <v>552177</v>
      </c>
      <c r="Q56" s="81">
        <v>14517</v>
      </c>
      <c r="R56" s="81">
        <v>696164</v>
      </c>
      <c r="S56" s="81">
        <v>16841</v>
      </c>
      <c r="T56" s="81">
        <v>207874</v>
      </c>
      <c r="U56" s="81">
        <v>835302</v>
      </c>
      <c r="V56" s="81">
        <v>258638</v>
      </c>
      <c r="W56" s="82">
        <f>SUM(N56:V56)</f>
        <v>2780927</v>
      </c>
      <c r="X56" s="83"/>
      <c r="Y56" s="80" t="s">
        <v>49</v>
      </c>
      <c r="Z56" s="81">
        <v>40875</v>
      </c>
      <c r="AA56" s="81">
        <v>10000</v>
      </c>
      <c r="AB56" s="81">
        <v>99490</v>
      </c>
      <c r="AC56" s="81">
        <v>4863</v>
      </c>
      <c r="AD56" s="81">
        <v>564938</v>
      </c>
      <c r="AE56" s="81">
        <v>0</v>
      </c>
      <c r="AF56" s="81">
        <v>93750</v>
      </c>
      <c r="AG56" s="81">
        <v>510562</v>
      </c>
      <c r="AH56" s="81">
        <v>13925</v>
      </c>
      <c r="AI56" s="82">
        <f t="shared" si="38"/>
        <v>1338403</v>
      </c>
      <c r="AK56" s="80" t="s">
        <v>49</v>
      </c>
      <c r="AL56" s="81">
        <v>251031</v>
      </c>
      <c r="AM56" s="81">
        <v>14809</v>
      </c>
      <c r="AN56" s="81">
        <v>314047</v>
      </c>
      <c r="AO56" s="81">
        <v>0</v>
      </c>
      <c r="AP56" s="81">
        <v>420817</v>
      </c>
      <c r="AQ56" s="81">
        <v>0</v>
      </c>
      <c r="AR56" s="81">
        <v>294018</v>
      </c>
      <c r="AS56" s="81">
        <v>386227</v>
      </c>
      <c r="AT56" s="81">
        <v>51501</v>
      </c>
      <c r="AU56" s="82">
        <f t="shared" si="39"/>
        <v>1732450</v>
      </c>
    </row>
    <row r="57" spans="1:47" x14ac:dyDescent="0.25">
      <c r="A57" s="80" t="s">
        <v>50</v>
      </c>
      <c r="B57" s="81">
        <v>0</v>
      </c>
      <c r="C57" s="81">
        <v>0</v>
      </c>
      <c r="D57" s="81">
        <v>0</v>
      </c>
      <c r="E57" s="81">
        <v>0</v>
      </c>
      <c r="F57" s="81">
        <v>0</v>
      </c>
      <c r="G57" s="81">
        <v>0</v>
      </c>
      <c r="H57" s="81">
        <v>0</v>
      </c>
      <c r="I57" s="81">
        <v>0</v>
      </c>
      <c r="J57" s="81">
        <v>0</v>
      </c>
      <c r="K57" s="82">
        <f>SUM(B57:J57)</f>
        <v>0</v>
      </c>
      <c r="M57" s="80" t="s">
        <v>50</v>
      </c>
      <c r="N57" s="81">
        <v>59926</v>
      </c>
      <c r="O57" s="81">
        <v>2865</v>
      </c>
      <c r="P57" s="81">
        <v>214222</v>
      </c>
      <c r="Q57" s="81">
        <v>85854</v>
      </c>
      <c r="R57" s="81">
        <v>799450</v>
      </c>
      <c r="S57" s="81">
        <v>25000</v>
      </c>
      <c r="T57" s="81">
        <v>107752</v>
      </c>
      <c r="U57" s="81">
        <v>1007131</v>
      </c>
      <c r="V57" s="81">
        <v>262194</v>
      </c>
      <c r="W57" s="82">
        <f>SUM(N57:V57)</f>
        <v>2564394</v>
      </c>
      <c r="X57" s="83"/>
      <c r="Y57" s="80" t="s">
        <v>50</v>
      </c>
      <c r="Z57" s="81">
        <v>106441</v>
      </c>
      <c r="AA57" s="81">
        <v>30000</v>
      </c>
      <c r="AB57" s="81">
        <v>109242</v>
      </c>
      <c r="AC57" s="81">
        <v>152</v>
      </c>
      <c r="AD57" s="81">
        <v>420083</v>
      </c>
      <c r="AE57" s="81">
        <v>0</v>
      </c>
      <c r="AF57" s="81">
        <v>75178</v>
      </c>
      <c r="AG57" s="81">
        <v>589371</v>
      </c>
      <c r="AH57" s="81">
        <v>29479</v>
      </c>
      <c r="AI57" s="82">
        <f t="shared" si="38"/>
        <v>1359946</v>
      </c>
      <c r="AK57" s="80" t="s">
        <v>50</v>
      </c>
      <c r="AL57" s="81">
        <v>29270</v>
      </c>
      <c r="AM57" s="81">
        <v>50000</v>
      </c>
      <c r="AN57" s="81">
        <v>73165</v>
      </c>
      <c r="AO57" s="81">
        <v>73000</v>
      </c>
      <c r="AP57" s="81">
        <v>518546</v>
      </c>
      <c r="AQ57" s="81">
        <v>0</v>
      </c>
      <c r="AR57" s="81">
        <v>264633</v>
      </c>
      <c r="AS57" s="81">
        <v>500164</v>
      </c>
      <c r="AT57" s="81">
        <v>35500</v>
      </c>
      <c r="AU57" s="82">
        <f t="shared" si="39"/>
        <v>1544278</v>
      </c>
    </row>
    <row r="58" spans="1:47" x14ac:dyDescent="0.25">
      <c r="A58" s="84" t="s">
        <v>9</v>
      </c>
      <c r="B58" s="85">
        <f>SUM(B46:B57)</f>
        <v>183975</v>
      </c>
      <c r="C58" s="85">
        <f t="shared" ref="C58:K58" si="40">SUM(C46:C57)</f>
        <v>81517</v>
      </c>
      <c r="D58" s="85">
        <f t="shared" si="40"/>
        <v>602367</v>
      </c>
      <c r="E58" s="85">
        <f t="shared" si="40"/>
        <v>246429</v>
      </c>
      <c r="F58" s="85">
        <f t="shared" si="40"/>
        <v>5066986</v>
      </c>
      <c r="G58" s="85">
        <f t="shared" si="40"/>
        <v>86572</v>
      </c>
      <c r="H58" s="85">
        <f t="shared" si="40"/>
        <v>602210</v>
      </c>
      <c r="I58" s="85">
        <f t="shared" si="40"/>
        <v>4804954</v>
      </c>
      <c r="J58" s="85">
        <f t="shared" si="40"/>
        <v>1123385</v>
      </c>
      <c r="K58" s="85">
        <f t="shared" si="40"/>
        <v>12798395</v>
      </c>
      <c r="M58" s="84" t="s">
        <v>9</v>
      </c>
      <c r="N58" s="85">
        <f>SUM(N46:N57)</f>
        <v>1277706</v>
      </c>
      <c r="O58" s="85">
        <f t="shared" ref="O58:W58" si="41">SUM(O46:O57)</f>
        <v>196354</v>
      </c>
      <c r="P58" s="85">
        <f t="shared" si="41"/>
        <v>3804443</v>
      </c>
      <c r="Q58" s="85">
        <f t="shared" si="41"/>
        <v>1390736</v>
      </c>
      <c r="R58" s="85">
        <f t="shared" si="41"/>
        <v>15973888</v>
      </c>
      <c r="S58" s="85">
        <f t="shared" si="41"/>
        <v>127499</v>
      </c>
      <c r="T58" s="85">
        <f t="shared" si="41"/>
        <v>2511478</v>
      </c>
      <c r="U58" s="85">
        <f t="shared" si="41"/>
        <v>18581680</v>
      </c>
      <c r="V58" s="85">
        <f t="shared" si="41"/>
        <v>4715706</v>
      </c>
      <c r="W58" s="85">
        <f t="shared" si="41"/>
        <v>48579490</v>
      </c>
      <c r="X58" s="83"/>
      <c r="Y58" s="84" t="s">
        <v>9</v>
      </c>
      <c r="Z58" s="85">
        <f>SUM(Z46:Z57)</f>
        <v>1224705</v>
      </c>
      <c r="AA58" s="85">
        <f t="shared" ref="AA58:AI58" si="42">SUM(AA46:AA57)</f>
        <v>136490</v>
      </c>
      <c r="AB58" s="85">
        <f t="shared" si="42"/>
        <v>2487905</v>
      </c>
      <c r="AC58" s="85">
        <f t="shared" si="42"/>
        <v>220732</v>
      </c>
      <c r="AD58" s="85">
        <f t="shared" si="42"/>
        <v>6040675</v>
      </c>
      <c r="AE58" s="85">
        <f t="shared" si="42"/>
        <v>0</v>
      </c>
      <c r="AF58" s="85">
        <f t="shared" si="42"/>
        <v>1509136</v>
      </c>
      <c r="AG58" s="85">
        <f t="shared" si="42"/>
        <v>6513662</v>
      </c>
      <c r="AH58" s="85">
        <f t="shared" si="42"/>
        <v>584955</v>
      </c>
      <c r="AI58" s="85">
        <f t="shared" si="42"/>
        <v>18718260</v>
      </c>
      <c r="AK58" s="84" t="s">
        <v>9</v>
      </c>
      <c r="AL58" s="85">
        <f>SUM(AL46:AL57)</f>
        <v>1011054</v>
      </c>
      <c r="AM58" s="85">
        <f t="shared" ref="AM58:AU58" si="43">SUM(AM46:AM57)</f>
        <v>177350</v>
      </c>
      <c r="AN58" s="85">
        <f t="shared" si="43"/>
        <v>974252</v>
      </c>
      <c r="AO58" s="85">
        <f t="shared" si="43"/>
        <v>453482</v>
      </c>
      <c r="AP58" s="85">
        <f t="shared" si="43"/>
        <v>4330590</v>
      </c>
      <c r="AQ58" s="85">
        <f t="shared" si="43"/>
        <v>0</v>
      </c>
      <c r="AR58" s="85">
        <f t="shared" si="43"/>
        <v>1170040</v>
      </c>
      <c r="AS58" s="85">
        <f t="shared" si="43"/>
        <v>4067705</v>
      </c>
      <c r="AT58" s="85">
        <f t="shared" si="43"/>
        <v>716758</v>
      </c>
      <c r="AU58" s="85">
        <f t="shared" si="43"/>
        <v>12901231</v>
      </c>
    </row>
    <row r="59" spans="1:47" ht="15" customHeight="1" x14ac:dyDescent="0.25">
      <c r="A59" s="86" t="s">
        <v>63</v>
      </c>
      <c r="B59" s="65">
        <f t="shared" ref="B59:K59" si="44">B58/$K58</f>
        <v>1.4374849346343819E-2</v>
      </c>
      <c r="C59" s="65">
        <f t="shared" si="44"/>
        <v>6.3693142772980518E-3</v>
      </c>
      <c r="D59" s="65">
        <f t="shared" si="44"/>
        <v>4.7065823488023302E-2</v>
      </c>
      <c r="E59" s="65">
        <f t="shared" si="44"/>
        <v>1.9254679981357038E-2</v>
      </c>
      <c r="F59" s="65">
        <f t="shared" si="44"/>
        <v>0.395907924392082</v>
      </c>
      <c r="G59" s="65">
        <f t="shared" si="44"/>
        <v>6.7642856780088445E-3</v>
      </c>
      <c r="H59" s="65">
        <f t="shared" si="44"/>
        <v>4.7053556324836043E-2</v>
      </c>
      <c r="I59" s="65">
        <f t="shared" si="44"/>
        <v>0.37543410716734404</v>
      </c>
      <c r="J59" s="65">
        <f t="shared" si="44"/>
        <v>8.7775459344706888E-2</v>
      </c>
      <c r="K59" s="65">
        <f t="shared" si="44"/>
        <v>1</v>
      </c>
      <c r="M59" s="86" t="s">
        <v>63</v>
      </c>
      <c r="N59" s="65">
        <f t="shared" ref="N59:W59" si="45">N58/$W58</f>
        <v>2.6301346514753448E-2</v>
      </c>
      <c r="O59" s="65">
        <f t="shared" si="45"/>
        <v>4.0419115145095179E-3</v>
      </c>
      <c r="P59" s="65">
        <f t="shared" si="45"/>
        <v>7.8313769864607474E-2</v>
      </c>
      <c r="Q59" s="65">
        <f t="shared" si="45"/>
        <v>2.8628048585936164E-2</v>
      </c>
      <c r="R59" s="65">
        <f t="shared" si="45"/>
        <v>0.32881959032505281</v>
      </c>
      <c r="S59" s="65">
        <f t="shared" si="45"/>
        <v>2.6245438146839336E-3</v>
      </c>
      <c r="T59" s="65">
        <f t="shared" si="45"/>
        <v>5.1698319599485294E-2</v>
      </c>
      <c r="U59" s="65">
        <f t="shared" si="45"/>
        <v>0.38250051616433189</v>
      </c>
      <c r="V59" s="65">
        <f t="shared" si="45"/>
        <v>9.707195361663945E-2</v>
      </c>
      <c r="W59" s="65">
        <f t="shared" si="45"/>
        <v>1</v>
      </c>
      <c r="X59" s="87"/>
      <c r="Y59" s="86" t="s">
        <v>63</v>
      </c>
      <c r="Z59" s="65">
        <f t="shared" ref="Z59:AI59" si="46">Z58/$AI58</f>
        <v>6.5428357122937708E-2</v>
      </c>
      <c r="AA59" s="65">
        <f t="shared" si="46"/>
        <v>7.2918102430460947E-3</v>
      </c>
      <c r="AB59" s="65">
        <f t="shared" si="46"/>
        <v>0.13291326223698144</v>
      </c>
      <c r="AC59" s="65">
        <f t="shared" si="46"/>
        <v>1.1792335398696247E-2</v>
      </c>
      <c r="AD59" s="65">
        <f t="shared" si="46"/>
        <v>0.32271562634561118</v>
      </c>
      <c r="AE59" s="65">
        <f t="shared" si="46"/>
        <v>0</v>
      </c>
      <c r="AF59" s="65">
        <f t="shared" si="46"/>
        <v>8.062373318887546E-2</v>
      </c>
      <c r="AG59" s="65">
        <f t="shared" si="46"/>
        <v>0.34798437461601667</v>
      </c>
      <c r="AH59" s="65">
        <f t="shared" si="46"/>
        <v>3.1250500847835212E-2</v>
      </c>
      <c r="AI59" s="65">
        <f t="shared" si="46"/>
        <v>1</v>
      </c>
      <c r="AK59" s="86" t="s">
        <v>63</v>
      </c>
      <c r="AL59" s="65">
        <f t="shared" ref="AL59:AU59" si="47">AL58/$AU58</f>
        <v>7.8368800620653947E-2</v>
      </c>
      <c r="AM59" s="65">
        <f t="shared" si="47"/>
        <v>1.3746750213216087E-2</v>
      </c>
      <c r="AN59" s="65">
        <f t="shared" si="47"/>
        <v>7.5516204616443192E-2</v>
      </c>
      <c r="AO59" s="65">
        <f t="shared" si="47"/>
        <v>3.5150289146826379E-2</v>
      </c>
      <c r="AP59" s="65">
        <f t="shared" si="47"/>
        <v>0.33567261914773872</v>
      </c>
      <c r="AQ59" s="65">
        <f t="shared" si="47"/>
        <v>0</v>
      </c>
      <c r="AR59" s="65">
        <f t="shared" si="47"/>
        <v>9.0692120775141535E-2</v>
      </c>
      <c r="AS59" s="65">
        <f t="shared" si="47"/>
        <v>0.31529588145503323</v>
      </c>
      <c r="AT59" s="65">
        <f t="shared" si="47"/>
        <v>5.5557334024946919E-2</v>
      </c>
      <c r="AU59" s="65">
        <f t="shared" si="47"/>
        <v>1</v>
      </c>
    </row>
    <row r="60" spans="1:47" ht="33.6" customHeight="1" x14ac:dyDescent="0.25">
      <c r="A60" s="86" t="s">
        <v>64</v>
      </c>
      <c r="B60" s="65">
        <f t="shared" ref="B60:K60" si="48">B58/B$98</f>
        <v>2.6816256019500631E-3</v>
      </c>
      <c r="C60" s="65">
        <f>IFERROR((C58/C$98),0)</f>
        <v>1.1292872432157118E-3</v>
      </c>
      <c r="D60" s="65">
        <f t="shared" si="48"/>
        <v>9.3811904268683742E-4</v>
      </c>
      <c r="E60" s="65">
        <f t="shared" si="48"/>
        <v>9.7537221665723872E-3</v>
      </c>
      <c r="F60" s="65">
        <f t="shared" si="48"/>
        <v>1.0947759255079648E-2</v>
      </c>
      <c r="G60" s="65">
        <f t="shared" si="48"/>
        <v>2.3573280769444607E-4</v>
      </c>
      <c r="H60" s="65">
        <f t="shared" si="48"/>
        <v>1.1736743767327841E-3</v>
      </c>
      <c r="I60" s="65">
        <f t="shared" si="48"/>
        <v>3.132444988072601E-3</v>
      </c>
      <c r="J60" s="65">
        <f t="shared" si="48"/>
        <v>1.0079929000173908E-3</v>
      </c>
      <c r="K60" s="65">
        <f t="shared" si="48"/>
        <v>2.666475837504768E-3</v>
      </c>
      <c r="M60" s="86" t="s">
        <v>64</v>
      </c>
      <c r="N60" s="65">
        <f t="shared" ref="N60:W60" si="49">N58/N$98</f>
        <v>3.4566094652203347E-3</v>
      </c>
      <c r="O60" s="65">
        <f t="shared" si="49"/>
        <v>1.3789245255295319E-3</v>
      </c>
      <c r="P60" s="65">
        <f t="shared" si="49"/>
        <v>1.0480568020200998E-3</v>
      </c>
      <c r="Q60" s="65">
        <f t="shared" si="49"/>
        <v>1.0804707775297481E-2</v>
      </c>
      <c r="R60" s="65">
        <f t="shared" si="49"/>
        <v>7.6449960297501783E-3</v>
      </c>
      <c r="S60" s="65">
        <f t="shared" si="49"/>
        <v>5.0702367712568083E-4</v>
      </c>
      <c r="T60" s="65">
        <f t="shared" si="49"/>
        <v>1.742889697750237E-3</v>
      </c>
      <c r="U60" s="65">
        <f t="shared" si="49"/>
        <v>3.7236747477767999E-3</v>
      </c>
      <c r="V60" s="65">
        <f t="shared" si="49"/>
        <v>1.0443088590297929E-3</v>
      </c>
      <c r="W60" s="65">
        <f t="shared" si="49"/>
        <v>2.7667335121094863E-3</v>
      </c>
      <c r="X60" s="87"/>
      <c r="Y60" s="86" t="s">
        <v>64</v>
      </c>
      <c r="Z60" s="65">
        <f t="shared" ref="Z60:AI60" si="50">Z58/Z$98</f>
        <v>2.5251674684145459E-3</v>
      </c>
      <c r="AA60" s="65">
        <f t="shared" si="50"/>
        <v>8.9535948345426314E-4</v>
      </c>
      <c r="AB60" s="65">
        <f t="shared" si="50"/>
        <v>9.1594553349133383E-4</v>
      </c>
      <c r="AC60" s="65">
        <f t="shared" si="50"/>
        <v>1.8231309269698842E-3</v>
      </c>
      <c r="AD60" s="65">
        <f t="shared" si="50"/>
        <v>5.7660400188391369E-3</v>
      </c>
      <c r="AE60" s="65">
        <f t="shared" si="50"/>
        <v>0</v>
      </c>
      <c r="AF60" s="65">
        <f t="shared" si="50"/>
        <v>1.5112066825982164E-3</v>
      </c>
      <c r="AG60" s="65">
        <f t="shared" si="50"/>
        <v>2.4073586517517217E-3</v>
      </c>
      <c r="AH60" s="65">
        <f t="shared" si="50"/>
        <v>2.2328308644420906E-4</v>
      </c>
      <c r="AI60" s="65">
        <f t="shared" si="50"/>
        <v>1.7252851519188662E-3</v>
      </c>
      <c r="AK60" s="86" t="s">
        <v>64</v>
      </c>
      <c r="AL60" s="65">
        <f t="shared" ref="AL60:AU60" si="51">AL58/AL$98</f>
        <v>2.6496168760353641E-3</v>
      </c>
      <c r="AM60" s="65">
        <f t="shared" si="51"/>
        <v>1.1216361855682466E-3</v>
      </c>
      <c r="AN60" s="65">
        <f t="shared" si="51"/>
        <v>3.8652070215984611E-4</v>
      </c>
      <c r="AO60" s="65">
        <f t="shared" si="51"/>
        <v>3.6999346337973455E-3</v>
      </c>
      <c r="AP60" s="65">
        <f t="shared" si="51"/>
        <v>8.1196151329538668E-3</v>
      </c>
      <c r="AQ60" s="65">
        <f t="shared" si="51"/>
        <v>0</v>
      </c>
      <c r="AR60" s="65">
        <f t="shared" si="51"/>
        <v>1.1685252162231803E-3</v>
      </c>
      <c r="AS60" s="65">
        <f t="shared" si="51"/>
        <v>3.0445352257097774E-3</v>
      </c>
      <c r="AT60" s="65">
        <f t="shared" si="51"/>
        <v>4.0789944772749866E-4</v>
      </c>
      <c r="AU60" s="65">
        <f t="shared" si="51"/>
        <v>1.6517291803207733E-3</v>
      </c>
    </row>
    <row r="61" spans="1:47" s="92" customFormat="1" x14ac:dyDescent="0.25">
      <c r="A61" s="90"/>
      <c r="B61" s="91"/>
      <c r="C61" s="91"/>
      <c r="D61" s="91"/>
      <c r="E61" s="91"/>
      <c r="F61" s="91"/>
      <c r="G61" s="91"/>
      <c r="H61" s="91"/>
      <c r="I61" s="91"/>
      <c r="J61" s="91"/>
      <c r="K61" s="87"/>
      <c r="M61" s="90"/>
      <c r="N61" s="91"/>
      <c r="O61" s="91"/>
      <c r="P61" s="91"/>
      <c r="Q61" s="91"/>
      <c r="R61" s="91"/>
      <c r="S61" s="91"/>
      <c r="T61" s="91"/>
      <c r="U61" s="91"/>
      <c r="V61" s="91"/>
      <c r="W61" s="87"/>
      <c r="X61" s="87"/>
      <c r="Y61" s="90"/>
      <c r="Z61" s="91"/>
      <c r="AA61" s="91"/>
      <c r="AB61" s="91"/>
      <c r="AC61" s="91"/>
      <c r="AD61" s="91"/>
      <c r="AE61" s="91"/>
      <c r="AF61" s="91"/>
      <c r="AG61" s="91"/>
      <c r="AH61" s="91"/>
      <c r="AI61" s="87"/>
      <c r="AJ61" s="1"/>
      <c r="AK61" s="90"/>
      <c r="AL61" s="91"/>
      <c r="AM61" s="91"/>
      <c r="AN61" s="91"/>
      <c r="AO61" s="91"/>
      <c r="AP61" s="91"/>
      <c r="AQ61" s="91"/>
      <c r="AR61" s="91"/>
      <c r="AS61" s="91"/>
      <c r="AT61" s="91"/>
      <c r="AU61" s="87"/>
    </row>
    <row r="62" spans="1:47" x14ac:dyDescent="0.25">
      <c r="A62" s="89"/>
      <c r="B62" s="87"/>
      <c r="C62" s="87"/>
      <c r="D62" s="87"/>
      <c r="E62" s="87"/>
      <c r="F62" s="87"/>
      <c r="G62" s="87"/>
      <c r="H62" s="87"/>
      <c r="I62" s="87"/>
      <c r="J62" s="87"/>
      <c r="K62" s="87"/>
      <c r="M62" s="89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9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K62" s="89"/>
      <c r="AL62" s="87"/>
      <c r="AM62" s="87"/>
      <c r="AN62" s="87"/>
      <c r="AO62" s="87"/>
      <c r="AP62" s="87"/>
      <c r="AQ62" s="87"/>
      <c r="AR62" s="87"/>
      <c r="AS62" s="87"/>
      <c r="AT62" s="87"/>
      <c r="AU62" s="87"/>
    </row>
    <row r="63" spans="1:47" x14ac:dyDescent="0.25">
      <c r="A63" s="73" t="s">
        <v>22</v>
      </c>
      <c r="B63" s="73"/>
      <c r="C63" s="73"/>
      <c r="D63" s="73"/>
      <c r="E63" s="73"/>
      <c r="F63" s="73"/>
      <c r="G63" s="73"/>
      <c r="H63" s="73"/>
      <c r="I63" s="73"/>
      <c r="J63" s="73"/>
      <c r="K63" s="73"/>
      <c r="M63" s="73" t="s">
        <v>22</v>
      </c>
      <c r="N63" s="73"/>
      <c r="O63" s="73"/>
      <c r="P63" s="73"/>
      <c r="Q63" s="73"/>
      <c r="R63" s="73"/>
      <c r="S63" s="73"/>
      <c r="T63" s="73"/>
      <c r="U63" s="73"/>
      <c r="V63" s="73"/>
      <c r="W63" s="73"/>
      <c r="Y63" s="73" t="s">
        <v>22</v>
      </c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K63" s="73" t="s">
        <v>22</v>
      </c>
      <c r="AL63" s="73"/>
      <c r="AM63" s="73"/>
      <c r="AN63" s="73"/>
      <c r="AO63" s="73"/>
      <c r="AP63" s="73"/>
      <c r="AQ63" s="73"/>
      <c r="AR63" s="73"/>
      <c r="AS63" s="73"/>
      <c r="AT63" s="73"/>
      <c r="AU63" s="73"/>
    </row>
    <row r="64" spans="1:47" x14ac:dyDescent="0.25">
      <c r="A64" s="54" t="s">
        <v>38</v>
      </c>
      <c r="B64" s="74" t="s">
        <v>3</v>
      </c>
      <c r="C64" s="74"/>
      <c r="D64" s="75" t="s">
        <v>4</v>
      </c>
      <c r="E64" s="76" t="s">
        <v>5</v>
      </c>
      <c r="F64" s="77"/>
      <c r="G64" s="78"/>
      <c r="H64" s="75" t="s">
        <v>7</v>
      </c>
      <c r="I64" s="74" t="s">
        <v>8</v>
      </c>
      <c r="J64" s="74"/>
      <c r="K64" s="54" t="s">
        <v>9</v>
      </c>
      <c r="M64" s="54" t="s">
        <v>38</v>
      </c>
      <c r="N64" s="74" t="s">
        <v>3</v>
      </c>
      <c r="O64" s="74"/>
      <c r="P64" s="75" t="s">
        <v>4</v>
      </c>
      <c r="Q64" s="76" t="s">
        <v>5</v>
      </c>
      <c r="R64" s="77"/>
      <c r="S64" s="78"/>
      <c r="T64" s="75" t="s">
        <v>7</v>
      </c>
      <c r="U64" s="74" t="s">
        <v>8</v>
      </c>
      <c r="V64" s="74"/>
      <c r="W64" s="54" t="s">
        <v>9</v>
      </c>
      <c r="Y64" s="54" t="s">
        <v>38</v>
      </c>
      <c r="Z64" s="74" t="s">
        <v>3</v>
      </c>
      <c r="AA64" s="74"/>
      <c r="AB64" s="75" t="s">
        <v>4</v>
      </c>
      <c r="AC64" s="76" t="s">
        <v>5</v>
      </c>
      <c r="AD64" s="77"/>
      <c r="AE64" s="78"/>
      <c r="AF64" s="75" t="s">
        <v>7</v>
      </c>
      <c r="AG64" s="74" t="s">
        <v>8</v>
      </c>
      <c r="AH64" s="74"/>
      <c r="AI64" s="54" t="s">
        <v>9</v>
      </c>
      <c r="AK64" s="54" t="s">
        <v>38</v>
      </c>
      <c r="AL64" s="74" t="s">
        <v>3</v>
      </c>
      <c r="AM64" s="74"/>
      <c r="AN64" s="75" t="s">
        <v>4</v>
      </c>
      <c r="AO64" s="76" t="s">
        <v>5</v>
      </c>
      <c r="AP64" s="77"/>
      <c r="AQ64" s="78"/>
      <c r="AR64" s="75" t="s">
        <v>7</v>
      </c>
      <c r="AS64" s="74" t="s">
        <v>8</v>
      </c>
      <c r="AT64" s="74"/>
      <c r="AU64" s="54" t="s">
        <v>9</v>
      </c>
    </row>
    <row r="65" spans="1:47" ht="28.9" customHeight="1" x14ac:dyDescent="0.25">
      <c r="A65" s="54" t="s">
        <v>65</v>
      </c>
      <c r="B65" s="79" t="s">
        <v>10</v>
      </c>
      <c r="C65" s="79" t="s">
        <v>60</v>
      </c>
      <c r="D65" s="79" t="s">
        <v>12</v>
      </c>
      <c r="E65" s="79" t="s">
        <v>13</v>
      </c>
      <c r="F65" s="79" t="s">
        <v>14</v>
      </c>
      <c r="G65" s="79" t="s">
        <v>15</v>
      </c>
      <c r="H65" s="79" t="s">
        <v>16</v>
      </c>
      <c r="I65" s="79" t="s">
        <v>17</v>
      </c>
      <c r="J65" s="79" t="s">
        <v>18</v>
      </c>
      <c r="K65" s="54"/>
      <c r="M65" s="54" t="s">
        <v>65</v>
      </c>
      <c r="N65" s="79" t="s">
        <v>10</v>
      </c>
      <c r="O65" s="79" t="s">
        <v>60</v>
      </c>
      <c r="P65" s="79" t="s">
        <v>12</v>
      </c>
      <c r="Q65" s="79" t="s">
        <v>13</v>
      </c>
      <c r="R65" s="79" t="s">
        <v>14</v>
      </c>
      <c r="S65" s="79" t="s">
        <v>15</v>
      </c>
      <c r="T65" s="79" t="s">
        <v>16</v>
      </c>
      <c r="U65" s="79" t="s">
        <v>17</v>
      </c>
      <c r="V65" s="79" t="s">
        <v>18</v>
      </c>
      <c r="W65" s="54"/>
      <c r="Y65" s="54" t="s">
        <v>65</v>
      </c>
      <c r="Z65" s="79" t="s">
        <v>10</v>
      </c>
      <c r="AA65" s="79" t="s">
        <v>60</v>
      </c>
      <c r="AB65" s="79" t="s">
        <v>12</v>
      </c>
      <c r="AC65" s="79" t="s">
        <v>13</v>
      </c>
      <c r="AD65" s="79" t="s">
        <v>14</v>
      </c>
      <c r="AE65" s="79" t="s">
        <v>15</v>
      </c>
      <c r="AF65" s="79" t="s">
        <v>16</v>
      </c>
      <c r="AG65" s="79" t="s">
        <v>17</v>
      </c>
      <c r="AH65" s="79" t="s">
        <v>18</v>
      </c>
      <c r="AI65" s="54"/>
      <c r="AK65" s="54" t="s">
        <v>65</v>
      </c>
      <c r="AL65" s="79" t="s">
        <v>10</v>
      </c>
      <c r="AM65" s="79" t="s">
        <v>60</v>
      </c>
      <c r="AN65" s="79" t="s">
        <v>12</v>
      </c>
      <c r="AO65" s="79" t="s">
        <v>13</v>
      </c>
      <c r="AP65" s="79" t="s">
        <v>14</v>
      </c>
      <c r="AQ65" s="79" t="s">
        <v>15</v>
      </c>
      <c r="AR65" s="79" t="s">
        <v>16</v>
      </c>
      <c r="AS65" s="79" t="s">
        <v>17</v>
      </c>
      <c r="AT65" s="79" t="s">
        <v>18</v>
      </c>
      <c r="AU65" s="54"/>
    </row>
    <row r="66" spans="1:47" x14ac:dyDescent="0.25">
      <c r="A66" s="80" t="s">
        <v>39</v>
      </c>
      <c r="B66" s="81">
        <v>21992412</v>
      </c>
      <c r="C66" s="81">
        <v>18235973</v>
      </c>
      <c r="D66" s="81">
        <v>151203665</v>
      </c>
      <c r="E66" s="81">
        <v>8176100</v>
      </c>
      <c r="F66" s="81">
        <v>90324181</v>
      </c>
      <c r="G66" s="81">
        <v>81846591</v>
      </c>
      <c r="H66" s="81">
        <v>22592170</v>
      </c>
      <c r="I66" s="81">
        <v>407268135</v>
      </c>
      <c r="J66" s="81">
        <v>281910153</v>
      </c>
      <c r="K66" s="82">
        <f>SUM(B66:J66)</f>
        <v>1083549380</v>
      </c>
      <c r="M66" s="80" t="s">
        <v>39</v>
      </c>
      <c r="N66" s="81">
        <v>31702714</v>
      </c>
      <c r="O66" s="81">
        <v>4870761</v>
      </c>
      <c r="P66" s="81">
        <v>175222091</v>
      </c>
      <c r="Q66" s="81">
        <v>8494028</v>
      </c>
      <c r="R66" s="81">
        <v>75540797</v>
      </c>
      <c r="S66" s="81">
        <v>1259766</v>
      </c>
      <c r="T66" s="81">
        <v>10425355</v>
      </c>
      <c r="U66" s="81">
        <v>249538048</v>
      </c>
      <c r="V66" s="81">
        <v>210250201</v>
      </c>
      <c r="W66" s="82">
        <f>SUM(N66:V66)</f>
        <v>767303761</v>
      </c>
      <c r="X66" s="83"/>
      <c r="Y66" s="80" t="s">
        <v>39</v>
      </c>
      <c r="Z66" s="81">
        <v>33691372</v>
      </c>
      <c r="AA66" s="81">
        <v>12803325</v>
      </c>
      <c r="AB66" s="81">
        <v>212923233</v>
      </c>
      <c r="AC66" s="81">
        <v>7792589</v>
      </c>
      <c r="AD66" s="81">
        <v>29753070</v>
      </c>
      <c r="AE66" s="81">
        <v>0</v>
      </c>
      <c r="AF66" s="81">
        <v>4283570</v>
      </c>
      <c r="AG66" s="81">
        <v>118557579</v>
      </c>
      <c r="AH66" s="81">
        <v>98591797</v>
      </c>
      <c r="AI66" s="82">
        <f>SUM(Z66:AH66)</f>
        <v>518396535</v>
      </c>
      <c r="AK66" s="80" t="s">
        <v>39</v>
      </c>
      <c r="AL66" s="81">
        <v>11714951</v>
      </c>
      <c r="AM66" s="81">
        <v>1113847</v>
      </c>
      <c r="AN66" s="81">
        <v>92646291</v>
      </c>
      <c r="AO66" s="81">
        <v>5330682</v>
      </c>
      <c r="AP66" s="81">
        <v>19342406</v>
      </c>
      <c r="AQ66" s="81">
        <v>0</v>
      </c>
      <c r="AR66" s="81">
        <v>71772024</v>
      </c>
      <c r="AS66" s="81">
        <v>18126293</v>
      </c>
      <c r="AT66" s="81">
        <v>102215199</v>
      </c>
      <c r="AU66" s="82">
        <f>SUM(AL66:AT66)</f>
        <v>322261693</v>
      </c>
    </row>
    <row r="67" spans="1:47" x14ac:dyDescent="0.25">
      <c r="A67" s="80" t="s">
        <v>40</v>
      </c>
      <c r="B67" s="81">
        <v>20992516</v>
      </c>
      <c r="C67" s="81">
        <v>14291987</v>
      </c>
      <c r="D67" s="81">
        <v>200775350</v>
      </c>
      <c r="E67" s="81">
        <v>5436582</v>
      </c>
      <c r="F67" s="81">
        <v>55877391</v>
      </c>
      <c r="G67" s="81">
        <v>101550195</v>
      </c>
      <c r="H67" s="81">
        <v>49074277</v>
      </c>
      <c r="I67" s="81">
        <v>321888159</v>
      </c>
      <c r="J67" s="81">
        <v>219162479</v>
      </c>
      <c r="K67" s="82">
        <f t="shared" ref="K67:K73" si="52">SUM(B67:J67)</f>
        <v>989048936</v>
      </c>
      <c r="M67" s="80" t="s">
        <v>40</v>
      </c>
      <c r="N67" s="81">
        <v>30444542</v>
      </c>
      <c r="O67" s="81">
        <v>8417877</v>
      </c>
      <c r="P67" s="81">
        <v>240676207</v>
      </c>
      <c r="Q67" s="81">
        <v>6842891</v>
      </c>
      <c r="R67" s="81">
        <v>86055072</v>
      </c>
      <c r="S67" s="81">
        <v>836888</v>
      </c>
      <c r="T67" s="81">
        <v>419323</v>
      </c>
      <c r="U67" s="81">
        <v>256875406</v>
      </c>
      <c r="V67" s="81">
        <v>177588894</v>
      </c>
      <c r="W67" s="82">
        <f t="shared" ref="W67:W73" si="53">SUM(N67:V67)</f>
        <v>808157100</v>
      </c>
      <c r="X67" s="83"/>
      <c r="Y67" s="80" t="s">
        <v>40</v>
      </c>
      <c r="Z67" s="81">
        <v>33234601</v>
      </c>
      <c r="AA67" s="81">
        <v>6684455</v>
      </c>
      <c r="AB67" s="81">
        <v>207009951</v>
      </c>
      <c r="AC67" s="81">
        <v>10534690</v>
      </c>
      <c r="AD67" s="81">
        <v>31756236</v>
      </c>
      <c r="AE67" s="81">
        <v>69502</v>
      </c>
      <c r="AF67" s="81">
        <v>134661</v>
      </c>
      <c r="AG67" s="81">
        <v>142603910</v>
      </c>
      <c r="AH67" s="81">
        <v>100750921</v>
      </c>
      <c r="AI67" s="82">
        <f t="shared" ref="AI67:AI77" si="54">SUM(Z67:AH67)</f>
        <v>532778927</v>
      </c>
      <c r="AK67" s="80" t="s">
        <v>40</v>
      </c>
      <c r="AL67" s="81">
        <v>28491756</v>
      </c>
      <c r="AM67" s="81">
        <v>3090540</v>
      </c>
      <c r="AN67" s="81">
        <v>174058273</v>
      </c>
      <c r="AO67" s="81">
        <v>4031263</v>
      </c>
      <c r="AP67" s="81">
        <v>22204915</v>
      </c>
      <c r="AQ67" s="81">
        <v>0</v>
      </c>
      <c r="AR67" s="81">
        <v>620290</v>
      </c>
      <c r="AS67" s="81">
        <v>57859826</v>
      </c>
      <c r="AT67" s="81">
        <v>76240608</v>
      </c>
      <c r="AU67" s="82">
        <f t="shared" ref="AU67:AU77" si="55">SUM(AL67:AT67)</f>
        <v>366597471</v>
      </c>
    </row>
    <row r="68" spans="1:47" x14ac:dyDescent="0.25">
      <c r="A68" s="80" t="s">
        <v>41</v>
      </c>
      <c r="B68" s="81">
        <v>12238021</v>
      </c>
      <c r="C68" s="81">
        <v>20029527</v>
      </c>
      <c r="D68" s="81">
        <v>79846910</v>
      </c>
      <c r="E68" s="81">
        <v>3324805</v>
      </c>
      <c r="F68" s="81">
        <v>53814098</v>
      </c>
      <c r="G68" s="81">
        <v>82584316</v>
      </c>
      <c r="H68" s="81">
        <v>66304963</v>
      </c>
      <c r="I68" s="81">
        <v>285689937</v>
      </c>
      <c r="J68" s="81">
        <v>189899774</v>
      </c>
      <c r="K68" s="82">
        <f t="shared" si="52"/>
        <v>793732351</v>
      </c>
      <c r="M68" s="80" t="s">
        <v>41</v>
      </c>
      <c r="N68" s="81">
        <v>34556300</v>
      </c>
      <c r="O68" s="81">
        <v>10121365</v>
      </c>
      <c r="P68" s="81">
        <v>244209573</v>
      </c>
      <c r="Q68" s="81">
        <v>5248768</v>
      </c>
      <c r="R68" s="81">
        <v>85855262</v>
      </c>
      <c r="S68" s="81">
        <v>3393898</v>
      </c>
      <c r="T68" s="81">
        <v>606045</v>
      </c>
      <c r="U68" s="81">
        <v>280989051</v>
      </c>
      <c r="V68" s="81">
        <v>194146821</v>
      </c>
      <c r="W68" s="82">
        <f t="shared" si="53"/>
        <v>859127083</v>
      </c>
      <c r="X68" s="83"/>
      <c r="Y68" s="80" t="s">
        <v>41</v>
      </c>
      <c r="Z68" s="81">
        <v>29996139</v>
      </c>
      <c r="AA68" s="81">
        <v>5866326</v>
      </c>
      <c r="AB68" s="81">
        <v>188047598</v>
      </c>
      <c r="AC68" s="81">
        <v>5479048</v>
      </c>
      <c r="AD68" s="81">
        <v>37742645</v>
      </c>
      <c r="AE68" s="81">
        <v>203006</v>
      </c>
      <c r="AF68" s="81">
        <v>6262</v>
      </c>
      <c r="AG68" s="81">
        <v>154962894</v>
      </c>
      <c r="AH68" s="81">
        <v>98115999</v>
      </c>
      <c r="AI68" s="82">
        <f t="shared" si="54"/>
        <v>520419917</v>
      </c>
      <c r="AK68" s="80" t="s">
        <v>41</v>
      </c>
      <c r="AL68" s="81">
        <v>26658221</v>
      </c>
      <c r="AM68" s="81">
        <v>4235290</v>
      </c>
      <c r="AN68" s="81">
        <v>202218856</v>
      </c>
      <c r="AO68" s="81">
        <v>4930600</v>
      </c>
      <c r="AP68" s="81">
        <v>22853717</v>
      </c>
      <c r="AQ68" s="81">
        <v>0</v>
      </c>
      <c r="AR68" s="81">
        <v>540240</v>
      </c>
      <c r="AS68" s="81">
        <v>84277691</v>
      </c>
      <c r="AT68" s="81">
        <v>106454546</v>
      </c>
      <c r="AU68" s="82">
        <f t="shared" si="55"/>
        <v>452169161</v>
      </c>
    </row>
    <row r="69" spans="1:47" x14ac:dyDescent="0.25">
      <c r="A69" s="80" t="s">
        <v>42</v>
      </c>
      <c r="B69" s="81">
        <v>11089455</v>
      </c>
      <c r="C69" s="81">
        <v>14065443</v>
      </c>
      <c r="D69" s="81">
        <v>103062828</v>
      </c>
      <c r="E69" s="81">
        <v>2682222</v>
      </c>
      <c r="F69" s="81">
        <v>74730463</v>
      </c>
      <c r="G69" s="81">
        <v>73928511</v>
      </c>
      <c r="H69" s="81">
        <v>165716468</v>
      </c>
      <c r="I69" s="81">
        <v>319498641</v>
      </c>
      <c r="J69" s="81">
        <v>179983529</v>
      </c>
      <c r="K69" s="82">
        <f t="shared" si="52"/>
        <v>944757560</v>
      </c>
      <c r="M69" s="80" t="s">
        <v>42</v>
      </c>
      <c r="N69" s="81">
        <v>27613000</v>
      </c>
      <c r="O69" s="81">
        <v>8906960</v>
      </c>
      <c r="P69" s="81">
        <v>368266871</v>
      </c>
      <c r="Q69" s="81">
        <v>9754882</v>
      </c>
      <c r="R69" s="81">
        <v>91864454</v>
      </c>
      <c r="S69" s="81">
        <v>5670512</v>
      </c>
      <c r="T69" s="81">
        <v>11143457</v>
      </c>
      <c r="U69" s="81">
        <v>351111349</v>
      </c>
      <c r="V69" s="81">
        <v>266308247</v>
      </c>
      <c r="W69" s="82">
        <f t="shared" si="53"/>
        <v>1140639732</v>
      </c>
      <c r="X69" s="83"/>
      <c r="Y69" s="80" t="s">
        <v>42</v>
      </c>
      <c r="Z69" s="81">
        <v>26134563</v>
      </c>
      <c r="AA69" s="81">
        <v>10839278</v>
      </c>
      <c r="AB69" s="81">
        <v>148153334</v>
      </c>
      <c r="AC69" s="81">
        <v>3344174</v>
      </c>
      <c r="AD69" s="81">
        <v>35827855</v>
      </c>
      <c r="AE69" s="81">
        <v>430651</v>
      </c>
      <c r="AF69" s="81">
        <v>858248</v>
      </c>
      <c r="AG69" s="81">
        <v>142835194</v>
      </c>
      <c r="AH69" s="81">
        <v>118870823</v>
      </c>
      <c r="AI69" s="82">
        <f t="shared" si="54"/>
        <v>487294120</v>
      </c>
      <c r="AK69" s="80" t="s">
        <v>42</v>
      </c>
      <c r="AL69" s="81">
        <v>24868743</v>
      </c>
      <c r="AM69" s="81">
        <v>1791735</v>
      </c>
      <c r="AN69" s="81">
        <v>116078929</v>
      </c>
      <c r="AO69" s="81">
        <v>4894983</v>
      </c>
      <c r="AP69" s="81">
        <v>21283558</v>
      </c>
      <c r="AQ69" s="81">
        <v>0</v>
      </c>
      <c r="AR69" s="81">
        <v>619524</v>
      </c>
      <c r="AS69" s="81">
        <v>67652936</v>
      </c>
      <c r="AT69" s="81">
        <v>78092591</v>
      </c>
      <c r="AU69" s="82">
        <f t="shared" si="55"/>
        <v>315282999</v>
      </c>
    </row>
    <row r="70" spans="1:47" x14ac:dyDescent="0.25">
      <c r="A70" s="80" t="s">
        <v>43</v>
      </c>
      <c r="B70" s="81">
        <v>119180</v>
      </c>
      <c r="C70" s="81">
        <v>150000</v>
      </c>
      <c r="D70" s="81">
        <v>33223858</v>
      </c>
      <c r="E70" s="81">
        <v>140800</v>
      </c>
      <c r="F70" s="81">
        <v>14409171</v>
      </c>
      <c r="G70" s="81">
        <v>15121270</v>
      </c>
      <c r="H70" s="81">
        <v>17733072</v>
      </c>
      <c r="I70" s="81">
        <v>22676877</v>
      </c>
      <c r="J70" s="81">
        <v>9614485</v>
      </c>
      <c r="K70" s="82">
        <f t="shared" si="52"/>
        <v>113188713</v>
      </c>
      <c r="M70" s="80" t="s">
        <v>43</v>
      </c>
      <c r="N70" s="81">
        <v>35066540</v>
      </c>
      <c r="O70" s="81">
        <v>7854890</v>
      </c>
      <c r="P70" s="81">
        <v>413954292</v>
      </c>
      <c r="Q70" s="81">
        <v>7292579</v>
      </c>
      <c r="R70" s="81">
        <v>114899662</v>
      </c>
      <c r="S70" s="81">
        <v>10606426</v>
      </c>
      <c r="T70" s="81">
        <v>52527787</v>
      </c>
      <c r="U70" s="81">
        <v>405457047</v>
      </c>
      <c r="V70" s="81">
        <v>323178383</v>
      </c>
      <c r="W70" s="82">
        <f t="shared" si="53"/>
        <v>1370837606</v>
      </c>
      <c r="X70" s="83"/>
      <c r="Y70" s="80" t="s">
        <v>43</v>
      </c>
      <c r="Z70" s="81">
        <v>44530028</v>
      </c>
      <c r="AA70" s="81">
        <v>13993051</v>
      </c>
      <c r="AB70" s="81">
        <v>173569034</v>
      </c>
      <c r="AC70" s="81">
        <v>4791246</v>
      </c>
      <c r="AD70" s="81">
        <v>43669478</v>
      </c>
      <c r="AE70" s="81">
        <v>615781</v>
      </c>
      <c r="AF70" s="81">
        <v>79505</v>
      </c>
      <c r="AG70" s="81">
        <v>163633878</v>
      </c>
      <c r="AH70" s="81">
        <v>135714146</v>
      </c>
      <c r="AI70" s="82">
        <f t="shared" si="54"/>
        <v>580596147</v>
      </c>
      <c r="AK70" s="80" t="s">
        <v>43</v>
      </c>
      <c r="AL70" s="81">
        <v>21106293</v>
      </c>
      <c r="AM70" s="81">
        <v>2654134</v>
      </c>
      <c r="AN70" s="81">
        <v>134056381</v>
      </c>
      <c r="AO70" s="81">
        <v>4583180</v>
      </c>
      <c r="AP70" s="81">
        <v>28632270</v>
      </c>
      <c r="AQ70" s="81">
        <v>0</v>
      </c>
      <c r="AR70" s="81">
        <v>5336370</v>
      </c>
      <c r="AS70" s="81">
        <v>60402419</v>
      </c>
      <c r="AT70" s="81">
        <v>72963797</v>
      </c>
      <c r="AU70" s="82">
        <f t="shared" si="55"/>
        <v>329734844</v>
      </c>
    </row>
    <row r="71" spans="1:47" x14ac:dyDescent="0.25">
      <c r="A71" s="80" t="s">
        <v>44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2">
        <f t="shared" si="52"/>
        <v>0</v>
      </c>
      <c r="M71" s="80" t="s">
        <v>44</v>
      </c>
      <c r="N71" s="81">
        <v>35127493</v>
      </c>
      <c r="O71" s="81">
        <v>6337728</v>
      </c>
      <c r="P71" s="81">
        <v>254866248</v>
      </c>
      <c r="Q71" s="81">
        <v>4702990</v>
      </c>
      <c r="R71" s="81">
        <v>115549149</v>
      </c>
      <c r="S71" s="81">
        <v>10153269</v>
      </c>
      <c r="T71" s="81">
        <v>71072527</v>
      </c>
      <c r="U71" s="81">
        <v>344597653</v>
      </c>
      <c r="V71" s="81">
        <v>256916143</v>
      </c>
      <c r="W71" s="82">
        <f t="shared" si="53"/>
        <v>1099323200</v>
      </c>
      <c r="X71" s="83"/>
      <c r="Y71" s="80" t="s">
        <v>44</v>
      </c>
      <c r="Z71" s="81">
        <v>24809595</v>
      </c>
      <c r="AA71" s="81">
        <v>19032866</v>
      </c>
      <c r="AB71" s="81">
        <v>180451700</v>
      </c>
      <c r="AC71" s="81">
        <v>2233227</v>
      </c>
      <c r="AD71" s="81">
        <v>37106677</v>
      </c>
      <c r="AE71" s="81">
        <v>100000</v>
      </c>
      <c r="AF71" s="81">
        <v>361806</v>
      </c>
      <c r="AG71" s="81">
        <v>137053502</v>
      </c>
      <c r="AH71" s="81">
        <v>101506096</v>
      </c>
      <c r="AI71" s="82">
        <f t="shared" si="54"/>
        <v>502655469</v>
      </c>
      <c r="AK71" s="80" t="s">
        <v>44</v>
      </c>
      <c r="AL71" s="81">
        <v>23867677</v>
      </c>
      <c r="AM71" s="81">
        <v>5572138</v>
      </c>
      <c r="AN71" s="81">
        <v>108237756</v>
      </c>
      <c r="AO71" s="81">
        <v>2206841</v>
      </c>
      <c r="AP71" s="81">
        <v>21715834</v>
      </c>
      <c r="AQ71" s="81">
        <v>0</v>
      </c>
      <c r="AR71" s="81">
        <v>559969</v>
      </c>
      <c r="AS71" s="81">
        <v>51052958</v>
      </c>
      <c r="AT71" s="81">
        <v>49530223</v>
      </c>
      <c r="AU71" s="82">
        <f t="shared" si="55"/>
        <v>262743396</v>
      </c>
    </row>
    <row r="72" spans="1:47" x14ac:dyDescent="0.25">
      <c r="A72" s="80" t="s">
        <v>45</v>
      </c>
      <c r="B72" s="81">
        <v>0</v>
      </c>
      <c r="C72" s="81">
        <v>0</v>
      </c>
      <c r="D72" s="81">
        <v>0</v>
      </c>
      <c r="E72" s="81">
        <v>0</v>
      </c>
      <c r="F72" s="81">
        <v>0</v>
      </c>
      <c r="G72" s="81">
        <v>0</v>
      </c>
      <c r="H72" s="81">
        <v>0</v>
      </c>
      <c r="I72" s="81">
        <v>0</v>
      </c>
      <c r="J72" s="81">
        <v>0</v>
      </c>
      <c r="K72" s="82">
        <f t="shared" si="52"/>
        <v>0</v>
      </c>
      <c r="M72" s="80" t="s">
        <v>45</v>
      </c>
      <c r="N72" s="81">
        <v>32678034</v>
      </c>
      <c r="O72" s="81">
        <v>10881005</v>
      </c>
      <c r="P72" s="81">
        <v>407476389</v>
      </c>
      <c r="Q72" s="81">
        <v>8632192</v>
      </c>
      <c r="R72" s="81">
        <v>118152429</v>
      </c>
      <c r="S72" s="81">
        <v>14656068</v>
      </c>
      <c r="T72" s="81">
        <v>16231175</v>
      </c>
      <c r="U72" s="81">
        <v>400763918</v>
      </c>
      <c r="V72" s="81">
        <v>265067938</v>
      </c>
      <c r="W72" s="82">
        <f t="shared" si="53"/>
        <v>1274539148</v>
      </c>
      <c r="X72" s="83"/>
      <c r="Y72" s="80" t="s">
        <v>45</v>
      </c>
      <c r="Z72" s="81">
        <v>41586026</v>
      </c>
      <c r="AA72" s="81">
        <v>9265698</v>
      </c>
      <c r="AB72" s="81">
        <v>189891527</v>
      </c>
      <c r="AC72" s="81">
        <v>5825141</v>
      </c>
      <c r="AD72" s="81">
        <v>43122256</v>
      </c>
      <c r="AE72" s="81">
        <v>82000</v>
      </c>
      <c r="AF72" s="81">
        <v>165156</v>
      </c>
      <c r="AG72" s="81">
        <v>158027604</v>
      </c>
      <c r="AH72" s="81">
        <v>123069826</v>
      </c>
      <c r="AI72" s="82">
        <f t="shared" si="54"/>
        <v>571035234</v>
      </c>
      <c r="AK72" s="80" t="s">
        <v>45</v>
      </c>
      <c r="AL72" s="81">
        <v>26019717</v>
      </c>
      <c r="AM72" s="81">
        <v>4140534</v>
      </c>
      <c r="AN72" s="81">
        <v>123240601</v>
      </c>
      <c r="AO72" s="81">
        <v>5488001</v>
      </c>
      <c r="AP72" s="81">
        <v>24925088</v>
      </c>
      <c r="AQ72" s="81">
        <v>0</v>
      </c>
      <c r="AR72" s="81">
        <v>108053</v>
      </c>
      <c r="AS72" s="81">
        <v>70164707</v>
      </c>
      <c r="AT72" s="81">
        <v>67157849</v>
      </c>
      <c r="AU72" s="82">
        <f t="shared" si="55"/>
        <v>321244550</v>
      </c>
    </row>
    <row r="73" spans="1:47" x14ac:dyDescent="0.25">
      <c r="A73" s="80" t="s">
        <v>46</v>
      </c>
      <c r="B73" s="81">
        <v>0</v>
      </c>
      <c r="C73" s="81">
        <v>0</v>
      </c>
      <c r="D73" s="81">
        <v>0</v>
      </c>
      <c r="E73" s="81">
        <v>0</v>
      </c>
      <c r="F73" s="81">
        <v>0</v>
      </c>
      <c r="G73" s="81">
        <v>0</v>
      </c>
      <c r="H73" s="81">
        <v>0</v>
      </c>
      <c r="I73" s="81">
        <v>0</v>
      </c>
      <c r="J73" s="81">
        <v>0</v>
      </c>
      <c r="K73" s="82">
        <f t="shared" si="52"/>
        <v>0</v>
      </c>
      <c r="M73" s="80" t="s">
        <v>46</v>
      </c>
      <c r="N73" s="81">
        <v>21789102</v>
      </c>
      <c r="O73" s="81">
        <v>6705741</v>
      </c>
      <c r="P73" s="81">
        <v>260149111</v>
      </c>
      <c r="Q73" s="81">
        <v>7856823</v>
      </c>
      <c r="R73" s="81">
        <v>106406814</v>
      </c>
      <c r="S73" s="81">
        <v>24373267</v>
      </c>
      <c r="T73" s="81">
        <v>69004170</v>
      </c>
      <c r="U73" s="81">
        <v>350114386</v>
      </c>
      <c r="V73" s="81">
        <v>256293522</v>
      </c>
      <c r="W73" s="82">
        <f t="shared" si="53"/>
        <v>1102692936</v>
      </c>
      <c r="X73" s="83"/>
      <c r="Y73" s="80" t="s">
        <v>46</v>
      </c>
      <c r="Z73" s="81">
        <v>36217606</v>
      </c>
      <c r="AA73" s="81">
        <v>10395925</v>
      </c>
      <c r="AB73" s="81">
        <v>151663174</v>
      </c>
      <c r="AC73" s="81">
        <v>11094768</v>
      </c>
      <c r="AD73" s="81">
        <v>46133939</v>
      </c>
      <c r="AE73" s="81">
        <v>181534</v>
      </c>
      <c r="AF73" s="81">
        <v>15182731</v>
      </c>
      <c r="AG73" s="81">
        <v>165921103</v>
      </c>
      <c r="AH73" s="81">
        <v>137639204</v>
      </c>
      <c r="AI73" s="82">
        <f t="shared" si="54"/>
        <v>574429984</v>
      </c>
      <c r="AK73" s="80" t="s">
        <v>46</v>
      </c>
      <c r="AL73" s="81">
        <v>32277607</v>
      </c>
      <c r="AM73" s="81">
        <v>12981201</v>
      </c>
      <c r="AN73" s="81">
        <v>253537482</v>
      </c>
      <c r="AO73" s="81">
        <v>5704648</v>
      </c>
      <c r="AP73" s="81">
        <v>26891662</v>
      </c>
      <c r="AQ73" s="81">
        <v>0</v>
      </c>
      <c r="AR73" s="81">
        <v>10846</v>
      </c>
      <c r="AS73" s="81">
        <v>90295421</v>
      </c>
      <c r="AT73" s="81">
        <v>63196305</v>
      </c>
      <c r="AU73" s="82">
        <f t="shared" si="55"/>
        <v>484895172</v>
      </c>
    </row>
    <row r="74" spans="1:47" x14ac:dyDescent="0.25">
      <c r="A74" s="80" t="s">
        <v>47</v>
      </c>
      <c r="B74" s="81">
        <v>0</v>
      </c>
      <c r="C74" s="81">
        <v>0</v>
      </c>
      <c r="D74" s="81">
        <v>0</v>
      </c>
      <c r="E74" s="81">
        <v>0</v>
      </c>
      <c r="F74" s="81">
        <v>0</v>
      </c>
      <c r="G74" s="81">
        <v>0</v>
      </c>
      <c r="H74" s="81">
        <v>0</v>
      </c>
      <c r="I74" s="81">
        <v>0</v>
      </c>
      <c r="J74" s="81">
        <v>0</v>
      </c>
      <c r="K74" s="82">
        <f>SUM(B74:J74)</f>
        <v>0</v>
      </c>
      <c r="M74" s="80" t="s">
        <v>47</v>
      </c>
      <c r="N74" s="81">
        <v>22018110</v>
      </c>
      <c r="O74" s="81">
        <v>8739424</v>
      </c>
      <c r="P74" s="81">
        <v>252288684</v>
      </c>
      <c r="Q74" s="81">
        <v>4182989</v>
      </c>
      <c r="R74" s="81">
        <v>106490014</v>
      </c>
      <c r="S74" s="81">
        <v>19329075</v>
      </c>
      <c r="T74" s="81">
        <v>38115561</v>
      </c>
      <c r="U74" s="81">
        <v>324104716</v>
      </c>
      <c r="V74" s="81">
        <v>285718177</v>
      </c>
      <c r="W74" s="82">
        <f>SUM(N74:V74)</f>
        <v>1060986750</v>
      </c>
      <c r="X74" s="83"/>
      <c r="Y74" s="80" t="s">
        <v>47</v>
      </c>
      <c r="Z74" s="81">
        <v>32721529</v>
      </c>
      <c r="AA74" s="81">
        <v>4667592</v>
      </c>
      <c r="AB74" s="81">
        <v>172238463</v>
      </c>
      <c r="AC74" s="81">
        <v>5113988</v>
      </c>
      <c r="AD74" s="81">
        <v>46919966</v>
      </c>
      <c r="AE74" s="81">
        <v>0</v>
      </c>
      <c r="AF74" s="81">
        <v>531928</v>
      </c>
      <c r="AG74" s="81">
        <v>191346644</v>
      </c>
      <c r="AH74" s="81">
        <v>130344736</v>
      </c>
      <c r="AI74" s="82">
        <f t="shared" si="54"/>
        <v>583884846</v>
      </c>
      <c r="AK74" s="80" t="s">
        <v>47</v>
      </c>
      <c r="AL74" s="81">
        <v>20131838</v>
      </c>
      <c r="AM74" s="81">
        <v>18816512</v>
      </c>
      <c r="AN74" s="81">
        <v>156886647</v>
      </c>
      <c r="AO74" s="81">
        <v>7402060</v>
      </c>
      <c r="AP74" s="81">
        <v>21599515</v>
      </c>
      <c r="AQ74" s="81">
        <v>0</v>
      </c>
      <c r="AR74" s="81">
        <v>85044</v>
      </c>
      <c r="AS74" s="81">
        <v>113730162</v>
      </c>
      <c r="AT74" s="81">
        <v>90726409</v>
      </c>
      <c r="AU74" s="82">
        <f t="shared" si="55"/>
        <v>429378187</v>
      </c>
    </row>
    <row r="75" spans="1:47" x14ac:dyDescent="0.25">
      <c r="A75" s="80" t="s">
        <v>48</v>
      </c>
      <c r="B75" s="81">
        <v>0</v>
      </c>
      <c r="C75" s="81">
        <v>0</v>
      </c>
      <c r="D75" s="81">
        <v>0</v>
      </c>
      <c r="E75" s="81">
        <v>0</v>
      </c>
      <c r="F75" s="81">
        <v>0</v>
      </c>
      <c r="G75" s="81">
        <v>0</v>
      </c>
      <c r="H75" s="81">
        <v>0</v>
      </c>
      <c r="I75" s="81">
        <v>0</v>
      </c>
      <c r="J75" s="81">
        <v>0</v>
      </c>
      <c r="K75" s="82">
        <f>SUM(B75:J75)</f>
        <v>0</v>
      </c>
      <c r="M75" s="80" t="s">
        <v>48</v>
      </c>
      <c r="N75" s="81">
        <v>29874517</v>
      </c>
      <c r="O75" s="81">
        <v>15613140</v>
      </c>
      <c r="P75" s="81">
        <v>244708725</v>
      </c>
      <c r="Q75" s="81">
        <v>7555807</v>
      </c>
      <c r="R75" s="81">
        <v>106485499</v>
      </c>
      <c r="S75" s="81">
        <v>38763047</v>
      </c>
      <c r="T75" s="81">
        <v>37874480</v>
      </c>
      <c r="U75" s="81">
        <v>466375622</v>
      </c>
      <c r="V75" s="81">
        <v>282629759</v>
      </c>
      <c r="W75" s="82">
        <f>SUM(N75:V75)</f>
        <v>1229880596</v>
      </c>
      <c r="X75" s="83"/>
      <c r="Y75" s="80" t="s">
        <v>48</v>
      </c>
      <c r="Z75" s="81">
        <v>31336548</v>
      </c>
      <c r="AA75" s="81">
        <v>7721117</v>
      </c>
      <c r="AB75" s="81">
        <v>203861280</v>
      </c>
      <c r="AC75" s="81">
        <v>5689004</v>
      </c>
      <c r="AD75" s="81">
        <v>58337993</v>
      </c>
      <c r="AE75" s="81">
        <v>0</v>
      </c>
      <c r="AF75" s="81">
        <v>5614203</v>
      </c>
      <c r="AG75" s="81">
        <v>198224904</v>
      </c>
      <c r="AH75" s="81">
        <v>222157850</v>
      </c>
      <c r="AI75" s="82">
        <f t="shared" si="54"/>
        <v>732942899</v>
      </c>
      <c r="AK75" s="80" t="s">
        <v>48</v>
      </c>
      <c r="AL75" s="81">
        <v>25267501</v>
      </c>
      <c r="AM75" s="81">
        <v>13198091</v>
      </c>
      <c r="AN75" s="81">
        <v>199687904</v>
      </c>
      <c r="AO75" s="81">
        <v>5935795</v>
      </c>
      <c r="AP75" s="81">
        <v>32114124</v>
      </c>
      <c r="AQ75" s="81">
        <v>0</v>
      </c>
      <c r="AR75" s="81">
        <v>7126</v>
      </c>
      <c r="AS75" s="81">
        <v>87202722</v>
      </c>
      <c r="AT75" s="81">
        <v>79025642</v>
      </c>
      <c r="AU75" s="82">
        <f t="shared" si="55"/>
        <v>442438905</v>
      </c>
    </row>
    <row r="76" spans="1:47" x14ac:dyDescent="0.25">
      <c r="A76" s="80" t="s">
        <v>49</v>
      </c>
      <c r="B76" s="81">
        <v>0</v>
      </c>
      <c r="C76" s="81">
        <v>0</v>
      </c>
      <c r="D76" s="81">
        <v>0</v>
      </c>
      <c r="E76" s="81">
        <v>0</v>
      </c>
      <c r="F76" s="81">
        <v>0</v>
      </c>
      <c r="G76" s="81">
        <v>0</v>
      </c>
      <c r="H76" s="81">
        <v>0</v>
      </c>
      <c r="I76" s="81">
        <v>0</v>
      </c>
      <c r="J76" s="81">
        <v>0</v>
      </c>
      <c r="K76" s="82">
        <f>SUM(B76:J76)</f>
        <v>0</v>
      </c>
      <c r="M76" s="80" t="s">
        <v>49</v>
      </c>
      <c r="N76" s="81">
        <v>20709351</v>
      </c>
      <c r="O76" s="81">
        <v>19319984</v>
      </c>
      <c r="P76" s="81">
        <v>217041233</v>
      </c>
      <c r="Q76" s="81">
        <v>6969525</v>
      </c>
      <c r="R76" s="81">
        <v>93359995</v>
      </c>
      <c r="S76" s="81">
        <v>46963381</v>
      </c>
      <c r="T76" s="81">
        <v>30171272</v>
      </c>
      <c r="U76" s="81">
        <v>360008742</v>
      </c>
      <c r="V76" s="81">
        <v>259037637</v>
      </c>
      <c r="W76" s="82">
        <f>SUM(N76:V76)</f>
        <v>1053581120</v>
      </c>
      <c r="X76" s="83"/>
      <c r="Y76" s="80" t="s">
        <v>49</v>
      </c>
      <c r="Z76" s="81">
        <v>38886390</v>
      </c>
      <c r="AA76" s="81">
        <v>10077590</v>
      </c>
      <c r="AB76" s="81">
        <v>209820775</v>
      </c>
      <c r="AC76" s="81">
        <v>6028579</v>
      </c>
      <c r="AD76" s="81">
        <v>54684423</v>
      </c>
      <c r="AE76" s="81">
        <v>530723</v>
      </c>
      <c r="AF76" s="81">
        <v>10318770</v>
      </c>
      <c r="AG76" s="81">
        <v>228774025</v>
      </c>
      <c r="AH76" s="81">
        <v>144115316</v>
      </c>
      <c r="AI76" s="82">
        <f t="shared" si="54"/>
        <v>703236591</v>
      </c>
      <c r="AK76" s="80" t="s">
        <v>49</v>
      </c>
      <c r="AL76" s="81">
        <v>27111719</v>
      </c>
      <c r="AM76" s="81">
        <v>23951913</v>
      </c>
      <c r="AN76" s="81">
        <v>219619563</v>
      </c>
      <c r="AO76" s="81">
        <v>5732046</v>
      </c>
      <c r="AP76" s="81">
        <v>27024076</v>
      </c>
      <c r="AQ76" s="81">
        <v>500</v>
      </c>
      <c r="AR76" s="81">
        <v>121304</v>
      </c>
      <c r="AS76" s="81">
        <v>102890321</v>
      </c>
      <c r="AT76" s="81">
        <v>97403053</v>
      </c>
      <c r="AU76" s="82">
        <f t="shared" si="55"/>
        <v>503854495</v>
      </c>
    </row>
    <row r="77" spans="1:47" x14ac:dyDescent="0.25">
      <c r="A77" s="80" t="s">
        <v>50</v>
      </c>
      <c r="B77" s="81">
        <v>0</v>
      </c>
      <c r="C77" s="81">
        <v>0</v>
      </c>
      <c r="D77" s="81">
        <v>0</v>
      </c>
      <c r="E77" s="81">
        <v>0</v>
      </c>
      <c r="F77" s="81">
        <v>0</v>
      </c>
      <c r="G77" s="81">
        <v>0</v>
      </c>
      <c r="H77" s="81">
        <v>0</v>
      </c>
      <c r="I77" s="81">
        <v>0</v>
      </c>
      <c r="J77" s="81">
        <v>0</v>
      </c>
      <c r="K77" s="82">
        <f>SUM(B77:J77)</f>
        <v>0</v>
      </c>
      <c r="M77" s="80" t="s">
        <v>50</v>
      </c>
      <c r="N77" s="81">
        <v>22800087</v>
      </c>
      <c r="O77" s="81">
        <v>24558200</v>
      </c>
      <c r="P77" s="81">
        <v>199083058</v>
      </c>
      <c r="Q77" s="81">
        <v>10103177</v>
      </c>
      <c r="R77" s="81">
        <v>93609233</v>
      </c>
      <c r="S77" s="81">
        <v>58698645</v>
      </c>
      <c r="T77" s="81">
        <v>17513116</v>
      </c>
      <c r="U77" s="81">
        <v>396824598</v>
      </c>
      <c r="V77" s="81">
        <v>284083710</v>
      </c>
      <c r="W77" s="82">
        <f>SUM(N77:V77)</f>
        <v>1107273824</v>
      </c>
      <c r="X77" s="83"/>
      <c r="Y77" s="80" t="s">
        <v>50</v>
      </c>
      <c r="Z77" s="81">
        <v>35317815</v>
      </c>
      <c r="AA77" s="81">
        <v>8028618</v>
      </c>
      <c r="AB77" s="81">
        <v>185034871</v>
      </c>
      <c r="AC77" s="81">
        <v>4741339</v>
      </c>
      <c r="AD77" s="81">
        <v>64676262</v>
      </c>
      <c r="AE77" s="81">
        <v>499227</v>
      </c>
      <c r="AF77" s="81">
        <v>1181354</v>
      </c>
      <c r="AG77" s="81">
        <v>215151581</v>
      </c>
      <c r="AH77" s="81">
        <v>154948091</v>
      </c>
      <c r="AI77" s="82">
        <f t="shared" si="54"/>
        <v>669579158</v>
      </c>
      <c r="AK77" s="80" t="s">
        <v>50</v>
      </c>
      <c r="AL77" s="81">
        <v>32328439</v>
      </c>
      <c r="AM77" s="81">
        <v>26232599</v>
      </c>
      <c r="AN77" s="81">
        <v>171646524</v>
      </c>
      <c r="AO77" s="81">
        <v>5535232</v>
      </c>
      <c r="AP77" s="81">
        <v>31431563</v>
      </c>
      <c r="AQ77" s="81">
        <v>0</v>
      </c>
      <c r="AR77" s="81">
        <v>992016</v>
      </c>
      <c r="AS77" s="81">
        <v>111824779</v>
      </c>
      <c r="AT77" s="81">
        <v>82410009</v>
      </c>
      <c r="AU77" s="82">
        <f t="shared" si="55"/>
        <v>462401161</v>
      </c>
    </row>
    <row r="78" spans="1:47" x14ac:dyDescent="0.25">
      <c r="A78" s="84" t="s">
        <v>9</v>
      </c>
      <c r="B78" s="85">
        <f>SUM(B66:B77)</f>
        <v>66431584</v>
      </c>
      <c r="C78" s="85">
        <f t="shared" ref="C78:J78" si="56">SUM(C66:C77)</f>
        <v>66772930</v>
      </c>
      <c r="D78" s="85">
        <f t="shared" si="56"/>
        <v>568112611</v>
      </c>
      <c r="E78" s="85">
        <f t="shared" si="56"/>
        <v>19760509</v>
      </c>
      <c r="F78" s="85">
        <f t="shared" si="56"/>
        <v>289155304</v>
      </c>
      <c r="G78" s="85">
        <f t="shared" si="56"/>
        <v>355030883</v>
      </c>
      <c r="H78" s="85">
        <f t="shared" si="56"/>
        <v>321420950</v>
      </c>
      <c r="I78" s="85">
        <f t="shared" si="56"/>
        <v>1357021749</v>
      </c>
      <c r="J78" s="85">
        <f t="shared" si="56"/>
        <v>880570420</v>
      </c>
      <c r="K78" s="85">
        <f>SUM(K66:K77)</f>
        <v>3924276940</v>
      </c>
      <c r="M78" s="84" t="s">
        <v>9</v>
      </c>
      <c r="N78" s="85">
        <f>SUM(N66:N77)</f>
        <v>344379790</v>
      </c>
      <c r="O78" s="85">
        <f t="shared" ref="O78:V78" si="57">SUM(O66:O77)</f>
        <v>132327075</v>
      </c>
      <c r="P78" s="85">
        <f t="shared" si="57"/>
        <v>3277942482</v>
      </c>
      <c r="Q78" s="85">
        <f t="shared" si="57"/>
        <v>87636651</v>
      </c>
      <c r="R78" s="85">
        <f t="shared" si="57"/>
        <v>1194268380</v>
      </c>
      <c r="S78" s="85">
        <f t="shared" si="57"/>
        <v>234704242</v>
      </c>
      <c r="T78" s="85">
        <f t="shared" si="57"/>
        <v>355104268</v>
      </c>
      <c r="U78" s="85">
        <f t="shared" si="57"/>
        <v>4186760536</v>
      </c>
      <c r="V78" s="85">
        <f t="shared" si="57"/>
        <v>3061219432</v>
      </c>
      <c r="W78" s="85">
        <f>SUM(W66:W77)</f>
        <v>12874342856</v>
      </c>
      <c r="X78" s="83"/>
      <c r="Y78" s="84" t="s">
        <v>9</v>
      </c>
      <c r="Z78" s="85">
        <f>SUM(Z66:Z77)</f>
        <v>408462212</v>
      </c>
      <c r="AA78" s="85">
        <f t="shared" ref="AA78:AH78" si="58">SUM(AA66:AA77)</f>
        <v>119375841</v>
      </c>
      <c r="AB78" s="85">
        <f t="shared" si="58"/>
        <v>2222664940</v>
      </c>
      <c r="AC78" s="85">
        <f t="shared" si="58"/>
        <v>72667793</v>
      </c>
      <c r="AD78" s="85">
        <f t="shared" si="58"/>
        <v>529730800</v>
      </c>
      <c r="AE78" s="85">
        <f t="shared" si="58"/>
        <v>2712424</v>
      </c>
      <c r="AF78" s="85">
        <f t="shared" si="58"/>
        <v>38718194</v>
      </c>
      <c r="AG78" s="85">
        <f t="shared" si="58"/>
        <v>2017092818</v>
      </c>
      <c r="AH78" s="85">
        <f t="shared" si="58"/>
        <v>1565824805</v>
      </c>
      <c r="AI78" s="85">
        <f>SUM(AI66:AI77)</f>
        <v>6977249827</v>
      </c>
      <c r="AK78" s="84" t="s">
        <v>9</v>
      </c>
      <c r="AL78" s="85">
        <f>SUM(AL66:AL77)</f>
        <v>299844462</v>
      </c>
      <c r="AM78" s="85">
        <f t="shared" ref="AM78:AT78" si="59">SUM(AM66:AM77)</f>
        <v>117778534</v>
      </c>
      <c r="AN78" s="85">
        <f t="shared" si="59"/>
        <v>1951915207</v>
      </c>
      <c r="AO78" s="85">
        <f t="shared" si="59"/>
        <v>61775331</v>
      </c>
      <c r="AP78" s="85">
        <f t="shared" si="59"/>
        <v>300018728</v>
      </c>
      <c r="AQ78" s="85">
        <f t="shared" si="59"/>
        <v>500</v>
      </c>
      <c r="AR78" s="85">
        <f t="shared" si="59"/>
        <v>80772806</v>
      </c>
      <c r="AS78" s="85">
        <f t="shared" si="59"/>
        <v>915480235</v>
      </c>
      <c r="AT78" s="85">
        <f t="shared" si="59"/>
        <v>965416231</v>
      </c>
      <c r="AU78" s="85">
        <f>SUM(AU66:AU77)</f>
        <v>4693002034</v>
      </c>
    </row>
    <row r="79" spans="1:47" ht="14.45" customHeight="1" x14ac:dyDescent="0.25">
      <c r="A79" s="86" t="s">
        <v>66</v>
      </c>
      <c r="B79" s="65">
        <f t="shared" ref="B79:K79" si="60">B78/$K78</f>
        <v>1.6928362859120742E-2</v>
      </c>
      <c r="C79" s="65">
        <f t="shared" si="60"/>
        <v>1.7015346016838455E-2</v>
      </c>
      <c r="D79" s="65">
        <f t="shared" si="60"/>
        <v>0.1447687356642062</v>
      </c>
      <c r="E79" s="65">
        <f t="shared" si="60"/>
        <v>5.0354522125036364E-3</v>
      </c>
      <c r="F79" s="65">
        <f t="shared" si="60"/>
        <v>7.3683715094786356E-2</v>
      </c>
      <c r="G79" s="65">
        <f t="shared" si="60"/>
        <v>9.0470394528272005E-2</v>
      </c>
      <c r="H79" s="65">
        <f t="shared" si="60"/>
        <v>8.1905776507200337E-2</v>
      </c>
      <c r="I79" s="65">
        <f t="shared" si="60"/>
        <v>0.34580172850899765</v>
      </c>
      <c r="J79" s="65">
        <f t="shared" si="60"/>
        <v>0.22439048860807465</v>
      </c>
      <c r="K79" s="65">
        <f t="shared" si="60"/>
        <v>1</v>
      </c>
      <c r="M79" s="86" t="s">
        <v>66</v>
      </c>
      <c r="N79" s="65">
        <f t="shared" ref="N79:W79" si="61">N78/$W78</f>
        <v>2.6749310147469323E-2</v>
      </c>
      <c r="O79" s="65">
        <f t="shared" si="61"/>
        <v>1.0278355678428268E-2</v>
      </c>
      <c r="P79" s="65">
        <f t="shared" si="61"/>
        <v>0.25461046972757428</v>
      </c>
      <c r="Q79" s="65">
        <f t="shared" si="61"/>
        <v>6.8070776101133218E-3</v>
      </c>
      <c r="R79" s="65">
        <f t="shared" si="61"/>
        <v>9.2763443801204923E-2</v>
      </c>
      <c r="S79" s="65">
        <f t="shared" si="61"/>
        <v>1.8230386173894515E-2</v>
      </c>
      <c r="T79" s="65">
        <f t="shared" si="61"/>
        <v>2.7582321829692929E-2</v>
      </c>
      <c r="U79" s="65">
        <f t="shared" si="61"/>
        <v>0.32520188275464396</v>
      </c>
      <c r="V79" s="65">
        <f t="shared" si="61"/>
        <v>0.2377767522769785</v>
      </c>
      <c r="W79" s="65">
        <f t="shared" si="61"/>
        <v>1</v>
      </c>
      <c r="X79" s="87"/>
      <c r="Y79" s="86" t="s">
        <v>66</v>
      </c>
      <c r="Z79" s="65">
        <f t="shared" ref="Z79:AI79" si="62">Z78/$AI78</f>
        <v>5.8542007542766464E-2</v>
      </c>
      <c r="AA79" s="65">
        <f t="shared" si="62"/>
        <v>1.71092972102058E-2</v>
      </c>
      <c r="AB79" s="65">
        <f t="shared" si="62"/>
        <v>0.31855888711321617</v>
      </c>
      <c r="AC79" s="65">
        <f t="shared" si="62"/>
        <v>1.0414962170165675E-2</v>
      </c>
      <c r="AD79" s="65">
        <f t="shared" si="62"/>
        <v>7.5922578828995113E-2</v>
      </c>
      <c r="AE79" s="65">
        <f t="shared" si="62"/>
        <v>3.8875259840971725E-4</v>
      </c>
      <c r="AF79" s="65">
        <f t="shared" si="62"/>
        <v>5.5492056268605216E-3</v>
      </c>
      <c r="AG79" s="65">
        <f t="shared" si="62"/>
        <v>0.28909568497811511</v>
      </c>
      <c r="AH79" s="65">
        <f t="shared" si="62"/>
        <v>0.22441862393126547</v>
      </c>
      <c r="AI79" s="65">
        <f t="shared" si="62"/>
        <v>1</v>
      </c>
      <c r="AK79" s="86" t="s">
        <v>66</v>
      </c>
      <c r="AL79" s="65">
        <f t="shared" ref="AL79:AU79" si="63">AL78/$AU78</f>
        <v>6.3891824428729829E-2</v>
      </c>
      <c r="AM79" s="65">
        <f t="shared" si="63"/>
        <v>2.5096629651279626E-2</v>
      </c>
      <c r="AN79" s="65">
        <f t="shared" si="63"/>
        <v>0.41592038376687396</v>
      </c>
      <c r="AO79" s="65">
        <f t="shared" si="63"/>
        <v>1.3163286645189636E-2</v>
      </c>
      <c r="AP79" s="65">
        <f t="shared" si="63"/>
        <v>6.3928957589708138E-2</v>
      </c>
      <c r="AQ79" s="65">
        <f t="shared" si="63"/>
        <v>1.0654161161183933E-7</v>
      </c>
      <c r="AR79" s="65">
        <f t="shared" si="63"/>
        <v>1.7211329851300892E-2</v>
      </c>
      <c r="AS79" s="65">
        <f t="shared" si="63"/>
        <v>0.19507347927137081</v>
      </c>
      <c r="AT79" s="65">
        <f t="shared" si="63"/>
        <v>0.20571400225393552</v>
      </c>
      <c r="AU79" s="65">
        <f t="shared" si="63"/>
        <v>1</v>
      </c>
    </row>
    <row r="80" spans="1:47" ht="31.9" customHeight="1" x14ac:dyDescent="0.25">
      <c r="A80" s="86" t="s">
        <v>67</v>
      </c>
      <c r="B80" s="65">
        <f>B78/B$98</f>
        <v>0.96830893562982034</v>
      </c>
      <c r="C80" s="65">
        <f>IFERROR((C78/C$98),0)</f>
        <v>0.92503180982047539</v>
      </c>
      <c r="D80" s="65">
        <f t="shared" ref="D80:K80" si="64">D78/D$98</f>
        <v>0.88477167369666609</v>
      </c>
      <c r="E80" s="65">
        <f t="shared" si="64"/>
        <v>0.78212594563161453</v>
      </c>
      <c r="F80" s="65">
        <f t="shared" si="64"/>
        <v>0.62475062207027388</v>
      </c>
      <c r="G80" s="65">
        <f t="shared" si="64"/>
        <v>0.96673782363614535</v>
      </c>
      <c r="H80" s="65">
        <f t="shared" si="64"/>
        <v>0.62643186456569866</v>
      </c>
      <c r="I80" s="65">
        <f t="shared" si="64"/>
        <v>0.8846694424880166</v>
      </c>
      <c r="J80" s="65">
        <f t="shared" si="64"/>
        <v>0.79011979982404235</v>
      </c>
      <c r="K80" s="65">
        <f t="shared" si="64"/>
        <v>0.81760171022906769</v>
      </c>
      <c r="M80" s="86" t="s">
        <v>67</v>
      </c>
      <c r="N80" s="65">
        <f>N78/N$98</f>
        <v>0.93165911543390356</v>
      </c>
      <c r="O80" s="65">
        <f t="shared" ref="O80:W80" si="65">O78/O$98</f>
        <v>0.92928613172680863</v>
      </c>
      <c r="P80" s="65">
        <f t="shared" si="65"/>
        <v>0.90301521533920959</v>
      </c>
      <c r="Q80" s="65">
        <f t="shared" si="65"/>
        <v>0.68085416963444656</v>
      </c>
      <c r="R80" s="65">
        <f t="shared" si="65"/>
        <v>0.57156886435889476</v>
      </c>
      <c r="S80" s="65">
        <f t="shared" si="65"/>
        <v>0.9333454208726002</v>
      </c>
      <c r="T80" s="65">
        <f t="shared" si="65"/>
        <v>0.2464316113158623</v>
      </c>
      <c r="U80" s="65">
        <f t="shared" si="65"/>
        <v>0.83900564872991346</v>
      </c>
      <c r="V80" s="65">
        <f t="shared" si="65"/>
        <v>0.67791727734336071</v>
      </c>
      <c r="W80" s="65">
        <f t="shared" si="65"/>
        <v>0.73322869025760773</v>
      </c>
      <c r="X80" s="87"/>
      <c r="Y80" s="86" t="s">
        <v>67</v>
      </c>
      <c r="Z80" s="65">
        <f>Z78/Z$98</f>
        <v>0.84219096828954365</v>
      </c>
      <c r="AA80" s="65">
        <f t="shared" ref="AA80:AI80" si="66">AA78/AA$98</f>
        <v>0.78309247076473187</v>
      </c>
      <c r="AB80" s="65">
        <f t="shared" si="66"/>
        <v>0.81829492052179786</v>
      </c>
      <c r="AC80" s="65">
        <f t="shared" si="66"/>
        <v>0.600197981320994</v>
      </c>
      <c r="AD80" s="65">
        <f t="shared" si="66"/>
        <v>0.50564696693857414</v>
      </c>
      <c r="AE80" s="65">
        <f t="shared" si="66"/>
        <v>0.94759686196035253</v>
      </c>
      <c r="AF80" s="65">
        <f t="shared" si="66"/>
        <v>3.8771319159395946E-2</v>
      </c>
      <c r="AG80" s="65">
        <f t="shared" si="66"/>
        <v>0.74548938013648258</v>
      </c>
      <c r="AH80" s="65">
        <f t="shared" si="66"/>
        <v>0.59769075448761322</v>
      </c>
      <c r="AI80" s="65">
        <f t="shared" si="66"/>
        <v>0.64310173743454668</v>
      </c>
      <c r="AK80" s="86" t="s">
        <v>67</v>
      </c>
      <c r="AL80" s="65">
        <f>AL78/AL$98</f>
        <v>0.78578685876416532</v>
      </c>
      <c r="AM80" s="65">
        <f t="shared" ref="AM80:AU80" si="67">AM78/AM$98</f>
        <v>0.74488111428012427</v>
      </c>
      <c r="AN80" s="65">
        <f t="shared" si="67"/>
        <v>0.77439475245226219</v>
      </c>
      <c r="AO80" s="65">
        <f t="shared" si="67"/>
        <v>0.50402151944552331</v>
      </c>
      <c r="AP80" s="65">
        <f t="shared" si="67"/>
        <v>0.56251841066422137</v>
      </c>
      <c r="AQ80" s="65">
        <f t="shared" si="67"/>
        <v>1</v>
      </c>
      <c r="AR80" s="65">
        <f t="shared" si="67"/>
        <v>8.0668234074136785E-2</v>
      </c>
      <c r="AS80" s="65">
        <f t="shared" si="67"/>
        <v>0.68520500476277535</v>
      </c>
      <c r="AT80" s="65">
        <f t="shared" si="67"/>
        <v>0.5494082346511141</v>
      </c>
      <c r="AU80" s="65">
        <f t="shared" si="67"/>
        <v>0.60083943949709462</v>
      </c>
    </row>
    <row r="81" spans="1:47" ht="14.45" customHeight="1" x14ac:dyDescent="0.25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87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K81" s="93"/>
      <c r="AL81" s="93"/>
      <c r="AM81" s="93"/>
      <c r="AN81" s="93"/>
      <c r="AO81" s="93"/>
      <c r="AP81" s="93"/>
      <c r="AQ81" s="93"/>
      <c r="AR81" s="93"/>
      <c r="AS81" s="93"/>
      <c r="AT81" s="93"/>
      <c r="AU81" s="93"/>
    </row>
    <row r="82" spans="1:47" s="94" customFormat="1" x14ac:dyDescent="0.25">
      <c r="A82" s="89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1"/>
      <c r="M82" s="89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9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1"/>
      <c r="AK82" s="89"/>
      <c r="AL82" s="87"/>
      <c r="AM82" s="87"/>
      <c r="AN82" s="87"/>
      <c r="AO82" s="87"/>
      <c r="AP82" s="87"/>
      <c r="AQ82" s="87"/>
      <c r="AR82" s="87"/>
      <c r="AS82" s="87"/>
      <c r="AT82" s="87"/>
      <c r="AU82" s="87"/>
    </row>
    <row r="83" spans="1:47" x14ac:dyDescent="0.25">
      <c r="A83" s="73" t="s">
        <v>23</v>
      </c>
      <c r="B83" s="73"/>
      <c r="C83" s="73"/>
      <c r="D83" s="73"/>
      <c r="E83" s="73"/>
      <c r="F83" s="73"/>
      <c r="G83" s="73"/>
      <c r="H83" s="73"/>
      <c r="I83" s="73"/>
      <c r="J83" s="73"/>
      <c r="K83" s="73"/>
      <c r="M83" s="73" t="s">
        <v>23</v>
      </c>
      <c r="N83" s="73"/>
      <c r="O83" s="73"/>
      <c r="P83" s="73"/>
      <c r="Q83" s="73"/>
      <c r="R83" s="73"/>
      <c r="S83" s="73"/>
      <c r="T83" s="73"/>
      <c r="U83" s="73"/>
      <c r="V83" s="73"/>
      <c r="W83" s="73"/>
      <c r="Y83" s="73" t="s">
        <v>23</v>
      </c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K83" s="73" t="s">
        <v>23</v>
      </c>
      <c r="AL83" s="73"/>
      <c r="AM83" s="73"/>
      <c r="AN83" s="73"/>
      <c r="AO83" s="73"/>
      <c r="AP83" s="73"/>
      <c r="AQ83" s="73"/>
      <c r="AR83" s="73"/>
      <c r="AS83" s="73"/>
      <c r="AT83" s="73"/>
      <c r="AU83" s="73"/>
    </row>
    <row r="84" spans="1:47" x14ac:dyDescent="0.25">
      <c r="A84" s="54" t="s">
        <v>38</v>
      </c>
      <c r="B84" s="74" t="s">
        <v>3</v>
      </c>
      <c r="C84" s="74"/>
      <c r="D84" s="75" t="s">
        <v>4</v>
      </c>
      <c r="E84" s="76" t="s">
        <v>5</v>
      </c>
      <c r="F84" s="77"/>
      <c r="G84" s="78"/>
      <c r="H84" s="75" t="s">
        <v>7</v>
      </c>
      <c r="I84" s="74" t="s">
        <v>8</v>
      </c>
      <c r="J84" s="74"/>
      <c r="K84" s="54" t="s">
        <v>9</v>
      </c>
      <c r="M84" s="54" t="s">
        <v>38</v>
      </c>
      <c r="N84" s="74" t="s">
        <v>3</v>
      </c>
      <c r="O84" s="74"/>
      <c r="P84" s="75" t="s">
        <v>4</v>
      </c>
      <c r="Q84" s="76" t="s">
        <v>5</v>
      </c>
      <c r="R84" s="77"/>
      <c r="S84" s="78"/>
      <c r="T84" s="75" t="s">
        <v>7</v>
      </c>
      <c r="U84" s="74" t="s">
        <v>8</v>
      </c>
      <c r="V84" s="74"/>
      <c r="W84" s="54" t="s">
        <v>9</v>
      </c>
      <c r="Y84" s="54" t="s">
        <v>38</v>
      </c>
      <c r="Z84" s="74" t="s">
        <v>3</v>
      </c>
      <c r="AA84" s="74"/>
      <c r="AB84" s="75" t="s">
        <v>4</v>
      </c>
      <c r="AC84" s="76" t="s">
        <v>5</v>
      </c>
      <c r="AD84" s="77"/>
      <c r="AE84" s="78"/>
      <c r="AF84" s="75" t="s">
        <v>7</v>
      </c>
      <c r="AG84" s="74" t="s">
        <v>8</v>
      </c>
      <c r="AH84" s="74"/>
      <c r="AI84" s="54" t="s">
        <v>9</v>
      </c>
      <c r="AK84" s="54" t="s">
        <v>38</v>
      </c>
      <c r="AL84" s="74" t="s">
        <v>3</v>
      </c>
      <c r="AM84" s="74"/>
      <c r="AN84" s="75" t="s">
        <v>4</v>
      </c>
      <c r="AO84" s="76" t="s">
        <v>5</v>
      </c>
      <c r="AP84" s="77"/>
      <c r="AQ84" s="78"/>
      <c r="AR84" s="75" t="s">
        <v>7</v>
      </c>
      <c r="AS84" s="74" t="s">
        <v>8</v>
      </c>
      <c r="AT84" s="74"/>
      <c r="AU84" s="54" t="s">
        <v>9</v>
      </c>
    </row>
    <row r="85" spans="1:47" ht="28.9" customHeight="1" x14ac:dyDescent="0.25">
      <c r="A85" s="54" t="s">
        <v>65</v>
      </c>
      <c r="B85" s="79" t="s">
        <v>10</v>
      </c>
      <c r="C85" s="79" t="s">
        <v>11</v>
      </c>
      <c r="D85" s="79" t="s">
        <v>12</v>
      </c>
      <c r="E85" s="79" t="s">
        <v>13</v>
      </c>
      <c r="F85" s="79" t="s">
        <v>14</v>
      </c>
      <c r="G85" s="79" t="s">
        <v>15</v>
      </c>
      <c r="H85" s="79" t="s">
        <v>16</v>
      </c>
      <c r="I85" s="79" t="s">
        <v>17</v>
      </c>
      <c r="J85" s="79" t="s">
        <v>18</v>
      </c>
      <c r="K85" s="54"/>
      <c r="M85" s="54" t="s">
        <v>65</v>
      </c>
      <c r="N85" s="79" t="s">
        <v>10</v>
      </c>
      <c r="O85" s="79" t="s">
        <v>11</v>
      </c>
      <c r="P85" s="79" t="s">
        <v>12</v>
      </c>
      <c r="Q85" s="79" t="s">
        <v>13</v>
      </c>
      <c r="R85" s="79" t="s">
        <v>14</v>
      </c>
      <c r="S85" s="79" t="s">
        <v>15</v>
      </c>
      <c r="T85" s="79" t="s">
        <v>16</v>
      </c>
      <c r="U85" s="79" t="s">
        <v>17</v>
      </c>
      <c r="V85" s="79" t="s">
        <v>18</v>
      </c>
      <c r="W85" s="54"/>
      <c r="Y85" s="54" t="s">
        <v>65</v>
      </c>
      <c r="Z85" s="79" t="s">
        <v>10</v>
      </c>
      <c r="AA85" s="79" t="s">
        <v>11</v>
      </c>
      <c r="AB85" s="79" t="s">
        <v>12</v>
      </c>
      <c r="AC85" s="79" t="s">
        <v>13</v>
      </c>
      <c r="AD85" s="79" t="s">
        <v>14</v>
      </c>
      <c r="AE85" s="79" t="s">
        <v>15</v>
      </c>
      <c r="AF85" s="79" t="s">
        <v>16</v>
      </c>
      <c r="AG85" s="79" t="s">
        <v>17</v>
      </c>
      <c r="AH85" s="79" t="s">
        <v>18</v>
      </c>
      <c r="AI85" s="54"/>
      <c r="AK85" s="54" t="s">
        <v>65</v>
      </c>
      <c r="AL85" s="79" t="s">
        <v>10</v>
      </c>
      <c r="AM85" s="79" t="s">
        <v>11</v>
      </c>
      <c r="AN85" s="79" t="s">
        <v>12</v>
      </c>
      <c r="AO85" s="79" t="s">
        <v>13</v>
      </c>
      <c r="AP85" s="79" t="s">
        <v>14</v>
      </c>
      <c r="AQ85" s="79" t="s">
        <v>15</v>
      </c>
      <c r="AR85" s="79" t="s">
        <v>16</v>
      </c>
      <c r="AS85" s="79" t="s">
        <v>17</v>
      </c>
      <c r="AT85" s="79" t="s">
        <v>18</v>
      </c>
      <c r="AU85" s="54"/>
    </row>
    <row r="86" spans="1:47" x14ac:dyDescent="0.25">
      <c r="A86" s="80" t="s">
        <v>39</v>
      </c>
      <c r="B86" s="81">
        <v>22418160</v>
      </c>
      <c r="C86" s="81">
        <v>18437971</v>
      </c>
      <c r="D86" s="81">
        <v>173654886</v>
      </c>
      <c r="E86" s="81">
        <v>11412720</v>
      </c>
      <c r="F86" s="81">
        <v>144160738</v>
      </c>
      <c r="G86" s="81">
        <v>84993261</v>
      </c>
      <c r="H86" s="81">
        <v>88247246</v>
      </c>
      <c r="I86" s="81">
        <v>469152066</v>
      </c>
      <c r="J86" s="81">
        <v>365451842</v>
      </c>
      <c r="K86" s="82">
        <f>SUM(B86:J86)</f>
        <v>1377928890</v>
      </c>
      <c r="M86" s="80" t="s">
        <v>39</v>
      </c>
      <c r="N86" s="81">
        <v>35787802</v>
      </c>
      <c r="O86" s="81">
        <v>8113598</v>
      </c>
      <c r="P86" s="81">
        <v>205443383</v>
      </c>
      <c r="Q86" s="81">
        <v>13688942</v>
      </c>
      <c r="R86" s="81">
        <v>137729250</v>
      </c>
      <c r="S86" s="81">
        <v>1744024</v>
      </c>
      <c r="T86" s="81">
        <v>110290977</v>
      </c>
      <c r="U86" s="81">
        <v>329117813</v>
      </c>
      <c r="V86" s="81">
        <v>333172344</v>
      </c>
      <c r="W86" s="82">
        <f>SUM(N86:V86)</f>
        <v>1175088133</v>
      </c>
      <c r="X86" s="83"/>
      <c r="Y86" s="80" t="s">
        <v>39</v>
      </c>
      <c r="Z86" s="81">
        <v>38792856</v>
      </c>
      <c r="AA86" s="81">
        <v>14966067</v>
      </c>
      <c r="AB86" s="81">
        <v>255440634</v>
      </c>
      <c r="AC86" s="81">
        <v>13199889</v>
      </c>
      <c r="AD86" s="81">
        <v>50779418</v>
      </c>
      <c r="AE86" s="81">
        <v>0</v>
      </c>
      <c r="AF86" s="81">
        <v>77943639</v>
      </c>
      <c r="AG86" s="81">
        <v>157206201</v>
      </c>
      <c r="AH86" s="81">
        <v>175216695</v>
      </c>
      <c r="AI86" s="82">
        <f>SUM(Z86:AH86)</f>
        <v>783545399</v>
      </c>
      <c r="AK86" s="80" t="s">
        <v>39</v>
      </c>
      <c r="AL86" s="81">
        <v>14954294</v>
      </c>
      <c r="AM86" s="81">
        <v>3651341</v>
      </c>
      <c r="AN86" s="81">
        <v>124491695</v>
      </c>
      <c r="AO86" s="81">
        <v>12783556</v>
      </c>
      <c r="AP86" s="81">
        <v>34175579</v>
      </c>
      <c r="AQ86" s="81">
        <v>0</v>
      </c>
      <c r="AR86" s="81">
        <v>145835373</v>
      </c>
      <c r="AS86" s="81">
        <v>34415254</v>
      </c>
      <c r="AT86" s="81">
        <v>200987574</v>
      </c>
      <c r="AU86" s="82">
        <f>SUM(AL86:AT86)</f>
        <v>571294666</v>
      </c>
    </row>
    <row r="87" spans="1:47" x14ac:dyDescent="0.25">
      <c r="A87" s="80" t="s">
        <v>40</v>
      </c>
      <c r="B87" s="81">
        <v>21765449</v>
      </c>
      <c r="C87" s="81">
        <v>15692604</v>
      </c>
      <c r="D87" s="81">
        <v>217200568</v>
      </c>
      <c r="E87" s="81">
        <v>7218288</v>
      </c>
      <c r="F87" s="81">
        <v>112429575</v>
      </c>
      <c r="G87" s="81">
        <v>106594618</v>
      </c>
      <c r="H87" s="81">
        <v>132413237</v>
      </c>
      <c r="I87" s="81">
        <v>377408568</v>
      </c>
      <c r="J87" s="81">
        <v>310173678</v>
      </c>
      <c r="K87" s="82">
        <f t="shared" ref="K87:K92" si="68">SUM(B87:J87)</f>
        <v>1300896585</v>
      </c>
      <c r="M87" s="80" t="s">
        <v>40</v>
      </c>
      <c r="N87" s="81">
        <v>34146196</v>
      </c>
      <c r="O87" s="81">
        <v>9875976</v>
      </c>
      <c r="P87" s="81">
        <v>273070259</v>
      </c>
      <c r="Q87" s="81">
        <v>11596751</v>
      </c>
      <c r="R87" s="81">
        <v>158787415</v>
      </c>
      <c r="S87" s="81">
        <v>836888</v>
      </c>
      <c r="T87" s="81">
        <v>102445581</v>
      </c>
      <c r="U87" s="81">
        <v>360308727</v>
      </c>
      <c r="V87" s="81">
        <v>303406521</v>
      </c>
      <c r="W87" s="82">
        <f t="shared" ref="W87:W94" si="69">SUM(N87:V87)</f>
        <v>1254474314</v>
      </c>
      <c r="X87" s="83"/>
      <c r="Y87" s="80" t="s">
        <v>40</v>
      </c>
      <c r="Z87" s="81">
        <v>40114831</v>
      </c>
      <c r="AA87" s="81">
        <v>9575834</v>
      </c>
      <c r="AB87" s="81">
        <v>251959323</v>
      </c>
      <c r="AC87" s="81">
        <v>13909121</v>
      </c>
      <c r="AD87" s="81">
        <v>60578693</v>
      </c>
      <c r="AE87" s="81">
        <v>69502</v>
      </c>
      <c r="AF87" s="81">
        <v>89273793</v>
      </c>
      <c r="AG87" s="81">
        <v>183301297</v>
      </c>
      <c r="AH87" s="81">
        <v>187701185</v>
      </c>
      <c r="AI87" s="82">
        <f t="shared" ref="AI87:AI96" si="70">SUM(Z87:AH87)</f>
        <v>836483579</v>
      </c>
      <c r="AK87" s="80" t="s">
        <v>40</v>
      </c>
      <c r="AL87" s="81">
        <v>35845585</v>
      </c>
      <c r="AM87" s="81">
        <v>8274132</v>
      </c>
      <c r="AN87" s="81">
        <v>192051794</v>
      </c>
      <c r="AO87" s="81">
        <v>8500435</v>
      </c>
      <c r="AP87" s="81">
        <v>34165107</v>
      </c>
      <c r="AQ87" s="81">
        <v>0</v>
      </c>
      <c r="AR87" s="81">
        <v>65248069</v>
      </c>
      <c r="AS87" s="81">
        <v>76704418</v>
      </c>
      <c r="AT87" s="81">
        <v>146938669</v>
      </c>
      <c r="AU87" s="82">
        <f t="shared" ref="AU87:AU96" si="71">SUM(AL87:AT87)</f>
        <v>567728209</v>
      </c>
    </row>
    <row r="88" spans="1:47" x14ac:dyDescent="0.25">
      <c r="A88" s="80" t="s">
        <v>41</v>
      </c>
      <c r="B88" s="81">
        <v>12717807</v>
      </c>
      <c r="C88" s="81">
        <v>20056895</v>
      </c>
      <c r="D88" s="81">
        <v>95883428</v>
      </c>
      <c r="E88" s="81">
        <v>3504631</v>
      </c>
      <c r="F88" s="81">
        <v>75637616</v>
      </c>
      <c r="G88" s="81">
        <v>83999107</v>
      </c>
      <c r="H88" s="81">
        <v>81051415</v>
      </c>
      <c r="I88" s="81">
        <v>299089764</v>
      </c>
      <c r="J88" s="81">
        <v>222184516</v>
      </c>
      <c r="K88" s="82">
        <f t="shared" si="68"/>
        <v>894125179</v>
      </c>
      <c r="M88" s="80" t="s">
        <v>41</v>
      </c>
      <c r="N88" s="81">
        <v>36824926</v>
      </c>
      <c r="O88" s="81">
        <v>12320529</v>
      </c>
      <c r="P88" s="81">
        <v>283415933</v>
      </c>
      <c r="Q88" s="81">
        <v>9742021</v>
      </c>
      <c r="R88" s="81">
        <v>173587758</v>
      </c>
      <c r="S88" s="81">
        <v>3394766</v>
      </c>
      <c r="T88" s="81">
        <v>82836563</v>
      </c>
      <c r="U88" s="81">
        <v>356666205</v>
      </c>
      <c r="V88" s="81">
        <v>353138993</v>
      </c>
      <c r="W88" s="82">
        <f t="shared" si="69"/>
        <v>1311927694</v>
      </c>
      <c r="X88" s="83"/>
      <c r="Y88" s="80" t="s">
        <v>41</v>
      </c>
      <c r="Z88" s="81">
        <v>38031491</v>
      </c>
      <c r="AA88" s="81">
        <v>8658079</v>
      </c>
      <c r="AB88" s="81">
        <v>257462564</v>
      </c>
      <c r="AC88" s="81">
        <v>9641735</v>
      </c>
      <c r="AD88" s="81">
        <v>73138352</v>
      </c>
      <c r="AE88" s="81">
        <v>203006</v>
      </c>
      <c r="AF88" s="81">
        <v>91998496</v>
      </c>
      <c r="AG88" s="81">
        <v>202979592</v>
      </c>
      <c r="AH88" s="81">
        <v>229063666</v>
      </c>
      <c r="AI88" s="82">
        <f t="shared" si="70"/>
        <v>911176981</v>
      </c>
      <c r="AK88" s="80" t="s">
        <v>41</v>
      </c>
      <c r="AL88" s="81">
        <v>31803608</v>
      </c>
      <c r="AM88" s="81">
        <v>6114370</v>
      </c>
      <c r="AN88" s="81">
        <v>216895307</v>
      </c>
      <c r="AO88" s="81">
        <v>10300474</v>
      </c>
      <c r="AP88" s="81">
        <v>35870548</v>
      </c>
      <c r="AQ88" s="81">
        <v>0</v>
      </c>
      <c r="AR88" s="81">
        <v>72510510</v>
      </c>
      <c r="AS88" s="81">
        <v>101631969</v>
      </c>
      <c r="AT88" s="81">
        <v>202579569</v>
      </c>
      <c r="AU88" s="82">
        <f t="shared" si="71"/>
        <v>677706355</v>
      </c>
    </row>
    <row r="89" spans="1:47" x14ac:dyDescent="0.25">
      <c r="A89" s="80" t="s">
        <v>42</v>
      </c>
      <c r="B89" s="81">
        <v>11583768</v>
      </c>
      <c r="C89" s="81">
        <v>17846999</v>
      </c>
      <c r="D89" s="81">
        <v>118295819</v>
      </c>
      <c r="E89" s="81">
        <v>2878685</v>
      </c>
      <c r="F89" s="81">
        <v>111182738</v>
      </c>
      <c r="G89" s="81">
        <v>76114210</v>
      </c>
      <c r="H89" s="81">
        <v>188780043</v>
      </c>
      <c r="I89" s="81">
        <v>357880586</v>
      </c>
      <c r="J89" s="81">
        <v>205712747</v>
      </c>
      <c r="K89" s="82">
        <f t="shared" si="68"/>
        <v>1090275595</v>
      </c>
      <c r="M89" s="80" t="s">
        <v>42</v>
      </c>
      <c r="N89" s="81">
        <v>31632663</v>
      </c>
      <c r="O89" s="81">
        <v>9670427</v>
      </c>
      <c r="P89" s="81">
        <v>421058959</v>
      </c>
      <c r="Q89" s="81">
        <v>12441509</v>
      </c>
      <c r="R89" s="81">
        <v>171684186</v>
      </c>
      <c r="S89" s="81">
        <v>5864704</v>
      </c>
      <c r="T89" s="81">
        <v>106383014</v>
      </c>
      <c r="U89" s="81">
        <v>417204641</v>
      </c>
      <c r="V89" s="81">
        <v>414218391</v>
      </c>
      <c r="W89" s="82">
        <f t="shared" si="69"/>
        <v>1590158494</v>
      </c>
      <c r="X89" s="83"/>
      <c r="Y89" s="80" t="s">
        <v>42</v>
      </c>
      <c r="Z89" s="81">
        <v>34439779</v>
      </c>
      <c r="AA89" s="81">
        <v>12618084</v>
      </c>
      <c r="AB89" s="81">
        <v>190263425</v>
      </c>
      <c r="AC89" s="81">
        <v>7266802</v>
      </c>
      <c r="AD89" s="81">
        <v>74526009</v>
      </c>
      <c r="AE89" s="81">
        <v>430651</v>
      </c>
      <c r="AF89" s="81">
        <v>68147010</v>
      </c>
      <c r="AG89" s="81">
        <v>199732469</v>
      </c>
      <c r="AH89" s="81">
        <v>204814782</v>
      </c>
      <c r="AI89" s="82">
        <f t="shared" si="70"/>
        <v>792239011</v>
      </c>
      <c r="AK89" s="80" t="s">
        <v>42</v>
      </c>
      <c r="AL89" s="81">
        <v>28000524</v>
      </c>
      <c r="AM89" s="81">
        <v>2337975</v>
      </c>
      <c r="AN89" s="81">
        <v>148586615</v>
      </c>
      <c r="AO89" s="81">
        <v>7937337</v>
      </c>
      <c r="AP89" s="81">
        <v>36013072</v>
      </c>
      <c r="AQ89" s="81">
        <v>0</v>
      </c>
      <c r="AR89" s="81">
        <v>59594947</v>
      </c>
      <c r="AS89" s="81">
        <v>88574719</v>
      </c>
      <c r="AT89" s="81">
        <v>133381364</v>
      </c>
      <c r="AU89" s="82">
        <f t="shared" si="71"/>
        <v>504426553</v>
      </c>
    </row>
    <row r="90" spans="1:47" x14ac:dyDescent="0.25">
      <c r="A90" s="80" t="s">
        <v>43</v>
      </c>
      <c r="B90" s="81">
        <v>120590</v>
      </c>
      <c r="C90" s="81">
        <v>150000</v>
      </c>
      <c r="D90" s="81">
        <v>37066112</v>
      </c>
      <c r="E90" s="81">
        <v>250800</v>
      </c>
      <c r="F90" s="81">
        <v>19422492</v>
      </c>
      <c r="G90" s="81">
        <v>15545098</v>
      </c>
      <c r="H90" s="81">
        <v>22606080</v>
      </c>
      <c r="I90" s="81">
        <v>30399865</v>
      </c>
      <c r="J90" s="81">
        <v>10954313</v>
      </c>
      <c r="K90" s="82">
        <f t="shared" si="68"/>
        <v>136515350</v>
      </c>
      <c r="M90" s="80" t="s">
        <v>43</v>
      </c>
      <c r="N90" s="81">
        <v>37519678</v>
      </c>
      <c r="O90" s="81">
        <v>9286295</v>
      </c>
      <c r="P90" s="81">
        <v>450351311</v>
      </c>
      <c r="Q90" s="81">
        <v>12117073</v>
      </c>
      <c r="R90" s="81">
        <v>218059546</v>
      </c>
      <c r="S90" s="81">
        <v>11346861</v>
      </c>
      <c r="T90" s="81">
        <v>196386214</v>
      </c>
      <c r="U90" s="81">
        <v>506412579</v>
      </c>
      <c r="V90" s="81">
        <v>498473041</v>
      </c>
      <c r="W90" s="82">
        <f t="shared" si="69"/>
        <v>1939952598</v>
      </c>
      <c r="X90" s="83"/>
      <c r="Y90" s="80" t="s">
        <v>43</v>
      </c>
      <c r="Z90" s="81">
        <v>53955848</v>
      </c>
      <c r="AA90" s="81">
        <v>18271593</v>
      </c>
      <c r="AB90" s="81">
        <v>216241093</v>
      </c>
      <c r="AC90" s="81">
        <v>8967729</v>
      </c>
      <c r="AD90" s="81">
        <v>84432195</v>
      </c>
      <c r="AE90" s="81">
        <v>615781</v>
      </c>
      <c r="AF90" s="81">
        <v>81428017</v>
      </c>
      <c r="AG90" s="81">
        <v>226816989</v>
      </c>
      <c r="AH90" s="81">
        <v>202308629</v>
      </c>
      <c r="AI90" s="82">
        <f t="shared" si="70"/>
        <v>893037874</v>
      </c>
      <c r="AK90" s="80" t="s">
        <v>43</v>
      </c>
      <c r="AL90" s="81">
        <v>27862548</v>
      </c>
      <c r="AM90" s="81">
        <v>3448208</v>
      </c>
      <c r="AN90" s="81">
        <v>198358040</v>
      </c>
      <c r="AO90" s="81">
        <v>10527663</v>
      </c>
      <c r="AP90" s="81">
        <v>52203318</v>
      </c>
      <c r="AQ90" s="81">
        <v>0</v>
      </c>
      <c r="AR90" s="81">
        <v>91282352</v>
      </c>
      <c r="AS90" s="81">
        <v>90768296</v>
      </c>
      <c r="AT90" s="81">
        <v>155473873</v>
      </c>
      <c r="AU90" s="82">
        <f t="shared" si="71"/>
        <v>629924298</v>
      </c>
    </row>
    <row r="91" spans="1:47" x14ac:dyDescent="0.25">
      <c r="A91" s="80" t="s">
        <v>44</v>
      </c>
      <c r="B91" s="81">
        <v>0</v>
      </c>
      <c r="C91" s="81">
        <v>0</v>
      </c>
      <c r="D91" s="81">
        <v>0</v>
      </c>
      <c r="E91" s="81">
        <v>0</v>
      </c>
      <c r="F91" s="81">
        <v>0</v>
      </c>
      <c r="G91" s="81">
        <v>0</v>
      </c>
      <c r="H91" s="81">
        <v>0</v>
      </c>
      <c r="I91" s="81">
        <v>0</v>
      </c>
      <c r="J91" s="81">
        <v>0</v>
      </c>
      <c r="K91" s="82">
        <f t="shared" si="68"/>
        <v>0</v>
      </c>
      <c r="M91" s="80" t="s">
        <v>44</v>
      </c>
      <c r="N91" s="81">
        <v>36270460</v>
      </c>
      <c r="O91" s="81">
        <v>6723156</v>
      </c>
      <c r="P91" s="81">
        <v>271949619</v>
      </c>
      <c r="Q91" s="81">
        <v>6974124</v>
      </c>
      <c r="R91" s="81">
        <v>183808354</v>
      </c>
      <c r="S91" s="81">
        <v>11062227</v>
      </c>
      <c r="T91" s="81">
        <v>147038553</v>
      </c>
      <c r="U91" s="81">
        <v>415480835</v>
      </c>
      <c r="V91" s="81">
        <v>389862945</v>
      </c>
      <c r="W91" s="82">
        <f t="shared" si="69"/>
        <v>1469170273</v>
      </c>
      <c r="X91" s="83"/>
      <c r="Y91" s="80" t="s">
        <v>44</v>
      </c>
      <c r="Z91" s="81">
        <v>31141194</v>
      </c>
      <c r="AA91" s="81">
        <v>27628229</v>
      </c>
      <c r="AB91" s="81">
        <v>203337127</v>
      </c>
      <c r="AC91" s="81">
        <v>4855756</v>
      </c>
      <c r="AD91" s="81">
        <v>65537958</v>
      </c>
      <c r="AE91" s="81">
        <v>100000</v>
      </c>
      <c r="AF91" s="81">
        <v>48374248</v>
      </c>
      <c r="AG91" s="81">
        <v>192202119</v>
      </c>
      <c r="AH91" s="81">
        <v>166196123</v>
      </c>
      <c r="AI91" s="82">
        <f t="shared" si="70"/>
        <v>739372754</v>
      </c>
      <c r="AK91" s="80" t="s">
        <v>44</v>
      </c>
      <c r="AL91" s="81">
        <v>31269243</v>
      </c>
      <c r="AM91" s="81">
        <v>7949169</v>
      </c>
      <c r="AN91" s="81">
        <v>192754131</v>
      </c>
      <c r="AO91" s="81">
        <v>6040777</v>
      </c>
      <c r="AP91" s="81">
        <v>37904335</v>
      </c>
      <c r="AQ91" s="81">
        <v>0</v>
      </c>
      <c r="AR91" s="81">
        <v>94094996</v>
      </c>
      <c r="AS91" s="81">
        <v>79827633</v>
      </c>
      <c r="AT91" s="81">
        <v>90447572</v>
      </c>
      <c r="AU91" s="82">
        <f t="shared" si="71"/>
        <v>540287856</v>
      </c>
    </row>
    <row r="92" spans="1:47" x14ac:dyDescent="0.25">
      <c r="A92" s="80" t="s">
        <v>45</v>
      </c>
      <c r="B92" s="81">
        <v>0</v>
      </c>
      <c r="C92" s="81">
        <v>0</v>
      </c>
      <c r="D92" s="81">
        <v>0</v>
      </c>
      <c r="E92" s="81">
        <v>0</v>
      </c>
      <c r="F92" s="81">
        <v>0</v>
      </c>
      <c r="G92" s="81">
        <v>0</v>
      </c>
      <c r="H92" s="81">
        <v>0</v>
      </c>
      <c r="I92" s="81">
        <v>0</v>
      </c>
      <c r="J92" s="81">
        <v>0</v>
      </c>
      <c r="K92" s="82">
        <f t="shared" si="68"/>
        <v>0</v>
      </c>
      <c r="M92" s="80" t="s">
        <v>45</v>
      </c>
      <c r="N92" s="81">
        <v>33870626</v>
      </c>
      <c r="O92" s="81">
        <v>11064410</v>
      </c>
      <c r="P92" s="81">
        <v>428992851</v>
      </c>
      <c r="Q92" s="81">
        <v>11213508</v>
      </c>
      <c r="R92" s="81">
        <v>194515253</v>
      </c>
      <c r="S92" s="81">
        <v>15794002</v>
      </c>
      <c r="T92" s="81">
        <v>95393047</v>
      </c>
      <c r="U92" s="81">
        <v>456018651</v>
      </c>
      <c r="V92" s="81">
        <v>371524839</v>
      </c>
      <c r="W92" s="82">
        <f t="shared" si="69"/>
        <v>1618387187</v>
      </c>
      <c r="X92" s="83"/>
      <c r="Y92" s="80" t="s">
        <v>45</v>
      </c>
      <c r="Z92" s="81">
        <v>48302956</v>
      </c>
      <c r="AA92" s="81">
        <v>12208695</v>
      </c>
      <c r="AB92" s="81">
        <v>218930972</v>
      </c>
      <c r="AC92" s="81">
        <v>8711077</v>
      </c>
      <c r="AD92" s="81">
        <v>72969649</v>
      </c>
      <c r="AE92" s="81">
        <v>82000</v>
      </c>
      <c r="AF92" s="81">
        <v>59195385</v>
      </c>
      <c r="AG92" s="81">
        <v>203358482</v>
      </c>
      <c r="AH92" s="81">
        <v>190797348</v>
      </c>
      <c r="AI92" s="82">
        <f t="shared" si="70"/>
        <v>814556564</v>
      </c>
      <c r="AK92" s="80" t="s">
        <v>45</v>
      </c>
      <c r="AL92" s="81">
        <v>34633791</v>
      </c>
      <c r="AM92" s="81">
        <v>6252841</v>
      </c>
      <c r="AN92" s="81">
        <v>199187976</v>
      </c>
      <c r="AO92" s="81">
        <v>8666029</v>
      </c>
      <c r="AP92" s="81">
        <v>42169490</v>
      </c>
      <c r="AQ92" s="81">
        <v>0</v>
      </c>
      <c r="AR92" s="81">
        <v>99546799</v>
      </c>
      <c r="AS92" s="81">
        <v>116163742</v>
      </c>
      <c r="AT92" s="81">
        <v>126773440</v>
      </c>
      <c r="AU92" s="82">
        <f t="shared" si="71"/>
        <v>633394108</v>
      </c>
    </row>
    <row r="93" spans="1:47" x14ac:dyDescent="0.25">
      <c r="A93" s="80" t="s">
        <v>46</v>
      </c>
      <c r="B93" s="81">
        <v>0</v>
      </c>
      <c r="C93" s="81">
        <v>0</v>
      </c>
      <c r="D93" s="81">
        <v>0</v>
      </c>
      <c r="E93" s="81">
        <v>0</v>
      </c>
      <c r="F93" s="81">
        <v>0</v>
      </c>
      <c r="G93" s="81">
        <v>0</v>
      </c>
      <c r="H93" s="81">
        <v>0</v>
      </c>
      <c r="I93" s="81">
        <v>0</v>
      </c>
      <c r="J93" s="81">
        <v>0</v>
      </c>
      <c r="K93" s="82">
        <f>SUM(B93:J93)</f>
        <v>0</v>
      </c>
      <c r="M93" s="80" t="s">
        <v>46</v>
      </c>
      <c r="N93" s="81">
        <v>22907245</v>
      </c>
      <c r="O93" s="81">
        <v>6716640</v>
      </c>
      <c r="P93" s="81">
        <v>281807668</v>
      </c>
      <c r="Q93" s="81">
        <v>10650426</v>
      </c>
      <c r="R93" s="81">
        <v>171458592</v>
      </c>
      <c r="S93" s="81">
        <v>28003665</v>
      </c>
      <c r="T93" s="81">
        <v>135117135</v>
      </c>
      <c r="U93" s="81">
        <v>399744032</v>
      </c>
      <c r="V93" s="81">
        <v>338527557</v>
      </c>
      <c r="W93" s="82">
        <f>SUM(N93:V93)</f>
        <v>1394932960</v>
      </c>
      <c r="X93" s="83"/>
      <c r="Y93" s="80" t="s">
        <v>46</v>
      </c>
      <c r="Z93" s="81">
        <v>42642389</v>
      </c>
      <c r="AA93" s="81">
        <v>11707442</v>
      </c>
      <c r="AB93" s="81">
        <v>184289222</v>
      </c>
      <c r="AC93" s="81">
        <v>13845273</v>
      </c>
      <c r="AD93" s="81">
        <v>92755145</v>
      </c>
      <c r="AE93" s="81">
        <v>181534</v>
      </c>
      <c r="AF93" s="81">
        <v>93076272</v>
      </c>
      <c r="AG93" s="81">
        <v>215256023</v>
      </c>
      <c r="AH93" s="81">
        <v>214621958</v>
      </c>
      <c r="AI93" s="82">
        <f t="shared" si="70"/>
        <v>868375258</v>
      </c>
      <c r="AK93" s="80" t="s">
        <v>46</v>
      </c>
      <c r="AL93" s="81">
        <v>39477449</v>
      </c>
      <c r="AM93" s="81">
        <v>17671883</v>
      </c>
      <c r="AN93" s="81">
        <v>308086741</v>
      </c>
      <c r="AO93" s="81">
        <v>10792686</v>
      </c>
      <c r="AP93" s="81">
        <v>51163009</v>
      </c>
      <c r="AQ93" s="81">
        <v>0</v>
      </c>
      <c r="AR93" s="81">
        <v>71835044</v>
      </c>
      <c r="AS93" s="81">
        <v>151055745</v>
      </c>
      <c r="AT93" s="81">
        <v>123974134</v>
      </c>
      <c r="AU93" s="82">
        <f t="shared" si="71"/>
        <v>774056691</v>
      </c>
    </row>
    <row r="94" spans="1:47" x14ac:dyDescent="0.25">
      <c r="A94" s="80" t="s">
        <v>47</v>
      </c>
      <c r="B94" s="81">
        <v>0</v>
      </c>
      <c r="C94" s="81">
        <v>0</v>
      </c>
      <c r="D94" s="81">
        <v>0</v>
      </c>
      <c r="E94" s="81">
        <v>0</v>
      </c>
      <c r="F94" s="81">
        <v>0</v>
      </c>
      <c r="G94" s="81">
        <v>0</v>
      </c>
      <c r="H94" s="81">
        <v>0</v>
      </c>
      <c r="I94" s="81">
        <v>0</v>
      </c>
      <c r="J94" s="81">
        <v>0</v>
      </c>
      <c r="K94" s="82">
        <f t="shared" ref="K94" si="72">SUM(B94:J94)</f>
        <v>0</v>
      </c>
      <c r="M94" s="80" t="s">
        <v>47</v>
      </c>
      <c r="N94" s="81">
        <v>23902882</v>
      </c>
      <c r="O94" s="81">
        <v>8832763</v>
      </c>
      <c r="P94" s="81">
        <v>298163298</v>
      </c>
      <c r="Q94" s="81">
        <v>8199748</v>
      </c>
      <c r="R94" s="81">
        <v>174459877</v>
      </c>
      <c r="S94" s="81">
        <v>21837281</v>
      </c>
      <c r="T94" s="81">
        <v>127366157</v>
      </c>
      <c r="U94" s="81">
        <v>375330005</v>
      </c>
      <c r="V94" s="81">
        <v>382323404</v>
      </c>
      <c r="W94" s="82">
        <f t="shared" si="69"/>
        <v>1420415415</v>
      </c>
      <c r="X94" s="83"/>
      <c r="Y94" s="80" t="s">
        <v>47</v>
      </c>
      <c r="Z94" s="81">
        <v>38947649</v>
      </c>
      <c r="AA94" s="81">
        <v>6012348</v>
      </c>
      <c r="AB94" s="81">
        <v>209488679</v>
      </c>
      <c r="AC94" s="81">
        <v>9656980</v>
      </c>
      <c r="AD94" s="81">
        <v>95322536</v>
      </c>
      <c r="AE94" s="81">
        <v>0</v>
      </c>
      <c r="AF94" s="81">
        <v>77965714</v>
      </c>
      <c r="AG94" s="81">
        <v>251441170</v>
      </c>
      <c r="AH94" s="81">
        <v>207133822</v>
      </c>
      <c r="AI94" s="82">
        <f t="shared" si="70"/>
        <v>895968898</v>
      </c>
      <c r="AK94" s="80" t="s">
        <v>47</v>
      </c>
      <c r="AL94" s="81">
        <v>26073993</v>
      </c>
      <c r="AM94" s="81">
        <v>29681231</v>
      </c>
      <c r="AN94" s="81">
        <v>221883710</v>
      </c>
      <c r="AO94" s="81">
        <v>10295762</v>
      </c>
      <c r="AP94" s="81">
        <v>44389073</v>
      </c>
      <c r="AQ94" s="81">
        <v>0</v>
      </c>
      <c r="AR94" s="81">
        <v>69798555</v>
      </c>
      <c r="AS94" s="81">
        <v>151075848</v>
      </c>
      <c r="AT94" s="81">
        <v>145322793</v>
      </c>
      <c r="AU94" s="82">
        <f t="shared" si="71"/>
        <v>698520965</v>
      </c>
    </row>
    <row r="95" spans="1:47" x14ac:dyDescent="0.25">
      <c r="A95" s="80" t="s">
        <v>48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2">
        <f>SUM(B95:J95)</f>
        <v>0</v>
      </c>
      <c r="M95" s="80" t="s">
        <v>48</v>
      </c>
      <c r="N95" s="81">
        <v>30395842</v>
      </c>
      <c r="O95" s="81">
        <v>15614140</v>
      </c>
      <c r="P95" s="81">
        <v>261439903</v>
      </c>
      <c r="Q95" s="81">
        <v>10631235</v>
      </c>
      <c r="R95" s="81">
        <v>189739206</v>
      </c>
      <c r="S95" s="81">
        <v>41816020</v>
      </c>
      <c r="T95" s="81">
        <v>121062190</v>
      </c>
      <c r="U95" s="81">
        <v>521787404</v>
      </c>
      <c r="V95" s="81">
        <v>389635552</v>
      </c>
      <c r="W95" s="82">
        <f>SUM(N95:V95)</f>
        <v>1582121492</v>
      </c>
      <c r="X95" s="83"/>
      <c r="Y95" s="80" t="s">
        <v>48</v>
      </c>
      <c r="Z95" s="81">
        <v>36173235</v>
      </c>
      <c r="AA95" s="81">
        <v>9280811</v>
      </c>
      <c r="AB95" s="81">
        <v>247920076</v>
      </c>
      <c r="AC95" s="81">
        <v>9373269</v>
      </c>
      <c r="AD95" s="81">
        <v>115168495</v>
      </c>
      <c r="AE95" s="81">
        <v>0</v>
      </c>
      <c r="AF95" s="81">
        <v>98941072</v>
      </c>
      <c r="AG95" s="81">
        <v>270853845</v>
      </c>
      <c r="AH95" s="81">
        <v>312981650</v>
      </c>
      <c r="AI95" s="82">
        <f t="shared" si="70"/>
        <v>1100692453</v>
      </c>
      <c r="AK95" s="80" t="s">
        <v>48</v>
      </c>
      <c r="AL95" s="81">
        <v>36499932</v>
      </c>
      <c r="AM95" s="81">
        <v>15625023</v>
      </c>
      <c r="AN95" s="81">
        <v>230800527</v>
      </c>
      <c r="AO95" s="81">
        <v>12310660</v>
      </c>
      <c r="AP95" s="81">
        <v>62197861</v>
      </c>
      <c r="AQ95" s="81">
        <v>0</v>
      </c>
      <c r="AR95" s="81">
        <v>62789916</v>
      </c>
      <c r="AS95" s="81">
        <v>142681212</v>
      </c>
      <c r="AT95" s="81">
        <v>145599134</v>
      </c>
      <c r="AU95" s="82">
        <f t="shared" si="71"/>
        <v>708504265</v>
      </c>
    </row>
    <row r="96" spans="1:47" x14ac:dyDescent="0.25">
      <c r="A96" s="80" t="s">
        <v>49</v>
      </c>
      <c r="B96" s="81">
        <v>0</v>
      </c>
      <c r="C96" s="81">
        <v>0</v>
      </c>
      <c r="D96" s="81">
        <v>0</v>
      </c>
      <c r="E96" s="81">
        <v>0</v>
      </c>
      <c r="F96" s="81">
        <v>0</v>
      </c>
      <c r="G96" s="81">
        <v>0</v>
      </c>
      <c r="H96" s="81">
        <v>0</v>
      </c>
      <c r="I96" s="81">
        <v>0</v>
      </c>
      <c r="J96" s="81">
        <v>0</v>
      </c>
      <c r="K96" s="82">
        <f>SUM(B96:J96)</f>
        <v>0</v>
      </c>
      <c r="M96" s="80" t="s">
        <v>49</v>
      </c>
      <c r="N96" s="81">
        <v>22990655</v>
      </c>
      <c r="O96" s="81">
        <v>19612285</v>
      </c>
      <c r="P96" s="81">
        <v>232862376</v>
      </c>
      <c r="Q96" s="81">
        <v>9769677</v>
      </c>
      <c r="R96" s="81">
        <v>153424862</v>
      </c>
      <c r="S96" s="81">
        <v>48885468</v>
      </c>
      <c r="T96" s="81">
        <v>99760773</v>
      </c>
      <c r="U96" s="81">
        <v>408077136</v>
      </c>
      <c r="V96" s="81">
        <v>348695713</v>
      </c>
      <c r="W96" s="82">
        <f>SUM(N96:V96)</f>
        <v>1344078945</v>
      </c>
      <c r="X96" s="83"/>
      <c r="Y96" s="80" t="s">
        <v>49</v>
      </c>
      <c r="Z96" s="81">
        <v>42513417</v>
      </c>
      <c r="AA96" s="81">
        <v>12642346</v>
      </c>
      <c r="AB96" s="81">
        <v>261420210</v>
      </c>
      <c r="AC96" s="81">
        <v>11225125</v>
      </c>
      <c r="AD96" s="81">
        <v>126557355</v>
      </c>
      <c r="AE96" s="81">
        <v>530723</v>
      </c>
      <c r="AF96" s="81">
        <v>109143834</v>
      </c>
      <c r="AG96" s="81">
        <v>311508659</v>
      </c>
      <c r="AH96" s="81">
        <v>249559535</v>
      </c>
      <c r="AI96" s="82">
        <f t="shared" si="70"/>
        <v>1125101204</v>
      </c>
      <c r="AK96" s="80" t="s">
        <v>49</v>
      </c>
      <c r="AL96" s="81">
        <v>35518970</v>
      </c>
      <c r="AM96" s="81">
        <v>27244640</v>
      </c>
      <c r="AN96" s="81">
        <v>262348576</v>
      </c>
      <c r="AO96" s="81">
        <v>11116410</v>
      </c>
      <c r="AP96" s="81">
        <v>48448884</v>
      </c>
      <c r="AQ96" s="81">
        <v>500</v>
      </c>
      <c r="AR96" s="81">
        <v>88364104</v>
      </c>
      <c r="AS96" s="81">
        <v>152282357</v>
      </c>
      <c r="AT96" s="81">
        <v>152814954</v>
      </c>
      <c r="AU96" s="82">
        <f t="shared" si="71"/>
        <v>778139395</v>
      </c>
    </row>
    <row r="97" spans="1:47" x14ac:dyDescent="0.25">
      <c r="A97" s="80" t="s">
        <v>50</v>
      </c>
      <c r="B97" s="81">
        <v>0</v>
      </c>
      <c r="C97" s="81">
        <v>0</v>
      </c>
      <c r="D97" s="81">
        <v>0</v>
      </c>
      <c r="E97" s="81">
        <v>0</v>
      </c>
      <c r="F97" s="81">
        <v>0</v>
      </c>
      <c r="G97" s="81">
        <v>0</v>
      </c>
      <c r="H97" s="81">
        <v>0</v>
      </c>
      <c r="I97" s="81">
        <v>0</v>
      </c>
      <c r="J97" s="81">
        <v>0</v>
      </c>
      <c r="K97" s="82">
        <f>SUM(B97:J97)</f>
        <v>0</v>
      </c>
      <c r="M97" s="80" t="s">
        <v>50</v>
      </c>
      <c r="N97" s="81">
        <v>23392436</v>
      </c>
      <c r="O97" s="81">
        <v>24566262</v>
      </c>
      <c r="P97" s="81">
        <v>221441395</v>
      </c>
      <c r="Q97" s="81">
        <v>11690730</v>
      </c>
      <c r="R97" s="81">
        <v>162202378</v>
      </c>
      <c r="S97" s="81">
        <v>60879668</v>
      </c>
      <c r="T97" s="81">
        <v>116904847</v>
      </c>
      <c r="U97" s="81">
        <v>443997798</v>
      </c>
      <c r="V97" s="81">
        <v>392644559</v>
      </c>
      <c r="W97" s="82">
        <f>SUM(N97:V97)</f>
        <v>1457720073</v>
      </c>
      <c r="X97" s="83"/>
      <c r="Y97" s="80" t="s">
        <v>50</v>
      </c>
      <c r="Z97" s="81">
        <v>39943871</v>
      </c>
      <c r="AA97" s="81">
        <v>8872036</v>
      </c>
      <c r="AB97" s="81">
        <v>219461678</v>
      </c>
      <c r="AC97" s="81">
        <v>10420282</v>
      </c>
      <c r="AD97" s="81">
        <v>135863934</v>
      </c>
      <c r="AE97" s="81">
        <v>649227</v>
      </c>
      <c r="AF97" s="81">
        <v>103142302</v>
      </c>
      <c r="AG97" s="81">
        <v>291072936</v>
      </c>
      <c r="AH97" s="81">
        <v>279395516</v>
      </c>
      <c r="AI97" s="82">
        <f>SUM(Z97:AH97)</f>
        <v>1088821782</v>
      </c>
      <c r="AK97" s="80" t="s">
        <v>50</v>
      </c>
      <c r="AL97" s="81">
        <v>39645042</v>
      </c>
      <c r="AM97" s="81">
        <v>29866411</v>
      </c>
      <c r="AN97" s="81">
        <v>225123630</v>
      </c>
      <c r="AO97" s="81">
        <v>13293079</v>
      </c>
      <c r="AP97" s="81">
        <v>54648895</v>
      </c>
      <c r="AQ97" s="81">
        <v>0</v>
      </c>
      <c r="AR97" s="81">
        <v>80395656</v>
      </c>
      <c r="AS97" s="81">
        <v>150886449</v>
      </c>
      <c r="AT97" s="81">
        <v>132899791</v>
      </c>
      <c r="AU97" s="82">
        <f>SUM(AL97:AT97)</f>
        <v>726758953</v>
      </c>
    </row>
    <row r="98" spans="1:47" x14ac:dyDescent="0.25">
      <c r="A98" s="84" t="s">
        <v>9</v>
      </c>
      <c r="B98" s="85">
        <f>SUM(B86:B97)</f>
        <v>68605774</v>
      </c>
      <c r="C98" s="85">
        <f t="shared" ref="C98:J98" si="73">SUM(C86:C97)</f>
        <v>72184469</v>
      </c>
      <c r="D98" s="85">
        <f t="shared" si="73"/>
        <v>642100813</v>
      </c>
      <c r="E98" s="85">
        <f t="shared" si="73"/>
        <v>25265124</v>
      </c>
      <c r="F98" s="85">
        <f t="shared" si="73"/>
        <v>462833159</v>
      </c>
      <c r="G98" s="85">
        <f t="shared" si="73"/>
        <v>367246294</v>
      </c>
      <c r="H98" s="85">
        <f t="shared" si="73"/>
        <v>513098021</v>
      </c>
      <c r="I98" s="85">
        <f t="shared" si="73"/>
        <v>1533930849</v>
      </c>
      <c r="J98" s="85">
        <f t="shared" si="73"/>
        <v>1114477096</v>
      </c>
      <c r="K98" s="82">
        <f>SUM(K86:K97)</f>
        <v>4799741599</v>
      </c>
      <c r="M98" s="84" t="s">
        <v>9</v>
      </c>
      <c r="N98" s="85">
        <f>SUM(N86:N97)</f>
        <v>369641411</v>
      </c>
      <c r="O98" s="85">
        <f t="shared" ref="O98:V98" si="74">SUM(O86:O97)</f>
        <v>142396481</v>
      </c>
      <c r="P98" s="85">
        <f t="shared" si="74"/>
        <v>3629996955</v>
      </c>
      <c r="Q98" s="85">
        <f t="shared" si="74"/>
        <v>128715744</v>
      </c>
      <c r="R98" s="85">
        <f t="shared" si="74"/>
        <v>2089456677</v>
      </c>
      <c r="S98" s="85">
        <f t="shared" si="74"/>
        <v>251465574</v>
      </c>
      <c r="T98" s="85">
        <f t="shared" si="74"/>
        <v>1440985051</v>
      </c>
      <c r="U98" s="85">
        <f t="shared" si="74"/>
        <v>4990145826</v>
      </c>
      <c r="V98" s="85">
        <f t="shared" si="74"/>
        <v>4515623859</v>
      </c>
      <c r="W98" s="82">
        <f>SUM(W86:W97)</f>
        <v>17558427578</v>
      </c>
      <c r="X98" s="83"/>
      <c r="Y98" s="84" t="s">
        <v>9</v>
      </c>
      <c r="Z98" s="85">
        <f>SUM(Z86:Z97)</f>
        <v>484999516</v>
      </c>
      <c r="AA98" s="85">
        <f t="shared" ref="AA98:AH98" si="75">SUM(AA86:AA97)</f>
        <v>152441564</v>
      </c>
      <c r="AB98" s="85">
        <f t="shared" si="75"/>
        <v>2716215003</v>
      </c>
      <c r="AC98" s="85">
        <f t="shared" si="75"/>
        <v>121073038</v>
      </c>
      <c r="AD98" s="85">
        <f t="shared" si="75"/>
        <v>1047629739</v>
      </c>
      <c r="AE98" s="85">
        <f t="shared" si="75"/>
        <v>2862424</v>
      </c>
      <c r="AF98" s="85">
        <f t="shared" si="75"/>
        <v>998629782</v>
      </c>
      <c r="AG98" s="85">
        <f t="shared" si="75"/>
        <v>2705729782</v>
      </c>
      <c r="AH98" s="85">
        <f t="shared" si="75"/>
        <v>2619790909</v>
      </c>
      <c r="AI98" s="82">
        <f>SUM(AI86:AI97)</f>
        <v>10849371757</v>
      </c>
      <c r="AK98" s="84" t="s">
        <v>9</v>
      </c>
      <c r="AL98" s="85">
        <f>SUM(AL86:AL97)</f>
        <v>381584979</v>
      </c>
      <c r="AM98" s="85">
        <f>SUM(AM86:AM97)</f>
        <v>158117224</v>
      </c>
      <c r="AN98" s="85">
        <f t="shared" ref="AN98:AT98" si="76">SUM(AN86:AN97)</f>
        <v>2520568742</v>
      </c>
      <c r="AO98" s="85">
        <f t="shared" si="76"/>
        <v>122564868</v>
      </c>
      <c r="AP98" s="85">
        <f t="shared" si="76"/>
        <v>533349171</v>
      </c>
      <c r="AQ98" s="85">
        <f t="shared" si="76"/>
        <v>500</v>
      </c>
      <c r="AR98" s="85">
        <f t="shared" si="76"/>
        <v>1001296321</v>
      </c>
      <c r="AS98" s="85">
        <f t="shared" si="76"/>
        <v>1336067642</v>
      </c>
      <c r="AT98" s="85">
        <f t="shared" si="76"/>
        <v>1757192867</v>
      </c>
      <c r="AU98" s="82">
        <f>SUM(AU86:AU97)</f>
        <v>7810742314</v>
      </c>
    </row>
    <row r="99" spans="1:47" ht="17.45" customHeight="1" x14ac:dyDescent="0.25">
      <c r="A99" s="86" t="s">
        <v>68</v>
      </c>
      <c r="B99" s="65">
        <f>B98/$K98</f>
        <v>1.4293639060547267E-2</v>
      </c>
      <c r="C99" s="65">
        <f t="shared" ref="C99:J99" si="77">C98/$K98</f>
        <v>1.5039240657255225E-2</v>
      </c>
      <c r="D99" s="65">
        <f t="shared" si="77"/>
        <v>0.13377820446287739</v>
      </c>
      <c r="E99" s="65">
        <f t="shared" si="77"/>
        <v>5.2638508717352305E-3</v>
      </c>
      <c r="F99" s="65">
        <f t="shared" si="77"/>
        <v>9.6428765893653262E-2</v>
      </c>
      <c r="G99" s="65">
        <f t="shared" si="77"/>
        <v>7.651376359021364E-2</v>
      </c>
      <c r="H99" s="65">
        <f t="shared" si="77"/>
        <v>0.10690117591057427</v>
      </c>
      <c r="I99" s="65">
        <f t="shared" si="77"/>
        <v>0.31958613132831692</v>
      </c>
      <c r="J99" s="65">
        <f t="shared" si="77"/>
        <v>0.23219522822482677</v>
      </c>
      <c r="K99" s="65">
        <f>K98/$K98</f>
        <v>1</v>
      </c>
      <c r="M99" s="86" t="s">
        <v>68</v>
      </c>
      <c r="N99" s="65">
        <f>N98/$W98</f>
        <v>2.1052079370885452E-2</v>
      </c>
      <c r="O99" s="65">
        <f t="shared" ref="O99:W99" si="78">O98/$W98</f>
        <v>8.1098652124417473E-3</v>
      </c>
      <c r="P99" s="65">
        <f t="shared" si="78"/>
        <v>0.20673815686936792</v>
      </c>
      <c r="Q99" s="65">
        <f t="shared" si="78"/>
        <v>7.3307101919123799E-3</v>
      </c>
      <c r="R99" s="65">
        <f t="shared" si="78"/>
        <v>0.11900021614794282</v>
      </c>
      <c r="S99" s="65">
        <f t="shared" si="78"/>
        <v>1.4321645425418174E-2</v>
      </c>
      <c r="T99" s="65">
        <f t="shared" si="78"/>
        <v>8.2068000941353997E-2</v>
      </c>
      <c r="U99" s="65">
        <f t="shared" si="78"/>
        <v>0.28420231844977117</v>
      </c>
      <c r="V99" s="65">
        <f t="shared" si="78"/>
        <v>0.25717700739090638</v>
      </c>
      <c r="W99" s="65">
        <f t="shared" si="78"/>
        <v>1</v>
      </c>
      <c r="X99" s="87"/>
      <c r="Y99" s="86" t="s">
        <v>68</v>
      </c>
      <c r="Z99" s="65">
        <f>Z98/$AI98</f>
        <v>4.4703004640529433E-2</v>
      </c>
      <c r="AA99" s="65">
        <f t="shared" ref="AA99:AI99" si="79">AA98/$AI98</f>
        <v>1.4050727306089857E-2</v>
      </c>
      <c r="AB99" s="65">
        <f t="shared" si="79"/>
        <v>0.25035689290004298</v>
      </c>
      <c r="AC99" s="65">
        <f t="shared" si="79"/>
        <v>1.115945150666294E-2</v>
      </c>
      <c r="AD99" s="65">
        <f t="shared" si="79"/>
        <v>9.6561327463414712E-2</v>
      </c>
      <c r="AE99" s="65">
        <f t="shared" si="79"/>
        <v>2.6383315680497059E-4</v>
      </c>
      <c r="AF99" s="65">
        <f t="shared" si="79"/>
        <v>9.2044940883852136E-2</v>
      </c>
      <c r="AG99" s="65">
        <f t="shared" si="79"/>
        <v>0.24939045712524938</v>
      </c>
      <c r="AH99" s="65">
        <f t="shared" si="79"/>
        <v>0.24146936501735361</v>
      </c>
      <c r="AI99" s="65">
        <f t="shared" si="79"/>
        <v>1</v>
      </c>
      <c r="AK99" s="86" t="s">
        <v>68</v>
      </c>
      <c r="AL99" s="65">
        <f>AL98/$AU98</f>
        <v>4.8853868641402474E-2</v>
      </c>
      <c r="AM99" s="65">
        <f t="shared" ref="AM99:AU99" si="80">AM98/$AU98</f>
        <v>2.0243559145023921E-2</v>
      </c>
      <c r="AN99" s="65">
        <f t="shared" si="80"/>
        <v>0.32270540246630902</v>
      </c>
      <c r="AO99" s="65">
        <f t="shared" si="80"/>
        <v>1.5691833512458134E-2</v>
      </c>
      <c r="AP99" s="65">
        <f t="shared" si="80"/>
        <v>6.8284056695100945E-2</v>
      </c>
      <c r="AQ99" s="65">
        <f t="shared" si="80"/>
        <v>6.4014402203974688E-8</v>
      </c>
      <c r="AR99" s="65">
        <f t="shared" si="80"/>
        <v>0.12819477083570829</v>
      </c>
      <c r="AS99" s="65">
        <f t="shared" si="80"/>
        <v>0.17105514281340814</v>
      </c>
      <c r="AT99" s="65">
        <f t="shared" si="80"/>
        <v>0.22497130187618683</v>
      </c>
      <c r="AU99" s="65">
        <f t="shared" si="80"/>
        <v>1</v>
      </c>
    </row>
    <row r="100" spans="1:47" x14ac:dyDescent="0.25">
      <c r="K100" s="95">
        <v>4799.741599</v>
      </c>
      <c r="W100" s="95">
        <v>17558.427577999999</v>
      </c>
      <c r="AI100" s="95">
        <v>10849.371757000001</v>
      </c>
      <c r="AU100" s="95">
        <v>7810.7423140000001</v>
      </c>
    </row>
  </sheetData>
  <mergeCells count="128">
    <mergeCell ref="AS84:AT84"/>
    <mergeCell ref="AU84:AU85"/>
    <mergeCell ref="AC84:AE84"/>
    <mergeCell ref="AG84:AH84"/>
    <mergeCell ref="AI84:AI85"/>
    <mergeCell ref="AK84:AK85"/>
    <mergeCell ref="AL84:AM84"/>
    <mergeCell ref="AO84:AQ84"/>
    <mergeCell ref="N84:O84"/>
    <mergeCell ref="Q84:S84"/>
    <mergeCell ref="U84:V84"/>
    <mergeCell ref="W84:W85"/>
    <mergeCell ref="Y84:Y85"/>
    <mergeCell ref="Z84:AA84"/>
    <mergeCell ref="A83:K83"/>
    <mergeCell ref="M83:W83"/>
    <mergeCell ref="Y83:AI83"/>
    <mergeCell ref="AK83:AU83"/>
    <mergeCell ref="A84:A85"/>
    <mergeCell ref="B84:C84"/>
    <mergeCell ref="E84:G84"/>
    <mergeCell ref="I84:J84"/>
    <mergeCell ref="K84:K85"/>
    <mergeCell ref="M84:M85"/>
    <mergeCell ref="AS64:AT64"/>
    <mergeCell ref="AU64:AU65"/>
    <mergeCell ref="A81:K81"/>
    <mergeCell ref="M81:W81"/>
    <mergeCell ref="Y81:AI81"/>
    <mergeCell ref="AK81:AU81"/>
    <mergeCell ref="AC64:AE64"/>
    <mergeCell ref="AG64:AH64"/>
    <mergeCell ref="AI64:AI65"/>
    <mergeCell ref="AK64:AK65"/>
    <mergeCell ref="AL64:AM64"/>
    <mergeCell ref="AO64:AQ64"/>
    <mergeCell ref="N64:O64"/>
    <mergeCell ref="Q64:S64"/>
    <mergeCell ref="U64:V64"/>
    <mergeCell ref="W64:W65"/>
    <mergeCell ref="Y64:Y65"/>
    <mergeCell ref="Z64:AA64"/>
    <mergeCell ref="A64:A65"/>
    <mergeCell ref="B64:C64"/>
    <mergeCell ref="E64:G64"/>
    <mergeCell ref="I64:J64"/>
    <mergeCell ref="K64:K65"/>
    <mergeCell ref="M64:M65"/>
    <mergeCell ref="AS44:AT44"/>
    <mergeCell ref="AU44:AU45"/>
    <mergeCell ref="A63:K63"/>
    <mergeCell ref="M63:W63"/>
    <mergeCell ref="Y63:AI63"/>
    <mergeCell ref="AK63:AU63"/>
    <mergeCell ref="AC44:AE44"/>
    <mergeCell ref="AG44:AH44"/>
    <mergeCell ref="AI44:AI45"/>
    <mergeCell ref="AK44:AK45"/>
    <mergeCell ref="AL44:AM44"/>
    <mergeCell ref="AO44:AQ44"/>
    <mergeCell ref="N44:O44"/>
    <mergeCell ref="Q44:S44"/>
    <mergeCell ref="U44:V44"/>
    <mergeCell ref="W44:W45"/>
    <mergeCell ref="Y44:Y45"/>
    <mergeCell ref="Z44:AA44"/>
    <mergeCell ref="A44:A45"/>
    <mergeCell ref="B44:C44"/>
    <mergeCell ref="E44:G44"/>
    <mergeCell ref="I44:J44"/>
    <mergeCell ref="K44:K45"/>
    <mergeCell ref="M44:M45"/>
    <mergeCell ref="AS24:AT24"/>
    <mergeCell ref="AU24:AU25"/>
    <mergeCell ref="A43:K43"/>
    <mergeCell ref="M43:W43"/>
    <mergeCell ref="Y43:AI43"/>
    <mergeCell ref="AK43:AU43"/>
    <mergeCell ref="AC24:AE24"/>
    <mergeCell ref="AG24:AH24"/>
    <mergeCell ref="AI24:AI25"/>
    <mergeCell ref="AK24:AK25"/>
    <mergeCell ref="AL24:AM24"/>
    <mergeCell ref="AO24:AQ24"/>
    <mergeCell ref="N24:O24"/>
    <mergeCell ref="Q24:S24"/>
    <mergeCell ref="U24:V24"/>
    <mergeCell ref="W24:W25"/>
    <mergeCell ref="Y24:Y25"/>
    <mergeCell ref="Z24:AA24"/>
    <mergeCell ref="A24:A25"/>
    <mergeCell ref="B24:C24"/>
    <mergeCell ref="E24:G24"/>
    <mergeCell ref="I24:J24"/>
    <mergeCell ref="K24:K25"/>
    <mergeCell ref="M24:M25"/>
    <mergeCell ref="AS4:AT4"/>
    <mergeCell ref="AU4:AU5"/>
    <mergeCell ref="A23:K23"/>
    <mergeCell ref="M23:W23"/>
    <mergeCell ref="Y23:AI23"/>
    <mergeCell ref="AK23:AU23"/>
    <mergeCell ref="AC4:AE4"/>
    <mergeCell ref="AG4:AH4"/>
    <mergeCell ref="AI4:AI5"/>
    <mergeCell ref="AK4:AK5"/>
    <mergeCell ref="AL4:AM4"/>
    <mergeCell ref="AO4:AQ4"/>
    <mergeCell ref="N4:O4"/>
    <mergeCell ref="Q4:S4"/>
    <mergeCell ref="U4:V4"/>
    <mergeCell ref="W4:W5"/>
    <mergeCell ref="Y4:Y5"/>
    <mergeCell ref="Z4:AA4"/>
    <mergeCell ref="A4:A5"/>
    <mergeCell ref="B4:C4"/>
    <mergeCell ref="E4:G4"/>
    <mergeCell ref="I4:J4"/>
    <mergeCell ref="K4:K5"/>
    <mergeCell ref="M4:M5"/>
    <mergeCell ref="A2:K2"/>
    <mergeCell ref="M2:W2"/>
    <mergeCell ref="Y2:AI2"/>
    <mergeCell ref="AK2:AU2"/>
    <mergeCell ref="A3:K3"/>
    <mergeCell ref="M3:W3"/>
    <mergeCell ref="Y3:AI3"/>
    <mergeCell ref="AK3:AU3"/>
  </mergeCells>
  <pageMargins left="0.70866141732283472" right="0.70866141732283472" top="0.74803149606299213" bottom="0.74803149606299213" header="0.31496062992125984" footer="0.31496062992125984"/>
  <pageSetup paperSize="8" scale="26" orientation="landscape" r:id="rId1"/>
  <headerFooter>
    <oddHeader xml:space="preserve">&amp;LSOBHA LLC&amp;C&amp;"-,Bold"&amp;36Receipts Value&amp;R&amp;D
</oddHeader>
    <oddFooter>&amp;LCOLLECTIONS&amp;R&amp;P/&amp;N</oddFooter>
  </headerFooter>
  <colBreaks count="2" manualBreakCount="2">
    <brk id="23" min="1" max="98" man="1"/>
    <brk id="36" min="1" max="98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201E3-1ECA-4466-AC83-E5E2C3007580}">
  <sheetPr>
    <tabColor theme="4" tint="0.39997558519241921"/>
    <pageSetUpPr fitToPage="1"/>
  </sheetPr>
  <dimension ref="A1:AQ93"/>
  <sheetViews>
    <sheetView tabSelected="1" showWhiteSpace="0" view="pageBreakPreview" topLeftCell="P1" zoomScale="70" zoomScaleNormal="100" zoomScaleSheetLayoutView="70" workbookViewId="0">
      <pane ySplit="1" topLeftCell="A2" activePane="bottomLeft" state="frozen"/>
      <selection pane="bottomLeft"/>
    </sheetView>
  </sheetViews>
  <sheetFormatPr defaultColWidth="5.42578125" defaultRowHeight="15" x14ac:dyDescent="0.25"/>
  <cols>
    <col min="1" max="1" width="34" style="46" bestFit="1" customWidth="1"/>
    <col min="2" max="3" width="8.28515625" style="47" bestFit="1" customWidth="1"/>
    <col min="4" max="4" width="21" style="47" bestFit="1" customWidth="1"/>
    <col min="5" max="5" width="8.28515625" style="47" bestFit="1" customWidth="1"/>
    <col min="6" max="6" width="12.42578125" style="47" bestFit="1" customWidth="1"/>
    <col min="7" max="7" width="17.85546875" style="47" bestFit="1" customWidth="1"/>
    <col min="8" max="8" width="9.28515625" style="47" bestFit="1" customWidth="1"/>
    <col min="9" max="9" width="9.7109375" style="48" customWidth="1"/>
    <col min="10" max="10" width="15" style="48" bestFit="1" customWidth="1"/>
    <col min="11" max="11" width="2.7109375" style="49" customWidth="1"/>
    <col min="12" max="12" width="34" style="46" bestFit="1" customWidth="1"/>
    <col min="13" max="14" width="8.28515625" style="47" bestFit="1" customWidth="1"/>
    <col min="15" max="15" width="21" style="47" bestFit="1" customWidth="1"/>
    <col min="16" max="16" width="8.28515625" style="47" bestFit="1" customWidth="1"/>
    <col min="17" max="17" width="12.42578125" style="47" bestFit="1" customWidth="1"/>
    <col min="18" max="18" width="17.85546875" style="47" bestFit="1" customWidth="1"/>
    <col min="19" max="19" width="9.28515625" style="47" bestFit="1" customWidth="1"/>
    <col min="20" max="20" width="9.7109375" style="48" customWidth="1"/>
    <col min="21" max="21" width="15" style="48" bestFit="1" customWidth="1"/>
    <col min="22" max="22" width="2.7109375" style="49" customWidth="1"/>
    <col min="23" max="23" width="34" style="46" bestFit="1" customWidth="1"/>
    <col min="24" max="24" width="8.28515625" style="49" bestFit="1" customWidth="1"/>
    <col min="25" max="25" width="9.140625" style="49" bestFit="1" customWidth="1"/>
    <col min="26" max="26" width="21" style="49" bestFit="1" customWidth="1"/>
    <col min="27" max="27" width="8.5703125" style="49" bestFit="1" customWidth="1"/>
    <col min="28" max="28" width="12.42578125" style="49" bestFit="1" customWidth="1"/>
    <col min="29" max="29" width="17.85546875" style="49" bestFit="1" customWidth="1"/>
    <col min="30" max="30" width="10.7109375" style="49" bestFit="1" customWidth="1"/>
    <col min="31" max="31" width="11.140625" style="46" bestFit="1" customWidth="1"/>
    <col min="32" max="32" width="15" style="46" bestFit="1" customWidth="1"/>
    <col min="33" max="33" width="2.7109375" style="49" customWidth="1"/>
    <col min="34" max="34" width="34" style="46" bestFit="1" customWidth="1"/>
    <col min="35" max="36" width="8.28515625" style="49" bestFit="1" customWidth="1"/>
    <col min="37" max="37" width="23.5703125" style="49" bestFit="1" customWidth="1"/>
    <col min="38" max="38" width="9.140625" style="49" bestFit="1" customWidth="1"/>
    <col min="39" max="39" width="12.42578125" style="49" bestFit="1" customWidth="1"/>
    <col min="40" max="40" width="20.28515625" style="49" bestFit="1" customWidth="1"/>
    <col min="41" max="41" width="10.7109375" style="49" bestFit="1" customWidth="1"/>
    <col min="42" max="42" width="11.7109375" style="46" bestFit="1" customWidth="1"/>
    <col min="43" max="43" width="17.7109375" style="46" bestFit="1" customWidth="1"/>
    <col min="44" max="16384" width="5.42578125" style="49"/>
  </cols>
  <sheetData>
    <row r="1" spans="1:43" x14ac:dyDescent="0.25">
      <c r="A1" s="46">
        <v>2026</v>
      </c>
      <c r="L1" s="46">
        <v>2025</v>
      </c>
      <c r="W1" s="46">
        <v>2024</v>
      </c>
      <c r="AH1" s="46">
        <v>2023</v>
      </c>
    </row>
    <row r="2" spans="1:43" ht="18.75" x14ac:dyDescent="0.25">
      <c r="A2" s="50" t="str">
        <f>_xlfn.CONCAT("Receipt count ", A1)</f>
        <v>Receipt count 2026</v>
      </c>
      <c r="B2" s="50"/>
      <c r="C2" s="50"/>
      <c r="D2" s="50"/>
      <c r="E2" s="50"/>
      <c r="F2" s="50"/>
      <c r="G2" s="50"/>
      <c r="H2" s="50"/>
      <c r="I2" s="50"/>
      <c r="J2" s="50"/>
      <c r="L2" s="50" t="str">
        <f>_xlfn.CONCAT("Receipt count ", L1)</f>
        <v>Receipt count 2025</v>
      </c>
      <c r="M2" s="50"/>
      <c r="N2" s="50"/>
      <c r="O2" s="50"/>
      <c r="P2" s="50"/>
      <c r="Q2" s="50"/>
      <c r="R2" s="50"/>
      <c r="S2" s="50"/>
      <c r="T2" s="50"/>
      <c r="U2" s="50"/>
      <c r="V2" s="46"/>
      <c r="W2" s="50" t="str">
        <f>_xlfn.CONCAT("Receipt count ", W1)</f>
        <v>Receipt count 2024</v>
      </c>
      <c r="X2" s="50"/>
      <c r="Y2" s="50"/>
      <c r="Z2" s="50"/>
      <c r="AA2" s="50"/>
      <c r="AB2" s="50"/>
      <c r="AC2" s="50"/>
      <c r="AD2" s="50"/>
      <c r="AE2" s="50"/>
      <c r="AF2" s="50"/>
      <c r="AH2" s="50" t="str">
        <f>_xlfn.CONCAT("Receipt count ", AH1)</f>
        <v>Receipt count 2023</v>
      </c>
      <c r="AI2" s="50"/>
      <c r="AJ2" s="50"/>
      <c r="AK2" s="50"/>
      <c r="AL2" s="50"/>
      <c r="AM2" s="50"/>
      <c r="AN2" s="50"/>
      <c r="AO2" s="50"/>
      <c r="AP2" s="50"/>
      <c r="AQ2" s="50"/>
    </row>
    <row r="3" spans="1:43" x14ac:dyDescent="0.25">
      <c r="A3" s="96" t="s">
        <v>19</v>
      </c>
      <c r="B3" s="96"/>
      <c r="C3" s="96"/>
      <c r="D3" s="96"/>
      <c r="E3" s="96"/>
      <c r="F3" s="96"/>
      <c r="G3" s="96"/>
      <c r="H3" s="96"/>
      <c r="I3" s="96"/>
      <c r="J3" s="96"/>
      <c r="L3" s="96" t="s">
        <v>19</v>
      </c>
      <c r="M3" s="96"/>
      <c r="N3" s="96"/>
      <c r="O3" s="96"/>
      <c r="P3" s="96"/>
      <c r="Q3" s="96"/>
      <c r="R3" s="96"/>
      <c r="S3" s="96"/>
      <c r="T3" s="96"/>
      <c r="U3" s="96"/>
      <c r="V3" s="46"/>
      <c r="W3" s="96" t="s">
        <v>19</v>
      </c>
      <c r="X3" s="96"/>
      <c r="Y3" s="96"/>
      <c r="Z3" s="96"/>
      <c r="AA3" s="96"/>
      <c r="AB3" s="96"/>
      <c r="AC3" s="96"/>
      <c r="AD3" s="96"/>
      <c r="AE3" s="96"/>
      <c r="AF3" s="96"/>
      <c r="AH3" s="96" t="s">
        <v>19</v>
      </c>
      <c r="AI3" s="96"/>
      <c r="AJ3" s="96"/>
      <c r="AK3" s="96"/>
      <c r="AL3" s="96"/>
      <c r="AM3" s="96"/>
      <c r="AN3" s="96"/>
      <c r="AO3" s="96"/>
      <c r="AP3" s="96"/>
      <c r="AQ3" s="96"/>
    </row>
    <row r="4" spans="1:43" x14ac:dyDescent="0.25">
      <c r="A4" s="54" t="s">
        <v>38</v>
      </c>
      <c r="B4" s="97" t="s">
        <v>3</v>
      </c>
      <c r="C4" s="97"/>
      <c r="D4" s="98" t="s">
        <v>4</v>
      </c>
      <c r="E4" s="99" t="s">
        <v>5</v>
      </c>
      <c r="F4" s="100"/>
      <c r="G4" s="98" t="s">
        <v>7</v>
      </c>
      <c r="H4" s="97" t="s">
        <v>8</v>
      </c>
      <c r="I4" s="97"/>
      <c r="J4" s="54" t="s">
        <v>9</v>
      </c>
      <c r="L4" s="54" t="s">
        <v>38</v>
      </c>
      <c r="M4" s="97" t="s">
        <v>3</v>
      </c>
      <c r="N4" s="97"/>
      <c r="O4" s="98" t="s">
        <v>4</v>
      </c>
      <c r="P4" s="99" t="s">
        <v>5</v>
      </c>
      <c r="Q4" s="100"/>
      <c r="R4" s="98" t="s">
        <v>7</v>
      </c>
      <c r="S4" s="97" t="s">
        <v>8</v>
      </c>
      <c r="T4" s="97"/>
      <c r="U4" s="54" t="s">
        <v>9</v>
      </c>
      <c r="W4" s="55" t="s">
        <v>38</v>
      </c>
      <c r="X4" s="101" t="s">
        <v>3</v>
      </c>
      <c r="Y4" s="102"/>
      <c r="Z4" s="103" t="s">
        <v>4</v>
      </c>
      <c r="AA4" s="99" t="s">
        <v>5</v>
      </c>
      <c r="AB4" s="100"/>
      <c r="AC4" s="103" t="s">
        <v>7</v>
      </c>
      <c r="AD4" s="104" t="s">
        <v>8</v>
      </c>
      <c r="AE4" s="104"/>
      <c r="AF4" s="105" t="s">
        <v>9</v>
      </c>
      <c r="AH4" s="54" t="s">
        <v>38</v>
      </c>
      <c r="AI4" s="106" t="s">
        <v>3</v>
      </c>
      <c r="AJ4" s="106"/>
      <c r="AK4" s="107" t="s">
        <v>4</v>
      </c>
      <c r="AL4" s="99" t="s">
        <v>5</v>
      </c>
      <c r="AM4" s="100"/>
      <c r="AN4" s="107" t="s">
        <v>7</v>
      </c>
      <c r="AO4" s="106" t="s">
        <v>8</v>
      </c>
      <c r="AP4" s="106"/>
      <c r="AQ4" s="108" t="s">
        <v>9</v>
      </c>
    </row>
    <row r="5" spans="1:43" ht="45" x14ac:dyDescent="0.25">
      <c r="A5" s="54"/>
      <c r="B5" s="79" t="s">
        <v>10</v>
      </c>
      <c r="C5" s="79" t="s">
        <v>11</v>
      </c>
      <c r="D5" s="79" t="s">
        <v>12</v>
      </c>
      <c r="E5" s="79" t="s">
        <v>13</v>
      </c>
      <c r="F5" s="79" t="s">
        <v>14</v>
      </c>
      <c r="G5" s="79" t="s">
        <v>16</v>
      </c>
      <c r="H5" s="79" t="s">
        <v>17</v>
      </c>
      <c r="I5" s="79" t="s">
        <v>18</v>
      </c>
      <c r="J5" s="54"/>
      <c r="L5" s="54"/>
      <c r="M5" s="79" t="s">
        <v>10</v>
      </c>
      <c r="N5" s="79" t="s">
        <v>11</v>
      </c>
      <c r="O5" s="79" t="s">
        <v>12</v>
      </c>
      <c r="P5" s="79" t="s">
        <v>13</v>
      </c>
      <c r="Q5" s="79" t="s">
        <v>14</v>
      </c>
      <c r="R5" s="79" t="s">
        <v>16</v>
      </c>
      <c r="S5" s="79" t="s">
        <v>17</v>
      </c>
      <c r="T5" s="79" t="s">
        <v>18</v>
      </c>
      <c r="U5" s="54"/>
      <c r="W5" s="56"/>
      <c r="X5" s="109" t="s">
        <v>10</v>
      </c>
      <c r="Y5" s="109" t="s">
        <v>11</v>
      </c>
      <c r="Z5" s="109" t="s">
        <v>12</v>
      </c>
      <c r="AA5" s="109" t="s">
        <v>13</v>
      </c>
      <c r="AB5" s="109" t="s">
        <v>14</v>
      </c>
      <c r="AC5" s="109" t="s">
        <v>16</v>
      </c>
      <c r="AD5" s="109" t="s">
        <v>17</v>
      </c>
      <c r="AE5" s="109" t="s">
        <v>18</v>
      </c>
      <c r="AF5" s="105"/>
      <c r="AH5" s="54"/>
      <c r="AI5" s="110" t="s">
        <v>10</v>
      </c>
      <c r="AJ5" s="110" t="s">
        <v>11</v>
      </c>
      <c r="AK5" s="110" t="s">
        <v>12</v>
      </c>
      <c r="AL5" s="110" t="s">
        <v>13</v>
      </c>
      <c r="AM5" s="110" t="s">
        <v>14</v>
      </c>
      <c r="AN5" s="110" t="s">
        <v>16</v>
      </c>
      <c r="AO5" s="110" t="s">
        <v>17</v>
      </c>
      <c r="AP5" s="110" t="s">
        <v>18</v>
      </c>
      <c r="AQ5" s="108"/>
    </row>
    <row r="6" spans="1:43" x14ac:dyDescent="0.25">
      <c r="A6" s="57" t="s">
        <v>39</v>
      </c>
      <c r="B6" s="58">
        <v>0</v>
      </c>
      <c r="C6" s="58">
        <v>0</v>
      </c>
      <c r="D6" s="58">
        <v>0</v>
      </c>
      <c r="E6" s="58">
        <v>0</v>
      </c>
      <c r="F6" s="58">
        <v>64</v>
      </c>
      <c r="G6" s="58">
        <v>0</v>
      </c>
      <c r="H6" s="58">
        <v>1</v>
      </c>
      <c r="I6" s="58">
        <v>1</v>
      </c>
      <c r="J6" s="59">
        <f t="shared" ref="J6:J17" si="0">SUM(B6:I6)</f>
        <v>66</v>
      </c>
      <c r="L6" s="57" t="s">
        <v>39</v>
      </c>
      <c r="M6" s="58">
        <v>0</v>
      </c>
      <c r="N6" s="58">
        <v>0</v>
      </c>
      <c r="O6" s="58">
        <v>0</v>
      </c>
      <c r="P6" s="58">
        <v>0</v>
      </c>
      <c r="Q6" s="58">
        <v>3</v>
      </c>
      <c r="R6" s="58">
        <v>0</v>
      </c>
      <c r="S6" s="58">
        <v>0</v>
      </c>
      <c r="T6" s="58">
        <v>0</v>
      </c>
      <c r="U6" s="59">
        <f t="shared" ref="U6:U17" si="1">SUM(M6:T6)</f>
        <v>3</v>
      </c>
      <c r="W6" s="57" t="s">
        <v>39</v>
      </c>
      <c r="X6" s="60">
        <v>0</v>
      </c>
      <c r="Y6" s="60">
        <v>0</v>
      </c>
      <c r="Z6" s="60">
        <v>0</v>
      </c>
      <c r="AA6" s="60">
        <v>0</v>
      </c>
      <c r="AB6" s="60">
        <v>0</v>
      </c>
      <c r="AC6" s="60">
        <v>0</v>
      </c>
      <c r="AD6" s="60">
        <v>0</v>
      </c>
      <c r="AE6" s="60">
        <v>0</v>
      </c>
      <c r="AF6" s="61">
        <f t="shared" ref="AF6:AF17" si="2">SUM(X6:AE6)</f>
        <v>0</v>
      </c>
      <c r="AH6" s="57" t="s">
        <v>39</v>
      </c>
      <c r="AI6" s="60">
        <v>0</v>
      </c>
      <c r="AJ6" s="60">
        <v>0</v>
      </c>
      <c r="AK6" s="60">
        <v>0</v>
      </c>
      <c r="AL6" s="60">
        <v>0</v>
      </c>
      <c r="AM6" s="60">
        <v>0</v>
      </c>
      <c r="AN6" s="60">
        <v>0</v>
      </c>
      <c r="AO6" s="60">
        <v>0</v>
      </c>
      <c r="AP6" s="60">
        <v>0</v>
      </c>
      <c r="AQ6" s="61">
        <f t="shared" ref="AQ6:AQ17" si="3">SUM(AI6:AP6)</f>
        <v>0</v>
      </c>
    </row>
    <row r="7" spans="1:43" x14ac:dyDescent="0.25">
      <c r="A7" s="57" t="s">
        <v>40</v>
      </c>
      <c r="B7" s="58">
        <v>0</v>
      </c>
      <c r="C7" s="58">
        <v>0</v>
      </c>
      <c r="D7" s="58">
        <v>0</v>
      </c>
      <c r="E7" s="58">
        <v>0</v>
      </c>
      <c r="F7" s="58">
        <v>88</v>
      </c>
      <c r="G7" s="58">
        <v>0</v>
      </c>
      <c r="H7" s="58">
        <v>0</v>
      </c>
      <c r="I7" s="58">
        <v>0</v>
      </c>
      <c r="J7" s="59">
        <f t="shared" si="0"/>
        <v>88</v>
      </c>
      <c r="L7" s="57" t="s">
        <v>40</v>
      </c>
      <c r="M7" s="58">
        <v>0</v>
      </c>
      <c r="N7" s="58">
        <v>0</v>
      </c>
      <c r="O7" s="58">
        <v>0</v>
      </c>
      <c r="P7" s="58">
        <v>0</v>
      </c>
      <c r="Q7" s="58">
        <v>0</v>
      </c>
      <c r="R7" s="58">
        <v>0</v>
      </c>
      <c r="S7" s="58">
        <v>0</v>
      </c>
      <c r="T7" s="58">
        <v>0</v>
      </c>
      <c r="U7" s="59">
        <f t="shared" si="1"/>
        <v>0</v>
      </c>
      <c r="W7" s="57" t="s">
        <v>40</v>
      </c>
      <c r="X7" s="60">
        <v>0</v>
      </c>
      <c r="Y7" s="60">
        <v>0</v>
      </c>
      <c r="Z7" s="60">
        <v>0</v>
      </c>
      <c r="AA7" s="60">
        <v>0</v>
      </c>
      <c r="AB7" s="60">
        <v>0</v>
      </c>
      <c r="AC7" s="60">
        <v>0</v>
      </c>
      <c r="AD7" s="60">
        <v>0</v>
      </c>
      <c r="AE7" s="60">
        <v>0</v>
      </c>
      <c r="AF7" s="61">
        <f t="shared" si="2"/>
        <v>0</v>
      </c>
      <c r="AH7" s="57" t="s">
        <v>40</v>
      </c>
      <c r="AI7" s="60">
        <v>0</v>
      </c>
      <c r="AJ7" s="60">
        <v>0</v>
      </c>
      <c r="AK7" s="60">
        <v>0</v>
      </c>
      <c r="AL7" s="60">
        <v>0</v>
      </c>
      <c r="AM7" s="60">
        <v>0</v>
      </c>
      <c r="AN7" s="60">
        <v>0</v>
      </c>
      <c r="AO7" s="60">
        <v>0</v>
      </c>
      <c r="AP7" s="60">
        <v>0</v>
      </c>
      <c r="AQ7" s="61">
        <f t="shared" si="3"/>
        <v>0</v>
      </c>
    </row>
    <row r="8" spans="1:43" x14ac:dyDescent="0.25">
      <c r="A8" s="57" t="s">
        <v>41</v>
      </c>
      <c r="B8" s="58">
        <v>0</v>
      </c>
      <c r="C8" s="58">
        <v>0</v>
      </c>
      <c r="D8" s="58">
        <v>0</v>
      </c>
      <c r="E8" s="58">
        <v>0</v>
      </c>
      <c r="F8" s="58">
        <v>51</v>
      </c>
      <c r="G8" s="58">
        <v>0</v>
      </c>
      <c r="H8" s="58">
        <v>0</v>
      </c>
      <c r="I8" s="58">
        <v>0</v>
      </c>
      <c r="J8" s="59">
        <f t="shared" si="0"/>
        <v>51</v>
      </c>
      <c r="L8" s="57" t="s">
        <v>41</v>
      </c>
      <c r="M8" s="58">
        <v>0</v>
      </c>
      <c r="N8" s="58">
        <v>0</v>
      </c>
      <c r="O8" s="58">
        <v>0</v>
      </c>
      <c r="P8" s="58">
        <v>0</v>
      </c>
      <c r="Q8" s="58">
        <v>1</v>
      </c>
      <c r="R8" s="58">
        <v>0</v>
      </c>
      <c r="S8" s="58">
        <v>0</v>
      </c>
      <c r="T8" s="58">
        <v>0</v>
      </c>
      <c r="U8" s="59">
        <f t="shared" si="1"/>
        <v>1</v>
      </c>
      <c r="W8" s="57" t="s">
        <v>41</v>
      </c>
      <c r="X8" s="60">
        <v>0</v>
      </c>
      <c r="Y8" s="60">
        <v>0</v>
      </c>
      <c r="Z8" s="60">
        <v>0</v>
      </c>
      <c r="AA8" s="60">
        <v>0</v>
      </c>
      <c r="AB8" s="60">
        <v>0</v>
      </c>
      <c r="AC8" s="60">
        <v>0</v>
      </c>
      <c r="AD8" s="60">
        <v>0</v>
      </c>
      <c r="AE8" s="60">
        <v>0</v>
      </c>
      <c r="AF8" s="61">
        <f t="shared" si="2"/>
        <v>0</v>
      </c>
      <c r="AH8" s="57" t="s">
        <v>41</v>
      </c>
      <c r="AI8" s="60">
        <v>0</v>
      </c>
      <c r="AJ8" s="60">
        <v>0</v>
      </c>
      <c r="AK8" s="60">
        <v>0</v>
      </c>
      <c r="AL8" s="60">
        <v>0</v>
      </c>
      <c r="AM8" s="60">
        <v>0</v>
      </c>
      <c r="AN8" s="60">
        <v>0</v>
      </c>
      <c r="AO8" s="60">
        <v>0</v>
      </c>
      <c r="AP8" s="60">
        <v>0</v>
      </c>
      <c r="AQ8" s="61">
        <f t="shared" si="3"/>
        <v>0</v>
      </c>
    </row>
    <row r="9" spans="1:43" x14ac:dyDescent="0.25">
      <c r="A9" s="46" t="s">
        <v>42</v>
      </c>
      <c r="B9" s="58">
        <v>0</v>
      </c>
      <c r="C9" s="58">
        <v>0</v>
      </c>
      <c r="D9" s="58">
        <v>0</v>
      </c>
      <c r="E9" s="58">
        <v>0</v>
      </c>
      <c r="F9" s="58">
        <v>48</v>
      </c>
      <c r="G9" s="58">
        <v>0</v>
      </c>
      <c r="H9" s="58">
        <v>0</v>
      </c>
      <c r="I9" s="58">
        <v>0</v>
      </c>
      <c r="J9" s="59">
        <f t="shared" si="0"/>
        <v>48</v>
      </c>
      <c r="L9" s="46" t="s">
        <v>42</v>
      </c>
      <c r="M9" s="58">
        <v>0</v>
      </c>
      <c r="N9" s="58">
        <v>0</v>
      </c>
      <c r="O9" s="58">
        <v>0</v>
      </c>
      <c r="P9" s="58">
        <v>0</v>
      </c>
      <c r="Q9" s="58">
        <v>1</v>
      </c>
      <c r="R9" s="58">
        <v>0</v>
      </c>
      <c r="S9" s="58">
        <v>0</v>
      </c>
      <c r="T9" s="58">
        <v>0</v>
      </c>
      <c r="U9" s="59">
        <f t="shared" si="1"/>
        <v>1</v>
      </c>
      <c r="V9" s="46"/>
      <c r="W9" s="57" t="s">
        <v>42</v>
      </c>
      <c r="X9" s="60">
        <v>0</v>
      </c>
      <c r="Y9" s="60">
        <v>0</v>
      </c>
      <c r="Z9" s="60">
        <v>0</v>
      </c>
      <c r="AA9" s="60">
        <v>0</v>
      </c>
      <c r="AB9" s="60">
        <v>0</v>
      </c>
      <c r="AC9" s="60">
        <v>0</v>
      </c>
      <c r="AD9" s="60">
        <v>0</v>
      </c>
      <c r="AE9" s="60">
        <v>0</v>
      </c>
      <c r="AF9" s="61">
        <f t="shared" si="2"/>
        <v>0</v>
      </c>
      <c r="AH9" s="57" t="s">
        <v>42</v>
      </c>
      <c r="AI9" s="60">
        <v>0</v>
      </c>
      <c r="AJ9" s="60">
        <v>0</v>
      </c>
      <c r="AK9" s="60">
        <v>0</v>
      </c>
      <c r="AL9" s="60">
        <v>0</v>
      </c>
      <c r="AM9" s="60">
        <v>0</v>
      </c>
      <c r="AN9" s="60">
        <v>0</v>
      </c>
      <c r="AO9" s="60">
        <v>0</v>
      </c>
      <c r="AP9" s="60">
        <v>0</v>
      </c>
      <c r="AQ9" s="61">
        <f t="shared" si="3"/>
        <v>0</v>
      </c>
    </row>
    <row r="10" spans="1:43" x14ac:dyDescent="0.25">
      <c r="A10" s="57" t="s">
        <v>43</v>
      </c>
      <c r="B10" s="58">
        <v>0</v>
      </c>
      <c r="C10" s="58">
        <v>0</v>
      </c>
      <c r="D10" s="58">
        <v>0</v>
      </c>
      <c r="E10" s="58">
        <v>0</v>
      </c>
      <c r="F10" s="58">
        <v>13</v>
      </c>
      <c r="G10" s="58">
        <v>0</v>
      </c>
      <c r="H10" s="58">
        <v>0</v>
      </c>
      <c r="I10" s="58">
        <v>0</v>
      </c>
      <c r="J10" s="59">
        <f t="shared" si="0"/>
        <v>13</v>
      </c>
      <c r="L10" s="57" t="s">
        <v>43</v>
      </c>
      <c r="M10" s="58">
        <v>0</v>
      </c>
      <c r="N10" s="58">
        <v>0</v>
      </c>
      <c r="O10" s="58">
        <v>0</v>
      </c>
      <c r="P10" s="58">
        <v>0</v>
      </c>
      <c r="Q10" s="58">
        <v>8</v>
      </c>
      <c r="R10" s="58">
        <v>0</v>
      </c>
      <c r="S10" s="58">
        <v>0</v>
      </c>
      <c r="T10" s="58">
        <v>0</v>
      </c>
      <c r="U10" s="59">
        <f t="shared" si="1"/>
        <v>8</v>
      </c>
      <c r="V10" s="46"/>
      <c r="W10" s="57" t="s">
        <v>43</v>
      </c>
      <c r="X10" s="60">
        <v>0</v>
      </c>
      <c r="Y10" s="60">
        <v>0</v>
      </c>
      <c r="Z10" s="60">
        <v>0</v>
      </c>
      <c r="AA10" s="60">
        <v>0</v>
      </c>
      <c r="AB10" s="60">
        <v>0</v>
      </c>
      <c r="AC10" s="60">
        <v>0</v>
      </c>
      <c r="AD10" s="60">
        <v>0</v>
      </c>
      <c r="AE10" s="60">
        <v>0</v>
      </c>
      <c r="AF10" s="61">
        <f t="shared" si="2"/>
        <v>0</v>
      </c>
      <c r="AH10" s="57" t="s">
        <v>43</v>
      </c>
      <c r="AI10" s="60">
        <v>0</v>
      </c>
      <c r="AJ10" s="60">
        <v>0</v>
      </c>
      <c r="AK10" s="60">
        <v>0</v>
      </c>
      <c r="AL10" s="60">
        <v>0</v>
      </c>
      <c r="AM10" s="60">
        <v>0</v>
      </c>
      <c r="AN10" s="60">
        <v>0</v>
      </c>
      <c r="AO10" s="60">
        <v>0</v>
      </c>
      <c r="AP10" s="60">
        <v>0</v>
      </c>
      <c r="AQ10" s="61">
        <f t="shared" si="3"/>
        <v>0</v>
      </c>
    </row>
    <row r="11" spans="1:43" x14ac:dyDescent="0.25">
      <c r="A11" s="57" t="s">
        <v>44</v>
      </c>
      <c r="B11" s="58">
        <v>0</v>
      </c>
      <c r="C11" s="58">
        <v>0</v>
      </c>
      <c r="D11" s="58">
        <v>0</v>
      </c>
      <c r="E11" s="58">
        <v>0</v>
      </c>
      <c r="F11" s="58">
        <v>0</v>
      </c>
      <c r="G11" s="58">
        <v>0</v>
      </c>
      <c r="H11" s="58">
        <v>0</v>
      </c>
      <c r="I11" s="58">
        <v>0</v>
      </c>
      <c r="J11" s="59">
        <f t="shared" si="0"/>
        <v>0</v>
      </c>
      <c r="L11" s="57" t="s">
        <v>44</v>
      </c>
      <c r="M11" s="58">
        <v>0</v>
      </c>
      <c r="N11" s="58">
        <v>0</v>
      </c>
      <c r="O11" s="58">
        <v>0</v>
      </c>
      <c r="P11" s="58">
        <v>0</v>
      </c>
      <c r="Q11" s="58">
        <v>12</v>
      </c>
      <c r="R11" s="58">
        <v>0</v>
      </c>
      <c r="S11" s="58">
        <v>0</v>
      </c>
      <c r="T11" s="58">
        <v>0</v>
      </c>
      <c r="U11" s="59">
        <f t="shared" si="1"/>
        <v>12</v>
      </c>
      <c r="V11" s="46"/>
      <c r="W11" s="57" t="s">
        <v>44</v>
      </c>
      <c r="X11" s="60">
        <v>0</v>
      </c>
      <c r="Y11" s="60">
        <v>0</v>
      </c>
      <c r="Z11" s="60">
        <v>0</v>
      </c>
      <c r="AA11" s="60">
        <v>0</v>
      </c>
      <c r="AB11" s="60">
        <v>0</v>
      </c>
      <c r="AC11" s="60">
        <v>0</v>
      </c>
      <c r="AD11" s="60">
        <v>0</v>
      </c>
      <c r="AE11" s="60">
        <v>0</v>
      </c>
      <c r="AF11" s="61">
        <f t="shared" si="2"/>
        <v>0</v>
      </c>
      <c r="AH11" s="57" t="s">
        <v>44</v>
      </c>
      <c r="AI11" s="60">
        <v>0</v>
      </c>
      <c r="AJ11" s="60">
        <v>0</v>
      </c>
      <c r="AK11" s="60">
        <v>0</v>
      </c>
      <c r="AL11" s="60">
        <v>0</v>
      </c>
      <c r="AM11" s="60">
        <v>0</v>
      </c>
      <c r="AN11" s="60">
        <v>0</v>
      </c>
      <c r="AO11" s="60">
        <v>0</v>
      </c>
      <c r="AP11" s="60">
        <v>0</v>
      </c>
      <c r="AQ11" s="61">
        <f t="shared" si="3"/>
        <v>0</v>
      </c>
    </row>
    <row r="12" spans="1:43" x14ac:dyDescent="0.25">
      <c r="A12" s="57" t="s">
        <v>45</v>
      </c>
      <c r="B12" s="58">
        <v>0</v>
      </c>
      <c r="C12" s="58">
        <v>0</v>
      </c>
      <c r="D12" s="58">
        <v>0</v>
      </c>
      <c r="E12" s="58">
        <v>0</v>
      </c>
      <c r="F12" s="58">
        <v>0</v>
      </c>
      <c r="G12" s="58">
        <v>0</v>
      </c>
      <c r="H12" s="58">
        <v>0</v>
      </c>
      <c r="I12" s="58">
        <v>0</v>
      </c>
      <c r="J12" s="59">
        <f t="shared" si="0"/>
        <v>0</v>
      </c>
      <c r="L12" s="57" t="s">
        <v>45</v>
      </c>
      <c r="M12" s="58">
        <v>0</v>
      </c>
      <c r="N12" s="58">
        <v>0</v>
      </c>
      <c r="O12" s="58">
        <v>0</v>
      </c>
      <c r="P12" s="58">
        <v>0</v>
      </c>
      <c r="Q12" s="58">
        <v>13</v>
      </c>
      <c r="R12" s="58">
        <v>0</v>
      </c>
      <c r="S12" s="58">
        <v>0</v>
      </c>
      <c r="T12" s="58">
        <v>0</v>
      </c>
      <c r="U12" s="59">
        <f t="shared" si="1"/>
        <v>13</v>
      </c>
      <c r="V12" s="46"/>
      <c r="W12" s="57" t="s">
        <v>45</v>
      </c>
      <c r="X12" s="60">
        <v>0</v>
      </c>
      <c r="Y12" s="60">
        <v>0</v>
      </c>
      <c r="Z12" s="60">
        <v>0</v>
      </c>
      <c r="AA12" s="60">
        <v>0</v>
      </c>
      <c r="AB12" s="60">
        <v>0</v>
      </c>
      <c r="AC12" s="60">
        <v>0</v>
      </c>
      <c r="AD12" s="60">
        <v>0</v>
      </c>
      <c r="AE12" s="60">
        <v>0</v>
      </c>
      <c r="AF12" s="61">
        <f t="shared" si="2"/>
        <v>0</v>
      </c>
      <c r="AH12" s="57" t="s">
        <v>45</v>
      </c>
      <c r="AI12" s="60">
        <v>0</v>
      </c>
      <c r="AJ12" s="60">
        <v>0</v>
      </c>
      <c r="AK12" s="60">
        <v>0</v>
      </c>
      <c r="AL12" s="60">
        <v>0</v>
      </c>
      <c r="AM12" s="60">
        <v>0</v>
      </c>
      <c r="AN12" s="60">
        <v>0</v>
      </c>
      <c r="AO12" s="60">
        <v>0</v>
      </c>
      <c r="AP12" s="60">
        <v>0</v>
      </c>
      <c r="AQ12" s="61">
        <f t="shared" si="3"/>
        <v>0</v>
      </c>
    </row>
    <row r="13" spans="1:43" x14ac:dyDescent="0.25">
      <c r="A13" s="57" t="s">
        <v>46</v>
      </c>
      <c r="B13" s="58">
        <v>0</v>
      </c>
      <c r="C13" s="58">
        <v>0</v>
      </c>
      <c r="D13" s="58">
        <v>0</v>
      </c>
      <c r="E13" s="58">
        <v>0</v>
      </c>
      <c r="F13" s="58">
        <v>0</v>
      </c>
      <c r="G13" s="58">
        <v>0</v>
      </c>
      <c r="H13" s="58">
        <v>0</v>
      </c>
      <c r="I13" s="58">
        <v>0</v>
      </c>
      <c r="J13" s="59">
        <f t="shared" si="0"/>
        <v>0</v>
      </c>
      <c r="L13" s="57" t="s">
        <v>46</v>
      </c>
      <c r="M13" s="58">
        <v>0</v>
      </c>
      <c r="N13" s="58">
        <v>0</v>
      </c>
      <c r="O13" s="58">
        <v>0</v>
      </c>
      <c r="P13" s="58">
        <v>0</v>
      </c>
      <c r="Q13" s="58">
        <v>43</v>
      </c>
      <c r="R13" s="58">
        <v>0</v>
      </c>
      <c r="S13" s="58">
        <v>0</v>
      </c>
      <c r="T13" s="58">
        <v>0</v>
      </c>
      <c r="U13" s="59">
        <f t="shared" si="1"/>
        <v>43</v>
      </c>
      <c r="V13" s="46"/>
      <c r="W13" s="57" t="s">
        <v>46</v>
      </c>
      <c r="X13" s="60">
        <v>0</v>
      </c>
      <c r="Y13" s="60">
        <v>0</v>
      </c>
      <c r="Z13" s="60">
        <v>0</v>
      </c>
      <c r="AA13" s="60">
        <v>0</v>
      </c>
      <c r="AB13" s="60">
        <v>0</v>
      </c>
      <c r="AC13" s="60">
        <v>0</v>
      </c>
      <c r="AD13" s="60">
        <v>0</v>
      </c>
      <c r="AE13" s="60">
        <v>0</v>
      </c>
      <c r="AF13" s="61">
        <f t="shared" si="2"/>
        <v>0</v>
      </c>
      <c r="AH13" s="57" t="s">
        <v>46</v>
      </c>
      <c r="AI13" s="60">
        <v>0</v>
      </c>
      <c r="AJ13" s="60">
        <v>0</v>
      </c>
      <c r="AK13" s="60">
        <v>0</v>
      </c>
      <c r="AL13" s="60">
        <v>0</v>
      </c>
      <c r="AM13" s="60">
        <v>0</v>
      </c>
      <c r="AN13" s="60">
        <v>0</v>
      </c>
      <c r="AO13" s="60">
        <v>0</v>
      </c>
      <c r="AP13" s="60">
        <v>0</v>
      </c>
      <c r="AQ13" s="61">
        <f t="shared" si="3"/>
        <v>0</v>
      </c>
    </row>
    <row r="14" spans="1:43" x14ac:dyDescent="0.25">
      <c r="A14" s="57" t="s">
        <v>47</v>
      </c>
      <c r="B14" s="58">
        <v>0</v>
      </c>
      <c r="C14" s="58">
        <v>0</v>
      </c>
      <c r="D14" s="58">
        <v>0</v>
      </c>
      <c r="E14" s="58">
        <v>0</v>
      </c>
      <c r="F14" s="58">
        <v>0</v>
      </c>
      <c r="G14" s="58">
        <v>0</v>
      </c>
      <c r="H14" s="58">
        <v>0</v>
      </c>
      <c r="I14" s="58">
        <v>0</v>
      </c>
      <c r="J14" s="59">
        <f t="shared" si="0"/>
        <v>0</v>
      </c>
      <c r="L14" s="57" t="s">
        <v>47</v>
      </c>
      <c r="M14" s="58">
        <v>0</v>
      </c>
      <c r="N14" s="58">
        <v>0</v>
      </c>
      <c r="O14" s="58">
        <v>0</v>
      </c>
      <c r="P14" s="58">
        <v>0</v>
      </c>
      <c r="Q14" s="58">
        <v>53</v>
      </c>
      <c r="R14" s="58">
        <v>0</v>
      </c>
      <c r="S14" s="58">
        <v>3</v>
      </c>
      <c r="T14" s="58">
        <v>0</v>
      </c>
      <c r="U14" s="59">
        <f t="shared" si="1"/>
        <v>56</v>
      </c>
      <c r="V14" s="46"/>
      <c r="W14" s="57" t="s">
        <v>47</v>
      </c>
      <c r="X14" s="60">
        <v>0</v>
      </c>
      <c r="Y14" s="60">
        <v>0</v>
      </c>
      <c r="Z14" s="60">
        <v>0</v>
      </c>
      <c r="AA14" s="60">
        <v>0</v>
      </c>
      <c r="AB14" s="60">
        <v>0</v>
      </c>
      <c r="AC14" s="60">
        <v>0</v>
      </c>
      <c r="AD14" s="60">
        <v>0</v>
      </c>
      <c r="AE14" s="60">
        <v>0</v>
      </c>
      <c r="AF14" s="61">
        <f t="shared" si="2"/>
        <v>0</v>
      </c>
      <c r="AH14" s="57" t="s">
        <v>47</v>
      </c>
      <c r="AI14" s="60">
        <v>0</v>
      </c>
      <c r="AJ14" s="60">
        <v>0</v>
      </c>
      <c r="AK14" s="60">
        <v>0</v>
      </c>
      <c r="AL14" s="60">
        <v>0</v>
      </c>
      <c r="AM14" s="60">
        <v>0</v>
      </c>
      <c r="AN14" s="60">
        <v>0</v>
      </c>
      <c r="AO14" s="60">
        <v>0</v>
      </c>
      <c r="AP14" s="60">
        <v>0</v>
      </c>
      <c r="AQ14" s="61">
        <f t="shared" si="3"/>
        <v>0</v>
      </c>
    </row>
    <row r="15" spans="1:43" x14ac:dyDescent="0.25">
      <c r="A15" s="57" t="s">
        <v>48</v>
      </c>
      <c r="B15" s="58">
        <v>0</v>
      </c>
      <c r="C15" s="58">
        <v>0</v>
      </c>
      <c r="D15" s="58">
        <v>0</v>
      </c>
      <c r="E15" s="58">
        <v>0</v>
      </c>
      <c r="F15" s="58">
        <v>0</v>
      </c>
      <c r="G15" s="58">
        <v>0</v>
      </c>
      <c r="H15" s="58">
        <v>0</v>
      </c>
      <c r="I15" s="58">
        <v>0</v>
      </c>
      <c r="J15" s="59">
        <f t="shared" si="0"/>
        <v>0</v>
      </c>
      <c r="L15" s="57" t="s">
        <v>48</v>
      </c>
      <c r="M15" s="58">
        <v>0</v>
      </c>
      <c r="N15" s="58">
        <v>0</v>
      </c>
      <c r="O15" s="58">
        <v>0</v>
      </c>
      <c r="P15" s="58">
        <v>0</v>
      </c>
      <c r="Q15" s="58">
        <v>59</v>
      </c>
      <c r="R15" s="58">
        <v>0</v>
      </c>
      <c r="S15" s="58">
        <v>0</v>
      </c>
      <c r="T15" s="58">
        <v>0</v>
      </c>
      <c r="U15" s="59">
        <f t="shared" si="1"/>
        <v>59</v>
      </c>
      <c r="V15" s="46"/>
      <c r="W15" s="57" t="s">
        <v>48</v>
      </c>
      <c r="X15" s="60">
        <v>0</v>
      </c>
      <c r="Y15" s="60">
        <v>0</v>
      </c>
      <c r="Z15" s="60">
        <v>0</v>
      </c>
      <c r="AA15" s="60">
        <v>0</v>
      </c>
      <c r="AB15" s="60">
        <v>0</v>
      </c>
      <c r="AC15" s="60">
        <v>0</v>
      </c>
      <c r="AD15" s="60">
        <v>0</v>
      </c>
      <c r="AE15" s="60">
        <v>0</v>
      </c>
      <c r="AF15" s="61">
        <f t="shared" si="2"/>
        <v>0</v>
      </c>
      <c r="AH15" s="57" t="s">
        <v>48</v>
      </c>
      <c r="AI15" s="60">
        <v>0</v>
      </c>
      <c r="AJ15" s="60">
        <v>0</v>
      </c>
      <c r="AK15" s="60">
        <v>0</v>
      </c>
      <c r="AL15" s="60">
        <v>0</v>
      </c>
      <c r="AM15" s="60">
        <v>0</v>
      </c>
      <c r="AN15" s="60">
        <v>0</v>
      </c>
      <c r="AO15" s="60">
        <v>0</v>
      </c>
      <c r="AP15" s="60">
        <v>0</v>
      </c>
      <c r="AQ15" s="61">
        <f t="shared" si="3"/>
        <v>0</v>
      </c>
    </row>
    <row r="16" spans="1:43" x14ac:dyDescent="0.25">
      <c r="A16" s="57" t="s">
        <v>49</v>
      </c>
      <c r="B16" s="58">
        <v>0</v>
      </c>
      <c r="C16" s="58">
        <v>0</v>
      </c>
      <c r="D16" s="58">
        <v>0</v>
      </c>
      <c r="E16" s="58">
        <v>0</v>
      </c>
      <c r="F16" s="58">
        <v>0</v>
      </c>
      <c r="G16" s="58">
        <v>0</v>
      </c>
      <c r="H16" s="58">
        <v>0</v>
      </c>
      <c r="I16" s="58">
        <v>0</v>
      </c>
      <c r="J16" s="59">
        <f t="shared" si="0"/>
        <v>0</v>
      </c>
      <c r="L16" s="57" t="s">
        <v>49</v>
      </c>
      <c r="M16" s="58">
        <v>0</v>
      </c>
      <c r="N16" s="58">
        <v>0</v>
      </c>
      <c r="O16" s="58">
        <v>0</v>
      </c>
      <c r="P16" s="58">
        <v>0</v>
      </c>
      <c r="Q16" s="58">
        <v>39</v>
      </c>
      <c r="R16" s="58">
        <v>0</v>
      </c>
      <c r="S16" s="58">
        <v>0</v>
      </c>
      <c r="T16" s="58">
        <v>0</v>
      </c>
      <c r="U16" s="59">
        <f t="shared" si="1"/>
        <v>39</v>
      </c>
      <c r="V16" s="46"/>
      <c r="W16" s="57" t="s">
        <v>49</v>
      </c>
      <c r="X16" s="60">
        <v>0</v>
      </c>
      <c r="Y16" s="60">
        <v>0</v>
      </c>
      <c r="Z16" s="60">
        <v>0</v>
      </c>
      <c r="AA16" s="60">
        <v>0</v>
      </c>
      <c r="AB16" s="60">
        <v>0</v>
      </c>
      <c r="AC16" s="60">
        <v>0</v>
      </c>
      <c r="AD16" s="60">
        <v>0</v>
      </c>
      <c r="AE16" s="60">
        <v>0</v>
      </c>
      <c r="AF16" s="61">
        <f t="shared" si="2"/>
        <v>0</v>
      </c>
      <c r="AH16" s="57" t="s">
        <v>49</v>
      </c>
      <c r="AI16" s="60">
        <v>0</v>
      </c>
      <c r="AJ16" s="60">
        <v>0</v>
      </c>
      <c r="AK16" s="60">
        <v>0</v>
      </c>
      <c r="AL16" s="60">
        <v>0</v>
      </c>
      <c r="AM16" s="60">
        <v>0</v>
      </c>
      <c r="AN16" s="60">
        <v>0</v>
      </c>
      <c r="AO16" s="60">
        <v>0</v>
      </c>
      <c r="AP16" s="60">
        <v>0</v>
      </c>
      <c r="AQ16" s="61">
        <f t="shared" si="3"/>
        <v>0</v>
      </c>
    </row>
    <row r="17" spans="1:43" x14ac:dyDescent="0.25">
      <c r="A17" s="57" t="s">
        <v>50</v>
      </c>
      <c r="B17" s="58">
        <v>0</v>
      </c>
      <c r="C17" s="58">
        <v>0</v>
      </c>
      <c r="D17" s="58">
        <v>0</v>
      </c>
      <c r="E17" s="58">
        <v>0</v>
      </c>
      <c r="F17" s="58">
        <v>0</v>
      </c>
      <c r="G17" s="58">
        <v>0</v>
      </c>
      <c r="H17" s="58">
        <v>0</v>
      </c>
      <c r="I17" s="58">
        <v>0</v>
      </c>
      <c r="J17" s="59">
        <f t="shared" si="0"/>
        <v>0</v>
      </c>
      <c r="L17" s="57" t="s">
        <v>50</v>
      </c>
      <c r="M17" s="58">
        <v>0</v>
      </c>
      <c r="N17" s="58">
        <v>0</v>
      </c>
      <c r="O17" s="58">
        <v>0</v>
      </c>
      <c r="P17" s="58">
        <v>0</v>
      </c>
      <c r="Q17" s="58">
        <v>44</v>
      </c>
      <c r="R17" s="58">
        <v>0</v>
      </c>
      <c r="S17" s="58">
        <v>1</v>
      </c>
      <c r="T17" s="58">
        <v>0</v>
      </c>
      <c r="U17" s="59">
        <f t="shared" si="1"/>
        <v>45</v>
      </c>
      <c r="V17" s="46"/>
      <c r="W17" s="57" t="s">
        <v>50</v>
      </c>
      <c r="X17" s="60">
        <v>0</v>
      </c>
      <c r="Y17" s="60">
        <v>0</v>
      </c>
      <c r="Z17" s="60">
        <v>0</v>
      </c>
      <c r="AA17" s="60">
        <v>0</v>
      </c>
      <c r="AB17" s="60">
        <v>1</v>
      </c>
      <c r="AC17" s="60">
        <v>0</v>
      </c>
      <c r="AD17" s="60">
        <v>0</v>
      </c>
      <c r="AE17" s="60">
        <v>0</v>
      </c>
      <c r="AF17" s="61">
        <f t="shared" si="2"/>
        <v>1</v>
      </c>
      <c r="AH17" s="57" t="s">
        <v>50</v>
      </c>
      <c r="AI17" s="60">
        <v>0</v>
      </c>
      <c r="AJ17" s="60">
        <v>0</v>
      </c>
      <c r="AK17" s="60">
        <v>0</v>
      </c>
      <c r="AL17" s="60">
        <v>0</v>
      </c>
      <c r="AM17" s="60">
        <v>0</v>
      </c>
      <c r="AN17" s="60">
        <v>0</v>
      </c>
      <c r="AO17" s="60">
        <v>0</v>
      </c>
      <c r="AP17" s="60">
        <v>0</v>
      </c>
      <c r="AQ17" s="61">
        <f t="shared" si="3"/>
        <v>0</v>
      </c>
    </row>
    <row r="18" spans="1:43" s="47" customFormat="1" x14ac:dyDescent="0.25">
      <c r="A18" s="62" t="s">
        <v>9</v>
      </c>
      <c r="B18" s="63">
        <f t="shared" ref="B18:J18" si="4">SUM(B6:B17)</f>
        <v>0</v>
      </c>
      <c r="C18" s="63">
        <f t="shared" si="4"/>
        <v>0</v>
      </c>
      <c r="D18" s="63">
        <f t="shared" si="4"/>
        <v>0</v>
      </c>
      <c r="E18" s="63">
        <f t="shared" si="4"/>
        <v>0</v>
      </c>
      <c r="F18" s="63">
        <f t="shared" si="4"/>
        <v>264</v>
      </c>
      <c r="G18" s="63">
        <f t="shared" si="4"/>
        <v>0</v>
      </c>
      <c r="H18" s="63">
        <f t="shared" si="4"/>
        <v>1</v>
      </c>
      <c r="I18" s="63">
        <f t="shared" si="4"/>
        <v>1</v>
      </c>
      <c r="J18" s="63">
        <f t="shared" si="4"/>
        <v>266</v>
      </c>
      <c r="L18" s="62" t="s">
        <v>9</v>
      </c>
      <c r="M18" s="63">
        <f t="shared" ref="M18:U18" si="5">SUM(M6:M17)</f>
        <v>0</v>
      </c>
      <c r="N18" s="63">
        <f t="shared" si="5"/>
        <v>0</v>
      </c>
      <c r="O18" s="63">
        <f t="shared" si="5"/>
        <v>0</v>
      </c>
      <c r="P18" s="63">
        <f t="shared" si="5"/>
        <v>0</v>
      </c>
      <c r="Q18" s="63">
        <f t="shared" si="5"/>
        <v>276</v>
      </c>
      <c r="R18" s="63">
        <f t="shared" si="5"/>
        <v>0</v>
      </c>
      <c r="S18" s="63">
        <f t="shared" si="5"/>
        <v>4</v>
      </c>
      <c r="T18" s="63">
        <f t="shared" si="5"/>
        <v>0</v>
      </c>
      <c r="U18" s="63">
        <f t="shared" si="5"/>
        <v>280</v>
      </c>
      <c r="V18" s="48"/>
      <c r="W18" s="62" t="s">
        <v>9</v>
      </c>
      <c r="X18" s="63">
        <f t="shared" ref="X18:AF18" si="6">SUM(X6:X17)</f>
        <v>0</v>
      </c>
      <c r="Y18" s="63">
        <f t="shared" si="6"/>
        <v>0</v>
      </c>
      <c r="Z18" s="63">
        <f t="shared" si="6"/>
        <v>0</v>
      </c>
      <c r="AA18" s="63">
        <f t="shared" si="6"/>
        <v>0</v>
      </c>
      <c r="AB18" s="63">
        <f t="shared" si="6"/>
        <v>1</v>
      </c>
      <c r="AC18" s="63">
        <f t="shared" si="6"/>
        <v>0</v>
      </c>
      <c r="AD18" s="63">
        <f t="shared" si="6"/>
        <v>0</v>
      </c>
      <c r="AE18" s="63">
        <f t="shared" si="6"/>
        <v>0</v>
      </c>
      <c r="AF18" s="63">
        <f t="shared" si="6"/>
        <v>1</v>
      </c>
      <c r="AH18" s="62" t="s">
        <v>9</v>
      </c>
      <c r="AI18" s="63">
        <f t="shared" ref="AI18:AQ18" si="7">SUM(AI6:AI17)</f>
        <v>0</v>
      </c>
      <c r="AJ18" s="63">
        <f t="shared" si="7"/>
        <v>0</v>
      </c>
      <c r="AK18" s="63">
        <f t="shared" si="7"/>
        <v>0</v>
      </c>
      <c r="AL18" s="63">
        <f t="shared" si="7"/>
        <v>0</v>
      </c>
      <c r="AM18" s="63">
        <f t="shared" si="7"/>
        <v>0</v>
      </c>
      <c r="AN18" s="63">
        <f t="shared" si="7"/>
        <v>0</v>
      </c>
      <c r="AO18" s="63">
        <f t="shared" si="7"/>
        <v>0</v>
      </c>
      <c r="AP18" s="63">
        <f t="shared" si="7"/>
        <v>0</v>
      </c>
      <c r="AQ18" s="63">
        <f t="shared" si="7"/>
        <v>0</v>
      </c>
    </row>
    <row r="19" spans="1:43" s="47" customFormat="1" ht="16.149999999999999" customHeight="1" x14ac:dyDescent="0.25">
      <c r="A19" s="64" t="s">
        <v>51</v>
      </c>
      <c r="B19" s="65">
        <f>IFERROR(B18/$J18,"-")</f>
        <v>0</v>
      </c>
      <c r="C19" s="65">
        <f t="shared" ref="C19:I19" si="8">IFERROR(C18/$J18,"-")</f>
        <v>0</v>
      </c>
      <c r="D19" s="65">
        <f t="shared" si="8"/>
        <v>0</v>
      </c>
      <c r="E19" s="65">
        <f t="shared" si="8"/>
        <v>0</v>
      </c>
      <c r="F19" s="65">
        <f t="shared" si="8"/>
        <v>0.99248120300751874</v>
      </c>
      <c r="G19" s="65">
        <f t="shared" si="8"/>
        <v>0</v>
      </c>
      <c r="H19" s="65">
        <f t="shared" si="8"/>
        <v>3.7593984962406013E-3</v>
      </c>
      <c r="I19" s="65">
        <f t="shared" si="8"/>
        <v>3.7593984962406013E-3</v>
      </c>
      <c r="J19" s="65">
        <f>IFERROR(J18/$J18,"-")</f>
        <v>1</v>
      </c>
      <c r="L19" s="64" t="s">
        <v>51</v>
      </c>
      <c r="M19" s="65">
        <f>IFERROR(M18/$U18,"-")</f>
        <v>0</v>
      </c>
      <c r="N19" s="65">
        <f t="shared" ref="N19:T19" si="9">IFERROR(N18/$U18,"-")</f>
        <v>0</v>
      </c>
      <c r="O19" s="65">
        <f t="shared" si="9"/>
        <v>0</v>
      </c>
      <c r="P19" s="65">
        <f t="shared" si="9"/>
        <v>0</v>
      </c>
      <c r="Q19" s="65">
        <f t="shared" si="9"/>
        <v>0.98571428571428577</v>
      </c>
      <c r="R19" s="65">
        <f t="shared" si="9"/>
        <v>0</v>
      </c>
      <c r="S19" s="65">
        <f t="shared" si="9"/>
        <v>1.4285714285714285E-2</v>
      </c>
      <c r="T19" s="65">
        <f t="shared" si="9"/>
        <v>0</v>
      </c>
      <c r="U19" s="65">
        <f>IFERROR(U18/$U18,"-")</f>
        <v>1</v>
      </c>
      <c r="V19" s="48"/>
      <c r="W19" s="64" t="s">
        <v>51</v>
      </c>
      <c r="X19" s="65">
        <f t="shared" ref="X19:AF19" si="10">X18/$AF18</f>
        <v>0</v>
      </c>
      <c r="Y19" s="65">
        <f t="shared" si="10"/>
        <v>0</v>
      </c>
      <c r="Z19" s="65">
        <f t="shared" si="10"/>
        <v>0</v>
      </c>
      <c r="AA19" s="65">
        <f t="shared" si="10"/>
        <v>0</v>
      </c>
      <c r="AB19" s="65">
        <f t="shared" si="10"/>
        <v>1</v>
      </c>
      <c r="AC19" s="65">
        <f t="shared" si="10"/>
        <v>0</v>
      </c>
      <c r="AD19" s="65">
        <f t="shared" si="10"/>
        <v>0</v>
      </c>
      <c r="AE19" s="65">
        <f t="shared" si="10"/>
        <v>0</v>
      </c>
      <c r="AF19" s="65">
        <f t="shared" si="10"/>
        <v>1</v>
      </c>
      <c r="AH19" s="64" t="s">
        <v>51</v>
      </c>
      <c r="AI19" s="65" t="str">
        <f>IFERROR(AI18/$AQ18,"-")</f>
        <v>-</v>
      </c>
      <c r="AJ19" s="65" t="str">
        <f t="shared" ref="AJ19:AQ19" si="11">IFERROR(AJ18/$AQ18,"-")</f>
        <v>-</v>
      </c>
      <c r="AK19" s="65" t="str">
        <f t="shared" si="11"/>
        <v>-</v>
      </c>
      <c r="AL19" s="65" t="str">
        <f t="shared" si="11"/>
        <v>-</v>
      </c>
      <c r="AM19" s="65" t="str">
        <f t="shared" si="11"/>
        <v>-</v>
      </c>
      <c r="AN19" s="65" t="str">
        <f t="shared" si="11"/>
        <v>-</v>
      </c>
      <c r="AO19" s="65" t="str">
        <f t="shared" si="11"/>
        <v>-</v>
      </c>
      <c r="AP19" s="65" t="str">
        <f t="shared" si="11"/>
        <v>-</v>
      </c>
      <c r="AQ19" s="65" t="str">
        <f t="shared" si="11"/>
        <v>-</v>
      </c>
    </row>
    <row r="20" spans="1:43" x14ac:dyDescent="0.25">
      <c r="V20" s="46"/>
    </row>
    <row r="21" spans="1:43" x14ac:dyDescent="0.25">
      <c r="A21" s="96" t="s">
        <v>20</v>
      </c>
      <c r="B21" s="96"/>
      <c r="C21" s="96"/>
      <c r="D21" s="96"/>
      <c r="E21" s="96"/>
      <c r="F21" s="96"/>
      <c r="G21" s="96"/>
      <c r="H21" s="96"/>
      <c r="I21" s="96"/>
      <c r="J21" s="96"/>
      <c r="L21" s="96" t="s">
        <v>20</v>
      </c>
      <c r="M21" s="96"/>
      <c r="N21" s="96"/>
      <c r="O21" s="96"/>
      <c r="P21" s="96"/>
      <c r="Q21" s="96"/>
      <c r="R21" s="96"/>
      <c r="S21" s="96"/>
      <c r="T21" s="96"/>
      <c r="U21" s="96"/>
      <c r="V21" s="46"/>
      <c r="W21" s="111" t="s">
        <v>20</v>
      </c>
      <c r="X21" s="112"/>
      <c r="Y21" s="112"/>
      <c r="Z21" s="112"/>
      <c r="AA21" s="112"/>
      <c r="AB21" s="112"/>
      <c r="AC21" s="112"/>
      <c r="AD21" s="112"/>
      <c r="AE21" s="112"/>
      <c r="AF21" s="113"/>
      <c r="AH21" s="96" t="s">
        <v>20</v>
      </c>
      <c r="AI21" s="96"/>
      <c r="AJ21" s="96"/>
      <c r="AK21" s="96"/>
      <c r="AL21" s="96"/>
      <c r="AM21" s="96"/>
      <c r="AN21" s="96"/>
      <c r="AO21" s="96"/>
      <c r="AP21" s="96"/>
      <c r="AQ21" s="96"/>
    </row>
    <row r="22" spans="1:43" x14ac:dyDescent="0.25">
      <c r="A22" s="54" t="s">
        <v>38</v>
      </c>
      <c r="B22" s="97" t="s">
        <v>3</v>
      </c>
      <c r="C22" s="97"/>
      <c r="D22" s="98" t="s">
        <v>4</v>
      </c>
      <c r="E22" s="99" t="s">
        <v>5</v>
      </c>
      <c r="F22" s="100"/>
      <c r="G22" s="98" t="s">
        <v>7</v>
      </c>
      <c r="H22" s="97" t="s">
        <v>8</v>
      </c>
      <c r="I22" s="97"/>
      <c r="J22" s="54" t="s">
        <v>9</v>
      </c>
      <c r="L22" s="54" t="s">
        <v>38</v>
      </c>
      <c r="M22" s="97" t="s">
        <v>3</v>
      </c>
      <c r="N22" s="97"/>
      <c r="O22" s="98" t="s">
        <v>4</v>
      </c>
      <c r="P22" s="99" t="s">
        <v>5</v>
      </c>
      <c r="Q22" s="100"/>
      <c r="R22" s="98" t="s">
        <v>7</v>
      </c>
      <c r="S22" s="97" t="s">
        <v>8</v>
      </c>
      <c r="T22" s="97"/>
      <c r="U22" s="54" t="s">
        <v>9</v>
      </c>
      <c r="V22" s="46"/>
      <c r="W22" s="55" t="s">
        <v>38</v>
      </c>
      <c r="X22" s="101" t="s">
        <v>3</v>
      </c>
      <c r="Y22" s="102"/>
      <c r="Z22" s="103" t="s">
        <v>4</v>
      </c>
      <c r="AA22" s="99" t="s">
        <v>5</v>
      </c>
      <c r="AB22" s="100"/>
      <c r="AC22" s="103" t="s">
        <v>7</v>
      </c>
      <c r="AD22" s="101" t="s">
        <v>8</v>
      </c>
      <c r="AE22" s="102"/>
      <c r="AF22" s="114" t="s">
        <v>9</v>
      </c>
      <c r="AH22" s="54" t="s">
        <v>38</v>
      </c>
      <c r="AI22" s="104" t="s">
        <v>3</v>
      </c>
      <c r="AJ22" s="104"/>
      <c r="AK22" s="103" t="s">
        <v>4</v>
      </c>
      <c r="AL22" s="99" t="s">
        <v>5</v>
      </c>
      <c r="AM22" s="100"/>
      <c r="AN22" s="103" t="s">
        <v>7</v>
      </c>
      <c r="AO22" s="104" t="s">
        <v>8</v>
      </c>
      <c r="AP22" s="104"/>
      <c r="AQ22" s="105" t="s">
        <v>9</v>
      </c>
    </row>
    <row r="23" spans="1:43" ht="45" x14ac:dyDescent="0.25">
      <c r="A23" s="54"/>
      <c r="B23" s="79" t="s">
        <v>10</v>
      </c>
      <c r="C23" s="79" t="s">
        <v>11</v>
      </c>
      <c r="D23" s="79" t="s">
        <v>12</v>
      </c>
      <c r="E23" s="79" t="s">
        <v>13</v>
      </c>
      <c r="F23" s="79" t="s">
        <v>14</v>
      </c>
      <c r="G23" s="79" t="s">
        <v>16</v>
      </c>
      <c r="H23" s="79" t="s">
        <v>17</v>
      </c>
      <c r="I23" s="79" t="s">
        <v>18</v>
      </c>
      <c r="J23" s="54"/>
      <c r="L23" s="54"/>
      <c r="M23" s="79" t="s">
        <v>10</v>
      </c>
      <c r="N23" s="79" t="s">
        <v>11</v>
      </c>
      <c r="O23" s="79" t="s">
        <v>12</v>
      </c>
      <c r="P23" s="79" t="s">
        <v>13</v>
      </c>
      <c r="Q23" s="79" t="s">
        <v>14</v>
      </c>
      <c r="R23" s="79" t="s">
        <v>16</v>
      </c>
      <c r="S23" s="79" t="s">
        <v>17</v>
      </c>
      <c r="T23" s="79" t="s">
        <v>18</v>
      </c>
      <c r="U23" s="54"/>
      <c r="V23" s="46"/>
      <c r="W23" s="56"/>
      <c r="X23" s="109" t="s">
        <v>10</v>
      </c>
      <c r="Y23" s="109" t="s">
        <v>11</v>
      </c>
      <c r="Z23" s="109" t="s">
        <v>12</v>
      </c>
      <c r="AA23" s="109" t="s">
        <v>13</v>
      </c>
      <c r="AB23" s="109" t="s">
        <v>14</v>
      </c>
      <c r="AC23" s="109" t="s">
        <v>16</v>
      </c>
      <c r="AD23" s="109" t="s">
        <v>17</v>
      </c>
      <c r="AE23" s="109" t="s">
        <v>18</v>
      </c>
      <c r="AF23" s="115"/>
      <c r="AG23" s="46"/>
      <c r="AH23" s="54"/>
      <c r="AI23" s="109" t="s">
        <v>10</v>
      </c>
      <c r="AJ23" s="109" t="s">
        <v>11</v>
      </c>
      <c r="AK23" s="109" t="s">
        <v>12</v>
      </c>
      <c r="AL23" s="109" t="s">
        <v>13</v>
      </c>
      <c r="AM23" s="109" t="s">
        <v>14</v>
      </c>
      <c r="AN23" s="109" t="s">
        <v>16</v>
      </c>
      <c r="AO23" s="109" t="s">
        <v>17</v>
      </c>
      <c r="AP23" s="109" t="s">
        <v>18</v>
      </c>
      <c r="AQ23" s="105"/>
    </row>
    <row r="24" spans="1:43" x14ac:dyDescent="0.25">
      <c r="A24" s="57" t="s">
        <v>39</v>
      </c>
      <c r="B24" s="58">
        <v>0</v>
      </c>
      <c r="C24" s="58">
        <v>0</v>
      </c>
      <c r="D24" s="58">
        <v>0</v>
      </c>
      <c r="E24" s="58">
        <v>0</v>
      </c>
      <c r="F24" s="58">
        <v>2</v>
      </c>
      <c r="G24" s="58">
        <v>0</v>
      </c>
      <c r="H24" s="58">
        <v>0</v>
      </c>
      <c r="I24" s="58">
        <v>0</v>
      </c>
      <c r="J24" s="59">
        <f t="shared" ref="J24:J35" si="12">SUM(B24:I24)</f>
        <v>2</v>
      </c>
      <c r="L24" s="57" t="s">
        <v>39</v>
      </c>
      <c r="M24" s="58">
        <v>0</v>
      </c>
      <c r="N24" s="58">
        <v>0</v>
      </c>
      <c r="O24" s="58">
        <v>0</v>
      </c>
      <c r="P24" s="58">
        <v>0</v>
      </c>
      <c r="Q24" s="58">
        <v>0</v>
      </c>
      <c r="R24" s="58">
        <v>0</v>
      </c>
      <c r="S24" s="58">
        <v>0</v>
      </c>
      <c r="T24" s="58">
        <v>0</v>
      </c>
      <c r="U24" s="59">
        <f t="shared" ref="U24:U35" si="13">SUM(M24:T24)</f>
        <v>0</v>
      </c>
      <c r="V24" s="46"/>
      <c r="W24" s="57" t="s">
        <v>39</v>
      </c>
      <c r="X24" s="60">
        <v>0</v>
      </c>
      <c r="Y24" s="60">
        <v>0</v>
      </c>
      <c r="Z24" s="60">
        <v>0</v>
      </c>
      <c r="AA24" s="60">
        <v>0</v>
      </c>
      <c r="AB24" s="60">
        <v>0</v>
      </c>
      <c r="AC24" s="60">
        <v>0</v>
      </c>
      <c r="AD24" s="60">
        <v>0</v>
      </c>
      <c r="AE24" s="60">
        <v>0</v>
      </c>
      <c r="AF24" s="61">
        <f t="shared" ref="AF24:AF35" si="14">SUM(X24:AE24)</f>
        <v>0</v>
      </c>
      <c r="AH24" s="57" t="s">
        <v>39</v>
      </c>
      <c r="AI24" s="60">
        <v>0</v>
      </c>
      <c r="AJ24" s="60">
        <v>0</v>
      </c>
      <c r="AK24" s="60">
        <v>0</v>
      </c>
      <c r="AL24" s="60">
        <v>0</v>
      </c>
      <c r="AM24" s="60">
        <v>0</v>
      </c>
      <c r="AN24" s="60">
        <v>0</v>
      </c>
      <c r="AO24" s="60">
        <v>0</v>
      </c>
      <c r="AP24" s="60">
        <v>0</v>
      </c>
      <c r="AQ24" s="61">
        <f t="shared" ref="AQ24:AQ35" si="15">SUM(AI24:AP24)</f>
        <v>0</v>
      </c>
    </row>
    <row r="25" spans="1:43" x14ac:dyDescent="0.25">
      <c r="A25" s="57" t="s">
        <v>40</v>
      </c>
      <c r="B25" s="58">
        <v>0</v>
      </c>
      <c r="C25" s="58">
        <v>0</v>
      </c>
      <c r="D25" s="58">
        <v>0</v>
      </c>
      <c r="E25" s="58">
        <v>0</v>
      </c>
      <c r="F25" s="58">
        <v>4</v>
      </c>
      <c r="G25" s="58">
        <v>0</v>
      </c>
      <c r="H25" s="58">
        <v>0</v>
      </c>
      <c r="I25" s="58">
        <v>0</v>
      </c>
      <c r="J25" s="59">
        <f t="shared" si="12"/>
        <v>4</v>
      </c>
      <c r="L25" s="57" t="s">
        <v>40</v>
      </c>
      <c r="M25" s="58">
        <v>0</v>
      </c>
      <c r="N25" s="58">
        <v>0</v>
      </c>
      <c r="O25" s="58">
        <v>0</v>
      </c>
      <c r="P25" s="58">
        <v>0</v>
      </c>
      <c r="Q25" s="58">
        <v>0</v>
      </c>
      <c r="R25" s="58">
        <v>0</v>
      </c>
      <c r="S25" s="58">
        <v>0</v>
      </c>
      <c r="T25" s="58">
        <v>0</v>
      </c>
      <c r="U25" s="59">
        <f t="shared" si="13"/>
        <v>0</v>
      </c>
      <c r="W25" s="57" t="s">
        <v>40</v>
      </c>
      <c r="X25" s="60">
        <v>0</v>
      </c>
      <c r="Y25" s="60">
        <v>0</v>
      </c>
      <c r="Z25" s="60">
        <v>0</v>
      </c>
      <c r="AA25" s="60">
        <v>0</v>
      </c>
      <c r="AB25" s="60">
        <v>0</v>
      </c>
      <c r="AC25" s="60">
        <v>0</v>
      </c>
      <c r="AD25" s="60">
        <v>0</v>
      </c>
      <c r="AE25" s="60">
        <v>0</v>
      </c>
      <c r="AF25" s="61">
        <f t="shared" si="14"/>
        <v>0</v>
      </c>
      <c r="AH25" s="57" t="s">
        <v>40</v>
      </c>
      <c r="AI25" s="60">
        <v>0</v>
      </c>
      <c r="AJ25" s="60">
        <v>0</v>
      </c>
      <c r="AK25" s="60">
        <v>0</v>
      </c>
      <c r="AL25" s="60">
        <v>0</v>
      </c>
      <c r="AM25" s="60">
        <v>0</v>
      </c>
      <c r="AN25" s="60">
        <v>0</v>
      </c>
      <c r="AO25" s="60">
        <v>0</v>
      </c>
      <c r="AP25" s="60">
        <v>0</v>
      </c>
      <c r="AQ25" s="61">
        <f t="shared" si="15"/>
        <v>0</v>
      </c>
    </row>
    <row r="26" spans="1:43" x14ac:dyDescent="0.25">
      <c r="A26" s="57" t="s">
        <v>41</v>
      </c>
      <c r="B26" s="58">
        <v>0</v>
      </c>
      <c r="C26" s="58">
        <v>0</v>
      </c>
      <c r="D26" s="58">
        <v>0</v>
      </c>
      <c r="E26" s="58">
        <v>0</v>
      </c>
      <c r="F26" s="58">
        <v>4</v>
      </c>
      <c r="G26" s="58">
        <v>0</v>
      </c>
      <c r="H26" s="58">
        <v>0</v>
      </c>
      <c r="I26" s="58">
        <v>0</v>
      </c>
      <c r="J26" s="59">
        <f t="shared" si="12"/>
        <v>4</v>
      </c>
      <c r="L26" s="57" t="s">
        <v>41</v>
      </c>
      <c r="M26" s="58">
        <v>0</v>
      </c>
      <c r="N26" s="58">
        <v>0</v>
      </c>
      <c r="O26" s="58">
        <v>0</v>
      </c>
      <c r="P26" s="58">
        <v>0</v>
      </c>
      <c r="Q26" s="58">
        <v>0</v>
      </c>
      <c r="R26" s="58">
        <v>0</v>
      </c>
      <c r="S26" s="58">
        <v>0</v>
      </c>
      <c r="T26" s="58">
        <v>0</v>
      </c>
      <c r="U26" s="59">
        <f t="shared" si="13"/>
        <v>0</v>
      </c>
      <c r="W26" s="57" t="s">
        <v>41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60">
        <v>0</v>
      </c>
      <c r="AF26" s="61">
        <f t="shared" si="14"/>
        <v>0</v>
      </c>
      <c r="AH26" s="57" t="s">
        <v>41</v>
      </c>
      <c r="AI26" s="60">
        <v>0</v>
      </c>
      <c r="AJ26" s="60">
        <v>0</v>
      </c>
      <c r="AK26" s="60">
        <v>0</v>
      </c>
      <c r="AL26" s="60">
        <v>0</v>
      </c>
      <c r="AM26" s="60">
        <v>0</v>
      </c>
      <c r="AN26" s="60">
        <v>0</v>
      </c>
      <c r="AO26" s="60">
        <v>0</v>
      </c>
      <c r="AP26" s="60">
        <v>0</v>
      </c>
      <c r="AQ26" s="61">
        <f t="shared" si="15"/>
        <v>0</v>
      </c>
    </row>
    <row r="27" spans="1:43" x14ac:dyDescent="0.25">
      <c r="A27" s="57" t="s">
        <v>42</v>
      </c>
      <c r="B27" s="58">
        <v>0</v>
      </c>
      <c r="C27" s="58">
        <v>0</v>
      </c>
      <c r="D27" s="58">
        <v>0</v>
      </c>
      <c r="E27" s="58">
        <v>0</v>
      </c>
      <c r="F27" s="58">
        <v>4</v>
      </c>
      <c r="G27" s="58">
        <v>0</v>
      </c>
      <c r="H27" s="58">
        <v>0</v>
      </c>
      <c r="I27" s="58">
        <v>0</v>
      </c>
      <c r="J27" s="59">
        <f t="shared" si="12"/>
        <v>4</v>
      </c>
      <c r="L27" s="57" t="s">
        <v>42</v>
      </c>
      <c r="M27" s="58">
        <v>0</v>
      </c>
      <c r="N27" s="58">
        <v>0</v>
      </c>
      <c r="O27" s="58">
        <v>0</v>
      </c>
      <c r="P27" s="58">
        <v>0</v>
      </c>
      <c r="Q27" s="58">
        <v>0</v>
      </c>
      <c r="R27" s="58">
        <v>0</v>
      </c>
      <c r="S27" s="58">
        <v>0</v>
      </c>
      <c r="T27" s="58">
        <v>0</v>
      </c>
      <c r="U27" s="59">
        <f t="shared" si="13"/>
        <v>0</v>
      </c>
      <c r="W27" s="57" t="s">
        <v>42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0</v>
      </c>
      <c r="AE27" s="60">
        <v>0</v>
      </c>
      <c r="AF27" s="61">
        <f t="shared" si="14"/>
        <v>0</v>
      </c>
      <c r="AH27" s="57" t="s">
        <v>42</v>
      </c>
      <c r="AI27" s="60">
        <v>0</v>
      </c>
      <c r="AJ27" s="60">
        <v>0</v>
      </c>
      <c r="AK27" s="60">
        <v>0</v>
      </c>
      <c r="AL27" s="60">
        <v>0</v>
      </c>
      <c r="AM27" s="60">
        <v>0</v>
      </c>
      <c r="AN27" s="60">
        <v>0</v>
      </c>
      <c r="AO27" s="60">
        <v>0</v>
      </c>
      <c r="AP27" s="60">
        <v>0</v>
      </c>
      <c r="AQ27" s="61">
        <f t="shared" si="15"/>
        <v>0</v>
      </c>
    </row>
    <row r="28" spans="1:43" x14ac:dyDescent="0.25">
      <c r="A28" s="57" t="s">
        <v>43</v>
      </c>
      <c r="B28" s="58">
        <v>0</v>
      </c>
      <c r="C28" s="58">
        <v>0</v>
      </c>
      <c r="D28" s="58">
        <v>0</v>
      </c>
      <c r="E28" s="58">
        <v>0</v>
      </c>
      <c r="F28" s="58">
        <v>0</v>
      </c>
      <c r="G28" s="58">
        <v>0</v>
      </c>
      <c r="H28" s="58">
        <v>0</v>
      </c>
      <c r="I28" s="58">
        <v>0</v>
      </c>
      <c r="J28" s="59">
        <f t="shared" si="12"/>
        <v>0</v>
      </c>
      <c r="L28" s="57" t="s">
        <v>43</v>
      </c>
      <c r="M28" s="58">
        <v>0</v>
      </c>
      <c r="N28" s="58">
        <v>0</v>
      </c>
      <c r="O28" s="58">
        <v>0</v>
      </c>
      <c r="P28" s="58">
        <v>0</v>
      </c>
      <c r="Q28" s="58">
        <v>1</v>
      </c>
      <c r="R28" s="58">
        <v>0</v>
      </c>
      <c r="S28" s="58">
        <v>0</v>
      </c>
      <c r="T28" s="58">
        <v>0</v>
      </c>
      <c r="U28" s="59">
        <f t="shared" si="13"/>
        <v>1</v>
      </c>
      <c r="W28" s="57" t="s">
        <v>43</v>
      </c>
      <c r="X28" s="60">
        <v>0</v>
      </c>
      <c r="Y28" s="60">
        <v>0</v>
      </c>
      <c r="Z28" s="60">
        <v>0</v>
      </c>
      <c r="AA28" s="60">
        <v>0</v>
      </c>
      <c r="AB28" s="60">
        <v>0</v>
      </c>
      <c r="AC28" s="60">
        <v>0</v>
      </c>
      <c r="AD28" s="60">
        <v>0</v>
      </c>
      <c r="AE28" s="60">
        <v>0</v>
      </c>
      <c r="AF28" s="61">
        <f t="shared" si="14"/>
        <v>0</v>
      </c>
      <c r="AH28" s="57" t="s">
        <v>43</v>
      </c>
      <c r="AI28" s="60">
        <v>0</v>
      </c>
      <c r="AJ28" s="60">
        <v>0</v>
      </c>
      <c r="AK28" s="60">
        <v>0</v>
      </c>
      <c r="AL28" s="60">
        <v>0</v>
      </c>
      <c r="AM28" s="60">
        <v>0</v>
      </c>
      <c r="AN28" s="60">
        <v>0</v>
      </c>
      <c r="AO28" s="60">
        <v>0</v>
      </c>
      <c r="AP28" s="60">
        <v>0</v>
      </c>
      <c r="AQ28" s="61">
        <f t="shared" si="15"/>
        <v>0</v>
      </c>
    </row>
    <row r="29" spans="1:43" x14ac:dyDescent="0.25">
      <c r="A29" s="57" t="s">
        <v>44</v>
      </c>
      <c r="B29" s="58">
        <v>0</v>
      </c>
      <c r="C29" s="58">
        <v>0</v>
      </c>
      <c r="D29" s="58">
        <v>0</v>
      </c>
      <c r="E29" s="58">
        <v>0</v>
      </c>
      <c r="F29" s="58">
        <v>0</v>
      </c>
      <c r="G29" s="58">
        <v>0</v>
      </c>
      <c r="H29" s="58">
        <v>0</v>
      </c>
      <c r="I29" s="58">
        <v>0</v>
      </c>
      <c r="J29" s="59">
        <f t="shared" si="12"/>
        <v>0</v>
      </c>
      <c r="L29" s="57" t="s">
        <v>44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9">
        <f t="shared" si="13"/>
        <v>0</v>
      </c>
      <c r="W29" s="57" t="s">
        <v>44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60">
        <v>0</v>
      </c>
      <c r="AF29" s="61">
        <f t="shared" si="14"/>
        <v>0</v>
      </c>
      <c r="AH29" s="57" t="s">
        <v>44</v>
      </c>
      <c r="AI29" s="60">
        <v>0</v>
      </c>
      <c r="AJ29" s="60">
        <v>0</v>
      </c>
      <c r="AK29" s="60">
        <v>0</v>
      </c>
      <c r="AL29" s="60">
        <v>0</v>
      </c>
      <c r="AM29" s="60">
        <v>0</v>
      </c>
      <c r="AN29" s="60">
        <v>0</v>
      </c>
      <c r="AO29" s="60">
        <v>0</v>
      </c>
      <c r="AP29" s="60">
        <v>0</v>
      </c>
      <c r="AQ29" s="61">
        <f t="shared" si="15"/>
        <v>0</v>
      </c>
    </row>
    <row r="30" spans="1:43" x14ac:dyDescent="0.25">
      <c r="A30" s="57" t="s">
        <v>45</v>
      </c>
      <c r="B30" s="58">
        <v>0</v>
      </c>
      <c r="C30" s="58">
        <v>0</v>
      </c>
      <c r="D30" s="58">
        <v>0</v>
      </c>
      <c r="E30" s="58">
        <v>0</v>
      </c>
      <c r="F30" s="58">
        <v>0</v>
      </c>
      <c r="G30" s="58">
        <v>0</v>
      </c>
      <c r="H30" s="58">
        <v>0</v>
      </c>
      <c r="I30" s="58">
        <v>0</v>
      </c>
      <c r="J30" s="59">
        <f t="shared" si="12"/>
        <v>0</v>
      </c>
      <c r="L30" s="57" t="s">
        <v>45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9">
        <f t="shared" si="13"/>
        <v>0</v>
      </c>
      <c r="W30" s="57" t="s">
        <v>45</v>
      </c>
      <c r="X30" s="60">
        <v>0</v>
      </c>
      <c r="Y30" s="60">
        <v>0</v>
      </c>
      <c r="Z30" s="60">
        <v>0</v>
      </c>
      <c r="AA30" s="60">
        <v>0</v>
      </c>
      <c r="AB30" s="60">
        <v>0</v>
      </c>
      <c r="AC30" s="60">
        <v>0</v>
      </c>
      <c r="AD30" s="60">
        <v>0</v>
      </c>
      <c r="AE30" s="60">
        <v>0</v>
      </c>
      <c r="AF30" s="61">
        <f t="shared" si="14"/>
        <v>0</v>
      </c>
      <c r="AH30" s="57" t="s">
        <v>45</v>
      </c>
      <c r="AI30" s="60">
        <v>0</v>
      </c>
      <c r="AJ30" s="60">
        <v>0</v>
      </c>
      <c r="AK30" s="60">
        <v>0</v>
      </c>
      <c r="AL30" s="60">
        <v>0</v>
      </c>
      <c r="AM30" s="60">
        <v>0</v>
      </c>
      <c r="AN30" s="60">
        <v>0</v>
      </c>
      <c r="AO30" s="60">
        <v>0</v>
      </c>
      <c r="AP30" s="60">
        <v>0</v>
      </c>
      <c r="AQ30" s="61">
        <f t="shared" si="15"/>
        <v>0</v>
      </c>
    </row>
    <row r="31" spans="1:43" x14ac:dyDescent="0.25">
      <c r="A31" s="57" t="s">
        <v>46</v>
      </c>
      <c r="B31" s="58">
        <v>0</v>
      </c>
      <c r="C31" s="58">
        <v>0</v>
      </c>
      <c r="D31" s="58">
        <v>0</v>
      </c>
      <c r="E31" s="58">
        <v>0</v>
      </c>
      <c r="F31" s="58">
        <v>0</v>
      </c>
      <c r="G31" s="58">
        <v>0</v>
      </c>
      <c r="H31" s="58">
        <v>0</v>
      </c>
      <c r="I31" s="58">
        <v>0</v>
      </c>
      <c r="J31" s="59">
        <f t="shared" si="12"/>
        <v>0</v>
      </c>
      <c r="L31" s="57" t="s">
        <v>46</v>
      </c>
      <c r="M31" s="58">
        <v>0</v>
      </c>
      <c r="N31" s="58">
        <v>0</v>
      </c>
      <c r="O31" s="58">
        <v>0</v>
      </c>
      <c r="P31" s="58">
        <v>0</v>
      </c>
      <c r="Q31" s="58">
        <v>1</v>
      </c>
      <c r="R31" s="58">
        <v>0</v>
      </c>
      <c r="S31" s="58">
        <v>0</v>
      </c>
      <c r="T31" s="58">
        <v>1</v>
      </c>
      <c r="U31" s="59">
        <f t="shared" si="13"/>
        <v>2</v>
      </c>
      <c r="W31" s="57" t="s">
        <v>46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0</v>
      </c>
      <c r="AE31" s="60">
        <v>0</v>
      </c>
      <c r="AF31" s="61">
        <f t="shared" si="14"/>
        <v>0</v>
      </c>
      <c r="AH31" s="57" t="s">
        <v>46</v>
      </c>
      <c r="AI31" s="60">
        <v>0</v>
      </c>
      <c r="AJ31" s="60">
        <v>0</v>
      </c>
      <c r="AK31" s="60">
        <v>0</v>
      </c>
      <c r="AL31" s="60">
        <v>0</v>
      </c>
      <c r="AM31" s="60">
        <v>0</v>
      </c>
      <c r="AN31" s="60">
        <v>0</v>
      </c>
      <c r="AO31" s="60">
        <v>0</v>
      </c>
      <c r="AP31" s="60">
        <v>0</v>
      </c>
      <c r="AQ31" s="61">
        <f t="shared" si="15"/>
        <v>0</v>
      </c>
    </row>
    <row r="32" spans="1:43" x14ac:dyDescent="0.25">
      <c r="A32" s="57" t="s">
        <v>47</v>
      </c>
      <c r="B32" s="58">
        <v>0</v>
      </c>
      <c r="C32" s="58">
        <v>0</v>
      </c>
      <c r="D32" s="58">
        <v>0</v>
      </c>
      <c r="E32" s="58">
        <v>0</v>
      </c>
      <c r="F32" s="58">
        <v>0</v>
      </c>
      <c r="G32" s="58">
        <v>0</v>
      </c>
      <c r="H32" s="58">
        <v>0</v>
      </c>
      <c r="I32" s="58">
        <v>0</v>
      </c>
      <c r="J32" s="59">
        <f t="shared" si="12"/>
        <v>0</v>
      </c>
      <c r="L32" s="57" t="s">
        <v>47</v>
      </c>
      <c r="M32" s="58">
        <v>0</v>
      </c>
      <c r="N32" s="58">
        <v>0</v>
      </c>
      <c r="O32" s="58">
        <v>0</v>
      </c>
      <c r="P32" s="58">
        <v>0</v>
      </c>
      <c r="Q32" s="58">
        <v>5</v>
      </c>
      <c r="R32" s="58">
        <v>0</v>
      </c>
      <c r="S32" s="58">
        <v>0</v>
      </c>
      <c r="T32" s="58">
        <v>0</v>
      </c>
      <c r="U32" s="59">
        <f t="shared" si="13"/>
        <v>5</v>
      </c>
      <c r="W32" s="57" t="s">
        <v>47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0</v>
      </c>
      <c r="AE32" s="60">
        <v>0</v>
      </c>
      <c r="AF32" s="61">
        <f t="shared" si="14"/>
        <v>0</v>
      </c>
      <c r="AH32" s="57" t="s">
        <v>47</v>
      </c>
      <c r="AI32" s="60">
        <v>0</v>
      </c>
      <c r="AJ32" s="60">
        <v>0</v>
      </c>
      <c r="AK32" s="60">
        <v>0</v>
      </c>
      <c r="AL32" s="60">
        <v>0</v>
      </c>
      <c r="AM32" s="60">
        <v>0</v>
      </c>
      <c r="AN32" s="60">
        <v>0</v>
      </c>
      <c r="AO32" s="60">
        <v>0</v>
      </c>
      <c r="AP32" s="60">
        <v>0</v>
      </c>
      <c r="AQ32" s="61">
        <f t="shared" si="15"/>
        <v>0</v>
      </c>
    </row>
    <row r="33" spans="1:43" x14ac:dyDescent="0.25">
      <c r="A33" s="57" t="s">
        <v>48</v>
      </c>
      <c r="B33" s="58">
        <v>0</v>
      </c>
      <c r="C33" s="58">
        <v>0</v>
      </c>
      <c r="D33" s="58">
        <v>0</v>
      </c>
      <c r="E33" s="58">
        <v>0</v>
      </c>
      <c r="F33" s="58">
        <v>0</v>
      </c>
      <c r="G33" s="58">
        <v>0</v>
      </c>
      <c r="H33" s="58">
        <v>0</v>
      </c>
      <c r="I33" s="58">
        <v>0</v>
      </c>
      <c r="J33" s="59">
        <f t="shared" si="12"/>
        <v>0</v>
      </c>
      <c r="L33" s="57" t="s">
        <v>48</v>
      </c>
      <c r="M33" s="58">
        <v>0</v>
      </c>
      <c r="N33" s="58">
        <v>0</v>
      </c>
      <c r="O33" s="58">
        <v>0</v>
      </c>
      <c r="P33" s="58">
        <v>0</v>
      </c>
      <c r="Q33" s="58">
        <v>2</v>
      </c>
      <c r="R33" s="58">
        <v>0</v>
      </c>
      <c r="S33" s="58">
        <v>0</v>
      </c>
      <c r="T33" s="58">
        <v>0</v>
      </c>
      <c r="U33" s="59">
        <f t="shared" si="13"/>
        <v>2</v>
      </c>
      <c r="W33" s="57" t="s">
        <v>48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0</v>
      </c>
      <c r="AE33" s="60">
        <v>0</v>
      </c>
      <c r="AF33" s="61">
        <f t="shared" si="14"/>
        <v>0</v>
      </c>
      <c r="AH33" s="57" t="s">
        <v>48</v>
      </c>
      <c r="AI33" s="60">
        <v>0</v>
      </c>
      <c r="AJ33" s="60">
        <v>0</v>
      </c>
      <c r="AK33" s="60">
        <v>0</v>
      </c>
      <c r="AL33" s="60">
        <v>0</v>
      </c>
      <c r="AM33" s="60">
        <v>0</v>
      </c>
      <c r="AN33" s="60">
        <v>0</v>
      </c>
      <c r="AO33" s="60">
        <v>0</v>
      </c>
      <c r="AP33" s="60">
        <v>0</v>
      </c>
      <c r="AQ33" s="61">
        <f t="shared" si="15"/>
        <v>0</v>
      </c>
    </row>
    <row r="34" spans="1:43" x14ac:dyDescent="0.25">
      <c r="A34" s="57" t="s">
        <v>49</v>
      </c>
      <c r="B34" s="58">
        <v>0</v>
      </c>
      <c r="C34" s="58">
        <v>0</v>
      </c>
      <c r="D34" s="58">
        <v>0</v>
      </c>
      <c r="E34" s="58">
        <v>0</v>
      </c>
      <c r="F34" s="58">
        <v>0</v>
      </c>
      <c r="G34" s="58">
        <v>0</v>
      </c>
      <c r="H34" s="58">
        <v>0</v>
      </c>
      <c r="I34" s="58">
        <v>0</v>
      </c>
      <c r="J34" s="59">
        <f t="shared" si="12"/>
        <v>0</v>
      </c>
      <c r="L34" s="57" t="s">
        <v>49</v>
      </c>
      <c r="M34" s="58">
        <v>0</v>
      </c>
      <c r="N34" s="58">
        <v>0</v>
      </c>
      <c r="O34" s="58">
        <v>0</v>
      </c>
      <c r="P34" s="58">
        <v>0</v>
      </c>
      <c r="Q34" s="58">
        <v>2</v>
      </c>
      <c r="R34" s="58">
        <v>0</v>
      </c>
      <c r="S34" s="58">
        <v>0</v>
      </c>
      <c r="T34" s="58">
        <v>0</v>
      </c>
      <c r="U34" s="59">
        <f t="shared" si="13"/>
        <v>2</v>
      </c>
      <c r="W34" s="57" t="s">
        <v>49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0</v>
      </c>
      <c r="AE34" s="60">
        <v>0</v>
      </c>
      <c r="AF34" s="61">
        <f t="shared" si="14"/>
        <v>0</v>
      </c>
      <c r="AH34" s="57" t="s">
        <v>49</v>
      </c>
      <c r="AI34" s="60">
        <v>0</v>
      </c>
      <c r="AJ34" s="60">
        <v>0</v>
      </c>
      <c r="AK34" s="60">
        <v>0</v>
      </c>
      <c r="AL34" s="60">
        <v>0</v>
      </c>
      <c r="AM34" s="60">
        <v>0</v>
      </c>
      <c r="AN34" s="60">
        <v>0</v>
      </c>
      <c r="AO34" s="60">
        <v>0</v>
      </c>
      <c r="AP34" s="60">
        <v>0</v>
      </c>
      <c r="AQ34" s="61">
        <f t="shared" si="15"/>
        <v>0</v>
      </c>
    </row>
    <row r="35" spans="1:43" x14ac:dyDescent="0.25">
      <c r="A35" s="57" t="s">
        <v>50</v>
      </c>
      <c r="B35" s="58">
        <v>0</v>
      </c>
      <c r="C35" s="58">
        <v>0</v>
      </c>
      <c r="D35" s="58">
        <v>0</v>
      </c>
      <c r="E35" s="58">
        <v>0</v>
      </c>
      <c r="F35" s="58">
        <v>0</v>
      </c>
      <c r="G35" s="58">
        <v>0</v>
      </c>
      <c r="H35" s="58">
        <v>0</v>
      </c>
      <c r="I35" s="58">
        <v>0</v>
      </c>
      <c r="J35" s="59">
        <f t="shared" si="12"/>
        <v>0</v>
      </c>
      <c r="L35" s="57" t="s">
        <v>50</v>
      </c>
      <c r="M35" s="58">
        <v>0</v>
      </c>
      <c r="N35" s="58">
        <v>0</v>
      </c>
      <c r="O35" s="58">
        <v>0</v>
      </c>
      <c r="P35" s="58">
        <v>0</v>
      </c>
      <c r="Q35" s="58">
        <v>2</v>
      </c>
      <c r="R35" s="58">
        <v>0</v>
      </c>
      <c r="S35" s="58">
        <v>0</v>
      </c>
      <c r="T35" s="58">
        <v>0</v>
      </c>
      <c r="U35" s="59">
        <f t="shared" si="13"/>
        <v>2</v>
      </c>
      <c r="W35" s="57" t="s">
        <v>50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60">
        <v>0</v>
      </c>
      <c r="AF35" s="61">
        <f t="shared" si="14"/>
        <v>0</v>
      </c>
      <c r="AH35" s="57" t="s">
        <v>50</v>
      </c>
      <c r="AI35" s="60">
        <v>0</v>
      </c>
      <c r="AJ35" s="60">
        <v>0</v>
      </c>
      <c r="AK35" s="60">
        <v>0</v>
      </c>
      <c r="AL35" s="60">
        <v>0</v>
      </c>
      <c r="AM35" s="60">
        <v>0</v>
      </c>
      <c r="AN35" s="60">
        <v>0</v>
      </c>
      <c r="AO35" s="60">
        <v>0</v>
      </c>
      <c r="AP35" s="60">
        <v>0</v>
      </c>
      <c r="AQ35" s="61">
        <f t="shared" si="15"/>
        <v>0</v>
      </c>
    </row>
    <row r="36" spans="1:43" s="47" customFormat="1" x14ac:dyDescent="0.25">
      <c r="A36" s="62" t="s">
        <v>9</v>
      </c>
      <c r="B36" s="63">
        <f>SUM(B24:B35)</f>
        <v>0</v>
      </c>
      <c r="C36" s="63">
        <f t="shared" ref="C36:J36" si="16">SUM(C24:C35)</f>
        <v>0</v>
      </c>
      <c r="D36" s="63">
        <f t="shared" si="16"/>
        <v>0</v>
      </c>
      <c r="E36" s="63">
        <f t="shared" si="16"/>
        <v>0</v>
      </c>
      <c r="F36" s="63">
        <f t="shared" si="16"/>
        <v>14</v>
      </c>
      <c r="G36" s="63">
        <f t="shared" si="16"/>
        <v>0</v>
      </c>
      <c r="H36" s="63">
        <f t="shared" si="16"/>
        <v>0</v>
      </c>
      <c r="I36" s="63">
        <f t="shared" si="16"/>
        <v>0</v>
      </c>
      <c r="J36" s="63">
        <f t="shared" si="16"/>
        <v>14</v>
      </c>
      <c r="L36" s="62" t="s">
        <v>9</v>
      </c>
      <c r="M36" s="63">
        <f>SUM(M24:M35)</f>
        <v>0</v>
      </c>
      <c r="N36" s="63">
        <f t="shared" ref="N36:U36" si="17">SUM(N24:N35)</f>
        <v>0</v>
      </c>
      <c r="O36" s="63">
        <f t="shared" si="17"/>
        <v>0</v>
      </c>
      <c r="P36" s="63">
        <f t="shared" si="17"/>
        <v>0</v>
      </c>
      <c r="Q36" s="63">
        <f t="shared" si="17"/>
        <v>13</v>
      </c>
      <c r="R36" s="63">
        <f t="shared" si="17"/>
        <v>0</v>
      </c>
      <c r="S36" s="63">
        <f t="shared" si="17"/>
        <v>0</v>
      </c>
      <c r="T36" s="63">
        <f t="shared" si="17"/>
        <v>1</v>
      </c>
      <c r="U36" s="63">
        <f t="shared" si="17"/>
        <v>14</v>
      </c>
      <c r="W36" s="62" t="s">
        <v>9</v>
      </c>
      <c r="X36" s="63">
        <f>SUM(X24:X35)</f>
        <v>0</v>
      </c>
      <c r="Y36" s="63">
        <f t="shared" ref="Y36:AF36" si="18">SUM(Y24:Y35)</f>
        <v>0</v>
      </c>
      <c r="Z36" s="63">
        <f t="shared" si="18"/>
        <v>0</v>
      </c>
      <c r="AA36" s="63">
        <f t="shared" si="18"/>
        <v>0</v>
      </c>
      <c r="AB36" s="63">
        <f t="shared" si="18"/>
        <v>0</v>
      </c>
      <c r="AC36" s="63">
        <f t="shared" si="18"/>
        <v>0</v>
      </c>
      <c r="AD36" s="63">
        <f t="shared" si="18"/>
        <v>0</v>
      </c>
      <c r="AE36" s="63">
        <f t="shared" si="18"/>
        <v>0</v>
      </c>
      <c r="AF36" s="63">
        <f t="shared" si="18"/>
        <v>0</v>
      </c>
      <c r="AH36" s="62" t="s">
        <v>9</v>
      </c>
      <c r="AI36" s="63">
        <f>SUM(AI24:AI35)</f>
        <v>0</v>
      </c>
      <c r="AJ36" s="63">
        <f t="shared" ref="AJ36:AQ36" si="19">SUM(AJ24:AJ35)</f>
        <v>0</v>
      </c>
      <c r="AK36" s="63">
        <f t="shared" si="19"/>
        <v>0</v>
      </c>
      <c r="AL36" s="63">
        <f t="shared" si="19"/>
        <v>0</v>
      </c>
      <c r="AM36" s="63">
        <f t="shared" si="19"/>
        <v>0</v>
      </c>
      <c r="AN36" s="63">
        <f t="shared" si="19"/>
        <v>0</v>
      </c>
      <c r="AO36" s="63">
        <f t="shared" si="19"/>
        <v>0</v>
      </c>
      <c r="AP36" s="63">
        <f t="shared" si="19"/>
        <v>0</v>
      </c>
      <c r="AQ36" s="63">
        <f t="shared" si="19"/>
        <v>0</v>
      </c>
    </row>
    <row r="37" spans="1:43" s="47" customFormat="1" ht="15" customHeight="1" x14ac:dyDescent="0.25">
      <c r="A37" s="64" t="s">
        <v>52</v>
      </c>
      <c r="B37" s="65">
        <f>IFERROR(B36/$J36,"-")</f>
        <v>0</v>
      </c>
      <c r="C37" s="65">
        <f t="shared" ref="C37:J37" si="20">IFERROR(C36/$J36,"-")</f>
        <v>0</v>
      </c>
      <c r="D37" s="65">
        <f t="shared" si="20"/>
        <v>0</v>
      </c>
      <c r="E37" s="65">
        <f t="shared" si="20"/>
        <v>0</v>
      </c>
      <c r="F37" s="65">
        <f t="shared" si="20"/>
        <v>1</v>
      </c>
      <c r="G37" s="65">
        <f t="shared" si="20"/>
        <v>0</v>
      </c>
      <c r="H37" s="65">
        <f t="shared" si="20"/>
        <v>0</v>
      </c>
      <c r="I37" s="65">
        <f t="shared" si="20"/>
        <v>0</v>
      </c>
      <c r="J37" s="65">
        <f t="shared" si="20"/>
        <v>1</v>
      </c>
      <c r="L37" s="64" t="s">
        <v>52</v>
      </c>
      <c r="M37" s="65">
        <f>IFERROR(M36/$U36,"-")</f>
        <v>0</v>
      </c>
      <c r="N37" s="65">
        <f t="shared" ref="N37:U37" si="21">IFERROR(N36/$U36,"-")</f>
        <v>0</v>
      </c>
      <c r="O37" s="65">
        <f t="shared" si="21"/>
        <v>0</v>
      </c>
      <c r="P37" s="65">
        <f t="shared" si="21"/>
        <v>0</v>
      </c>
      <c r="Q37" s="65">
        <f t="shared" si="21"/>
        <v>0.9285714285714286</v>
      </c>
      <c r="R37" s="65">
        <f t="shared" si="21"/>
        <v>0</v>
      </c>
      <c r="S37" s="65">
        <f t="shared" si="21"/>
        <v>0</v>
      </c>
      <c r="T37" s="65">
        <f t="shared" si="21"/>
        <v>7.1428571428571425E-2</v>
      </c>
      <c r="U37" s="65">
        <f t="shared" si="21"/>
        <v>1</v>
      </c>
      <c r="W37" s="64" t="s">
        <v>52</v>
      </c>
      <c r="X37" s="65" t="str">
        <f>IFERROR(X36/$AF36,"-")</f>
        <v>-</v>
      </c>
      <c r="Y37" s="65" t="str">
        <f t="shared" ref="Y37:AF37" si="22">IFERROR(Y36/$AF36,"-")</f>
        <v>-</v>
      </c>
      <c r="Z37" s="65" t="str">
        <f t="shared" si="22"/>
        <v>-</v>
      </c>
      <c r="AA37" s="65" t="str">
        <f t="shared" si="22"/>
        <v>-</v>
      </c>
      <c r="AB37" s="65" t="str">
        <f t="shared" si="22"/>
        <v>-</v>
      </c>
      <c r="AC37" s="65" t="str">
        <f t="shared" si="22"/>
        <v>-</v>
      </c>
      <c r="AD37" s="65" t="str">
        <f t="shared" si="22"/>
        <v>-</v>
      </c>
      <c r="AE37" s="65" t="str">
        <f t="shared" si="22"/>
        <v>-</v>
      </c>
      <c r="AF37" s="65" t="str">
        <f t="shared" si="22"/>
        <v>-</v>
      </c>
      <c r="AH37" s="64" t="s">
        <v>52</v>
      </c>
      <c r="AI37" s="65" t="str">
        <f>IFERROR(AI36/$AQ36,"-")</f>
        <v>-</v>
      </c>
      <c r="AJ37" s="65" t="str">
        <f t="shared" ref="AJ37:AQ37" si="23">IFERROR(AJ36/$AQ36,"-")</f>
        <v>-</v>
      </c>
      <c r="AK37" s="65" t="str">
        <f t="shared" si="23"/>
        <v>-</v>
      </c>
      <c r="AL37" s="65" t="str">
        <f t="shared" si="23"/>
        <v>-</v>
      </c>
      <c r="AM37" s="65" t="str">
        <f t="shared" si="23"/>
        <v>-</v>
      </c>
      <c r="AN37" s="65" t="str">
        <f t="shared" si="23"/>
        <v>-</v>
      </c>
      <c r="AO37" s="65" t="str">
        <f t="shared" si="23"/>
        <v>-</v>
      </c>
      <c r="AP37" s="65" t="str">
        <f t="shared" si="23"/>
        <v>-</v>
      </c>
      <c r="AQ37" s="65" t="str">
        <f t="shared" si="23"/>
        <v>-</v>
      </c>
    </row>
    <row r="39" spans="1:43" x14ac:dyDescent="0.25">
      <c r="A39" s="96" t="s">
        <v>53</v>
      </c>
      <c r="B39" s="96"/>
      <c r="C39" s="96"/>
      <c r="D39" s="96"/>
      <c r="E39" s="96"/>
      <c r="F39" s="96"/>
      <c r="G39" s="96"/>
      <c r="H39" s="96"/>
      <c r="I39" s="96"/>
      <c r="J39" s="96"/>
      <c r="L39" s="96" t="s">
        <v>53</v>
      </c>
      <c r="M39" s="96"/>
      <c r="N39" s="96"/>
      <c r="O39" s="96"/>
      <c r="P39" s="96"/>
      <c r="Q39" s="96"/>
      <c r="R39" s="96"/>
      <c r="S39" s="96"/>
      <c r="T39" s="96"/>
      <c r="U39" s="96"/>
      <c r="V39" s="116"/>
      <c r="W39" s="96" t="s">
        <v>53</v>
      </c>
      <c r="X39" s="96"/>
      <c r="Y39" s="96"/>
      <c r="Z39" s="96"/>
      <c r="AA39" s="96"/>
      <c r="AB39" s="96"/>
      <c r="AC39" s="96"/>
      <c r="AD39" s="96"/>
      <c r="AE39" s="96"/>
      <c r="AF39" s="96"/>
      <c r="AH39" s="96" t="s">
        <v>53</v>
      </c>
      <c r="AI39" s="96"/>
      <c r="AJ39" s="96"/>
      <c r="AK39" s="96"/>
      <c r="AL39" s="96"/>
      <c r="AM39" s="96"/>
      <c r="AN39" s="96"/>
      <c r="AO39" s="96"/>
      <c r="AP39" s="96"/>
      <c r="AQ39" s="96"/>
    </row>
    <row r="40" spans="1:43" x14ac:dyDescent="0.25">
      <c r="A40" s="54" t="s">
        <v>38</v>
      </c>
      <c r="B40" s="97" t="s">
        <v>3</v>
      </c>
      <c r="C40" s="97"/>
      <c r="D40" s="98" t="s">
        <v>4</v>
      </c>
      <c r="E40" s="99" t="s">
        <v>5</v>
      </c>
      <c r="F40" s="100"/>
      <c r="G40" s="98" t="s">
        <v>7</v>
      </c>
      <c r="H40" s="97" t="s">
        <v>8</v>
      </c>
      <c r="I40" s="97"/>
      <c r="J40" s="54" t="s">
        <v>9</v>
      </c>
      <c r="L40" s="54" t="s">
        <v>38</v>
      </c>
      <c r="M40" s="97" t="s">
        <v>3</v>
      </c>
      <c r="N40" s="97"/>
      <c r="O40" s="98" t="s">
        <v>4</v>
      </c>
      <c r="P40" s="99" t="s">
        <v>5</v>
      </c>
      <c r="Q40" s="100"/>
      <c r="R40" s="98" t="s">
        <v>7</v>
      </c>
      <c r="S40" s="97" t="s">
        <v>8</v>
      </c>
      <c r="T40" s="97"/>
      <c r="U40" s="54" t="s">
        <v>9</v>
      </c>
      <c r="V40" s="46"/>
      <c r="W40" s="55" t="s">
        <v>38</v>
      </c>
      <c r="X40" s="101" t="s">
        <v>3</v>
      </c>
      <c r="Y40" s="102"/>
      <c r="Z40" s="103" t="s">
        <v>4</v>
      </c>
      <c r="AA40" s="99" t="s">
        <v>5</v>
      </c>
      <c r="AB40" s="100"/>
      <c r="AC40" s="103" t="s">
        <v>7</v>
      </c>
      <c r="AD40" s="101" t="s">
        <v>8</v>
      </c>
      <c r="AE40" s="102"/>
      <c r="AF40" s="114" t="s">
        <v>9</v>
      </c>
      <c r="AH40" s="54" t="s">
        <v>38</v>
      </c>
      <c r="AI40" s="104" t="s">
        <v>3</v>
      </c>
      <c r="AJ40" s="104"/>
      <c r="AK40" s="103" t="s">
        <v>4</v>
      </c>
      <c r="AL40" s="99" t="s">
        <v>5</v>
      </c>
      <c r="AM40" s="100"/>
      <c r="AN40" s="103" t="s">
        <v>7</v>
      </c>
      <c r="AO40" s="104" t="s">
        <v>8</v>
      </c>
      <c r="AP40" s="104"/>
      <c r="AQ40" s="105" t="s">
        <v>9</v>
      </c>
    </row>
    <row r="41" spans="1:43" ht="45" x14ac:dyDescent="0.25">
      <c r="A41" s="54"/>
      <c r="B41" s="79" t="s">
        <v>10</v>
      </c>
      <c r="C41" s="79" t="s">
        <v>11</v>
      </c>
      <c r="D41" s="79" t="s">
        <v>12</v>
      </c>
      <c r="E41" s="79" t="s">
        <v>13</v>
      </c>
      <c r="F41" s="79" t="s">
        <v>14</v>
      </c>
      <c r="G41" s="79" t="s">
        <v>16</v>
      </c>
      <c r="H41" s="79" t="s">
        <v>17</v>
      </c>
      <c r="I41" s="79" t="s">
        <v>18</v>
      </c>
      <c r="J41" s="54"/>
      <c r="L41" s="54"/>
      <c r="M41" s="79" t="s">
        <v>10</v>
      </c>
      <c r="N41" s="79" t="s">
        <v>11</v>
      </c>
      <c r="O41" s="79" t="s">
        <v>12</v>
      </c>
      <c r="P41" s="79" t="s">
        <v>13</v>
      </c>
      <c r="Q41" s="79" t="s">
        <v>14</v>
      </c>
      <c r="R41" s="79" t="s">
        <v>16</v>
      </c>
      <c r="S41" s="79" t="s">
        <v>17</v>
      </c>
      <c r="T41" s="79" t="s">
        <v>18</v>
      </c>
      <c r="U41" s="54"/>
      <c r="V41" s="46"/>
      <c r="W41" s="56"/>
      <c r="X41" s="109" t="s">
        <v>10</v>
      </c>
      <c r="Y41" s="109" t="s">
        <v>11</v>
      </c>
      <c r="Z41" s="109" t="s">
        <v>12</v>
      </c>
      <c r="AA41" s="109" t="s">
        <v>13</v>
      </c>
      <c r="AB41" s="109" t="s">
        <v>14</v>
      </c>
      <c r="AC41" s="109" t="s">
        <v>16</v>
      </c>
      <c r="AD41" s="109" t="s">
        <v>17</v>
      </c>
      <c r="AE41" s="109" t="s">
        <v>18</v>
      </c>
      <c r="AF41" s="115"/>
      <c r="AH41" s="54"/>
      <c r="AI41" s="109" t="s">
        <v>10</v>
      </c>
      <c r="AJ41" s="109" t="s">
        <v>11</v>
      </c>
      <c r="AK41" s="109" t="s">
        <v>12</v>
      </c>
      <c r="AL41" s="109" t="s">
        <v>13</v>
      </c>
      <c r="AM41" s="109" t="s">
        <v>14</v>
      </c>
      <c r="AN41" s="109" t="s">
        <v>16</v>
      </c>
      <c r="AO41" s="109" t="s">
        <v>17</v>
      </c>
      <c r="AP41" s="109" t="s">
        <v>18</v>
      </c>
      <c r="AQ41" s="105"/>
    </row>
    <row r="42" spans="1:43" x14ac:dyDescent="0.25">
      <c r="A42" s="57" t="s">
        <v>39</v>
      </c>
      <c r="B42" s="58">
        <v>0</v>
      </c>
      <c r="C42" s="58">
        <v>0</v>
      </c>
      <c r="D42" s="58">
        <v>0</v>
      </c>
      <c r="E42" s="58">
        <v>0</v>
      </c>
      <c r="F42" s="58">
        <v>6</v>
      </c>
      <c r="G42" s="58">
        <v>0</v>
      </c>
      <c r="H42" s="58">
        <v>0</v>
      </c>
      <c r="I42" s="58">
        <v>0</v>
      </c>
      <c r="J42" s="59">
        <f t="shared" ref="J42:J53" si="24">SUM(B42:I42)</f>
        <v>6</v>
      </c>
      <c r="L42" s="57" t="s">
        <v>39</v>
      </c>
      <c r="M42" s="58">
        <v>0</v>
      </c>
      <c r="N42" s="58">
        <v>0</v>
      </c>
      <c r="O42" s="58">
        <v>0</v>
      </c>
      <c r="P42" s="58">
        <v>0</v>
      </c>
      <c r="Q42" s="58">
        <v>0</v>
      </c>
      <c r="R42" s="58">
        <v>0</v>
      </c>
      <c r="S42" s="58">
        <v>0</v>
      </c>
      <c r="T42" s="58">
        <v>0</v>
      </c>
      <c r="U42" s="59">
        <f t="shared" ref="U42:U53" si="25">SUM(M42:T42)</f>
        <v>0</v>
      </c>
      <c r="V42" s="46"/>
      <c r="W42" s="57" t="s">
        <v>39</v>
      </c>
      <c r="X42" s="60">
        <v>0</v>
      </c>
      <c r="Y42" s="60">
        <v>0</v>
      </c>
      <c r="Z42" s="60">
        <v>0</v>
      </c>
      <c r="AA42" s="60">
        <v>0</v>
      </c>
      <c r="AB42" s="60">
        <v>0</v>
      </c>
      <c r="AC42" s="60">
        <v>0</v>
      </c>
      <c r="AD42" s="60">
        <v>0</v>
      </c>
      <c r="AE42" s="60">
        <v>0</v>
      </c>
      <c r="AF42" s="61">
        <f t="shared" ref="AF42:AF53" si="26">SUM(X42:AE42)</f>
        <v>0</v>
      </c>
      <c r="AH42" s="57" t="s">
        <v>39</v>
      </c>
      <c r="AI42" s="60">
        <v>0</v>
      </c>
      <c r="AJ42" s="60">
        <v>0</v>
      </c>
      <c r="AK42" s="60">
        <v>0</v>
      </c>
      <c r="AL42" s="60">
        <v>0</v>
      </c>
      <c r="AM42" s="60">
        <v>0</v>
      </c>
      <c r="AN42" s="60">
        <v>0</v>
      </c>
      <c r="AO42" s="60">
        <v>0</v>
      </c>
      <c r="AP42" s="60">
        <v>0</v>
      </c>
      <c r="AQ42" s="61">
        <f t="shared" ref="AQ42:AQ53" si="27">SUM(AI42:AP42)</f>
        <v>0</v>
      </c>
    </row>
    <row r="43" spans="1:43" x14ac:dyDescent="0.25">
      <c r="A43" s="57" t="s">
        <v>40</v>
      </c>
      <c r="B43" s="58">
        <v>0</v>
      </c>
      <c r="C43" s="58">
        <v>0</v>
      </c>
      <c r="D43" s="58">
        <v>0</v>
      </c>
      <c r="E43" s="58">
        <v>0</v>
      </c>
      <c r="F43" s="58">
        <v>4</v>
      </c>
      <c r="G43" s="58">
        <v>0</v>
      </c>
      <c r="H43" s="58">
        <v>1</v>
      </c>
      <c r="I43" s="58">
        <v>0</v>
      </c>
      <c r="J43" s="59">
        <f t="shared" si="24"/>
        <v>5</v>
      </c>
      <c r="L43" s="57" t="s">
        <v>40</v>
      </c>
      <c r="M43" s="58">
        <v>0</v>
      </c>
      <c r="N43" s="58">
        <v>0</v>
      </c>
      <c r="O43" s="58">
        <v>0</v>
      </c>
      <c r="P43" s="58">
        <v>0</v>
      </c>
      <c r="Q43" s="58">
        <v>0</v>
      </c>
      <c r="R43" s="58">
        <v>0</v>
      </c>
      <c r="S43" s="58">
        <v>0</v>
      </c>
      <c r="T43" s="58">
        <v>0</v>
      </c>
      <c r="U43" s="59">
        <f t="shared" si="25"/>
        <v>0</v>
      </c>
      <c r="V43" s="46"/>
      <c r="W43" s="57" t="s">
        <v>40</v>
      </c>
      <c r="X43" s="60">
        <v>0</v>
      </c>
      <c r="Y43" s="60">
        <v>0</v>
      </c>
      <c r="Z43" s="60">
        <v>0</v>
      </c>
      <c r="AA43" s="60">
        <v>0</v>
      </c>
      <c r="AB43" s="60">
        <v>0</v>
      </c>
      <c r="AC43" s="60">
        <v>0</v>
      </c>
      <c r="AD43" s="60">
        <v>0</v>
      </c>
      <c r="AE43" s="60">
        <v>0</v>
      </c>
      <c r="AF43" s="61">
        <f t="shared" si="26"/>
        <v>0</v>
      </c>
      <c r="AH43" s="57" t="s">
        <v>40</v>
      </c>
      <c r="AI43" s="60">
        <v>0</v>
      </c>
      <c r="AJ43" s="60">
        <v>0</v>
      </c>
      <c r="AK43" s="60">
        <v>0</v>
      </c>
      <c r="AL43" s="60">
        <v>0</v>
      </c>
      <c r="AM43" s="60">
        <v>0</v>
      </c>
      <c r="AN43" s="60">
        <v>0</v>
      </c>
      <c r="AO43" s="60">
        <v>0</v>
      </c>
      <c r="AP43" s="60">
        <v>0</v>
      </c>
      <c r="AQ43" s="61">
        <f t="shared" si="27"/>
        <v>0</v>
      </c>
    </row>
    <row r="44" spans="1:43" x14ac:dyDescent="0.25">
      <c r="A44" s="57" t="s">
        <v>41</v>
      </c>
      <c r="B44" s="58">
        <v>0</v>
      </c>
      <c r="C44" s="58">
        <v>0</v>
      </c>
      <c r="D44" s="58">
        <v>0</v>
      </c>
      <c r="E44" s="58">
        <v>0</v>
      </c>
      <c r="F44" s="58">
        <v>1</v>
      </c>
      <c r="G44" s="58">
        <v>0</v>
      </c>
      <c r="H44" s="58">
        <v>0</v>
      </c>
      <c r="I44" s="58">
        <v>0</v>
      </c>
      <c r="J44" s="59">
        <f t="shared" si="24"/>
        <v>1</v>
      </c>
      <c r="L44" s="57" t="s">
        <v>41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9">
        <f t="shared" si="25"/>
        <v>0</v>
      </c>
      <c r="V44" s="46"/>
      <c r="W44" s="57" t="s">
        <v>41</v>
      </c>
      <c r="X44" s="60">
        <v>0</v>
      </c>
      <c r="Y44" s="60">
        <v>0</v>
      </c>
      <c r="Z44" s="60">
        <v>0</v>
      </c>
      <c r="AA44" s="60">
        <v>0</v>
      </c>
      <c r="AB44" s="60">
        <v>0</v>
      </c>
      <c r="AC44" s="60">
        <v>0</v>
      </c>
      <c r="AD44" s="60">
        <v>0</v>
      </c>
      <c r="AE44" s="60">
        <v>0</v>
      </c>
      <c r="AF44" s="61">
        <f t="shared" si="26"/>
        <v>0</v>
      </c>
      <c r="AH44" s="57" t="s">
        <v>41</v>
      </c>
      <c r="AI44" s="60">
        <v>0</v>
      </c>
      <c r="AJ44" s="60">
        <v>0</v>
      </c>
      <c r="AK44" s="60">
        <v>0</v>
      </c>
      <c r="AL44" s="60">
        <v>0</v>
      </c>
      <c r="AM44" s="60">
        <v>0</v>
      </c>
      <c r="AN44" s="60">
        <v>0</v>
      </c>
      <c r="AO44" s="60">
        <v>0</v>
      </c>
      <c r="AP44" s="60">
        <v>0</v>
      </c>
      <c r="AQ44" s="61">
        <f t="shared" si="27"/>
        <v>0</v>
      </c>
    </row>
    <row r="45" spans="1:43" x14ac:dyDescent="0.25">
      <c r="A45" s="57" t="s">
        <v>42</v>
      </c>
      <c r="B45" s="58">
        <v>0</v>
      </c>
      <c r="C45" s="58">
        <v>0</v>
      </c>
      <c r="D45" s="58">
        <v>0</v>
      </c>
      <c r="E45" s="58">
        <v>0</v>
      </c>
      <c r="F45" s="58">
        <v>1</v>
      </c>
      <c r="G45" s="58">
        <v>0</v>
      </c>
      <c r="H45" s="58">
        <v>0</v>
      </c>
      <c r="I45" s="58">
        <v>0</v>
      </c>
      <c r="J45" s="59">
        <f t="shared" si="24"/>
        <v>1</v>
      </c>
      <c r="L45" s="57" t="s">
        <v>42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9">
        <f t="shared" si="25"/>
        <v>0</v>
      </c>
      <c r="V45" s="46"/>
      <c r="W45" s="57" t="s">
        <v>42</v>
      </c>
      <c r="X45" s="60">
        <v>0</v>
      </c>
      <c r="Y45" s="60">
        <v>0</v>
      </c>
      <c r="Z45" s="60">
        <v>0</v>
      </c>
      <c r="AA45" s="60">
        <v>0</v>
      </c>
      <c r="AB45" s="60">
        <v>0</v>
      </c>
      <c r="AC45" s="60">
        <v>0</v>
      </c>
      <c r="AD45" s="60">
        <v>0</v>
      </c>
      <c r="AE45" s="60">
        <v>0</v>
      </c>
      <c r="AF45" s="61">
        <f t="shared" si="26"/>
        <v>0</v>
      </c>
      <c r="AH45" s="57" t="s">
        <v>42</v>
      </c>
      <c r="AI45" s="60">
        <v>0</v>
      </c>
      <c r="AJ45" s="60">
        <v>0</v>
      </c>
      <c r="AK45" s="60">
        <v>0</v>
      </c>
      <c r="AL45" s="60">
        <v>0</v>
      </c>
      <c r="AM45" s="60">
        <v>0</v>
      </c>
      <c r="AN45" s="60">
        <v>0</v>
      </c>
      <c r="AO45" s="60">
        <v>0</v>
      </c>
      <c r="AP45" s="60">
        <v>0</v>
      </c>
      <c r="AQ45" s="61">
        <f t="shared" si="27"/>
        <v>0</v>
      </c>
    </row>
    <row r="46" spans="1:43" x14ac:dyDescent="0.25">
      <c r="A46" s="57" t="s">
        <v>43</v>
      </c>
      <c r="B46" s="58">
        <v>0</v>
      </c>
      <c r="C46" s="58">
        <v>0</v>
      </c>
      <c r="D46" s="58">
        <v>0</v>
      </c>
      <c r="E46" s="58">
        <v>0</v>
      </c>
      <c r="F46" s="58">
        <v>0</v>
      </c>
      <c r="G46" s="58">
        <v>0</v>
      </c>
      <c r="H46" s="58">
        <v>0</v>
      </c>
      <c r="I46" s="58">
        <v>0</v>
      </c>
      <c r="J46" s="59">
        <f t="shared" si="24"/>
        <v>0</v>
      </c>
      <c r="L46" s="57" t="s">
        <v>43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9">
        <f t="shared" si="25"/>
        <v>0</v>
      </c>
      <c r="V46" s="46"/>
      <c r="W46" s="57" t="s">
        <v>43</v>
      </c>
      <c r="X46" s="60">
        <v>0</v>
      </c>
      <c r="Y46" s="60">
        <v>0</v>
      </c>
      <c r="Z46" s="60">
        <v>0</v>
      </c>
      <c r="AA46" s="60">
        <v>0</v>
      </c>
      <c r="AB46" s="60">
        <v>0</v>
      </c>
      <c r="AC46" s="60">
        <v>0</v>
      </c>
      <c r="AD46" s="60">
        <v>0</v>
      </c>
      <c r="AE46" s="60">
        <v>0</v>
      </c>
      <c r="AF46" s="61">
        <f t="shared" si="26"/>
        <v>0</v>
      </c>
      <c r="AH46" s="57" t="s">
        <v>43</v>
      </c>
      <c r="AI46" s="60">
        <v>0</v>
      </c>
      <c r="AJ46" s="60">
        <v>0</v>
      </c>
      <c r="AK46" s="60">
        <v>0</v>
      </c>
      <c r="AL46" s="60">
        <v>0</v>
      </c>
      <c r="AM46" s="60">
        <v>0</v>
      </c>
      <c r="AN46" s="60">
        <v>0</v>
      </c>
      <c r="AO46" s="60">
        <v>0</v>
      </c>
      <c r="AP46" s="60">
        <v>0</v>
      </c>
      <c r="AQ46" s="61">
        <f t="shared" si="27"/>
        <v>0</v>
      </c>
    </row>
    <row r="47" spans="1:43" x14ac:dyDescent="0.25">
      <c r="A47" s="57" t="s">
        <v>44</v>
      </c>
      <c r="B47" s="58">
        <v>0</v>
      </c>
      <c r="C47" s="58">
        <v>0</v>
      </c>
      <c r="D47" s="58">
        <v>0</v>
      </c>
      <c r="E47" s="58">
        <v>0</v>
      </c>
      <c r="F47" s="58">
        <v>0</v>
      </c>
      <c r="G47" s="58">
        <v>0</v>
      </c>
      <c r="H47" s="58">
        <v>0</v>
      </c>
      <c r="I47" s="58">
        <v>0</v>
      </c>
      <c r="J47" s="59">
        <f t="shared" si="24"/>
        <v>0</v>
      </c>
      <c r="L47" s="57" t="s">
        <v>44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9">
        <f t="shared" si="25"/>
        <v>0</v>
      </c>
      <c r="V47" s="46"/>
      <c r="W47" s="57" t="s">
        <v>44</v>
      </c>
      <c r="X47" s="60">
        <v>0</v>
      </c>
      <c r="Y47" s="60">
        <v>0</v>
      </c>
      <c r="Z47" s="60">
        <v>0</v>
      </c>
      <c r="AA47" s="60">
        <v>0</v>
      </c>
      <c r="AB47" s="60">
        <v>0</v>
      </c>
      <c r="AC47" s="60">
        <v>0</v>
      </c>
      <c r="AD47" s="60">
        <v>0</v>
      </c>
      <c r="AE47" s="60">
        <v>0</v>
      </c>
      <c r="AF47" s="61">
        <f t="shared" si="26"/>
        <v>0</v>
      </c>
      <c r="AH47" s="57" t="s">
        <v>44</v>
      </c>
      <c r="AI47" s="60">
        <v>0</v>
      </c>
      <c r="AJ47" s="60">
        <v>0</v>
      </c>
      <c r="AK47" s="60">
        <v>0</v>
      </c>
      <c r="AL47" s="60">
        <v>0</v>
      </c>
      <c r="AM47" s="60">
        <v>0</v>
      </c>
      <c r="AN47" s="60">
        <v>0</v>
      </c>
      <c r="AO47" s="60">
        <v>0</v>
      </c>
      <c r="AP47" s="60">
        <v>0</v>
      </c>
      <c r="AQ47" s="61">
        <f t="shared" si="27"/>
        <v>0</v>
      </c>
    </row>
    <row r="48" spans="1:43" x14ac:dyDescent="0.25">
      <c r="A48" s="57" t="s">
        <v>45</v>
      </c>
      <c r="B48" s="58">
        <v>0</v>
      </c>
      <c r="C48" s="58">
        <v>0</v>
      </c>
      <c r="D48" s="58">
        <v>0</v>
      </c>
      <c r="E48" s="58">
        <v>0</v>
      </c>
      <c r="F48" s="58">
        <v>0</v>
      </c>
      <c r="G48" s="58">
        <v>0</v>
      </c>
      <c r="H48" s="58">
        <v>0</v>
      </c>
      <c r="I48" s="58">
        <v>0</v>
      </c>
      <c r="J48" s="59">
        <f t="shared" si="24"/>
        <v>0</v>
      </c>
      <c r="L48" s="57" t="s">
        <v>45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9">
        <f t="shared" si="25"/>
        <v>0</v>
      </c>
      <c r="V48" s="46"/>
      <c r="W48" s="57" t="s">
        <v>45</v>
      </c>
      <c r="X48" s="60">
        <v>0</v>
      </c>
      <c r="Y48" s="60">
        <v>0</v>
      </c>
      <c r="Z48" s="60">
        <v>0</v>
      </c>
      <c r="AA48" s="60">
        <v>0</v>
      </c>
      <c r="AB48" s="60">
        <v>0</v>
      </c>
      <c r="AC48" s="60">
        <v>0</v>
      </c>
      <c r="AD48" s="60">
        <v>0</v>
      </c>
      <c r="AE48" s="60">
        <v>0</v>
      </c>
      <c r="AF48" s="61">
        <f t="shared" si="26"/>
        <v>0</v>
      </c>
      <c r="AH48" s="57" t="s">
        <v>45</v>
      </c>
      <c r="AI48" s="60">
        <v>0</v>
      </c>
      <c r="AJ48" s="60">
        <v>0</v>
      </c>
      <c r="AK48" s="60">
        <v>0</v>
      </c>
      <c r="AL48" s="60">
        <v>0</v>
      </c>
      <c r="AM48" s="60">
        <v>0</v>
      </c>
      <c r="AN48" s="60">
        <v>0</v>
      </c>
      <c r="AO48" s="60">
        <v>0</v>
      </c>
      <c r="AP48" s="60">
        <v>0</v>
      </c>
      <c r="AQ48" s="61">
        <f t="shared" si="27"/>
        <v>0</v>
      </c>
    </row>
    <row r="49" spans="1:43" x14ac:dyDescent="0.25">
      <c r="A49" s="57" t="s">
        <v>46</v>
      </c>
      <c r="B49" s="58">
        <v>0</v>
      </c>
      <c r="C49" s="58">
        <v>0</v>
      </c>
      <c r="D49" s="58">
        <v>0</v>
      </c>
      <c r="E49" s="58">
        <v>0</v>
      </c>
      <c r="F49" s="58">
        <v>0</v>
      </c>
      <c r="G49" s="58">
        <v>0</v>
      </c>
      <c r="H49" s="58">
        <v>0</v>
      </c>
      <c r="I49" s="58">
        <v>0</v>
      </c>
      <c r="J49" s="59">
        <f t="shared" si="24"/>
        <v>0</v>
      </c>
      <c r="L49" s="57" t="s">
        <v>46</v>
      </c>
      <c r="M49" s="58">
        <v>0</v>
      </c>
      <c r="N49" s="58">
        <v>0</v>
      </c>
      <c r="O49" s="58">
        <v>0</v>
      </c>
      <c r="P49" s="58">
        <v>0</v>
      </c>
      <c r="Q49" s="58">
        <v>3</v>
      </c>
      <c r="R49" s="58">
        <v>0</v>
      </c>
      <c r="S49" s="58">
        <v>0</v>
      </c>
      <c r="T49" s="58">
        <v>0</v>
      </c>
      <c r="U49" s="59">
        <f t="shared" si="25"/>
        <v>3</v>
      </c>
      <c r="V49" s="46"/>
      <c r="W49" s="57" t="s">
        <v>46</v>
      </c>
      <c r="X49" s="60">
        <v>0</v>
      </c>
      <c r="Y49" s="60">
        <v>0</v>
      </c>
      <c r="Z49" s="60">
        <v>0</v>
      </c>
      <c r="AA49" s="60">
        <v>0</v>
      </c>
      <c r="AB49" s="60">
        <v>0</v>
      </c>
      <c r="AC49" s="60">
        <v>0</v>
      </c>
      <c r="AD49" s="60">
        <v>0</v>
      </c>
      <c r="AE49" s="60">
        <v>0</v>
      </c>
      <c r="AF49" s="61">
        <f t="shared" si="26"/>
        <v>0</v>
      </c>
      <c r="AH49" s="57" t="s">
        <v>46</v>
      </c>
      <c r="AI49" s="60">
        <v>0</v>
      </c>
      <c r="AJ49" s="60">
        <v>0</v>
      </c>
      <c r="AK49" s="60">
        <v>0</v>
      </c>
      <c r="AL49" s="60">
        <v>0</v>
      </c>
      <c r="AM49" s="60">
        <v>0</v>
      </c>
      <c r="AN49" s="60">
        <v>0</v>
      </c>
      <c r="AO49" s="60">
        <v>0</v>
      </c>
      <c r="AP49" s="60">
        <v>0</v>
      </c>
      <c r="AQ49" s="61">
        <f t="shared" si="27"/>
        <v>0</v>
      </c>
    </row>
    <row r="50" spans="1:43" x14ac:dyDescent="0.25">
      <c r="A50" s="57" t="s">
        <v>47</v>
      </c>
      <c r="B50" s="58">
        <v>0</v>
      </c>
      <c r="C50" s="58">
        <v>0</v>
      </c>
      <c r="D50" s="58">
        <v>0</v>
      </c>
      <c r="E50" s="58">
        <v>0</v>
      </c>
      <c r="F50" s="58">
        <v>0</v>
      </c>
      <c r="G50" s="58">
        <v>0</v>
      </c>
      <c r="H50" s="58">
        <v>0</v>
      </c>
      <c r="I50" s="58">
        <v>0</v>
      </c>
      <c r="J50" s="59">
        <f t="shared" si="24"/>
        <v>0</v>
      </c>
      <c r="L50" s="57" t="s">
        <v>47</v>
      </c>
      <c r="M50" s="58">
        <v>0</v>
      </c>
      <c r="N50" s="58">
        <v>0</v>
      </c>
      <c r="O50" s="58">
        <v>0</v>
      </c>
      <c r="P50" s="58">
        <v>0</v>
      </c>
      <c r="Q50" s="58">
        <v>1</v>
      </c>
      <c r="R50" s="58">
        <v>0</v>
      </c>
      <c r="S50" s="58">
        <v>0</v>
      </c>
      <c r="T50" s="58">
        <v>0</v>
      </c>
      <c r="U50" s="59">
        <f t="shared" si="25"/>
        <v>1</v>
      </c>
      <c r="V50" s="46"/>
      <c r="W50" s="57" t="s">
        <v>47</v>
      </c>
      <c r="X50" s="60">
        <v>0</v>
      </c>
      <c r="Y50" s="60">
        <v>0</v>
      </c>
      <c r="Z50" s="60">
        <v>0</v>
      </c>
      <c r="AA50" s="60">
        <v>0</v>
      </c>
      <c r="AB50" s="60">
        <v>0</v>
      </c>
      <c r="AC50" s="60">
        <v>0</v>
      </c>
      <c r="AD50" s="60">
        <v>0</v>
      </c>
      <c r="AE50" s="60">
        <v>0</v>
      </c>
      <c r="AF50" s="61">
        <f t="shared" si="26"/>
        <v>0</v>
      </c>
      <c r="AH50" s="57" t="s">
        <v>47</v>
      </c>
      <c r="AI50" s="60">
        <v>0</v>
      </c>
      <c r="AJ50" s="60">
        <v>0</v>
      </c>
      <c r="AK50" s="60">
        <v>0</v>
      </c>
      <c r="AL50" s="60">
        <v>0</v>
      </c>
      <c r="AM50" s="60">
        <v>0</v>
      </c>
      <c r="AN50" s="60">
        <v>0</v>
      </c>
      <c r="AO50" s="60">
        <v>0</v>
      </c>
      <c r="AP50" s="60">
        <v>0</v>
      </c>
      <c r="AQ50" s="61">
        <f t="shared" si="27"/>
        <v>0</v>
      </c>
    </row>
    <row r="51" spans="1:43" x14ac:dyDescent="0.25">
      <c r="A51" s="57" t="s">
        <v>48</v>
      </c>
      <c r="B51" s="58">
        <v>0</v>
      </c>
      <c r="C51" s="58">
        <v>0</v>
      </c>
      <c r="D51" s="58">
        <v>0</v>
      </c>
      <c r="E51" s="58">
        <v>0</v>
      </c>
      <c r="F51" s="58">
        <v>0</v>
      </c>
      <c r="G51" s="58">
        <v>0</v>
      </c>
      <c r="H51" s="58">
        <v>0</v>
      </c>
      <c r="I51" s="58">
        <v>0</v>
      </c>
      <c r="J51" s="59">
        <f t="shared" si="24"/>
        <v>0</v>
      </c>
      <c r="L51" s="57" t="s">
        <v>48</v>
      </c>
      <c r="M51" s="58">
        <v>0</v>
      </c>
      <c r="N51" s="58">
        <v>0</v>
      </c>
      <c r="O51" s="58">
        <v>0</v>
      </c>
      <c r="P51" s="58">
        <v>0</v>
      </c>
      <c r="Q51" s="58">
        <v>1</v>
      </c>
      <c r="R51" s="58">
        <v>0</v>
      </c>
      <c r="S51" s="58">
        <v>0</v>
      </c>
      <c r="T51" s="58">
        <v>0</v>
      </c>
      <c r="U51" s="59">
        <f t="shared" si="25"/>
        <v>1</v>
      </c>
      <c r="V51" s="46"/>
      <c r="W51" s="57" t="s">
        <v>48</v>
      </c>
      <c r="X51" s="60">
        <v>0</v>
      </c>
      <c r="Y51" s="60">
        <v>0</v>
      </c>
      <c r="Z51" s="60">
        <v>0</v>
      </c>
      <c r="AA51" s="60">
        <v>0</v>
      </c>
      <c r="AB51" s="60">
        <v>0</v>
      </c>
      <c r="AC51" s="60">
        <v>0</v>
      </c>
      <c r="AD51" s="60">
        <v>0</v>
      </c>
      <c r="AE51" s="60">
        <v>0</v>
      </c>
      <c r="AF51" s="61">
        <f t="shared" si="26"/>
        <v>0</v>
      </c>
      <c r="AH51" s="57" t="s">
        <v>48</v>
      </c>
      <c r="AI51" s="60">
        <v>0</v>
      </c>
      <c r="AJ51" s="60">
        <v>0</v>
      </c>
      <c r="AK51" s="60">
        <v>0</v>
      </c>
      <c r="AL51" s="60">
        <v>0</v>
      </c>
      <c r="AM51" s="60">
        <v>0</v>
      </c>
      <c r="AN51" s="60">
        <v>0</v>
      </c>
      <c r="AO51" s="60">
        <v>0</v>
      </c>
      <c r="AP51" s="60">
        <v>0</v>
      </c>
      <c r="AQ51" s="61">
        <f t="shared" si="27"/>
        <v>0</v>
      </c>
    </row>
    <row r="52" spans="1:43" x14ac:dyDescent="0.25">
      <c r="A52" s="57" t="s">
        <v>49</v>
      </c>
      <c r="B52" s="58">
        <v>0</v>
      </c>
      <c r="C52" s="58">
        <v>0</v>
      </c>
      <c r="D52" s="58">
        <v>0</v>
      </c>
      <c r="E52" s="58">
        <v>0</v>
      </c>
      <c r="F52" s="58">
        <v>0</v>
      </c>
      <c r="G52" s="58">
        <v>0</v>
      </c>
      <c r="H52" s="58">
        <v>0</v>
      </c>
      <c r="I52" s="58">
        <v>0</v>
      </c>
      <c r="J52" s="59">
        <f t="shared" si="24"/>
        <v>0</v>
      </c>
      <c r="L52" s="57" t="s">
        <v>49</v>
      </c>
      <c r="M52" s="58">
        <v>0</v>
      </c>
      <c r="N52" s="58">
        <v>0</v>
      </c>
      <c r="O52" s="58">
        <v>0</v>
      </c>
      <c r="P52" s="58">
        <v>0</v>
      </c>
      <c r="Q52" s="58">
        <v>3</v>
      </c>
      <c r="R52" s="58">
        <v>0</v>
      </c>
      <c r="S52" s="58">
        <v>0</v>
      </c>
      <c r="T52" s="58">
        <v>0</v>
      </c>
      <c r="U52" s="59">
        <f t="shared" si="25"/>
        <v>3</v>
      </c>
      <c r="V52" s="46"/>
      <c r="W52" s="57" t="s">
        <v>49</v>
      </c>
      <c r="X52" s="60">
        <v>0</v>
      </c>
      <c r="Y52" s="60">
        <v>0</v>
      </c>
      <c r="Z52" s="60">
        <v>0</v>
      </c>
      <c r="AA52" s="60">
        <v>0</v>
      </c>
      <c r="AB52" s="60">
        <v>0</v>
      </c>
      <c r="AC52" s="60">
        <v>0</v>
      </c>
      <c r="AD52" s="60">
        <v>0</v>
      </c>
      <c r="AE52" s="60">
        <v>0</v>
      </c>
      <c r="AF52" s="61">
        <f t="shared" si="26"/>
        <v>0</v>
      </c>
      <c r="AH52" s="57" t="s">
        <v>49</v>
      </c>
      <c r="AI52" s="60">
        <v>0</v>
      </c>
      <c r="AJ52" s="60">
        <v>0</v>
      </c>
      <c r="AK52" s="60">
        <v>0</v>
      </c>
      <c r="AL52" s="60">
        <v>0</v>
      </c>
      <c r="AM52" s="60">
        <v>0</v>
      </c>
      <c r="AN52" s="60">
        <v>0</v>
      </c>
      <c r="AO52" s="60">
        <v>0</v>
      </c>
      <c r="AP52" s="60">
        <v>0</v>
      </c>
      <c r="AQ52" s="61">
        <f t="shared" si="27"/>
        <v>0</v>
      </c>
    </row>
    <row r="53" spans="1:43" x14ac:dyDescent="0.25">
      <c r="A53" s="57" t="s">
        <v>50</v>
      </c>
      <c r="B53" s="58">
        <v>0</v>
      </c>
      <c r="C53" s="58">
        <v>0</v>
      </c>
      <c r="D53" s="58">
        <v>0</v>
      </c>
      <c r="E53" s="58">
        <v>0</v>
      </c>
      <c r="F53" s="58">
        <v>0</v>
      </c>
      <c r="G53" s="58">
        <v>0</v>
      </c>
      <c r="H53" s="58">
        <v>0</v>
      </c>
      <c r="I53" s="58">
        <v>0</v>
      </c>
      <c r="J53" s="59">
        <f t="shared" si="24"/>
        <v>0</v>
      </c>
      <c r="L53" s="57" t="s">
        <v>50</v>
      </c>
      <c r="M53" s="58">
        <v>0</v>
      </c>
      <c r="N53" s="58">
        <v>0</v>
      </c>
      <c r="O53" s="58">
        <v>0</v>
      </c>
      <c r="P53" s="58">
        <v>0</v>
      </c>
      <c r="Q53" s="58">
        <v>1</v>
      </c>
      <c r="R53" s="58">
        <v>0</v>
      </c>
      <c r="S53" s="58">
        <v>0</v>
      </c>
      <c r="T53" s="58">
        <v>0</v>
      </c>
      <c r="U53" s="59">
        <f t="shared" si="25"/>
        <v>1</v>
      </c>
      <c r="V53" s="46"/>
      <c r="W53" s="57" t="s">
        <v>50</v>
      </c>
      <c r="X53" s="60">
        <v>0</v>
      </c>
      <c r="Y53" s="60">
        <v>0</v>
      </c>
      <c r="Z53" s="60">
        <v>0</v>
      </c>
      <c r="AA53" s="60">
        <v>0</v>
      </c>
      <c r="AB53" s="60">
        <v>0</v>
      </c>
      <c r="AC53" s="60">
        <v>0</v>
      </c>
      <c r="AD53" s="60">
        <v>0</v>
      </c>
      <c r="AE53" s="60">
        <v>0</v>
      </c>
      <c r="AF53" s="61">
        <f t="shared" si="26"/>
        <v>0</v>
      </c>
      <c r="AH53" s="57" t="s">
        <v>50</v>
      </c>
      <c r="AI53" s="60">
        <v>0</v>
      </c>
      <c r="AJ53" s="60">
        <v>0</v>
      </c>
      <c r="AK53" s="60">
        <v>0</v>
      </c>
      <c r="AL53" s="60">
        <v>0</v>
      </c>
      <c r="AM53" s="60">
        <v>0</v>
      </c>
      <c r="AN53" s="60">
        <v>0</v>
      </c>
      <c r="AO53" s="60">
        <v>0</v>
      </c>
      <c r="AP53" s="60">
        <v>0</v>
      </c>
      <c r="AQ53" s="61">
        <f t="shared" si="27"/>
        <v>0</v>
      </c>
    </row>
    <row r="54" spans="1:43" s="47" customFormat="1" ht="15" customHeight="1" x14ac:dyDescent="0.25">
      <c r="A54" s="62" t="s">
        <v>9</v>
      </c>
      <c r="B54" s="63">
        <f>SUM(B42:B53)</f>
        <v>0</v>
      </c>
      <c r="C54" s="63">
        <f t="shared" ref="C54:J54" si="28">SUM(C42:C53)</f>
        <v>0</v>
      </c>
      <c r="D54" s="63">
        <f t="shared" si="28"/>
        <v>0</v>
      </c>
      <c r="E54" s="63">
        <f t="shared" si="28"/>
        <v>0</v>
      </c>
      <c r="F54" s="63">
        <f t="shared" si="28"/>
        <v>12</v>
      </c>
      <c r="G54" s="63">
        <f t="shared" si="28"/>
        <v>0</v>
      </c>
      <c r="H54" s="63">
        <f t="shared" si="28"/>
        <v>1</v>
      </c>
      <c r="I54" s="63">
        <f t="shared" si="28"/>
        <v>0</v>
      </c>
      <c r="J54" s="63">
        <f t="shared" si="28"/>
        <v>13</v>
      </c>
      <c r="L54" s="62" t="s">
        <v>9</v>
      </c>
      <c r="M54" s="63">
        <f>SUM(M42:M53)</f>
        <v>0</v>
      </c>
      <c r="N54" s="63">
        <f t="shared" ref="N54:U54" si="29">SUM(N42:N53)</f>
        <v>0</v>
      </c>
      <c r="O54" s="63">
        <f t="shared" si="29"/>
        <v>0</v>
      </c>
      <c r="P54" s="63">
        <f t="shared" si="29"/>
        <v>0</v>
      </c>
      <c r="Q54" s="63">
        <f t="shared" si="29"/>
        <v>9</v>
      </c>
      <c r="R54" s="63">
        <f t="shared" si="29"/>
        <v>0</v>
      </c>
      <c r="S54" s="63">
        <f t="shared" si="29"/>
        <v>0</v>
      </c>
      <c r="T54" s="63">
        <f t="shared" si="29"/>
        <v>0</v>
      </c>
      <c r="U54" s="63">
        <f t="shared" si="29"/>
        <v>9</v>
      </c>
      <c r="W54" s="62" t="s">
        <v>9</v>
      </c>
      <c r="X54" s="63">
        <f>SUM(X42:X53)</f>
        <v>0</v>
      </c>
      <c r="Y54" s="63">
        <f t="shared" ref="Y54:AF54" si="30">SUM(Y42:Y53)</f>
        <v>0</v>
      </c>
      <c r="Z54" s="63">
        <f t="shared" si="30"/>
        <v>0</v>
      </c>
      <c r="AA54" s="63">
        <f t="shared" si="30"/>
        <v>0</v>
      </c>
      <c r="AB54" s="63">
        <f t="shared" si="30"/>
        <v>0</v>
      </c>
      <c r="AC54" s="63">
        <f t="shared" si="30"/>
        <v>0</v>
      </c>
      <c r="AD54" s="63">
        <f t="shared" si="30"/>
        <v>0</v>
      </c>
      <c r="AE54" s="63">
        <f t="shared" si="30"/>
        <v>0</v>
      </c>
      <c r="AF54" s="63">
        <f t="shared" si="30"/>
        <v>0</v>
      </c>
      <c r="AH54" s="62" t="s">
        <v>9</v>
      </c>
      <c r="AI54" s="63">
        <f>SUM(AI42:AI53)</f>
        <v>0</v>
      </c>
      <c r="AJ54" s="63">
        <f t="shared" ref="AJ54:AQ54" si="31">SUM(AJ42:AJ53)</f>
        <v>0</v>
      </c>
      <c r="AK54" s="63">
        <f t="shared" si="31"/>
        <v>0</v>
      </c>
      <c r="AL54" s="63">
        <f t="shared" si="31"/>
        <v>0</v>
      </c>
      <c r="AM54" s="63">
        <f t="shared" si="31"/>
        <v>0</v>
      </c>
      <c r="AN54" s="63">
        <f t="shared" si="31"/>
        <v>0</v>
      </c>
      <c r="AO54" s="63">
        <f t="shared" si="31"/>
        <v>0</v>
      </c>
      <c r="AP54" s="63">
        <f t="shared" si="31"/>
        <v>0</v>
      </c>
      <c r="AQ54" s="63">
        <f t="shared" si="31"/>
        <v>0</v>
      </c>
    </row>
    <row r="55" spans="1:43" s="47" customFormat="1" ht="14.45" customHeight="1" x14ac:dyDescent="0.25">
      <c r="A55" s="64" t="s">
        <v>54</v>
      </c>
      <c r="B55" s="65">
        <f>IFERROR(B54/$J54,"-")</f>
        <v>0</v>
      </c>
      <c r="C55" s="65">
        <f t="shared" ref="C55:J55" si="32">IFERROR(C54/$J54,"-")</f>
        <v>0</v>
      </c>
      <c r="D55" s="65">
        <f t="shared" si="32"/>
        <v>0</v>
      </c>
      <c r="E55" s="65">
        <f t="shared" si="32"/>
        <v>0</v>
      </c>
      <c r="F55" s="65">
        <f t="shared" si="32"/>
        <v>0.92307692307692313</v>
      </c>
      <c r="G55" s="65">
        <f t="shared" si="32"/>
        <v>0</v>
      </c>
      <c r="H55" s="65">
        <f t="shared" si="32"/>
        <v>7.6923076923076927E-2</v>
      </c>
      <c r="I55" s="65">
        <f t="shared" si="32"/>
        <v>0</v>
      </c>
      <c r="J55" s="65">
        <f t="shared" si="32"/>
        <v>1</v>
      </c>
      <c r="L55" s="64" t="s">
        <v>54</v>
      </c>
      <c r="M55" s="65">
        <f>IFERROR(M54/$U54,"-")</f>
        <v>0</v>
      </c>
      <c r="N55" s="65">
        <f t="shared" ref="N55:U55" si="33">IFERROR(N54/$U54,"-")</f>
        <v>0</v>
      </c>
      <c r="O55" s="65">
        <f t="shared" si="33"/>
        <v>0</v>
      </c>
      <c r="P55" s="65">
        <f t="shared" si="33"/>
        <v>0</v>
      </c>
      <c r="Q55" s="65">
        <f t="shared" si="33"/>
        <v>1</v>
      </c>
      <c r="R55" s="65">
        <f t="shared" si="33"/>
        <v>0</v>
      </c>
      <c r="S55" s="65">
        <f t="shared" si="33"/>
        <v>0</v>
      </c>
      <c r="T55" s="65">
        <f t="shared" si="33"/>
        <v>0</v>
      </c>
      <c r="U55" s="65">
        <f t="shared" si="33"/>
        <v>1</v>
      </c>
      <c r="W55" s="64" t="s">
        <v>54</v>
      </c>
      <c r="X55" s="65" t="str">
        <f>IFERROR(X54/$AF54,"-")</f>
        <v>-</v>
      </c>
      <c r="Y55" s="65" t="str">
        <f t="shared" ref="Y55:AF55" si="34">IFERROR(Y54/$AF54,"-")</f>
        <v>-</v>
      </c>
      <c r="Z55" s="65" t="str">
        <f t="shared" si="34"/>
        <v>-</v>
      </c>
      <c r="AA55" s="65" t="str">
        <f t="shared" si="34"/>
        <v>-</v>
      </c>
      <c r="AB55" s="65" t="str">
        <f t="shared" si="34"/>
        <v>-</v>
      </c>
      <c r="AC55" s="65" t="str">
        <f t="shared" si="34"/>
        <v>-</v>
      </c>
      <c r="AD55" s="65" t="str">
        <f t="shared" si="34"/>
        <v>-</v>
      </c>
      <c r="AE55" s="65" t="str">
        <f t="shared" si="34"/>
        <v>-</v>
      </c>
      <c r="AF55" s="65" t="str">
        <f t="shared" si="34"/>
        <v>-</v>
      </c>
      <c r="AH55" s="64" t="s">
        <v>54</v>
      </c>
      <c r="AI55" s="65" t="str">
        <f>IFERROR(AI54/$AQ54,"-")</f>
        <v>-</v>
      </c>
      <c r="AJ55" s="65" t="str">
        <f t="shared" ref="AJ55:AQ55" si="35">IFERROR(AJ54/$AQ54,"-")</f>
        <v>-</v>
      </c>
      <c r="AK55" s="65" t="str">
        <f t="shared" si="35"/>
        <v>-</v>
      </c>
      <c r="AL55" s="65" t="str">
        <f t="shared" si="35"/>
        <v>-</v>
      </c>
      <c r="AM55" s="65" t="str">
        <f t="shared" si="35"/>
        <v>-</v>
      </c>
      <c r="AN55" s="65" t="str">
        <f t="shared" si="35"/>
        <v>-</v>
      </c>
      <c r="AO55" s="65" t="str">
        <f t="shared" si="35"/>
        <v>-</v>
      </c>
      <c r="AP55" s="65" t="str">
        <f t="shared" si="35"/>
        <v>-</v>
      </c>
      <c r="AQ55" s="65" t="str">
        <f t="shared" si="35"/>
        <v>-</v>
      </c>
    </row>
    <row r="57" spans="1:43" x14ac:dyDescent="0.25">
      <c r="A57" s="96" t="s">
        <v>22</v>
      </c>
      <c r="B57" s="96"/>
      <c r="C57" s="96"/>
      <c r="D57" s="96"/>
      <c r="E57" s="96"/>
      <c r="F57" s="96"/>
      <c r="G57" s="96"/>
      <c r="H57" s="96"/>
      <c r="I57" s="96"/>
      <c r="J57" s="96"/>
      <c r="L57" s="96" t="s">
        <v>22</v>
      </c>
      <c r="M57" s="96"/>
      <c r="N57" s="96"/>
      <c r="O57" s="96"/>
      <c r="P57" s="96"/>
      <c r="Q57" s="96"/>
      <c r="R57" s="96"/>
      <c r="S57" s="96"/>
      <c r="T57" s="96"/>
      <c r="U57" s="96"/>
      <c r="W57" s="111" t="s">
        <v>22</v>
      </c>
      <c r="X57" s="112"/>
      <c r="Y57" s="112"/>
      <c r="Z57" s="112"/>
      <c r="AA57" s="112"/>
      <c r="AB57" s="112"/>
      <c r="AC57" s="112"/>
      <c r="AD57" s="112"/>
      <c r="AE57" s="112"/>
      <c r="AF57" s="113"/>
      <c r="AH57" s="96" t="s">
        <v>22</v>
      </c>
      <c r="AI57" s="96"/>
      <c r="AJ57" s="96"/>
      <c r="AK57" s="96"/>
      <c r="AL57" s="96"/>
      <c r="AM57" s="96"/>
      <c r="AN57" s="96"/>
      <c r="AO57" s="96"/>
      <c r="AP57" s="96"/>
      <c r="AQ57" s="96"/>
    </row>
    <row r="58" spans="1:43" x14ac:dyDescent="0.25">
      <c r="A58" s="54" t="s">
        <v>38</v>
      </c>
      <c r="B58" s="97" t="s">
        <v>3</v>
      </c>
      <c r="C58" s="97"/>
      <c r="D58" s="98" t="s">
        <v>4</v>
      </c>
      <c r="E58" s="99" t="s">
        <v>5</v>
      </c>
      <c r="F58" s="100"/>
      <c r="G58" s="98" t="s">
        <v>7</v>
      </c>
      <c r="H58" s="97" t="s">
        <v>8</v>
      </c>
      <c r="I58" s="97"/>
      <c r="J58" s="54" t="s">
        <v>9</v>
      </c>
      <c r="L58" s="54" t="s">
        <v>38</v>
      </c>
      <c r="M58" s="97" t="s">
        <v>3</v>
      </c>
      <c r="N58" s="97"/>
      <c r="O58" s="98" t="s">
        <v>4</v>
      </c>
      <c r="P58" s="99" t="s">
        <v>5</v>
      </c>
      <c r="Q58" s="100"/>
      <c r="R58" s="98" t="s">
        <v>7</v>
      </c>
      <c r="S58" s="97" t="s">
        <v>8</v>
      </c>
      <c r="T58" s="97"/>
      <c r="U58" s="54" t="s">
        <v>9</v>
      </c>
      <c r="W58" s="55" t="s">
        <v>38</v>
      </c>
      <c r="X58" s="101" t="s">
        <v>3</v>
      </c>
      <c r="Y58" s="102"/>
      <c r="Z58" s="103" t="s">
        <v>4</v>
      </c>
      <c r="AA58" s="99" t="s">
        <v>5</v>
      </c>
      <c r="AB58" s="100"/>
      <c r="AC58" s="103" t="s">
        <v>7</v>
      </c>
      <c r="AD58" s="101" t="s">
        <v>8</v>
      </c>
      <c r="AE58" s="102"/>
      <c r="AF58" s="114" t="s">
        <v>9</v>
      </c>
      <c r="AH58" s="54" t="s">
        <v>38</v>
      </c>
      <c r="AI58" s="104" t="s">
        <v>3</v>
      </c>
      <c r="AJ58" s="104"/>
      <c r="AK58" s="103" t="s">
        <v>4</v>
      </c>
      <c r="AL58" s="99" t="s">
        <v>5</v>
      </c>
      <c r="AM58" s="100"/>
      <c r="AN58" s="103" t="s">
        <v>7</v>
      </c>
      <c r="AO58" s="104" t="s">
        <v>8</v>
      </c>
      <c r="AP58" s="104"/>
      <c r="AQ58" s="105" t="s">
        <v>9</v>
      </c>
    </row>
    <row r="59" spans="1:43" ht="45" x14ac:dyDescent="0.25">
      <c r="A59" s="54"/>
      <c r="B59" s="79" t="s">
        <v>10</v>
      </c>
      <c r="C59" s="79" t="s">
        <v>11</v>
      </c>
      <c r="D59" s="79" t="s">
        <v>12</v>
      </c>
      <c r="E59" s="79" t="s">
        <v>13</v>
      </c>
      <c r="F59" s="79" t="s">
        <v>14</v>
      </c>
      <c r="G59" s="79" t="s">
        <v>16</v>
      </c>
      <c r="H59" s="79" t="s">
        <v>17</v>
      </c>
      <c r="I59" s="79" t="s">
        <v>18</v>
      </c>
      <c r="J59" s="54"/>
      <c r="L59" s="54"/>
      <c r="M59" s="79" t="s">
        <v>10</v>
      </c>
      <c r="N59" s="79" t="s">
        <v>11</v>
      </c>
      <c r="O59" s="79" t="s">
        <v>12</v>
      </c>
      <c r="P59" s="79" t="s">
        <v>13</v>
      </c>
      <c r="Q59" s="79" t="s">
        <v>14</v>
      </c>
      <c r="R59" s="79" t="s">
        <v>16</v>
      </c>
      <c r="S59" s="79" t="s">
        <v>17</v>
      </c>
      <c r="T59" s="79" t="s">
        <v>18</v>
      </c>
      <c r="U59" s="54"/>
      <c r="W59" s="56"/>
      <c r="X59" s="109" t="s">
        <v>10</v>
      </c>
      <c r="Y59" s="109" t="s">
        <v>11</v>
      </c>
      <c r="Z59" s="109" t="s">
        <v>12</v>
      </c>
      <c r="AA59" s="109" t="s">
        <v>13</v>
      </c>
      <c r="AB59" s="109" t="s">
        <v>14</v>
      </c>
      <c r="AC59" s="109" t="s">
        <v>16</v>
      </c>
      <c r="AD59" s="109" t="s">
        <v>17</v>
      </c>
      <c r="AE59" s="109" t="s">
        <v>18</v>
      </c>
      <c r="AF59" s="115"/>
      <c r="AH59" s="54"/>
      <c r="AI59" s="109" t="s">
        <v>10</v>
      </c>
      <c r="AJ59" s="109" t="s">
        <v>11</v>
      </c>
      <c r="AK59" s="109" t="s">
        <v>12</v>
      </c>
      <c r="AL59" s="109" t="s">
        <v>13</v>
      </c>
      <c r="AM59" s="109" t="s">
        <v>14</v>
      </c>
      <c r="AN59" s="109" t="s">
        <v>16</v>
      </c>
      <c r="AO59" s="109" t="s">
        <v>17</v>
      </c>
      <c r="AP59" s="109" t="s">
        <v>18</v>
      </c>
      <c r="AQ59" s="105"/>
    </row>
    <row r="60" spans="1:43" x14ac:dyDescent="0.25">
      <c r="A60" s="57" t="s">
        <v>39</v>
      </c>
      <c r="B60" s="58">
        <v>3</v>
      </c>
      <c r="C60" s="58">
        <v>0</v>
      </c>
      <c r="D60" s="58">
        <v>0</v>
      </c>
      <c r="E60" s="58">
        <v>0</v>
      </c>
      <c r="F60" s="58">
        <v>1689</v>
      </c>
      <c r="G60" s="58">
        <v>0</v>
      </c>
      <c r="H60" s="58">
        <v>16</v>
      </c>
      <c r="I60" s="58">
        <v>14</v>
      </c>
      <c r="J60" s="59">
        <f t="shared" ref="J60:J71" si="36">SUM(B60:I60)</f>
        <v>1722</v>
      </c>
      <c r="L60" s="57" t="s">
        <v>39</v>
      </c>
      <c r="M60" s="58">
        <v>0</v>
      </c>
      <c r="N60" s="58">
        <v>0</v>
      </c>
      <c r="O60" s="58">
        <v>0</v>
      </c>
      <c r="P60" s="58">
        <v>0</v>
      </c>
      <c r="Q60" s="58">
        <v>11</v>
      </c>
      <c r="R60" s="58">
        <v>0</v>
      </c>
      <c r="S60" s="58">
        <v>0</v>
      </c>
      <c r="T60" s="58">
        <v>0</v>
      </c>
      <c r="U60" s="59">
        <f t="shared" ref="U60:U71" si="37">SUM(M60:T60)</f>
        <v>11</v>
      </c>
      <c r="W60" s="57" t="s">
        <v>39</v>
      </c>
      <c r="X60" s="60">
        <v>0</v>
      </c>
      <c r="Y60" s="60">
        <v>0</v>
      </c>
      <c r="Z60" s="60">
        <v>0</v>
      </c>
      <c r="AA60" s="60">
        <v>0</v>
      </c>
      <c r="AB60" s="60">
        <v>0</v>
      </c>
      <c r="AC60" s="60">
        <v>0</v>
      </c>
      <c r="AD60" s="60">
        <v>0</v>
      </c>
      <c r="AE60" s="60">
        <v>0</v>
      </c>
      <c r="AF60" s="61">
        <f t="shared" ref="AF60:AF71" si="38">SUM(X60:AE60)</f>
        <v>0</v>
      </c>
      <c r="AH60" s="57" t="s">
        <v>39</v>
      </c>
      <c r="AI60" s="60">
        <v>0</v>
      </c>
      <c r="AJ60" s="60">
        <v>0</v>
      </c>
      <c r="AK60" s="60">
        <v>0</v>
      </c>
      <c r="AL60" s="60">
        <v>0</v>
      </c>
      <c r="AM60" s="60">
        <v>0</v>
      </c>
      <c r="AN60" s="60">
        <v>0</v>
      </c>
      <c r="AO60" s="60">
        <v>0</v>
      </c>
      <c r="AP60" s="60">
        <v>0</v>
      </c>
      <c r="AQ60" s="61">
        <f t="shared" ref="AQ60:AQ71" si="39">SUM(AI60:AP60)</f>
        <v>0</v>
      </c>
    </row>
    <row r="61" spans="1:43" x14ac:dyDescent="0.25">
      <c r="A61" s="57" t="s">
        <v>40</v>
      </c>
      <c r="B61" s="58">
        <v>4</v>
      </c>
      <c r="C61" s="58">
        <v>0</v>
      </c>
      <c r="D61" s="58">
        <v>0</v>
      </c>
      <c r="E61" s="58">
        <v>0</v>
      </c>
      <c r="F61" s="58">
        <v>1856</v>
      </c>
      <c r="G61" s="58">
        <v>0</v>
      </c>
      <c r="H61" s="58">
        <v>22</v>
      </c>
      <c r="I61" s="58">
        <v>25</v>
      </c>
      <c r="J61" s="59">
        <f t="shared" si="36"/>
        <v>1907</v>
      </c>
      <c r="L61" s="57" t="s">
        <v>40</v>
      </c>
      <c r="M61" s="58">
        <v>0</v>
      </c>
      <c r="N61" s="58">
        <v>0</v>
      </c>
      <c r="O61" s="58">
        <v>0</v>
      </c>
      <c r="P61" s="58">
        <v>0</v>
      </c>
      <c r="Q61" s="58">
        <v>13</v>
      </c>
      <c r="R61" s="58">
        <v>0</v>
      </c>
      <c r="S61" s="58">
        <v>0</v>
      </c>
      <c r="T61" s="58">
        <v>0</v>
      </c>
      <c r="U61" s="59">
        <f t="shared" si="37"/>
        <v>13</v>
      </c>
      <c r="W61" s="57" t="s">
        <v>40</v>
      </c>
      <c r="X61" s="60">
        <v>0</v>
      </c>
      <c r="Y61" s="60">
        <v>0</v>
      </c>
      <c r="Z61" s="60">
        <v>0</v>
      </c>
      <c r="AA61" s="60">
        <v>0</v>
      </c>
      <c r="AB61" s="60">
        <v>1</v>
      </c>
      <c r="AC61" s="60">
        <v>0</v>
      </c>
      <c r="AD61" s="60">
        <v>0</v>
      </c>
      <c r="AE61" s="60">
        <v>0</v>
      </c>
      <c r="AF61" s="61">
        <f t="shared" si="38"/>
        <v>1</v>
      </c>
      <c r="AH61" s="57" t="s">
        <v>40</v>
      </c>
      <c r="AI61" s="60">
        <v>0</v>
      </c>
      <c r="AJ61" s="60">
        <v>0</v>
      </c>
      <c r="AK61" s="60">
        <v>0</v>
      </c>
      <c r="AL61" s="60">
        <v>0</v>
      </c>
      <c r="AM61" s="60">
        <v>0</v>
      </c>
      <c r="AN61" s="60">
        <v>0</v>
      </c>
      <c r="AO61" s="60">
        <v>0</v>
      </c>
      <c r="AP61" s="60">
        <v>0</v>
      </c>
      <c r="AQ61" s="61">
        <f t="shared" si="39"/>
        <v>0</v>
      </c>
    </row>
    <row r="62" spans="1:43" x14ac:dyDescent="0.25">
      <c r="A62" s="57" t="s">
        <v>41</v>
      </c>
      <c r="B62" s="58">
        <v>54</v>
      </c>
      <c r="C62" s="58">
        <v>0</v>
      </c>
      <c r="D62" s="58">
        <v>0</v>
      </c>
      <c r="E62" s="58">
        <v>0</v>
      </c>
      <c r="F62" s="58">
        <v>1541</v>
      </c>
      <c r="G62" s="58">
        <v>0</v>
      </c>
      <c r="H62" s="58">
        <v>36</v>
      </c>
      <c r="I62" s="58">
        <v>22</v>
      </c>
      <c r="J62" s="59">
        <f t="shared" si="36"/>
        <v>1653</v>
      </c>
      <c r="L62" s="57" t="s">
        <v>41</v>
      </c>
      <c r="M62" s="58">
        <v>0</v>
      </c>
      <c r="N62" s="58">
        <v>0</v>
      </c>
      <c r="O62" s="58">
        <v>0</v>
      </c>
      <c r="P62" s="58">
        <v>0</v>
      </c>
      <c r="Q62" s="58">
        <v>87</v>
      </c>
      <c r="R62" s="58">
        <v>0</v>
      </c>
      <c r="S62" s="58">
        <v>0</v>
      </c>
      <c r="T62" s="58">
        <v>0</v>
      </c>
      <c r="U62" s="59">
        <f t="shared" si="37"/>
        <v>87</v>
      </c>
      <c r="V62" s="46"/>
      <c r="W62" s="57" t="s">
        <v>41</v>
      </c>
      <c r="X62" s="60">
        <v>0</v>
      </c>
      <c r="Y62" s="60">
        <v>0</v>
      </c>
      <c r="Z62" s="60">
        <v>0</v>
      </c>
      <c r="AA62" s="60">
        <v>0</v>
      </c>
      <c r="AB62" s="60">
        <v>2</v>
      </c>
      <c r="AC62" s="60">
        <v>0</v>
      </c>
      <c r="AD62" s="60">
        <v>0</v>
      </c>
      <c r="AE62" s="60">
        <v>0</v>
      </c>
      <c r="AF62" s="61">
        <f t="shared" si="38"/>
        <v>2</v>
      </c>
      <c r="AH62" s="57" t="s">
        <v>41</v>
      </c>
      <c r="AI62" s="60">
        <v>0</v>
      </c>
      <c r="AJ62" s="60">
        <v>0</v>
      </c>
      <c r="AK62" s="60">
        <v>0</v>
      </c>
      <c r="AL62" s="60">
        <v>0</v>
      </c>
      <c r="AM62" s="60">
        <v>0</v>
      </c>
      <c r="AN62" s="60">
        <v>0</v>
      </c>
      <c r="AO62" s="60">
        <v>0</v>
      </c>
      <c r="AP62" s="60">
        <v>0</v>
      </c>
      <c r="AQ62" s="61">
        <f t="shared" si="39"/>
        <v>0</v>
      </c>
    </row>
    <row r="63" spans="1:43" x14ac:dyDescent="0.25">
      <c r="A63" s="57" t="s">
        <v>42</v>
      </c>
      <c r="B63" s="58">
        <v>1</v>
      </c>
      <c r="C63" s="58">
        <v>0</v>
      </c>
      <c r="D63" s="58">
        <v>0</v>
      </c>
      <c r="E63" s="58">
        <v>0</v>
      </c>
      <c r="F63" s="58">
        <v>1382</v>
      </c>
      <c r="G63" s="58">
        <v>0</v>
      </c>
      <c r="H63" s="58">
        <v>30</v>
      </c>
      <c r="I63" s="58">
        <v>22</v>
      </c>
      <c r="J63" s="59">
        <f t="shared" si="36"/>
        <v>1435</v>
      </c>
      <c r="L63" s="57" t="s">
        <v>42</v>
      </c>
      <c r="M63" s="58">
        <v>0</v>
      </c>
      <c r="N63" s="58">
        <v>0</v>
      </c>
      <c r="O63" s="58">
        <v>0</v>
      </c>
      <c r="P63" s="58">
        <v>0</v>
      </c>
      <c r="Q63" s="58">
        <v>175</v>
      </c>
      <c r="R63" s="58">
        <v>0</v>
      </c>
      <c r="S63" s="58">
        <v>0</v>
      </c>
      <c r="T63" s="58">
        <v>0</v>
      </c>
      <c r="U63" s="59">
        <f t="shared" si="37"/>
        <v>175</v>
      </c>
      <c r="W63" s="57" t="s">
        <v>42</v>
      </c>
      <c r="X63" s="60">
        <v>0</v>
      </c>
      <c r="Y63" s="60">
        <v>0</v>
      </c>
      <c r="Z63" s="60">
        <v>0</v>
      </c>
      <c r="AA63" s="60">
        <v>0</v>
      </c>
      <c r="AB63" s="60">
        <v>8</v>
      </c>
      <c r="AC63" s="60">
        <v>0</v>
      </c>
      <c r="AD63" s="60">
        <v>0</v>
      </c>
      <c r="AE63" s="60">
        <v>0</v>
      </c>
      <c r="AF63" s="61">
        <f t="shared" si="38"/>
        <v>8</v>
      </c>
      <c r="AH63" s="57" t="s">
        <v>42</v>
      </c>
      <c r="AI63" s="60">
        <v>0</v>
      </c>
      <c r="AJ63" s="60">
        <v>0</v>
      </c>
      <c r="AK63" s="60">
        <v>0</v>
      </c>
      <c r="AL63" s="60">
        <v>0</v>
      </c>
      <c r="AM63" s="60">
        <v>0</v>
      </c>
      <c r="AN63" s="60">
        <v>0</v>
      </c>
      <c r="AO63" s="60">
        <v>0</v>
      </c>
      <c r="AP63" s="60">
        <v>0</v>
      </c>
      <c r="AQ63" s="61">
        <f t="shared" si="39"/>
        <v>0</v>
      </c>
    </row>
    <row r="64" spans="1:43" x14ac:dyDescent="0.25">
      <c r="A64" s="57" t="s">
        <v>43</v>
      </c>
      <c r="B64" s="58">
        <v>0</v>
      </c>
      <c r="C64" s="58">
        <v>0</v>
      </c>
      <c r="D64" s="58">
        <v>0</v>
      </c>
      <c r="E64" s="58">
        <v>0</v>
      </c>
      <c r="F64" s="58">
        <v>300</v>
      </c>
      <c r="G64" s="58">
        <v>0</v>
      </c>
      <c r="H64" s="58">
        <v>6</v>
      </c>
      <c r="I64" s="58">
        <v>0</v>
      </c>
      <c r="J64" s="59">
        <f t="shared" si="36"/>
        <v>306</v>
      </c>
      <c r="L64" s="57" t="s">
        <v>43</v>
      </c>
      <c r="M64" s="58">
        <v>1</v>
      </c>
      <c r="N64" s="58">
        <v>0</v>
      </c>
      <c r="O64" s="58">
        <v>0</v>
      </c>
      <c r="P64" s="58">
        <v>0</v>
      </c>
      <c r="Q64" s="58">
        <v>254</v>
      </c>
      <c r="R64" s="58">
        <v>0</v>
      </c>
      <c r="S64" s="58">
        <v>0</v>
      </c>
      <c r="T64" s="58">
        <v>0</v>
      </c>
      <c r="U64" s="59">
        <f t="shared" si="37"/>
        <v>255</v>
      </c>
      <c r="W64" s="57" t="s">
        <v>43</v>
      </c>
      <c r="X64" s="60">
        <v>0</v>
      </c>
      <c r="Y64" s="60">
        <v>0</v>
      </c>
      <c r="Z64" s="60">
        <v>0</v>
      </c>
      <c r="AA64" s="60">
        <v>0</v>
      </c>
      <c r="AB64" s="60">
        <v>5</v>
      </c>
      <c r="AC64" s="60">
        <v>0</v>
      </c>
      <c r="AD64" s="60">
        <v>0</v>
      </c>
      <c r="AE64" s="60">
        <v>0</v>
      </c>
      <c r="AF64" s="61">
        <f t="shared" si="38"/>
        <v>5</v>
      </c>
      <c r="AH64" s="57" t="s">
        <v>43</v>
      </c>
      <c r="AI64" s="60">
        <v>0</v>
      </c>
      <c r="AJ64" s="60">
        <v>0</v>
      </c>
      <c r="AK64" s="60">
        <v>0</v>
      </c>
      <c r="AL64" s="60">
        <v>0</v>
      </c>
      <c r="AM64" s="60">
        <v>0</v>
      </c>
      <c r="AN64" s="60">
        <v>0</v>
      </c>
      <c r="AO64" s="60">
        <v>0</v>
      </c>
      <c r="AP64" s="60">
        <v>0</v>
      </c>
      <c r="AQ64" s="61">
        <f t="shared" si="39"/>
        <v>0</v>
      </c>
    </row>
    <row r="65" spans="1:43" x14ac:dyDescent="0.25">
      <c r="A65" s="57" t="s">
        <v>44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9">
        <f t="shared" si="36"/>
        <v>0</v>
      </c>
      <c r="L65" s="57" t="s">
        <v>44</v>
      </c>
      <c r="M65" s="58">
        <v>0</v>
      </c>
      <c r="N65" s="58">
        <v>0</v>
      </c>
      <c r="O65" s="58">
        <v>0</v>
      </c>
      <c r="P65" s="58">
        <v>0</v>
      </c>
      <c r="Q65" s="58">
        <v>198</v>
      </c>
      <c r="R65" s="58">
        <v>0</v>
      </c>
      <c r="S65" s="58">
        <v>2</v>
      </c>
      <c r="T65" s="58">
        <v>0</v>
      </c>
      <c r="U65" s="59">
        <f t="shared" si="37"/>
        <v>200</v>
      </c>
      <c r="W65" s="57" t="s">
        <v>44</v>
      </c>
      <c r="X65" s="60">
        <v>0</v>
      </c>
      <c r="Y65" s="60">
        <v>0</v>
      </c>
      <c r="Z65" s="60">
        <v>0</v>
      </c>
      <c r="AA65" s="60">
        <v>0</v>
      </c>
      <c r="AB65" s="60">
        <v>1</v>
      </c>
      <c r="AC65" s="60">
        <v>0</v>
      </c>
      <c r="AD65" s="60">
        <v>0</v>
      </c>
      <c r="AE65" s="60">
        <v>0</v>
      </c>
      <c r="AF65" s="61">
        <f t="shared" si="38"/>
        <v>1</v>
      </c>
      <c r="AH65" s="57" t="s">
        <v>44</v>
      </c>
      <c r="AI65" s="60">
        <v>0</v>
      </c>
      <c r="AJ65" s="60">
        <v>0</v>
      </c>
      <c r="AK65" s="60">
        <v>0</v>
      </c>
      <c r="AL65" s="60">
        <v>0</v>
      </c>
      <c r="AM65" s="60">
        <v>0</v>
      </c>
      <c r="AN65" s="60">
        <v>0</v>
      </c>
      <c r="AO65" s="60">
        <v>0</v>
      </c>
      <c r="AP65" s="60">
        <v>0</v>
      </c>
      <c r="AQ65" s="61">
        <f t="shared" si="39"/>
        <v>0</v>
      </c>
    </row>
    <row r="66" spans="1:43" x14ac:dyDescent="0.25">
      <c r="A66" s="57" t="s">
        <v>45</v>
      </c>
      <c r="B66" s="58">
        <v>0</v>
      </c>
      <c r="C66" s="58">
        <v>0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9">
        <f t="shared" si="36"/>
        <v>0</v>
      </c>
      <c r="L66" s="57" t="s">
        <v>45</v>
      </c>
      <c r="M66" s="58">
        <v>0</v>
      </c>
      <c r="N66" s="58">
        <v>3</v>
      </c>
      <c r="O66" s="58">
        <v>0</v>
      </c>
      <c r="P66" s="58">
        <v>0</v>
      </c>
      <c r="Q66" s="58">
        <v>303</v>
      </c>
      <c r="R66" s="58">
        <v>0</v>
      </c>
      <c r="S66" s="58">
        <v>1</v>
      </c>
      <c r="T66" s="58">
        <v>0</v>
      </c>
      <c r="U66" s="59">
        <f t="shared" si="37"/>
        <v>307</v>
      </c>
      <c r="W66" s="57" t="s">
        <v>45</v>
      </c>
      <c r="X66" s="60">
        <v>0</v>
      </c>
      <c r="Y66" s="60">
        <v>0</v>
      </c>
      <c r="Z66" s="60">
        <v>0</v>
      </c>
      <c r="AA66" s="60">
        <v>0</v>
      </c>
      <c r="AB66" s="60">
        <v>3</v>
      </c>
      <c r="AC66" s="60">
        <v>0</v>
      </c>
      <c r="AD66" s="60">
        <v>0</v>
      </c>
      <c r="AE66" s="60">
        <v>0</v>
      </c>
      <c r="AF66" s="61">
        <f t="shared" si="38"/>
        <v>3</v>
      </c>
      <c r="AH66" s="57" t="s">
        <v>45</v>
      </c>
      <c r="AI66" s="60">
        <v>0</v>
      </c>
      <c r="AJ66" s="60">
        <v>0</v>
      </c>
      <c r="AK66" s="60">
        <v>0</v>
      </c>
      <c r="AL66" s="60">
        <v>0</v>
      </c>
      <c r="AM66" s="60">
        <v>0</v>
      </c>
      <c r="AN66" s="60">
        <v>0</v>
      </c>
      <c r="AO66" s="60">
        <v>0</v>
      </c>
      <c r="AP66" s="60">
        <v>0</v>
      </c>
      <c r="AQ66" s="61">
        <f t="shared" si="39"/>
        <v>0</v>
      </c>
    </row>
    <row r="67" spans="1:43" x14ac:dyDescent="0.25">
      <c r="A67" s="57" t="s">
        <v>46</v>
      </c>
      <c r="B67" s="58">
        <v>0</v>
      </c>
      <c r="C67" s="58">
        <v>0</v>
      </c>
      <c r="D67" s="58">
        <v>0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9">
        <f t="shared" si="36"/>
        <v>0</v>
      </c>
      <c r="L67" s="57" t="s">
        <v>46</v>
      </c>
      <c r="M67" s="58">
        <v>0</v>
      </c>
      <c r="N67" s="58">
        <v>0</v>
      </c>
      <c r="O67" s="58">
        <v>0</v>
      </c>
      <c r="P67" s="58">
        <v>0</v>
      </c>
      <c r="Q67" s="58">
        <v>530</v>
      </c>
      <c r="R67" s="58">
        <v>0</v>
      </c>
      <c r="S67" s="58">
        <v>3</v>
      </c>
      <c r="T67" s="58">
        <v>2</v>
      </c>
      <c r="U67" s="59">
        <f t="shared" si="37"/>
        <v>535</v>
      </c>
      <c r="W67" s="57" t="s">
        <v>46</v>
      </c>
      <c r="X67" s="60">
        <v>0</v>
      </c>
      <c r="Y67" s="60">
        <v>0</v>
      </c>
      <c r="Z67" s="60">
        <v>0</v>
      </c>
      <c r="AA67" s="60">
        <v>0</v>
      </c>
      <c r="AB67" s="60">
        <v>3</v>
      </c>
      <c r="AC67" s="60">
        <v>0</v>
      </c>
      <c r="AD67" s="60">
        <v>0</v>
      </c>
      <c r="AE67" s="60">
        <v>0</v>
      </c>
      <c r="AF67" s="61">
        <f t="shared" si="38"/>
        <v>3</v>
      </c>
      <c r="AH67" s="57" t="s">
        <v>46</v>
      </c>
      <c r="AI67" s="60">
        <v>0</v>
      </c>
      <c r="AJ67" s="60">
        <v>0</v>
      </c>
      <c r="AK67" s="60">
        <v>0</v>
      </c>
      <c r="AL67" s="60">
        <v>0</v>
      </c>
      <c r="AM67" s="60">
        <v>0</v>
      </c>
      <c r="AN67" s="60">
        <v>0</v>
      </c>
      <c r="AO67" s="60">
        <v>0</v>
      </c>
      <c r="AP67" s="60">
        <v>0</v>
      </c>
      <c r="AQ67" s="61">
        <f t="shared" si="39"/>
        <v>0</v>
      </c>
    </row>
    <row r="68" spans="1:43" x14ac:dyDescent="0.25">
      <c r="A68" s="57" t="s">
        <v>47</v>
      </c>
      <c r="B68" s="58">
        <v>0</v>
      </c>
      <c r="C68" s="58">
        <v>0</v>
      </c>
      <c r="D68" s="58">
        <v>0</v>
      </c>
      <c r="E68" s="58">
        <v>0</v>
      </c>
      <c r="F68" s="58">
        <v>0</v>
      </c>
      <c r="G68" s="58">
        <v>0</v>
      </c>
      <c r="H68" s="58">
        <v>0</v>
      </c>
      <c r="I68" s="58">
        <v>0</v>
      </c>
      <c r="J68" s="59">
        <f t="shared" si="36"/>
        <v>0</v>
      </c>
      <c r="L68" s="57" t="s">
        <v>47</v>
      </c>
      <c r="M68" s="58">
        <v>0</v>
      </c>
      <c r="N68" s="58">
        <v>0</v>
      </c>
      <c r="O68" s="58">
        <v>0</v>
      </c>
      <c r="P68" s="58">
        <v>0</v>
      </c>
      <c r="Q68" s="58">
        <v>516</v>
      </c>
      <c r="R68" s="58">
        <v>0</v>
      </c>
      <c r="S68" s="58">
        <v>11</v>
      </c>
      <c r="T68" s="58">
        <v>6</v>
      </c>
      <c r="U68" s="59">
        <f t="shared" si="37"/>
        <v>533</v>
      </c>
      <c r="W68" s="57" t="s">
        <v>47</v>
      </c>
      <c r="X68" s="60">
        <v>0</v>
      </c>
      <c r="Y68" s="60">
        <v>0</v>
      </c>
      <c r="Z68" s="60">
        <v>0</v>
      </c>
      <c r="AA68" s="60">
        <v>0</v>
      </c>
      <c r="AB68" s="60">
        <v>0</v>
      </c>
      <c r="AC68" s="60">
        <v>0</v>
      </c>
      <c r="AD68" s="60">
        <v>0</v>
      </c>
      <c r="AE68" s="60">
        <v>0</v>
      </c>
      <c r="AF68" s="61">
        <f t="shared" si="38"/>
        <v>0</v>
      </c>
      <c r="AH68" s="57" t="s">
        <v>47</v>
      </c>
      <c r="AI68" s="60">
        <v>0</v>
      </c>
      <c r="AJ68" s="60">
        <v>0</v>
      </c>
      <c r="AK68" s="60">
        <v>0</v>
      </c>
      <c r="AL68" s="60">
        <v>0</v>
      </c>
      <c r="AM68" s="60">
        <v>0</v>
      </c>
      <c r="AN68" s="60">
        <v>0</v>
      </c>
      <c r="AO68" s="60">
        <v>0</v>
      </c>
      <c r="AP68" s="60">
        <v>0</v>
      </c>
      <c r="AQ68" s="61">
        <f t="shared" si="39"/>
        <v>0</v>
      </c>
    </row>
    <row r="69" spans="1:43" x14ac:dyDescent="0.25">
      <c r="A69" s="57" t="s">
        <v>48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9">
        <f t="shared" si="36"/>
        <v>0</v>
      </c>
      <c r="L69" s="57" t="s">
        <v>48</v>
      </c>
      <c r="M69" s="58">
        <v>3</v>
      </c>
      <c r="N69" s="58">
        <v>0</v>
      </c>
      <c r="O69" s="58">
        <v>0</v>
      </c>
      <c r="P69" s="58">
        <v>0</v>
      </c>
      <c r="Q69" s="58">
        <v>875</v>
      </c>
      <c r="R69" s="58">
        <v>0</v>
      </c>
      <c r="S69" s="58">
        <v>16</v>
      </c>
      <c r="T69" s="58">
        <v>9</v>
      </c>
      <c r="U69" s="59">
        <f t="shared" si="37"/>
        <v>903</v>
      </c>
      <c r="W69" s="57" t="s">
        <v>48</v>
      </c>
      <c r="X69" s="60">
        <v>0</v>
      </c>
      <c r="Y69" s="60">
        <v>0</v>
      </c>
      <c r="Z69" s="60">
        <v>0</v>
      </c>
      <c r="AA69" s="60">
        <v>0</v>
      </c>
      <c r="AB69" s="60">
        <v>0</v>
      </c>
      <c r="AC69" s="60">
        <v>0</v>
      </c>
      <c r="AD69" s="60">
        <v>0</v>
      </c>
      <c r="AE69" s="60">
        <v>0</v>
      </c>
      <c r="AF69" s="61">
        <f t="shared" si="38"/>
        <v>0</v>
      </c>
      <c r="AH69" s="57" t="s">
        <v>48</v>
      </c>
      <c r="AI69" s="60">
        <v>0</v>
      </c>
      <c r="AJ69" s="60">
        <v>0</v>
      </c>
      <c r="AK69" s="60">
        <v>0</v>
      </c>
      <c r="AL69" s="60">
        <v>0</v>
      </c>
      <c r="AM69" s="60">
        <v>0</v>
      </c>
      <c r="AN69" s="60">
        <v>0</v>
      </c>
      <c r="AO69" s="60">
        <v>0</v>
      </c>
      <c r="AP69" s="60">
        <v>0</v>
      </c>
      <c r="AQ69" s="61">
        <f t="shared" si="39"/>
        <v>0</v>
      </c>
    </row>
    <row r="70" spans="1:43" x14ac:dyDescent="0.25">
      <c r="A70" s="57" t="s">
        <v>49</v>
      </c>
      <c r="B70" s="58">
        <v>0</v>
      </c>
      <c r="C70" s="58">
        <v>0</v>
      </c>
      <c r="D70" s="58">
        <v>0</v>
      </c>
      <c r="E70" s="58">
        <v>0</v>
      </c>
      <c r="F70" s="58">
        <v>0</v>
      </c>
      <c r="G70" s="58">
        <v>0</v>
      </c>
      <c r="H70" s="58">
        <v>0</v>
      </c>
      <c r="I70" s="58">
        <v>0</v>
      </c>
      <c r="J70" s="59">
        <f t="shared" si="36"/>
        <v>0</v>
      </c>
      <c r="L70" s="57" t="s">
        <v>49</v>
      </c>
      <c r="M70" s="58">
        <v>1</v>
      </c>
      <c r="N70" s="58">
        <v>1</v>
      </c>
      <c r="O70" s="58">
        <v>0</v>
      </c>
      <c r="P70" s="58">
        <v>0</v>
      </c>
      <c r="Q70" s="58">
        <v>1082</v>
      </c>
      <c r="R70" s="58">
        <v>0</v>
      </c>
      <c r="S70" s="58">
        <v>14</v>
      </c>
      <c r="T70" s="58">
        <v>6</v>
      </c>
      <c r="U70" s="59">
        <f t="shared" si="37"/>
        <v>1104</v>
      </c>
      <c r="W70" s="57" t="s">
        <v>49</v>
      </c>
      <c r="X70" s="60">
        <v>0</v>
      </c>
      <c r="Y70" s="60">
        <v>0</v>
      </c>
      <c r="Z70" s="60">
        <v>0</v>
      </c>
      <c r="AA70" s="60">
        <v>0</v>
      </c>
      <c r="AB70" s="60">
        <v>7</v>
      </c>
      <c r="AC70" s="60">
        <v>0</v>
      </c>
      <c r="AD70" s="60">
        <v>0</v>
      </c>
      <c r="AE70" s="60">
        <v>0</v>
      </c>
      <c r="AF70" s="61">
        <f t="shared" si="38"/>
        <v>7</v>
      </c>
      <c r="AH70" s="57" t="s">
        <v>49</v>
      </c>
      <c r="AI70" s="60">
        <v>0</v>
      </c>
      <c r="AJ70" s="60">
        <v>0</v>
      </c>
      <c r="AK70" s="60">
        <v>0</v>
      </c>
      <c r="AL70" s="60">
        <v>0</v>
      </c>
      <c r="AM70" s="60">
        <v>1</v>
      </c>
      <c r="AN70" s="60">
        <v>0</v>
      </c>
      <c r="AO70" s="60">
        <v>0</v>
      </c>
      <c r="AP70" s="60">
        <v>0</v>
      </c>
      <c r="AQ70" s="61">
        <f t="shared" si="39"/>
        <v>1</v>
      </c>
    </row>
    <row r="71" spans="1:43" x14ac:dyDescent="0.25">
      <c r="A71" s="57" t="s">
        <v>50</v>
      </c>
      <c r="B71" s="58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9">
        <f t="shared" si="36"/>
        <v>0</v>
      </c>
      <c r="L71" s="57" t="s">
        <v>50</v>
      </c>
      <c r="M71" s="58">
        <v>4</v>
      </c>
      <c r="N71" s="58">
        <v>0</v>
      </c>
      <c r="O71" s="58">
        <v>0</v>
      </c>
      <c r="P71" s="58">
        <v>0</v>
      </c>
      <c r="Q71" s="58">
        <v>1170</v>
      </c>
      <c r="R71" s="58">
        <v>0</v>
      </c>
      <c r="S71" s="58">
        <v>39</v>
      </c>
      <c r="T71" s="58">
        <v>20</v>
      </c>
      <c r="U71" s="59">
        <f t="shared" si="37"/>
        <v>1233</v>
      </c>
      <c r="W71" s="57" t="s">
        <v>50</v>
      </c>
      <c r="X71" s="60">
        <v>0</v>
      </c>
      <c r="Y71" s="60">
        <v>0</v>
      </c>
      <c r="Z71" s="60">
        <v>0</v>
      </c>
      <c r="AA71" s="60">
        <v>0</v>
      </c>
      <c r="AB71" s="60">
        <v>17</v>
      </c>
      <c r="AC71" s="60">
        <v>0</v>
      </c>
      <c r="AD71" s="60">
        <v>0</v>
      </c>
      <c r="AE71" s="60">
        <v>0</v>
      </c>
      <c r="AF71" s="61">
        <f t="shared" si="38"/>
        <v>17</v>
      </c>
      <c r="AH71" s="57" t="s">
        <v>50</v>
      </c>
      <c r="AI71" s="60">
        <v>0</v>
      </c>
      <c r="AJ71" s="60">
        <v>0</v>
      </c>
      <c r="AK71" s="60">
        <v>0</v>
      </c>
      <c r="AL71" s="60">
        <v>0</v>
      </c>
      <c r="AM71" s="60">
        <v>0</v>
      </c>
      <c r="AN71" s="60">
        <v>0</v>
      </c>
      <c r="AO71" s="60">
        <v>0</v>
      </c>
      <c r="AP71" s="60">
        <v>0</v>
      </c>
      <c r="AQ71" s="61">
        <f t="shared" si="39"/>
        <v>0</v>
      </c>
    </row>
    <row r="72" spans="1:43" s="47" customFormat="1" x14ac:dyDescent="0.25">
      <c r="A72" s="62" t="s">
        <v>9</v>
      </c>
      <c r="B72" s="63">
        <f>SUM(B60:B71)</f>
        <v>62</v>
      </c>
      <c r="C72" s="63">
        <f t="shared" ref="C72:J72" si="40">SUM(C60:C71)</f>
        <v>0</v>
      </c>
      <c r="D72" s="63">
        <f t="shared" si="40"/>
        <v>0</v>
      </c>
      <c r="E72" s="63">
        <f t="shared" si="40"/>
        <v>0</v>
      </c>
      <c r="F72" s="63">
        <f t="shared" si="40"/>
        <v>6768</v>
      </c>
      <c r="G72" s="63">
        <f t="shared" si="40"/>
        <v>0</v>
      </c>
      <c r="H72" s="63">
        <f t="shared" si="40"/>
        <v>110</v>
      </c>
      <c r="I72" s="63">
        <f t="shared" si="40"/>
        <v>83</v>
      </c>
      <c r="J72" s="63">
        <f t="shared" si="40"/>
        <v>7023</v>
      </c>
      <c r="L72" s="62" t="s">
        <v>9</v>
      </c>
      <c r="M72" s="63">
        <f>SUM(M60:M71)</f>
        <v>9</v>
      </c>
      <c r="N72" s="63">
        <f t="shared" ref="N72:U72" si="41">SUM(N60:N71)</f>
        <v>4</v>
      </c>
      <c r="O72" s="63">
        <f t="shared" si="41"/>
        <v>0</v>
      </c>
      <c r="P72" s="63">
        <f t="shared" si="41"/>
        <v>0</v>
      </c>
      <c r="Q72" s="63">
        <f t="shared" si="41"/>
        <v>5214</v>
      </c>
      <c r="R72" s="63">
        <f t="shared" si="41"/>
        <v>0</v>
      </c>
      <c r="S72" s="63">
        <f t="shared" si="41"/>
        <v>86</v>
      </c>
      <c r="T72" s="63">
        <f t="shared" si="41"/>
        <v>43</v>
      </c>
      <c r="U72" s="63">
        <f t="shared" si="41"/>
        <v>5356</v>
      </c>
      <c r="W72" s="62" t="s">
        <v>9</v>
      </c>
      <c r="X72" s="63">
        <f>SUM(X60:X71)</f>
        <v>0</v>
      </c>
      <c r="Y72" s="63">
        <f t="shared" ref="Y72:AF72" si="42">SUM(Y60:Y71)</f>
        <v>0</v>
      </c>
      <c r="Z72" s="63">
        <f t="shared" si="42"/>
        <v>0</v>
      </c>
      <c r="AA72" s="63">
        <f t="shared" si="42"/>
        <v>0</v>
      </c>
      <c r="AB72" s="63">
        <f t="shared" si="42"/>
        <v>47</v>
      </c>
      <c r="AC72" s="63">
        <f t="shared" si="42"/>
        <v>0</v>
      </c>
      <c r="AD72" s="63">
        <f t="shared" si="42"/>
        <v>0</v>
      </c>
      <c r="AE72" s="63">
        <f t="shared" si="42"/>
        <v>0</v>
      </c>
      <c r="AF72" s="63">
        <f t="shared" si="42"/>
        <v>47</v>
      </c>
      <c r="AH72" s="62" t="s">
        <v>9</v>
      </c>
      <c r="AI72" s="63">
        <f>SUM(AI60:AI71)</f>
        <v>0</v>
      </c>
      <c r="AJ72" s="63">
        <f t="shared" ref="AJ72:AQ72" si="43">SUM(AJ60:AJ71)</f>
        <v>0</v>
      </c>
      <c r="AK72" s="63">
        <f t="shared" si="43"/>
        <v>0</v>
      </c>
      <c r="AL72" s="63">
        <f t="shared" si="43"/>
        <v>0</v>
      </c>
      <c r="AM72" s="63">
        <f t="shared" si="43"/>
        <v>1</v>
      </c>
      <c r="AN72" s="63">
        <f t="shared" si="43"/>
        <v>0</v>
      </c>
      <c r="AO72" s="63">
        <f t="shared" si="43"/>
        <v>0</v>
      </c>
      <c r="AP72" s="63">
        <f t="shared" si="43"/>
        <v>0</v>
      </c>
      <c r="AQ72" s="63">
        <f t="shared" si="43"/>
        <v>1</v>
      </c>
    </row>
    <row r="73" spans="1:43" s="47" customFormat="1" x14ac:dyDescent="0.25">
      <c r="A73" s="64" t="s">
        <v>55</v>
      </c>
      <c r="B73" s="65">
        <f>IFERROR(B72/$J72,"-")</f>
        <v>8.8281361241634628E-3</v>
      </c>
      <c r="C73" s="65">
        <f t="shared" ref="C73:J73" si="44">IFERROR(C72/$J72,"-")</f>
        <v>0</v>
      </c>
      <c r="D73" s="65">
        <f t="shared" si="44"/>
        <v>0</v>
      </c>
      <c r="E73" s="65">
        <f t="shared" si="44"/>
        <v>0</v>
      </c>
      <c r="F73" s="65">
        <f t="shared" si="44"/>
        <v>0.96369073045706966</v>
      </c>
      <c r="G73" s="65">
        <f t="shared" si="44"/>
        <v>0</v>
      </c>
      <c r="H73" s="65">
        <f t="shared" si="44"/>
        <v>1.5662822155773887E-2</v>
      </c>
      <c r="I73" s="65">
        <f t="shared" si="44"/>
        <v>1.1818311262993023E-2</v>
      </c>
      <c r="J73" s="65">
        <f t="shared" si="44"/>
        <v>1</v>
      </c>
      <c r="L73" s="64" t="s">
        <v>55</v>
      </c>
      <c r="M73" s="65">
        <f>IFERROR(M72/$U72,"-")</f>
        <v>1.6803584764749813E-3</v>
      </c>
      <c r="N73" s="65">
        <f t="shared" ref="N73:U73" si="45">IFERROR(N72/$U72,"-")</f>
        <v>7.468259895444362E-4</v>
      </c>
      <c r="O73" s="65">
        <f t="shared" si="45"/>
        <v>0</v>
      </c>
      <c r="P73" s="65">
        <f t="shared" si="45"/>
        <v>0</v>
      </c>
      <c r="Q73" s="65">
        <f t="shared" si="45"/>
        <v>0.97348767737117248</v>
      </c>
      <c r="R73" s="65">
        <f t="shared" si="45"/>
        <v>0</v>
      </c>
      <c r="S73" s="65">
        <f t="shared" si="45"/>
        <v>1.6056758775205376E-2</v>
      </c>
      <c r="T73" s="65">
        <f t="shared" si="45"/>
        <v>8.0283793876026882E-3</v>
      </c>
      <c r="U73" s="65">
        <f t="shared" si="45"/>
        <v>1</v>
      </c>
      <c r="W73" s="64" t="s">
        <v>55</v>
      </c>
      <c r="X73" s="65">
        <f t="shared" ref="X73:AF73" si="46">X72/$AF72</f>
        <v>0</v>
      </c>
      <c r="Y73" s="65">
        <f t="shared" si="46"/>
        <v>0</v>
      </c>
      <c r="Z73" s="65">
        <f t="shared" si="46"/>
        <v>0</v>
      </c>
      <c r="AA73" s="65">
        <f t="shared" si="46"/>
        <v>0</v>
      </c>
      <c r="AB73" s="65">
        <f t="shared" si="46"/>
        <v>1</v>
      </c>
      <c r="AC73" s="65">
        <f t="shared" si="46"/>
        <v>0</v>
      </c>
      <c r="AD73" s="65">
        <f t="shared" si="46"/>
        <v>0</v>
      </c>
      <c r="AE73" s="65">
        <f t="shared" si="46"/>
        <v>0</v>
      </c>
      <c r="AF73" s="65">
        <f t="shared" si="46"/>
        <v>1</v>
      </c>
      <c r="AH73" s="64" t="s">
        <v>55</v>
      </c>
      <c r="AI73" s="65">
        <f t="shared" ref="AI73:AQ73" si="47">AI72/$AQ72</f>
        <v>0</v>
      </c>
      <c r="AJ73" s="65">
        <f t="shared" si="47"/>
        <v>0</v>
      </c>
      <c r="AK73" s="65">
        <f t="shared" si="47"/>
        <v>0</v>
      </c>
      <c r="AL73" s="65">
        <f t="shared" si="47"/>
        <v>0</v>
      </c>
      <c r="AM73" s="65">
        <f t="shared" si="47"/>
        <v>1</v>
      </c>
      <c r="AN73" s="65">
        <f t="shared" si="47"/>
        <v>0</v>
      </c>
      <c r="AO73" s="65">
        <f t="shared" si="47"/>
        <v>0</v>
      </c>
      <c r="AP73" s="65">
        <f t="shared" si="47"/>
        <v>0</v>
      </c>
      <c r="AQ73" s="65">
        <f t="shared" si="47"/>
        <v>1</v>
      </c>
    </row>
    <row r="74" spans="1:43" ht="16.899999999999999" customHeight="1" x14ac:dyDescent="0.25">
      <c r="A74" s="70"/>
      <c r="B74" s="70"/>
      <c r="C74" s="70"/>
      <c r="D74" s="70"/>
      <c r="E74" s="70"/>
      <c r="F74" s="70"/>
      <c r="G74" s="70"/>
      <c r="H74" s="70"/>
      <c r="I74" s="70"/>
      <c r="J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6" spans="1:43" x14ac:dyDescent="0.25">
      <c r="A76" s="96" t="s">
        <v>56</v>
      </c>
      <c r="B76" s="96"/>
      <c r="C76" s="96"/>
      <c r="D76" s="96"/>
      <c r="E76" s="96"/>
      <c r="F76" s="96"/>
      <c r="G76" s="96"/>
      <c r="H76" s="96"/>
      <c r="I76" s="96"/>
      <c r="J76" s="96"/>
      <c r="L76" s="96" t="s">
        <v>56</v>
      </c>
      <c r="M76" s="96"/>
      <c r="N76" s="96"/>
      <c r="O76" s="96"/>
      <c r="P76" s="96"/>
      <c r="Q76" s="96"/>
      <c r="R76" s="96"/>
      <c r="S76" s="96"/>
      <c r="T76" s="96"/>
      <c r="U76" s="96"/>
      <c r="W76" s="111" t="s">
        <v>56</v>
      </c>
      <c r="X76" s="112"/>
      <c r="Y76" s="112"/>
      <c r="Z76" s="112"/>
      <c r="AA76" s="112"/>
      <c r="AB76" s="112"/>
      <c r="AC76" s="112"/>
      <c r="AD76" s="112"/>
      <c r="AE76" s="112"/>
      <c r="AF76" s="113"/>
      <c r="AH76" s="96" t="s">
        <v>56</v>
      </c>
      <c r="AI76" s="96"/>
      <c r="AJ76" s="96"/>
      <c r="AK76" s="96"/>
      <c r="AL76" s="96"/>
      <c r="AM76" s="96"/>
      <c r="AN76" s="96"/>
      <c r="AO76" s="96"/>
      <c r="AP76" s="96"/>
      <c r="AQ76" s="96"/>
    </row>
    <row r="77" spans="1:43" x14ac:dyDescent="0.25">
      <c r="A77" s="54" t="s">
        <v>38</v>
      </c>
      <c r="B77" s="97" t="s">
        <v>3</v>
      </c>
      <c r="C77" s="97"/>
      <c r="D77" s="98" t="s">
        <v>4</v>
      </c>
      <c r="E77" s="99" t="s">
        <v>5</v>
      </c>
      <c r="F77" s="100"/>
      <c r="G77" s="98" t="s">
        <v>7</v>
      </c>
      <c r="H77" s="97" t="s">
        <v>8</v>
      </c>
      <c r="I77" s="97"/>
      <c r="J77" s="54" t="s">
        <v>9</v>
      </c>
      <c r="L77" s="54" t="s">
        <v>38</v>
      </c>
      <c r="M77" s="97" t="s">
        <v>3</v>
      </c>
      <c r="N77" s="97"/>
      <c r="O77" s="98" t="s">
        <v>4</v>
      </c>
      <c r="P77" s="99" t="s">
        <v>5</v>
      </c>
      <c r="Q77" s="100"/>
      <c r="R77" s="98" t="s">
        <v>7</v>
      </c>
      <c r="S77" s="97" t="s">
        <v>8</v>
      </c>
      <c r="T77" s="97"/>
      <c r="U77" s="54" t="s">
        <v>9</v>
      </c>
      <c r="W77" s="55" t="s">
        <v>38</v>
      </c>
      <c r="X77" s="101" t="s">
        <v>3</v>
      </c>
      <c r="Y77" s="102"/>
      <c r="Z77" s="103" t="s">
        <v>4</v>
      </c>
      <c r="AA77" s="99" t="s">
        <v>5</v>
      </c>
      <c r="AB77" s="100"/>
      <c r="AC77" s="103" t="s">
        <v>7</v>
      </c>
      <c r="AD77" s="101" t="s">
        <v>8</v>
      </c>
      <c r="AE77" s="102"/>
      <c r="AF77" s="114" t="s">
        <v>9</v>
      </c>
      <c r="AH77" s="54" t="s">
        <v>38</v>
      </c>
      <c r="AI77" s="104" t="s">
        <v>3</v>
      </c>
      <c r="AJ77" s="104"/>
      <c r="AK77" s="103" t="s">
        <v>4</v>
      </c>
      <c r="AL77" s="99" t="s">
        <v>5</v>
      </c>
      <c r="AM77" s="100"/>
      <c r="AN77" s="103" t="s">
        <v>7</v>
      </c>
      <c r="AO77" s="104" t="s">
        <v>8</v>
      </c>
      <c r="AP77" s="104"/>
      <c r="AQ77" s="105" t="s">
        <v>9</v>
      </c>
    </row>
    <row r="78" spans="1:43" ht="45" x14ac:dyDescent="0.25">
      <c r="A78" s="54"/>
      <c r="B78" s="79" t="s">
        <v>10</v>
      </c>
      <c r="C78" s="79" t="s">
        <v>11</v>
      </c>
      <c r="D78" s="79" t="s">
        <v>12</v>
      </c>
      <c r="E78" s="79" t="s">
        <v>13</v>
      </c>
      <c r="F78" s="79" t="s">
        <v>14</v>
      </c>
      <c r="G78" s="79" t="s">
        <v>16</v>
      </c>
      <c r="H78" s="79" t="s">
        <v>17</v>
      </c>
      <c r="I78" s="79" t="s">
        <v>18</v>
      </c>
      <c r="J78" s="54"/>
      <c r="L78" s="54"/>
      <c r="M78" s="79" t="s">
        <v>10</v>
      </c>
      <c r="N78" s="79" t="s">
        <v>11</v>
      </c>
      <c r="O78" s="79" t="s">
        <v>12</v>
      </c>
      <c r="P78" s="79" t="s">
        <v>13</v>
      </c>
      <c r="Q78" s="79" t="s">
        <v>14</v>
      </c>
      <c r="R78" s="79" t="s">
        <v>16</v>
      </c>
      <c r="S78" s="79" t="s">
        <v>17</v>
      </c>
      <c r="T78" s="79" t="s">
        <v>18</v>
      </c>
      <c r="U78" s="54"/>
      <c r="W78" s="56"/>
      <c r="X78" s="109" t="s">
        <v>10</v>
      </c>
      <c r="Y78" s="109" t="s">
        <v>11</v>
      </c>
      <c r="Z78" s="109" t="s">
        <v>12</v>
      </c>
      <c r="AA78" s="109" t="s">
        <v>13</v>
      </c>
      <c r="AB78" s="109" t="s">
        <v>14</v>
      </c>
      <c r="AC78" s="109" t="s">
        <v>16</v>
      </c>
      <c r="AD78" s="109" t="s">
        <v>17</v>
      </c>
      <c r="AE78" s="109" t="s">
        <v>18</v>
      </c>
      <c r="AF78" s="115"/>
      <c r="AH78" s="54"/>
      <c r="AI78" s="109" t="s">
        <v>10</v>
      </c>
      <c r="AJ78" s="109" t="s">
        <v>11</v>
      </c>
      <c r="AK78" s="109" t="s">
        <v>12</v>
      </c>
      <c r="AL78" s="109" t="s">
        <v>13</v>
      </c>
      <c r="AM78" s="109" t="s">
        <v>14</v>
      </c>
      <c r="AN78" s="109" t="s">
        <v>16</v>
      </c>
      <c r="AO78" s="109" t="s">
        <v>17</v>
      </c>
      <c r="AP78" s="109" t="s">
        <v>18</v>
      </c>
      <c r="AQ78" s="105"/>
    </row>
    <row r="79" spans="1:43" x14ac:dyDescent="0.25">
      <c r="A79" s="57" t="s">
        <v>39</v>
      </c>
      <c r="B79" s="58">
        <v>3</v>
      </c>
      <c r="C79" s="58">
        <v>0</v>
      </c>
      <c r="D79" s="58">
        <v>0</v>
      </c>
      <c r="E79" s="58">
        <v>0</v>
      </c>
      <c r="F79" s="58">
        <v>1740</v>
      </c>
      <c r="G79" s="58">
        <v>0</v>
      </c>
      <c r="H79" s="58">
        <v>17</v>
      </c>
      <c r="I79" s="58">
        <v>15</v>
      </c>
      <c r="J79" s="59">
        <f t="shared" ref="J79:J90" si="48">SUM(B79:I79)</f>
        <v>1775</v>
      </c>
      <c r="L79" s="57" t="s">
        <v>39</v>
      </c>
      <c r="M79" s="58">
        <v>0</v>
      </c>
      <c r="N79" s="58">
        <v>0</v>
      </c>
      <c r="O79" s="58">
        <v>0</v>
      </c>
      <c r="P79" s="58">
        <v>0</v>
      </c>
      <c r="Q79" s="58">
        <v>14</v>
      </c>
      <c r="R79" s="58">
        <v>0</v>
      </c>
      <c r="S79" s="58">
        <v>0</v>
      </c>
      <c r="T79" s="58">
        <v>0</v>
      </c>
      <c r="U79" s="59">
        <f t="shared" ref="U79:U90" si="49">SUM(M79:T79)</f>
        <v>14</v>
      </c>
      <c r="W79" s="57" t="s">
        <v>39</v>
      </c>
      <c r="X79" s="60">
        <v>0</v>
      </c>
      <c r="Y79" s="60">
        <v>0</v>
      </c>
      <c r="Z79" s="60">
        <v>0</v>
      </c>
      <c r="AA79" s="60">
        <v>0</v>
      </c>
      <c r="AB79" s="60">
        <v>0</v>
      </c>
      <c r="AC79" s="60">
        <v>0</v>
      </c>
      <c r="AD79" s="60">
        <v>0</v>
      </c>
      <c r="AE79" s="60">
        <v>0</v>
      </c>
      <c r="AF79" s="61">
        <f t="shared" ref="AF79:AF90" si="50">SUM(X79:AE79)</f>
        <v>0</v>
      </c>
      <c r="AH79" s="57" t="s">
        <v>39</v>
      </c>
      <c r="AI79" s="60">
        <v>0</v>
      </c>
      <c r="AJ79" s="60">
        <v>0</v>
      </c>
      <c r="AK79" s="60">
        <v>0</v>
      </c>
      <c r="AL79" s="60">
        <v>0</v>
      </c>
      <c r="AM79" s="60">
        <v>0</v>
      </c>
      <c r="AN79" s="60">
        <v>0</v>
      </c>
      <c r="AO79" s="60">
        <v>0</v>
      </c>
      <c r="AP79" s="60">
        <v>0</v>
      </c>
      <c r="AQ79" s="61">
        <f t="shared" ref="AQ79:AQ90" si="51">SUM(AI79:AP79)</f>
        <v>0</v>
      </c>
    </row>
    <row r="80" spans="1:43" x14ac:dyDescent="0.25">
      <c r="A80" s="57" t="s">
        <v>40</v>
      </c>
      <c r="B80" s="58">
        <v>4</v>
      </c>
      <c r="C80" s="58">
        <v>0</v>
      </c>
      <c r="D80" s="58">
        <v>0</v>
      </c>
      <c r="E80" s="58">
        <v>0</v>
      </c>
      <c r="F80" s="58">
        <v>1935</v>
      </c>
      <c r="G80" s="58">
        <v>0</v>
      </c>
      <c r="H80" s="58">
        <v>22</v>
      </c>
      <c r="I80" s="58">
        <v>25</v>
      </c>
      <c r="J80" s="59">
        <f t="shared" si="48"/>
        <v>1986</v>
      </c>
      <c r="L80" s="57" t="s">
        <v>40</v>
      </c>
      <c r="M80" s="58">
        <v>0</v>
      </c>
      <c r="N80" s="58">
        <v>0</v>
      </c>
      <c r="O80" s="58">
        <v>0</v>
      </c>
      <c r="P80" s="58">
        <v>0</v>
      </c>
      <c r="Q80" s="58">
        <v>13</v>
      </c>
      <c r="R80" s="58">
        <v>0</v>
      </c>
      <c r="S80" s="58">
        <v>0</v>
      </c>
      <c r="T80" s="58">
        <v>0</v>
      </c>
      <c r="U80" s="59">
        <f t="shared" si="49"/>
        <v>13</v>
      </c>
      <c r="W80" s="57" t="s">
        <v>40</v>
      </c>
      <c r="X80" s="60">
        <v>0</v>
      </c>
      <c r="Y80" s="60">
        <v>0</v>
      </c>
      <c r="Z80" s="60">
        <v>0</v>
      </c>
      <c r="AA80" s="60">
        <v>0</v>
      </c>
      <c r="AB80" s="60">
        <v>1</v>
      </c>
      <c r="AC80" s="60">
        <v>0</v>
      </c>
      <c r="AD80" s="60">
        <v>0</v>
      </c>
      <c r="AE80" s="60">
        <v>0</v>
      </c>
      <c r="AF80" s="61">
        <f t="shared" si="50"/>
        <v>1</v>
      </c>
      <c r="AH80" s="57" t="s">
        <v>40</v>
      </c>
      <c r="AI80" s="60">
        <v>0</v>
      </c>
      <c r="AJ80" s="60">
        <v>0</v>
      </c>
      <c r="AK80" s="60">
        <v>0</v>
      </c>
      <c r="AL80" s="60">
        <v>0</v>
      </c>
      <c r="AM80" s="60">
        <v>0</v>
      </c>
      <c r="AN80" s="60">
        <v>0</v>
      </c>
      <c r="AO80" s="60">
        <v>0</v>
      </c>
      <c r="AP80" s="60">
        <v>0</v>
      </c>
      <c r="AQ80" s="61">
        <f t="shared" si="51"/>
        <v>0</v>
      </c>
    </row>
    <row r="81" spans="1:43" x14ac:dyDescent="0.25">
      <c r="A81" s="57" t="s">
        <v>41</v>
      </c>
      <c r="B81" s="58">
        <v>54</v>
      </c>
      <c r="C81" s="58">
        <v>0</v>
      </c>
      <c r="D81" s="58">
        <v>0</v>
      </c>
      <c r="E81" s="58">
        <v>0</v>
      </c>
      <c r="F81" s="58">
        <v>1591</v>
      </c>
      <c r="G81" s="58">
        <v>0</v>
      </c>
      <c r="H81" s="58">
        <v>36</v>
      </c>
      <c r="I81" s="58">
        <v>22</v>
      </c>
      <c r="J81" s="59">
        <f t="shared" si="48"/>
        <v>1703</v>
      </c>
      <c r="L81" s="57" t="s">
        <v>41</v>
      </c>
      <c r="M81" s="58">
        <v>0</v>
      </c>
      <c r="N81" s="58">
        <v>0</v>
      </c>
      <c r="O81" s="58">
        <v>0</v>
      </c>
      <c r="P81" s="58">
        <v>0</v>
      </c>
      <c r="Q81" s="58">
        <v>87</v>
      </c>
      <c r="R81" s="58">
        <v>0</v>
      </c>
      <c r="S81" s="58">
        <v>0</v>
      </c>
      <c r="T81" s="58">
        <v>0</v>
      </c>
      <c r="U81" s="59">
        <f t="shared" si="49"/>
        <v>87</v>
      </c>
      <c r="W81" s="57" t="s">
        <v>41</v>
      </c>
      <c r="X81" s="60">
        <v>0</v>
      </c>
      <c r="Y81" s="60">
        <v>0</v>
      </c>
      <c r="Z81" s="60">
        <v>0</v>
      </c>
      <c r="AA81" s="60">
        <v>0</v>
      </c>
      <c r="AB81" s="60">
        <v>2</v>
      </c>
      <c r="AC81" s="60">
        <v>0</v>
      </c>
      <c r="AD81" s="60">
        <v>0</v>
      </c>
      <c r="AE81" s="60">
        <v>0</v>
      </c>
      <c r="AF81" s="61">
        <f t="shared" si="50"/>
        <v>2</v>
      </c>
      <c r="AH81" s="57" t="s">
        <v>41</v>
      </c>
      <c r="AI81" s="60">
        <v>0</v>
      </c>
      <c r="AJ81" s="60">
        <v>0</v>
      </c>
      <c r="AK81" s="60">
        <v>0</v>
      </c>
      <c r="AL81" s="60">
        <v>0</v>
      </c>
      <c r="AM81" s="60">
        <v>0</v>
      </c>
      <c r="AN81" s="60">
        <v>0</v>
      </c>
      <c r="AO81" s="60">
        <v>0</v>
      </c>
      <c r="AP81" s="60">
        <v>0</v>
      </c>
      <c r="AQ81" s="61">
        <f t="shared" si="51"/>
        <v>0</v>
      </c>
    </row>
    <row r="82" spans="1:43" x14ac:dyDescent="0.25">
      <c r="A82" s="57" t="s">
        <v>42</v>
      </c>
      <c r="B82" s="58">
        <v>1</v>
      </c>
      <c r="C82" s="58">
        <v>0</v>
      </c>
      <c r="D82" s="58">
        <v>0</v>
      </c>
      <c r="E82" s="58">
        <v>0</v>
      </c>
      <c r="F82" s="58">
        <v>1432</v>
      </c>
      <c r="G82" s="58">
        <v>0</v>
      </c>
      <c r="H82" s="58">
        <v>30</v>
      </c>
      <c r="I82" s="58">
        <v>22</v>
      </c>
      <c r="J82" s="59">
        <f t="shared" si="48"/>
        <v>1485</v>
      </c>
      <c r="L82" s="57" t="s">
        <v>42</v>
      </c>
      <c r="M82" s="58">
        <v>0</v>
      </c>
      <c r="N82" s="58">
        <v>0</v>
      </c>
      <c r="O82" s="58">
        <v>0</v>
      </c>
      <c r="P82" s="58">
        <v>0</v>
      </c>
      <c r="Q82" s="58">
        <v>176</v>
      </c>
      <c r="R82" s="58">
        <v>0</v>
      </c>
      <c r="S82" s="58">
        <v>0</v>
      </c>
      <c r="T82" s="58">
        <v>0</v>
      </c>
      <c r="U82" s="59">
        <f t="shared" si="49"/>
        <v>176</v>
      </c>
      <c r="W82" s="57" t="s">
        <v>42</v>
      </c>
      <c r="X82" s="60">
        <v>0</v>
      </c>
      <c r="Y82" s="60">
        <v>0</v>
      </c>
      <c r="Z82" s="60">
        <v>0</v>
      </c>
      <c r="AA82" s="60">
        <v>0</v>
      </c>
      <c r="AB82" s="60">
        <v>8</v>
      </c>
      <c r="AC82" s="60">
        <v>0</v>
      </c>
      <c r="AD82" s="60">
        <v>0</v>
      </c>
      <c r="AE82" s="60">
        <v>0</v>
      </c>
      <c r="AF82" s="61">
        <f t="shared" si="50"/>
        <v>8</v>
      </c>
      <c r="AH82" s="57" t="s">
        <v>42</v>
      </c>
      <c r="AI82" s="60">
        <v>0</v>
      </c>
      <c r="AJ82" s="60">
        <v>0</v>
      </c>
      <c r="AK82" s="60">
        <v>0</v>
      </c>
      <c r="AL82" s="60">
        <v>0</v>
      </c>
      <c r="AM82" s="60">
        <v>0</v>
      </c>
      <c r="AN82" s="60">
        <v>0</v>
      </c>
      <c r="AO82" s="60">
        <v>0</v>
      </c>
      <c r="AP82" s="60">
        <v>0</v>
      </c>
      <c r="AQ82" s="61">
        <f t="shared" si="51"/>
        <v>0</v>
      </c>
    </row>
    <row r="83" spans="1:43" x14ac:dyDescent="0.25">
      <c r="A83" s="57" t="s">
        <v>43</v>
      </c>
      <c r="B83" s="58">
        <v>0</v>
      </c>
      <c r="C83" s="58">
        <v>0</v>
      </c>
      <c r="D83" s="58">
        <v>0</v>
      </c>
      <c r="E83" s="58">
        <v>0</v>
      </c>
      <c r="F83" s="58">
        <v>313</v>
      </c>
      <c r="G83" s="58">
        <v>0</v>
      </c>
      <c r="H83" s="58">
        <v>6</v>
      </c>
      <c r="I83" s="58">
        <v>0</v>
      </c>
      <c r="J83" s="59">
        <f t="shared" si="48"/>
        <v>319</v>
      </c>
      <c r="L83" s="57" t="s">
        <v>43</v>
      </c>
      <c r="M83" s="58">
        <v>1</v>
      </c>
      <c r="N83" s="58">
        <v>0</v>
      </c>
      <c r="O83" s="58">
        <v>0</v>
      </c>
      <c r="P83" s="58">
        <v>0</v>
      </c>
      <c r="Q83" s="58">
        <v>262</v>
      </c>
      <c r="R83" s="58">
        <v>0</v>
      </c>
      <c r="S83" s="58">
        <v>0</v>
      </c>
      <c r="T83" s="58">
        <v>0</v>
      </c>
      <c r="U83" s="59">
        <f t="shared" si="49"/>
        <v>263</v>
      </c>
      <c r="W83" s="57" t="s">
        <v>43</v>
      </c>
      <c r="X83" s="60">
        <v>0</v>
      </c>
      <c r="Y83" s="60">
        <v>0</v>
      </c>
      <c r="Z83" s="60">
        <v>0</v>
      </c>
      <c r="AA83" s="60">
        <v>0</v>
      </c>
      <c r="AB83" s="60">
        <v>5</v>
      </c>
      <c r="AC83" s="60">
        <v>0</v>
      </c>
      <c r="AD83" s="60">
        <v>0</v>
      </c>
      <c r="AE83" s="60">
        <v>0</v>
      </c>
      <c r="AF83" s="61">
        <f t="shared" si="50"/>
        <v>5</v>
      </c>
      <c r="AH83" s="57" t="s">
        <v>43</v>
      </c>
      <c r="AI83" s="60">
        <v>0</v>
      </c>
      <c r="AJ83" s="60">
        <v>0</v>
      </c>
      <c r="AK83" s="60">
        <v>0</v>
      </c>
      <c r="AL83" s="60">
        <v>0</v>
      </c>
      <c r="AM83" s="60">
        <v>0</v>
      </c>
      <c r="AN83" s="60">
        <v>0</v>
      </c>
      <c r="AO83" s="60">
        <v>0</v>
      </c>
      <c r="AP83" s="60">
        <v>0</v>
      </c>
      <c r="AQ83" s="61">
        <f t="shared" si="51"/>
        <v>0</v>
      </c>
    </row>
    <row r="84" spans="1:43" x14ac:dyDescent="0.25">
      <c r="A84" s="57" t="s">
        <v>44</v>
      </c>
      <c r="B84" s="58">
        <v>0</v>
      </c>
      <c r="C84" s="58">
        <v>0</v>
      </c>
      <c r="D84" s="58">
        <v>0</v>
      </c>
      <c r="E84" s="58">
        <v>0</v>
      </c>
      <c r="F84" s="58">
        <v>0</v>
      </c>
      <c r="G84" s="58">
        <v>0</v>
      </c>
      <c r="H84" s="58">
        <v>0</v>
      </c>
      <c r="I84" s="58">
        <v>0</v>
      </c>
      <c r="J84" s="59">
        <f t="shared" si="48"/>
        <v>0</v>
      </c>
      <c r="L84" s="57" t="s">
        <v>44</v>
      </c>
      <c r="M84" s="58">
        <v>0</v>
      </c>
      <c r="N84" s="58">
        <v>0</v>
      </c>
      <c r="O84" s="58">
        <v>0</v>
      </c>
      <c r="P84" s="58">
        <v>0</v>
      </c>
      <c r="Q84" s="58">
        <v>210</v>
      </c>
      <c r="R84" s="58">
        <v>0</v>
      </c>
      <c r="S84" s="58">
        <v>2</v>
      </c>
      <c r="T84" s="58">
        <v>0</v>
      </c>
      <c r="U84" s="59">
        <f t="shared" si="49"/>
        <v>212</v>
      </c>
      <c r="W84" s="57" t="s">
        <v>44</v>
      </c>
      <c r="X84" s="60">
        <v>0</v>
      </c>
      <c r="Y84" s="60">
        <v>0</v>
      </c>
      <c r="Z84" s="60">
        <v>0</v>
      </c>
      <c r="AA84" s="60">
        <v>0</v>
      </c>
      <c r="AB84" s="60">
        <v>1</v>
      </c>
      <c r="AC84" s="60">
        <v>0</v>
      </c>
      <c r="AD84" s="60">
        <v>0</v>
      </c>
      <c r="AE84" s="60">
        <v>0</v>
      </c>
      <c r="AF84" s="61">
        <f t="shared" si="50"/>
        <v>1</v>
      </c>
      <c r="AH84" s="57" t="s">
        <v>44</v>
      </c>
      <c r="AI84" s="60">
        <v>0</v>
      </c>
      <c r="AJ84" s="60">
        <v>0</v>
      </c>
      <c r="AK84" s="60">
        <v>0</v>
      </c>
      <c r="AL84" s="60">
        <v>0</v>
      </c>
      <c r="AM84" s="60">
        <v>0</v>
      </c>
      <c r="AN84" s="60">
        <v>0</v>
      </c>
      <c r="AO84" s="60">
        <v>0</v>
      </c>
      <c r="AP84" s="60">
        <v>0</v>
      </c>
      <c r="AQ84" s="61">
        <f t="shared" si="51"/>
        <v>0</v>
      </c>
    </row>
    <row r="85" spans="1:43" x14ac:dyDescent="0.25">
      <c r="A85" s="57" t="s">
        <v>45</v>
      </c>
      <c r="B85" s="58">
        <v>0</v>
      </c>
      <c r="C85" s="58">
        <v>0</v>
      </c>
      <c r="D85" s="58">
        <v>0</v>
      </c>
      <c r="E85" s="58">
        <v>0</v>
      </c>
      <c r="F85" s="58">
        <v>0</v>
      </c>
      <c r="G85" s="58">
        <v>0</v>
      </c>
      <c r="H85" s="58">
        <v>0</v>
      </c>
      <c r="I85" s="58">
        <v>0</v>
      </c>
      <c r="J85" s="59">
        <f t="shared" si="48"/>
        <v>0</v>
      </c>
      <c r="L85" s="57" t="s">
        <v>45</v>
      </c>
      <c r="M85" s="58">
        <v>0</v>
      </c>
      <c r="N85" s="58">
        <v>3</v>
      </c>
      <c r="O85" s="58">
        <v>0</v>
      </c>
      <c r="P85" s="58">
        <v>0</v>
      </c>
      <c r="Q85" s="58">
        <v>313</v>
      </c>
      <c r="R85" s="58">
        <v>0</v>
      </c>
      <c r="S85" s="58">
        <v>1</v>
      </c>
      <c r="T85" s="58">
        <v>0</v>
      </c>
      <c r="U85" s="59">
        <f t="shared" si="49"/>
        <v>317</v>
      </c>
      <c r="W85" s="57" t="s">
        <v>45</v>
      </c>
      <c r="X85" s="60">
        <v>0</v>
      </c>
      <c r="Y85" s="60">
        <v>0</v>
      </c>
      <c r="Z85" s="60">
        <v>0</v>
      </c>
      <c r="AA85" s="60">
        <v>0</v>
      </c>
      <c r="AB85" s="60">
        <v>3</v>
      </c>
      <c r="AC85" s="60">
        <v>0</v>
      </c>
      <c r="AD85" s="60">
        <v>0</v>
      </c>
      <c r="AE85" s="60">
        <v>0</v>
      </c>
      <c r="AF85" s="61">
        <f t="shared" si="50"/>
        <v>3</v>
      </c>
      <c r="AH85" s="57" t="s">
        <v>45</v>
      </c>
      <c r="AI85" s="60">
        <v>0</v>
      </c>
      <c r="AJ85" s="60">
        <v>0</v>
      </c>
      <c r="AK85" s="60">
        <v>0</v>
      </c>
      <c r="AL85" s="60">
        <v>0</v>
      </c>
      <c r="AM85" s="60">
        <v>0</v>
      </c>
      <c r="AN85" s="60">
        <v>0</v>
      </c>
      <c r="AO85" s="60">
        <v>0</v>
      </c>
      <c r="AP85" s="60">
        <v>0</v>
      </c>
      <c r="AQ85" s="61">
        <f t="shared" si="51"/>
        <v>0</v>
      </c>
    </row>
    <row r="86" spans="1:43" x14ac:dyDescent="0.25">
      <c r="A86" s="57" t="s">
        <v>46</v>
      </c>
      <c r="B86" s="58">
        <v>0</v>
      </c>
      <c r="C86" s="58">
        <v>0</v>
      </c>
      <c r="D86" s="58">
        <v>0</v>
      </c>
      <c r="E86" s="58">
        <v>0</v>
      </c>
      <c r="F86" s="58">
        <v>0</v>
      </c>
      <c r="G86" s="58">
        <v>0</v>
      </c>
      <c r="H86" s="58">
        <v>0</v>
      </c>
      <c r="I86" s="58">
        <v>0</v>
      </c>
      <c r="J86" s="59">
        <f t="shared" si="48"/>
        <v>0</v>
      </c>
      <c r="L86" s="57" t="s">
        <v>46</v>
      </c>
      <c r="M86" s="58">
        <v>0</v>
      </c>
      <c r="N86" s="58">
        <v>0</v>
      </c>
      <c r="O86" s="58">
        <v>0</v>
      </c>
      <c r="P86" s="58">
        <v>0</v>
      </c>
      <c r="Q86" s="58">
        <v>567</v>
      </c>
      <c r="R86" s="58">
        <v>0</v>
      </c>
      <c r="S86" s="58">
        <v>3</v>
      </c>
      <c r="T86" s="58">
        <v>3</v>
      </c>
      <c r="U86" s="59">
        <f t="shared" si="49"/>
        <v>573</v>
      </c>
      <c r="W86" s="57" t="s">
        <v>46</v>
      </c>
      <c r="X86" s="60">
        <v>0</v>
      </c>
      <c r="Y86" s="60">
        <v>0</v>
      </c>
      <c r="Z86" s="60">
        <v>0</v>
      </c>
      <c r="AA86" s="60">
        <v>0</v>
      </c>
      <c r="AB86" s="60">
        <v>3</v>
      </c>
      <c r="AC86" s="60">
        <v>0</v>
      </c>
      <c r="AD86" s="60">
        <v>0</v>
      </c>
      <c r="AE86" s="60">
        <v>0</v>
      </c>
      <c r="AF86" s="61">
        <f t="shared" si="50"/>
        <v>3</v>
      </c>
      <c r="AH86" s="57" t="s">
        <v>46</v>
      </c>
      <c r="AI86" s="60">
        <v>0</v>
      </c>
      <c r="AJ86" s="60">
        <v>0</v>
      </c>
      <c r="AK86" s="60">
        <v>0</v>
      </c>
      <c r="AL86" s="60">
        <v>0</v>
      </c>
      <c r="AM86" s="60">
        <v>0</v>
      </c>
      <c r="AN86" s="60">
        <v>0</v>
      </c>
      <c r="AO86" s="60">
        <v>0</v>
      </c>
      <c r="AP86" s="60">
        <v>0</v>
      </c>
      <c r="AQ86" s="61">
        <f t="shared" si="51"/>
        <v>0</v>
      </c>
    </row>
    <row r="87" spans="1:43" x14ac:dyDescent="0.25">
      <c r="A87" s="57" t="s">
        <v>47</v>
      </c>
      <c r="B87" s="58">
        <v>0</v>
      </c>
      <c r="C87" s="58">
        <v>0</v>
      </c>
      <c r="D87" s="58">
        <v>0</v>
      </c>
      <c r="E87" s="58">
        <v>0</v>
      </c>
      <c r="F87" s="58">
        <v>0</v>
      </c>
      <c r="G87" s="58">
        <v>0</v>
      </c>
      <c r="H87" s="58">
        <v>0</v>
      </c>
      <c r="I87" s="58">
        <v>0</v>
      </c>
      <c r="J87" s="59">
        <f t="shared" si="48"/>
        <v>0</v>
      </c>
      <c r="L87" s="57" t="s">
        <v>47</v>
      </c>
      <c r="M87" s="58">
        <v>0</v>
      </c>
      <c r="N87" s="58">
        <v>0</v>
      </c>
      <c r="O87" s="58">
        <v>0</v>
      </c>
      <c r="P87" s="58">
        <v>0</v>
      </c>
      <c r="Q87" s="58">
        <v>569</v>
      </c>
      <c r="R87" s="58">
        <v>0</v>
      </c>
      <c r="S87" s="58">
        <v>14</v>
      </c>
      <c r="T87" s="58">
        <v>6</v>
      </c>
      <c r="U87" s="59">
        <f t="shared" si="49"/>
        <v>589</v>
      </c>
      <c r="W87" s="57" t="s">
        <v>47</v>
      </c>
      <c r="X87" s="60">
        <v>0</v>
      </c>
      <c r="Y87" s="60">
        <v>0</v>
      </c>
      <c r="Z87" s="60">
        <v>0</v>
      </c>
      <c r="AA87" s="60">
        <v>0</v>
      </c>
      <c r="AB87" s="60">
        <v>0</v>
      </c>
      <c r="AC87" s="60">
        <v>0</v>
      </c>
      <c r="AD87" s="60">
        <v>0</v>
      </c>
      <c r="AE87" s="60">
        <v>0</v>
      </c>
      <c r="AF87" s="61">
        <f t="shared" si="50"/>
        <v>0</v>
      </c>
      <c r="AH87" s="57" t="s">
        <v>47</v>
      </c>
      <c r="AI87" s="60">
        <v>0</v>
      </c>
      <c r="AJ87" s="60">
        <v>0</v>
      </c>
      <c r="AK87" s="60">
        <v>0</v>
      </c>
      <c r="AL87" s="60">
        <v>0</v>
      </c>
      <c r="AM87" s="60">
        <v>0</v>
      </c>
      <c r="AN87" s="60">
        <v>0</v>
      </c>
      <c r="AO87" s="60">
        <v>0</v>
      </c>
      <c r="AP87" s="60">
        <v>0</v>
      </c>
      <c r="AQ87" s="61">
        <f t="shared" si="51"/>
        <v>0</v>
      </c>
    </row>
    <row r="88" spans="1:43" x14ac:dyDescent="0.25">
      <c r="A88" s="57" t="s">
        <v>48</v>
      </c>
      <c r="B88" s="58">
        <v>0</v>
      </c>
      <c r="C88" s="58">
        <v>0</v>
      </c>
      <c r="D88" s="58">
        <v>0</v>
      </c>
      <c r="E88" s="58">
        <v>0</v>
      </c>
      <c r="F88" s="58">
        <v>0</v>
      </c>
      <c r="G88" s="58">
        <v>0</v>
      </c>
      <c r="H88" s="58">
        <v>0</v>
      </c>
      <c r="I88" s="58">
        <v>0</v>
      </c>
      <c r="J88" s="59">
        <f t="shared" si="48"/>
        <v>0</v>
      </c>
      <c r="L88" s="57" t="s">
        <v>48</v>
      </c>
      <c r="M88" s="58">
        <v>3</v>
      </c>
      <c r="N88" s="58">
        <v>0</v>
      </c>
      <c r="O88" s="58">
        <v>0</v>
      </c>
      <c r="P88" s="58">
        <v>0</v>
      </c>
      <c r="Q88" s="58">
        <v>935</v>
      </c>
      <c r="R88" s="58">
        <v>0</v>
      </c>
      <c r="S88" s="58">
        <v>16</v>
      </c>
      <c r="T88" s="58">
        <v>9</v>
      </c>
      <c r="U88" s="59">
        <f t="shared" si="49"/>
        <v>963</v>
      </c>
      <c r="W88" s="57" t="s">
        <v>48</v>
      </c>
      <c r="X88" s="60">
        <v>0</v>
      </c>
      <c r="Y88" s="60">
        <v>0</v>
      </c>
      <c r="Z88" s="60">
        <v>0</v>
      </c>
      <c r="AA88" s="60">
        <v>0</v>
      </c>
      <c r="AB88" s="60">
        <v>0</v>
      </c>
      <c r="AC88" s="60">
        <v>0</v>
      </c>
      <c r="AD88" s="60">
        <v>0</v>
      </c>
      <c r="AE88" s="60">
        <v>0</v>
      </c>
      <c r="AF88" s="61">
        <f t="shared" si="50"/>
        <v>0</v>
      </c>
      <c r="AH88" s="57" t="s">
        <v>48</v>
      </c>
      <c r="AI88" s="60">
        <v>0</v>
      </c>
      <c r="AJ88" s="60">
        <v>0</v>
      </c>
      <c r="AK88" s="60">
        <v>0</v>
      </c>
      <c r="AL88" s="60">
        <v>0</v>
      </c>
      <c r="AM88" s="60">
        <v>0</v>
      </c>
      <c r="AN88" s="60">
        <v>0</v>
      </c>
      <c r="AO88" s="60">
        <v>0</v>
      </c>
      <c r="AP88" s="60">
        <v>0</v>
      </c>
      <c r="AQ88" s="61">
        <f t="shared" si="51"/>
        <v>0</v>
      </c>
    </row>
    <row r="89" spans="1:43" x14ac:dyDescent="0.25">
      <c r="A89" s="57" t="s">
        <v>49</v>
      </c>
      <c r="B89" s="58">
        <v>0</v>
      </c>
      <c r="C89" s="58">
        <v>0</v>
      </c>
      <c r="D89" s="58">
        <v>0</v>
      </c>
      <c r="E89" s="58">
        <v>0</v>
      </c>
      <c r="F89" s="58">
        <v>0</v>
      </c>
      <c r="G89" s="58">
        <v>0</v>
      </c>
      <c r="H89" s="58">
        <v>0</v>
      </c>
      <c r="I89" s="58">
        <v>0</v>
      </c>
      <c r="J89" s="59">
        <f t="shared" si="48"/>
        <v>0</v>
      </c>
      <c r="L89" s="57" t="s">
        <v>49</v>
      </c>
      <c r="M89" s="58">
        <v>1</v>
      </c>
      <c r="N89" s="58">
        <v>1</v>
      </c>
      <c r="O89" s="58">
        <v>0</v>
      </c>
      <c r="P89" s="58">
        <v>0</v>
      </c>
      <c r="Q89" s="58">
        <v>1120</v>
      </c>
      <c r="R89" s="58">
        <v>0</v>
      </c>
      <c r="S89" s="58">
        <v>14</v>
      </c>
      <c r="T89" s="58">
        <v>6</v>
      </c>
      <c r="U89" s="59">
        <f t="shared" si="49"/>
        <v>1142</v>
      </c>
      <c r="W89" s="57" t="s">
        <v>49</v>
      </c>
      <c r="X89" s="60">
        <v>0</v>
      </c>
      <c r="Y89" s="60">
        <v>0</v>
      </c>
      <c r="Z89" s="60">
        <v>0</v>
      </c>
      <c r="AA89" s="60">
        <v>0</v>
      </c>
      <c r="AB89" s="60">
        <v>7</v>
      </c>
      <c r="AC89" s="60">
        <v>0</v>
      </c>
      <c r="AD89" s="60">
        <v>0</v>
      </c>
      <c r="AE89" s="60">
        <v>0</v>
      </c>
      <c r="AF89" s="61">
        <f t="shared" si="50"/>
        <v>7</v>
      </c>
      <c r="AH89" s="57" t="s">
        <v>49</v>
      </c>
      <c r="AI89" s="60">
        <v>0</v>
      </c>
      <c r="AJ89" s="60">
        <v>0</v>
      </c>
      <c r="AK89" s="60">
        <v>0</v>
      </c>
      <c r="AL89" s="60">
        <v>0</v>
      </c>
      <c r="AM89" s="60">
        <v>1</v>
      </c>
      <c r="AN89" s="60">
        <v>0</v>
      </c>
      <c r="AO89" s="60">
        <v>0</v>
      </c>
      <c r="AP89" s="60">
        <v>0</v>
      </c>
      <c r="AQ89" s="61">
        <f t="shared" si="51"/>
        <v>1</v>
      </c>
    </row>
    <row r="90" spans="1:43" x14ac:dyDescent="0.25">
      <c r="A90" s="57" t="s">
        <v>50</v>
      </c>
      <c r="B90" s="58">
        <v>0</v>
      </c>
      <c r="C90" s="58">
        <v>0</v>
      </c>
      <c r="D90" s="58">
        <v>0</v>
      </c>
      <c r="E90" s="58">
        <v>0</v>
      </c>
      <c r="F90" s="58">
        <v>0</v>
      </c>
      <c r="G90" s="58">
        <v>0</v>
      </c>
      <c r="H90" s="58">
        <v>0</v>
      </c>
      <c r="I90" s="58">
        <v>0</v>
      </c>
      <c r="J90" s="59">
        <f t="shared" si="48"/>
        <v>0</v>
      </c>
      <c r="L90" s="57" t="s">
        <v>50</v>
      </c>
      <c r="M90" s="58">
        <v>4</v>
      </c>
      <c r="N90" s="58">
        <v>0</v>
      </c>
      <c r="O90" s="58">
        <v>0</v>
      </c>
      <c r="P90" s="58">
        <v>0</v>
      </c>
      <c r="Q90" s="58">
        <v>1201</v>
      </c>
      <c r="R90" s="58">
        <v>0</v>
      </c>
      <c r="S90" s="58">
        <v>39</v>
      </c>
      <c r="T90" s="58">
        <v>20</v>
      </c>
      <c r="U90" s="59">
        <f t="shared" si="49"/>
        <v>1264</v>
      </c>
      <c r="W90" s="57" t="s">
        <v>50</v>
      </c>
      <c r="X90" s="60">
        <v>0</v>
      </c>
      <c r="Y90" s="60">
        <v>0</v>
      </c>
      <c r="Z90" s="60">
        <v>0</v>
      </c>
      <c r="AA90" s="60">
        <v>0</v>
      </c>
      <c r="AB90" s="60">
        <v>18</v>
      </c>
      <c r="AC90" s="60">
        <v>0</v>
      </c>
      <c r="AD90" s="60">
        <v>0</v>
      </c>
      <c r="AE90" s="60">
        <v>0</v>
      </c>
      <c r="AF90" s="61">
        <f t="shared" si="50"/>
        <v>18</v>
      </c>
      <c r="AH90" s="57" t="s">
        <v>50</v>
      </c>
      <c r="AI90" s="60">
        <v>0</v>
      </c>
      <c r="AJ90" s="60">
        <v>0</v>
      </c>
      <c r="AK90" s="60">
        <v>0</v>
      </c>
      <c r="AL90" s="60">
        <v>0</v>
      </c>
      <c r="AM90" s="60">
        <v>0</v>
      </c>
      <c r="AN90" s="60">
        <v>0</v>
      </c>
      <c r="AO90" s="60">
        <v>0</v>
      </c>
      <c r="AP90" s="60">
        <v>0</v>
      </c>
      <c r="AQ90" s="61">
        <f t="shared" si="51"/>
        <v>0</v>
      </c>
    </row>
    <row r="91" spans="1:43" s="47" customFormat="1" x14ac:dyDescent="0.25">
      <c r="A91" s="62" t="s">
        <v>9</v>
      </c>
      <c r="B91" s="63">
        <f>SUM(B79:B90)</f>
        <v>62</v>
      </c>
      <c r="C91" s="63">
        <f t="shared" ref="C91:E91" si="52">SUM(C79:C90)</f>
        <v>0</v>
      </c>
      <c r="D91" s="63">
        <f t="shared" si="52"/>
        <v>0</v>
      </c>
      <c r="E91" s="63">
        <f t="shared" si="52"/>
        <v>0</v>
      </c>
      <c r="F91" s="63">
        <f>SUM(F79:F90)</f>
        <v>7011</v>
      </c>
      <c r="G91" s="63">
        <f t="shared" ref="G91:J91" si="53">SUM(G79:G90)</f>
        <v>0</v>
      </c>
      <c r="H91" s="63">
        <f t="shared" si="53"/>
        <v>111</v>
      </c>
      <c r="I91" s="63">
        <f t="shared" si="53"/>
        <v>84</v>
      </c>
      <c r="J91" s="63">
        <f t="shared" si="53"/>
        <v>7268</v>
      </c>
      <c r="L91" s="62" t="s">
        <v>9</v>
      </c>
      <c r="M91" s="63">
        <f>SUM(M79:M90)</f>
        <v>9</v>
      </c>
      <c r="N91" s="63">
        <f t="shared" ref="N91:U91" si="54">SUM(N79:N90)</f>
        <v>4</v>
      </c>
      <c r="O91" s="63">
        <f t="shared" si="54"/>
        <v>0</v>
      </c>
      <c r="P91" s="63">
        <f t="shared" si="54"/>
        <v>0</v>
      </c>
      <c r="Q91" s="63">
        <f>SUM(Q79:Q90)</f>
        <v>5467</v>
      </c>
      <c r="R91" s="63">
        <f t="shared" si="54"/>
        <v>0</v>
      </c>
      <c r="S91" s="63">
        <f t="shared" si="54"/>
        <v>89</v>
      </c>
      <c r="T91" s="63">
        <f t="shared" si="54"/>
        <v>44</v>
      </c>
      <c r="U91" s="63">
        <f t="shared" si="54"/>
        <v>5613</v>
      </c>
      <c r="W91" s="62" t="s">
        <v>9</v>
      </c>
      <c r="X91" s="63">
        <f>SUM(X79:X90)</f>
        <v>0</v>
      </c>
      <c r="Y91" s="63">
        <f t="shared" ref="Y91:AF91" si="55">SUM(Y79:Y90)</f>
        <v>0</v>
      </c>
      <c r="Z91" s="63">
        <f t="shared" si="55"/>
        <v>0</v>
      </c>
      <c r="AA91" s="63">
        <f t="shared" si="55"/>
        <v>0</v>
      </c>
      <c r="AB91" s="63">
        <f t="shared" si="55"/>
        <v>48</v>
      </c>
      <c r="AC91" s="63">
        <f t="shared" si="55"/>
        <v>0</v>
      </c>
      <c r="AD91" s="63">
        <f t="shared" si="55"/>
        <v>0</v>
      </c>
      <c r="AE91" s="63">
        <f t="shared" si="55"/>
        <v>0</v>
      </c>
      <c r="AF91" s="63">
        <f t="shared" si="55"/>
        <v>48</v>
      </c>
      <c r="AH91" s="62" t="s">
        <v>9</v>
      </c>
      <c r="AI91" s="63">
        <f>SUM(AI79:AI90)</f>
        <v>0</v>
      </c>
      <c r="AJ91" s="63">
        <f t="shared" ref="AJ91:AP91" si="56">SUM(AJ79:AJ90)</f>
        <v>0</v>
      </c>
      <c r="AK91" s="63">
        <f t="shared" si="56"/>
        <v>0</v>
      </c>
      <c r="AL91" s="63">
        <f t="shared" si="56"/>
        <v>0</v>
      </c>
      <c r="AM91" s="63">
        <f t="shared" si="56"/>
        <v>1</v>
      </c>
      <c r="AN91" s="63">
        <f t="shared" si="56"/>
        <v>0</v>
      </c>
      <c r="AO91" s="63">
        <f t="shared" si="56"/>
        <v>0</v>
      </c>
      <c r="AP91" s="63">
        <f t="shared" si="56"/>
        <v>0</v>
      </c>
      <c r="AQ91" s="63">
        <f>SUM(AQ79:AQ90)</f>
        <v>1</v>
      </c>
    </row>
    <row r="92" spans="1:43" s="47" customFormat="1" x14ac:dyDescent="0.25">
      <c r="A92" s="64" t="s">
        <v>57</v>
      </c>
      <c r="B92" s="65">
        <f>B91/$J91</f>
        <v>8.5305448541552007E-3</v>
      </c>
      <c r="C92" s="65">
        <f t="shared" ref="C92:I92" si="57">C91/$J91</f>
        <v>0</v>
      </c>
      <c r="D92" s="65">
        <f t="shared" si="57"/>
        <v>0</v>
      </c>
      <c r="E92" s="65">
        <f t="shared" si="57"/>
        <v>0</v>
      </c>
      <c r="F92" s="65">
        <f t="shared" si="57"/>
        <v>0.96463951568519535</v>
      </c>
      <c r="G92" s="65">
        <f t="shared" si="57"/>
        <v>0</v>
      </c>
      <c r="H92" s="65">
        <f t="shared" si="57"/>
        <v>1.527242707760044E-2</v>
      </c>
      <c r="I92" s="65">
        <f t="shared" si="57"/>
        <v>1.1557512383048982E-2</v>
      </c>
      <c r="J92" s="65">
        <f>J91/$J91</f>
        <v>1</v>
      </c>
      <c r="L92" s="64" t="s">
        <v>57</v>
      </c>
      <c r="M92" s="65">
        <f t="shared" ref="M92:U92" si="58">M91/$U91</f>
        <v>1.6034206306787815E-3</v>
      </c>
      <c r="N92" s="65">
        <f t="shared" si="58"/>
        <v>7.1263139141279175E-4</v>
      </c>
      <c r="O92" s="65">
        <f t="shared" si="58"/>
        <v>0</v>
      </c>
      <c r="P92" s="65">
        <f t="shared" si="58"/>
        <v>0</v>
      </c>
      <c r="Q92" s="65">
        <f t="shared" si="58"/>
        <v>0.97398895421343312</v>
      </c>
      <c r="R92" s="65">
        <f t="shared" si="58"/>
        <v>0</v>
      </c>
      <c r="S92" s="65">
        <f t="shared" si="58"/>
        <v>1.5856048458934617E-2</v>
      </c>
      <c r="T92" s="65">
        <f t="shared" si="58"/>
        <v>7.838945305540709E-3</v>
      </c>
      <c r="U92" s="65">
        <f t="shared" si="58"/>
        <v>1</v>
      </c>
      <c r="W92" s="64" t="s">
        <v>57</v>
      </c>
      <c r="X92" s="65">
        <f t="shared" ref="X92:AF92" si="59">X91/$AF91</f>
        <v>0</v>
      </c>
      <c r="Y92" s="65">
        <f t="shared" si="59"/>
        <v>0</v>
      </c>
      <c r="Z92" s="65">
        <f t="shared" si="59"/>
        <v>0</v>
      </c>
      <c r="AA92" s="65">
        <f t="shared" si="59"/>
        <v>0</v>
      </c>
      <c r="AB92" s="65">
        <f t="shared" si="59"/>
        <v>1</v>
      </c>
      <c r="AC92" s="65">
        <f t="shared" si="59"/>
        <v>0</v>
      </c>
      <c r="AD92" s="65">
        <f t="shared" si="59"/>
        <v>0</v>
      </c>
      <c r="AE92" s="65">
        <f t="shared" si="59"/>
        <v>0</v>
      </c>
      <c r="AF92" s="65">
        <f t="shared" si="59"/>
        <v>1</v>
      </c>
      <c r="AH92" s="64" t="s">
        <v>57</v>
      </c>
      <c r="AI92" s="65">
        <f t="shared" ref="AI92:AQ92" si="60">AI91/$AQ91</f>
        <v>0</v>
      </c>
      <c r="AJ92" s="65">
        <f t="shared" si="60"/>
        <v>0</v>
      </c>
      <c r="AK92" s="65">
        <f t="shared" si="60"/>
        <v>0</v>
      </c>
      <c r="AL92" s="65">
        <f t="shared" si="60"/>
        <v>0</v>
      </c>
      <c r="AM92" s="65">
        <f t="shared" si="60"/>
        <v>1</v>
      </c>
      <c r="AN92" s="65">
        <f t="shared" si="60"/>
        <v>0</v>
      </c>
      <c r="AO92" s="65">
        <f t="shared" si="60"/>
        <v>0</v>
      </c>
      <c r="AP92" s="65">
        <f t="shared" si="60"/>
        <v>0</v>
      </c>
      <c r="AQ92" s="65">
        <f t="shared" si="60"/>
        <v>1</v>
      </c>
    </row>
    <row r="93" spans="1:43" x14ac:dyDescent="0.25">
      <c r="AF93" s="71"/>
      <c r="AQ93" s="71"/>
    </row>
  </sheetData>
  <mergeCells count="128">
    <mergeCell ref="AO77:AP77"/>
    <mergeCell ref="AQ77:AQ78"/>
    <mergeCell ref="AA77:AB77"/>
    <mergeCell ref="AD77:AE77"/>
    <mergeCell ref="AF77:AF78"/>
    <mergeCell ref="AH77:AH78"/>
    <mergeCell ref="AI77:AJ77"/>
    <mergeCell ref="AL77:AM77"/>
    <mergeCell ref="M77:N77"/>
    <mergeCell ref="P77:Q77"/>
    <mergeCell ref="S77:T77"/>
    <mergeCell ref="U77:U78"/>
    <mergeCell ref="W77:W78"/>
    <mergeCell ref="X77:Y77"/>
    <mergeCell ref="A76:J76"/>
    <mergeCell ref="L76:U76"/>
    <mergeCell ref="W76:AF76"/>
    <mergeCell ref="AH76:AQ76"/>
    <mergeCell ref="A77:A78"/>
    <mergeCell ref="B77:C77"/>
    <mergeCell ref="E77:F77"/>
    <mergeCell ref="H77:I77"/>
    <mergeCell ref="J77:J78"/>
    <mergeCell ref="L77:L78"/>
    <mergeCell ref="AO58:AP58"/>
    <mergeCell ref="AQ58:AQ59"/>
    <mergeCell ref="A74:J74"/>
    <mergeCell ref="L74:U74"/>
    <mergeCell ref="W74:AF74"/>
    <mergeCell ref="AH74:AQ74"/>
    <mergeCell ref="AA58:AB58"/>
    <mergeCell ref="AD58:AE58"/>
    <mergeCell ref="AF58:AF59"/>
    <mergeCell ref="AH58:AH59"/>
    <mergeCell ref="AI58:AJ58"/>
    <mergeCell ref="AL58:AM58"/>
    <mergeCell ref="M58:N58"/>
    <mergeCell ref="P58:Q58"/>
    <mergeCell ref="S58:T58"/>
    <mergeCell ref="U58:U59"/>
    <mergeCell ref="W58:W59"/>
    <mergeCell ref="X58:Y58"/>
    <mergeCell ref="A58:A59"/>
    <mergeCell ref="B58:C58"/>
    <mergeCell ref="E58:F58"/>
    <mergeCell ref="H58:I58"/>
    <mergeCell ref="J58:J59"/>
    <mergeCell ref="L58:L59"/>
    <mergeCell ref="AO40:AP40"/>
    <mergeCell ref="AQ40:AQ41"/>
    <mergeCell ref="A57:J57"/>
    <mergeCell ref="L57:U57"/>
    <mergeCell ref="W57:AF57"/>
    <mergeCell ref="AH57:AQ57"/>
    <mergeCell ref="AA40:AB40"/>
    <mergeCell ref="AD40:AE40"/>
    <mergeCell ref="AF40:AF41"/>
    <mergeCell ref="AH40:AH41"/>
    <mergeCell ref="AI40:AJ40"/>
    <mergeCell ref="AL40:AM40"/>
    <mergeCell ref="M40:N40"/>
    <mergeCell ref="P40:Q40"/>
    <mergeCell ref="S40:T40"/>
    <mergeCell ref="U40:U41"/>
    <mergeCell ref="W40:W41"/>
    <mergeCell ref="X40:Y40"/>
    <mergeCell ref="A40:A41"/>
    <mergeCell ref="B40:C40"/>
    <mergeCell ref="E40:F40"/>
    <mergeCell ref="H40:I40"/>
    <mergeCell ref="J40:J41"/>
    <mergeCell ref="L40:L41"/>
    <mergeCell ref="AO22:AP22"/>
    <mergeCell ref="AQ22:AQ23"/>
    <mergeCell ref="A39:J39"/>
    <mergeCell ref="L39:U39"/>
    <mergeCell ref="W39:AF39"/>
    <mergeCell ref="AH39:AQ39"/>
    <mergeCell ref="AA22:AB22"/>
    <mergeCell ref="AD22:AE22"/>
    <mergeCell ref="AF22:AF23"/>
    <mergeCell ref="AH22:AH23"/>
    <mergeCell ref="AI22:AJ22"/>
    <mergeCell ref="AL22:AM22"/>
    <mergeCell ref="M22:N22"/>
    <mergeCell ref="P22:Q22"/>
    <mergeCell ref="S22:T22"/>
    <mergeCell ref="U22:U23"/>
    <mergeCell ref="W22:W23"/>
    <mergeCell ref="X22:Y22"/>
    <mergeCell ref="A22:A23"/>
    <mergeCell ref="B22:C22"/>
    <mergeCell ref="E22:F22"/>
    <mergeCell ref="H22:I22"/>
    <mergeCell ref="J22:J23"/>
    <mergeCell ref="L22:L23"/>
    <mergeCell ref="AO4:AP4"/>
    <mergeCell ref="AQ4:AQ5"/>
    <mergeCell ref="A21:J21"/>
    <mergeCell ref="L21:U21"/>
    <mergeCell ref="W21:AF21"/>
    <mergeCell ref="AH21:AQ21"/>
    <mergeCell ref="AA4:AB4"/>
    <mergeCell ref="AD4:AE4"/>
    <mergeCell ref="AF4:AF5"/>
    <mergeCell ref="AH4:AH5"/>
    <mergeCell ref="AI4:AJ4"/>
    <mergeCell ref="AL4:AM4"/>
    <mergeCell ref="M4:N4"/>
    <mergeCell ref="P4:Q4"/>
    <mergeCell ref="S4:T4"/>
    <mergeCell ref="U4:U5"/>
    <mergeCell ref="W4:W5"/>
    <mergeCell ref="X4:Y4"/>
    <mergeCell ref="A4:A5"/>
    <mergeCell ref="B4:C4"/>
    <mergeCell ref="E4:F4"/>
    <mergeCell ref="H4:I4"/>
    <mergeCell ref="J4:J5"/>
    <mergeCell ref="L4:L5"/>
    <mergeCell ref="A2:J2"/>
    <mergeCell ref="L2:U2"/>
    <mergeCell ref="W2:AF2"/>
    <mergeCell ref="AH2:AQ2"/>
    <mergeCell ref="A3:J3"/>
    <mergeCell ref="L3:U3"/>
    <mergeCell ref="W3:AF3"/>
    <mergeCell ref="AH3:AQ3"/>
  </mergeCells>
  <pageMargins left="0.70866141732283472" right="0.70866141732283472" top="0.74803149606299213" bottom="0.74803149606299213" header="0.31496062992125984" footer="0.31496062992125984"/>
  <pageSetup paperSize="8" scale="32" orientation="landscape" r:id="rId1"/>
  <headerFooter>
    <oddHeader xml:space="preserve">&amp;LSOBHA LLC&amp;C&amp;"-,Bold"&amp;36Sobha One App - Receipts Count&amp;R&amp;D
</oddHeader>
    <oddFooter>&amp;LCOLLECTIONS&amp;R&amp;P/&amp;N</oddFooter>
  </headerFooter>
  <rowBreaks count="1" manualBreakCount="1">
    <brk id="6" max="42" man="1"/>
  </rowBreaks>
  <colBreaks count="2" manualBreakCount="2">
    <brk id="21" min="1" max="91" man="1"/>
    <brk id="32" min="1" max="91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D3DAE-844E-4F2E-A260-080A9D4F7730}">
  <sheetPr>
    <tabColor theme="6" tint="0.59999389629810485"/>
    <pageSetUpPr fitToPage="1"/>
  </sheetPr>
  <dimension ref="A1:AQ100"/>
  <sheetViews>
    <sheetView showGridLines="0" tabSelected="1" showRuler="0" view="pageBreakPreview" zoomScale="80" zoomScaleNormal="80" zoomScaleSheetLayoutView="80" zoomScalePageLayoutView="25" workbookViewId="0"/>
  </sheetViews>
  <sheetFormatPr defaultColWidth="15.7109375" defaultRowHeight="15" x14ac:dyDescent="0.25"/>
  <cols>
    <col min="1" max="1" width="29.28515625" style="30" bestFit="1" customWidth="1"/>
    <col min="2" max="2" width="10.7109375" style="1" bestFit="1" customWidth="1"/>
    <col min="3" max="3" width="13.140625" style="1" bestFit="1" customWidth="1"/>
    <col min="4" max="4" width="16.5703125" style="1" bestFit="1" customWidth="1"/>
    <col min="5" max="5" width="11.42578125" style="1" bestFit="1" customWidth="1"/>
    <col min="6" max="6" width="22.42578125" style="1" bestFit="1" customWidth="1"/>
    <col min="7" max="7" width="14" style="1" bestFit="1" customWidth="1"/>
    <col min="8" max="8" width="15.7109375" style="1"/>
    <col min="9" max="9" width="17.7109375" style="30" bestFit="1" customWidth="1"/>
    <col min="10" max="10" width="11.28515625" style="30" bestFit="1" customWidth="1"/>
    <col min="11" max="11" width="2.5703125" style="1" customWidth="1"/>
    <col min="12" max="12" width="29.28515625" style="30" bestFit="1" customWidth="1"/>
    <col min="13" max="13" width="10.7109375" style="1" bestFit="1" customWidth="1"/>
    <col min="14" max="14" width="13.140625" style="1" bestFit="1" customWidth="1"/>
    <col min="15" max="15" width="16.5703125" style="1" bestFit="1" customWidth="1"/>
    <col min="16" max="16" width="11.42578125" style="1" bestFit="1" customWidth="1"/>
    <col min="17" max="17" width="22.42578125" style="1" bestFit="1" customWidth="1"/>
    <col min="18" max="18" width="14" style="1" bestFit="1" customWidth="1"/>
    <col min="19" max="19" width="15.7109375" style="1" bestFit="1" customWidth="1"/>
    <col min="20" max="20" width="17.7109375" style="30" bestFit="1" customWidth="1"/>
    <col min="21" max="21" width="11.28515625" style="30" bestFit="1" customWidth="1"/>
    <col min="22" max="22" width="2.7109375" style="30" customWidth="1"/>
    <col min="23" max="23" width="28.7109375" style="30" bestFit="1" customWidth="1"/>
    <col min="24" max="24" width="10.7109375" style="1" bestFit="1" customWidth="1"/>
    <col min="25" max="25" width="13.140625" style="1" bestFit="1" customWidth="1"/>
    <col min="26" max="26" width="16.5703125" style="1" bestFit="1" customWidth="1"/>
    <col min="27" max="27" width="11.42578125" style="1" bestFit="1" customWidth="1"/>
    <col min="28" max="28" width="22.42578125" style="1" bestFit="1" customWidth="1"/>
    <col min="29" max="29" width="14" style="1" bestFit="1" customWidth="1"/>
    <col min="30" max="30" width="15.7109375" style="1" bestFit="1" customWidth="1"/>
    <col min="31" max="31" width="17.7109375" style="30" bestFit="1" customWidth="1"/>
    <col min="32" max="32" width="11.28515625" style="30" bestFit="1" customWidth="1"/>
    <col min="33" max="33" width="3.140625" style="1" customWidth="1"/>
    <col min="34" max="34" width="28.7109375" style="30" bestFit="1" customWidth="1"/>
    <col min="35" max="35" width="10.7109375" style="1" bestFit="1" customWidth="1"/>
    <col min="36" max="36" width="13.140625" style="1" bestFit="1" customWidth="1"/>
    <col min="37" max="37" width="16.5703125" style="1" bestFit="1" customWidth="1"/>
    <col min="38" max="38" width="11.42578125" style="1" bestFit="1" customWidth="1"/>
    <col min="39" max="39" width="22.42578125" style="1" bestFit="1" customWidth="1"/>
    <col min="40" max="40" width="14" style="1" bestFit="1" customWidth="1"/>
    <col min="41" max="41" width="15.7109375" style="1" bestFit="1" customWidth="1"/>
    <col min="42" max="42" width="17.7109375" style="30" bestFit="1" customWidth="1"/>
    <col min="43" max="43" width="11.28515625" style="30" bestFit="1" customWidth="1"/>
    <col min="44" max="16384" width="15.7109375" style="1"/>
  </cols>
  <sheetData>
    <row r="1" spans="1:43" x14ac:dyDescent="0.25">
      <c r="A1" s="30">
        <v>2026</v>
      </c>
      <c r="L1" s="30">
        <v>2025</v>
      </c>
      <c r="W1" s="30">
        <v>2024</v>
      </c>
      <c r="AH1" s="30">
        <v>2023</v>
      </c>
    </row>
    <row r="2" spans="1:43" ht="18.75" x14ac:dyDescent="0.3">
      <c r="A2" s="72" t="str">
        <f>_xlfn.CONCAT("Receipt Value -", A1)</f>
        <v>Receipt Value -2026</v>
      </c>
      <c r="B2" s="72"/>
      <c r="C2" s="72"/>
      <c r="D2" s="72"/>
      <c r="E2" s="72"/>
      <c r="F2" s="72"/>
      <c r="G2" s="72"/>
      <c r="H2" s="72"/>
      <c r="I2" s="72"/>
      <c r="J2" s="72"/>
      <c r="L2" s="72" t="str">
        <f>_xlfn.CONCAT("Receipt Value -", L1)</f>
        <v>Receipt Value -2025</v>
      </c>
      <c r="M2" s="72"/>
      <c r="N2" s="72"/>
      <c r="O2" s="72"/>
      <c r="P2" s="72"/>
      <c r="Q2" s="72"/>
      <c r="R2" s="72"/>
      <c r="S2" s="72"/>
      <c r="T2" s="72"/>
      <c r="U2" s="72"/>
      <c r="W2" s="72" t="str">
        <f>_xlfn.CONCAT("Receipt Value-", W1)</f>
        <v>Receipt Value-2024</v>
      </c>
      <c r="X2" s="72"/>
      <c r="Y2" s="72"/>
      <c r="Z2" s="72"/>
      <c r="AA2" s="72"/>
      <c r="AB2" s="72"/>
      <c r="AC2" s="72"/>
      <c r="AD2" s="72"/>
      <c r="AE2" s="72"/>
      <c r="AF2" s="72"/>
      <c r="AH2" s="72" t="str">
        <f>_xlfn.CONCAT("Receipt Value -", AH1)</f>
        <v>Receipt Value -2023</v>
      </c>
      <c r="AI2" s="72"/>
      <c r="AJ2" s="72"/>
      <c r="AK2" s="72"/>
      <c r="AL2" s="72"/>
      <c r="AM2" s="72"/>
      <c r="AN2" s="72"/>
      <c r="AO2" s="72"/>
      <c r="AP2" s="72"/>
      <c r="AQ2" s="72"/>
    </row>
    <row r="3" spans="1:43" x14ac:dyDescent="0.25">
      <c r="A3" s="73" t="s">
        <v>19</v>
      </c>
      <c r="B3" s="73"/>
      <c r="C3" s="73"/>
      <c r="D3" s="73"/>
      <c r="E3" s="73"/>
      <c r="F3" s="73"/>
      <c r="G3" s="73"/>
      <c r="H3" s="73"/>
      <c r="I3" s="73"/>
      <c r="J3" s="73"/>
      <c r="L3" s="73" t="s">
        <v>19</v>
      </c>
      <c r="M3" s="73"/>
      <c r="N3" s="73"/>
      <c r="O3" s="73"/>
      <c r="P3" s="73"/>
      <c r="Q3" s="73"/>
      <c r="R3" s="73"/>
      <c r="S3" s="73"/>
      <c r="T3" s="73"/>
      <c r="U3" s="73"/>
      <c r="W3" s="73" t="s">
        <v>19</v>
      </c>
      <c r="X3" s="73"/>
      <c r="Y3" s="73"/>
      <c r="Z3" s="73"/>
      <c r="AA3" s="73"/>
      <c r="AB3" s="73"/>
      <c r="AC3" s="73"/>
      <c r="AD3" s="73"/>
      <c r="AE3" s="73"/>
      <c r="AF3" s="73"/>
      <c r="AH3" s="73" t="s">
        <v>19</v>
      </c>
      <c r="AI3" s="73"/>
      <c r="AJ3" s="73"/>
      <c r="AK3" s="73"/>
      <c r="AL3" s="73"/>
      <c r="AM3" s="73"/>
      <c r="AN3" s="73"/>
      <c r="AO3" s="73"/>
      <c r="AP3" s="73"/>
      <c r="AQ3" s="73"/>
    </row>
    <row r="4" spans="1:43" x14ac:dyDescent="0.25">
      <c r="A4" s="54" t="s">
        <v>38</v>
      </c>
      <c r="B4" s="74" t="s">
        <v>3</v>
      </c>
      <c r="C4" s="74"/>
      <c r="D4" s="75" t="s">
        <v>4</v>
      </c>
      <c r="E4" s="76" t="s">
        <v>5</v>
      </c>
      <c r="F4" s="77"/>
      <c r="G4" s="75" t="s">
        <v>7</v>
      </c>
      <c r="H4" s="74" t="s">
        <v>8</v>
      </c>
      <c r="I4" s="74"/>
      <c r="J4" s="54" t="s">
        <v>9</v>
      </c>
      <c r="L4" s="54" t="s">
        <v>38</v>
      </c>
      <c r="M4" s="74" t="s">
        <v>3</v>
      </c>
      <c r="N4" s="74"/>
      <c r="O4" s="75" t="s">
        <v>4</v>
      </c>
      <c r="P4" s="76" t="s">
        <v>5</v>
      </c>
      <c r="Q4" s="77"/>
      <c r="R4" s="75" t="s">
        <v>7</v>
      </c>
      <c r="S4" s="74" t="s">
        <v>8</v>
      </c>
      <c r="T4" s="74"/>
      <c r="U4" s="54" t="s">
        <v>9</v>
      </c>
      <c r="W4" s="54" t="s">
        <v>38</v>
      </c>
      <c r="X4" s="74" t="s">
        <v>3</v>
      </c>
      <c r="Y4" s="74"/>
      <c r="Z4" s="75" t="s">
        <v>4</v>
      </c>
      <c r="AA4" s="76" t="s">
        <v>5</v>
      </c>
      <c r="AB4" s="77"/>
      <c r="AC4" s="75" t="s">
        <v>7</v>
      </c>
      <c r="AD4" s="74" t="s">
        <v>8</v>
      </c>
      <c r="AE4" s="74"/>
      <c r="AF4" s="54" t="s">
        <v>9</v>
      </c>
      <c r="AH4" s="54" t="s">
        <v>38</v>
      </c>
      <c r="AI4" s="74" t="s">
        <v>3</v>
      </c>
      <c r="AJ4" s="74"/>
      <c r="AK4" s="75" t="s">
        <v>4</v>
      </c>
      <c r="AL4" s="76" t="s">
        <v>5</v>
      </c>
      <c r="AM4" s="77"/>
      <c r="AN4" s="75" t="s">
        <v>7</v>
      </c>
      <c r="AO4" s="74" t="s">
        <v>8</v>
      </c>
      <c r="AP4" s="74"/>
      <c r="AQ4" s="54" t="s">
        <v>9</v>
      </c>
    </row>
    <row r="5" spans="1:43" ht="30.6" customHeight="1" x14ac:dyDescent="0.25">
      <c r="A5" s="54"/>
      <c r="B5" s="79" t="s">
        <v>10</v>
      </c>
      <c r="C5" s="79" t="s">
        <v>11</v>
      </c>
      <c r="D5" s="79" t="s">
        <v>12</v>
      </c>
      <c r="E5" s="79" t="s">
        <v>13</v>
      </c>
      <c r="F5" s="79" t="s">
        <v>14</v>
      </c>
      <c r="G5" s="79" t="s">
        <v>16</v>
      </c>
      <c r="H5" s="79" t="s">
        <v>17</v>
      </c>
      <c r="I5" s="79" t="s">
        <v>18</v>
      </c>
      <c r="J5" s="54"/>
      <c r="L5" s="54"/>
      <c r="M5" s="79" t="s">
        <v>10</v>
      </c>
      <c r="N5" s="79" t="s">
        <v>11</v>
      </c>
      <c r="O5" s="79" t="s">
        <v>12</v>
      </c>
      <c r="P5" s="79" t="s">
        <v>13</v>
      </c>
      <c r="Q5" s="79" t="s">
        <v>14</v>
      </c>
      <c r="R5" s="79" t="s">
        <v>16</v>
      </c>
      <c r="S5" s="79" t="s">
        <v>17</v>
      </c>
      <c r="T5" s="79" t="s">
        <v>18</v>
      </c>
      <c r="U5" s="54"/>
      <c r="W5" s="54"/>
      <c r="X5" s="79" t="s">
        <v>10</v>
      </c>
      <c r="Y5" s="79" t="s">
        <v>11</v>
      </c>
      <c r="Z5" s="79" t="s">
        <v>12</v>
      </c>
      <c r="AA5" s="79" t="s">
        <v>13</v>
      </c>
      <c r="AB5" s="79" t="s">
        <v>14</v>
      </c>
      <c r="AC5" s="79" t="s">
        <v>16</v>
      </c>
      <c r="AD5" s="79" t="s">
        <v>17</v>
      </c>
      <c r="AE5" s="79" t="s">
        <v>18</v>
      </c>
      <c r="AF5" s="54"/>
      <c r="AH5" s="54"/>
      <c r="AI5" s="79" t="s">
        <v>10</v>
      </c>
      <c r="AJ5" s="79" t="s">
        <v>11</v>
      </c>
      <c r="AK5" s="79" t="s">
        <v>12</v>
      </c>
      <c r="AL5" s="79" t="s">
        <v>13</v>
      </c>
      <c r="AM5" s="79" t="s">
        <v>14</v>
      </c>
      <c r="AN5" s="79" t="s">
        <v>16</v>
      </c>
      <c r="AO5" s="79" t="s">
        <v>17</v>
      </c>
      <c r="AP5" s="79" t="s">
        <v>18</v>
      </c>
      <c r="AQ5" s="54"/>
    </row>
    <row r="6" spans="1:43" x14ac:dyDescent="0.25">
      <c r="A6" s="80" t="s">
        <v>39</v>
      </c>
      <c r="B6" s="81">
        <v>0</v>
      </c>
      <c r="C6" s="81">
        <v>0</v>
      </c>
      <c r="D6" s="81">
        <v>0</v>
      </c>
      <c r="E6" s="81">
        <v>0</v>
      </c>
      <c r="F6" s="81">
        <v>2739317</v>
      </c>
      <c r="G6" s="81">
        <v>0</v>
      </c>
      <c r="H6" s="81">
        <v>114983</v>
      </c>
      <c r="I6" s="81">
        <v>244303</v>
      </c>
      <c r="J6" s="82">
        <f t="shared" ref="J6:J17" si="0">SUM(B6:I6)</f>
        <v>3098603</v>
      </c>
      <c r="L6" s="80" t="s">
        <v>39</v>
      </c>
      <c r="M6" s="81">
        <v>0</v>
      </c>
      <c r="N6" s="81">
        <v>0</v>
      </c>
      <c r="O6" s="81">
        <v>0</v>
      </c>
      <c r="P6" s="81">
        <v>0</v>
      </c>
      <c r="Q6" s="81">
        <v>484257</v>
      </c>
      <c r="R6" s="81">
        <v>0</v>
      </c>
      <c r="S6" s="81">
        <v>0</v>
      </c>
      <c r="T6" s="81">
        <v>0</v>
      </c>
      <c r="U6" s="82">
        <f t="shared" ref="U6:U17" si="1">SUM(M6:T6)</f>
        <v>484257</v>
      </c>
      <c r="W6" s="80" t="s">
        <v>39</v>
      </c>
      <c r="X6" s="81">
        <v>0</v>
      </c>
      <c r="Y6" s="81">
        <v>0</v>
      </c>
      <c r="Z6" s="81">
        <v>0</v>
      </c>
      <c r="AA6" s="81">
        <v>0</v>
      </c>
      <c r="AB6" s="81">
        <v>0</v>
      </c>
      <c r="AC6" s="81">
        <v>0</v>
      </c>
      <c r="AD6" s="81">
        <v>0</v>
      </c>
      <c r="AE6" s="81">
        <v>0</v>
      </c>
      <c r="AF6" s="82">
        <f t="shared" ref="AF6:AF17" si="2">SUM(X6:AE6)</f>
        <v>0</v>
      </c>
      <c r="AH6" s="80" t="s">
        <v>39</v>
      </c>
      <c r="AI6" s="81">
        <v>0</v>
      </c>
      <c r="AJ6" s="81">
        <v>0</v>
      </c>
      <c r="AK6" s="81">
        <v>0</v>
      </c>
      <c r="AL6" s="81">
        <v>0</v>
      </c>
      <c r="AM6" s="81">
        <v>0</v>
      </c>
      <c r="AN6" s="81">
        <v>0</v>
      </c>
      <c r="AO6" s="81">
        <v>0</v>
      </c>
      <c r="AP6" s="81">
        <v>0</v>
      </c>
      <c r="AQ6" s="82">
        <f t="shared" ref="AQ6:AQ17" si="3">SUM(AI6:AP6)</f>
        <v>0</v>
      </c>
    </row>
    <row r="7" spans="1:43" x14ac:dyDescent="0.25">
      <c r="A7" s="80" t="s">
        <v>40</v>
      </c>
      <c r="B7" s="81">
        <v>0</v>
      </c>
      <c r="C7" s="81">
        <v>0</v>
      </c>
      <c r="D7" s="81">
        <v>0</v>
      </c>
      <c r="E7" s="81">
        <v>0</v>
      </c>
      <c r="F7" s="81">
        <v>4953235</v>
      </c>
      <c r="G7" s="81">
        <v>0</v>
      </c>
      <c r="H7" s="81">
        <v>0</v>
      </c>
      <c r="I7" s="81">
        <v>0</v>
      </c>
      <c r="J7" s="82">
        <f t="shared" si="0"/>
        <v>4953235</v>
      </c>
      <c r="L7" s="80" t="s">
        <v>40</v>
      </c>
      <c r="M7" s="81">
        <v>0</v>
      </c>
      <c r="N7" s="81">
        <v>0</v>
      </c>
      <c r="O7" s="81">
        <v>0</v>
      </c>
      <c r="P7" s="81">
        <v>0</v>
      </c>
      <c r="Q7" s="81">
        <v>0</v>
      </c>
      <c r="R7" s="81">
        <v>0</v>
      </c>
      <c r="S7" s="81">
        <v>0</v>
      </c>
      <c r="T7" s="81">
        <v>0</v>
      </c>
      <c r="U7" s="82">
        <f t="shared" si="1"/>
        <v>0</v>
      </c>
      <c r="W7" s="80" t="s">
        <v>40</v>
      </c>
      <c r="X7" s="81">
        <v>0</v>
      </c>
      <c r="Y7" s="81">
        <v>0</v>
      </c>
      <c r="Z7" s="81">
        <v>0</v>
      </c>
      <c r="AA7" s="81">
        <v>0</v>
      </c>
      <c r="AB7" s="81">
        <v>0</v>
      </c>
      <c r="AC7" s="81">
        <v>0</v>
      </c>
      <c r="AD7" s="81">
        <v>0</v>
      </c>
      <c r="AE7" s="81">
        <v>0</v>
      </c>
      <c r="AF7" s="82">
        <f t="shared" si="2"/>
        <v>0</v>
      </c>
      <c r="AH7" s="80" t="s">
        <v>40</v>
      </c>
      <c r="AI7" s="81">
        <v>0</v>
      </c>
      <c r="AJ7" s="81">
        <v>0</v>
      </c>
      <c r="AK7" s="81">
        <v>0</v>
      </c>
      <c r="AL7" s="81">
        <v>0</v>
      </c>
      <c r="AM7" s="81">
        <v>0</v>
      </c>
      <c r="AN7" s="81">
        <v>0</v>
      </c>
      <c r="AO7" s="81">
        <v>0</v>
      </c>
      <c r="AP7" s="81">
        <v>0</v>
      </c>
      <c r="AQ7" s="82">
        <f t="shared" si="3"/>
        <v>0</v>
      </c>
    </row>
    <row r="8" spans="1:43" x14ac:dyDescent="0.25">
      <c r="A8" s="80" t="s">
        <v>41</v>
      </c>
      <c r="B8" s="81">
        <v>0</v>
      </c>
      <c r="C8" s="81">
        <v>0</v>
      </c>
      <c r="D8" s="81">
        <v>0</v>
      </c>
      <c r="E8" s="81">
        <v>0</v>
      </c>
      <c r="F8" s="81">
        <v>1211698</v>
      </c>
      <c r="G8" s="81">
        <v>0</v>
      </c>
      <c r="H8" s="81">
        <v>0</v>
      </c>
      <c r="I8" s="81">
        <v>0</v>
      </c>
      <c r="J8" s="82">
        <f t="shared" si="0"/>
        <v>1211698</v>
      </c>
      <c r="L8" s="80" t="s">
        <v>41</v>
      </c>
      <c r="M8" s="81">
        <v>0</v>
      </c>
      <c r="N8" s="81">
        <v>0</v>
      </c>
      <c r="O8" s="81">
        <v>0</v>
      </c>
      <c r="P8" s="81">
        <v>0</v>
      </c>
      <c r="Q8" s="81">
        <v>866</v>
      </c>
      <c r="R8" s="81">
        <v>0</v>
      </c>
      <c r="S8" s="81">
        <v>0</v>
      </c>
      <c r="T8" s="81">
        <v>0</v>
      </c>
      <c r="U8" s="82">
        <f t="shared" si="1"/>
        <v>866</v>
      </c>
      <c r="W8" s="80" t="s">
        <v>41</v>
      </c>
      <c r="X8" s="81">
        <v>0</v>
      </c>
      <c r="Y8" s="81">
        <v>0</v>
      </c>
      <c r="Z8" s="81">
        <v>0</v>
      </c>
      <c r="AA8" s="81">
        <v>0</v>
      </c>
      <c r="AB8" s="81">
        <v>0</v>
      </c>
      <c r="AC8" s="81">
        <v>0</v>
      </c>
      <c r="AD8" s="81">
        <v>0</v>
      </c>
      <c r="AE8" s="81">
        <v>0</v>
      </c>
      <c r="AF8" s="82">
        <f t="shared" si="2"/>
        <v>0</v>
      </c>
      <c r="AH8" s="80" t="s">
        <v>41</v>
      </c>
      <c r="AI8" s="81">
        <v>0</v>
      </c>
      <c r="AJ8" s="81">
        <v>0</v>
      </c>
      <c r="AK8" s="81">
        <v>0</v>
      </c>
      <c r="AL8" s="81">
        <v>0</v>
      </c>
      <c r="AM8" s="81">
        <v>0</v>
      </c>
      <c r="AN8" s="81">
        <v>0</v>
      </c>
      <c r="AO8" s="81">
        <v>0</v>
      </c>
      <c r="AP8" s="81">
        <v>0</v>
      </c>
      <c r="AQ8" s="82">
        <f t="shared" si="3"/>
        <v>0</v>
      </c>
    </row>
    <row r="9" spans="1:43" x14ac:dyDescent="0.25">
      <c r="A9" s="80" t="s">
        <v>42</v>
      </c>
      <c r="B9" s="81">
        <v>0</v>
      </c>
      <c r="C9" s="81">
        <v>0</v>
      </c>
      <c r="D9" s="81">
        <v>0</v>
      </c>
      <c r="E9" s="81">
        <v>0</v>
      </c>
      <c r="F9" s="81">
        <v>2104288</v>
      </c>
      <c r="G9" s="81">
        <v>0</v>
      </c>
      <c r="H9" s="81">
        <v>0</v>
      </c>
      <c r="I9" s="81">
        <v>0</v>
      </c>
      <c r="J9" s="82">
        <f t="shared" si="0"/>
        <v>2104288</v>
      </c>
      <c r="L9" s="80" t="s">
        <v>42</v>
      </c>
      <c r="M9" s="81">
        <v>0</v>
      </c>
      <c r="N9" s="81">
        <v>0</v>
      </c>
      <c r="O9" s="81">
        <v>0</v>
      </c>
      <c r="P9" s="81">
        <v>0</v>
      </c>
      <c r="Q9" s="81">
        <v>194169</v>
      </c>
      <c r="R9" s="81">
        <v>0</v>
      </c>
      <c r="S9" s="81">
        <v>0</v>
      </c>
      <c r="T9" s="81">
        <v>0</v>
      </c>
      <c r="U9" s="82">
        <f t="shared" si="1"/>
        <v>194169</v>
      </c>
      <c r="W9" s="80" t="s">
        <v>42</v>
      </c>
      <c r="X9" s="81">
        <v>0</v>
      </c>
      <c r="Y9" s="81">
        <v>0</v>
      </c>
      <c r="Z9" s="81">
        <v>0</v>
      </c>
      <c r="AA9" s="81">
        <v>0</v>
      </c>
      <c r="AB9" s="81">
        <v>0</v>
      </c>
      <c r="AC9" s="81">
        <v>0</v>
      </c>
      <c r="AD9" s="81">
        <v>0</v>
      </c>
      <c r="AE9" s="81">
        <v>0</v>
      </c>
      <c r="AF9" s="82">
        <f t="shared" si="2"/>
        <v>0</v>
      </c>
      <c r="AG9" s="30"/>
      <c r="AH9" s="80" t="s">
        <v>42</v>
      </c>
      <c r="AI9" s="81">
        <v>0</v>
      </c>
      <c r="AJ9" s="81">
        <v>0</v>
      </c>
      <c r="AK9" s="81">
        <v>0</v>
      </c>
      <c r="AL9" s="81">
        <v>0</v>
      </c>
      <c r="AM9" s="81">
        <v>0</v>
      </c>
      <c r="AN9" s="81">
        <v>0</v>
      </c>
      <c r="AO9" s="81">
        <v>0</v>
      </c>
      <c r="AP9" s="81">
        <v>0</v>
      </c>
      <c r="AQ9" s="82">
        <f t="shared" si="3"/>
        <v>0</v>
      </c>
    </row>
    <row r="10" spans="1:43" x14ac:dyDescent="0.25">
      <c r="A10" s="80" t="s">
        <v>43</v>
      </c>
      <c r="B10" s="81">
        <v>0</v>
      </c>
      <c r="C10" s="81">
        <v>0</v>
      </c>
      <c r="D10" s="81">
        <v>0</v>
      </c>
      <c r="E10" s="81">
        <v>0</v>
      </c>
      <c r="F10" s="81">
        <v>423824</v>
      </c>
      <c r="G10" s="81">
        <v>0</v>
      </c>
      <c r="H10" s="81">
        <v>0</v>
      </c>
      <c r="I10" s="81">
        <v>0</v>
      </c>
      <c r="J10" s="82">
        <f t="shared" si="0"/>
        <v>423824</v>
      </c>
      <c r="L10" s="80" t="s">
        <v>43</v>
      </c>
      <c r="M10" s="81">
        <v>0</v>
      </c>
      <c r="N10" s="81">
        <v>0</v>
      </c>
      <c r="O10" s="81">
        <v>0</v>
      </c>
      <c r="P10" s="81">
        <v>0</v>
      </c>
      <c r="Q10" s="81">
        <v>740248</v>
      </c>
      <c r="R10" s="81">
        <v>0</v>
      </c>
      <c r="S10" s="81">
        <v>0</v>
      </c>
      <c r="T10" s="81">
        <v>0</v>
      </c>
      <c r="U10" s="82">
        <f t="shared" si="1"/>
        <v>740248</v>
      </c>
      <c r="W10" s="80" t="s">
        <v>43</v>
      </c>
      <c r="X10" s="81">
        <v>0</v>
      </c>
      <c r="Y10" s="81">
        <v>0</v>
      </c>
      <c r="Z10" s="81">
        <v>0</v>
      </c>
      <c r="AA10" s="81">
        <v>0</v>
      </c>
      <c r="AB10" s="81">
        <v>0</v>
      </c>
      <c r="AC10" s="81">
        <v>0</v>
      </c>
      <c r="AD10" s="81">
        <v>0</v>
      </c>
      <c r="AE10" s="81">
        <v>0</v>
      </c>
      <c r="AF10" s="82">
        <f t="shared" si="2"/>
        <v>0</v>
      </c>
      <c r="AG10" s="30"/>
      <c r="AH10" s="80" t="s">
        <v>43</v>
      </c>
      <c r="AI10" s="81">
        <v>0</v>
      </c>
      <c r="AJ10" s="81">
        <v>0</v>
      </c>
      <c r="AK10" s="81">
        <v>0</v>
      </c>
      <c r="AL10" s="81">
        <v>0</v>
      </c>
      <c r="AM10" s="81">
        <v>0</v>
      </c>
      <c r="AN10" s="81">
        <v>0</v>
      </c>
      <c r="AO10" s="81">
        <v>0</v>
      </c>
      <c r="AP10" s="81">
        <v>0</v>
      </c>
      <c r="AQ10" s="82">
        <f t="shared" si="3"/>
        <v>0</v>
      </c>
    </row>
    <row r="11" spans="1:43" x14ac:dyDescent="0.25">
      <c r="A11" s="80" t="s">
        <v>44</v>
      </c>
      <c r="B11" s="81">
        <v>0</v>
      </c>
      <c r="C11" s="81">
        <v>0</v>
      </c>
      <c r="D11" s="81">
        <v>0</v>
      </c>
      <c r="E11" s="81">
        <v>0</v>
      </c>
      <c r="F11" s="81">
        <v>0</v>
      </c>
      <c r="G11" s="81">
        <v>0</v>
      </c>
      <c r="H11" s="81">
        <v>0</v>
      </c>
      <c r="I11" s="81">
        <v>0</v>
      </c>
      <c r="J11" s="82">
        <f t="shared" si="0"/>
        <v>0</v>
      </c>
      <c r="L11" s="80" t="s">
        <v>44</v>
      </c>
      <c r="M11" s="81">
        <v>0</v>
      </c>
      <c r="N11" s="81">
        <v>0</v>
      </c>
      <c r="O11" s="81">
        <v>0</v>
      </c>
      <c r="P11" s="81">
        <v>0</v>
      </c>
      <c r="Q11" s="81">
        <v>908962</v>
      </c>
      <c r="R11" s="81">
        <v>0</v>
      </c>
      <c r="S11" s="81">
        <v>0</v>
      </c>
      <c r="T11" s="81">
        <v>0</v>
      </c>
      <c r="U11" s="82">
        <f t="shared" si="1"/>
        <v>908962</v>
      </c>
      <c r="W11" s="80" t="s">
        <v>44</v>
      </c>
      <c r="X11" s="81">
        <v>0</v>
      </c>
      <c r="Y11" s="81">
        <v>0</v>
      </c>
      <c r="Z11" s="81">
        <v>0</v>
      </c>
      <c r="AA11" s="81">
        <v>0</v>
      </c>
      <c r="AB11" s="81">
        <v>0</v>
      </c>
      <c r="AC11" s="81">
        <v>0</v>
      </c>
      <c r="AD11" s="81">
        <v>0</v>
      </c>
      <c r="AE11" s="81">
        <v>0</v>
      </c>
      <c r="AF11" s="82">
        <f t="shared" si="2"/>
        <v>0</v>
      </c>
      <c r="AG11" s="83"/>
      <c r="AH11" s="80" t="s">
        <v>44</v>
      </c>
      <c r="AI11" s="81">
        <v>0</v>
      </c>
      <c r="AJ11" s="81">
        <v>0</v>
      </c>
      <c r="AK11" s="81">
        <v>0</v>
      </c>
      <c r="AL11" s="81">
        <v>0</v>
      </c>
      <c r="AM11" s="81">
        <v>0</v>
      </c>
      <c r="AN11" s="81">
        <v>0</v>
      </c>
      <c r="AO11" s="81">
        <v>0</v>
      </c>
      <c r="AP11" s="81">
        <v>0</v>
      </c>
      <c r="AQ11" s="82">
        <f t="shared" si="3"/>
        <v>0</v>
      </c>
    </row>
    <row r="12" spans="1:43" x14ac:dyDescent="0.25">
      <c r="A12" s="80" t="s">
        <v>45</v>
      </c>
      <c r="B12" s="81">
        <v>0</v>
      </c>
      <c r="C12" s="81">
        <v>0</v>
      </c>
      <c r="D12" s="81">
        <v>0</v>
      </c>
      <c r="E12" s="81">
        <v>0</v>
      </c>
      <c r="F12" s="81">
        <v>0</v>
      </c>
      <c r="G12" s="81">
        <v>0</v>
      </c>
      <c r="H12" s="81">
        <v>0</v>
      </c>
      <c r="I12" s="81">
        <v>0</v>
      </c>
      <c r="J12" s="82">
        <f t="shared" si="0"/>
        <v>0</v>
      </c>
      <c r="L12" s="80" t="s">
        <v>45</v>
      </c>
      <c r="M12" s="81">
        <v>0</v>
      </c>
      <c r="N12" s="81">
        <v>0</v>
      </c>
      <c r="O12" s="81">
        <v>0</v>
      </c>
      <c r="P12" s="81">
        <v>0</v>
      </c>
      <c r="Q12" s="81">
        <v>1137861</v>
      </c>
      <c r="R12" s="81">
        <v>0</v>
      </c>
      <c r="S12" s="81">
        <v>0</v>
      </c>
      <c r="T12" s="81">
        <v>0</v>
      </c>
      <c r="U12" s="82">
        <f t="shared" si="1"/>
        <v>1137861</v>
      </c>
      <c r="W12" s="80" t="s">
        <v>45</v>
      </c>
      <c r="X12" s="81">
        <v>0</v>
      </c>
      <c r="Y12" s="81">
        <v>0</v>
      </c>
      <c r="Z12" s="81">
        <v>0</v>
      </c>
      <c r="AA12" s="81">
        <v>0</v>
      </c>
      <c r="AB12" s="81">
        <v>0</v>
      </c>
      <c r="AC12" s="81">
        <v>0</v>
      </c>
      <c r="AD12" s="81">
        <v>0</v>
      </c>
      <c r="AE12" s="81">
        <v>0</v>
      </c>
      <c r="AF12" s="82">
        <f t="shared" si="2"/>
        <v>0</v>
      </c>
      <c r="AG12" s="83"/>
      <c r="AH12" s="80" t="s">
        <v>45</v>
      </c>
      <c r="AI12" s="81">
        <v>0</v>
      </c>
      <c r="AJ12" s="81">
        <v>0</v>
      </c>
      <c r="AK12" s="81">
        <v>0</v>
      </c>
      <c r="AL12" s="81">
        <v>0</v>
      </c>
      <c r="AM12" s="81">
        <v>0</v>
      </c>
      <c r="AN12" s="81">
        <v>0</v>
      </c>
      <c r="AO12" s="81">
        <v>0</v>
      </c>
      <c r="AP12" s="81">
        <v>0</v>
      </c>
      <c r="AQ12" s="82">
        <f t="shared" si="3"/>
        <v>0</v>
      </c>
    </row>
    <row r="13" spans="1:43" x14ac:dyDescent="0.25">
      <c r="A13" s="80" t="s">
        <v>46</v>
      </c>
      <c r="B13" s="81">
        <v>0</v>
      </c>
      <c r="C13" s="81">
        <v>0</v>
      </c>
      <c r="D13" s="81">
        <v>0</v>
      </c>
      <c r="E13" s="81">
        <v>0</v>
      </c>
      <c r="F13" s="81">
        <v>0</v>
      </c>
      <c r="G13" s="81">
        <v>0</v>
      </c>
      <c r="H13" s="81">
        <v>0</v>
      </c>
      <c r="I13" s="81">
        <v>0</v>
      </c>
      <c r="J13" s="82">
        <f t="shared" si="0"/>
        <v>0</v>
      </c>
      <c r="L13" s="80" t="s">
        <v>46</v>
      </c>
      <c r="M13" s="81">
        <v>0</v>
      </c>
      <c r="N13" s="81">
        <v>0</v>
      </c>
      <c r="O13" s="81">
        <v>0</v>
      </c>
      <c r="P13" s="81">
        <v>0</v>
      </c>
      <c r="Q13" s="81">
        <v>3429364</v>
      </c>
      <c r="R13" s="81">
        <v>0</v>
      </c>
      <c r="S13" s="81">
        <v>0</v>
      </c>
      <c r="T13" s="81">
        <v>0</v>
      </c>
      <c r="U13" s="82">
        <f t="shared" si="1"/>
        <v>3429364</v>
      </c>
      <c r="W13" s="80" t="s">
        <v>46</v>
      </c>
      <c r="X13" s="81">
        <v>0</v>
      </c>
      <c r="Y13" s="81">
        <v>0</v>
      </c>
      <c r="Z13" s="81">
        <v>0</v>
      </c>
      <c r="AA13" s="81">
        <v>0</v>
      </c>
      <c r="AB13" s="81">
        <v>0</v>
      </c>
      <c r="AC13" s="81">
        <v>0</v>
      </c>
      <c r="AD13" s="81">
        <v>0</v>
      </c>
      <c r="AE13" s="81">
        <v>0</v>
      </c>
      <c r="AF13" s="82">
        <f t="shared" si="2"/>
        <v>0</v>
      </c>
      <c r="AG13" s="83"/>
      <c r="AH13" s="80" t="s">
        <v>46</v>
      </c>
      <c r="AI13" s="81">
        <v>0</v>
      </c>
      <c r="AJ13" s="81">
        <v>0</v>
      </c>
      <c r="AK13" s="81">
        <v>0</v>
      </c>
      <c r="AL13" s="81">
        <v>0</v>
      </c>
      <c r="AM13" s="81">
        <v>0</v>
      </c>
      <c r="AN13" s="81">
        <v>0</v>
      </c>
      <c r="AO13" s="81">
        <v>0</v>
      </c>
      <c r="AP13" s="81">
        <v>0</v>
      </c>
      <c r="AQ13" s="82">
        <f t="shared" si="3"/>
        <v>0</v>
      </c>
    </row>
    <row r="14" spans="1:43" x14ac:dyDescent="0.25">
      <c r="A14" s="80" t="s">
        <v>47</v>
      </c>
      <c r="B14" s="81">
        <v>0</v>
      </c>
      <c r="C14" s="81">
        <v>0</v>
      </c>
      <c r="D14" s="81">
        <v>0</v>
      </c>
      <c r="E14" s="81">
        <v>0</v>
      </c>
      <c r="F14" s="81">
        <v>0</v>
      </c>
      <c r="G14" s="81">
        <v>0</v>
      </c>
      <c r="H14" s="81">
        <v>0</v>
      </c>
      <c r="I14" s="81">
        <v>0</v>
      </c>
      <c r="J14" s="82">
        <f t="shared" si="0"/>
        <v>0</v>
      </c>
      <c r="L14" s="80" t="s">
        <v>47</v>
      </c>
      <c r="M14" s="81">
        <v>0</v>
      </c>
      <c r="N14" s="81">
        <v>0</v>
      </c>
      <c r="O14" s="81">
        <v>0</v>
      </c>
      <c r="P14" s="81">
        <v>0</v>
      </c>
      <c r="Q14" s="81">
        <v>2195738</v>
      </c>
      <c r="R14" s="81">
        <v>0</v>
      </c>
      <c r="S14" s="81">
        <v>23400</v>
      </c>
      <c r="T14" s="81">
        <v>0</v>
      </c>
      <c r="U14" s="82">
        <f t="shared" si="1"/>
        <v>2219138</v>
      </c>
      <c r="W14" s="80" t="s">
        <v>47</v>
      </c>
      <c r="X14" s="81">
        <v>0</v>
      </c>
      <c r="Y14" s="81">
        <v>0</v>
      </c>
      <c r="Z14" s="81">
        <v>0</v>
      </c>
      <c r="AA14" s="81">
        <v>0</v>
      </c>
      <c r="AB14" s="81">
        <v>0</v>
      </c>
      <c r="AC14" s="81">
        <v>0</v>
      </c>
      <c r="AD14" s="81">
        <v>0</v>
      </c>
      <c r="AE14" s="81">
        <v>0</v>
      </c>
      <c r="AF14" s="82">
        <f t="shared" si="2"/>
        <v>0</v>
      </c>
      <c r="AG14" s="83"/>
      <c r="AH14" s="80" t="s">
        <v>47</v>
      </c>
      <c r="AI14" s="81">
        <v>0</v>
      </c>
      <c r="AJ14" s="81">
        <v>0</v>
      </c>
      <c r="AK14" s="81">
        <v>0</v>
      </c>
      <c r="AL14" s="81">
        <v>0</v>
      </c>
      <c r="AM14" s="81">
        <v>0</v>
      </c>
      <c r="AN14" s="81">
        <v>0</v>
      </c>
      <c r="AO14" s="81">
        <v>0</v>
      </c>
      <c r="AP14" s="81">
        <v>0</v>
      </c>
      <c r="AQ14" s="82">
        <f t="shared" si="3"/>
        <v>0</v>
      </c>
    </row>
    <row r="15" spans="1:43" x14ac:dyDescent="0.25">
      <c r="A15" s="80" t="s">
        <v>48</v>
      </c>
      <c r="B15" s="81">
        <v>0</v>
      </c>
      <c r="C15" s="81">
        <v>0</v>
      </c>
      <c r="D15" s="81">
        <v>0</v>
      </c>
      <c r="E15" s="81">
        <v>0</v>
      </c>
      <c r="F15" s="81">
        <v>0</v>
      </c>
      <c r="G15" s="81">
        <v>0</v>
      </c>
      <c r="H15" s="81">
        <v>0</v>
      </c>
      <c r="I15" s="81">
        <v>0</v>
      </c>
      <c r="J15" s="82">
        <f t="shared" si="0"/>
        <v>0</v>
      </c>
      <c r="L15" s="80" t="s">
        <v>48</v>
      </c>
      <c r="M15" s="81">
        <v>0</v>
      </c>
      <c r="N15" s="81">
        <v>0</v>
      </c>
      <c r="O15" s="81">
        <v>0</v>
      </c>
      <c r="P15" s="81">
        <v>0</v>
      </c>
      <c r="Q15" s="81">
        <v>2996708</v>
      </c>
      <c r="R15" s="81">
        <v>0</v>
      </c>
      <c r="S15" s="81">
        <v>0</v>
      </c>
      <c r="T15" s="81">
        <v>0</v>
      </c>
      <c r="U15" s="82">
        <f t="shared" si="1"/>
        <v>2996708</v>
      </c>
      <c r="W15" s="80" t="s">
        <v>48</v>
      </c>
      <c r="X15" s="81">
        <v>0</v>
      </c>
      <c r="Y15" s="81">
        <v>0</v>
      </c>
      <c r="Z15" s="81">
        <v>0</v>
      </c>
      <c r="AA15" s="81">
        <v>0</v>
      </c>
      <c r="AB15" s="81">
        <v>0</v>
      </c>
      <c r="AC15" s="81">
        <v>0</v>
      </c>
      <c r="AD15" s="81">
        <v>0</v>
      </c>
      <c r="AE15" s="81">
        <v>0</v>
      </c>
      <c r="AF15" s="82">
        <f t="shared" si="2"/>
        <v>0</v>
      </c>
      <c r="AG15" s="83"/>
      <c r="AH15" s="80" t="s">
        <v>48</v>
      </c>
      <c r="AI15" s="81">
        <v>0</v>
      </c>
      <c r="AJ15" s="81">
        <v>0</v>
      </c>
      <c r="AK15" s="81">
        <v>0</v>
      </c>
      <c r="AL15" s="81">
        <v>0</v>
      </c>
      <c r="AM15" s="81">
        <v>0</v>
      </c>
      <c r="AN15" s="81">
        <v>0</v>
      </c>
      <c r="AO15" s="81">
        <v>0</v>
      </c>
      <c r="AP15" s="81">
        <v>0</v>
      </c>
      <c r="AQ15" s="82">
        <f t="shared" si="3"/>
        <v>0</v>
      </c>
    </row>
    <row r="16" spans="1:43" x14ac:dyDescent="0.25">
      <c r="A16" s="80" t="s">
        <v>49</v>
      </c>
      <c r="B16" s="81">
        <v>0</v>
      </c>
      <c r="C16" s="81">
        <v>0</v>
      </c>
      <c r="D16" s="81">
        <v>0</v>
      </c>
      <c r="E16" s="81">
        <v>0</v>
      </c>
      <c r="F16" s="81">
        <v>0</v>
      </c>
      <c r="G16" s="81">
        <v>0</v>
      </c>
      <c r="H16" s="81">
        <v>0</v>
      </c>
      <c r="I16" s="81">
        <v>0</v>
      </c>
      <c r="J16" s="82">
        <f t="shared" si="0"/>
        <v>0</v>
      </c>
      <c r="L16" s="80" t="s">
        <v>49</v>
      </c>
      <c r="M16" s="81">
        <v>0</v>
      </c>
      <c r="N16" s="81">
        <v>0</v>
      </c>
      <c r="O16" s="81">
        <v>0</v>
      </c>
      <c r="P16" s="81">
        <v>0</v>
      </c>
      <c r="Q16" s="81">
        <v>1865276</v>
      </c>
      <c r="R16" s="81">
        <v>0</v>
      </c>
      <c r="S16" s="81">
        <v>0</v>
      </c>
      <c r="T16" s="81">
        <v>0</v>
      </c>
      <c r="U16" s="82">
        <f t="shared" si="1"/>
        <v>1865276</v>
      </c>
      <c r="W16" s="80" t="s">
        <v>49</v>
      </c>
      <c r="X16" s="81">
        <v>0</v>
      </c>
      <c r="Y16" s="81">
        <v>0</v>
      </c>
      <c r="Z16" s="81">
        <v>0</v>
      </c>
      <c r="AA16" s="81">
        <v>0</v>
      </c>
      <c r="AB16" s="81">
        <v>0</v>
      </c>
      <c r="AC16" s="81">
        <v>0</v>
      </c>
      <c r="AD16" s="81">
        <v>0</v>
      </c>
      <c r="AE16" s="81">
        <v>0</v>
      </c>
      <c r="AF16" s="82">
        <f t="shared" si="2"/>
        <v>0</v>
      </c>
      <c r="AG16" s="83"/>
      <c r="AH16" s="80" t="s">
        <v>49</v>
      </c>
      <c r="AI16" s="81">
        <v>0</v>
      </c>
      <c r="AJ16" s="81">
        <v>0</v>
      </c>
      <c r="AK16" s="81">
        <v>0</v>
      </c>
      <c r="AL16" s="81">
        <v>0</v>
      </c>
      <c r="AM16" s="81">
        <v>0</v>
      </c>
      <c r="AN16" s="81">
        <v>0</v>
      </c>
      <c r="AO16" s="81">
        <v>0</v>
      </c>
      <c r="AP16" s="81">
        <v>0</v>
      </c>
      <c r="AQ16" s="82">
        <f t="shared" si="3"/>
        <v>0</v>
      </c>
    </row>
    <row r="17" spans="1:43" x14ac:dyDescent="0.25">
      <c r="A17" s="80" t="s">
        <v>50</v>
      </c>
      <c r="B17" s="81">
        <v>0</v>
      </c>
      <c r="C17" s="81">
        <v>0</v>
      </c>
      <c r="D17" s="81">
        <v>0</v>
      </c>
      <c r="E17" s="81">
        <v>0</v>
      </c>
      <c r="F17" s="81">
        <v>0</v>
      </c>
      <c r="G17" s="81">
        <v>0</v>
      </c>
      <c r="H17" s="81">
        <v>0</v>
      </c>
      <c r="I17" s="81">
        <v>0</v>
      </c>
      <c r="J17" s="82">
        <f t="shared" si="0"/>
        <v>0</v>
      </c>
      <c r="L17" s="80" t="s">
        <v>50</v>
      </c>
      <c r="M17" s="81">
        <v>0</v>
      </c>
      <c r="N17" s="81">
        <v>0</v>
      </c>
      <c r="O17" s="81">
        <v>0</v>
      </c>
      <c r="P17" s="81">
        <v>0</v>
      </c>
      <c r="Q17" s="81">
        <v>2129454</v>
      </c>
      <c r="R17" s="81">
        <v>0</v>
      </c>
      <c r="S17" s="81">
        <v>1214</v>
      </c>
      <c r="T17" s="81">
        <v>0</v>
      </c>
      <c r="U17" s="82">
        <f t="shared" si="1"/>
        <v>2130668</v>
      </c>
      <c r="W17" s="80" t="s">
        <v>50</v>
      </c>
      <c r="X17" s="81">
        <v>0</v>
      </c>
      <c r="Y17" s="81">
        <v>0</v>
      </c>
      <c r="Z17" s="81">
        <v>0</v>
      </c>
      <c r="AA17" s="81">
        <v>0</v>
      </c>
      <c r="AB17" s="81">
        <v>150000</v>
      </c>
      <c r="AC17" s="81">
        <v>0</v>
      </c>
      <c r="AD17" s="81">
        <v>0</v>
      </c>
      <c r="AE17" s="81">
        <v>0</v>
      </c>
      <c r="AF17" s="82">
        <f t="shared" si="2"/>
        <v>150000</v>
      </c>
      <c r="AG17" s="83"/>
      <c r="AH17" s="80" t="s">
        <v>50</v>
      </c>
      <c r="AI17" s="81">
        <v>0</v>
      </c>
      <c r="AJ17" s="81">
        <v>0</v>
      </c>
      <c r="AK17" s="81">
        <v>0</v>
      </c>
      <c r="AL17" s="81">
        <v>0</v>
      </c>
      <c r="AM17" s="81">
        <v>0</v>
      </c>
      <c r="AN17" s="81">
        <v>0</v>
      </c>
      <c r="AO17" s="81">
        <v>0</v>
      </c>
      <c r="AP17" s="81">
        <v>0</v>
      </c>
      <c r="AQ17" s="82">
        <f t="shared" si="3"/>
        <v>0</v>
      </c>
    </row>
    <row r="18" spans="1:43" x14ac:dyDescent="0.25">
      <c r="A18" s="84" t="s">
        <v>9</v>
      </c>
      <c r="B18" s="85">
        <f>SUM(B6:B17)</f>
        <v>0</v>
      </c>
      <c r="C18" s="85">
        <f t="shared" ref="C18:I18" si="4">SUM(C6:C17)</f>
        <v>0</v>
      </c>
      <c r="D18" s="85">
        <f t="shared" si="4"/>
        <v>0</v>
      </c>
      <c r="E18" s="85">
        <f t="shared" si="4"/>
        <v>0</v>
      </c>
      <c r="F18" s="85">
        <f t="shared" si="4"/>
        <v>11432362</v>
      </c>
      <c r="G18" s="85">
        <f t="shared" si="4"/>
        <v>0</v>
      </c>
      <c r="H18" s="85">
        <f t="shared" si="4"/>
        <v>114983</v>
      </c>
      <c r="I18" s="85">
        <f t="shared" si="4"/>
        <v>244303</v>
      </c>
      <c r="J18" s="85">
        <f>SUM(J6:J17)</f>
        <v>11791648</v>
      </c>
      <c r="L18" s="84" t="s">
        <v>9</v>
      </c>
      <c r="M18" s="85">
        <f>SUM(M6:M17)</f>
        <v>0</v>
      </c>
      <c r="N18" s="85">
        <f t="shared" ref="N18:T18" si="5">SUM(N6:N17)</f>
        <v>0</v>
      </c>
      <c r="O18" s="85">
        <f t="shared" si="5"/>
        <v>0</v>
      </c>
      <c r="P18" s="85">
        <f t="shared" si="5"/>
        <v>0</v>
      </c>
      <c r="Q18" s="85">
        <f t="shared" si="5"/>
        <v>16082903</v>
      </c>
      <c r="R18" s="85">
        <f t="shared" si="5"/>
        <v>0</v>
      </c>
      <c r="S18" s="85">
        <f t="shared" si="5"/>
        <v>24614</v>
      </c>
      <c r="T18" s="85">
        <f t="shared" si="5"/>
        <v>0</v>
      </c>
      <c r="U18" s="85">
        <f>SUM(U6:U17)</f>
        <v>16107517</v>
      </c>
      <c r="W18" s="84" t="s">
        <v>9</v>
      </c>
      <c r="X18" s="85">
        <f>SUM(X6:X17)</f>
        <v>0</v>
      </c>
      <c r="Y18" s="85">
        <f t="shared" ref="Y18:AE18" si="6">SUM(Y6:Y17)</f>
        <v>0</v>
      </c>
      <c r="Z18" s="85">
        <f t="shared" si="6"/>
        <v>0</v>
      </c>
      <c r="AA18" s="85">
        <f t="shared" si="6"/>
        <v>0</v>
      </c>
      <c r="AB18" s="85">
        <f t="shared" si="6"/>
        <v>150000</v>
      </c>
      <c r="AC18" s="85">
        <f t="shared" si="6"/>
        <v>0</v>
      </c>
      <c r="AD18" s="85">
        <f t="shared" si="6"/>
        <v>0</v>
      </c>
      <c r="AE18" s="85">
        <f t="shared" si="6"/>
        <v>0</v>
      </c>
      <c r="AF18" s="85">
        <f>SUM(AF6:AF17)</f>
        <v>150000</v>
      </c>
      <c r="AG18" s="83"/>
      <c r="AH18" s="84" t="s">
        <v>9</v>
      </c>
      <c r="AI18" s="85">
        <f>SUM(AI6:AI17)</f>
        <v>0</v>
      </c>
      <c r="AJ18" s="85">
        <f t="shared" ref="AJ18:AP18" si="7">SUM(AJ6:AJ17)</f>
        <v>0</v>
      </c>
      <c r="AK18" s="85">
        <f t="shared" si="7"/>
        <v>0</v>
      </c>
      <c r="AL18" s="85">
        <f t="shared" si="7"/>
        <v>0</v>
      </c>
      <c r="AM18" s="85">
        <f t="shared" si="7"/>
        <v>0</v>
      </c>
      <c r="AN18" s="85">
        <f t="shared" si="7"/>
        <v>0</v>
      </c>
      <c r="AO18" s="85">
        <f t="shared" si="7"/>
        <v>0</v>
      </c>
      <c r="AP18" s="85">
        <f t="shared" si="7"/>
        <v>0</v>
      </c>
      <c r="AQ18" s="85">
        <f>SUM(AQ6:AQ17)</f>
        <v>0</v>
      </c>
    </row>
    <row r="19" spans="1:43" ht="17.45" customHeight="1" x14ac:dyDescent="0.25">
      <c r="A19" s="86" t="s">
        <v>58</v>
      </c>
      <c r="B19" s="65">
        <f>B18/$J18</f>
        <v>0</v>
      </c>
      <c r="C19" s="65">
        <f t="shared" ref="C19:J19" si="8">C18/$J18</f>
        <v>0</v>
      </c>
      <c r="D19" s="65">
        <f t="shared" si="8"/>
        <v>0</v>
      </c>
      <c r="E19" s="65">
        <f t="shared" si="8"/>
        <v>0</v>
      </c>
      <c r="F19" s="65">
        <f t="shared" si="8"/>
        <v>0.96953046766660611</v>
      </c>
      <c r="G19" s="65">
        <f t="shared" si="8"/>
        <v>0</v>
      </c>
      <c r="H19" s="65">
        <f t="shared" si="8"/>
        <v>9.7512239171318547E-3</v>
      </c>
      <c r="I19" s="65">
        <f t="shared" si="8"/>
        <v>2.0718308416262085E-2</v>
      </c>
      <c r="J19" s="65">
        <f t="shared" si="8"/>
        <v>1</v>
      </c>
      <c r="L19" s="86" t="s">
        <v>58</v>
      </c>
      <c r="M19" s="65">
        <f t="shared" ref="M19:U19" si="9">M18/$U18</f>
        <v>0</v>
      </c>
      <c r="N19" s="65">
        <f t="shared" si="9"/>
        <v>0</v>
      </c>
      <c r="O19" s="65">
        <f t="shared" si="9"/>
        <v>0</v>
      </c>
      <c r="P19" s="65">
        <f t="shared" si="9"/>
        <v>0</v>
      </c>
      <c r="Q19" s="65">
        <f t="shared" si="9"/>
        <v>0.99847189358856492</v>
      </c>
      <c r="R19" s="65">
        <f t="shared" si="9"/>
        <v>0</v>
      </c>
      <c r="S19" s="65">
        <f t="shared" si="9"/>
        <v>1.5281064114351082E-3</v>
      </c>
      <c r="T19" s="65">
        <f t="shared" si="9"/>
        <v>0</v>
      </c>
      <c r="U19" s="65">
        <f t="shared" si="9"/>
        <v>1</v>
      </c>
      <c r="V19" s="87"/>
      <c r="W19" s="86" t="s">
        <v>58</v>
      </c>
      <c r="X19" s="65">
        <f t="shared" ref="X19:AF19" si="10">X18/$AF18</f>
        <v>0</v>
      </c>
      <c r="Y19" s="65">
        <f t="shared" si="10"/>
        <v>0</v>
      </c>
      <c r="Z19" s="65">
        <f t="shared" si="10"/>
        <v>0</v>
      </c>
      <c r="AA19" s="65">
        <f t="shared" si="10"/>
        <v>0</v>
      </c>
      <c r="AB19" s="65">
        <f t="shared" si="10"/>
        <v>1</v>
      </c>
      <c r="AC19" s="65">
        <f t="shared" si="10"/>
        <v>0</v>
      </c>
      <c r="AD19" s="65">
        <f t="shared" si="10"/>
        <v>0</v>
      </c>
      <c r="AE19" s="65">
        <f t="shared" si="10"/>
        <v>0</v>
      </c>
      <c r="AF19" s="65">
        <f t="shared" si="10"/>
        <v>1</v>
      </c>
      <c r="AG19" s="83"/>
      <c r="AH19" s="86" t="s">
        <v>58</v>
      </c>
      <c r="AI19" s="65" t="str">
        <f t="shared" ref="AI19:AQ19" si="11">IFERROR(AI18/$AQ18,"-")</f>
        <v>-</v>
      </c>
      <c r="AJ19" s="65" t="str">
        <f t="shared" si="11"/>
        <v>-</v>
      </c>
      <c r="AK19" s="65" t="str">
        <f t="shared" si="11"/>
        <v>-</v>
      </c>
      <c r="AL19" s="65" t="str">
        <f t="shared" si="11"/>
        <v>-</v>
      </c>
      <c r="AM19" s="65" t="str">
        <f t="shared" si="11"/>
        <v>-</v>
      </c>
      <c r="AN19" s="65" t="str">
        <f t="shared" si="11"/>
        <v>-</v>
      </c>
      <c r="AO19" s="65" t="str">
        <f t="shared" si="11"/>
        <v>-</v>
      </c>
      <c r="AP19" s="65" t="str">
        <f t="shared" si="11"/>
        <v>-</v>
      </c>
      <c r="AQ19" s="65" t="str">
        <f t="shared" si="11"/>
        <v>-</v>
      </c>
    </row>
    <row r="20" spans="1:43" ht="31.15" customHeight="1" x14ac:dyDescent="0.25">
      <c r="A20" s="86" t="s">
        <v>59</v>
      </c>
      <c r="B20" s="65">
        <f>IFERROR(B18/B$98,"-")</f>
        <v>0</v>
      </c>
      <c r="C20" s="65" t="str">
        <f>IFERROR(C18/C$98,"-")</f>
        <v>-</v>
      </c>
      <c r="D20" s="65" t="str">
        <f>IFERROR(D18/D$98,"-")</f>
        <v>-</v>
      </c>
      <c r="E20" s="65" t="str">
        <f>IFERROR(E18/E$98,"-")</f>
        <v>-</v>
      </c>
      <c r="F20" s="65">
        <f>IFERROR(F18/F$98,"-")</f>
        <v>3.4072764615026042E-2</v>
      </c>
      <c r="G20" s="65" t="str">
        <f t="shared" ref="G20:I20" si="12">IFERROR(G18/G$98,"-")</f>
        <v>-</v>
      </c>
      <c r="H20" s="65">
        <f t="shared" si="12"/>
        <v>6.4078879276378963E-3</v>
      </c>
      <c r="I20" s="65">
        <f t="shared" si="12"/>
        <v>2.0742087241353253E-2</v>
      </c>
      <c r="J20" s="65">
        <f t="shared" ref="J20" si="13">IFERROR(J18/J$98,"")</f>
        <v>3.2108283167589978E-2</v>
      </c>
      <c r="L20" s="86" t="s">
        <v>59</v>
      </c>
      <c r="M20" s="65">
        <f t="shared" ref="M20:U20" si="14">IFERROR(M18/M$98,"")</f>
        <v>0</v>
      </c>
      <c r="N20" s="65">
        <f t="shared" si="14"/>
        <v>0</v>
      </c>
      <c r="O20" s="65" t="str">
        <f t="shared" si="14"/>
        <v/>
      </c>
      <c r="P20" s="65" t="str">
        <f t="shared" si="14"/>
        <v/>
      </c>
      <c r="Q20" s="65">
        <f t="shared" si="14"/>
        <v>6.8369245584079127E-2</v>
      </c>
      <c r="R20" s="65" t="str">
        <f t="shared" si="14"/>
        <v/>
      </c>
      <c r="S20" s="65">
        <f t="shared" si="14"/>
        <v>2.527167772255509E-3</v>
      </c>
      <c r="T20" s="65">
        <f t="shared" si="14"/>
        <v>0</v>
      </c>
      <c r="U20" s="65">
        <f t="shared" si="14"/>
        <v>6.4054561202083277E-2</v>
      </c>
      <c r="V20" s="87"/>
      <c r="W20" s="86" t="s">
        <v>59</v>
      </c>
      <c r="X20" s="65" t="str">
        <f t="shared" ref="X20:AF20" si="15">IFERROR(X18/X$98,"")</f>
        <v/>
      </c>
      <c r="Y20" s="65" t="str">
        <f t="shared" si="15"/>
        <v/>
      </c>
      <c r="Z20" s="65" t="str">
        <f t="shared" si="15"/>
        <v/>
      </c>
      <c r="AA20" s="65" t="str">
        <f t="shared" si="15"/>
        <v/>
      </c>
      <c r="AB20" s="65">
        <f t="shared" si="15"/>
        <v>5.2403138039647516E-2</v>
      </c>
      <c r="AC20" s="65" t="str">
        <f t="shared" si="15"/>
        <v/>
      </c>
      <c r="AD20" s="65" t="str">
        <f t="shared" si="15"/>
        <v/>
      </c>
      <c r="AE20" s="65" t="str">
        <f t="shared" si="15"/>
        <v/>
      </c>
      <c r="AF20" s="65">
        <f t="shared" si="15"/>
        <v>5.2403138039647516E-2</v>
      </c>
      <c r="AG20" s="83"/>
      <c r="AH20" s="86" t="s">
        <v>59</v>
      </c>
      <c r="AI20" s="65" t="str">
        <f t="shared" ref="AI20:AQ20" si="16">IFERROR(AI18/AI$98,"")</f>
        <v/>
      </c>
      <c r="AJ20" s="65" t="str">
        <f t="shared" si="16"/>
        <v/>
      </c>
      <c r="AK20" s="65" t="str">
        <f t="shared" si="16"/>
        <v/>
      </c>
      <c r="AL20" s="65" t="str">
        <f t="shared" si="16"/>
        <v/>
      </c>
      <c r="AM20" s="65">
        <f t="shared" si="16"/>
        <v>0</v>
      </c>
      <c r="AN20" s="65" t="str">
        <f t="shared" si="16"/>
        <v/>
      </c>
      <c r="AO20" s="65" t="str">
        <f t="shared" si="16"/>
        <v/>
      </c>
      <c r="AP20" s="65" t="str">
        <f t="shared" si="16"/>
        <v/>
      </c>
      <c r="AQ20" s="65">
        <f t="shared" si="16"/>
        <v>0</v>
      </c>
    </row>
    <row r="21" spans="1:43" x14ac:dyDescent="0.25">
      <c r="B21" s="30"/>
      <c r="C21" s="30"/>
      <c r="D21" s="30"/>
      <c r="E21" s="30"/>
      <c r="F21" s="30"/>
      <c r="G21" s="30"/>
      <c r="H21" s="30"/>
      <c r="M21" s="30"/>
      <c r="N21" s="30"/>
      <c r="O21" s="30"/>
      <c r="P21" s="30"/>
      <c r="Q21" s="30"/>
      <c r="R21" s="30"/>
      <c r="S21" s="30"/>
      <c r="X21" s="30"/>
      <c r="Y21" s="30"/>
      <c r="Z21" s="30"/>
      <c r="AA21" s="30"/>
      <c r="AB21" s="30"/>
      <c r="AC21" s="30"/>
      <c r="AD21" s="30"/>
      <c r="AG21" s="83"/>
      <c r="AI21" s="30"/>
      <c r="AJ21" s="30"/>
      <c r="AK21" s="30"/>
      <c r="AL21" s="30"/>
      <c r="AM21" s="30"/>
      <c r="AN21" s="30"/>
      <c r="AO21" s="30"/>
    </row>
    <row r="22" spans="1:43" x14ac:dyDescent="0.25">
      <c r="AG22" s="83"/>
    </row>
    <row r="23" spans="1:43" x14ac:dyDescent="0.25">
      <c r="A23" s="73" t="s">
        <v>20</v>
      </c>
      <c r="B23" s="73"/>
      <c r="C23" s="73"/>
      <c r="D23" s="73"/>
      <c r="E23" s="73"/>
      <c r="F23" s="73"/>
      <c r="G23" s="73"/>
      <c r="H23" s="73"/>
      <c r="I23" s="73"/>
      <c r="J23" s="73"/>
      <c r="L23" s="73" t="s">
        <v>20</v>
      </c>
      <c r="M23" s="73"/>
      <c r="N23" s="73"/>
      <c r="O23" s="73"/>
      <c r="P23" s="73"/>
      <c r="Q23" s="73"/>
      <c r="R23" s="73"/>
      <c r="S23" s="73"/>
      <c r="T23" s="73"/>
      <c r="U23" s="73"/>
      <c r="W23" s="73" t="s">
        <v>20</v>
      </c>
      <c r="X23" s="73"/>
      <c r="Y23" s="73"/>
      <c r="Z23" s="73"/>
      <c r="AA23" s="73"/>
      <c r="AB23" s="73"/>
      <c r="AC23" s="73"/>
      <c r="AD23" s="73"/>
      <c r="AE23" s="73"/>
      <c r="AF23" s="73"/>
      <c r="AG23" s="30"/>
      <c r="AH23" s="73" t="s">
        <v>20</v>
      </c>
      <c r="AI23" s="73"/>
      <c r="AJ23" s="73"/>
      <c r="AK23" s="73"/>
      <c r="AL23" s="73"/>
      <c r="AM23" s="73"/>
      <c r="AN23" s="73"/>
      <c r="AO23" s="73"/>
      <c r="AP23" s="73"/>
      <c r="AQ23" s="73"/>
    </row>
    <row r="24" spans="1:43" x14ac:dyDescent="0.25">
      <c r="A24" s="54" t="s">
        <v>38</v>
      </c>
      <c r="B24" s="74" t="s">
        <v>3</v>
      </c>
      <c r="C24" s="74"/>
      <c r="D24" s="75" t="s">
        <v>4</v>
      </c>
      <c r="E24" s="76" t="s">
        <v>5</v>
      </c>
      <c r="F24" s="77"/>
      <c r="G24" s="75" t="s">
        <v>7</v>
      </c>
      <c r="H24" s="74" t="s">
        <v>8</v>
      </c>
      <c r="I24" s="74"/>
      <c r="J24" s="54" t="s">
        <v>9</v>
      </c>
      <c r="L24" s="54" t="s">
        <v>38</v>
      </c>
      <c r="M24" s="74" t="s">
        <v>3</v>
      </c>
      <c r="N24" s="74"/>
      <c r="O24" s="75" t="s">
        <v>4</v>
      </c>
      <c r="P24" s="76" t="s">
        <v>5</v>
      </c>
      <c r="Q24" s="77"/>
      <c r="R24" s="75" t="s">
        <v>7</v>
      </c>
      <c r="S24" s="74" t="s">
        <v>8</v>
      </c>
      <c r="T24" s="74"/>
      <c r="U24" s="54" t="s">
        <v>9</v>
      </c>
      <c r="W24" s="54" t="s">
        <v>38</v>
      </c>
      <c r="X24" s="74" t="s">
        <v>3</v>
      </c>
      <c r="Y24" s="74"/>
      <c r="Z24" s="75" t="s">
        <v>4</v>
      </c>
      <c r="AA24" s="76" t="s">
        <v>5</v>
      </c>
      <c r="AB24" s="77"/>
      <c r="AC24" s="75" t="s">
        <v>7</v>
      </c>
      <c r="AD24" s="74" t="s">
        <v>8</v>
      </c>
      <c r="AE24" s="74"/>
      <c r="AF24" s="54" t="s">
        <v>9</v>
      </c>
      <c r="AG24" s="30"/>
      <c r="AH24" s="54" t="s">
        <v>38</v>
      </c>
      <c r="AI24" s="74" t="s">
        <v>3</v>
      </c>
      <c r="AJ24" s="74"/>
      <c r="AK24" s="75" t="s">
        <v>4</v>
      </c>
      <c r="AL24" s="76" t="s">
        <v>5</v>
      </c>
      <c r="AM24" s="77"/>
      <c r="AN24" s="75" t="s">
        <v>7</v>
      </c>
      <c r="AO24" s="74" t="s">
        <v>8</v>
      </c>
      <c r="AP24" s="74"/>
      <c r="AQ24" s="54" t="s">
        <v>9</v>
      </c>
    </row>
    <row r="25" spans="1:43" s="88" customFormat="1" ht="29.45" customHeight="1" x14ac:dyDescent="0.25">
      <c r="A25" s="54"/>
      <c r="B25" s="79" t="s">
        <v>10</v>
      </c>
      <c r="C25" s="79" t="s">
        <v>60</v>
      </c>
      <c r="D25" s="79" t="s">
        <v>12</v>
      </c>
      <c r="E25" s="79" t="s">
        <v>13</v>
      </c>
      <c r="F25" s="79" t="s">
        <v>14</v>
      </c>
      <c r="G25" s="79" t="s">
        <v>16</v>
      </c>
      <c r="H25" s="79" t="s">
        <v>17</v>
      </c>
      <c r="I25" s="79" t="s">
        <v>18</v>
      </c>
      <c r="J25" s="54"/>
      <c r="L25" s="54"/>
      <c r="M25" s="79" t="s">
        <v>10</v>
      </c>
      <c r="N25" s="79" t="s">
        <v>60</v>
      </c>
      <c r="O25" s="79" t="s">
        <v>12</v>
      </c>
      <c r="P25" s="79" t="s">
        <v>13</v>
      </c>
      <c r="Q25" s="79" t="s">
        <v>14</v>
      </c>
      <c r="R25" s="79" t="s">
        <v>16</v>
      </c>
      <c r="S25" s="79" t="s">
        <v>17</v>
      </c>
      <c r="T25" s="79" t="s">
        <v>18</v>
      </c>
      <c r="U25" s="54"/>
      <c r="V25" s="89"/>
      <c r="W25" s="54"/>
      <c r="X25" s="79" t="s">
        <v>10</v>
      </c>
      <c r="Y25" s="79" t="s">
        <v>60</v>
      </c>
      <c r="Z25" s="79" t="s">
        <v>12</v>
      </c>
      <c r="AA25" s="79" t="s">
        <v>13</v>
      </c>
      <c r="AB25" s="79" t="s">
        <v>14</v>
      </c>
      <c r="AC25" s="79" t="s">
        <v>16</v>
      </c>
      <c r="AD25" s="79" t="s">
        <v>17</v>
      </c>
      <c r="AE25" s="79" t="s">
        <v>18</v>
      </c>
      <c r="AF25" s="54"/>
      <c r="AH25" s="54"/>
      <c r="AI25" s="79" t="s">
        <v>10</v>
      </c>
      <c r="AJ25" s="79" t="s">
        <v>60</v>
      </c>
      <c r="AK25" s="79" t="s">
        <v>12</v>
      </c>
      <c r="AL25" s="79" t="s">
        <v>13</v>
      </c>
      <c r="AM25" s="79" t="s">
        <v>14</v>
      </c>
      <c r="AN25" s="79" t="s">
        <v>16</v>
      </c>
      <c r="AO25" s="79" t="s">
        <v>17</v>
      </c>
      <c r="AP25" s="79" t="s">
        <v>18</v>
      </c>
      <c r="AQ25" s="54"/>
    </row>
    <row r="26" spans="1:43" x14ac:dyDescent="0.25">
      <c r="A26" s="80" t="s">
        <v>39</v>
      </c>
      <c r="B26" s="81">
        <v>0</v>
      </c>
      <c r="C26" s="81">
        <v>0</v>
      </c>
      <c r="D26" s="81">
        <v>0</v>
      </c>
      <c r="E26" s="81">
        <v>0</v>
      </c>
      <c r="F26" s="81">
        <v>1300</v>
      </c>
      <c r="G26" s="81">
        <v>0</v>
      </c>
      <c r="H26" s="81">
        <v>0</v>
      </c>
      <c r="I26" s="81">
        <v>0</v>
      </c>
      <c r="J26" s="82">
        <f t="shared" ref="J26:J37" si="17">SUM(B26:I26)</f>
        <v>1300</v>
      </c>
      <c r="L26" s="80" t="s">
        <v>39</v>
      </c>
      <c r="M26" s="81">
        <v>0</v>
      </c>
      <c r="N26" s="81">
        <v>0</v>
      </c>
      <c r="O26" s="81">
        <v>0</v>
      </c>
      <c r="P26" s="81">
        <v>0</v>
      </c>
      <c r="Q26" s="81">
        <v>0</v>
      </c>
      <c r="R26" s="81">
        <v>0</v>
      </c>
      <c r="S26" s="81">
        <v>0</v>
      </c>
      <c r="T26" s="81">
        <v>0</v>
      </c>
      <c r="U26" s="82">
        <f t="shared" ref="U26:U37" si="18">SUM(M26:T26)</f>
        <v>0</v>
      </c>
      <c r="V26" s="83"/>
      <c r="W26" s="80" t="s">
        <v>39</v>
      </c>
      <c r="X26" s="81">
        <v>0</v>
      </c>
      <c r="Y26" s="81">
        <v>0</v>
      </c>
      <c r="Z26" s="81">
        <v>0</v>
      </c>
      <c r="AA26" s="81">
        <v>0</v>
      </c>
      <c r="AB26" s="81">
        <v>0</v>
      </c>
      <c r="AC26" s="81">
        <v>0</v>
      </c>
      <c r="AD26" s="81">
        <v>0</v>
      </c>
      <c r="AE26" s="81">
        <v>0</v>
      </c>
      <c r="AF26" s="82">
        <f t="shared" ref="AF26:AF37" si="19">SUM(X26:AE26)</f>
        <v>0</v>
      </c>
      <c r="AH26" s="80" t="s">
        <v>39</v>
      </c>
      <c r="AI26" s="81">
        <v>0</v>
      </c>
      <c r="AJ26" s="81">
        <v>0</v>
      </c>
      <c r="AK26" s="81">
        <v>0</v>
      </c>
      <c r="AL26" s="81">
        <v>0</v>
      </c>
      <c r="AM26" s="81">
        <v>0</v>
      </c>
      <c r="AN26" s="81">
        <v>0</v>
      </c>
      <c r="AO26" s="81">
        <v>0</v>
      </c>
      <c r="AP26" s="81">
        <v>0</v>
      </c>
      <c r="AQ26" s="82">
        <f t="shared" ref="AQ26:AQ37" si="20">SUM(AI26:AP26)</f>
        <v>0</v>
      </c>
    </row>
    <row r="27" spans="1:43" x14ac:dyDescent="0.25">
      <c r="A27" s="80" t="s">
        <v>40</v>
      </c>
      <c r="B27" s="81">
        <v>0</v>
      </c>
      <c r="C27" s="81">
        <v>0</v>
      </c>
      <c r="D27" s="81">
        <v>0</v>
      </c>
      <c r="E27" s="81">
        <v>0</v>
      </c>
      <c r="F27" s="81">
        <v>54289</v>
      </c>
      <c r="G27" s="81">
        <v>0</v>
      </c>
      <c r="H27" s="81">
        <v>0</v>
      </c>
      <c r="I27" s="81">
        <v>0</v>
      </c>
      <c r="J27" s="82">
        <f t="shared" si="17"/>
        <v>54289</v>
      </c>
      <c r="L27" s="80" t="s">
        <v>40</v>
      </c>
      <c r="M27" s="81">
        <v>0</v>
      </c>
      <c r="N27" s="81">
        <v>0</v>
      </c>
      <c r="O27" s="81">
        <v>0</v>
      </c>
      <c r="P27" s="81">
        <v>0</v>
      </c>
      <c r="Q27" s="81">
        <v>0</v>
      </c>
      <c r="R27" s="81">
        <v>0</v>
      </c>
      <c r="S27" s="81">
        <v>0</v>
      </c>
      <c r="T27" s="81">
        <v>0</v>
      </c>
      <c r="U27" s="82">
        <f t="shared" si="18"/>
        <v>0</v>
      </c>
      <c r="V27" s="83"/>
      <c r="W27" s="80" t="s">
        <v>40</v>
      </c>
      <c r="X27" s="81">
        <v>0</v>
      </c>
      <c r="Y27" s="81">
        <v>0</v>
      </c>
      <c r="Z27" s="81">
        <v>0</v>
      </c>
      <c r="AA27" s="81">
        <v>0</v>
      </c>
      <c r="AB27" s="81">
        <v>0</v>
      </c>
      <c r="AC27" s="81">
        <v>0</v>
      </c>
      <c r="AD27" s="81">
        <v>0</v>
      </c>
      <c r="AE27" s="81">
        <v>0</v>
      </c>
      <c r="AF27" s="82">
        <f t="shared" si="19"/>
        <v>0</v>
      </c>
      <c r="AH27" s="80" t="s">
        <v>40</v>
      </c>
      <c r="AI27" s="81">
        <v>0</v>
      </c>
      <c r="AJ27" s="81">
        <v>0</v>
      </c>
      <c r="AK27" s="81">
        <v>0</v>
      </c>
      <c r="AL27" s="81">
        <v>0</v>
      </c>
      <c r="AM27" s="81">
        <v>0</v>
      </c>
      <c r="AN27" s="81">
        <v>0</v>
      </c>
      <c r="AO27" s="81">
        <v>0</v>
      </c>
      <c r="AP27" s="81">
        <v>0</v>
      </c>
      <c r="AQ27" s="82">
        <f t="shared" si="20"/>
        <v>0</v>
      </c>
    </row>
    <row r="28" spans="1:43" x14ac:dyDescent="0.25">
      <c r="A28" s="80" t="s">
        <v>41</v>
      </c>
      <c r="B28" s="81">
        <v>0</v>
      </c>
      <c r="C28" s="81">
        <v>0</v>
      </c>
      <c r="D28" s="81">
        <v>0</v>
      </c>
      <c r="E28" s="81">
        <v>0</v>
      </c>
      <c r="F28" s="81">
        <v>200410</v>
      </c>
      <c r="G28" s="81">
        <v>0</v>
      </c>
      <c r="H28" s="81">
        <v>0</v>
      </c>
      <c r="I28" s="81">
        <v>0</v>
      </c>
      <c r="J28" s="82">
        <f t="shared" si="17"/>
        <v>200410</v>
      </c>
      <c r="L28" s="80" t="s">
        <v>41</v>
      </c>
      <c r="M28" s="81">
        <v>0</v>
      </c>
      <c r="N28" s="81">
        <v>0</v>
      </c>
      <c r="O28" s="81">
        <v>0</v>
      </c>
      <c r="P28" s="81">
        <v>0</v>
      </c>
      <c r="Q28" s="81">
        <v>0</v>
      </c>
      <c r="R28" s="81">
        <v>0</v>
      </c>
      <c r="S28" s="81">
        <v>0</v>
      </c>
      <c r="T28" s="81">
        <v>0</v>
      </c>
      <c r="U28" s="82">
        <f t="shared" si="18"/>
        <v>0</v>
      </c>
      <c r="V28" s="83"/>
      <c r="W28" s="80" t="s">
        <v>41</v>
      </c>
      <c r="X28" s="81">
        <v>0</v>
      </c>
      <c r="Y28" s="81">
        <v>0</v>
      </c>
      <c r="Z28" s="81">
        <v>0</v>
      </c>
      <c r="AA28" s="81">
        <v>0</v>
      </c>
      <c r="AB28" s="81">
        <v>0</v>
      </c>
      <c r="AC28" s="81">
        <v>0</v>
      </c>
      <c r="AD28" s="81">
        <v>0</v>
      </c>
      <c r="AE28" s="81">
        <v>0</v>
      </c>
      <c r="AF28" s="82">
        <f t="shared" si="19"/>
        <v>0</v>
      </c>
      <c r="AH28" s="80" t="s">
        <v>41</v>
      </c>
      <c r="AI28" s="81">
        <v>0</v>
      </c>
      <c r="AJ28" s="81">
        <v>0</v>
      </c>
      <c r="AK28" s="81">
        <v>0</v>
      </c>
      <c r="AL28" s="81">
        <v>0</v>
      </c>
      <c r="AM28" s="81">
        <v>0</v>
      </c>
      <c r="AN28" s="81">
        <v>0</v>
      </c>
      <c r="AO28" s="81">
        <v>0</v>
      </c>
      <c r="AP28" s="81">
        <v>0</v>
      </c>
      <c r="AQ28" s="82">
        <f t="shared" si="20"/>
        <v>0</v>
      </c>
    </row>
    <row r="29" spans="1:43" x14ac:dyDescent="0.25">
      <c r="A29" s="80" t="s">
        <v>42</v>
      </c>
      <c r="B29" s="81">
        <v>0</v>
      </c>
      <c r="C29" s="81">
        <v>0</v>
      </c>
      <c r="D29" s="81">
        <v>0</v>
      </c>
      <c r="E29" s="81">
        <v>0</v>
      </c>
      <c r="F29" s="81">
        <v>80877</v>
      </c>
      <c r="G29" s="81">
        <v>0</v>
      </c>
      <c r="H29" s="81">
        <v>0</v>
      </c>
      <c r="I29" s="81">
        <v>0</v>
      </c>
      <c r="J29" s="82">
        <f t="shared" si="17"/>
        <v>80877</v>
      </c>
      <c r="L29" s="80" t="s">
        <v>42</v>
      </c>
      <c r="M29" s="81">
        <v>0</v>
      </c>
      <c r="N29" s="81">
        <v>0</v>
      </c>
      <c r="O29" s="81">
        <v>0</v>
      </c>
      <c r="P29" s="81">
        <v>0</v>
      </c>
      <c r="Q29" s="81">
        <v>0</v>
      </c>
      <c r="R29" s="81">
        <v>0</v>
      </c>
      <c r="S29" s="81">
        <v>0</v>
      </c>
      <c r="T29" s="81">
        <v>0</v>
      </c>
      <c r="U29" s="82">
        <f t="shared" si="18"/>
        <v>0</v>
      </c>
      <c r="V29" s="83"/>
      <c r="W29" s="80" t="s">
        <v>42</v>
      </c>
      <c r="X29" s="81">
        <v>0</v>
      </c>
      <c r="Y29" s="81">
        <v>0</v>
      </c>
      <c r="Z29" s="81">
        <v>0</v>
      </c>
      <c r="AA29" s="81">
        <v>0</v>
      </c>
      <c r="AB29" s="81">
        <v>0</v>
      </c>
      <c r="AC29" s="81">
        <v>0</v>
      </c>
      <c r="AD29" s="81">
        <v>0</v>
      </c>
      <c r="AE29" s="81">
        <v>0</v>
      </c>
      <c r="AF29" s="82">
        <f t="shared" si="19"/>
        <v>0</v>
      </c>
      <c r="AH29" s="80" t="s">
        <v>42</v>
      </c>
      <c r="AI29" s="81">
        <v>0</v>
      </c>
      <c r="AJ29" s="81">
        <v>0</v>
      </c>
      <c r="AK29" s="81">
        <v>0</v>
      </c>
      <c r="AL29" s="81">
        <v>0</v>
      </c>
      <c r="AM29" s="81">
        <v>0</v>
      </c>
      <c r="AN29" s="81">
        <v>0</v>
      </c>
      <c r="AO29" s="81">
        <v>0</v>
      </c>
      <c r="AP29" s="81">
        <v>0</v>
      </c>
      <c r="AQ29" s="82">
        <f t="shared" si="20"/>
        <v>0</v>
      </c>
    </row>
    <row r="30" spans="1:43" x14ac:dyDescent="0.25">
      <c r="A30" s="80" t="s">
        <v>43</v>
      </c>
      <c r="B30" s="81">
        <v>0</v>
      </c>
      <c r="C30" s="81">
        <v>0</v>
      </c>
      <c r="D30" s="81">
        <v>0</v>
      </c>
      <c r="E30" s="81">
        <v>0</v>
      </c>
      <c r="F30" s="81">
        <v>0</v>
      </c>
      <c r="G30" s="81">
        <v>0</v>
      </c>
      <c r="H30" s="81">
        <v>0</v>
      </c>
      <c r="I30" s="81">
        <v>0</v>
      </c>
      <c r="J30" s="82">
        <f t="shared" si="17"/>
        <v>0</v>
      </c>
      <c r="L30" s="80" t="s">
        <v>43</v>
      </c>
      <c r="M30" s="81">
        <v>0</v>
      </c>
      <c r="N30" s="81">
        <v>0</v>
      </c>
      <c r="O30" s="81">
        <v>0</v>
      </c>
      <c r="P30" s="81">
        <v>0</v>
      </c>
      <c r="Q30" s="81">
        <v>162</v>
      </c>
      <c r="R30" s="81">
        <v>0</v>
      </c>
      <c r="S30" s="81">
        <v>0</v>
      </c>
      <c r="T30" s="81">
        <v>0</v>
      </c>
      <c r="U30" s="82">
        <f t="shared" si="18"/>
        <v>162</v>
      </c>
      <c r="V30" s="83"/>
      <c r="W30" s="80" t="s">
        <v>43</v>
      </c>
      <c r="X30" s="81">
        <v>0</v>
      </c>
      <c r="Y30" s="81">
        <v>0</v>
      </c>
      <c r="Z30" s="81">
        <v>0</v>
      </c>
      <c r="AA30" s="81">
        <v>0</v>
      </c>
      <c r="AB30" s="81">
        <v>0</v>
      </c>
      <c r="AC30" s="81">
        <v>0</v>
      </c>
      <c r="AD30" s="81">
        <v>0</v>
      </c>
      <c r="AE30" s="81">
        <v>0</v>
      </c>
      <c r="AF30" s="82">
        <f t="shared" si="19"/>
        <v>0</v>
      </c>
      <c r="AH30" s="80" t="s">
        <v>43</v>
      </c>
      <c r="AI30" s="81">
        <v>0</v>
      </c>
      <c r="AJ30" s="81">
        <v>0</v>
      </c>
      <c r="AK30" s="81">
        <v>0</v>
      </c>
      <c r="AL30" s="81">
        <v>0</v>
      </c>
      <c r="AM30" s="81">
        <v>0</v>
      </c>
      <c r="AN30" s="81">
        <v>0</v>
      </c>
      <c r="AO30" s="81">
        <v>0</v>
      </c>
      <c r="AP30" s="81">
        <v>0</v>
      </c>
      <c r="AQ30" s="82">
        <f t="shared" si="20"/>
        <v>0</v>
      </c>
    </row>
    <row r="31" spans="1:43" x14ac:dyDescent="0.25">
      <c r="A31" s="80" t="s">
        <v>44</v>
      </c>
      <c r="B31" s="81">
        <v>0</v>
      </c>
      <c r="C31" s="81">
        <v>0</v>
      </c>
      <c r="D31" s="81">
        <v>0</v>
      </c>
      <c r="E31" s="81">
        <v>0</v>
      </c>
      <c r="F31" s="81">
        <v>0</v>
      </c>
      <c r="G31" s="81">
        <v>0</v>
      </c>
      <c r="H31" s="81">
        <v>0</v>
      </c>
      <c r="I31" s="81">
        <v>0</v>
      </c>
      <c r="J31" s="82">
        <f t="shared" si="17"/>
        <v>0</v>
      </c>
      <c r="L31" s="80" t="s">
        <v>44</v>
      </c>
      <c r="M31" s="81">
        <v>0</v>
      </c>
      <c r="N31" s="81">
        <v>0</v>
      </c>
      <c r="O31" s="81">
        <v>0</v>
      </c>
      <c r="P31" s="81">
        <v>0</v>
      </c>
      <c r="Q31" s="81">
        <v>0</v>
      </c>
      <c r="R31" s="81">
        <v>0</v>
      </c>
      <c r="S31" s="81">
        <v>0</v>
      </c>
      <c r="T31" s="81">
        <v>0</v>
      </c>
      <c r="U31" s="82">
        <f t="shared" si="18"/>
        <v>0</v>
      </c>
      <c r="V31" s="83"/>
      <c r="W31" s="80" t="s">
        <v>44</v>
      </c>
      <c r="X31" s="81">
        <v>0</v>
      </c>
      <c r="Y31" s="81">
        <v>0</v>
      </c>
      <c r="Z31" s="81">
        <v>0</v>
      </c>
      <c r="AA31" s="81">
        <v>0</v>
      </c>
      <c r="AB31" s="81">
        <v>0</v>
      </c>
      <c r="AC31" s="81">
        <v>0</v>
      </c>
      <c r="AD31" s="81">
        <v>0</v>
      </c>
      <c r="AE31" s="81">
        <v>0</v>
      </c>
      <c r="AF31" s="82">
        <f t="shared" si="19"/>
        <v>0</v>
      </c>
      <c r="AH31" s="80" t="s">
        <v>44</v>
      </c>
      <c r="AI31" s="81">
        <v>0</v>
      </c>
      <c r="AJ31" s="81">
        <v>0</v>
      </c>
      <c r="AK31" s="81">
        <v>0</v>
      </c>
      <c r="AL31" s="81">
        <v>0</v>
      </c>
      <c r="AM31" s="81">
        <v>0</v>
      </c>
      <c r="AN31" s="81">
        <v>0</v>
      </c>
      <c r="AO31" s="81">
        <v>0</v>
      </c>
      <c r="AP31" s="81">
        <v>0</v>
      </c>
      <c r="AQ31" s="82">
        <f t="shared" si="20"/>
        <v>0</v>
      </c>
    </row>
    <row r="32" spans="1:43" x14ac:dyDescent="0.25">
      <c r="A32" s="80" t="s">
        <v>45</v>
      </c>
      <c r="B32" s="81">
        <v>0</v>
      </c>
      <c r="C32" s="81">
        <v>0</v>
      </c>
      <c r="D32" s="81">
        <v>0</v>
      </c>
      <c r="E32" s="81">
        <v>0</v>
      </c>
      <c r="F32" s="81">
        <v>0</v>
      </c>
      <c r="G32" s="81">
        <v>0</v>
      </c>
      <c r="H32" s="81">
        <v>0</v>
      </c>
      <c r="I32" s="81">
        <v>0</v>
      </c>
      <c r="J32" s="82">
        <f t="shared" si="17"/>
        <v>0</v>
      </c>
      <c r="L32" s="80" t="s">
        <v>45</v>
      </c>
      <c r="M32" s="81">
        <v>0</v>
      </c>
      <c r="N32" s="81">
        <v>0</v>
      </c>
      <c r="O32" s="81">
        <v>0</v>
      </c>
      <c r="P32" s="81">
        <v>0</v>
      </c>
      <c r="Q32" s="81">
        <v>0</v>
      </c>
      <c r="R32" s="81">
        <v>0</v>
      </c>
      <c r="S32" s="81">
        <v>0</v>
      </c>
      <c r="T32" s="81">
        <v>0</v>
      </c>
      <c r="U32" s="82">
        <f t="shared" si="18"/>
        <v>0</v>
      </c>
      <c r="V32" s="83"/>
      <c r="W32" s="80" t="s">
        <v>45</v>
      </c>
      <c r="X32" s="81">
        <v>0</v>
      </c>
      <c r="Y32" s="81">
        <v>0</v>
      </c>
      <c r="Z32" s="81">
        <v>0</v>
      </c>
      <c r="AA32" s="81">
        <v>0</v>
      </c>
      <c r="AB32" s="81">
        <v>0</v>
      </c>
      <c r="AC32" s="81">
        <v>0</v>
      </c>
      <c r="AD32" s="81">
        <v>0</v>
      </c>
      <c r="AE32" s="81">
        <v>0</v>
      </c>
      <c r="AF32" s="82">
        <f t="shared" si="19"/>
        <v>0</v>
      </c>
      <c r="AH32" s="80" t="s">
        <v>45</v>
      </c>
      <c r="AI32" s="81">
        <v>0</v>
      </c>
      <c r="AJ32" s="81">
        <v>0</v>
      </c>
      <c r="AK32" s="81">
        <v>0</v>
      </c>
      <c r="AL32" s="81">
        <v>0</v>
      </c>
      <c r="AM32" s="81">
        <v>0</v>
      </c>
      <c r="AN32" s="81">
        <v>0</v>
      </c>
      <c r="AO32" s="81">
        <v>0</v>
      </c>
      <c r="AP32" s="81">
        <v>0</v>
      </c>
      <c r="AQ32" s="82">
        <f t="shared" si="20"/>
        <v>0</v>
      </c>
    </row>
    <row r="33" spans="1:43" x14ac:dyDescent="0.25">
      <c r="A33" s="80" t="s">
        <v>46</v>
      </c>
      <c r="B33" s="81">
        <v>0</v>
      </c>
      <c r="C33" s="81">
        <v>0</v>
      </c>
      <c r="D33" s="81">
        <v>0</v>
      </c>
      <c r="E33" s="81">
        <v>0</v>
      </c>
      <c r="F33" s="81">
        <v>0</v>
      </c>
      <c r="G33" s="81">
        <v>0</v>
      </c>
      <c r="H33" s="81">
        <v>0</v>
      </c>
      <c r="I33" s="81">
        <v>0</v>
      </c>
      <c r="J33" s="82">
        <f t="shared" si="17"/>
        <v>0</v>
      </c>
      <c r="L33" s="80" t="s">
        <v>46</v>
      </c>
      <c r="M33" s="81">
        <v>0</v>
      </c>
      <c r="N33" s="81">
        <v>0</v>
      </c>
      <c r="O33" s="81">
        <v>0</v>
      </c>
      <c r="P33" s="81">
        <v>0</v>
      </c>
      <c r="Q33" s="81">
        <v>45054</v>
      </c>
      <c r="R33" s="81">
        <v>0</v>
      </c>
      <c r="S33" s="81">
        <v>0</v>
      </c>
      <c r="T33" s="81">
        <v>80970</v>
      </c>
      <c r="U33" s="82">
        <f t="shared" si="18"/>
        <v>126024</v>
      </c>
      <c r="V33" s="83"/>
      <c r="W33" s="80" t="s">
        <v>46</v>
      </c>
      <c r="X33" s="81">
        <v>0</v>
      </c>
      <c r="Y33" s="81">
        <v>0</v>
      </c>
      <c r="Z33" s="81">
        <v>0</v>
      </c>
      <c r="AA33" s="81">
        <v>0</v>
      </c>
      <c r="AB33" s="81">
        <v>0</v>
      </c>
      <c r="AC33" s="81">
        <v>0</v>
      </c>
      <c r="AD33" s="81">
        <v>0</v>
      </c>
      <c r="AE33" s="81">
        <v>0</v>
      </c>
      <c r="AF33" s="82">
        <f t="shared" si="19"/>
        <v>0</v>
      </c>
      <c r="AH33" s="80" t="s">
        <v>46</v>
      </c>
      <c r="AI33" s="81">
        <v>0</v>
      </c>
      <c r="AJ33" s="81">
        <v>0</v>
      </c>
      <c r="AK33" s="81">
        <v>0</v>
      </c>
      <c r="AL33" s="81">
        <v>0</v>
      </c>
      <c r="AM33" s="81">
        <v>0</v>
      </c>
      <c r="AN33" s="81">
        <v>0</v>
      </c>
      <c r="AO33" s="81">
        <v>0</v>
      </c>
      <c r="AP33" s="81">
        <v>0</v>
      </c>
      <c r="AQ33" s="82">
        <f t="shared" si="20"/>
        <v>0</v>
      </c>
    </row>
    <row r="34" spans="1:43" x14ac:dyDescent="0.25">
      <c r="A34" s="80" t="s">
        <v>47</v>
      </c>
      <c r="B34" s="81">
        <v>0</v>
      </c>
      <c r="C34" s="81">
        <v>0</v>
      </c>
      <c r="D34" s="81">
        <v>0</v>
      </c>
      <c r="E34" s="81">
        <v>0</v>
      </c>
      <c r="F34" s="81">
        <v>0</v>
      </c>
      <c r="G34" s="81">
        <v>0</v>
      </c>
      <c r="H34" s="81">
        <v>0</v>
      </c>
      <c r="I34" s="81">
        <v>0</v>
      </c>
      <c r="J34" s="82">
        <f t="shared" si="17"/>
        <v>0</v>
      </c>
      <c r="L34" s="80" t="s">
        <v>47</v>
      </c>
      <c r="M34" s="81">
        <v>0</v>
      </c>
      <c r="N34" s="81">
        <v>0</v>
      </c>
      <c r="O34" s="81">
        <v>0</v>
      </c>
      <c r="P34" s="81">
        <v>0</v>
      </c>
      <c r="Q34" s="81">
        <v>288853</v>
      </c>
      <c r="R34" s="81">
        <v>0</v>
      </c>
      <c r="S34" s="81">
        <v>0</v>
      </c>
      <c r="T34" s="81">
        <v>0</v>
      </c>
      <c r="U34" s="82">
        <f t="shared" si="18"/>
        <v>288853</v>
      </c>
      <c r="V34" s="83"/>
      <c r="W34" s="80" t="s">
        <v>47</v>
      </c>
      <c r="X34" s="81">
        <v>0</v>
      </c>
      <c r="Y34" s="81">
        <v>0</v>
      </c>
      <c r="Z34" s="81">
        <v>0</v>
      </c>
      <c r="AA34" s="81">
        <v>0</v>
      </c>
      <c r="AB34" s="81">
        <v>0</v>
      </c>
      <c r="AC34" s="81">
        <v>0</v>
      </c>
      <c r="AD34" s="81">
        <v>0</v>
      </c>
      <c r="AE34" s="81">
        <v>0</v>
      </c>
      <c r="AF34" s="82">
        <f t="shared" si="19"/>
        <v>0</v>
      </c>
      <c r="AH34" s="80" t="s">
        <v>47</v>
      </c>
      <c r="AI34" s="81">
        <v>0</v>
      </c>
      <c r="AJ34" s="81">
        <v>0</v>
      </c>
      <c r="AK34" s="81">
        <v>0</v>
      </c>
      <c r="AL34" s="81">
        <v>0</v>
      </c>
      <c r="AM34" s="81">
        <v>0</v>
      </c>
      <c r="AN34" s="81">
        <v>0</v>
      </c>
      <c r="AO34" s="81">
        <v>0</v>
      </c>
      <c r="AP34" s="81">
        <v>0</v>
      </c>
      <c r="AQ34" s="82">
        <f t="shared" si="20"/>
        <v>0</v>
      </c>
    </row>
    <row r="35" spans="1:43" x14ac:dyDescent="0.25">
      <c r="A35" s="80" t="s">
        <v>48</v>
      </c>
      <c r="B35" s="81">
        <v>0</v>
      </c>
      <c r="C35" s="81">
        <v>0</v>
      </c>
      <c r="D35" s="81">
        <v>0</v>
      </c>
      <c r="E35" s="81">
        <v>0</v>
      </c>
      <c r="F35" s="81">
        <v>0</v>
      </c>
      <c r="G35" s="81">
        <v>0</v>
      </c>
      <c r="H35" s="81">
        <v>0</v>
      </c>
      <c r="I35" s="81">
        <v>0</v>
      </c>
      <c r="J35" s="82">
        <f t="shared" si="17"/>
        <v>0</v>
      </c>
      <c r="L35" s="80" t="s">
        <v>48</v>
      </c>
      <c r="M35" s="81">
        <v>0</v>
      </c>
      <c r="N35" s="81">
        <v>0</v>
      </c>
      <c r="O35" s="81">
        <v>0</v>
      </c>
      <c r="P35" s="81">
        <v>0</v>
      </c>
      <c r="Q35" s="81">
        <v>45650</v>
      </c>
      <c r="R35" s="81">
        <v>0</v>
      </c>
      <c r="S35" s="81">
        <v>0</v>
      </c>
      <c r="T35" s="81">
        <v>0</v>
      </c>
      <c r="U35" s="82">
        <f t="shared" si="18"/>
        <v>45650</v>
      </c>
      <c r="V35" s="83"/>
      <c r="W35" s="80" t="s">
        <v>48</v>
      </c>
      <c r="X35" s="81">
        <v>0</v>
      </c>
      <c r="Y35" s="81">
        <v>0</v>
      </c>
      <c r="Z35" s="81">
        <v>0</v>
      </c>
      <c r="AA35" s="81">
        <v>0</v>
      </c>
      <c r="AB35" s="81">
        <v>0</v>
      </c>
      <c r="AC35" s="81">
        <v>0</v>
      </c>
      <c r="AD35" s="81">
        <v>0</v>
      </c>
      <c r="AE35" s="81">
        <v>0</v>
      </c>
      <c r="AF35" s="82">
        <f t="shared" si="19"/>
        <v>0</v>
      </c>
      <c r="AH35" s="80" t="s">
        <v>48</v>
      </c>
      <c r="AI35" s="81">
        <v>0</v>
      </c>
      <c r="AJ35" s="81">
        <v>0</v>
      </c>
      <c r="AK35" s="81">
        <v>0</v>
      </c>
      <c r="AL35" s="81">
        <v>0</v>
      </c>
      <c r="AM35" s="81">
        <v>0</v>
      </c>
      <c r="AN35" s="81">
        <v>0</v>
      </c>
      <c r="AO35" s="81">
        <v>0</v>
      </c>
      <c r="AP35" s="81">
        <v>0</v>
      </c>
      <c r="AQ35" s="82">
        <f t="shared" si="20"/>
        <v>0</v>
      </c>
    </row>
    <row r="36" spans="1:43" x14ac:dyDescent="0.25">
      <c r="A36" s="80" t="s">
        <v>49</v>
      </c>
      <c r="B36" s="81">
        <v>0</v>
      </c>
      <c r="C36" s="81">
        <v>0</v>
      </c>
      <c r="D36" s="81">
        <v>0</v>
      </c>
      <c r="E36" s="81">
        <v>0</v>
      </c>
      <c r="F36" s="81">
        <v>0</v>
      </c>
      <c r="G36" s="81">
        <v>0</v>
      </c>
      <c r="H36" s="81">
        <v>0</v>
      </c>
      <c r="I36" s="81">
        <v>0</v>
      </c>
      <c r="J36" s="82">
        <f t="shared" si="17"/>
        <v>0</v>
      </c>
      <c r="L36" s="80" t="s">
        <v>49</v>
      </c>
      <c r="M36" s="81">
        <v>0</v>
      </c>
      <c r="N36" s="81">
        <v>0</v>
      </c>
      <c r="O36" s="81">
        <v>0</v>
      </c>
      <c r="P36" s="81">
        <v>0</v>
      </c>
      <c r="Q36" s="81">
        <v>39894</v>
      </c>
      <c r="R36" s="81">
        <v>0</v>
      </c>
      <c r="S36" s="81">
        <v>0</v>
      </c>
      <c r="T36" s="81">
        <v>0</v>
      </c>
      <c r="U36" s="82">
        <f t="shared" si="18"/>
        <v>39894</v>
      </c>
      <c r="V36" s="83"/>
      <c r="W36" s="80" t="s">
        <v>49</v>
      </c>
      <c r="X36" s="81">
        <v>0</v>
      </c>
      <c r="Y36" s="81">
        <v>0</v>
      </c>
      <c r="Z36" s="81">
        <v>0</v>
      </c>
      <c r="AA36" s="81">
        <v>0</v>
      </c>
      <c r="AB36" s="81">
        <v>0</v>
      </c>
      <c r="AC36" s="81">
        <v>0</v>
      </c>
      <c r="AD36" s="81">
        <v>0</v>
      </c>
      <c r="AE36" s="81">
        <v>0</v>
      </c>
      <c r="AF36" s="82">
        <f t="shared" si="19"/>
        <v>0</v>
      </c>
      <c r="AH36" s="80" t="s">
        <v>49</v>
      </c>
      <c r="AI36" s="81">
        <v>0</v>
      </c>
      <c r="AJ36" s="81">
        <v>0</v>
      </c>
      <c r="AK36" s="81">
        <v>0</v>
      </c>
      <c r="AL36" s="81">
        <v>0</v>
      </c>
      <c r="AM36" s="81">
        <v>0</v>
      </c>
      <c r="AN36" s="81">
        <v>0</v>
      </c>
      <c r="AO36" s="81">
        <v>0</v>
      </c>
      <c r="AP36" s="81">
        <v>0</v>
      </c>
      <c r="AQ36" s="82">
        <f t="shared" si="20"/>
        <v>0</v>
      </c>
    </row>
    <row r="37" spans="1:43" x14ac:dyDescent="0.25">
      <c r="A37" s="80" t="s">
        <v>50</v>
      </c>
      <c r="B37" s="81">
        <v>0</v>
      </c>
      <c r="C37" s="81">
        <v>0</v>
      </c>
      <c r="D37" s="81">
        <v>0</v>
      </c>
      <c r="E37" s="81">
        <v>0</v>
      </c>
      <c r="F37" s="81">
        <v>0</v>
      </c>
      <c r="G37" s="81">
        <v>0</v>
      </c>
      <c r="H37" s="81">
        <v>0</v>
      </c>
      <c r="I37" s="81">
        <v>0</v>
      </c>
      <c r="J37" s="82">
        <f t="shared" si="17"/>
        <v>0</v>
      </c>
      <c r="L37" s="80" t="s">
        <v>50</v>
      </c>
      <c r="M37" s="81">
        <v>0</v>
      </c>
      <c r="N37" s="81">
        <v>0</v>
      </c>
      <c r="O37" s="81">
        <v>0</v>
      </c>
      <c r="P37" s="81">
        <v>0</v>
      </c>
      <c r="Q37" s="81">
        <v>25330</v>
      </c>
      <c r="R37" s="81">
        <v>0</v>
      </c>
      <c r="S37" s="81">
        <v>0</v>
      </c>
      <c r="T37" s="81">
        <v>0</v>
      </c>
      <c r="U37" s="82">
        <f t="shared" si="18"/>
        <v>25330</v>
      </c>
      <c r="V37" s="83"/>
      <c r="W37" s="80" t="s">
        <v>50</v>
      </c>
      <c r="X37" s="81">
        <v>0</v>
      </c>
      <c r="Y37" s="81">
        <v>0</v>
      </c>
      <c r="Z37" s="81">
        <v>0</v>
      </c>
      <c r="AA37" s="81">
        <v>0</v>
      </c>
      <c r="AB37" s="81">
        <v>0</v>
      </c>
      <c r="AC37" s="81">
        <v>0</v>
      </c>
      <c r="AD37" s="81">
        <v>0</v>
      </c>
      <c r="AE37" s="81">
        <v>0</v>
      </c>
      <c r="AF37" s="82">
        <f t="shared" si="19"/>
        <v>0</v>
      </c>
      <c r="AH37" s="80" t="s">
        <v>50</v>
      </c>
      <c r="AI37" s="81">
        <v>0</v>
      </c>
      <c r="AJ37" s="81">
        <v>0</v>
      </c>
      <c r="AK37" s="81">
        <v>0</v>
      </c>
      <c r="AL37" s="81">
        <v>0</v>
      </c>
      <c r="AM37" s="81">
        <v>0</v>
      </c>
      <c r="AN37" s="81">
        <v>0</v>
      </c>
      <c r="AO37" s="81">
        <v>0</v>
      </c>
      <c r="AP37" s="81">
        <v>0</v>
      </c>
      <c r="AQ37" s="82">
        <f t="shared" si="20"/>
        <v>0</v>
      </c>
    </row>
    <row r="38" spans="1:43" x14ac:dyDescent="0.25">
      <c r="A38" s="84" t="s">
        <v>9</v>
      </c>
      <c r="B38" s="85">
        <f>SUM(B26:B37)</f>
        <v>0</v>
      </c>
      <c r="C38" s="85">
        <f t="shared" ref="C38:J38" si="21">SUM(C26:C37)</f>
        <v>0</v>
      </c>
      <c r="D38" s="85">
        <f t="shared" si="21"/>
        <v>0</v>
      </c>
      <c r="E38" s="85">
        <f t="shared" si="21"/>
        <v>0</v>
      </c>
      <c r="F38" s="85">
        <f t="shared" si="21"/>
        <v>336876</v>
      </c>
      <c r="G38" s="85">
        <f t="shared" si="21"/>
        <v>0</v>
      </c>
      <c r="H38" s="85">
        <f t="shared" si="21"/>
        <v>0</v>
      </c>
      <c r="I38" s="85">
        <f t="shared" si="21"/>
        <v>0</v>
      </c>
      <c r="J38" s="85">
        <f t="shared" si="21"/>
        <v>336876</v>
      </c>
      <c r="L38" s="84" t="s">
        <v>9</v>
      </c>
      <c r="M38" s="85">
        <f>SUM(M26:M37)</f>
        <v>0</v>
      </c>
      <c r="N38" s="85">
        <f t="shared" ref="N38:U38" si="22">SUM(N26:N37)</f>
        <v>0</v>
      </c>
      <c r="O38" s="85">
        <f t="shared" si="22"/>
        <v>0</v>
      </c>
      <c r="P38" s="85">
        <f t="shared" si="22"/>
        <v>0</v>
      </c>
      <c r="Q38" s="85">
        <f t="shared" si="22"/>
        <v>444943</v>
      </c>
      <c r="R38" s="85">
        <f t="shared" si="22"/>
        <v>0</v>
      </c>
      <c r="S38" s="85">
        <f t="shared" si="22"/>
        <v>0</v>
      </c>
      <c r="T38" s="85">
        <f t="shared" si="22"/>
        <v>80970</v>
      </c>
      <c r="U38" s="85">
        <f t="shared" si="22"/>
        <v>525913</v>
      </c>
      <c r="V38" s="83"/>
      <c r="W38" s="84" t="s">
        <v>9</v>
      </c>
      <c r="X38" s="85">
        <f>SUM(X26:X37)</f>
        <v>0</v>
      </c>
      <c r="Y38" s="85">
        <f t="shared" ref="Y38:AF38" si="23">SUM(Y26:Y37)</f>
        <v>0</v>
      </c>
      <c r="Z38" s="85">
        <f t="shared" si="23"/>
        <v>0</v>
      </c>
      <c r="AA38" s="85">
        <f t="shared" si="23"/>
        <v>0</v>
      </c>
      <c r="AB38" s="85">
        <f t="shared" si="23"/>
        <v>0</v>
      </c>
      <c r="AC38" s="85">
        <f t="shared" si="23"/>
        <v>0</v>
      </c>
      <c r="AD38" s="85">
        <f t="shared" si="23"/>
        <v>0</v>
      </c>
      <c r="AE38" s="85">
        <f t="shared" si="23"/>
        <v>0</v>
      </c>
      <c r="AF38" s="85">
        <f t="shared" si="23"/>
        <v>0</v>
      </c>
      <c r="AH38" s="84" t="s">
        <v>9</v>
      </c>
      <c r="AI38" s="85">
        <f>SUM(AI26:AI37)</f>
        <v>0</v>
      </c>
      <c r="AJ38" s="85">
        <f t="shared" ref="AJ38:AQ38" si="24">SUM(AJ26:AJ37)</f>
        <v>0</v>
      </c>
      <c r="AK38" s="85">
        <f t="shared" si="24"/>
        <v>0</v>
      </c>
      <c r="AL38" s="85">
        <f t="shared" si="24"/>
        <v>0</v>
      </c>
      <c r="AM38" s="85">
        <f t="shared" si="24"/>
        <v>0</v>
      </c>
      <c r="AN38" s="85">
        <f t="shared" si="24"/>
        <v>0</v>
      </c>
      <c r="AO38" s="85">
        <f t="shared" si="24"/>
        <v>0</v>
      </c>
      <c r="AP38" s="85">
        <f t="shared" si="24"/>
        <v>0</v>
      </c>
      <c r="AQ38" s="85">
        <f t="shared" si="24"/>
        <v>0</v>
      </c>
    </row>
    <row r="39" spans="1:43" ht="16.149999999999999" customHeight="1" x14ac:dyDescent="0.25">
      <c r="A39" s="86" t="s">
        <v>61</v>
      </c>
      <c r="B39" s="65">
        <f>IFERROR(B38/$J38,"-")</f>
        <v>0</v>
      </c>
      <c r="C39" s="65">
        <f t="shared" ref="C39:I39" si="25">IFERROR(C38/$J38,"-")</f>
        <v>0</v>
      </c>
      <c r="D39" s="65">
        <f t="shared" si="25"/>
        <v>0</v>
      </c>
      <c r="E39" s="65">
        <f t="shared" si="25"/>
        <v>0</v>
      </c>
      <c r="F39" s="65">
        <f t="shared" si="25"/>
        <v>1</v>
      </c>
      <c r="G39" s="65">
        <f t="shared" si="25"/>
        <v>0</v>
      </c>
      <c r="H39" s="65">
        <f t="shared" si="25"/>
        <v>0</v>
      </c>
      <c r="I39" s="65">
        <f t="shared" si="25"/>
        <v>0</v>
      </c>
      <c r="J39" s="65">
        <f t="shared" ref="J39" si="26">IFERROR(J38/$U38,"-")</f>
        <v>0.64055461644796763</v>
      </c>
      <c r="L39" s="86" t="s">
        <v>61</v>
      </c>
      <c r="M39" s="65">
        <f t="shared" ref="M39:U39" si="27">IFERROR(M38/$U38,"-")</f>
        <v>0</v>
      </c>
      <c r="N39" s="65">
        <f t="shared" si="27"/>
        <v>0</v>
      </c>
      <c r="O39" s="65">
        <f t="shared" si="27"/>
        <v>0</v>
      </c>
      <c r="P39" s="65">
        <f t="shared" si="27"/>
        <v>0</v>
      </c>
      <c r="Q39" s="65">
        <f t="shared" si="27"/>
        <v>0.84603917377969362</v>
      </c>
      <c r="R39" s="65">
        <f t="shared" si="27"/>
        <v>0</v>
      </c>
      <c r="S39" s="65">
        <f t="shared" si="27"/>
        <v>0</v>
      </c>
      <c r="T39" s="65">
        <f t="shared" si="27"/>
        <v>0.15396082622030641</v>
      </c>
      <c r="U39" s="65">
        <f t="shared" si="27"/>
        <v>1</v>
      </c>
      <c r="V39" s="87"/>
      <c r="W39" s="86" t="s">
        <v>61</v>
      </c>
      <c r="X39" s="65" t="str">
        <f t="shared" ref="X39:AF39" si="28">IFERROR(X38/$AF38,"-")</f>
        <v>-</v>
      </c>
      <c r="Y39" s="65" t="str">
        <f t="shared" si="28"/>
        <v>-</v>
      </c>
      <c r="Z39" s="65" t="str">
        <f t="shared" si="28"/>
        <v>-</v>
      </c>
      <c r="AA39" s="65" t="str">
        <f t="shared" si="28"/>
        <v>-</v>
      </c>
      <c r="AB39" s="65" t="str">
        <f t="shared" si="28"/>
        <v>-</v>
      </c>
      <c r="AC39" s="65" t="str">
        <f t="shared" si="28"/>
        <v>-</v>
      </c>
      <c r="AD39" s="65" t="str">
        <f t="shared" si="28"/>
        <v>-</v>
      </c>
      <c r="AE39" s="65" t="str">
        <f t="shared" si="28"/>
        <v>-</v>
      </c>
      <c r="AF39" s="65" t="str">
        <f t="shared" si="28"/>
        <v>-</v>
      </c>
      <c r="AH39" s="86" t="s">
        <v>61</v>
      </c>
      <c r="AI39" s="65" t="str">
        <f t="shared" ref="AI39:AQ39" si="29">IFERROR(AI38/$AQ38,"-")</f>
        <v>-</v>
      </c>
      <c r="AJ39" s="65" t="str">
        <f t="shared" si="29"/>
        <v>-</v>
      </c>
      <c r="AK39" s="65" t="str">
        <f t="shared" si="29"/>
        <v>-</v>
      </c>
      <c r="AL39" s="65" t="str">
        <f t="shared" si="29"/>
        <v>-</v>
      </c>
      <c r="AM39" s="65" t="str">
        <f t="shared" si="29"/>
        <v>-</v>
      </c>
      <c r="AN39" s="65" t="str">
        <f t="shared" si="29"/>
        <v>-</v>
      </c>
      <c r="AO39" s="65" t="str">
        <f t="shared" si="29"/>
        <v>-</v>
      </c>
      <c r="AP39" s="65" t="str">
        <f t="shared" si="29"/>
        <v>-</v>
      </c>
      <c r="AQ39" s="65" t="str">
        <f t="shared" si="29"/>
        <v>-</v>
      </c>
    </row>
    <row r="40" spans="1:43" ht="30.6" customHeight="1" x14ac:dyDescent="0.25">
      <c r="A40" s="86" t="s">
        <v>62</v>
      </c>
      <c r="B40" s="65">
        <f>IFERROR(B38/B$98,"-")</f>
        <v>0</v>
      </c>
      <c r="C40" s="65" t="str">
        <f t="shared" ref="C40:J40" si="30">IFERROR(C38/C$98,"-")</f>
        <v>-</v>
      </c>
      <c r="D40" s="65" t="str">
        <f t="shared" si="30"/>
        <v>-</v>
      </c>
      <c r="E40" s="65" t="str">
        <f t="shared" si="30"/>
        <v>-</v>
      </c>
      <c r="F40" s="65">
        <f t="shared" si="30"/>
        <v>1.0040179494361283E-3</v>
      </c>
      <c r="G40" s="65" t="str">
        <f t="shared" si="30"/>
        <v>-</v>
      </c>
      <c r="H40" s="65">
        <f t="shared" si="30"/>
        <v>0</v>
      </c>
      <c r="I40" s="65">
        <f t="shared" si="30"/>
        <v>0</v>
      </c>
      <c r="J40" s="65">
        <f t="shared" si="30"/>
        <v>9.1730265357014055E-4</v>
      </c>
      <c r="L40" s="86" t="s">
        <v>62</v>
      </c>
      <c r="M40" s="65">
        <f>IFERROR(M38/M$98,"-")</f>
        <v>0</v>
      </c>
      <c r="N40" s="65">
        <f t="shared" ref="N40:U40" si="31">IFERROR(N38/N$98,"-")</f>
        <v>0</v>
      </c>
      <c r="O40" s="65" t="str">
        <f t="shared" si="31"/>
        <v>-</v>
      </c>
      <c r="P40" s="65" t="str">
        <f t="shared" si="31"/>
        <v>-</v>
      </c>
      <c r="Q40" s="65">
        <f t="shared" si="31"/>
        <v>1.8914755152049923E-3</v>
      </c>
      <c r="R40" s="65" t="str">
        <f t="shared" si="31"/>
        <v>-</v>
      </c>
      <c r="S40" s="65">
        <f t="shared" si="31"/>
        <v>0</v>
      </c>
      <c r="T40" s="65">
        <f t="shared" si="31"/>
        <v>1.7961569295898497E-2</v>
      </c>
      <c r="U40" s="65">
        <f t="shared" si="31"/>
        <v>2.0913916431360103E-3</v>
      </c>
      <c r="V40" s="87"/>
      <c r="W40" s="86" t="s">
        <v>62</v>
      </c>
      <c r="X40" s="65" t="str">
        <f>IFERROR(X38/X$98,"-")</f>
        <v>-</v>
      </c>
      <c r="Y40" s="65" t="str">
        <f t="shared" ref="Y40:AF40" si="32">IFERROR(Y38/Y$98,"-")</f>
        <v>-</v>
      </c>
      <c r="Z40" s="65" t="str">
        <f t="shared" si="32"/>
        <v>-</v>
      </c>
      <c r="AA40" s="65" t="str">
        <f t="shared" si="32"/>
        <v>-</v>
      </c>
      <c r="AB40" s="65">
        <f t="shared" si="32"/>
        <v>0</v>
      </c>
      <c r="AC40" s="65" t="str">
        <f t="shared" si="32"/>
        <v>-</v>
      </c>
      <c r="AD40" s="65" t="str">
        <f t="shared" si="32"/>
        <v>-</v>
      </c>
      <c r="AE40" s="65" t="str">
        <f t="shared" si="32"/>
        <v>-</v>
      </c>
      <c r="AF40" s="65">
        <f t="shared" si="32"/>
        <v>0</v>
      </c>
      <c r="AH40" s="86" t="s">
        <v>62</v>
      </c>
      <c r="AI40" s="65" t="str">
        <f>IFERROR(AI38/AI$98,"-")</f>
        <v>-</v>
      </c>
      <c r="AJ40" s="65" t="str">
        <f t="shared" ref="AJ40:AQ40" si="33">IFERROR(AJ38/AJ$98,"-")</f>
        <v>-</v>
      </c>
      <c r="AK40" s="65" t="str">
        <f t="shared" si="33"/>
        <v>-</v>
      </c>
      <c r="AL40" s="65" t="str">
        <f t="shared" si="33"/>
        <v>-</v>
      </c>
      <c r="AM40" s="65">
        <f t="shared" si="33"/>
        <v>0</v>
      </c>
      <c r="AN40" s="65" t="str">
        <f t="shared" si="33"/>
        <v>-</v>
      </c>
      <c r="AO40" s="65" t="str">
        <f t="shared" si="33"/>
        <v>-</v>
      </c>
      <c r="AP40" s="65" t="str">
        <f t="shared" si="33"/>
        <v>-</v>
      </c>
      <c r="AQ40" s="65">
        <f t="shared" si="33"/>
        <v>0</v>
      </c>
    </row>
    <row r="41" spans="1:43" x14ac:dyDescent="0.25">
      <c r="A41" s="90"/>
      <c r="B41" s="91"/>
      <c r="C41" s="91"/>
      <c r="D41" s="91"/>
      <c r="E41" s="91"/>
      <c r="F41" s="91"/>
      <c r="G41" s="91"/>
      <c r="H41" s="91"/>
      <c r="I41" s="91"/>
      <c r="J41" s="87"/>
      <c r="L41" s="90"/>
      <c r="M41" s="91"/>
      <c r="N41" s="91"/>
      <c r="O41" s="91"/>
      <c r="P41" s="91"/>
      <c r="Q41" s="91"/>
      <c r="R41" s="91"/>
      <c r="S41" s="91"/>
      <c r="T41" s="91"/>
      <c r="U41" s="87"/>
      <c r="V41" s="87"/>
      <c r="W41" s="90"/>
      <c r="X41" s="91"/>
      <c r="Y41" s="91"/>
      <c r="Z41" s="91"/>
      <c r="AA41" s="91"/>
      <c r="AB41" s="91"/>
      <c r="AC41" s="91"/>
      <c r="AD41" s="91"/>
      <c r="AE41" s="91"/>
      <c r="AF41" s="87"/>
      <c r="AH41" s="90"/>
      <c r="AI41" s="91"/>
      <c r="AJ41" s="91"/>
      <c r="AK41" s="91"/>
      <c r="AL41" s="91"/>
      <c r="AM41" s="91"/>
      <c r="AN41" s="91"/>
      <c r="AO41" s="91"/>
      <c r="AP41" s="91"/>
      <c r="AQ41" s="87"/>
    </row>
    <row r="42" spans="1:43" x14ac:dyDescent="0.25">
      <c r="A42" s="89"/>
      <c r="B42" s="87"/>
      <c r="C42" s="87"/>
      <c r="D42" s="87"/>
      <c r="E42" s="87"/>
      <c r="F42" s="87"/>
      <c r="G42" s="87"/>
      <c r="H42" s="87"/>
      <c r="I42" s="87"/>
      <c r="J42" s="87"/>
      <c r="L42" s="89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9"/>
      <c r="X42" s="87"/>
      <c r="Y42" s="87"/>
      <c r="Z42" s="87"/>
      <c r="AA42" s="87"/>
      <c r="AB42" s="87"/>
      <c r="AC42" s="87"/>
      <c r="AD42" s="87"/>
      <c r="AE42" s="87"/>
      <c r="AF42" s="87"/>
      <c r="AH42" s="89"/>
      <c r="AI42" s="87"/>
      <c r="AJ42" s="87"/>
      <c r="AK42" s="87"/>
      <c r="AL42" s="87"/>
      <c r="AM42" s="87"/>
      <c r="AN42" s="87"/>
      <c r="AO42" s="87"/>
      <c r="AP42" s="87"/>
      <c r="AQ42" s="87"/>
    </row>
    <row r="43" spans="1:43" x14ac:dyDescent="0.25">
      <c r="A43" s="73" t="s">
        <v>21</v>
      </c>
      <c r="B43" s="73"/>
      <c r="C43" s="73"/>
      <c r="D43" s="73"/>
      <c r="E43" s="73"/>
      <c r="F43" s="73"/>
      <c r="G43" s="73"/>
      <c r="H43" s="73"/>
      <c r="I43" s="73"/>
      <c r="J43" s="73"/>
      <c r="L43" s="73" t="s">
        <v>21</v>
      </c>
      <c r="M43" s="73"/>
      <c r="N43" s="73"/>
      <c r="O43" s="73"/>
      <c r="P43" s="73"/>
      <c r="Q43" s="73"/>
      <c r="R43" s="73"/>
      <c r="S43" s="73"/>
      <c r="T43" s="73"/>
      <c r="U43" s="73"/>
      <c r="W43" s="73" t="s">
        <v>21</v>
      </c>
      <c r="X43" s="73"/>
      <c r="Y43" s="73"/>
      <c r="Z43" s="73"/>
      <c r="AA43" s="73"/>
      <c r="AB43" s="73"/>
      <c r="AC43" s="73"/>
      <c r="AD43" s="73"/>
      <c r="AE43" s="73"/>
      <c r="AF43" s="73"/>
      <c r="AH43" s="73" t="s">
        <v>21</v>
      </c>
      <c r="AI43" s="73"/>
      <c r="AJ43" s="73"/>
      <c r="AK43" s="73"/>
      <c r="AL43" s="73"/>
      <c r="AM43" s="73"/>
      <c r="AN43" s="73"/>
      <c r="AO43" s="73"/>
      <c r="AP43" s="73"/>
      <c r="AQ43" s="73"/>
    </row>
    <row r="44" spans="1:43" x14ac:dyDescent="0.25">
      <c r="A44" s="54" t="s">
        <v>38</v>
      </c>
      <c r="B44" s="74" t="s">
        <v>3</v>
      </c>
      <c r="C44" s="74"/>
      <c r="D44" s="75" t="s">
        <v>4</v>
      </c>
      <c r="E44" s="76" t="s">
        <v>5</v>
      </c>
      <c r="F44" s="77"/>
      <c r="G44" s="75" t="s">
        <v>7</v>
      </c>
      <c r="H44" s="74" t="s">
        <v>8</v>
      </c>
      <c r="I44" s="74"/>
      <c r="J44" s="54" t="s">
        <v>9</v>
      </c>
      <c r="L44" s="54" t="s">
        <v>38</v>
      </c>
      <c r="M44" s="74" t="s">
        <v>3</v>
      </c>
      <c r="N44" s="74"/>
      <c r="O44" s="75" t="s">
        <v>4</v>
      </c>
      <c r="P44" s="76" t="s">
        <v>5</v>
      </c>
      <c r="Q44" s="77"/>
      <c r="R44" s="75" t="s">
        <v>7</v>
      </c>
      <c r="S44" s="74" t="s">
        <v>8</v>
      </c>
      <c r="T44" s="74"/>
      <c r="U44" s="54" t="s">
        <v>9</v>
      </c>
      <c r="W44" s="54" t="s">
        <v>38</v>
      </c>
      <c r="X44" s="74" t="s">
        <v>3</v>
      </c>
      <c r="Y44" s="74"/>
      <c r="Z44" s="75" t="s">
        <v>4</v>
      </c>
      <c r="AA44" s="76" t="s">
        <v>5</v>
      </c>
      <c r="AB44" s="77"/>
      <c r="AC44" s="75" t="s">
        <v>7</v>
      </c>
      <c r="AD44" s="74" t="s">
        <v>8</v>
      </c>
      <c r="AE44" s="74"/>
      <c r="AF44" s="54" t="s">
        <v>9</v>
      </c>
      <c r="AH44" s="54" t="s">
        <v>38</v>
      </c>
      <c r="AI44" s="74" t="s">
        <v>3</v>
      </c>
      <c r="AJ44" s="74"/>
      <c r="AK44" s="75" t="s">
        <v>4</v>
      </c>
      <c r="AL44" s="76" t="s">
        <v>5</v>
      </c>
      <c r="AM44" s="77"/>
      <c r="AN44" s="75" t="s">
        <v>7</v>
      </c>
      <c r="AO44" s="74" t="s">
        <v>8</v>
      </c>
      <c r="AP44" s="74"/>
      <c r="AQ44" s="54" t="s">
        <v>9</v>
      </c>
    </row>
    <row r="45" spans="1:43" ht="28.15" customHeight="1" x14ac:dyDescent="0.25">
      <c r="A45" s="54"/>
      <c r="B45" s="79" t="s">
        <v>10</v>
      </c>
      <c r="C45" s="79" t="s">
        <v>11</v>
      </c>
      <c r="D45" s="79" t="s">
        <v>12</v>
      </c>
      <c r="E45" s="79" t="s">
        <v>13</v>
      </c>
      <c r="F45" s="79" t="s">
        <v>14</v>
      </c>
      <c r="G45" s="79" t="s">
        <v>16</v>
      </c>
      <c r="H45" s="79" t="s">
        <v>17</v>
      </c>
      <c r="I45" s="79" t="s">
        <v>18</v>
      </c>
      <c r="J45" s="54"/>
      <c r="L45" s="54"/>
      <c r="M45" s="79" t="s">
        <v>10</v>
      </c>
      <c r="N45" s="79" t="s">
        <v>11</v>
      </c>
      <c r="O45" s="79" t="s">
        <v>12</v>
      </c>
      <c r="P45" s="79" t="s">
        <v>13</v>
      </c>
      <c r="Q45" s="79" t="s">
        <v>14</v>
      </c>
      <c r="R45" s="79" t="s">
        <v>16</v>
      </c>
      <c r="S45" s="79" t="s">
        <v>17</v>
      </c>
      <c r="T45" s="79" t="s">
        <v>18</v>
      </c>
      <c r="U45" s="54"/>
      <c r="W45" s="54"/>
      <c r="X45" s="79" t="s">
        <v>10</v>
      </c>
      <c r="Y45" s="79" t="s">
        <v>11</v>
      </c>
      <c r="Z45" s="79" t="s">
        <v>12</v>
      </c>
      <c r="AA45" s="79" t="s">
        <v>13</v>
      </c>
      <c r="AB45" s="79" t="s">
        <v>14</v>
      </c>
      <c r="AC45" s="79" t="s">
        <v>16</v>
      </c>
      <c r="AD45" s="79" t="s">
        <v>17</v>
      </c>
      <c r="AE45" s="79" t="s">
        <v>18</v>
      </c>
      <c r="AF45" s="54"/>
      <c r="AH45" s="54"/>
      <c r="AI45" s="79" t="s">
        <v>10</v>
      </c>
      <c r="AJ45" s="79" t="s">
        <v>11</v>
      </c>
      <c r="AK45" s="79" t="s">
        <v>12</v>
      </c>
      <c r="AL45" s="79" t="s">
        <v>13</v>
      </c>
      <c r="AM45" s="79" t="s">
        <v>14</v>
      </c>
      <c r="AN45" s="79" t="s">
        <v>16</v>
      </c>
      <c r="AO45" s="79" t="s">
        <v>17</v>
      </c>
      <c r="AP45" s="79" t="s">
        <v>18</v>
      </c>
      <c r="AQ45" s="54"/>
    </row>
    <row r="46" spans="1:43" x14ac:dyDescent="0.25">
      <c r="A46" s="80" t="s">
        <v>39</v>
      </c>
      <c r="B46" s="81">
        <v>0</v>
      </c>
      <c r="C46" s="81">
        <v>0</v>
      </c>
      <c r="D46" s="81">
        <v>0</v>
      </c>
      <c r="E46" s="81">
        <v>0</v>
      </c>
      <c r="F46" s="81">
        <v>46678</v>
      </c>
      <c r="G46" s="81">
        <v>0</v>
      </c>
      <c r="H46" s="81">
        <v>0</v>
      </c>
      <c r="I46" s="81">
        <v>0</v>
      </c>
      <c r="J46" s="82">
        <f t="shared" ref="J46:J57" si="34">SUM(B46:I46)</f>
        <v>46678</v>
      </c>
      <c r="L46" s="80" t="s">
        <v>39</v>
      </c>
      <c r="M46" s="81">
        <v>0</v>
      </c>
      <c r="N46" s="81">
        <v>0</v>
      </c>
      <c r="O46" s="81">
        <v>0</v>
      </c>
      <c r="P46" s="81">
        <v>0</v>
      </c>
      <c r="Q46" s="81">
        <v>0</v>
      </c>
      <c r="R46" s="81">
        <v>0</v>
      </c>
      <c r="S46" s="81">
        <v>0</v>
      </c>
      <c r="T46" s="81">
        <v>0</v>
      </c>
      <c r="U46" s="82">
        <f t="shared" ref="U46:U57" si="35">SUM(M46:T46)</f>
        <v>0</v>
      </c>
      <c r="V46" s="83"/>
      <c r="W46" s="80" t="s">
        <v>39</v>
      </c>
      <c r="X46" s="81">
        <v>0</v>
      </c>
      <c r="Y46" s="81">
        <v>0</v>
      </c>
      <c r="Z46" s="81">
        <v>0</v>
      </c>
      <c r="AA46" s="81">
        <v>0</v>
      </c>
      <c r="AB46" s="81">
        <v>0</v>
      </c>
      <c r="AC46" s="81">
        <v>0</v>
      </c>
      <c r="AD46" s="81">
        <v>0</v>
      </c>
      <c r="AE46" s="81">
        <v>0</v>
      </c>
      <c r="AF46" s="82">
        <f t="shared" ref="AF46:AF57" si="36">SUM(X46:AE46)</f>
        <v>0</v>
      </c>
      <c r="AH46" s="80" t="s">
        <v>39</v>
      </c>
      <c r="AI46" s="81">
        <v>0</v>
      </c>
      <c r="AJ46" s="81">
        <v>0</v>
      </c>
      <c r="AK46" s="81">
        <v>0</v>
      </c>
      <c r="AL46" s="81">
        <v>0</v>
      </c>
      <c r="AM46" s="81">
        <v>0</v>
      </c>
      <c r="AN46" s="81">
        <v>0</v>
      </c>
      <c r="AO46" s="81">
        <v>0</v>
      </c>
      <c r="AP46" s="81">
        <v>0</v>
      </c>
      <c r="AQ46" s="82">
        <f t="shared" ref="AQ46:AQ57" si="37">SUM(AI46:AP46)</f>
        <v>0</v>
      </c>
    </row>
    <row r="47" spans="1:43" x14ac:dyDescent="0.25">
      <c r="A47" s="80" t="s">
        <v>40</v>
      </c>
      <c r="B47" s="81">
        <v>0</v>
      </c>
      <c r="C47" s="81">
        <v>0</v>
      </c>
      <c r="D47" s="81">
        <v>0</v>
      </c>
      <c r="E47" s="81">
        <v>0</v>
      </c>
      <c r="F47" s="81">
        <v>11743</v>
      </c>
      <c r="G47" s="81">
        <v>0</v>
      </c>
      <c r="H47" s="81">
        <v>25000</v>
      </c>
      <c r="I47" s="81">
        <v>0</v>
      </c>
      <c r="J47" s="82">
        <f t="shared" si="34"/>
        <v>36743</v>
      </c>
      <c r="L47" s="80" t="s">
        <v>40</v>
      </c>
      <c r="M47" s="81">
        <v>0</v>
      </c>
      <c r="N47" s="81">
        <v>0</v>
      </c>
      <c r="O47" s="81">
        <v>0</v>
      </c>
      <c r="P47" s="81">
        <v>0</v>
      </c>
      <c r="Q47" s="81">
        <v>0</v>
      </c>
      <c r="R47" s="81">
        <v>0</v>
      </c>
      <c r="S47" s="81">
        <v>0</v>
      </c>
      <c r="T47" s="81">
        <v>0</v>
      </c>
      <c r="U47" s="82">
        <f t="shared" si="35"/>
        <v>0</v>
      </c>
      <c r="V47" s="83"/>
      <c r="W47" s="80" t="s">
        <v>40</v>
      </c>
      <c r="X47" s="81">
        <v>0</v>
      </c>
      <c r="Y47" s="81">
        <v>0</v>
      </c>
      <c r="Z47" s="81">
        <v>0</v>
      </c>
      <c r="AA47" s="81">
        <v>0</v>
      </c>
      <c r="AB47" s="81">
        <v>0</v>
      </c>
      <c r="AC47" s="81">
        <v>0</v>
      </c>
      <c r="AD47" s="81">
        <v>0</v>
      </c>
      <c r="AE47" s="81">
        <v>0</v>
      </c>
      <c r="AF47" s="82">
        <f t="shared" si="36"/>
        <v>0</v>
      </c>
      <c r="AH47" s="80" t="s">
        <v>40</v>
      </c>
      <c r="AI47" s="81">
        <v>0</v>
      </c>
      <c r="AJ47" s="81">
        <v>0</v>
      </c>
      <c r="AK47" s="81">
        <v>0</v>
      </c>
      <c r="AL47" s="81">
        <v>0</v>
      </c>
      <c r="AM47" s="81">
        <v>0</v>
      </c>
      <c r="AN47" s="81">
        <v>0</v>
      </c>
      <c r="AO47" s="81">
        <v>0</v>
      </c>
      <c r="AP47" s="81">
        <v>0</v>
      </c>
      <c r="AQ47" s="82">
        <f t="shared" si="37"/>
        <v>0</v>
      </c>
    </row>
    <row r="48" spans="1:43" x14ac:dyDescent="0.25">
      <c r="A48" s="80" t="s">
        <v>41</v>
      </c>
      <c r="B48" s="81">
        <v>0</v>
      </c>
      <c r="C48" s="81">
        <v>0</v>
      </c>
      <c r="D48" s="81">
        <v>0</v>
      </c>
      <c r="E48" s="81">
        <v>0</v>
      </c>
      <c r="F48" s="81">
        <v>2651</v>
      </c>
      <c r="G48" s="81">
        <v>0</v>
      </c>
      <c r="H48" s="81">
        <v>0</v>
      </c>
      <c r="I48" s="81">
        <v>0</v>
      </c>
      <c r="J48" s="82">
        <f t="shared" si="34"/>
        <v>2651</v>
      </c>
      <c r="L48" s="80" t="s">
        <v>41</v>
      </c>
      <c r="M48" s="81">
        <v>0</v>
      </c>
      <c r="N48" s="81">
        <v>0</v>
      </c>
      <c r="O48" s="81">
        <v>0</v>
      </c>
      <c r="P48" s="81">
        <v>0</v>
      </c>
      <c r="Q48" s="81">
        <v>0</v>
      </c>
      <c r="R48" s="81">
        <v>0</v>
      </c>
      <c r="S48" s="81">
        <v>0</v>
      </c>
      <c r="T48" s="81">
        <v>0</v>
      </c>
      <c r="U48" s="82">
        <f t="shared" si="35"/>
        <v>0</v>
      </c>
      <c r="V48" s="83"/>
      <c r="W48" s="80" t="s">
        <v>41</v>
      </c>
      <c r="X48" s="81">
        <v>0</v>
      </c>
      <c r="Y48" s="81">
        <v>0</v>
      </c>
      <c r="Z48" s="81">
        <v>0</v>
      </c>
      <c r="AA48" s="81">
        <v>0</v>
      </c>
      <c r="AB48" s="81">
        <v>0</v>
      </c>
      <c r="AC48" s="81">
        <v>0</v>
      </c>
      <c r="AD48" s="81">
        <v>0</v>
      </c>
      <c r="AE48" s="81">
        <v>0</v>
      </c>
      <c r="AF48" s="82">
        <f t="shared" si="36"/>
        <v>0</v>
      </c>
      <c r="AH48" s="80" t="s">
        <v>41</v>
      </c>
      <c r="AI48" s="81">
        <v>0</v>
      </c>
      <c r="AJ48" s="81">
        <v>0</v>
      </c>
      <c r="AK48" s="81">
        <v>0</v>
      </c>
      <c r="AL48" s="81">
        <v>0</v>
      </c>
      <c r="AM48" s="81">
        <v>0</v>
      </c>
      <c r="AN48" s="81">
        <v>0</v>
      </c>
      <c r="AO48" s="81">
        <v>0</v>
      </c>
      <c r="AP48" s="81">
        <v>0</v>
      </c>
      <c r="AQ48" s="82">
        <f t="shared" si="37"/>
        <v>0</v>
      </c>
    </row>
    <row r="49" spans="1:43" x14ac:dyDescent="0.25">
      <c r="A49" s="80" t="s">
        <v>42</v>
      </c>
      <c r="B49" s="81">
        <v>0</v>
      </c>
      <c r="C49" s="81">
        <v>0</v>
      </c>
      <c r="D49" s="81">
        <v>0</v>
      </c>
      <c r="E49" s="81">
        <v>0</v>
      </c>
      <c r="F49" s="81">
        <v>500</v>
      </c>
      <c r="G49" s="81">
        <v>0</v>
      </c>
      <c r="H49" s="81">
        <v>0</v>
      </c>
      <c r="I49" s="81">
        <v>0</v>
      </c>
      <c r="J49" s="82">
        <f t="shared" si="34"/>
        <v>500</v>
      </c>
      <c r="L49" s="80" t="s">
        <v>42</v>
      </c>
      <c r="M49" s="81">
        <v>0</v>
      </c>
      <c r="N49" s="81">
        <v>0</v>
      </c>
      <c r="O49" s="81">
        <v>0</v>
      </c>
      <c r="P49" s="81">
        <v>0</v>
      </c>
      <c r="Q49" s="81">
        <v>0</v>
      </c>
      <c r="R49" s="81">
        <v>0</v>
      </c>
      <c r="S49" s="81">
        <v>0</v>
      </c>
      <c r="T49" s="81">
        <v>0</v>
      </c>
      <c r="U49" s="82">
        <f t="shared" si="35"/>
        <v>0</v>
      </c>
      <c r="V49" s="83"/>
      <c r="W49" s="80" t="s">
        <v>42</v>
      </c>
      <c r="X49" s="81">
        <v>0</v>
      </c>
      <c r="Y49" s="81">
        <v>0</v>
      </c>
      <c r="Z49" s="81">
        <v>0</v>
      </c>
      <c r="AA49" s="81">
        <v>0</v>
      </c>
      <c r="AB49" s="81">
        <v>0</v>
      </c>
      <c r="AC49" s="81">
        <v>0</v>
      </c>
      <c r="AD49" s="81">
        <v>0</v>
      </c>
      <c r="AE49" s="81">
        <v>0</v>
      </c>
      <c r="AF49" s="82">
        <f t="shared" si="36"/>
        <v>0</v>
      </c>
      <c r="AH49" s="80" t="s">
        <v>42</v>
      </c>
      <c r="AI49" s="81">
        <v>0</v>
      </c>
      <c r="AJ49" s="81">
        <v>0</v>
      </c>
      <c r="AK49" s="81">
        <v>0</v>
      </c>
      <c r="AL49" s="81">
        <v>0</v>
      </c>
      <c r="AM49" s="81">
        <v>0</v>
      </c>
      <c r="AN49" s="81">
        <v>0</v>
      </c>
      <c r="AO49" s="81">
        <v>0</v>
      </c>
      <c r="AP49" s="81">
        <v>0</v>
      </c>
      <c r="AQ49" s="82">
        <f t="shared" si="37"/>
        <v>0</v>
      </c>
    </row>
    <row r="50" spans="1:43" x14ac:dyDescent="0.25">
      <c r="A50" s="80" t="s">
        <v>43</v>
      </c>
      <c r="B50" s="81">
        <v>0</v>
      </c>
      <c r="C50" s="81">
        <v>0</v>
      </c>
      <c r="D50" s="81">
        <v>0</v>
      </c>
      <c r="E50" s="81">
        <v>0</v>
      </c>
      <c r="F50" s="81">
        <v>0</v>
      </c>
      <c r="G50" s="81">
        <v>0</v>
      </c>
      <c r="H50" s="81">
        <v>0</v>
      </c>
      <c r="I50" s="81">
        <v>0</v>
      </c>
      <c r="J50" s="82">
        <f t="shared" si="34"/>
        <v>0</v>
      </c>
      <c r="L50" s="80" t="s">
        <v>43</v>
      </c>
      <c r="M50" s="81">
        <v>0</v>
      </c>
      <c r="N50" s="81">
        <v>0</v>
      </c>
      <c r="O50" s="81">
        <v>0</v>
      </c>
      <c r="P50" s="81">
        <v>0</v>
      </c>
      <c r="Q50" s="81">
        <v>0</v>
      </c>
      <c r="R50" s="81">
        <v>0</v>
      </c>
      <c r="S50" s="81">
        <v>0</v>
      </c>
      <c r="T50" s="81">
        <v>0</v>
      </c>
      <c r="U50" s="82">
        <f t="shared" si="35"/>
        <v>0</v>
      </c>
      <c r="V50" s="83"/>
      <c r="W50" s="80" t="s">
        <v>43</v>
      </c>
      <c r="X50" s="81">
        <v>0</v>
      </c>
      <c r="Y50" s="81">
        <v>0</v>
      </c>
      <c r="Z50" s="81">
        <v>0</v>
      </c>
      <c r="AA50" s="81">
        <v>0</v>
      </c>
      <c r="AB50" s="81">
        <v>0</v>
      </c>
      <c r="AC50" s="81">
        <v>0</v>
      </c>
      <c r="AD50" s="81">
        <v>0</v>
      </c>
      <c r="AE50" s="81">
        <v>0</v>
      </c>
      <c r="AF50" s="82">
        <f t="shared" si="36"/>
        <v>0</v>
      </c>
      <c r="AH50" s="80" t="s">
        <v>43</v>
      </c>
      <c r="AI50" s="81">
        <v>0</v>
      </c>
      <c r="AJ50" s="81">
        <v>0</v>
      </c>
      <c r="AK50" s="81">
        <v>0</v>
      </c>
      <c r="AL50" s="81">
        <v>0</v>
      </c>
      <c r="AM50" s="81">
        <v>0</v>
      </c>
      <c r="AN50" s="81">
        <v>0</v>
      </c>
      <c r="AO50" s="81">
        <v>0</v>
      </c>
      <c r="AP50" s="81">
        <v>0</v>
      </c>
      <c r="AQ50" s="82">
        <f t="shared" si="37"/>
        <v>0</v>
      </c>
    </row>
    <row r="51" spans="1:43" x14ac:dyDescent="0.25">
      <c r="A51" s="80" t="s">
        <v>44</v>
      </c>
      <c r="B51" s="81">
        <v>0</v>
      </c>
      <c r="C51" s="81">
        <v>0</v>
      </c>
      <c r="D51" s="81">
        <v>0</v>
      </c>
      <c r="E51" s="81">
        <v>0</v>
      </c>
      <c r="F51" s="81">
        <v>0</v>
      </c>
      <c r="G51" s="81">
        <v>0</v>
      </c>
      <c r="H51" s="81">
        <v>0</v>
      </c>
      <c r="I51" s="81">
        <v>0</v>
      </c>
      <c r="J51" s="82">
        <f t="shared" si="34"/>
        <v>0</v>
      </c>
      <c r="L51" s="80" t="s">
        <v>44</v>
      </c>
      <c r="M51" s="81">
        <v>0</v>
      </c>
      <c r="N51" s="81">
        <v>0</v>
      </c>
      <c r="O51" s="81">
        <v>0</v>
      </c>
      <c r="P51" s="81">
        <v>0</v>
      </c>
      <c r="Q51" s="81">
        <v>0</v>
      </c>
      <c r="R51" s="81">
        <v>0</v>
      </c>
      <c r="S51" s="81">
        <v>0</v>
      </c>
      <c r="T51" s="81">
        <v>0</v>
      </c>
      <c r="U51" s="82">
        <f t="shared" si="35"/>
        <v>0</v>
      </c>
      <c r="V51" s="83"/>
      <c r="W51" s="80" t="s">
        <v>44</v>
      </c>
      <c r="X51" s="81">
        <v>0</v>
      </c>
      <c r="Y51" s="81">
        <v>0</v>
      </c>
      <c r="Z51" s="81">
        <v>0</v>
      </c>
      <c r="AA51" s="81">
        <v>0</v>
      </c>
      <c r="AB51" s="81">
        <v>0</v>
      </c>
      <c r="AC51" s="81">
        <v>0</v>
      </c>
      <c r="AD51" s="81">
        <v>0</v>
      </c>
      <c r="AE51" s="81">
        <v>0</v>
      </c>
      <c r="AF51" s="82">
        <f t="shared" si="36"/>
        <v>0</v>
      </c>
      <c r="AH51" s="80" t="s">
        <v>44</v>
      </c>
      <c r="AI51" s="81">
        <v>0</v>
      </c>
      <c r="AJ51" s="81">
        <v>0</v>
      </c>
      <c r="AK51" s="81">
        <v>0</v>
      </c>
      <c r="AL51" s="81">
        <v>0</v>
      </c>
      <c r="AM51" s="81">
        <v>0</v>
      </c>
      <c r="AN51" s="81">
        <v>0</v>
      </c>
      <c r="AO51" s="81">
        <v>0</v>
      </c>
      <c r="AP51" s="81">
        <v>0</v>
      </c>
      <c r="AQ51" s="82">
        <f t="shared" si="37"/>
        <v>0</v>
      </c>
    </row>
    <row r="52" spans="1:43" x14ac:dyDescent="0.25">
      <c r="A52" s="80" t="s">
        <v>45</v>
      </c>
      <c r="B52" s="81">
        <v>0</v>
      </c>
      <c r="C52" s="81">
        <v>0</v>
      </c>
      <c r="D52" s="81">
        <v>0</v>
      </c>
      <c r="E52" s="81">
        <v>0</v>
      </c>
      <c r="F52" s="81">
        <v>0</v>
      </c>
      <c r="G52" s="81">
        <v>0</v>
      </c>
      <c r="H52" s="81">
        <v>0</v>
      </c>
      <c r="I52" s="81">
        <v>0</v>
      </c>
      <c r="J52" s="82">
        <f t="shared" si="34"/>
        <v>0</v>
      </c>
      <c r="L52" s="80" t="s">
        <v>45</v>
      </c>
      <c r="M52" s="81">
        <v>0</v>
      </c>
      <c r="N52" s="81">
        <v>0</v>
      </c>
      <c r="O52" s="81">
        <v>0</v>
      </c>
      <c r="P52" s="81">
        <v>0</v>
      </c>
      <c r="Q52" s="81">
        <v>0</v>
      </c>
      <c r="R52" s="81">
        <v>0</v>
      </c>
      <c r="S52" s="81">
        <v>0</v>
      </c>
      <c r="T52" s="81">
        <v>0</v>
      </c>
      <c r="U52" s="82">
        <f t="shared" si="35"/>
        <v>0</v>
      </c>
      <c r="V52" s="83"/>
      <c r="W52" s="80" t="s">
        <v>45</v>
      </c>
      <c r="X52" s="81">
        <v>0</v>
      </c>
      <c r="Y52" s="81">
        <v>0</v>
      </c>
      <c r="Z52" s="81">
        <v>0</v>
      </c>
      <c r="AA52" s="81">
        <v>0</v>
      </c>
      <c r="AB52" s="81">
        <v>0</v>
      </c>
      <c r="AC52" s="81">
        <v>0</v>
      </c>
      <c r="AD52" s="81">
        <v>0</v>
      </c>
      <c r="AE52" s="81">
        <v>0</v>
      </c>
      <c r="AF52" s="82">
        <f t="shared" si="36"/>
        <v>0</v>
      </c>
      <c r="AH52" s="80" t="s">
        <v>45</v>
      </c>
      <c r="AI52" s="81">
        <v>0</v>
      </c>
      <c r="AJ52" s="81">
        <v>0</v>
      </c>
      <c r="AK52" s="81">
        <v>0</v>
      </c>
      <c r="AL52" s="81">
        <v>0</v>
      </c>
      <c r="AM52" s="81">
        <v>0</v>
      </c>
      <c r="AN52" s="81">
        <v>0</v>
      </c>
      <c r="AO52" s="81">
        <v>0</v>
      </c>
      <c r="AP52" s="81">
        <v>0</v>
      </c>
      <c r="AQ52" s="82">
        <f t="shared" si="37"/>
        <v>0</v>
      </c>
    </row>
    <row r="53" spans="1:43" x14ac:dyDescent="0.25">
      <c r="A53" s="80" t="s">
        <v>46</v>
      </c>
      <c r="B53" s="81">
        <v>0</v>
      </c>
      <c r="C53" s="81">
        <v>0</v>
      </c>
      <c r="D53" s="81">
        <v>0</v>
      </c>
      <c r="E53" s="81">
        <v>0</v>
      </c>
      <c r="F53" s="81">
        <v>0</v>
      </c>
      <c r="G53" s="81">
        <v>0</v>
      </c>
      <c r="H53" s="81">
        <v>0</v>
      </c>
      <c r="I53" s="81">
        <v>0</v>
      </c>
      <c r="J53" s="82">
        <f t="shared" si="34"/>
        <v>0</v>
      </c>
      <c r="L53" s="80" t="s">
        <v>46</v>
      </c>
      <c r="M53" s="81">
        <v>0</v>
      </c>
      <c r="N53" s="81">
        <v>0</v>
      </c>
      <c r="O53" s="81">
        <v>0</v>
      </c>
      <c r="P53" s="81">
        <v>0</v>
      </c>
      <c r="Q53" s="81">
        <v>75000</v>
      </c>
      <c r="R53" s="81">
        <v>0</v>
      </c>
      <c r="S53" s="81">
        <v>0</v>
      </c>
      <c r="T53" s="81">
        <v>0</v>
      </c>
      <c r="U53" s="82">
        <f t="shared" si="35"/>
        <v>75000</v>
      </c>
      <c r="V53" s="83"/>
      <c r="W53" s="80" t="s">
        <v>46</v>
      </c>
      <c r="X53" s="81">
        <v>0</v>
      </c>
      <c r="Y53" s="81">
        <v>0</v>
      </c>
      <c r="Z53" s="81">
        <v>0</v>
      </c>
      <c r="AA53" s="81">
        <v>0</v>
      </c>
      <c r="AB53" s="81">
        <v>0</v>
      </c>
      <c r="AC53" s="81">
        <v>0</v>
      </c>
      <c r="AD53" s="81">
        <v>0</v>
      </c>
      <c r="AE53" s="81">
        <v>0</v>
      </c>
      <c r="AF53" s="82">
        <f t="shared" si="36"/>
        <v>0</v>
      </c>
      <c r="AH53" s="80" t="s">
        <v>46</v>
      </c>
      <c r="AI53" s="81">
        <v>0</v>
      </c>
      <c r="AJ53" s="81">
        <v>0</v>
      </c>
      <c r="AK53" s="81">
        <v>0</v>
      </c>
      <c r="AL53" s="81">
        <v>0</v>
      </c>
      <c r="AM53" s="81">
        <v>0</v>
      </c>
      <c r="AN53" s="81">
        <v>0</v>
      </c>
      <c r="AO53" s="81">
        <v>0</v>
      </c>
      <c r="AP53" s="81">
        <v>0</v>
      </c>
      <c r="AQ53" s="82">
        <f t="shared" si="37"/>
        <v>0</v>
      </c>
    </row>
    <row r="54" spans="1:43" x14ac:dyDescent="0.25">
      <c r="A54" s="80" t="s">
        <v>47</v>
      </c>
      <c r="B54" s="81">
        <v>0</v>
      </c>
      <c r="C54" s="81">
        <v>0</v>
      </c>
      <c r="D54" s="81">
        <v>0</v>
      </c>
      <c r="E54" s="81">
        <v>0</v>
      </c>
      <c r="F54" s="81">
        <v>0</v>
      </c>
      <c r="G54" s="81">
        <v>0</v>
      </c>
      <c r="H54" s="81">
        <v>0</v>
      </c>
      <c r="I54" s="81">
        <v>0</v>
      </c>
      <c r="J54" s="82">
        <f t="shared" si="34"/>
        <v>0</v>
      </c>
      <c r="L54" s="80" t="s">
        <v>47</v>
      </c>
      <c r="M54" s="81">
        <v>0</v>
      </c>
      <c r="N54" s="81">
        <v>0</v>
      </c>
      <c r="O54" s="81">
        <v>0</v>
      </c>
      <c r="P54" s="81">
        <v>0</v>
      </c>
      <c r="Q54" s="81">
        <v>150</v>
      </c>
      <c r="R54" s="81">
        <v>0</v>
      </c>
      <c r="S54" s="81">
        <v>0</v>
      </c>
      <c r="T54" s="81">
        <v>0</v>
      </c>
      <c r="U54" s="82">
        <f t="shared" si="35"/>
        <v>150</v>
      </c>
      <c r="V54" s="83"/>
      <c r="W54" s="80" t="s">
        <v>47</v>
      </c>
      <c r="X54" s="81">
        <v>0</v>
      </c>
      <c r="Y54" s="81">
        <v>0</v>
      </c>
      <c r="Z54" s="81">
        <v>0</v>
      </c>
      <c r="AA54" s="81">
        <v>0</v>
      </c>
      <c r="AB54" s="81">
        <v>0</v>
      </c>
      <c r="AC54" s="81">
        <v>0</v>
      </c>
      <c r="AD54" s="81">
        <v>0</v>
      </c>
      <c r="AE54" s="81">
        <v>0</v>
      </c>
      <c r="AF54" s="82">
        <f t="shared" si="36"/>
        <v>0</v>
      </c>
      <c r="AH54" s="80" t="s">
        <v>47</v>
      </c>
      <c r="AI54" s="81">
        <v>0</v>
      </c>
      <c r="AJ54" s="81">
        <v>0</v>
      </c>
      <c r="AK54" s="81">
        <v>0</v>
      </c>
      <c r="AL54" s="81">
        <v>0</v>
      </c>
      <c r="AM54" s="81">
        <v>0</v>
      </c>
      <c r="AN54" s="81">
        <v>0</v>
      </c>
      <c r="AO54" s="81">
        <v>0</v>
      </c>
      <c r="AP54" s="81">
        <v>0</v>
      </c>
      <c r="AQ54" s="82">
        <f t="shared" si="37"/>
        <v>0</v>
      </c>
    </row>
    <row r="55" spans="1:43" x14ac:dyDescent="0.25">
      <c r="A55" s="80" t="s">
        <v>48</v>
      </c>
      <c r="B55" s="81">
        <v>0</v>
      </c>
      <c r="C55" s="81">
        <v>0</v>
      </c>
      <c r="D55" s="81">
        <v>0</v>
      </c>
      <c r="E55" s="81">
        <v>0</v>
      </c>
      <c r="F55" s="81">
        <v>0</v>
      </c>
      <c r="G55" s="81">
        <v>0</v>
      </c>
      <c r="H55" s="81">
        <v>0</v>
      </c>
      <c r="I55" s="81">
        <v>0</v>
      </c>
      <c r="J55" s="82">
        <f t="shared" si="34"/>
        <v>0</v>
      </c>
      <c r="L55" s="80" t="s">
        <v>48</v>
      </c>
      <c r="M55" s="81">
        <v>0</v>
      </c>
      <c r="N55" s="81">
        <v>0</v>
      </c>
      <c r="O55" s="81">
        <v>0</v>
      </c>
      <c r="P55" s="81">
        <v>0</v>
      </c>
      <c r="Q55" s="81">
        <v>10508</v>
      </c>
      <c r="R55" s="81">
        <v>0</v>
      </c>
      <c r="S55" s="81">
        <v>0</v>
      </c>
      <c r="T55" s="81">
        <v>0</v>
      </c>
      <c r="U55" s="82">
        <f t="shared" si="35"/>
        <v>10508</v>
      </c>
      <c r="V55" s="83"/>
      <c r="W55" s="80" t="s">
        <v>48</v>
      </c>
      <c r="X55" s="81">
        <v>0</v>
      </c>
      <c r="Y55" s="81">
        <v>0</v>
      </c>
      <c r="Z55" s="81">
        <v>0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2">
        <f t="shared" si="36"/>
        <v>0</v>
      </c>
      <c r="AH55" s="80" t="s">
        <v>48</v>
      </c>
      <c r="AI55" s="81">
        <v>0</v>
      </c>
      <c r="AJ55" s="81">
        <v>0</v>
      </c>
      <c r="AK55" s="81">
        <v>0</v>
      </c>
      <c r="AL55" s="81">
        <v>0</v>
      </c>
      <c r="AM55" s="81">
        <v>0</v>
      </c>
      <c r="AN55" s="81">
        <v>0</v>
      </c>
      <c r="AO55" s="81">
        <v>0</v>
      </c>
      <c r="AP55" s="81">
        <v>0</v>
      </c>
      <c r="AQ55" s="82">
        <f t="shared" si="37"/>
        <v>0</v>
      </c>
    </row>
    <row r="56" spans="1:43" x14ac:dyDescent="0.25">
      <c r="A56" s="80" t="s">
        <v>49</v>
      </c>
      <c r="B56" s="81">
        <v>0</v>
      </c>
      <c r="C56" s="81">
        <v>0</v>
      </c>
      <c r="D56" s="81">
        <v>0</v>
      </c>
      <c r="E56" s="81">
        <v>0</v>
      </c>
      <c r="F56" s="81">
        <v>0</v>
      </c>
      <c r="G56" s="81">
        <v>0</v>
      </c>
      <c r="H56" s="81">
        <v>0</v>
      </c>
      <c r="I56" s="81">
        <v>0</v>
      </c>
      <c r="J56" s="82">
        <f t="shared" si="34"/>
        <v>0</v>
      </c>
      <c r="L56" s="80" t="s">
        <v>49</v>
      </c>
      <c r="M56" s="81">
        <v>0</v>
      </c>
      <c r="N56" s="81">
        <v>0</v>
      </c>
      <c r="O56" s="81">
        <v>0</v>
      </c>
      <c r="P56" s="81">
        <v>0</v>
      </c>
      <c r="Q56" s="81">
        <v>16841</v>
      </c>
      <c r="R56" s="81">
        <v>0</v>
      </c>
      <c r="S56" s="81">
        <v>0</v>
      </c>
      <c r="T56" s="81">
        <v>0</v>
      </c>
      <c r="U56" s="82">
        <f t="shared" si="35"/>
        <v>16841</v>
      </c>
      <c r="V56" s="83"/>
      <c r="W56" s="80" t="s">
        <v>49</v>
      </c>
      <c r="X56" s="81">
        <v>0</v>
      </c>
      <c r="Y56" s="81">
        <v>0</v>
      </c>
      <c r="Z56" s="81">
        <v>0</v>
      </c>
      <c r="AA56" s="81">
        <v>0</v>
      </c>
      <c r="AB56" s="81">
        <v>0</v>
      </c>
      <c r="AC56" s="81">
        <v>0</v>
      </c>
      <c r="AD56" s="81">
        <v>0</v>
      </c>
      <c r="AE56" s="81">
        <v>0</v>
      </c>
      <c r="AF56" s="82">
        <f t="shared" si="36"/>
        <v>0</v>
      </c>
      <c r="AH56" s="80" t="s">
        <v>49</v>
      </c>
      <c r="AI56" s="81">
        <v>0</v>
      </c>
      <c r="AJ56" s="81">
        <v>0</v>
      </c>
      <c r="AK56" s="81">
        <v>0</v>
      </c>
      <c r="AL56" s="81">
        <v>0</v>
      </c>
      <c r="AM56" s="81">
        <v>0</v>
      </c>
      <c r="AN56" s="81">
        <v>0</v>
      </c>
      <c r="AO56" s="81">
        <v>0</v>
      </c>
      <c r="AP56" s="81">
        <v>0</v>
      </c>
      <c r="AQ56" s="82">
        <f t="shared" si="37"/>
        <v>0</v>
      </c>
    </row>
    <row r="57" spans="1:43" x14ac:dyDescent="0.25">
      <c r="A57" s="80" t="s">
        <v>50</v>
      </c>
      <c r="B57" s="81">
        <v>0</v>
      </c>
      <c r="C57" s="81">
        <v>0</v>
      </c>
      <c r="D57" s="81">
        <v>0</v>
      </c>
      <c r="E57" s="81">
        <v>0</v>
      </c>
      <c r="F57" s="81">
        <v>0</v>
      </c>
      <c r="G57" s="81">
        <v>0</v>
      </c>
      <c r="H57" s="81">
        <v>0</v>
      </c>
      <c r="I57" s="81">
        <v>0</v>
      </c>
      <c r="J57" s="82">
        <f t="shared" si="34"/>
        <v>0</v>
      </c>
      <c r="L57" s="80" t="s">
        <v>50</v>
      </c>
      <c r="M57" s="81">
        <v>0</v>
      </c>
      <c r="N57" s="81">
        <v>0</v>
      </c>
      <c r="O57" s="81">
        <v>0</v>
      </c>
      <c r="P57" s="81">
        <v>0</v>
      </c>
      <c r="Q57" s="81">
        <v>25000</v>
      </c>
      <c r="R57" s="81">
        <v>0</v>
      </c>
      <c r="S57" s="81">
        <v>0</v>
      </c>
      <c r="T57" s="81">
        <v>0</v>
      </c>
      <c r="U57" s="82">
        <f t="shared" si="35"/>
        <v>25000</v>
      </c>
      <c r="V57" s="83"/>
      <c r="W57" s="80" t="s">
        <v>50</v>
      </c>
      <c r="X57" s="81">
        <v>0</v>
      </c>
      <c r="Y57" s="81">
        <v>0</v>
      </c>
      <c r="Z57" s="81">
        <v>0</v>
      </c>
      <c r="AA57" s="81">
        <v>0</v>
      </c>
      <c r="AB57" s="81">
        <v>0</v>
      </c>
      <c r="AC57" s="81">
        <v>0</v>
      </c>
      <c r="AD57" s="81">
        <v>0</v>
      </c>
      <c r="AE57" s="81">
        <v>0</v>
      </c>
      <c r="AF57" s="82">
        <f t="shared" si="36"/>
        <v>0</v>
      </c>
      <c r="AH57" s="80" t="s">
        <v>50</v>
      </c>
      <c r="AI57" s="81">
        <v>0</v>
      </c>
      <c r="AJ57" s="81">
        <v>0</v>
      </c>
      <c r="AK57" s="81">
        <v>0</v>
      </c>
      <c r="AL57" s="81">
        <v>0</v>
      </c>
      <c r="AM57" s="81">
        <v>0</v>
      </c>
      <c r="AN57" s="81">
        <v>0</v>
      </c>
      <c r="AO57" s="81">
        <v>0</v>
      </c>
      <c r="AP57" s="81">
        <v>0</v>
      </c>
      <c r="AQ57" s="82">
        <f t="shared" si="37"/>
        <v>0</v>
      </c>
    </row>
    <row r="58" spans="1:43" x14ac:dyDescent="0.25">
      <c r="A58" s="84" t="s">
        <v>9</v>
      </c>
      <c r="B58" s="85">
        <f>SUM(B46:B57)</f>
        <v>0</v>
      </c>
      <c r="C58" s="85">
        <f t="shared" ref="C58:J58" si="38">SUM(C46:C57)</f>
        <v>0</v>
      </c>
      <c r="D58" s="85">
        <f t="shared" si="38"/>
        <v>0</v>
      </c>
      <c r="E58" s="85">
        <f t="shared" si="38"/>
        <v>0</v>
      </c>
      <c r="F58" s="85">
        <f t="shared" si="38"/>
        <v>61572</v>
      </c>
      <c r="G58" s="85">
        <f t="shared" si="38"/>
        <v>0</v>
      </c>
      <c r="H58" s="85">
        <f t="shared" si="38"/>
        <v>25000</v>
      </c>
      <c r="I58" s="85">
        <f t="shared" si="38"/>
        <v>0</v>
      </c>
      <c r="J58" s="85">
        <f t="shared" si="38"/>
        <v>86572</v>
      </c>
      <c r="L58" s="84" t="s">
        <v>9</v>
      </c>
      <c r="M58" s="85">
        <f>SUM(M46:M57)</f>
        <v>0</v>
      </c>
      <c r="N58" s="85">
        <f t="shared" ref="N58:U58" si="39">SUM(N46:N57)</f>
        <v>0</v>
      </c>
      <c r="O58" s="85">
        <f t="shared" si="39"/>
        <v>0</v>
      </c>
      <c r="P58" s="85">
        <f t="shared" si="39"/>
        <v>0</v>
      </c>
      <c r="Q58" s="85">
        <f t="shared" si="39"/>
        <v>127499</v>
      </c>
      <c r="R58" s="85">
        <f t="shared" si="39"/>
        <v>0</v>
      </c>
      <c r="S58" s="85">
        <f t="shared" si="39"/>
        <v>0</v>
      </c>
      <c r="T58" s="85">
        <f t="shared" si="39"/>
        <v>0</v>
      </c>
      <c r="U58" s="85">
        <f t="shared" si="39"/>
        <v>127499</v>
      </c>
      <c r="V58" s="83"/>
      <c r="W58" s="84" t="s">
        <v>9</v>
      </c>
      <c r="X58" s="85">
        <f>SUM(X46:X57)</f>
        <v>0</v>
      </c>
      <c r="Y58" s="85">
        <f t="shared" ref="Y58:AF58" si="40">SUM(Y46:Y57)</f>
        <v>0</v>
      </c>
      <c r="Z58" s="85">
        <f t="shared" si="40"/>
        <v>0</v>
      </c>
      <c r="AA58" s="85">
        <f t="shared" si="40"/>
        <v>0</v>
      </c>
      <c r="AB58" s="85">
        <f t="shared" si="40"/>
        <v>0</v>
      </c>
      <c r="AC58" s="85">
        <f t="shared" si="40"/>
        <v>0</v>
      </c>
      <c r="AD58" s="85">
        <f t="shared" si="40"/>
        <v>0</v>
      </c>
      <c r="AE58" s="85">
        <f t="shared" si="40"/>
        <v>0</v>
      </c>
      <c r="AF58" s="85">
        <f t="shared" si="40"/>
        <v>0</v>
      </c>
      <c r="AH58" s="84" t="s">
        <v>9</v>
      </c>
      <c r="AI58" s="85">
        <f>SUM(AI46:AI57)</f>
        <v>0</v>
      </c>
      <c r="AJ58" s="85">
        <f t="shared" ref="AJ58:AQ58" si="41">SUM(AJ46:AJ57)</f>
        <v>0</v>
      </c>
      <c r="AK58" s="85">
        <f t="shared" si="41"/>
        <v>0</v>
      </c>
      <c r="AL58" s="85">
        <f t="shared" si="41"/>
        <v>0</v>
      </c>
      <c r="AM58" s="85">
        <f t="shared" si="41"/>
        <v>0</v>
      </c>
      <c r="AN58" s="85">
        <f t="shared" si="41"/>
        <v>0</v>
      </c>
      <c r="AO58" s="85">
        <f t="shared" si="41"/>
        <v>0</v>
      </c>
      <c r="AP58" s="85">
        <f t="shared" si="41"/>
        <v>0</v>
      </c>
      <c r="AQ58" s="85">
        <f t="shared" si="41"/>
        <v>0</v>
      </c>
    </row>
    <row r="59" spans="1:43" ht="15" customHeight="1" x14ac:dyDescent="0.25">
      <c r="A59" s="86" t="s">
        <v>63</v>
      </c>
      <c r="B59" s="65">
        <f>IFERROR(B58/$J58,"-")</f>
        <v>0</v>
      </c>
      <c r="C59" s="65">
        <f t="shared" ref="C59:I59" si="42">IFERROR(C58/$J58,"-")</f>
        <v>0</v>
      </c>
      <c r="D59" s="65">
        <f t="shared" si="42"/>
        <v>0</v>
      </c>
      <c r="E59" s="65">
        <f t="shared" si="42"/>
        <v>0</v>
      </c>
      <c r="F59" s="65">
        <f t="shared" si="42"/>
        <v>0.71122302823083672</v>
      </c>
      <c r="G59" s="65">
        <f t="shared" si="42"/>
        <v>0</v>
      </c>
      <c r="H59" s="65">
        <f t="shared" si="42"/>
        <v>0.28877697176916323</v>
      </c>
      <c r="I59" s="65">
        <f t="shared" si="42"/>
        <v>0</v>
      </c>
      <c r="J59" s="65">
        <f>IFERROR(J58/$J58,"-")</f>
        <v>1</v>
      </c>
      <c r="L59" s="86" t="s">
        <v>63</v>
      </c>
      <c r="M59" s="65">
        <f t="shared" ref="M59:U59" si="43">IFERROR(M58/$U58,"-")</f>
        <v>0</v>
      </c>
      <c r="N59" s="65">
        <f t="shared" si="43"/>
        <v>0</v>
      </c>
      <c r="O59" s="65">
        <f t="shared" si="43"/>
        <v>0</v>
      </c>
      <c r="P59" s="65">
        <f t="shared" si="43"/>
        <v>0</v>
      </c>
      <c r="Q59" s="65">
        <f t="shared" si="43"/>
        <v>1</v>
      </c>
      <c r="R59" s="65">
        <f t="shared" si="43"/>
        <v>0</v>
      </c>
      <c r="S59" s="65">
        <f t="shared" si="43"/>
        <v>0</v>
      </c>
      <c r="T59" s="65">
        <f t="shared" si="43"/>
        <v>0</v>
      </c>
      <c r="U59" s="65">
        <f t="shared" si="43"/>
        <v>1</v>
      </c>
      <c r="V59" s="87"/>
      <c r="W59" s="86" t="s">
        <v>63</v>
      </c>
      <c r="X59" s="65" t="str">
        <f t="shared" ref="X59:AF59" si="44">IFERROR(X58/$AF58,"-")</f>
        <v>-</v>
      </c>
      <c r="Y59" s="65" t="str">
        <f t="shared" si="44"/>
        <v>-</v>
      </c>
      <c r="Z59" s="65" t="str">
        <f t="shared" si="44"/>
        <v>-</v>
      </c>
      <c r="AA59" s="65" t="str">
        <f t="shared" si="44"/>
        <v>-</v>
      </c>
      <c r="AB59" s="65" t="str">
        <f t="shared" si="44"/>
        <v>-</v>
      </c>
      <c r="AC59" s="65" t="str">
        <f t="shared" si="44"/>
        <v>-</v>
      </c>
      <c r="AD59" s="65" t="str">
        <f t="shared" si="44"/>
        <v>-</v>
      </c>
      <c r="AE59" s="65" t="str">
        <f t="shared" si="44"/>
        <v>-</v>
      </c>
      <c r="AF59" s="65" t="str">
        <f t="shared" si="44"/>
        <v>-</v>
      </c>
      <c r="AH59" s="86" t="s">
        <v>63</v>
      </c>
      <c r="AI59" s="65" t="str">
        <f t="shared" ref="AI59:AQ59" si="45">IFERROR(AI58/$AQ58,"-")</f>
        <v>-</v>
      </c>
      <c r="AJ59" s="65" t="str">
        <f t="shared" si="45"/>
        <v>-</v>
      </c>
      <c r="AK59" s="65" t="str">
        <f t="shared" si="45"/>
        <v>-</v>
      </c>
      <c r="AL59" s="65" t="str">
        <f t="shared" si="45"/>
        <v>-</v>
      </c>
      <c r="AM59" s="65" t="str">
        <f t="shared" si="45"/>
        <v>-</v>
      </c>
      <c r="AN59" s="65" t="str">
        <f t="shared" si="45"/>
        <v>-</v>
      </c>
      <c r="AO59" s="65" t="str">
        <f t="shared" si="45"/>
        <v>-</v>
      </c>
      <c r="AP59" s="65" t="str">
        <f t="shared" si="45"/>
        <v>-</v>
      </c>
      <c r="AQ59" s="65" t="str">
        <f t="shared" si="45"/>
        <v>-</v>
      </c>
    </row>
    <row r="60" spans="1:43" ht="33.6" customHeight="1" x14ac:dyDescent="0.25">
      <c r="A60" s="86" t="s">
        <v>64</v>
      </c>
      <c r="B60" s="65">
        <f>IFERROR(B58/B$98,"-")</f>
        <v>0</v>
      </c>
      <c r="C60" s="65" t="str">
        <f t="shared" ref="C60:J60" si="46">IFERROR(C58/C$98,"-")</f>
        <v>-</v>
      </c>
      <c r="D60" s="65" t="str">
        <f t="shared" si="46"/>
        <v>-</v>
      </c>
      <c r="E60" s="65" t="str">
        <f t="shared" si="46"/>
        <v>-</v>
      </c>
      <c r="F60" s="65">
        <f t="shared" si="46"/>
        <v>1.8350785803287052E-4</v>
      </c>
      <c r="G60" s="65" t="str">
        <f t="shared" si="46"/>
        <v>-</v>
      </c>
      <c r="H60" s="65">
        <f t="shared" si="46"/>
        <v>1.3932250697141961E-3</v>
      </c>
      <c r="I60" s="65">
        <f t="shared" si="46"/>
        <v>0</v>
      </c>
      <c r="J60" s="65">
        <f t="shared" si="46"/>
        <v>2.3573280769444607E-4</v>
      </c>
      <c r="L60" s="86" t="s">
        <v>64</v>
      </c>
      <c r="M60" s="65">
        <f>IFERROR(M58/M$98,"-")</f>
        <v>0</v>
      </c>
      <c r="N60" s="65">
        <f t="shared" ref="N60:U60" si="47">IFERROR(N58/N$98,"-")</f>
        <v>0</v>
      </c>
      <c r="O60" s="65" t="str">
        <f t="shared" si="47"/>
        <v>-</v>
      </c>
      <c r="P60" s="65" t="str">
        <f t="shared" si="47"/>
        <v>-</v>
      </c>
      <c r="Q60" s="65">
        <f t="shared" si="47"/>
        <v>5.4200478873276195E-4</v>
      </c>
      <c r="R60" s="65" t="str">
        <f t="shared" si="47"/>
        <v>-</v>
      </c>
      <c r="S60" s="65">
        <f t="shared" si="47"/>
        <v>0</v>
      </c>
      <c r="T60" s="65">
        <f t="shared" si="47"/>
        <v>0</v>
      </c>
      <c r="U60" s="65">
        <f t="shared" si="47"/>
        <v>5.0702367712568083E-4</v>
      </c>
      <c r="V60" s="87"/>
      <c r="W60" s="86" t="s">
        <v>64</v>
      </c>
      <c r="X60" s="65" t="str">
        <f>IFERROR(X58/X$98,"-")</f>
        <v>-</v>
      </c>
      <c r="Y60" s="65" t="str">
        <f t="shared" ref="Y60:AF60" si="48">IFERROR(Y58/Y$98,"-")</f>
        <v>-</v>
      </c>
      <c r="Z60" s="65" t="str">
        <f t="shared" si="48"/>
        <v>-</v>
      </c>
      <c r="AA60" s="65" t="str">
        <f t="shared" si="48"/>
        <v>-</v>
      </c>
      <c r="AB60" s="65">
        <f t="shared" si="48"/>
        <v>0</v>
      </c>
      <c r="AC60" s="65" t="str">
        <f t="shared" si="48"/>
        <v>-</v>
      </c>
      <c r="AD60" s="65" t="str">
        <f t="shared" si="48"/>
        <v>-</v>
      </c>
      <c r="AE60" s="65" t="str">
        <f t="shared" si="48"/>
        <v>-</v>
      </c>
      <c r="AF60" s="65">
        <f t="shared" si="48"/>
        <v>0</v>
      </c>
      <c r="AH60" s="86" t="s">
        <v>64</v>
      </c>
      <c r="AI60" s="65" t="str">
        <f>IFERROR(AI58/AI$98,"-")</f>
        <v>-</v>
      </c>
      <c r="AJ60" s="65" t="str">
        <f t="shared" ref="AJ60:AQ60" si="49">IFERROR(AJ58/AJ$98,"-")</f>
        <v>-</v>
      </c>
      <c r="AK60" s="65" t="str">
        <f t="shared" si="49"/>
        <v>-</v>
      </c>
      <c r="AL60" s="65" t="str">
        <f t="shared" si="49"/>
        <v>-</v>
      </c>
      <c r="AM60" s="65">
        <f t="shared" si="49"/>
        <v>0</v>
      </c>
      <c r="AN60" s="65" t="str">
        <f t="shared" si="49"/>
        <v>-</v>
      </c>
      <c r="AO60" s="65" t="str">
        <f t="shared" si="49"/>
        <v>-</v>
      </c>
      <c r="AP60" s="65" t="str">
        <f t="shared" si="49"/>
        <v>-</v>
      </c>
      <c r="AQ60" s="65">
        <f t="shared" si="49"/>
        <v>0</v>
      </c>
    </row>
    <row r="61" spans="1:43" s="92" customFormat="1" x14ac:dyDescent="0.25">
      <c r="A61" s="90"/>
      <c r="B61" s="91"/>
      <c r="C61" s="91"/>
      <c r="D61" s="91"/>
      <c r="E61" s="91"/>
      <c r="F61" s="91"/>
      <c r="G61" s="91"/>
      <c r="H61" s="91"/>
      <c r="I61" s="91"/>
      <c r="J61" s="87"/>
      <c r="L61" s="90"/>
      <c r="M61" s="91"/>
      <c r="N61" s="91"/>
      <c r="O61" s="91"/>
      <c r="P61" s="91"/>
      <c r="Q61" s="91"/>
      <c r="R61" s="91"/>
      <c r="S61" s="91"/>
      <c r="T61" s="91"/>
      <c r="U61" s="87"/>
      <c r="V61" s="87"/>
      <c r="W61" s="90"/>
      <c r="X61" s="91"/>
      <c r="Y61" s="91"/>
      <c r="Z61" s="91"/>
      <c r="AA61" s="91"/>
      <c r="AB61" s="91"/>
      <c r="AC61" s="91"/>
      <c r="AD61" s="91"/>
      <c r="AE61" s="91"/>
      <c r="AF61" s="87"/>
      <c r="AG61" s="1"/>
      <c r="AH61" s="90"/>
      <c r="AI61" s="91"/>
      <c r="AJ61" s="91"/>
      <c r="AK61" s="91"/>
      <c r="AL61" s="91"/>
      <c r="AM61" s="91"/>
      <c r="AN61" s="91"/>
      <c r="AO61" s="91"/>
      <c r="AP61" s="91"/>
      <c r="AQ61" s="87"/>
    </row>
    <row r="62" spans="1:43" x14ac:dyDescent="0.25">
      <c r="A62" s="89"/>
      <c r="B62" s="87"/>
      <c r="C62" s="87"/>
      <c r="D62" s="87"/>
      <c r="E62" s="87"/>
      <c r="F62" s="87"/>
      <c r="G62" s="87"/>
      <c r="H62" s="87"/>
      <c r="I62" s="87"/>
      <c r="J62" s="87"/>
      <c r="L62" s="89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9"/>
      <c r="X62" s="87"/>
      <c r="Y62" s="87"/>
      <c r="Z62" s="87"/>
      <c r="AA62" s="87"/>
      <c r="AB62" s="87"/>
      <c r="AC62" s="87"/>
      <c r="AD62" s="87"/>
      <c r="AE62" s="87"/>
      <c r="AF62" s="87"/>
      <c r="AH62" s="89"/>
      <c r="AI62" s="87"/>
      <c r="AJ62" s="87"/>
      <c r="AK62" s="87"/>
      <c r="AL62" s="87"/>
      <c r="AM62" s="87"/>
      <c r="AN62" s="87"/>
      <c r="AO62" s="87"/>
      <c r="AP62" s="87"/>
      <c r="AQ62" s="87"/>
    </row>
    <row r="63" spans="1:43" x14ac:dyDescent="0.25">
      <c r="A63" s="73" t="s">
        <v>22</v>
      </c>
      <c r="B63" s="73"/>
      <c r="C63" s="73"/>
      <c r="D63" s="73"/>
      <c r="E63" s="73"/>
      <c r="F63" s="73"/>
      <c r="G63" s="73"/>
      <c r="H63" s="73"/>
      <c r="I63" s="73"/>
      <c r="J63" s="73"/>
      <c r="L63" s="73" t="s">
        <v>22</v>
      </c>
      <c r="M63" s="73"/>
      <c r="N63" s="73"/>
      <c r="O63" s="73"/>
      <c r="P63" s="73"/>
      <c r="Q63" s="73"/>
      <c r="R63" s="73"/>
      <c r="S63" s="73"/>
      <c r="T63" s="73"/>
      <c r="U63" s="73"/>
      <c r="W63" s="73" t="s">
        <v>22</v>
      </c>
      <c r="X63" s="73"/>
      <c r="Y63" s="73"/>
      <c r="Z63" s="73"/>
      <c r="AA63" s="73"/>
      <c r="AB63" s="73"/>
      <c r="AC63" s="73"/>
      <c r="AD63" s="73"/>
      <c r="AE63" s="73"/>
      <c r="AF63" s="73"/>
      <c r="AH63" s="73" t="s">
        <v>22</v>
      </c>
      <c r="AI63" s="73"/>
      <c r="AJ63" s="73"/>
      <c r="AK63" s="73"/>
      <c r="AL63" s="73"/>
      <c r="AM63" s="73"/>
      <c r="AN63" s="73"/>
      <c r="AO63" s="73"/>
      <c r="AP63" s="73"/>
      <c r="AQ63" s="73"/>
    </row>
    <row r="64" spans="1:43" x14ac:dyDescent="0.25">
      <c r="A64" s="54" t="s">
        <v>38</v>
      </c>
      <c r="B64" s="74" t="s">
        <v>3</v>
      </c>
      <c r="C64" s="74"/>
      <c r="D64" s="75" t="s">
        <v>4</v>
      </c>
      <c r="E64" s="76" t="s">
        <v>5</v>
      </c>
      <c r="F64" s="77"/>
      <c r="G64" s="75" t="s">
        <v>7</v>
      </c>
      <c r="H64" s="74" t="s">
        <v>8</v>
      </c>
      <c r="I64" s="74"/>
      <c r="J64" s="54" t="s">
        <v>9</v>
      </c>
      <c r="L64" s="54" t="s">
        <v>38</v>
      </c>
      <c r="M64" s="74" t="s">
        <v>3</v>
      </c>
      <c r="N64" s="74"/>
      <c r="O64" s="75" t="s">
        <v>4</v>
      </c>
      <c r="P64" s="76" t="s">
        <v>5</v>
      </c>
      <c r="Q64" s="77"/>
      <c r="R64" s="75" t="s">
        <v>7</v>
      </c>
      <c r="S64" s="74" t="s">
        <v>8</v>
      </c>
      <c r="T64" s="74"/>
      <c r="U64" s="54" t="s">
        <v>9</v>
      </c>
      <c r="W64" s="54" t="s">
        <v>38</v>
      </c>
      <c r="X64" s="74" t="s">
        <v>3</v>
      </c>
      <c r="Y64" s="74"/>
      <c r="Z64" s="75" t="s">
        <v>4</v>
      </c>
      <c r="AA64" s="76" t="s">
        <v>5</v>
      </c>
      <c r="AB64" s="77"/>
      <c r="AC64" s="75" t="s">
        <v>7</v>
      </c>
      <c r="AD64" s="74" t="s">
        <v>8</v>
      </c>
      <c r="AE64" s="74"/>
      <c r="AF64" s="54" t="s">
        <v>9</v>
      </c>
      <c r="AH64" s="54" t="s">
        <v>38</v>
      </c>
      <c r="AI64" s="74" t="s">
        <v>3</v>
      </c>
      <c r="AJ64" s="74"/>
      <c r="AK64" s="75" t="s">
        <v>4</v>
      </c>
      <c r="AL64" s="76" t="s">
        <v>5</v>
      </c>
      <c r="AM64" s="77"/>
      <c r="AN64" s="75" t="s">
        <v>7</v>
      </c>
      <c r="AO64" s="74" t="s">
        <v>8</v>
      </c>
      <c r="AP64" s="74"/>
      <c r="AQ64" s="54" t="s">
        <v>9</v>
      </c>
    </row>
    <row r="65" spans="1:43" ht="28.9" customHeight="1" x14ac:dyDescent="0.25">
      <c r="A65" s="54" t="s">
        <v>65</v>
      </c>
      <c r="B65" s="79" t="s">
        <v>10</v>
      </c>
      <c r="C65" s="79" t="s">
        <v>60</v>
      </c>
      <c r="D65" s="79" t="s">
        <v>12</v>
      </c>
      <c r="E65" s="79" t="s">
        <v>13</v>
      </c>
      <c r="F65" s="79" t="s">
        <v>14</v>
      </c>
      <c r="G65" s="79" t="s">
        <v>16</v>
      </c>
      <c r="H65" s="79" t="s">
        <v>17</v>
      </c>
      <c r="I65" s="79" t="s">
        <v>18</v>
      </c>
      <c r="J65" s="54"/>
      <c r="L65" s="54" t="s">
        <v>65</v>
      </c>
      <c r="M65" s="79" t="s">
        <v>10</v>
      </c>
      <c r="N65" s="79" t="s">
        <v>60</v>
      </c>
      <c r="O65" s="79" t="s">
        <v>12</v>
      </c>
      <c r="P65" s="79" t="s">
        <v>13</v>
      </c>
      <c r="Q65" s="79" t="s">
        <v>14</v>
      </c>
      <c r="R65" s="79" t="s">
        <v>16</v>
      </c>
      <c r="S65" s="79" t="s">
        <v>17</v>
      </c>
      <c r="T65" s="79" t="s">
        <v>18</v>
      </c>
      <c r="U65" s="54"/>
      <c r="W65" s="54" t="s">
        <v>65</v>
      </c>
      <c r="X65" s="79" t="s">
        <v>10</v>
      </c>
      <c r="Y65" s="79" t="s">
        <v>60</v>
      </c>
      <c r="Z65" s="79" t="s">
        <v>12</v>
      </c>
      <c r="AA65" s="79" t="s">
        <v>13</v>
      </c>
      <c r="AB65" s="79" t="s">
        <v>14</v>
      </c>
      <c r="AC65" s="79" t="s">
        <v>16</v>
      </c>
      <c r="AD65" s="79" t="s">
        <v>17</v>
      </c>
      <c r="AE65" s="79" t="s">
        <v>18</v>
      </c>
      <c r="AF65" s="54"/>
      <c r="AH65" s="54" t="s">
        <v>65</v>
      </c>
      <c r="AI65" s="79" t="s">
        <v>10</v>
      </c>
      <c r="AJ65" s="79" t="s">
        <v>60</v>
      </c>
      <c r="AK65" s="79" t="s">
        <v>12</v>
      </c>
      <c r="AL65" s="79" t="s">
        <v>13</v>
      </c>
      <c r="AM65" s="79" t="s">
        <v>14</v>
      </c>
      <c r="AN65" s="79" t="s">
        <v>16</v>
      </c>
      <c r="AO65" s="79" t="s">
        <v>17</v>
      </c>
      <c r="AP65" s="79" t="s">
        <v>18</v>
      </c>
      <c r="AQ65" s="54"/>
    </row>
    <row r="66" spans="1:43" x14ac:dyDescent="0.25">
      <c r="A66" s="80" t="s">
        <v>39</v>
      </c>
      <c r="B66" s="81">
        <v>45000</v>
      </c>
      <c r="C66" s="81">
        <v>0</v>
      </c>
      <c r="D66" s="81">
        <v>0</v>
      </c>
      <c r="E66" s="81">
        <v>0</v>
      </c>
      <c r="F66" s="81">
        <v>78643010</v>
      </c>
      <c r="G66" s="81">
        <v>0</v>
      </c>
      <c r="H66" s="81">
        <v>1913440</v>
      </c>
      <c r="I66" s="81">
        <v>1245141</v>
      </c>
      <c r="J66" s="82">
        <f t="shared" ref="J66:J77" si="50">SUM(B66:I66)</f>
        <v>81846591</v>
      </c>
      <c r="L66" s="80" t="s">
        <v>39</v>
      </c>
      <c r="M66" s="81">
        <v>0</v>
      </c>
      <c r="N66" s="81">
        <v>0</v>
      </c>
      <c r="O66" s="81">
        <v>0</v>
      </c>
      <c r="P66" s="81">
        <v>0</v>
      </c>
      <c r="Q66" s="81">
        <v>1259766</v>
      </c>
      <c r="R66" s="81">
        <v>0</v>
      </c>
      <c r="S66" s="81">
        <v>0</v>
      </c>
      <c r="T66" s="81">
        <v>0</v>
      </c>
      <c r="U66" s="82">
        <f t="shared" ref="U66:U77" si="51">SUM(M66:T66)</f>
        <v>1259766</v>
      </c>
      <c r="V66" s="83"/>
      <c r="W66" s="80" t="s">
        <v>39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2">
        <f t="shared" ref="AF66:AF77" si="52">SUM(X66:AE66)</f>
        <v>0</v>
      </c>
      <c r="AH66" s="80" t="s">
        <v>39</v>
      </c>
      <c r="AI66" s="81">
        <v>0</v>
      </c>
      <c r="AJ66" s="81">
        <v>0</v>
      </c>
      <c r="AK66" s="81">
        <v>0</v>
      </c>
      <c r="AL66" s="81">
        <v>0</v>
      </c>
      <c r="AM66" s="81">
        <v>0</v>
      </c>
      <c r="AN66" s="81">
        <v>0</v>
      </c>
      <c r="AO66" s="81">
        <v>0</v>
      </c>
      <c r="AP66" s="81">
        <v>0</v>
      </c>
      <c r="AQ66" s="82">
        <f t="shared" ref="AQ66:AQ77" si="53">SUM(AI66:AP66)</f>
        <v>0</v>
      </c>
    </row>
    <row r="67" spans="1:43" x14ac:dyDescent="0.25">
      <c r="A67" s="80" t="s">
        <v>40</v>
      </c>
      <c r="B67" s="81">
        <v>170000</v>
      </c>
      <c r="C67" s="81">
        <v>0</v>
      </c>
      <c r="D67" s="81">
        <v>0</v>
      </c>
      <c r="E67" s="81">
        <v>0</v>
      </c>
      <c r="F67" s="81">
        <v>92512817</v>
      </c>
      <c r="G67" s="81">
        <v>0</v>
      </c>
      <c r="H67" s="81">
        <v>5240021</v>
      </c>
      <c r="I67" s="81">
        <v>3627357</v>
      </c>
      <c r="J67" s="82">
        <f t="shared" si="50"/>
        <v>101550195</v>
      </c>
      <c r="L67" s="80" t="s">
        <v>40</v>
      </c>
      <c r="M67" s="81">
        <v>0</v>
      </c>
      <c r="N67" s="81">
        <v>0</v>
      </c>
      <c r="O67" s="81">
        <v>0</v>
      </c>
      <c r="P67" s="81">
        <v>0</v>
      </c>
      <c r="Q67" s="81">
        <v>836888</v>
      </c>
      <c r="R67" s="81">
        <v>0</v>
      </c>
      <c r="S67" s="81">
        <v>0</v>
      </c>
      <c r="T67" s="81">
        <v>0</v>
      </c>
      <c r="U67" s="82">
        <f t="shared" si="51"/>
        <v>836888</v>
      </c>
      <c r="V67" s="83"/>
      <c r="W67" s="80" t="s">
        <v>40</v>
      </c>
      <c r="X67" s="81">
        <v>0</v>
      </c>
      <c r="Y67" s="81">
        <v>0</v>
      </c>
      <c r="Z67" s="81">
        <v>0</v>
      </c>
      <c r="AA67" s="81">
        <v>0</v>
      </c>
      <c r="AB67" s="81">
        <v>69502</v>
      </c>
      <c r="AC67" s="81">
        <v>0</v>
      </c>
      <c r="AD67" s="81">
        <v>0</v>
      </c>
      <c r="AE67" s="81">
        <v>0</v>
      </c>
      <c r="AF67" s="82">
        <f t="shared" si="52"/>
        <v>69502</v>
      </c>
      <c r="AH67" s="80" t="s">
        <v>40</v>
      </c>
      <c r="AI67" s="81">
        <v>0</v>
      </c>
      <c r="AJ67" s="81">
        <v>0</v>
      </c>
      <c r="AK67" s="81">
        <v>0</v>
      </c>
      <c r="AL67" s="81">
        <v>0</v>
      </c>
      <c r="AM67" s="81">
        <v>0</v>
      </c>
      <c r="AN67" s="81">
        <v>0</v>
      </c>
      <c r="AO67" s="81">
        <v>0</v>
      </c>
      <c r="AP67" s="81">
        <v>0</v>
      </c>
      <c r="AQ67" s="82">
        <f t="shared" si="53"/>
        <v>0</v>
      </c>
    </row>
    <row r="68" spans="1:43" x14ac:dyDescent="0.25">
      <c r="A68" s="80" t="s">
        <v>41</v>
      </c>
      <c r="B68" s="81">
        <v>1686420</v>
      </c>
      <c r="C68" s="81">
        <v>0</v>
      </c>
      <c r="D68" s="81">
        <v>0</v>
      </c>
      <c r="E68" s="81">
        <v>0</v>
      </c>
      <c r="F68" s="81">
        <v>70777955</v>
      </c>
      <c r="G68" s="81">
        <v>0</v>
      </c>
      <c r="H68" s="81">
        <v>6041901</v>
      </c>
      <c r="I68" s="81">
        <v>4078040</v>
      </c>
      <c r="J68" s="82">
        <f t="shared" si="50"/>
        <v>82584316</v>
      </c>
      <c r="L68" s="80" t="s">
        <v>41</v>
      </c>
      <c r="M68" s="81">
        <v>0</v>
      </c>
      <c r="N68" s="81">
        <v>0</v>
      </c>
      <c r="O68" s="81">
        <v>0</v>
      </c>
      <c r="P68" s="81">
        <v>0</v>
      </c>
      <c r="Q68" s="81">
        <v>3393898</v>
      </c>
      <c r="R68" s="81">
        <v>0</v>
      </c>
      <c r="S68" s="81">
        <v>0</v>
      </c>
      <c r="T68" s="81">
        <v>0</v>
      </c>
      <c r="U68" s="82">
        <f t="shared" si="51"/>
        <v>3393898</v>
      </c>
      <c r="V68" s="83"/>
      <c r="W68" s="80" t="s">
        <v>41</v>
      </c>
      <c r="X68" s="81">
        <v>0</v>
      </c>
      <c r="Y68" s="81">
        <v>0</v>
      </c>
      <c r="Z68" s="81">
        <v>0</v>
      </c>
      <c r="AA68" s="81">
        <v>0</v>
      </c>
      <c r="AB68" s="81">
        <v>203006</v>
      </c>
      <c r="AC68" s="81">
        <v>0</v>
      </c>
      <c r="AD68" s="81">
        <v>0</v>
      </c>
      <c r="AE68" s="81">
        <v>0</v>
      </c>
      <c r="AF68" s="82">
        <f t="shared" si="52"/>
        <v>203006</v>
      </c>
      <c r="AH68" s="80" t="s">
        <v>41</v>
      </c>
      <c r="AI68" s="81">
        <v>0</v>
      </c>
      <c r="AJ68" s="81">
        <v>0</v>
      </c>
      <c r="AK68" s="81">
        <v>0</v>
      </c>
      <c r="AL68" s="81">
        <v>0</v>
      </c>
      <c r="AM68" s="81">
        <v>0</v>
      </c>
      <c r="AN68" s="81">
        <v>0</v>
      </c>
      <c r="AO68" s="81">
        <v>0</v>
      </c>
      <c r="AP68" s="81">
        <v>0</v>
      </c>
      <c r="AQ68" s="82">
        <f t="shared" si="53"/>
        <v>0</v>
      </c>
    </row>
    <row r="69" spans="1:43" x14ac:dyDescent="0.25">
      <c r="A69" s="80" t="s">
        <v>42</v>
      </c>
      <c r="B69" s="81">
        <v>94900</v>
      </c>
      <c r="C69" s="81">
        <v>0</v>
      </c>
      <c r="D69" s="81">
        <v>0</v>
      </c>
      <c r="E69" s="81">
        <v>0</v>
      </c>
      <c r="F69" s="81">
        <v>67385650</v>
      </c>
      <c r="G69" s="81">
        <v>0</v>
      </c>
      <c r="H69" s="81">
        <v>3864671</v>
      </c>
      <c r="I69" s="81">
        <v>2583290</v>
      </c>
      <c r="J69" s="82">
        <f t="shared" si="50"/>
        <v>73928511</v>
      </c>
      <c r="L69" s="80" t="s">
        <v>42</v>
      </c>
      <c r="M69" s="81">
        <v>0</v>
      </c>
      <c r="N69" s="81">
        <v>0</v>
      </c>
      <c r="O69" s="81">
        <v>0</v>
      </c>
      <c r="P69" s="81">
        <v>0</v>
      </c>
      <c r="Q69" s="81">
        <v>5670512</v>
      </c>
      <c r="R69" s="81">
        <v>0</v>
      </c>
      <c r="S69" s="81">
        <v>0</v>
      </c>
      <c r="T69" s="81">
        <v>0</v>
      </c>
      <c r="U69" s="82">
        <f t="shared" si="51"/>
        <v>5670512</v>
      </c>
      <c r="V69" s="83"/>
      <c r="W69" s="80" t="s">
        <v>42</v>
      </c>
      <c r="X69" s="81">
        <v>0</v>
      </c>
      <c r="Y69" s="81">
        <v>0</v>
      </c>
      <c r="Z69" s="81">
        <v>0</v>
      </c>
      <c r="AA69" s="81">
        <v>0</v>
      </c>
      <c r="AB69" s="81">
        <v>430651</v>
      </c>
      <c r="AC69" s="81">
        <v>0</v>
      </c>
      <c r="AD69" s="81">
        <v>0</v>
      </c>
      <c r="AE69" s="81">
        <v>0</v>
      </c>
      <c r="AF69" s="82">
        <f t="shared" si="52"/>
        <v>430651</v>
      </c>
      <c r="AH69" s="80" t="s">
        <v>42</v>
      </c>
      <c r="AI69" s="81">
        <v>0</v>
      </c>
      <c r="AJ69" s="81">
        <v>0</v>
      </c>
      <c r="AK69" s="81">
        <v>0</v>
      </c>
      <c r="AL69" s="81">
        <v>0</v>
      </c>
      <c r="AM69" s="81">
        <v>0</v>
      </c>
      <c r="AN69" s="81">
        <v>0</v>
      </c>
      <c r="AO69" s="81">
        <v>0</v>
      </c>
      <c r="AP69" s="81">
        <v>0</v>
      </c>
      <c r="AQ69" s="82">
        <f t="shared" si="53"/>
        <v>0</v>
      </c>
    </row>
    <row r="70" spans="1:43" x14ac:dyDescent="0.25">
      <c r="A70" s="80" t="s">
        <v>43</v>
      </c>
      <c r="B70" s="81">
        <v>0</v>
      </c>
      <c r="C70" s="81">
        <v>0</v>
      </c>
      <c r="D70" s="81">
        <v>0</v>
      </c>
      <c r="E70" s="81">
        <v>0</v>
      </c>
      <c r="F70" s="81">
        <v>14377307</v>
      </c>
      <c r="G70" s="81">
        <v>0</v>
      </c>
      <c r="H70" s="81">
        <v>743963</v>
      </c>
      <c r="I70" s="81">
        <v>0</v>
      </c>
      <c r="J70" s="82">
        <f t="shared" si="50"/>
        <v>15121270</v>
      </c>
      <c r="L70" s="80" t="s">
        <v>43</v>
      </c>
      <c r="M70" s="81">
        <v>80700</v>
      </c>
      <c r="N70" s="81">
        <v>0</v>
      </c>
      <c r="O70" s="81">
        <v>0</v>
      </c>
      <c r="P70" s="81">
        <v>0</v>
      </c>
      <c r="Q70" s="81">
        <v>10525726</v>
      </c>
      <c r="R70" s="81">
        <v>0</v>
      </c>
      <c r="S70" s="81">
        <v>0</v>
      </c>
      <c r="T70" s="81">
        <v>0</v>
      </c>
      <c r="U70" s="82">
        <f t="shared" si="51"/>
        <v>10606426</v>
      </c>
      <c r="V70" s="83"/>
      <c r="W70" s="80" t="s">
        <v>43</v>
      </c>
      <c r="X70" s="81">
        <v>0</v>
      </c>
      <c r="Y70" s="81">
        <v>0</v>
      </c>
      <c r="Z70" s="81">
        <v>0</v>
      </c>
      <c r="AA70" s="81">
        <v>0</v>
      </c>
      <c r="AB70" s="81">
        <v>615781</v>
      </c>
      <c r="AC70" s="81">
        <v>0</v>
      </c>
      <c r="AD70" s="81">
        <v>0</v>
      </c>
      <c r="AE70" s="81">
        <v>0</v>
      </c>
      <c r="AF70" s="82">
        <f t="shared" si="52"/>
        <v>615781</v>
      </c>
      <c r="AH70" s="80" t="s">
        <v>43</v>
      </c>
      <c r="AI70" s="81">
        <v>0</v>
      </c>
      <c r="AJ70" s="81">
        <v>0</v>
      </c>
      <c r="AK70" s="81">
        <v>0</v>
      </c>
      <c r="AL70" s="81">
        <v>0</v>
      </c>
      <c r="AM70" s="81">
        <v>0</v>
      </c>
      <c r="AN70" s="81">
        <v>0</v>
      </c>
      <c r="AO70" s="81">
        <v>0</v>
      </c>
      <c r="AP70" s="81">
        <v>0</v>
      </c>
      <c r="AQ70" s="82">
        <f t="shared" si="53"/>
        <v>0</v>
      </c>
    </row>
    <row r="71" spans="1:43" x14ac:dyDescent="0.25">
      <c r="A71" s="80" t="s">
        <v>44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2">
        <f t="shared" si="50"/>
        <v>0</v>
      </c>
      <c r="L71" s="80" t="s">
        <v>44</v>
      </c>
      <c r="M71" s="81">
        <v>0</v>
      </c>
      <c r="N71" s="81">
        <v>0</v>
      </c>
      <c r="O71" s="81">
        <v>0</v>
      </c>
      <c r="P71" s="81">
        <v>0</v>
      </c>
      <c r="Q71" s="81">
        <v>10090377</v>
      </c>
      <c r="R71" s="81">
        <v>0</v>
      </c>
      <c r="S71" s="81">
        <v>62892</v>
      </c>
      <c r="T71" s="81">
        <v>0</v>
      </c>
      <c r="U71" s="82">
        <f t="shared" si="51"/>
        <v>10153269</v>
      </c>
      <c r="V71" s="83"/>
      <c r="W71" s="80" t="s">
        <v>44</v>
      </c>
      <c r="X71" s="81">
        <v>0</v>
      </c>
      <c r="Y71" s="81">
        <v>0</v>
      </c>
      <c r="Z71" s="81">
        <v>0</v>
      </c>
      <c r="AA71" s="81">
        <v>0</v>
      </c>
      <c r="AB71" s="81">
        <v>100000</v>
      </c>
      <c r="AC71" s="81">
        <v>0</v>
      </c>
      <c r="AD71" s="81">
        <v>0</v>
      </c>
      <c r="AE71" s="81">
        <v>0</v>
      </c>
      <c r="AF71" s="82">
        <f t="shared" si="52"/>
        <v>100000</v>
      </c>
      <c r="AH71" s="80" t="s">
        <v>44</v>
      </c>
      <c r="AI71" s="81">
        <v>0</v>
      </c>
      <c r="AJ71" s="81">
        <v>0</v>
      </c>
      <c r="AK71" s="81">
        <v>0</v>
      </c>
      <c r="AL71" s="81">
        <v>0</v>
      </c>
      <c r="AM71" s="81">
        <v>0</v>
      </c>
      <c r="AN71" s="81">
        <v>0</v>
      </c>
      <c r="AO71" s="81">
        <v>0</v>
      </c>
      <c r="AP71" s="81">
        <v>0</v>
      </c>
      <c r="AQ71" s="82">
        <f t="shared" si="53"/>
        <v>0</v>
      </c>
    </row>
    <row r="72" spans="1:43" x14ac:dyDescent="0.25">
      <c r="A72" s="80" t="s">
        <v>45</v>
      </c>
      <c r="B72" s="81">
        <v>0</v>
      </c>
      <c r="C72" s="81">
        <v>0</v>
      </c>
      <c r="D72" s="81">
        <v>0</v>
      </c>
      <c r="E72" s="81">
        <v>0</v>
      </c>
      <c r="F72" s="81">
        <v>0</v>
      </c>
      <c r="G72" s="81">
        <v>0</v>
      </c>
      <c r="H72" s="81">
        <v>0</v>
      </c>
      <c r="I72" s="81">
        <v>0</v>
      </c>
      <c r="J72" s="82">
        <f t="shared" si="50"/>
        <v>0</v>
      </c>
      <c r="L72" s="80" t="s">
        <v>45</v>
      </c>
      <c r="M72" s="81">
        <v>0</v>
      </c>
      <c r="N72" s="81">
        <v>1400000</v>
      </c>
      <c r="O72" s="81">
        <v>0</v>
      </c>
      <c r="P72" s="81">
        <v>0</v>
      </c>
      <c r="Q72" s="81">
        <v>13236068</v>
      </c>
      <c r="R72" s="81">
        <v>0</v>
      </c>
      <c r="S72" s="81">
        <v>20000</v>
      </c>
      <c r="T72" s="81">
        <v>0</v>
      </c>
      <c r="U72" s="82">
        <f t="shared" si="51"/>
        <v>14656068</v>
      </c>
      <c r="V72" s="83"/>
      <c r="W72" s="80" t="s">
        <v>45</v>
      </c>
      <c r="X72" s="81">
        <v>0</v>
      </c>
      <c r="Y72" s="81">
        <v>0</v>
      </c>
      <c r="Z72" s="81">
        <v>0</v>
      </c>
      <c r="AA72" s="81">
        <v>0</v>
      </c>
      <c r="AB72" s="81">
        <v>82000</v>
      </c>
      <c r="AC72" s="81">
        <v>0</v>
      </c>
      <c r="AD72" s="81">
        <v>0</v>
      </c>
      <c r="AE72" s="81">
        <v>0</v>
      </c>
      <c r="AF72" s="82">
        <f t="shared" si="52"/>
        <v>82000</v>
      </c>
      <c r="AH72" s="80" t="s">
        <v>45</v>
      </c>
      <c r="AI72" s="81">
        <v>0</v>
      </c>
      <c r="AJ72" s="81">
        <v>0</v>
      </c>
      <c r="AK72" s="81">
        <v>0</v>
      </c>
      <c r="AL72" s="81">
        <v>0</v>
      </c>
      <c r="AM72" s="81">
        <v>0</v>
      </c>
      <c r="AN72" s="81">
        <v>0</v>
      </c>
      <c r="AO72" s="81">
        <v>0</v>
      </c>
      <c r="AP72" s="81">
        <v>0</v>
      </c>
      <c r="AQ72" s="82">
        <f t="shared" si="53"/>
        <v>0</v>
      </c>
    </row>
    <row r="73" spans="1:43" x14ac:dyDescent="0.25">
      <c r="A73" s="80" t="s">
        <v>46</v>
      </c>
      <c r="B73" s="81">
        <v>0</v>
      </c>
      <c r="C73" s="81">
        <v>0</v>
      </c>
      <c r="D73" s="81">
        <v>0</v>
      </c>
      <c r="E73" s="81">
        <v>0</v>
      </c>
      <c r="F73" s="81">
        <v>0</v>
      </c>
      <c r="G73" s="81">
        <v>0</v>
      </c>
      <c r="H73" s="81">
        <v>0</v>
      </c>
      <c r="I73" s="81">
        <v>0</v>
      </c>
      <c r="J73" s="82">
        <f t="shared" si="50"/>
        <v>0</v>
      </c>
      <c r="L73" s="80" t="s">
        <v>46</v>
      </c>
      <c r="M73" s="81">
        <v>0</v>
      </c>
      <c r="N73" s="81">
        <v>0</v>
      </c>
      <c r="O73" s="81">
        <v>0</v>
      </c>
      <c r="P73" s="81">
        <v>0</v>
      </c>
      <c r="Q73" s="81">
        <v>23931475</v>
      </c>
      <c r="R73" s="81">
        <v>0</v>
      </c>
      <c r="S73" s="81">
        <v>299428</v>
      </c>
      <c r="T73" s="81">
        <v>142364</v>
      </c>
      <c r="U73" s="82">
        <f t="shared" si="51"/>
        <v>24373267</v>
      </c>
      <c r="V73" s="83"/>
      <c r="W73" s="80" t="s">
        <v>46</v>
      </c>
      <c r="X73" s="81">
        <v>0</v>
      </c>
      <c r="Y73" s="81">
        <v>0</v>
      </c>
      <c r="Z73" s="81">
        <v>0</v>
      </c>
      <c r="AA73" s="81">
        <v>0</v>
      </c>
      <c r="AB73" s="81">
        <v>181534</v>
      </c>
      <c r="AC73" s="81">
        <v>0</v>
      </c>
      <c r="AD73" s="81">
        <v>0</v>
      </c>
      <c r="AE73" s="81">
        <v>0</v>
      </c>
      <c r="AF73" s="82">
        <f t="shared" si="52"/>
        <v>181534</v>
      </c>
      <c r="AH73" s="80" t="s">
        <v>46</v>
      </c>
      <c r="AI73" s="81">
        <v>0</v>
      </c>
      <c r="AJ73" s="81">
        <v>0</v>
      </c>
      <c r="AK73" s="81">
        <v>0</v>
      </c>
      <c r="AL73" s="81">
        <v>0</v>
      </c>
      <c r="AM73" s="81">
        <v>0</v>
      </c>
      <c r="AN73" s="81">
        <v>0</v>
      </c>
      <c r="AO73" s="81">
        <v>0</v>
      </c>
      <c r="AP73" s="81">
        <v>0</v>
      </c>
      <c r="AQ73" s="82">
        <f t="shared" si="53"/>
        <v>0</v>
      </c>
    </row>
    <row r="74" spans="1:43" x14ac:dyDescent="0.25">
      <c r="A74" s="80" t="s">
        <v>47</v>
      </c>
      <c r="B74" s="81">
        <v>0</v>
      </c>
      <c r="C74" s="81">
        <v>0</v>
      </c>
      <c r="D74" s="81">
        <v>0</v>
      </c>
      <c r="E74" s="81">
        <v>0</v>
      </c>
      <c r="F74" s="81">
        <v>0</v>
      </c>
      <c r="G74" s="81">
        <v>0</v>
      </c>
      <c r="H74" s="81">
        <v>0</v>
      </c>
      <c r="I74" s="81">
        <v>0</v>
      </c>
      <c r="J74" s="82">
        <f t="shared" si="50"/>
        <v>0</v>
      </c>
      <c r="L74" s="80" t="s">
        <v>47</v>
      </c>
      <c r="M74" s="81">
        <v>0</v>
      </c>
      <c r="N74" s="81">
        <v>0</v>
      </c>
      <c r="O74" s="81">
        <v>0</v>
      </c>
      <c r="P74" s="81">
        <v>0</v>
      </c>
      <c r="Q74" s="81">
        <v>17721532</v>
      </c>
      <c r="R74" s="81">
        <v>0</v>
      </c>
      <c r="S74" s="81">
        <v>1099026</v>
      </c>
      <c r="T74" s="81">
        <v>508517</v>
      </c>
      <c r="U74" s="82">
        <f t="shared" si="51"/>
        <v>19329075</v>
      </c>
      <c r="V74" s="83"/>
      <c r="W74" s="80" t="s">
        <v>47</v>
      </c>
      <c r="X74" s="81">
        <v>0</v>
      </c>
      <c r="Y74" s="81">
        <v>0</v>
      </c>
      <c r="Z74" s="81">
        <v>0</v>
      </c>
      <c r="AA74" s="81">
        <v>0</v>
      </c>
      <c r="AB74" s="81">
        <v>0</v>
      </c>
      <c r="AC74" s="81">
        <v>0</v>
      </c>
      <c r="AD74" s="81">
        <v>0</v>
      </c>
      <c r="AE74" s="81">
        <v>0</v>
      </c>
      <c r="AF74" s="82">
        <f t="shared" si="52"/>
        <v>0</v>
      </c>
      <c r="AH74" s="80" t="s">
        <v>47</v>
      </c>
      <c r="AI74" s="81">
        <v>0</v>
      </c>
      <c r="AJ74" s="81">
        <v>0</v>
      </c>
      <c r="AK74" s="81">
        <v>0</v>
      </c>
      <c r="AL74" s="81">
        <v>0</v>
      </c>
      <c r="AM74" s="81">
        <v>0</v>
      </c>
      <c r="AN74" s="81">
        <v>0</v>
      </c>
      <c r="AO74" s="81">
        <v>0</v>
      </c>
      <c r="AP74" s="81">
        <v>0</v>
      </c>
      <c r="AQ74" s="82">
        <f t="shared" si="53"/>
        <v>0</v>
      </c>
    </row>
    <row r="75" spans="1:43" x14ac:dyDescent="0.25">
      <c r="A75" s="80" t="s">
        <v>48</v>
      </c>
      <c r="B75" s="81">
        <v>0</v>
      </c>
      <c r="C75" s="81">
        <v>0</v>
      </c>
      <c r="D75" s="81">
        <v>0</v>
      </c>
      <c r="E75" s="81">
        <v>0</v>
      </c>
      <c r="F75" s="81">
        <v>0</v>
      </c>
      <c r="G75" s="81">
        <v>0</v>
      </c>
      <c r="H75" s="81">
        <v>0</v>
      </c>
      <c r="I75" s="81">
        <v>0</v>
      </c>
      <c r="J75" s="82">
        <f t="shared" si="50"/>
        <v>0</v>
      </c>
      <c r="L75" s="80" t="s">
        <v>48</v>
      </c>
      <c r="M75" s="81">
        <v>110000</v>
      </c>
      <c r="N75" s="81">
        <v>0</v>
      </c>
      <c r="O75" s="81">
        <v>0</v>
      </c>
      <c r="P75" s="81">
        <v>0</v>
      </c>
      <c r="Q75" s="81">
        <v>36390691</v>
      </c>
      <c r="R75" s="81">
        <v>0</v>
      </c>
      <c r="S75" s="81">
        <v>1222994</v>
      </c>
      <c r="T75" s="81">
        <v>1039362</v>
      </c>
      <c r="U75" s="82">
        <f t="shared" si="51"/>
        <v>38763047</v>
      </c>
      <c r="V75" s="83"/>
      <c r="W75" s="80" t="s">
        <v>48</v>
      </c>
      <c r="X75" s="81">
        <v>0</v>
      </c>
      <c r="Y75" s="81">
        <v>0</v>
      </c>
      <c r="Z75" s="81">
        <v>0</v>
      </c>
      <c r="AA75" s="81">
        <v>0</v>
      </c>
      <c r="AB75" s="81">
        <v>0</v>
      </c>
      <c r="AC75" s="81">
        <v>0</v>
      </c>
      <c r="AD75" s="81">
        <v>0</v>
      </c>
      <c r="AE75" s="81">
        <v>0</v>
      </c>
      <c r="AF75" s="82">
        <f t="shared" si="52"/>
        <v>0</v>
      </c>
      <c r="AH75" s="80" t="s">
        <v>48</v>
      </c>
      <c r="AI75" s="81">
        <v>0</v>
      </c>
      <c r="AJ75" s="81">
        <v>0</v>
      </c>
      <c r="AK75" s="81">
        <v>0</v>
      </c>
      <c r="AL75" s="81">
        <v>0</v>
      </c>
      <c r="AM75" s="81">
        <v>0</v>
      </c>
      <c r="AN75" s="81">
        <v>0</v>
      </c>
      <c r="AO75" s="81">
        <v>0</v>
      </c>
      <c r="AP75" s="81">
        <v>0</v>
      </c>
      <c r="AQ75" s="82">
        <f t="shared" si="53"/>
        <v>0</v>
      </c>
    </row>
    <row r="76" spans="1:43" x14ac:dyDescent="0.25">
      <c r="A76" s="80" t="s">
        <v>49</v>
      </c>
      <c r="B76" s="81">
        <v>0</v>
      </c>
      <c r="C76" s="81">
        <v>0</v>
      </c>
      <c r="D76" s="81">
        <v>0</v>
      </c>
      <c r="E76" s="81">
        <v>0</v>
      </c>
      <c r="F76" s="81">
        <v>0</v>
      </c>
      <c r="G76" s="81">
        <v>0</v>
      </c>
      <c r="H76" s="81">
        <v>0</v>
      </c>
      <c r="I76" s="81">
        <v>0</v>
      </c>
      <c r="J76" s="82">
        <f t="shared" si="50"/>
        <v>0</v>
      </c>
      <c r="L76" s="80" t="s">
        <v>49</v>
      </c>
      <c r="M76" s="81">
        <v>16500</v>
      </c>
      <c r="N76" s="81">
        <v>124000</v>
      </c>
      <c r="O76" s="81">
        <v>0</v>
      </c>
      <c r="P76" s="81">
        <v>0</v>
      </c>
      <c r="Q76" s="81">
        <v>44081056</v>
      </c>
      <c r="R76" s="81">
        <v>0</v>
      </c>
      <c r="S76" s="81">
        <v>1540554</v>
      </c>
      <c r="T76" s="81">
        <v>1201271</v>
      </c>
      <c r="U76" s="82">
        <f t="shared" si="51"/>
        <v>46963381</v>
      </c>
      <c r="V76" s="83"/>
      <c r="W76" s="80" t="s">
        <v>49</v>
      </c>
      <c r="X76" s="81">
        <v>0</v>
      </c>
      <c r="Y76" s="81">
        <v>0</v>
      </c>
      <c r="Z76" s="81">
        <v>0</v>
      </c>
      <c r="AA76" s="81">
        <v>0</v>
      </c>
      <c r="AB76" s="81">
        <v>530723</v>
      </c>
      <c r="AC76" s="81">
        <v>0</v>
      </c>
      <c r="AD76" s="81">
        <v>0</v>
      </c>
      <c r="AE76" s="81">
        <v>0</v>
      </c>
      <c r="AF76" s="82">
        <f t="shared" si="52"/>
        <v>530723</v>
      </c>
      <c r="AH76" s="80" t="s">
        <v>49</v>
      </c>
      <c r="AI76" s="81">
        <v>0</v>
      </c>
      <c r="AJ76" s="81">
        <v>0</v>
      </c>
      <c r="AK76" s="81">
        <v>0</v>
      </c>
      <c r="AL76" s="81">
        <v>0</v>
      </c>
      <c r="AM76" s="81">
        <v>500</v>
      </c>
      <c r="AN76" s="81">
        <v>0</v>
      </c>
      <c r="AO76" s="81">
        <v>0</v>
      </c>
      <c r="AP76" s="81">
        <v>0</v>
      </c>
      <c r="AQ76" s="82">
        <f t="shared" si="53"/>
        <v>500</v>
      </c>
    </row>
    <row r="77" spans="1:43" x14ac:dyDescent="0.25">
      <c r="A77" s="80" t="s">
        <v>50</v>
      </c>
      <c r="B77" s="81">
        <v>0</v>
      </c>
      <c r="C77" s="81">
        <v>0</v>
      </c>
      <c r="D77" s="81">
        <v>0</v>
      </c>
      <c r="E77" s="81">
        <v>0</v>
      </c>
      <c r="F77" s="81">
        <v>0</v>
      </c>
      <c r="G77" s="81">
        <v>0</v>
      </c>
      <c r="H77" s="81">
        <v>0</v>
      </c>
      <c r="I77" s="81">
        <v>0</v>
      </c>
      <c r="J77" s="82">
        <f t="shared" si="50"/>
        <v>0</v>
      </c>
      <c r="L77" s="80" t="s">
        <v>50</v>
      </c>
      <c r="M77" s="81">
        <v>250730</v>
      </c>
      <c r="N77" s="81">
        <v>0</v>
      </c>
      <c r="O77" s="81">
        <v>0</v>
      </c>
      <c r="P77" s="81">
        <v>0</v>
      </c>
      <c r="Q77" s="81">
        <v>51442268</v>
      </c>
      <c r="R77" s="81">
        <v>0</v>
      </c>
      <c r="S77" s="81">
        <v>5470203</v>
      </c>
      <c r="T77" s="81">
        <v>1535444</v>
      </c>
      <c r="U77" s="82">
        <f t="shared" si="51"/>
        <v>58698645</v>
      </c>
      <c r="V77" s="83"/>
      <c r="W77" s="80" t="s">
        <v>50</v>
      </c>
      <c r="X77" s="81">
        <v>0</v>
      </c>
      <c r="Y77" s="81">
        <v>0</v>
      </c>
      <c r="Z77" s="81">
        <v>0</v>
      </c>
      <c r="AA77" s="81">
        <v>0</v>
      </c>
      <c r="AB77" s="81">
        <v>499227</v>
      </c>
      <c r="AC77" s="81">
        <v>0</v>
      </c>
      <c r="AD77" s="81">
        <v>0</v>
      </c>
      <c r="AE77" s="81">
        <v>0</v>
      </c>
      <c r="AF77" s="82">
        <f t="shared" si="52"/>
        <v>499227</v>
      </c>
      <c r="AH77" s="80" t="s">
        <v>50</v>
      </c>
      <c r="AI77" s="81">
        <v>0</v>
      </c>
      <c r="AJ77" s="81">
        <v>0</v>
      </c>
      <c r="AK77" s="81">
        <v>0</v>
      </c>
      <c r="AL77" s="81">
        <v>0</v>
      </c>
      <c r="AM77" s="81">
        <v>0</v>
      </c>
      <c r="AN77" s="81">
        <v>0</v>
      </c>
      <c r="AO77" s="81">
        <v>0</v>
      </c>
      <c r="AP77" s="81">
        <v>0</v>
      </c>
      <c r="AQ77" s="82">
        <f t="shared" si="53"/>
        <v>0</v>
      </c>
    </row>
    <row r="78" spans="1:43" x14ac:dyDescent="0.25">
      <c r="A78" s="84" t="s">
        <v>9</v>
      </c>
      <c r="B78" s="85">
        <f>SUM(B66:B77)</f>
        <v>1996320</v>
      </c>
      <c r="C78" s="85">
        <f t="shared" ref="C78:I78" si="54">SUM(C66:C77)</f>
        <v>0</v>
      </c>
      <c r="D78" s="85">
        <f t="shared" si="54"/>
        <v>0</v>
      </c>
      <c r="E78" s="85">
        <f t="shared" si="54"/>
        <v>0</v>
      </c>
      <c r="F78" s="85">
        <f t="shared" si="54"/>
        <v>323696739</v>
      </c>
      <c r="G78" s="85">
        <f t="shared" si="54"/>
        <v>0</v>
      </c>
      <c r="H78" s="85">
        <f t="shared" si="54"/>
        <v>17803996</v>
      </c>
      <c r="I78" s="85">
        <f t="shared" si="54"/>
        <v>11533828</v>
      </c>
      <c r="J78" s="85">
        <f>SUM(J66:J77)</f>
        <v>355030883</v>
      </c>
      <c r="L78" s="84" t="s">
        <v>9</v>
      </c>
      <c r="M78" s="85">
        <f>SUM(M66:M77)</f>
        <v>457930</v>
      </c>
      <c r="N78" s="85">
        <f t="shared" ref="N78:T78" si="55">SUM(N66:N77)</f>
        <v>1524000</v>
      </c>
      <c r="O78" s="85">
        <f t="shared" si="55"/>
        <v>0</v>
      </c>
      <c r="P78" s="85">
        <f t="shared" si="55"/>
        <v>0</v>
      </c>
      <c r="Q78" s="85">
        <f t="shared" si="55"/>
        <v>218580257</v>
      </c>
      <c r="R78" s="85">
        <f t="shared" si="55"/>
        <v>0</v>
      </c>
      <c r="S78" s="85">
        <f t="shared" si="55"/>
        <v>9715097</v>
      </c>
      <c r="T78" s="85">
        <f t="shared" si="55"/>
        <v>4426958</v>
      </c>
      <c r="U78" s="85">
        <f>SUM(U66:U77)</f>
        <v>234704242</v>
      </c>
      <c r="V78" s="83"/>
      <c r="W78" s="84" t="s">
        <v>9</v>
      </c>
      <c r="X78" s="85">
        <f>SUM(X66:X77)</f>
        <v>0</v>
      </c>
      <c r="Y78" s="85">
        <f t="shared" ref="Y78:AE78" si="56">SUM(Y66:Y77)</f>
        <v>0</v>
      </c>
      <c r="Z78" s="85">
        <f t="shared" si="56"/>
        <v>0</v>
      </c>
      <c r="AA78" s="85">
        <f t="shared" si="56"/>
        <v>0</v>
      </c>
      <c r="AB78" s="85">
        <f t="shared" si="56"/>
        <v>2712424</v>
      </c>
      <c r="AC78" s="85">
        <f t="shared" si="56"/>
        <v>0</v>
      </c>
      <c r="AD78" s="85">
        <f t="shared" si="56"/>
        <v>0</v>
      </c>
      <c r="AE78" s="85">
        <f t="shared" si="56"/>
        <v>0</v>
      </c>
      <c r="AF78" s="85">
        <f>SUM(AF66:AF77)</f>
        <v>2712424</v>
      </c>
      <c r="AH78" s="84" t="s">
        <v>9</v>
      </c>
      <c r="AI78" s="85">
        <f>SUM(AI66:AI77)</f>
        <v>0</v>
      </c>
      <c r="AJ78" s="85">
        <f t="shared" ref="AJ78:AP78" si="57">SUM(AJ66:AJ77)</f>
        <v>0</v>
      </c>
      <c r="AK78" s="85">
        <f t="shared" si="57"/>
        <v>0</v>
      </c>
      <c r="AL78" s="85">
        <f t="shared" si="57"/>
        <v>0</v>
      </c>
      <c r="AM78" s="85">
        <f t="shared" si="57"/>
        <v>500</v>
      </c>
      <c r="AN78" s="85">
        <f t="shared" si="57"/>
        <v>0</v>
      </c>
      <c r="AO78" s="85">
        <f t="shared" si="57"/>
        <v>0</v>
      </c>
      <c r="AP78" s="85">
        <f t="shared" si="57"/>
        <v>0</v>
      </c>
      <c r="AQ78" s="85">
        <f>SUM(AQ66:AQ77)</f>
        <v>500</v>
      </c>
    </row>
    <row r="79" spans="1:43" ht="14.45" customHeight="1" x14ac:dyDescent="0.25">
      <c r="A79" s="86" t="s">
        <v>66</v>
      </c>
      <c r="B79" s="65">
        <f>B78/$J78</f>
        <v>5.6229474549683049E-3</v>
      </c>
      <c r="C79" s="65">
        <f t="shared" ref="C79:I79" si="58">C78/$J78</f>
        <v>0</v>
      </c>
      <c r="D79" s="65">
        <f t="shared" si="58"/>
        <v>0</v>
      </c>
      <c r="E79" s="65">
        <f t="shared" si="58"/>
        <v>0</v>
      </c>
      <c r="F79" s="65">
        <f t="shared" si="58"/>
        <v>0.91174248354050935</v>
      </c>
      <c r="G79" s="65">
        <f t="shared" si="58"/>
        <v>0</v>
      </c>
      <c r="H79" s="65">
        <f t="shared" si="58"/>
        <v>5.01477388376943E-2</v>
      </c>
      <c r="I79" s="65">
        <f t="shared" si="58"/>
        <v>3.2486830166828053E-2</v>
      </c>
      <c r="J79" s="65">
        <f>J78/$J78</f>
        <v>1</v>
      </c>
      <c r="L79" s="86" t="s">
        <v>66</v>
      </c>
      <c r="M79" s="65">
        <f t="shared" ref="M79:U79" si="59">M78/$U78</f>
        <v>1.9510938366422879E-3</v>
      </c>
      <c r="N79" s="65">
        <f t="shared" si="59"/>
        <v>6.4932784640509391E-3</v>
      </c>
      <c r="O79" s="65">
        <f t="shared" si="59"/>
        <v>0</v>
      </c>
      <c r="P79" s="65">
        <f t="shared" si="59"/>
        <v>0</v>
      </c>
      <c r="Q79" s="65">
        <f t="shared" si="59"/>
        <v>0.93130083690604959</v>
      </c>
      <c r="R79" s="65">
        <f t="shared" si="59"/>
        <v>0</v>
      </c>
      <c r="S79" s="65">
        <f t="shared" si="59"/>
        <v>4.1392933153717774E-2</v>
      </c>
      <c r="T79" s="65">
        <f t="shared" si="59"/>
        <v>1.8861857639539382E-2</v>
      </c>
      <c r="U79" s="65">
        <f t="shared" si="59"/>
        <v>1</v>
      </c>
      <c r="V79" s="87"/>
      <c r="W79" s="86" t="s">
        <v>66</v>
      </c>
      <c r="X79" s="65">
        <f t="shared" ref="X79:AF79" si="60">IFERROR(X78/$AF78,"-")</f>
        <v>0</v>
      </c>
      <c r="Y79" s="65">
        <f t="shared" si="60"/>
        <v>0</v>
      </c>
      <c r="Z79" s="65">
        <f t="shared" si="60"/>
        <v>0</v>
      </c>
      <c r="AA79" s="65">
        <f t="shared" si="60"/>
        <v>0</v>
      </c>
      <c r="AB79" s="65">
        <f t="shared" si="60"/>
        <v>1</v>
      </c>
      <c r="AC79" s="65">
        <f t="shared" si="60"/>
        <v>0</v>
      </c>
      <c r="AD79" s="65">
        <f t="shared" si="60"/>
        <v>0</v>
      </c>
      <c r="AE79" s="65">
        <f t="shared" si="60"/>
        <v>0</v>
      </c>
      <c r="AF79" s="65">
        <f t="shared" si="60"/>
        <v>1</v>
      </c>
      <c r="AH79" s="86" t="s">
        <v>66</v>
      </c>
      <c r="AI79" s="65">
        <f t="shared" ref="AI79:AQ79" si="61">AI78/$AQ78</f>
        <v>0</v>
      </c>
      <c r="AJ79" s="65">
        <f t="shared" si="61"/>
        <v>0</v>
      </c>
      <c r="AK79" s="65">
        <f t="shared" si="61"/>
        <v>0</v>
      </c>
      <c r="AL79" s="65">
        <f t="shared" si="61"/>
        <v>0</v>
      </c>
      <c r="AM79" s="65">
        <f t="shared" si="61"/>
        <v>1</v>
      </c>
      <c r="AN79" s="65">
        <f t="shared" si="61"/>
        <v>0</v>
      </c>
      <c r="AO79" s="65">
        <f t="shared" si="61"/>
        <v>0</v>
      </c>
      <c r="AP79" s="65">
        <f t="shared" si="61"/>
        <v>0</v>
      </c>
      <c r="AQ79" s="65">
        <f t="shared" si="61"/>
        <v>1</v>
      </c>
    </row>
    <row r="80" spans="1:43" ht="31.9" customHeight="1" x14ac:dyDescent="0.25">
      <c r="A80" s="86" t="s">
        <v>67</v>
      </c>
      <c r="B80" s="65">
        <f>IFERROR(B78/B$98,"-")</f>
        <v>1</v>
      </c>
      <c r="C80" s="65" t="str">
        <f t="shared" ref="C80:J80" si="62">IFERROR(C78/C$98,"-")</f>
        <v>-</v>
      </c>
      <c r="D80" s="65" t="str">
        <f t="shared" si="62"/>
        <v>-</v>
      </c>
      <c r="E80" s="65" t="str">
        <f t="shared" si="62"/>
        <v>-</v>
      </c>
      <c r="F80" s="65">
        <f t="shared" si="62"/>
        <v>0.96473876479755638</v>
      </c>
      <c r="G80" s="65" t="str">
        <f t="shared" si="62"/>
        <v>-</v>
      </c>
      <c r="H80" s="65">
        <f t="shared" si="62"/>
        <v>0.99219894273165066</v>
      </c>
      <c r="I80" s="65">
        <f t="shared" si="62"/>
        <v>0.97925799766176802</v>
      </c>
      <c r="J80" s="65">
        <f t="shared" si="62"/>
        <v>0.96673782363614535</v>
      </c>
      <c r="L80" s="86" t="s">
        <v>67</v>
      </c>
      <c r="M80" s="65">
        <f>IFERROR(M78/M$98,"-")</f>
        <v>1</v>
      </c>
      <c r="N80" s="65">
        <f t="shared" ref="N80:U80" si="63">IFERROR(N78/N$98,"-")</f>
        <v>1</v>
      </c>
      <c r="O80" s="65" t="str">
        <f t="shared" si="63"/>
        <v>-</v>
      </c>
      <c r="P80" s="65" t="str">
        <f t="shared" si="63"/>
        <v>-</v>
      </c>
      <c r="Q80" s="65">
        <f t="shared" si="63"/>
        <v>0.92919588401821052</v>
      </c>
      <c r="R80" s="65" t="str">
        <f t="shared" si="63"/>
        <v>-</v>
      </c>
      <c r="S80" s="65">
        <f t="shared" si="63"/>
        <v>0.99746810931730634</v>
      </c>
      <c r="T80" s="65">
        <f t="shared" si="63"/>
        <v>0.98203177580625201</v>
      </c>
      <c r="U80" s="65">
        <f t="shared" si="63"/>
        <v>0.9333454208726002</v>
      </c>
      <c r="V80" s="87"/>
      <c r="W80" s="86" t="s">
        <v>67</v>
      </c>
      <c r="X80" s="65" t="str">
        <f>IFERROR(X78/X$98,"-")</f>
        <v>-</v>
      </c>
      <c r="Y80" s="65" t="str">
        <f t="shared" ref="Y80:AF80" si="64">IFERROR(Y78/Y$98,"-")</f>
        <v>-</v>
      </c>
      <c r="Z80" s="65" t="str">
        <f t="shared" si="64"/>
        <v>-</v>
      </c>
      <c r="AA80" s="65" t="str">
        <f t="shared" si="64"/>
        <v>-</v>
      </c>
      <c r="AB80" s="65">
        <f t="shared" si="64"/>
        <v>0.94759686196035253</v>
      </c>
      <c r="AC80" s="65" t="str">
        <f t="shared" si="64"/>
        <v>-</v>
      </c>
      <c r="AD80" s="65" t="str">
        <f t="shared" si="64"/>
        <v>-</v>
      </c>
      <c r="AE80" s="65" t="str">
        <f t="shared" si="64"/>
        <v>-</v>
      </c>
      <c r="AF80" s="65">
        <f t="shared" si="64"/>
        <v>0.94759686196035253</v>
      </c>
      <c r="AH80" s="86" t="s">
        <v>67</v>
      </c>
      <c r="AI80" s="65" t="str">
        <f>IFERROR(AI78/AI$98,"-")</f>
        <v>-</v>
      </c>
      <c r="AJ80" s="65" t="str">
        <f t="shared" ref="AJ80:AQ80" si="65">IFERROR(AJ78/AJ$98,"-")</f>
        <v>-</v>
      </c>
      <c r="AK80" s="65" t="str">
        <f t="shared" si="65"/>
        <v>-</v>
      </c>
      <c r="AL80" s="65" t="str">
        <f t="shared" si="65"/>
        <v>-</v>
      </c>
      <c r="AM80" s="65">
        <f t="shared" si="65"/>
        <v>1</v>
      </c>
      <c r="AN80" s="65" t="str">
        <f t="shared" si="65"/>
        <v>-</v>
      </c>
      <c r="AO80" s="65" t="str">
        <f t="shared" si="65"/>
        <v>-</v>
      </c>
      <c r="AP80" s="65" t="str">
        <f t="shared" si="65"/>
        <v>-</v>
      </c>
      <c r="AQ80" s="65">
        <f t="shared" si="65"/>
        <v>1</v>
      </c>
    </row>
    <row r="81" spans="1:43" ht="14.45" customHeight="1" x14ac:dyDescent="0.25">
      <c r="A81" s="93"/>
      <c r="B81" s="93"/>
      <c r="C81" s="93"/>
      <c r="D81" s="93"/>
      <c r="E81" s="93"/>
      <c r="F81" s="93"/>
      <c r="G81" s="93"/>
      <c r="H81" s="93"/>
      <c r="I81" s="93"/>
      <c r="J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87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H81" s="93"/>
      <c r="AI81" s="93"/>
      <c r="AJ81" s="93"/>
      <c r="AK81" s="93"/>
      <c r="AL81" s="93"/>
      <c r="AM81" s="93"/>
      <c r="AN81" s="93"/>
      <c r="AO81" s="93"/>
      <c r="AP81" s="93"/>
      <c r="AQ81" s="93"/>
    </row>
    <row r="82" spans="1:43" s="94" customFormat="1" x14ac:dyDescent="0.25">
      <c r="A82" s="89"/>
      <c r="B82" s="87"/>
      <c r="C82" s="87"/>
      <c r="D82" s="87"/>
      <c r="E82" s="87"/>
      <c r="F82" s="87"/>
      <c r="G82" s="87"/>
      <c r="H82" s="87"/>
      <c r="I82" s="87"/>
      <c r="J82" s="87"/>
      <c r="K82" s="1"/>
      <c r="L82" s="89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9"/>
      <c r="X82" s="87"/>
      <c r="Y82" s="87"/>
      <c r="Z82" s="87"/>
      <c r="AA82" s="87"/>
      <c r="AB82" s="87"/>
      <c r="AC82" s="87"/>
      <c r="AD82" s="87"/>
      <c r="AE82" s="87"/>
      <c r="AF82" s="87"/>
      <c r="AG82" s="1"/>
      <c r="AH82" s="89"/>
      <c r="AI82" s="87"/>
      <c r="AJ82" s="87"/>
      <c r="AK82" s="87"/>
      <c r="AL82" s="87"/>
      <c r="AM82" s="87"/>
      <c r="AN82" s="87"/>
      <c r="AO82" s="87"/>
      <c r="AP82" s="87"/>
      <c r="AQ82" s="87"/>
    </row>
    <row r="83" spans="1:43" x14ac:dyDescent="0.25">
      <c r="A83" s="73" t="s">
        <v>23</v>
      </c>
      <c r="B83" s="73"/>
      <c r="C83" s="73"/>
      <c r="D83" s="73"/>
      <c r="E83" s="73"/>
      <c r="F83" s="73"/>
      <c r="G83" s="73"/>
      <c r="H83" s="73"/>
      <c r="I83" s="73"/>
      <c r="J83" s="73"/>
      <c r="L83" s="73" t="s">
        <v>23</v>
      </c>
      <c r="M83" s="73"/>
      <c r="N83" s="73"/>
      <c r="O83" s="73"/>
      <c r="P83" s="73"/>
      <c r="Q83" s="73"/>
      <c r="R83" s="73"/>
      <c r="S83" s="73"/>
      <c r="T83" s="73"/>
      <c r="U83" s="73"/>
      <c r="W83" s="73" t="s">
        <v>23</v>
      </c>
      <c r="X83" s="73"/>
      <c r="Y83" s="73"/>
      <c r="Z83" s="73"/>
      <c r="AA83" s="73"/>
      <c r="AB83" s="73"/>
      <c r="AC83" s="73"/>
      <c r="AD83" s="73"/>
      <c r="AE83" s="73"/>
      <c r="AF83" s="73"/>
      <c r="AH83" s="73" t="s">
        <v>23</v>
      </c>
      <c r="AI83" s="73"/>
      <c r="AJ83" s="73"/>
      <c r="AK83" s="73"/>
      <c r="AL83" s="73"/>
      <c r="AM83" s="73"/>
      <c r="AN83" s="73"/>
      <c r="AO83" s="73"/>
      <c r="AP83" s="73"/>
      <c r="AQ83" s="73"/>
    </row>
    <row r="84" spans="1:43" x14ac:dyDescent="0.25">
      <c r="A84" s="54" t="s">
        <v>38</v>
      </c>
      <c r="B84" s="74" t="s">
        <v>3</v>
      </c>
      <c r="C84" s="74"/>
      <c r="D84" s="75" t="s">
        <v>4</v>
      </c>
      <c r="E84" s="76" t="s">
        <v>5</v>
      </c>
      <c r="F84" s="77"/>
      <c r="G84" s="75" t="s">
        <v>7</v>
      </c>
      <c r="H84" s="74" t="s">
        <v>8</v>
      </c>
      <c r="I84" s="74"/>
      <c r="J84" s="54" t="s">
        <v>9</v>
      </c>
      <c r="L84" s="54" t="s">
        <v>38</v>
      </c>
      <c r="M84" s="74" t="s">
        <v>3</v>
      </c>
      <c r="N84" s="74"/>
      <c r="O84" s="75" t="s">
        <v>4</v>
      </c>
      <c r="P84" s="76" t="s">
        <v>5</v>
      </c>
      <c r="Q84" s="77"/>
      <c r="R84" s="75" t="s">
        <v>7</v>
      </c>
      <c r="S84" s="74" t="s">
        <v>8</v>
      </c>
      <c r="T84" s="74"/>
      <c r="U84" s="54" t="s">
        <v>9</v>
      </c>
      <c r="W84" s="54" t="s">
        <v>38</v>
      </c>
      <c r="X84" s="74" t="s">
        <v>3</v>
      </c>
      <c r="Y84" s="74"/>
      <c r="Z84" s="75" t="s">
        <v>4</v>
      </c>
      <c r="AA84" s="76" t="s">
        <v>5</v>
      </c>
      <c r="AB84" s="77"/>
      <c r="AC84" s="75" t="s">
        <v>7</v>
      </c>
      <c r="AD84" s="74" t="s">
        <v>8</v>
      </c>
      <c r="AE84" s="74"/>
      <c r="AF84" s="54" t="s">
        <v>9</v>
      </c>
      <c r="AH84" s="54" t="s">
        <v>38</v>
      </c>
      <c r="AI84" s="74" t="s">
        <v>3</v>
      </c>
      <c r="AJ84" s="74"/>
      <c r="AK84" s="75" t="s">
        <v>4</v>
      </c>
      <c r="AL84" s="76" t="s">
        <v>5</v>
      </c>
      <c r="AM84" s="77"/>
      <c r="AN84" s="75" t="s">
        <v>7</v>
      </c>
      <c r="AO84" s="74" t="s">
        <v>8</v>
      </c>
      <c r="AP84" s="74"/>
      <c r="AQ84" s="54" t="s">
        <v>9</v>
      </c>
    </row>
    <row r="85" spans="1:43" ht="28.9" customHeight="1" x14ac:dyDescent="0.25">
      <c r="A85" s="54" t="s">
        <v>65</v>
      </c>
      <c r="B85" s="79" t="s">
        <v>10</v>
      </c>
      <c r="C85" s="79" t="s">
        <v>11</v>
      </c>
      <c r="D85" s="79" t="s">
        <v>12</v>
      </c>
      <c r="E85" s="79" t="s">
        <v>13</v>
      </c>
      <c r="F85" s="79" t="s">
        <v>14</v>
      </c>
      <c r="G85" s="79" t="s">
        <v>16</v>
      </c>
      <c r="H85" s="79" t="s">
        <v>17</v>
      </c>
      <c r="I85" s="79" t="s">
        <v>18</v>
      </c>
      <c r="J85" s="54"/>
      <c r="L85" s="54" t="s">
        <v>65</v>
      </c>
      <c r="M85" s="79" t="s">
        <v>10</v>
      </c>
      <c r="N85" s="79" t="s">
        <v>11</v>
      </c>
      <c r="O85" s="79" t="s">
        <v>12</v>
      </c>
      <c r="P85" s="79" t="s">
        <v>13</v>
      </c>
      <c r="Q85" s="79" t="s">
        <v>14</v>
      </c>
      <c r="R85" s="79" t="s">
        <v>16</v>
      </c>
      <c r="S85" s="79" t="s">
        <v>17</v>
      </c>
      <c r="T85" s="79" t="s">
        <v>18</v>
      </c>
      <c r="U85" s="54"/>
      <c r="W85" s="54" t="s">
        <v>65</v>
      </c>
      <c r="X85" s="79" t="s">
        <v>10</v>
      </c>
      <c r="Y85" s="79" t="s">
        <v>11</v>
      </c>
      <c r="Z85" s="79" t="s">
        <v>12</v>
      </c>
      <c r="AA85" s="79" t="s">
        <v>13</v>
      </c>
      <c r="AB85" s="79" t="s">
        <v>14</v>
      </c>
      <c r="AC85" s="79" t="s">
        <v>16</v>
      </c>
      <c r="AD85" s="79" t="s">
        <v>17</v>
      </c>
      <c r="AE85" s="79" t="s">
        <v>18</v>
      </c>
      <c r="AF85" s="54"/>
      <c r="AH85" s="54" t="s">
        <v>65</v>
      </c>
      <c r="AI85" s="79" t="s">
        <v>10</v>
      </c>
      <c r="AJ85" s="79" t="s">
        <v>11</v>
      </c>
      <c r="AK85" s="79" t="s">
        <v>12</v>
      </c>
      <c r="AL85" s="79" t="s">
        <v>13</v>
      </c>
      <c r="AM85" s="79" t="s">
        <v>14</v>
      </c>
      <c r="AN85" s="79" t="s">
        <v>16</v>
      </c>
      <c r="AO85" s="79" t="s">
        <v>17</v>
      </c>
      <c r="AP85" s="79" t="s">
        <v>18</v>
      </c>
      <c r="AQ85" s="54"/>
    </row>
    <row r="86" spans="1:43" x14ac:dyDescent="0.25">
      <c r="A86" s="80" t="s">
        <v>39</v>
      </c>
      <c r="B86" s="81">
        <v>45000</v>
      </c>
      <c r="C86" s="81">
        <v>0</v>
      </c>
      <c r="D86" s="81">
        <v>0</v>
      </c>
      <c r="E86" s="81">
        <v>0</v>
      </c>
      <c r="F86" s="81">
        <v>81430396</v>
      </c>
      <c r="G86" s="81">
        <v>0</v>
      </c>
      <c r="H86" s="81">
        <v>2028422</v>
      </c>
      <c r="I86" s="81">
        <v>1489443</v>
      </c>
      <c r="J86" s="82">
        <f t="shared" ref="J86:J97" si="66">SUM(B86:I86)</f>
        <v>84993261</v>
      </c>
      <c r="L86" s="80" t="s">
        <v>39</v>
      </c>
      <c r="M86" s="81">
        <v>0</v>
      </c>
      <c r="N86" s="81">
        <v>0</v>
      </c>
      <c r="O86" s="81">
        <v>0</v>
      </c>
      <c r="P86" s="81">
        <v>0</v>
      </c>
      <c r="Q86" s="81">
        <v>1744024</v>
      </c>
      <c r="R86" s="81">
        <v>0</v>
      </c>
      <c r="S86" s="81">
        <v>0</v>
      </c>
      <c r="T86" s="81">
        <v>0</v>
      </c>
      <c r="U86" s="82">
        <f t="shared" ref="U86:U97" si="67">SUM(M86:T86)</f>
        <v>1744024</v>
      </c>
      <c r="V86" s="83"/>
      <c r="W86" s="80" t="s">
        <v>39</v>
      </c>
      <c r="X86" s="81">
        <v>0</v>
      </c>
      <c r="Y86" s="81">
        <v>0</v>
      </c>
      <c r="Z86" s="81">
        <v>0</v>
      </c>
      <c r="AA86" s="81">
        <v>0</v>
      </c>
      <c r="AB86" s="81">
        <v>0</v>
      </c>
      <c r="AC86" s="81">
        <v>0</v>
      </c>
      <c r="AD86" s="81">
        <v>0</v>
      </c>
      <c r="AE86" s="81">
        <v>0</v>
      </c>
      <c r="AF86" s="82">
        <f t="shared" ref="AF86:AF97" si="68">SUM(X86:AE86)</f>
        <v>0</v>
      </c>
      <c r="AH86" s="80" t="s">
        <v>39</v>
      </c>
      <c r="AI86" s="81">
        <v>0</v>
      </c>
      <c r="AJ86" s="81">
        <v>0</v>
      </c>
      <c r="AK86" s="81">
        <v>0</v>
      </c>
      <c r="AL86" s="81">
        <v>0</v>
      </c>
      <c r="AM86" s="81">
        <v>0</v>
      </c>
      <c r="AN86" s="81">
        <v>0</v>
      </c>
      <c r="AO86" s="81">
        <v>0</v>
      </c>
      <c r="AP86" s="81">
        <v>0</v>
      </c>
      <c r="AQ86" s="82">
        <f t="shared" ref="AQ86:AQ97" si="69">SUM(AI86:AP86)</f>
        <v>0</v>
      </c>
    </row>
    <row r="87" spans="1:43" x14ac:dyDescent="0.25">
      <c r="A87" s="80" t="s">
        <v>40</v>
      </c>
      <c r="B87" s="81">
        <v>170000</v>
      </c>
      <c r="C87" s="81">
        <v>0</v>
      </c>
      <c r="D87" s="81">
        <v>0</v>
      </c>
      <c r="E87" s="81">
        <v>0</v>
      </c>
      <c r="F87" s="81">
        <v>97532240</v>
      </c>
      <c r="G87" s="81">
        <v>0</v>
      </c>
      <c r="H87" s="81">
        <v>5265021</v>
      </c>
      <c r="I87" s="81">
        <v>3627357</v>
      </c>
      <c r="J87" s="82">
        <f t="shared" si="66"/>
        <v>106594618</v>
      </c>
      <c r="L87" s="80" t="s">
        <v>40</v>
      </c>
      <c r="M87" s="81">
        <v>0</v>
      </c>
      <c r="N87" s="81">
        <v>0</v>
      </c>
      <c r="O87" s="81">
        <v>0</v>
      </c>
      <c r="P87" s="81">
        <v>0</v>
      </c>
      <c r="Q87" s="81">
        <v>836888</v>
      </c>
      <c r="R87" s="81">
        <v>0</v>
      </c>
      <c r="S87" s="81">
        <v>0</v>
      </c>
      <c r="T87" s="81">
        <v>0</v>
      </c>
      <c r="U87" s="82">
        <f t="shared" si="67"/>
        <v>836888</v>
      </c>
      <c r="V87" s="83"/>
      <c r="W87" s="80" t="s">
        <v>40</v>
      </c>
      <c r="X87" s="81">
        <v>0</v>
      </c>
      <c r="Y87" s="81">
        <v>0</v>
      </c>
      <c r="Z87" s="81">
        <v>0</v>
      </c>
      <c r="AA87" s="81">
        <v>0</v>
      </c>
      <c r="AB87" s="81">
        <v>69502</v>
      </c>
      <c r="AC87" s="81">
        <v>0</v>
      </c>
      <c r="AD87" s="81">
        <v>0</v>
      </c>
      <c r="AE87" s="81">
        <v>0</v>
      </c>
      <c r="AF87" s="82">
        <f t="shared" si="68"/>
        <v>69502</v>
      </c>
      <c r="AH87" s="80" t="s">
        <v>40</v>
      </c>
      <c r="AI87" s="81">
        <v>0</v>
      </c>
      <c r="AJ87" s="81">
        <v>0</v>
      </c>
      <c r="AK87" s="81">
        <v>0</v>
      </c>
      <c r="AL87" s="81">
        <v>0</v>
      </c>
      <c r="AM87" s="81">
        <v>0</v>
      </c>
      <c r="AN87" s="81">
        <v>0</v>
      </c>
      <c r="AO87" s="81">
        <v>0</v>
      </c>
      <c r="AP87" s="81">
        <v>0</v>
      </c>
      <c r="AQ87" s="82">
        <f t="shared" si="69"/>
        <v>0</v>
      </c>
    </row>
    <row r="88" spans="1:43" x14ac:dyDescent="0.25">
      <c r="A88" s="80" t="s">
        <v>41</v>
      </c>
      <c r="B88" s="81">
        <v>1686420</v>
      </c>
      <c r="C88" s="81">
        <v>0</v>
      </c>
      <c r="D88" s="81">
        <v>0</v>
      </c>
      <c r="E88" s="81">
        <v>0</v>
      </c>
      <c r="F88" s="81">
        <v>72192746</v>
      </c>
      <c r="G88" s="81">
        <v>0</v>
      </c>
      <c r="H88" s="81">
        <v>6041901</v>
      </c>
      <c r="I88" s="81">
        <v>4078040</v>
      </c>
      <c r="J88" s="82">
        <f t="shared" si="66"/>
        <v>83999107</v>
      </c>
      <c r="L88" s="80" t="s">
        <v>41</v>
      </c>
      <c r="M88" s="81">
        <v>0</v>
      </c>
      <c r="N88" s="81">
        <v>0</v>
      </c>
      <c r="O88" s="81">
        <v>0</v>
      </c>
      <c r="P88" s="81">
        <v>0</v>
      </c>
      <c r="Q88" s="81">
        <v>3394766</v>
      </c>
      <c r="R88" s="81">
        <v>0</v>
      </c>
      <c r="S88" s="81">
        <v>0</v>
      </c>
      <c r="T88" s="81">
        <v>0</v>
      </c>
      <c r="U88" s="82">
        <f t="shared" si="67"/>
        <v>3394766</v>
      </c>
      <c r="V88" s="83"/>
      <c r="W88" s="80" t="s">
        <v>41</v>
      </c>
      <c r="X88" s="81">
        <v>0</v>
      </c>
      <c r="Y88" s="81">
        <v>0</v>
      </c>
      <c r="Z88" s="81">
        <v>0</v>
      </c>
      <c r="AA88" s="81">
        <v>0</v>
      </c>
      <c r="AB88" s="81">
        <v>203006</v>
      </c>
      <c r="AC88" s="81">
        <v>0</v>
      </c>
      <c r="AD88" s="81">
        <v>0</v>
      </c>
      <c r="AE88" s="81">
        <v>0</v>
      </c>
      <c r="AF88" s="82">
        <f t="shared" si="68"/>
        <v>203006</v>
      </c>
      <c r="AH88" s="80" t="s">
        <v>41</v>
      </c>
      <c r="AI88" s="81">
        <v>0</v>
      </c>
      <c r="AJ88" s="81">
        <v>0</v>
      </c>
      <c r="AK88" s="81">
        <v>0</v>
      </c>
      <c r="AL88" s="81">
        <v>0</v>
      </c>
      <c r="AM88" s="81">
        <v>0</v>
      </c>
      <c r="AN88" s="81">
        <v>0</v>
      </c>
      <c r="AO88" s="81">
        <v>0</v>
      </c>
      <c r="AP88" s="81">
        <v>0</v>
      </c>
      <c r="AQ88" s="82">
        <f t="shared" si="69"/>
        <v>0</v>
      </c>
    </row>
    <row r="89" spans="1:43" x14ac:dyDescent="0.25">
      <c r="A89" s="80" t="s">
        <v>42</v>
      </c>
      <c r="B89" s="81">
        <v>94900</v>
      </c>
      <c r="C89" s="81">
        <v>0</v>
      </c>
      <c r="D89" s="81">
        <v>0</v>
      </c>
      <c r="E89" s="81">
        <v>0</v>
      </c>
      <c r="F89" s="81">
        <v>69571349</v>
      </c>
      <c r="G89" s="81">
        <v>0</v>
      </c>
      <c r="H89" s="81">
        <v>3864671</v>
      </c>
      <c r="I89" s="81">
        <v>2583290</v>
      </c>
      <c r="J89" s="82">
        <f t="shared" si="66"/>
        <v>76114210</v>
      </c>
      <c r="L89" s="80" t="s">
        <v>42</v>
      </c>
      <c r="M89" s="81">
        <v>0</v>
      </c>
      <c r="N89" s="81">
        <v>0</v>
      </c>
      <c r="O89" s="81">
        <v>0</v>
      </c>
      <c r="P89" s="81">
        <v>0</v>
      </c>
      <c r="Q89" s="81">
        <v>5864704</v>
      </c>
      <c r="R89" s="81">
        <v>0</v>
      </c>
      <c r="S89" s="81">
        <v>0</v>
      </c>
      <c r="T89" s="81">
        <v>0</v>
      </c>
      <c r="U89" s="82">
        <f t="shared" si="67"/>
        <v>5864704</v>
      </c>
      <c r="V89" s="83"/>
      <c r="W89" s="80" t="s">
        <v>42</v>
      </c>
      <c r="X89" s="81">
        <v>0</v>
      </c>
      <c r="Y89" s="81">
        <v>0</v>
      </c>
      <c r="Z89" s="81">
        <v>0</v>
      </c>
      <c r="AA89" s="81">
        <v>0</v>
      </c>
      <c r="AB89" s="81">
        <v>430651</v>
      </c>
      <c r="AC89" s="81">
        <v>0</v>
      </c>
      <c r="AD89" s="81">
        <v>0</v>
      </c>
      <c r="AE89" s="81">
        <v>0</v>
      </c>
      <c r="AF89" s="82">
        <f t="shared" si="68"/>
        <v>430651</v>
      </c>
      <c r="AH89" s="80" t="s">
        <v>42</v>
      </c>
      <c r="AI89" s="81">
        <v>0</v>
      </c>
      <c r="AJ89" s="81">
        <v>0</v>
      </c>
      <c r="AK89" s="81">
        <v>0</v>
      </c>
      <c r="AL89" s="81">
        <v>0</v>
      </c>
      <c r="AM89" s="81">
        <v>0</v>
      </c>
      <c r="AN89" s="81">
        <v>0</v>
      </c>
      <c r="AO89" s="81">
        <v>0</v>
      </c>
      <c r="AP89" s="81">
        <v>0</v>
      </c>
      <c r="AQ89" s="82">
        <f t="shared" si="69"/>
        <v>0</v>
      </c>
    </row>
    <row r="90" spans="1:43" x14ac:dyDescent="0.25">
      <c r="A90" s="80" t="s">
        <v>43</v>
      </c>
      <c r="B90" s="81">
        <v>0</v>
      </c>
      <c r="C90" s="81">
        <v>0</v>
      </c>
      <c r="D90" s="81">
        <v>0</v>
      </c>
      <c r="E90" s="81">
        <v>0</v>
      </c>
      <c r="F90" s="81">
        <v>14801135</v>
      </c>
      <c r="G90" s="81">
        <v>0</v>
      </c>
      <c r="H90" s="81">
        <v>743963</v>
      </c>
      <c r="I90" s="81">
        <v>0</v>
      </c>
      <c r="J90" s="82">
        <f t="shared" si="66"/>
        <v>15545098</v>
      </c>
      <c r="L90" s="80" t="s">
        <v>43</v>
      </c>
      <c r="M90" s="81">
        <v>80700</v>
      </c>
      <c r="N90" s="81">
        <v>0</v>
      </c>
      <c r="O90" s="81">
        <v>0</v>
      </c>
      <c r="P90" s="81">
        <v>0</v>
      </c>
      <c r="Q90" s="81">
        <v>11266161</v>
      </c>
      <c r="R90" s="81">
        <v>0</v>
      </c>
      <c r="S90" s="81">
        <v>0</v>
      </c>
      <c r="T90" s="81">
        <v>0</v>
      </c>
      <c r="U90" s="82">
        <f t="shared" si="67"/>
        <v>11346861</v>
      </c>
      <c r="V90" s="83"/>
      <c r="W90" s="80" t="s">
        <v>43</v>
      </c>
      <c r="X90" s="81">
        <v>0</v>
      </c>
      <c r="Y90" s="81">
        <v>0</v>
      </c>
      <c r="Z90" s="81">
        <v>0</v>
      </c>
      <c r="AA90" s="81">
        <v>0</v>
      </c>
      <c r="AB90" s="81">
        <v>615781</v>
      </c>
      <c r="AC90" s="81">
        <v>0</v>
      </c>
      <c r="AD90" s="81">
        <v>0</v>
      </c>
      <c r="AE90" s="81">
        <v>0</v>
      </c>
      <c r="AF90" s="82">
        <f t="shared" si="68"/>
        <v>615781</v>
      </c>
      <c r="AH90" s="80" t="s">
        <v>43</v>
      </c>
      <c r="AI90" s="81">
        <v>0</v>
      </c>
      <c r="AJ90" s="81">
        <v>0</v>
      </c>
      <c r="AK90" s="81">
        <v>0</v>
      </c>
      <c r="AL90" s="81">
        <v>0</v>
      </c>
      <c r="AM90" s="81">
        <v>0</v>
      </c>
      <c r="AN90" s="81">
        <v>0</v>
      </c>
      <c r="AO90" s="81">
        <v>0</v>
      </c>
      <c r="AP90" s="81">
        <v>0</v>
      </c>
      <c r="AQ90" s="82">
        <f t="shared" si="69"/>
        <v>0</v>
      </c>
    </row>
    <row r="91" spans="1:43" x14ac:dyDescent="0.25">
      <c r="A91" s="80" t="s">
        <v>44</v>
      </c>
      <c r="B91" s="81">
        <v>0</v>
      </c>
      <c r="C91" s="81">
        <v>0</v>
      </c>
      <c r="D91" s="81">
        <v>0</v>
      </c>
      <c r="E91" s="81">
        <v>0</v>
      </c>
      <c r="F91" s="81">
        <v>0</v>
      </c>
      <c r="G91" s="81">
        <v>0</v>
      </c>
      <c r="H91" s="81">
        <v>0</v>
      </c>
      <c r="I91" s="81">
        <v>0</v>
      </c>
      <c r="J91" s="82">
        <f t="shared" si="66"/>
        <v>0</v>
      </c>
      <c r="L91" s="80" t="s">
        <v>44</v>
      </c>
      <c r="M91" s="81">
        <v>0</v>
      </c>
      <c r="N91" s="81">
        <v>0</v>
      </c>
      <c r="O91" s="81">
        <v>0</v>
      </c>
      <c r="P91" s="81">
        <v>0</v>
      </c>
      <c r="Q91" s="81">
        <v>10999335</v>
      </c>
      <c r="R91" s="81">
        <v>0</v>
      </c>
      <c r="S91" s="81">
        <v>62892</v>
      </c>
      <c r="T91" s="81">
        <v>0</v>
      </c>
      <c r="U91" s="82">
        <f t="shared" si="67"/>
        <v>11062227</v>
      </c>
      <c r="V91" s="83"/>
      <c r="W91" s="80" t="s">
        <v>44</v>
      </c>
      <c r="X91" s="81">
        <v>0</v>
      </c>
      <c r="Y91" s="81">
        <v>0</v>
      </c>
      <c r="Z91" s="81">
        <v>0</v>
      </c>
      <c r="AA91" s="81">
        <v>0</v>
      </c>
      <c r="AB91" s="81">
        <v>100000</v>
      </c>
      <c r="AC91" s="81">
        <v>0</v>
      </c>
      <c r="AD91" s="81">
        <v>0</v>
      </c>
      <c r="AE91" s="81">
        <v>0</v>
      </c>
      <c r="AF91" s="82">
        <f t="shared" si="68"/>
        <v>100000</v>
      </c>
      <c r="AH91" s="80" t="s">
        <v>44</v>
      </c>
      <c r="AI91" s="81">
        <v>0</v>
      </c>
      <c r="AJ91" s="81">
        <v>0</v>
      </c>
      <c r="AK91" s="81">
        <v>0</v>
      </c>
      <c r="AL91" s="81">
        <v>0</v>
      </c>
      <c r="AM91" s="81">
        <v>0</v>
      </c>
      <c r="AN91" s="81">
        <v>0</v>
      </c>
      <c r="AO91" s="81">
        <v>0</v>
      </c>
      <c r="AP91" s="81">
        <v>0</v>
      </c>
      <c r="AQ91" s="82">
        <f t="shared" si="69"/>
        <v>0</v>
      </c>
    </row>
    <row r="92" spans="1:43" x14ac:dyDescent="0.25">
      <c r="A92" s="80" t="s">
        <v>45</v>
      </c>
      <c r="B92" s="81">
        <v>0</v>
      </c>
      <c r="C92" s="81">
        <v>0</v>
      </c>
      <c r="D92" s="81">
        <v>0</v>
      </c>
      <c r="E92" s="81">
        <v>0</v>
      </c>
      <c r="F92" s="81">
        <v>0</v>
      </c>
      <c r="G92" s="81">
        <v>0</v>
      </c>
      <c r="H92" s="81">
        <v>0</v>
      </c>
      <c r="I92" s="81">
        <v>0</v>
      </c>
      <c r="J92" s="82">
        <f t="shared" si="66"/>
        <v>0</v>
      </c>
      <c r="L92" s="80" t="s">
        <v>45</v>
      </c>
      <c r="M92" s="81">
        <v>0</v>
      </c>
      <c r="N92" s="81">
        <v>1400000</v>
      </c>
      <c r="O92" s="81">
        <v>0</v>
      </c>
      <c r="P92" s="81">
        <v>0</v>
      </c>
      <c r="Q92" s="81">
        <v>14374002</v>
      </c>
      <c r="R92" s="81">
        <v>0</v>
      </c>
      <c r="S92" s="81">
        <v>20000</v>
      </c>
      <c r="T92" s="81">
        <v>0</v>
      </c>
      <c r="U92" s="82">
        <f t="shared" si="67"/>
        <v>15794002</v>
      </c>
      <c r="V92" s="83"/>
      <c r="W92" s="80" t="s">
        <v>45</v>
      </c>
      <c r="X92" s="81">
        <v>0</v>
      </c>
      <c r="Y92" s="81">
        <v>0</v>
      </c>
      <c r="Z92" s="81">
        <v>0</v>
      </c>
      <c r="AA92" s="81">
        <v>0</v>
      </c>
      <c r="AB92" s="81">
        <v>82000</v>
      </c>
      <c r="AC92" s="81">
        <v>0</v>
      </c>
      <c r="AD92" s="81">
        <v>0</v>
      </c>
      <c r="AE92" s="81">
        <v>0</v>
      </c>
      <c r="AF92" s="82">
        <f t="shared" si="68"/>
        <v>82000</v>
      </c>
      <c r="AH92" s="80" t="s">
        <v>45</v>
      </c>
      <c r="AI92" s="81">
        <v>0</v>
      </c>
      <c r="AJ92" s="81">
        <v>0</v>
      </c>
      <c r="AK92" s="81">
        <v>0</v>
      </c>
      <c r="AL92" s="81">
        <v>0</v>
      </c>
      <c r="AM92" s="81">
        <v>0</v>
      </c>
      <c r="AN92" s="81">
        <v>0</v>
      </c>
      <c r="AO92" s="81">
        <v>0</v>
      </c>
      <c r="AP92" s="81">
        <v>0</v>
      </c>
      <c r="AQ92" s="82">
        <f t="shared" si="69"/>
        <v>0</v>
      </c>
    </row>
    <row r="93" spans="1:43" x14ac:dyDescent="0.25">
      <c r="A93" s="80" t="s">
        <v>46</v>
      </c>
      <c r="B93" s="81">
        <v>0</v>
      </c>
      <c r="C93" s="81">
        <v>0</v>
      </c>
      <c r="D93" s="81">
        <v>0</v>
      </c>
      <c r="E93" s="81">
        <v>0</v>
      </c>
      <c r="F93" s="81">
        <v>0</v>
      </c>
      <c r="G93" s="81">
        <v>0</v>
      </c>
      <c r="H93" s="81">
        <v>0</v>
      </c>
      <c r="I93" s="81">
        <v>0</v>
      </c>
      <c r="J93" s="82">
        <f t="shared" si="66"/>
        <v>0</v>
      </c>
      <c r="L93" s="80" t="s">
        <v>46</v>
      </c>
      <c r="M93" s="81">
        <v>0</v>
      </c>
      <c r="N93" s="81">
        <v>0</v>
      </c>
      <c r="O93" s="81">
        <v>0</v>
      </c>
      <c r="P93" s="81">
        <v>0</v>
      </c>
      <c r="Q93" s="81">
        <v>27480876</v>
      </c>
      <c r="R93" s="81">
        <v>0</v>
      </c>
      <c r="S93" s="81">
        <v>299455</v>
      </c>
      <c r="T93" s="81">
        <v>223334</v>
      </c>
      <c r="U93" s="82">
        <f t="shared" si="67"/>
        <v>28003665</v>
      </c>
      <c r="V93" s="83"/>
      <c r="W93" s="80" t="s">
        <v>46</v>
      </c>
      <c r="X93" s="81">
        <v>0</v>
      </c>
      <c r="Y93" s="81">
        <v>0</v>
      </c>
      <c r="Z93" s="81">
        <v>0</v>
      </c>
      <c r="AA93" s="81">
        <v>0</v>
      </c>
      <c r="AB93" s="81">
        <v>181534</v>
      </c>
      <c r="AC93" s="81">
        <v>0</v>
      </c>
      <c r="AD93" s="81">
        <v>0</v>
      </c>
      <c r="AE93" s="81">
        <v>0</v>
      </c>
      <c r="AF93" s="82">
        <f t="shared" si="68"/>
        <v>181534</v>
      </c>
      <c r="AH93" s="80" t="s">
        <v>46</v>
      </c>
      <c r="AI93" s="81">
        <v>0</v>
      </c>
      <c r="AJ93" s="81">
        <v>0</v>
      </c>
      <c r="AK93" s="81">
        <v>0</v>
      </c>
      <c r="AL93" s="81">
        <v>0</v>
      </c>
      <c r="AM93" s="81">
        <v>0</v>
      </c>
      <c r="AN93" s="81">
        <v>0</v>
      </c>
      <c r="AO93" s="81">
        <v>0</v>
      </c>
      <c r="AP93" s="81">
        <v>0</v>
      </c>
      <c r="AQ93" s="82">
        <f t="shared" si="69"/>
        <v>0</v>
      </c>
    </row>
    <row r="94" spans="1:43" x14ac:dyDescent="0.25">
      <c r="A94" s="80" t="s">
        <v>47</v>
      </c>
      <c r="B94" s="81">
        <v>0</v>
      </c>
      <c r="C94" s="81">
        <v>0</v>
      </c>
      <c r="D94" s="81">
        <v>0</v>
      </c>
      <c r="E94" s="81">
        <v>0</v>
      </c>
      <c r="F94" s="81">
        <v>0</v>
      </c>
      <c r="G94" s="81">
        <v>0</v>
      </c>
      <c r="H94" s="81">
        <v>0</v>
      </c>
      <c r="I94" s="81">
        <v>0</v>
      </c>
      <c r="J94" s="82">
        <f t="shared" si="66"/>
        <v>0</v>
      </c>
      <c r="L94" s="80" t="s">
        <v>47</v>
      </c>
      <c r="M94" s="81">
        <v>0</v>
      </c>
      <c r="N94" s="81">
        <v>0</v>
      </c>
      <c r="O94" s="81">
        <v>0</v>
      </c>
      <c r="P94" s="81">
        <v>0</v>
      </c>
      <c r="Q94" s="81">
        <v>20206338</v>
      </c>
      <c r="R94" s="81">
        <v>0</v>
      </c>
      <c r="S94" s="81">
        <v>1122426</v>
      </c>
      <c r="T94" s="81">
        <v>508517</v>
      </c>
      <c r="U94" s="82">
        <f t="shared" si="67"/>
        <v>21837281</v>
      </c>
      <c r="V94" s="83"/>
      <c r="W94" s="80" t="s">
        <v>47</v>
      </c>
      <c r="X94" s="81">
        <v>0</v>
      </c>
      <c r="Y94" s="81">
        <v>0</v>
      </c>
      <c r="Z94" s="81">
        <v>0</v>
      </c>
      <c r="AA94" s="81">
        <v>0</v>
      </c>
      <c r="AB94" s="81">
        <v>0</v>
      </c>
      <c r="AC94" s="81">
        <v>0</v>
      </c>
      <c r="AD94" s="81">
        <v>0</v>
      </c>
      <c r="AE94" s="81">
        <v>0</v>
      </c>
      <c r="AF94" s="82">
        <f t="shared" si="68"/>
        <v>0</v>
      </c>
      <c r="AH94" s="80" t="s">
        <v>47</v>
      </c>
      <c r="AI94" s="81">
        <v>0</v>
      </c>
      <c r="AJ94" s="81">
        <v>0</v>
      </c>
      <c r="AK94" s="81">
        <v>0</v>
      </c>
      <c r="AL94" s="81">
        <v>0</v>
      </c>
      <c r="AM94" s="81">
        <v>0</v>
      </c>
      <c r="AN94" s="81">
        <v>0</v>
      </c>
      <c r="AO94" s="81">
        <v>0</v>
      </c>
      <c r="AP94" s="81">
        <v>0</v>
      </c>
      <c r="AQ94" s="82">
        <f t="shared" si="69"/>
        <v>0</v>
      </c>
    </row>
    <row r="95" spans="1:43" x14ac:dyDescent="0.25">
      <c r="A95" s="80" t="s">
        <v>48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2">
        <f t="shared" si="66"/>
        <v>0</v>
      </c>
      <c r="L95" s="80" t="s">
        <v>48</v>
      </c>
      <c r="M95" s="81">
        <v>110000</v>
      </c>
      <c r="N95" s="81">
        <v>0</v>
      </c>
      <c r="O95" s="81">
        <v>0</v>
      </c>
      <c r="P95" s="81">
        <v>0</v>
      </c>
      <c r="Q95" s="81">
        <v>39443634</v>
      </c>
      <c r="R95" s="81">
        <v>0</v>
      </c>
      <c r="S95" s="81">
        <v>1222994</v>
      </c>
      <c r="T95" s="81">
        <v>1039392</v>
      </c>
      <c r="U95" s="82">
        <f t="shared" si="67"/>
        <v>41816020</v>
      </c>
      <c r="V95" s="83"/>
      <c r="W95" s="80" t="s">
        <v>48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2">
        <f t="shared" si="68"/>
        <v>0</v>
      </c>
      <c r="AH95" s="80" t="s">
        <v>48</v>
      </c>
      <c r="AI95" s="81">
        <v>0</v>
      </c>
      <c r="AJ95" s="81">
        <v>0</v>
      </c>
      <c r="AK95" s="81">
        <v>0</v>
      </c>
      <c r="AL95" s="81">
        <v>0</v>
      </c>
      <c r="AM95" s="81">
        <v>0</v>
      </c>
      <c r="AN95" s="81">
        <v>0</v>
      </c>
      <c r="AO95" s="81">
        <v>0</v>
      </c>
      <c r="AP95" s="81">
        <v>0</v>
      </c>
      <c r="AQ95" s="82">
        <f t="shared" si="69"/>
        <v>0</v>
      </c>
    </row>
    <row r="96" spans="1:43" x14ac:dyDescent="0.25">
      <c r="A96" s="80" t="s">
        <v>49</v>
      </c>
      <c r="B96" s="81">
        <v>0</v>
      </c>
      <c r="C96" s="81">
        <v>0</v>
      </c>
      <c r="D96" s="81">
        <v>0</v>
      </c>
      <c r="E96" s="81">
        <v>0</v>
      </c>
      <c r="F96" s="81">
        <v>0</v>
      </c>
      <c r="G96" s="81">
        <v>0</v>
      </c>
      <c r="H96" s="81">
        <v>0</v>
      </c>
      <c r="I96" s="81">
        <v>0</v>
      </c>
      <c r="J96" s="82">
        <f t="shared" si="66"/>
        <v>0</v>
      </c>
      <c r="L96" s="80" t="s">
        <v>49</v>
      </c>
      <c r="M96" s="81">
        <v>16500</v>
      </c>
      <c r="N96" s="81">
        <v>124000</v>
      </c>
      <c r="O96" s="81">
        <v>0</v>
      </c>
      <c r="P96" s="81">
        <v>0</v>
      </c>
      <c r="Q96" s="81">
        <v>46003143</v>
      </c>
      <c r="R96" s="81">
        <v>0</v>
      </c>
      <c r="S96" s="81">
        <v>1540554</v>
      </c>
      <c r="T96" s="81">
        <v>1201271</v>
      </c>
      <c r="U96" s="82">
        <f t="shared" si="67"/>
        <v>48885468</v>
      </c>
      <c r="V96" s="83"/>
      <c r="W96" s="80" t="s">
        <v>49</v>
      </c>
      <c r="X96" s="81">
        <v>0</v>
      </c>
      <c r="Y96" s="81">
        <v>0</v>
      </c>
      <c r="Z96" s="81">
        <v>0</v>
      </c>
      <c r="AA96" s="81">
        <v>0</v>
      </c>
      <c r="AB96" s="81">
        <v>530723</v>
      </c>
      <c r="AC96" s="81">
        <v>0</v>
      </c>
      <c r="AD96" s="81">
        <v>0</v>
      </c>
      <c r="AE96" s="81">
        <v>0</v>
      </c>
      <c r="AF96" s="82">
        <f t="shared" si="68"/>
        <v>530723</v>
      </c>
      <c r="AH96" s="80" t="s">
        <v>49</v>
      </c>
      <c r="AI96" s="81">
        <v>0</v>
      </c>
      <c r="AJ96" s="81">
        <v>0</v>
      </c>
      <c r="AK96" s="81">
        <v>0</v>
      </c>
      <c r="AL96" s="81">
        <v>0</v>
      </c>
      <c r="AM96" s="81">
        <v>500</v>
      </c>
      <c r="AN96" s="81">
        <v>0</v>
      </c>
      <c r="AO96" s="81">
        <v>0</v>
      </c>
      <c r="AP96" s="81">
        <v>0</v>
      </c>
      <c r="AQ96" s="82">
        <f t="shared" si="69"/>
        <v>500</v>
      </c>
    </row>
    <row r="97" spans="1:43" x14ac:dyDescent="0.25">
      <c r="A97" s="80" t="s">
        <v>50</v>
      </c>
      <c r="B97" s="81">
        <v>0</v>
      </c>
      <c r="C97" s="81">
        <v>0</v>
      </c>
      <c r="D97" s="81">
        <v>0</v>
      </c>
      <c r="E97" s="81">
        <v>0</v>
      </c>
      <c r="F97" s="81">
        <v>0</v>
      </c>
      <c r="G97" s="81">
        <v>0</v>
      </c>
      <c r="H97" s="81">
        <v>0</v>
      </c>
      <c r="I97" s="81">
        <v>0</v>
      </c>
      <c r="J97" s="82">
        <f t="shared" si="66"/>
        <v>0</v>
      </c>
      <c r="L97" s="80" t="s">
        <v>50</v>
      </c>
      <c r="M97" s="81">
        <v>250730</v>
      </c>
      <c r="N97" s="81">
        <v>0</v>
      </c>
      <c r="O97" s="81">
        <v>0</v>
      </c>
      <c r="P97" s="81">
        <v>0</v>
      </c>
      <c r="Q97" s="81">
        <v>53622058</v>
      </c>
      <c r="R97" s="81">
        <v>0</v>
      </c>
      <c r="S97" s="81">
        <v>5471436</v>
      </c>
      <c r="T97" s="81">
        <v>1535444</v>
      </c>
      <c r="U97" s="82">
        <f t="shared" si="67"/>
        <v>60879668</v>
      </c>
      <c r="V97" s="83"/>
      <c r="W97" s="80" t="s">
        <v>50</v>
      </c>
      <c r="X97" s="81">
        <v>0</v>
      </c>
      <c r="Y97" s="81">
        <v>0</v>
      </c>
      <c r="Z97" s="81">
        <v>0</v>
      </c>
      <c r="AA97" s="81">
        <v>0</v>
      </c>
      <c r="AB97" s="81">
        <v>649227</v>
      </c>
      <c r="AC97" s="81">
        <v>0</v>
      </c>
      <c r="AD97" s="81">
        <v>0</v>
      </c>
      <c r="AE97" s="81">
        <v>0</v>
      </c>
      <c r="AF97" s="82">
        <f t="shared" si="68"/>
        <v>649227</v>
      </c>
      <c r="AH97" s="80" t="s">
        <v>50</v>
      </c>
      <c r="AI97" s="81">
        <v>0</v>
      </c>
      <c r="AJ97" s="81">
        <v>0</v>
      </c>
      <c r="AK97" s="81">
        <v>0</v>
      </c>
      <c r="AL97" s="81">
        <v>0</v>
      </c>
      <c r="AM97" s="81">
        <v>0</v>
      </c>
      <c r="AN97" s="81">
        <v>0</v>
      </c>
      <c r="AO97" s="81">
        <v>0</v>
      </c>
      <c r="AP97" s="81">
        <v>0</v>
      </c>
      <c r="AQ97" s="82">
        <f t="shared" si="69"/>
        <v>0</v>
      </c>
    </row>
    <row r="98" spans="1:43" x14ac:dyDescent="0.25">
      <c r="A98" s="84" t="s">
        <v>9</v>
      </c>
      <c r="B98" s="85">
        <f>SUM(B86:B97)</f>
        <v>1996320</v>
      </c>
      <c r="C98" s="85">
        <f t="shared" ref="C98:I98" si="70">SUM(C86:C97)</f>
        <v>0</v>
      </c>
      <c r="D98" s="85">
        <f t="shared" si="70"/>
        <v>0</v>
      </c>
      <c r="E98" s="85">
        <f t="shared" si="70"/>
        <v>0</v>
      </c>
      <c r="F98" s="85">
        <f t="shared" si="70"/>
        <v>335527866</v>
      </c>
      <c r="G98" s="85">
        <f t="shared" si="70"/>
        <v>0</v>
      </c>
      <c r="H98" s="85">
        <f t="shared" si="70"/>
        <v>17943978</v>
      </c>
      <c r="I98" s="85">
        <f t="shared" si="70"/>
        <v>11778130</v>
      </c>
      <c r="J98" s="82">
        <f>SUM(J86:J97)</f>
        <v>367246294</v>
      </c>
      <c r="L98" s="84" t="s">
        <v>9</v>
      </c>
      <c r="M98" s="85">
        <f>SUM(M86:M97)</f>
        <v>457930</v>
      </c>
      <c r="N98" s="85">
        <f t="shared" ref="N98:T98" si="71">SUM(N86:N97)</f>
        <v>1524000</v>
      </c>
      <c r="O98" s="85">
        <f t="shared" si="71"/>
        <v>0</v>
      </c>
      <c r="P98" s="85">
        <f t="shared" si="71"/>
        <v>0</v>
      </c>
      <c r="Q98" s="85">
        <f t="shared" si="71"/>
        <v>235235929</v>
      </c>
      <c r="R98" s="85">
        <f t="shared" si="71"/>
        <v>0</v>
      </c>
      <c r="S98" s="85">
        <f t="shared" si="71"/>
        <v>9739757</v>
      </c>
      <c r="T98" s="85">
        <f t="shared" si="71"/>
        <v>4507958</v>
      </c>
      <c r="U98" s="82">
        <f>SUM(U86:U97)</f>
        <v>251465574</v>
      </c>
      <c r="V98" s="83"/>
      <c r="W98" s="84" t="s">
        <v>9</v>
      </c>
      <c r="X98" s="85">
        <f>SUM(X86:X97)</f>
        <v>0</v>
      </c>
      <c r="Y98" s="85">
        <f t="shared" ref="Y98:AE98" si="72">SUM(Y86:Y97)</f>
        <v>0</v>
      </c>
      <c r="Z98" s="85">
        <f t="shared" si="72"/>
        <v>0</v>
      </c>
      <c r="AA98" s="85">
        <f t="shared" si="72"/>
        <v>0</v>
      </c>
      <c r="AB98" s="85">
        <f t="shared" si="72"/>
        <v>2862424</v>
      </c>
      <c r="AC98" s="85">
        <f t="shared" si="72"/>
        <v>0</v>
      </c>
      <c r="AD98" s="85">
        <f t="shared" si="72"/>
        <v>0</v>
      </c>
      <c r="AE98" s="85">
        <f t="shared" si="72"/>
        <v>0</v>
      </c>
      <c r="AF98" s="82">
        <f>SUM(AF86:AF97)</f>
        <v>2862424</v>
      </c>
      <c r="AH98" s="84" t="s">
        <v>9</v>
      </c>
      <c r="AI98" s="85">
        <f>SUM(AI86:AI97)</f>
        <v>0</v>
      </c>
      <c r="AJ98" s="85">
        <f>SUM(AJ86:AJ97)</f>
        <v>0</v>
      </c>
      <c r="AK98" s="85">
        <f t="shared" ref="AK98:AP98" si="73">SUM(AK86:AK97)</f>
        <v>0</v>
      </c>
      <c r="AL98" s="85">
        <f t="shared" si="73"/>
        <v>0</v>
      </c>
      <c r="AM98" s="85">
        <f t="shared" si="73"/>
        <v>500</v>
      </c>
      <c r="AN98" s="85">
        <f t="shared" si="73"/>
        <v>0</v>
      </c>
      <c r="AO98" s="85">
        <f t="shared" si="73"/>
        <v>0</v>
      </c>
      <c r="AP98" s="85">
        <f t="shared" si="73"/>
        <v>0</v>
      </c>
      <c r="AQ98" s="82">
        <f>SUM(AQ86:AQ97)</f>
        <v>500</v>
      </c>
    </row>
    <row r="99" spans="1:43" ht="17.45" customHeight="1" x14ac:dyDescent="0.25">
      <c r="A99" s="86" t="s">
        <v>68</v>
      </c>
      <c r="B99" s="65">
        <f>B98/$J98</f>
        <v>5.4359159850364616E-3</v>
      </c>
      <c r="C99" s="65">
        <f t="shared" ref="C99:J99" si="74">C98/$J98</f>
        <v>0</v>
      </c>
      <c r="D99" s="65">
        <f t="shared" si="74"/>
        <v>0</v>
      </c>
      <c r="E99" s="65">
        <f t="shared" si="74"/>
        <v>0</v>
      </c>
      <c r="F99" s="65">
        <f t="shared" si="74"/>
        <v>0.91363172748585997</v>
      </c>
      <c r="G99" s="65">
        <f t="shared" si="74"/>
        <v>0</v>
      </c>
      <c r="H99" s="65">
        <f t="shared" si="74"/>
        <v>4.8860882446372628E-2</v>
      </c>
      <c r="I99" s="65">
        <f t="shared" si="74"/>
        <v>3.2071474082730977E-2</v>
      </c>
      <c r="J99" s="65">
        <f t="shared" si="74"/>
        <v>1</v>
      </c>
      <c r="L99" s="86" t="s">
        <v>68</v>
      </c>
      <c r="M99" s="65">
        <f t="shared" ref="M99:U99" si="75">M98/$U98</f>
        <v>1.8210444981228324E-3</v>
      </c>
      <c r="N99" s="65">
        <f t="shared" si="75"/>
        <v>6.0604717208726155E-3</v>
      </c>
      <c r="O99" s="65">
        <f t="shared" si="75"/>
        <v>0</v>
      </c>
      <c r="P99" s="65">
        <f t="shared" si="75"/>
        <v>0</v>
      </c>
      <c r="Q99" s="65">
        <f t="shared" si="75"/>
        <v>0.93545977390925095</v>
      </c>
      <c r="R99" s="65">
        <f t="shared" si="75"/>
        <v>0</v>
      </c>
      <c r="S99" s="65">
        <f t="shared" si="75"/>
        <v>3.8731969728786814E-2</v>
      </c>
      <c r="T99" s="65">
        <f t="shared" si="75"/>
        <v>1.7926740142966847E-2</v>
      </c>
      <c r="U99" s="65">
        <f t="shared" si="75"/>
        <v>1</v>
      </c>
      <c r="V99" s="87"/>
      <c r="W99" s="86" t="s">
        <v>68</v>
      </c>
      <c r="X99" s="65">
        <f t="shared" ref="X99:AF99" si="76">X98/$AF98</f>
        <v>0</v>
      </c>
      <c r="Y99" s="65">
        <f t="shared" si="76"/>
        <v>0</v>
      </c>
      <c r="Z99" s="65">
        <f t="shared" si="76"/>
        <v>0</v>
      </c>
      <c r="AA99" s="65">
        <f t="shared" si="76"/>
        <v>0</v>
      </c>
      <c r="AB99" s="65">
        <f t="shared" si="76"/>
        <v>1</v>
      </c>
      <c r="AC99" s="65">
        <f t="shared" si="76"/>
        <v>0</v>
      </c>
      <c r="AD99" s="65">
        <f t="shared" si="76"/>
        <v>0</v>
      </c>
      <c r="AE99" s="65">
        <f t="shared" si="76"/>
        <v>0</v>
      </c>
      <c r="AF99" s="65">
        <f t="shared" si="76"/>
        <v>1</v>
      </c>
      <c r="AH99" s="86" t="s">
        <v>68</v>
      </c>
      <c r="AI99" s="65">
        <f t="shared" ref="AI99:AQ99" si="77">AI98/$AQ98</f>
        <v>0</v>
      </c>
      <c r="AJ99" s="65">
        <f t="shared" si="77"/>
        <v>0</v>
      </c>
      <c r="AK99" s="65">
        <f t="shared" si="77"/>
        <v>0</v>
      </c>
      <c r="AL99" s="65">
        <f t="shared" si="77"/>
        <v>0</v>
      </c>
      <c r="AM99" s="65">
        <f t="shared" si="77"/>
        <v>1</v>
      </c>
      <c r="AN99" s="65">
        <f t="shared" si="77"/>
        <v>0</v>
      </c>
      <c r="AO99" s="65">
        <f t="shared" si="77"/>
        <v>0</v>
      </c>
      <c r="AP99" s="65">
        <f t="shared" si="77"/>
        <v>0</v>
      </c>
      <c r="AQ99" s="65">
        <f t="shared" si="77"/>
        <v>1</v>
      </c>
    </row>
    <row r="100" spans="1:43" x14ac:dyDescent="0.25">
      <c r="J100" s="95"/>
      <c r="U100" s="95"/>
      <c r="AF100" s="95"/>
      <c r="AQ100" s="95"/>
    </row>
  </sheetData>
  <mergeCells count="128">
    <mergeCell ref="AO84:AP84"/>
    <mergeCell ref="AQ84:AQ85"/>
    <mergeCell ref="AA84:AB84"/>
    <mergeCell ref="AD84:AE84"/>
    <mergeCell ref="AF84:AF85"/>
    <mergeCell ref="AH84:AH85"/>
    <mergeCell ref="AI84:AJ84"/>
    <mergeCell ref="AL84:AM84"/>
    <mergeCell ref="M84:N84"/>
    <mergeCell ref="P84:Q84"/>
    <mergeCell ref="S84:T84"/>
    <mergeCell ref="U84:U85"/>
    <mergeCell ref="W84:W85"/>
    <mergeCell ref="X84:Y84"/>
    <mergeCell ref="A83:J83"/>
    <mergeCell ref="L83:U83"/>
    <mergeCell ref="W83:AF83"/>
    <mergeCell ref="AH83:AQ83"/>
    <mergeCell ref="A84:A85"/>
    <mergeCell ref="B84:C84"/>
    <mergeCell ref="E84:F84"/>
    <mergeCell ref="H84:I84"/>
    <mergeCell ref="J84:J85"/>
    <mergeCell ref="L84:L85"/>
    <mergeCell ref="AO64:AP64"/>
    <mergeCell ref="AQ64:AQ65"/>
    <mergeCell ref="A81:J81"/>
    <mergeCell ref="L81:U81"/>
    <mergeCell ref="W81:AF81"/>
    <mergeCell ref="AH81:AQ81"/>
    <mergeCell ref="AA64:AB64"/>
    <mergeCell ref="AD64:AE64"/>
    <mergeCell ref="AF64:AF65"/>
    <mergeCell ref="AH64:AH65"/>
    <mergeCell ref="AI64:AJ64"/>
    <mergeCell ref="AL64:AM64"/>
    <mergeCell ref="M64:N64"/>
    <mergeCell ref="P64:Q64"/>
    <mergeCell ref="S64:T64"/>
    <mergeCell ref="U64:U65"/>
    <mergeCell ref="W64:W65"/>
    <mergeCell ref="X64:Y64"/>
    <mergeCell ref="A64:A65"/>
    <mergeCell ref="B64:C64"/>
    <mergeCell ref="E64:F64"/>
    <mergeCell ref="H64:I64"/>
    <mergeCell ref="J64:J65"/>
    <mergeCell ref="L64:L65"/>
    <mergeCell ref="AO44:AP44"/>
    <mergeCell ref="AQ44:AQ45"/>
    <mergeCell ref="A63:J63"/>
    <mergeCell ref="L63:U63"/>
    <mergeCell ref="W63:AF63"/>
    <mergeCell ref="AH63:AQ63"/>
    <mergeCell ref="AA44:AB44"/>
    <mergeCell ref="AD44:AE44"/>
    <mergeCell ref="AF44:AF45"/>
    <mergeCell ref="AH44:AH45"/>
    <mergeCell ref="AI44:AJ44"/>
    <mergeCell ref="AL44:AM44"/>
    <mergeCell ref="M44:N44"/>
    <mergeCell ref="P44:Q44"/>
    <mergeCell ref="S44:T44"/>
    <mergeCell ref="U44:U45"/>
    <mergeCell ref="W44:W45"/>
    <mergeCell ref="X44:Y44"/>
    <mergeCell ref="A44:A45"/>
    <mergeCell ref="B44:C44"/>
    <mergeCell ref="E44:F44"/>
    <mergeCell ref="H44:I44"/>
    <mergeCell ref="J44:J45"/>
    <mergeCell ref="L44:L45"/>
    <mergeCell ref="AO24:AP24"/>
    <mergeCell ref="AQ24:AQ25"/>
    <mergeCell ref="A43:J43"/>
    <mergeCell ref="L43:U43"/>
    <mergeCell ref="W43:AF43"/>
    <mergeCell ref="AH43:AQ43"/>
    <mergeCell ref="AA24:AB24"/>
    <mergeCell ref="AD24:AE24"/>
    <mergeCell ref="AF24:AF25"/>
    <mergeCell ref="AH24:AH25"/>
    <mergeCell ref="AI24:AJ24"/>
    <mergeCell ref="AL24:AM24"/>
    <mergeCell ref="M24:N24"/>
    <mergeCell ref="P24:Q24"/>
    <mergeCell ref="S24:T24"/>
    <mergeCell ref="U24:U25"/>
    <mergeCell ref="W24:W25"/>
    <mergeCell ref="X24:Y24"/>
    <mergeCell ref="A24:A25"/>
    <mergeCell ref="B24:C24"/>
    <mergeCell ref="E24:F24"/>
    <mergeCell ref="H24:I24"/>
    <mergeCell ref="J24:J25"/>
    <mergeCell ref="L24:L25"/>
    <mergeCell ref="AO4:AP4"/>
    <mergeCell ref="AQ4:AQ5"/>
    <mergeCell ref="A23:J23"/>
    <mergeCell ref="L23:U23"/>
    <mergeCell ref="W23:AF23"/>
    <mergeCell ref="AH23:AQ23"/>
    <mergeCell ref="AA4:AB4"/>
    <mergeCell ref="AD4:AE4"/>
    <mergeCell ref="AF4:AF5"/>
    <mergeCell ref="AH4:AH5"/>
    <mergeCell ref="AI4:AJ4"/>
    <mergeCell ref="AL4:AM4"/>
    <mergeCell ref="M4:N4"/>
    <mergeCell ref="P4:Q4"/>
    <mergeCell ref="S4:T4"/>
    <mergeCell ref="U4:U5"/>
    <mergeCell ref="W4:W5"/>
    <mergeCell ref="X4:Y4"/>
    <mergeCell ref="A4:A5"/>
    <mergeCell ref="B4:C4"/>
    <mergeCell ref="E4:F4"/>
    <mergeCell ref="H4:I4"/>
    <mergeCell ref="J4:J5"/>
    <mergeCell ref="L4:L5"/>
    <mergeCell ref="A2:J2"/>
    <mergeCell ref="L2:U2"/>
    <mergeCell ref="W2:AF2"/>
    <mergeCell ref="AH2:AQ2"/>
    <mergeCell ref="A3:J3"/>
    <mergeCell ref="L3:U3"/>
    <mergeCell ref="W3:AF3"/>
    <mergeCell ref="AH3:AQ3"/>
  </mergeCells>
  <pageMargins left="0.70866141732283472" right="0.70866141732283472" top="0.74803149606299213" bottom="0.74803149606299213" header="0.31496062992125984" footer="0.31496062992125984"/>
  <pageSetup paperSize="8" scale="29" orientation="landscape" r:id="rId1"/>
  <headerFooter>
    <oddHeader xml:space="preserve">&amp;LSOBHA LLC&amp;C&amp;"-,Bold"&amp;36Sobha One App - Receipts Value&amp;R&amp;D
</oddHeader>
    <oddFooter>&amp;LCOLLECTIONS&amp;R&amp;P/&amp;N</oddFooter>
  </headerFooter>
  <colBreaks count="2" manualBreakCount="2">
    <brk id="21" min="1" max="98" man="1"/>
    <brk id="33" min="1" max="9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summary</vt:lpstr>
      <vt:lpstr>%of category</vt:lpstr>
      <vt:lpstr>Receipt Count</vt:lpstr>
      <vt:lpstr>Receipt Value</vt:lpstr>
      <vt:lpstr>Sobha One app Count </vt:lpstr>
      <vt:lpstr>Sobha one app Value</vt:lpstr>
      <vt:lpstr>'%of category'!Print_Area</vt:lpstr>
      <vt:lpstr>'Receipt Count'!Print_Area</vt:lpstr>
      <vt:lpstr>'Receipt Value'!Print_Area</vt:lpstr>
      <vt:lpstr>'Sobha One app Count '!Print_Area</vt:lpstr>
      <vt:lpstr>'Sobha one app Value'!Print_Area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Bhargava Reddy Bokkala</dc:creator>
  <cp:lastModifiedBy>Bhargava Reddy Bokkala</cp:lastModifiedBy>
  <cp:lastPrinted>2026-05-07T12:26:41Z</cp:lastPrinted>
  <dcterms:created xsi:type="dcterms:W3CDTF">2026-05-07T12:23:16Z</dcterms:created>
  <dcterms:modified xsi:type="dcterms:W3CDTF">2026-05-07T12:27:40Z</dcterms:modified>
</cp:coreProperties>
</file>