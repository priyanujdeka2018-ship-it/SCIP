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h.sharma\Downloads\Report\GL to SOA Report\"/>
    </mc:Choice>
  </mc:AlternateContent>
  <xr:revisionPtr revIDLastSave="0" documentId="8_{47E31B93-644D-4BC2-9E03-0C03D6A95C57}" xr6:coauthVersionLast="47" xr6:coauthVersionMax="47" xr10:uidLastSave="{00000000-0000-0000-0000-000000000000}"/>
  <bookViews>
    <workbookView xWindow="28680" yWindow="-120" windowWidth="29040" windowHeight="15720" xr2:uid="{EF6AC398-48EA-497F-897A-9182643F7315}"/>
  </bookViews>
  <sheets>
    <sheet name="Summary - Overview" sheetId="1" r:id="rId1"/>
    <sheet name="Collection Wise summary" sheetId="2" r:id="rId2"/>
  </sheets>
  <definedNames>
    <definedName name="_xlnm._FilterDatabase" localSheetId="1" hidden="1">'Collection Wise summary'!$A$4:$CD$4</definedName>
    <definedName name="_xlcn.WorksheetConnection_Sheet19A1E16961" hidden="1">#REF!</definedName>
    <definedName name="Ak">#REF!</definedName>
    <definedName name="NOB">#REF!</definedName>
    <definedName name="_xlnm.Print_Area" localSheetId="1">'Collection Wise summary'!$A$1:$BA$53</definedName>
    <definedName name="_xlnm.Print_Area" localSheetId="0">'Summary - Overview'!$A$1:$BS$600</definedName>
    <definedName name="Source">#REF!</definedName>
    <definedName name="SRCE">#REF!</definedName>
    <definedName name="Style">#REF!</definedName>
    <definedName name="TOS">#REF!</definedName>
    <definedName name="Type">#REF!</definedName>
    <definedName name="VLOOKUP">#REF!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532" i="2" l="1"/>
  <c r="L532" i="2"/>
  <c r="AD531" i="2"/>
  <c r="L531" i="2"/>
  <c r="AD530" i="2"/>
  <c r="L530" i="2"/>
  <c r="AD529" i="2"/>
  <c r="L529" i="2"/>
  <c r="AD528" i="2"/>
  <c r="L528" i="2"/>
  <c r="AD527" i="2"/>
  <c r="L527" i="2"/>
  <c r="AD526" i="2"/>
  <c r="L526" i="2"/>
  <c r="AD525" i="2"/>
  <c r="L525" i="2"/>
  <c r="AD524" i="2"/>
  <c r="L524" i="2"/>
  <c r="AD523" i="2"/>
  <c r="L523" i="2"/>
  <c r="AD522" i="2"/>
  <c r="L522" i="2"/>
  <c r="AD482" i="2"/>
  <c r="L482" i="2"/>
  <c r="AD481" i="2"/>
  <c r="L481" i="2"/>
  <c r="AD480" i="2"/>
  <c r="L480" i="2"/>
  <c r="AD479" i="2"/>
  <c r="L479" i="2"/>
  <c r="AD478" i="2"/>
  <c r="L478" i="2"/>
  <c r="AD477" i="2"/>
  <c r="L477" i="2"/>
  <c r="AD476" i="2"/>
  <c r="L476" i="2"/>
  <c r="AD475" i="2"/>
  <c r="L475" i="2"/>
  <c r="AD474" i="2"/>
  <c r="L474" i="2"/>
  <c r="AD473" i="2"/>
  <c r="L473" i="2"/>
  <c r="AD472" i="2"/>
  <c r="L472" i="2"/>
  <c r="BO132" i="2"/>
  <c r="BM132" i="2"/>
  <c r="BO131" i="2"/>
  <c r="BM131" i="2"/>
  <c r="AX131" i="2"/>
  <c r="AV131" i="2"/>
  <c r="AF131" i="2"/>
  <c r="AD131" i="2"/>
  <c r="N131" i="2"/>
  <c r="L131" i="2"/>
  <c r="BO130" i="2"/>
  <c r="BM130" i="2"/>
  <c r="AX130" i="2"/>
  <c r="AV130" i="2"/>
  <c r="AF130" i="2"/>
  <c r="AD130" i="2"/>
  <c r="N130" i="2"/>
  <c r="L130" i="2"/>
  <c r="BO129" i="2"/>
  <c r="BM129" i="2"/>
  <c r="AX129" i="2"/>
  <c r="AV129" i="2"/>
  <c r="AF129" i="2"/>
  <c r="AD129" i="2"/>
  <c r="N129" i="2"/>
  <c r="L129" i="2"/>
  <c r="BO128" i="2"/>
  <c r="BM128" i="2"/>
  <c r="AX128" i="2"/>
  <c r="AV128" i="2"/>
  <c r="AF128" i="2"/>
  <c r="AD128" i="2"/>
  <c r="N128" i="2"/>
  <c r="L128" i="2"/>
  <c r="BO127" i="2"/>
  <c r="BM127" i="2"/>
  <c r="AX127" i="2"/>
  <c r="AV127" i="2"/>
  <c r="AF127" i="2"/>
  <c r="AD127" i="2"/>
  <c r="N127" i="2"/>
  <c r="L127" i="2"/>
  <c r="BO126" i="2"/>
  <c r="BM126" i="2"/>
  <c r="AX126" i="2"/>
  <c r="AV126" i="2"/>
  <c r="AF126" i="2"/>
  <c r="AD126" i="2"/>
  <c r="N126" i="2"/>
  <c r="L126" i="2"/>
  <c r="BO125" i="2"/>
  <c r="BM125" i="2"/>
  <c r="AX125" i="2"/>
  <c r="AV125" i="2"/>
  <c r="AF125" i="2"/>
  <c r="AD125" i="2"/>
  <c r="N125" i="2"/>
  <c r="L125" i="2"/>
  <c r="BO124" i="2"/>
  <c r="BM124" i="2"/>
  <c r="AX124" i="2"/>
  <c r="AV124" i="2"/>
  <c r="AF124" i="2"/>
  <c r="AD124" i="2"/>
  <c r="N124" i="2"/>
  <c r="L124" i="2"/>
  <c r="BO123" i="2"/>
  <c r="BM123" i="2"/>
  <c r="AX123" i="2"/>
  <c r="AV123" i="2"/>
  <c r="AF123" i="2"/>
  <c r="AD123" i="2"/>
  <c r="N123" i="2"/>
  <c r="L123" i="2"/>
  <c r="BO122" i="2"/>
  <c r="BM122" i="2"/>
  <c r="AX122" i="2"/>
  <c r="AV122" i="2"/>
  <c r="AF122" i="2"/>
  <c r="AD122" i="2"/>
  <c r="N122" i="2"/>
  <c r="L122" i="2"/>
  <c r="CC51" i="2"/>
  <c r="CC50" i="2"/>
  <c r="CC49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O42" i="2"/>
  <c r="L42" i="2"/>
  <c r="K42" i="2"/>
  <c r="I42" i="2"/>
  <c r="G42" i="2"/>
  <c r="E42" i="2"/>
  <c r="C42" i="2"/>
  <c r="O41" i="2"/>
  <c r="L41" i="2"/>
  <c r="K41" i="2"/>
  <c r="I41" i="2"/>
  <c r="G41" i="2"/>
  <c r="E41" i="2"/>
  <c r="C41" i="2"/>
  <c r="O40" i="2"/>
  <c r="L40" i="2"/>
  <c r="K40" i="2"/>
  <c r="I40" i="2"/>
  <c r="G40" i="2"/>
  <c r="E40" i="2"/>
  <c r="C40" i="2"/>
  <c r="O39" i="2"/>
  <c r="L39" i="2"/>
  <c r="K39" i="2"/>
  <c r="I39" i="2"/>
  <c r="G39" i="2"/>
  <c r="E39" i="2"/>
  <c r="C39" i="2"/>
  <c r="O38" i="2"/>
  <c r="L38" i="2"/>
  <c r="K38" i="2"/>
  <c r="I38" i="2"/>
  <c r="G38" i="2"/>
  <c r="E38" i="2"/>
  <c r="C38" i="2"/>
  <c r="O37" i="2"/>
  <c r="L37" i="2"/>
  <c r="K37" i="2"/>
  <c r="I37" i="2"/>
  <c r="G37" i="2"/>
  <c r="E37" i="2"/>
  <c r="C37" i="2"/>
  <c r="O36" i="2"/>
  <c r="L36" i="2"/>
  <c r="K36" i="2"/>
  <c r="I36" i="2"/>
  <c r="G36" i="2"/>
  <c r="E36" i="2"/>
  <c r="C36" i="2"/>
  <c r="O35" i="2"/>
  <c r="L35" i="2"/>
  <c r="K35" i="2"/>
  <c r="I35" i="2"/>
  <c r="G35" i="2"/>
  <c r="E35" i="2"/>
  <c r="C35" i="2"/>
  <c r="O34" i="2"/>
  <c r="L34" i="2"/>
  <c r="K34" i="2"/>
  <c r="I34" i="2"/>
  <c r="G34" i="2"/>
  <c r="E34" i="2"/>
  <c r="C34" i="2"/>
  <c r="O33" i="2"/>
  <c r="L33" i="2"/>
  <c r="K33" i="2"/>
  <c r="I33" i="2"/>
  <c r="G33" i="2"/>
  <c r="E33" i="2"/>
  <c r="C33" i="2"/>
  <c r="O32" i="2"/>
  <c r="L32" i="2"/>
  <c r="K32" i="2"/>
  <c r="I32" i="2"/>
  <c r="G32" i="2"/>
  <c r="E32" i="2"/>
  <c r="C32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O31" i="2"/>
  <c r="L31" i="2"/>
  <c r="K31" i="2"/>
  <c r="I31" i="2"/>
  <c r="G31" i="2"/>
  <c r="E31" i="2"/>
  <c r="C31" i="2"/>
  <c r="AF30" i="2"/>
  <c r="AC30" i="2"/>
  <c r="AB30" i="2"/>
  <c r="Z30" i="2"/>
  <c r="X30" i="2"/>
  <c r="V30" i="2"/>
  <c r="T30" i="2"/>
  <c r="O30" i="2"/>
  <c r="L30" i="2"/>
  <c r="K30" i="2"/>
  <c r="I30" i="2"/>
  <c r="G30" i="2"/>
  <c r="E30" i="2"/>
  <c r="C30" i="2"/>
  <c r="AF29" i="2"/>
  <c r="AC29" i="2"/>
  <c r="AB29" i="2"/>
  <c r="Z29" i="2"/>
  <c r="X29" i="2"/>
  <c r="V29" i="2"/>
  <c r="T29" i="2"/>
  <c r="O29" i="2"/>
  <c r="L29" i="2"/>
  <c r="K29" i="2"/>
  <c r="I29" i="2"/>
  <c r="G29" i="2"/>
  <c r="E29" i="2"/>
  <c r="C29" i="2"/>
  <c r="AF28" i="2"/>
  <c r="AC28" i="2"/>
  <c r="AB28" i="2"/>
  <c r="Z28" i="2"/>
  <c r="X28" i="2"/>
  <c r="V28" i="2"/>
  <c r="T28" i="2"/>
  <c r="O28" i="2"/>
  <c r="L28" i="2"/>
  <c r="K28" i="2"/>
  <c r="I28" i="2"/>
  <c r="G28" i="2"/>
  <c r="E28" i="2"/>
  <c r="C28" i="2"/>
  <c r="AF27" i="2"/>
  <c r="AC27" i="2"/>
  <c r="AB27" i="2"/>
  <c r="Z27" i="2"/>
  <c r="X27" i="2"/>
  <c r="V27" i="2"/>
  <c r="T27" i="2"/>
  <c r="O27" i="2"/>
  <c r="L27" i="2"/>
  <c r="K27" i="2"/>
  <c r="I27" i="2"/>
  <c r="G27" i="2"/>
  <c r="E27" i="2"/>
  <c r="C27" i="2"/>
  <c r="AF26" i="2"/>
  <c r="AC26" i="2"/>
  <c r="AB26" i="2"/>
  <c r="Z26" i="2"/>
  <c r="X26" i="2"/>
  <c r="V26" i="2"/>
  <c r="T26" i="2"/>
  <c r="O26" i="2"/>
  <c r="L26" i="2"/>
  <c r="K26" i="2"/>
  <c r="I26" i="2"/>
  <c r="G26" i="2"/>
  <c r="E26" i="2"/>
  <c r="C26" i="2"/>
  <c r="AF25" i="2"/>
  <c r="AC25" i="2"/>
  <c r="AB25" i="2"/>
  <c r="Z25" i="2"/>
  <c r="X25" i="2"/>
  <c r="V25" i="2"/>
  <c r="T25" i="2"/>
  <c r="O25" i="2"/>
  <c r="L25" i="2"/>
  <c r="K25" i="2"/>
  <c r="I25" i="2"/>
  <c r="G25" i="2"/>
  <c r="E25" i="2"/>
  <c r="C25" i="2"/>
  <c r="AF24" i="2"/>
  <c r="AC24" i="2"/>
  <c r="AB24" i="2"/>
  <c r="Z24" i="2"/>
  <c r="X24" i="2"/>
  <c r="V24" i="2"/>
  <c r="T24" i="2"/>
  <c r="O24" i="2"/>
  <c r="L24" i="2"/>
  <c r="K24" i="2"/>
  <c r="I24" i="2"/>
  <c r="G24" i="2"/>
  <c r="E24" i="2"/>
  <c r="C24" i="2"/>
  <c r="AF23" i="2"/>
  <c r="AC23" i="2"/>
  <c r="AB23" i="2"/>
  <c r="Z23" i="2"/>
  <c r="X23" i="2"/>
  <c r="V23" i="2"/>
  <c r="T23" i="2"/>
  <c r="O23" i="2"/>
  <c r="L23" i="2"/>
  <c r="K23" i="2"/>
  <c r="I23" i="2"/>
  <c r="G23" i="2"/>
  <c r="E23" i="2"/>
  <c r="C23" i="2"/>
  <c r="AF22" i="2"/>
  <c r="AC22" i="2"/>
  <c r="AB22" i="2"/>
  <c r="Z22" i="2"/>
  <c r="X22" i="2"/>
  <c r="V22" i="2"/>
  <c r="T22" i="2"/>
  <c r="O22" i="2"/>
  <c r="L22" i="2"/>
  <c r="K22" i="2"/>
  <c r="I22" i="2"/>
  <c r="G22" i="2"/>
  <c r="E22" i="2"/>
  <c r="C22" i="2"/>
  <c r="AF21" i="2"/>
  <c r="AC21" i="2"/>
  <c r="AB21" i="2"/>
  <c r="Z21" i="2"/>
  <c r="X21" i="2"/>
  <c r="V21" i="2"/>
  <c r="T21" i="2"/>
  <c r="O21" i="2"/>
  <c r="L21" i="2"/>
  <c r="K21" i="2"/>
  <c r="I21" i="2"/>
  <c r="G21" i="2"/>
  <c r="E21" i="2"/>
  <c r="C21" i="2"/>
  <c r="AF20" i="2"/>
  <c r="AC20" i="2"/>
  <c r="AB20" i="2"/>
  <c r="Z20" i="2"/>
  <c r="X20" i="2"/>
  <c r="V20" i="2"/>
  <c r="T20" i="2"/>
  <c r="O20" i="2"/>
  <c r="L20" i="2"/>
  <c r="K20" i="2"/>
  <c r="I20" i="2"/>
  <c r="G20" i="2"/>
  <c r="E20" i="2"/>
  <c r="C20" i="2"/>
  <c r="AF19" i="2"/>
  <c r="AC19" i="2"/>
  <c r="AB19" i="2"/>
  <c r="Z19" i="2"/>
  <c r="X19" i="2"/>
  <c r="V19" i="2"/>
  <c r="T19" i="2"/>
  <c r="O19" i="2"/>
  <c r="L19" i="2"/>
  <c r="K19" i="2"/>
  <c r="I19" i="2"/>
  <c r="G19" i="2"/>
  <c r="E19" i="2"/>
  <c r="C19" i="2"/>
  <c r="AF18" i="2"/>
  <c r="AC18" i="2"/>
  <c r="AB18" i="2"/>
  <c r="Z18" i="2"/>
  <c r="X18" i="2"/>
  <c r="V18" i="2"/>
  <c r="T18" i="2"/>
  <c r="O18" i="2"/>
  <c r="L18" i="2"/>
  <c r="K18" i="2"/>
  <c r="I18" i="2"/>
  <c r="G18" i="2"/>
  <c r="E18" i="2"/>
  <c r="C18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F17" i="2"/>
  <c r="AC17" i="2"/>
  <c r="AB17" i="2"/>
  <c r="Z17" i="2"/>
  <c r="X17" i="2"/>
  <c r="V17" i="2"/>
  <c r="T17" i="2"/>
  <c r="O17" i="2"/>
  <c r="L17" i="2"/>
  <c r="K17" i="2"/>
  <c r="I17" i="2"/>
  <c r="G17" i="2"/>
  <c r="E17" i="2"/>
  <c r="C17" i="2"/>
  <c r="AX16" i="2"/>
  <c r="AU16" i="2"/>
  <c r="AT16" i="2"/>
  <c r="AR16" i="2"/>
  <c r="AP16" i="2"/>
  <c r="AN16" i="2"/>
  <c r="AL16" i="2"/>
  <c r="AF16" i="2"/>
  <c r="AC16" i="2"/>
  <c r="AB16" i="2"/>
  <c r="Z16" i="2"/>
  <c r="X16" i="2"/>
  <c r="V16" i="2"/>
  <c r="T16" i="2"/>
  <c r="O16" i="2"/>
  <c r="L16" i="2"/>
  <c r="K16" i="2"/>
  <c r="I16" i="2"/>
  <c r="G16" i="2"/>
  <c r="E16" i="2"/>
  <c r="C16" i="2"/>
  <c r="AX15" i="2"/>
  <c r="AU15" i="2"/>
  <c r="AT15" i="2"/>
  <c r="AR15" i="2"/>
  <c r="AP15" i="2"/>
  <c r="AN15" i="2"/>
  <c r="AL15" i="2"/>
  <c r="AF15" i="2"/>
  <c r="AC15" i="2"/>
  <c r="AB15" i="2"/>
  <c r="Z15" i="2"/>
  <c r="X15" i="2"/>
  <c r="V15" i="2"/>
  <c r="T15" i="2"/>
  <c r="O15" i="2"/>
  <c r="L15" i="2"/>
  <c r="K15" i="2"/>
  <c r="I15" i="2"/>
  <c r="G15" i="2"/>
  <c r="E15" i="2"/>
  <c r="C15" i="2"/>
  <c r="AX14" i="2"/>
  <c r="AU14" i="2"/>
  <c r="AT14" i="2"/>
  <c r="AR14" i="2"/>
  <c r="AP14" i="2"/>
  <c r="AN14" i="2"/>
  <c r="AL14" i="2"/>
  <c r="AF14" i="2"/>
  <c r="AC14" i="2"/>
  <c r="AB14" i="2"/>
  <c r="Z14" i="2"/>
  <c r="X14" i="2"/>
  <c r="V14" i="2"/>
  <c r="T14" i="2"/>
  <c r="O14" i="2"/>
  <c r="L14" i="2"/>
  <c r="K14" i="2"/>
  <c r="I14" i="2"/>
  <c r="G14" i="2"/>
  <c r="E14" i="2"/>
  <c r="C14" i="2"/>
  <c r="AX13" i="2"/>
  <c r="AU13" i="2"/>
  <c r="AT13" i="2"/>
  <c r="AR13" i="2"/>
  <c r="AP13" i="2"/>
  <c r="AN13" i="2"/>
  <c r="AL13" i="2"/>
  <c r="AF13" i="2"/>
  <c r="AC13" i="2"/>
  <c r="AB13" i="2"/>
  <c r="Z13" i="2"/>
  <c r="X13" i="2"/>
  <c r="V13" i="2"/>
  <c r="T13" i="2"/>
  <c r="O13" i="2"/>
  <c r="L13" i="2"/>
  <c r="K13" i="2"/>
  <c r="I13" i="2"/>
  <c r="G13" i="2"/>
  <c r="E13" i="2"/>
  <c r="C13" i="2"/>
  <c r="AX12" i="2"/>
  <c r="AU12" i="2"/>
  <c r="AT12" i="2"/>
  <c r="AR12" i="2"/>
  <c r="AP12" i="2"/>
  <c r="AN12" i="2"/>
  <c r="AL12" i="2"/>
  <c r="AF12" i="2"/>
  <c r="AC12" i="2"/>
  <c r="AB12" i="2"/>
  <c r="Z12" i="2"/>
  <c r="X12" i="2"/>
  <c r="V12" i="2"/>
  <c r="T12" i="2"/>
  <c r="O12" i="2"/>
  <c r="L12" i="2"/>
  <c r="K12" i="2"/>
  <c r="I12" i="2"/>
  <c r="G12" i="2"/>
  <c r="E12" i="2"/>
  <c r="C12" i="2"/>
  <c r="AX11" i="2"/>
  <c r="AU11" i="2"/>
  <c r="AT11" i="2"/>
  <c r="AR11" i="2"/>
  <c r="AP11" i="2"/>
  <c r="AN11" i="2"/>
  <c r="AL11" i="2"/>
  <c r="AF11" i="2"/>
  <c r="AC11" i="2"/>
  <c r="AB11" i="2"/>
  <c r="Z11" i="2"/>
  <c r="X11" i="2"/>
  <c r="V11" i="2"/>
  <c r="T11" i="2"/>
  <c r="O11" i="2"/>
  <c r="L11" i="2"/>
  <c r="K11" i="2"/>
  <c r="I11" i="2"/>
  <c r="G11" i="2"/>
  <c r="E11" i="2"/>
  <c r="C11" i="2"/>
  <c r="AX10" i="2"/>
  <c r="AU10" i="2"/>
  <c r="AT10" i="2"/>
  <c r="AR10" i="2"/>
  <c r="AP10" i="2"/>
  <c r="AN10" i="2"/>
  <c r="AL10" i="2"/>
  <c r="AF10" i="2"/>
  <c r="AC10" i="2"/>
  <c r="AB10" i="2"/>
  <c r="Z10" i="2"/>
  <c r="X10" i="2"/>
  <c r="V10" i="2"/>
  <c r="T10" i="2"/>
  <c r="O10" i="2"/>
  <c r="L10" i="2"/>
  <c r="K10" i="2"/>
  <c r="I10" i="2"/>
  <c r="G10" i="2"/>
  <c r="E10" i="2"/>
  <c r="C10" i="2"/>
  <c r="AX9" i="2"/>
  <c r="AU9" i="2"/>
  <c r="AT9" i="2"/>
  <c r="AR9" i="2"/>
  <c r="AP9" i="2"/>
  <c r="AN9" i="2"/>
  <c r="AL9" i="2"/>
  <c r="AF9" i="2"/>
  <c r="AC9" i="2"/>
  <c r="AB9" i="2"/>
  <c r="Z9" i="2"/>
  <c r="X9" i="2"/>
  <c r="V9" i="2"/>
  <c r="T9" i="2"/>
  <c r="O9" i="2"/>
  <c r="L9" i="2"/>
  <c r="K9" i="2"/>
  <c r="I9" i="2"/>
  <c r="G9" i="2"/>
  <c r="E9" i="2"/>
  <c r="C9" i="2"/>
  <c r="AX8" i="2"/>
  <c r="AU8" i="2"/>
  <c r="AT8" i="2"/>
  <c r="AR8" i="2"/>
  <c r="AP8" i="2"/>
  <c r="AN8" i="2"/>
  <c r="AL8" i="2"/>
  <c r="AF8" i="2"/>
  <c r="AC8" i="2"/>
  <c r="AB8" i="2"/>
  <c r="Z8" i="2"/>
  <c r="X8" i="2"/>
  <c r="V8" i="2"/>
  <c r="T8" i="2"/>
  <c r="O8" i="2"/>
  <c r="L8" i="2"/>
  <c r="K8" i="2"/>
  <c r="I8" i="2"/>
  <c r="G8" i="2"/>
  <c r="E8" i="2"/>
  <c r="C8" i="2"/>
  <c r="AX7" i="2"/>
  <c r="AU7" i="2"/>
  <c r="AT7" i="2"/>
  <c r="AR7" i="2"/>
  <c r="AP7" i="2"/>
  <c r="AN7" i="2"/>
  <c r="AL7" i="2"/>
  <c r="AF7" i="2"/>
  <c r="AC7" i="2"/>
  <c r="AB7" i="2"/>
  <c r="Z7" i="2"/>
  <c r="X7" i="2"/>
  <c r="V7" i="2"/>
  <c r="T7" i="2"/>
  <c r="O7" i="2"/>
  <c r="L7" i="2"/>
  <c r="K7" i="2"/>
  <c r="I7" i="2"/>
  <c r="G7" i="2"/>
  <c r="E7" i="2"/>
  <c r="C7" i="2"/>
  <c r="AX6" i="2"/>
  <c r="AU6" i="2"/>
  <c r="AT6" i="2"/>
  <c r="AR6" i="2"/>
  <c r="AP6" i="2"/>
  <c r="AN6" i="2"/>
  <c r="AL6" i="2"/>
  <c r="AF6" i="2"/>
  <c r="AC6" i="2"/>
  <c r="AB6" i="2"/>
  <c r="Z6" i="2"/>
  <c r="X6" i="2"/>
  <c r="V6" i="2"/>
  <c r="T6" i="2"/>
  <c r="O6" i="2"/>
  <c r="L6" i="2"/>
  <c r="K6" i="2"/>
  <c r="I6" i="2"/>
  <c r="G6" i="2"/>
  <c r="E6" i="2"/>
  <c r="C6" i="2"/>
  <c r="AX5" i="2"/>
  <c r="AU5" i="2"/>
  <c r="AT5" i="2"/>
  <c r="AR5" i="2"/>
  <c r="AP5" i="2"/>
  <c r="AN5" i="2"/>
  <c r="AL5" i="2"/>
  <c r="AF5" i="2"/>
  <c r="AC5" i="2"/>
  <c r="AB5" i="2"/>
  <c r="Z5" i="2"/>
  <c r="X5" i="2"/>
  <c r="V5" i="2"/>
  <c r="T5" i="2"/>
  <c r="O5" i="2"/>
  <c r="L5" i="2"/>
  <c r="K5" i="2"/>
  <c r="I5" i="2"/>
  <c r="G5" i="2"/>
  <c r="E5" i="2"/>
  <c r="C5" i="2"/>
  <c r="AI599" i="1"/>
  <c r="AG599" i="1"/>
  <c r="AE599" i="1"/>
  <c r="AC599" i="1"/>
  <c r="AA599" i="1"/>
  <c r="Y599" i="1"/>
  <c r="W599" i="1"/>
  <c r="U599" i="1"/>
  <c r="Q599" i="1"/>
  <c r="O599" i="1"/>
  <c r="M599" i="1"/>
  <c r="K599" i="1"/>
  <c r="I599" i="1"/>
  <c r="G599" i="1"/>
  <c r="E599" i="1"/>
  <c r="C599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AI597" i="1"/>
  <c r="AH597" i="1"/>
  <c r="AF597" i="1"/>
  <c r="AD597" i="1"/>
  <c r="AB597" i="1"/>
  <c r="Z597" i="1"/>
  <c r="X597" i="1"/>
  <c r="V597" i="1"/>
  <c r="Q597" i="1"/>
  <c r="P597" i="1"/>
  <c r="N597" i="1"/>
  <c r="L597" i="1"/>
  <c r="J597" i="1"/>
  <c r="H597" i="1"/>
  <c r="F597" i="1"/>
  <c r="D597" i="1"/>
  <c r="AI596" i="1"/>
  <c r="AH596" i="1"/>
  <c r="AF596" i="1"/>
  <c r="AD596" i="1"/>
  <c r="AB596" i="1"/>
  <c r="Z596" i="1"/>
  <c r="X596" i="1"/>
  <c r="V596" i="1"/>
  <c r="Q596" i="1"/>
  <c r="P596" i="1"/>
  <c r="N596" i="1"/>
  <c r="L596" i="1"/>
  <c r="J596" i="1"/>
  <c r="H596" i="1"/>
  <c r="F596" i="1"/>
  <c r="D596" i="1"/>
  <c r="AI595" i="1"/>
  <c r="AH595" i="1"/>
  <c r="AF595" i="1"/>
  <c r="AD595" i="1"/>
  <c r="AB595" i="1"/>
  <c r="Z595" i="1"/>
  <c r="X595" i="1"/>
  <c r="V595" i="1"/>
  <c r="Q595" i="1"/>
  <c r="P595" i="1"/>
  <c r="N595" i="1"/>
  <c r="L595" i="1"/>
  <c r="J595" i="1"/>
  <c r="H595" i="1"/>
  <c r="F595" i="1"/>
  <c r="D595" i="1"/>
  <c r="AI594" i="1"/>
  <c r="AH594" i="1"/>
  <c r="AF594" i="1"/>
  <c r="AD594" i="1"/>
  <c r="AB594" i="1"/>
  <c r="Z594" i="1"/>
  <c r="X594" i="1"/>
  <c r="V594" i="1"/>
  <c r="Q594" i="1"/>
  <c r="P594" i="1"/>
  <c r="N594" i="1"/>
  <c r="L594" i="1"/>
  <c r="J594" i="1"/>
  <c r="H594" i="1"/>
  <c r="F594" i="1"/>
  <c r="D594" i="1"/>
  <c r="AI593" i="1"/>
  <c r="AH593" i="1"/>
  <c r="AF593" i="1"/>
  <c r="AD593" i="1"/>
  <c r="AB593" i="1"/>
  <c r="Z593" i="1"/>
  <c r="X593" i="1"/>
  <c r="V593" i="1"/>
  <c r="Q593" i="1"/>
  <c r="P593" i="1"/>
  <c r="N593" i="1"/>
  <c r="L593" i="1"/>
  <c r="J593" i="1"/>
  <c r="H593" i="1"/>
  <c r="F593" i="1"/>
  <c r="D593" i="1"/>
  <c r="AI592" i="1"/>
  <c r="AH592" i="1"/>
  <c r="AF592" i="1"/>
  <c r="AD592" i="1"/>
  <c r="AB592" i="1"/>
  <c r="Z592" i="1"/>
  <c r="X592" i="1"/>
  <c r="V592" i="1"/>
  <c r="Q592" i="1"/>
  <c r="P592" i="1"/>
  <c r="N592" i="1"/>
  <c r="L592" i="1"/>
  <c r="J592" i="1"/>
  <c r="H592" i="1"/>
  <c r="F592" i="1"/>
  <c r="D592" i="1"/>
  <c r="AI591" i="1"/>
  <c r="AH591" i="1"/>
  <c r="AF591" i="1"/>
  <c r="AD591" i="1"/>
  <c r="AB591" i="1"/>
  <c r="Z591" i="1"/>
  <c r="X591" i="1"/>
  <c r="V591" i="1"/>
  <c r="Q591" i="1"/>
  <c r="P591" i="1"/>
  <c r="N591" i="1"/>
  <c r="L591" i="1"/>
  <c r="J591" i="1"/>
  <c r="H591" i="1"/>
  <c r="F591" i="1"/>
  <c r="D591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AI589" i="1"/>
  <c r="AH589" i="1"/>
  <c r="AF589" i="1"/>
  <c r="AD589" i="1"/>
  <c r="AB589" i="1"/>
  <c r="Z589" i="1"/>
  <c r="X589" i="1"/>
  <c r="V589" i="1"/>
  <c r="Q589" i="1"/>
  <c r="P589" i="1"/>
  <c r="N589" i="1"/>
  <c r="L589" i="1"/>
  <c r="J589" i="1"/>
  <c r="H589" i="1"/>
  <c r="F589" i="1"/>
  <c r="D589" i="1"/>
  <c r="AI588" i="1"/>
  <c r="AH588" i="1"/>
  <c r="AF588" i="1"/>
  <c r="AD588" i="1"/>
  <c r="AB588" i="1"/>
  <c r="Z588" i="1"/>
  <c r="X588" i="1"/>
  <c r="V588" i="1"/>
  <c r="Q588" i="1"/>
  <c r="P588" i="1"/>
  <c r="N588" i="1"/>
  <c r="L588" i="1"/>
  <c r="J588" i="1"/>
  <c r="H588" i="1"/>
  <c r="F588" i="1"/>
  <c r="D588" i="1"/>
  <c r="AI583" i="1"/>
  <c r="AG583" i="1"/>
  <c r="AE583" i="1"/>
  <c r="AC583" i="1"/>
  <c r="AA583" i="1"/>
  <c r="Y583" i="1"/>
  <c r="W583" i="1"/>
  <c r="U583" i="1"/>
  <c r="Q583" i="1"/>
  <c r="O583" i="1"/>
  <c r="M583" i="1"/>
  <c r="K583" i="1"/>
  <c r="I583" i="1"/>
  <c r="G583" i="1"/>
  <c r="E583" i="1"/>
  <c r="C583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AI581" i="1"/>
  <c r="AH581" i="1"/>
  <c r="AF581" i="1"/>
  <c r="AD581" i="1"/>
  <c r="AB581" i="1"/>
  <c r="Z581" i="1"/>
  <c r="X581" i="1"/>
  <c r="V581" i="1"/>
  <c r="Q581" i="1"/>
  <c r="P581" i="1"/>
  <c r="N581" i="1"/>
  <c r="L581" i="1"/>
  <c r="J581" i="1"/>
  <c r="H581" i="1"/>
  <c r="F581" i="1"/>
  <c r="D581" i="1"/>
  <c r="AI580" i="1"/>
  <c r="AH580" i="1"/>
  <c r="AF580" i="1"/>
  <c r="AD580" i="1"/>
  <c r="AB580" i="1"/>
  <c r="Z580" i="1"/>
  <c r="X580" i="1"/>
  <c r="V580" i="1"/>
  <c r="Q580" i="1"/>
  <c r="P580" i="1"/>
  <c r="N580" i="1"/>
  <c r="L580" i="1"/>
  <c r="J580" i="1"/>
  <c r="H580" i="1"/>
  <c r="F580" i="1"/>
  <c r="D580" i="1"/>
  <c r="AI579" i="1"/>
  <c r="AH579" i="1"/>
  <c r="AF579" i="1"/>
  <c r="AD579" i="1"/>
  <c r="AB579" i="1"/>
  <c r="Z579" i="1"/>
  <c r="X579" i="1"/>
  <c r="V579" i="1"/>
  <c r="Q579" i="1"/>
  <c r="P579" i="1"/>
  <c r="N579" i="1"/>
  <c r="L579" i="1"/>
  <c r="J579" i="1"/>
  <c r="H579" i="1"/>
  <c r="F579" i="1"/>
  <c r="D579" i="1"/>
  <c r="AI578" i="1"/>
  <c r="AH578" i="1"/>
  <c r="AF578" i="1"/>
  <c r="AD578" i="1"/>
  <c r="AB578" i="1"/>
  <c r="Z578" i="1"/>
  <c r="X578" i="1"/>
  <c r="V578" i="1"/>
  <c r="Q578" i="1"/>
  <c r="P578" i="1"/>
  <c r="N578" i="1"/>
  <c r="L578" i="1"/>
  <c r="J578" i="1"/>
  <c r="H578" i="1"/>
  <c r="F578" i="1"/>
  <c r="D578" i="1"/>
  <c r="AI577" i="1"/>
  <c r="AH577" i="1"/>
  <c r="AF577" i="1"/>
  <c r="AD577" i="1"/>
  <c r="AB577" i="1"/>
  <c r="Z577" i="1"/>
  <c r="X577" i="1"/>
  <c r="V577" i="1"/>
  <c r="Q577" i="1"/>
  <c r="P577" i="1"/>
  <c r="N577" i="1"/>
  <c r="L577" i="1"/>
  <c r="J577" i="1"/>
  <c r="H577" i="1"/>
  <c r="F577" i="1"/>
  <c r="D577" i="1"/>
  <c r="AI576" i="1"/>
  <c r="AH576" i="1"/>
  <c r="AF576" i="1"/>
  <c r="AD576" i="1"/>
  <c r="AB576" i="1"/>
  <c r="Z576" i="1"/>
  <c r="X576" i="1"/>
  <c r="V576" i="1"/>
  <c r="Q576" i="1"/>
  <c r="P576" i="1"/>
  <c r="N576" i="1"/>
  <c r="L576" i="1"/>
  <c r="J576" i="1"/>
  <c r="H576" i="1"/>
  <c r="F576" i="1"/>
  <c r="D576" i="1"/>
  <c r="AI575" i="1"/>
  <c r="AH575" i="1"/>
  <c r="AF575" i="1"/>
  <c r="AD575" i="1"/>
  <c r="AB575" i="1"/>
  <c r="Z575" i="1"/>
  <c r="X575" i="1"/>
  <c r="V575" i="1"/>
  <c r="Q575" i="1"/>
  <c r="P575" i="1"/>
  <c r="N575" i="1"/>
  <c r="L575" i="1"/>
  <c r="J575" i="1"/>
  <c r="H575" i="1"/>
  <c r="F575" i="1"/>
  <c r="D575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AI573" i="1"/>
  <c r="AH573" i="1"/>
  <c r="AF573" i="1"/>
  <c r="AD573" i="1"/>
  <c r="AB573" i="1"/>
  <c r="Z573" i="1"/>
  <c r="X573" i="1"/>
  <c r="V573" i="1"/>
  <c r="Q573" i="1"/>
  <c r="P573" i="1"/>
  <c r="N573" i="1"/>
  <c r="L573" i="1"/>
  <c r="J573" i="1"/>
  <c r="H573" i="1"/>
  <c r="F573" i="1"/>
  <c r="D573" i="1"/>
  <c r="AI572" i="1"/>
  <c r="AH572" i="1"/>
  <c r="AF572" i="1"/>
  <c r="AD572" i="1"/>
  <c r="AB572" i="1"/>
  <c r="Z572" i="1"/>
  <c r="X572" i="1"/>
  <c r="V572" i="1"/>
  <c r="Q572" i="1"/>
  <c r="P572" i="1"/>
  <c r="N572" i="1"/>
  <c r="L572" i="1"/>
  <c r="J572" i="1"/>
  <c r="H572" i="1"/>
  <c r="F572" i="1"/>
  <c r="D572" i="1"/>
  <c r="AI567" i="1"/>
  <c r="AG567" i="1"/>
  <c r="AE567" i="1"/>
  <c r="AC567" i="1"/>
  <c r="AA567" i="1"/>
  <c r="Y567" i="1"/>
  <c r="W567" i="1"/>
  <c r="U567" i="1"/>
  <c r="Q567" i="1"/>
  <c r="O567" i="1"/>
  <c r="M567" i="1"/>
  <c r="K567" i="1"/>
  <c r="I567" i="1"/>
  <c r="G567" i="1"/>
  <c r="E567" i="1"/>
  <c r="C567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AI565" i="1"/>
  <c r="AH565" i="1"/>
  <c r="AF565" i="1"/>
  <c r="AD565" i="1"/>
  <c r="AB565" i="1"/>
  <c r="Z565" i="1"/>
  <c r="X565" i="1"/>
  <c r="V565" i="1"/>
  <c r="Q565" i="1"/>
  <c r="P565" i="1"/>
  <c r="N565" i="1"/>
  <c r="L565" i="1"/>
  <c r="J565" i="1"/>
  <c r="H565" i="1"/>
  <c r="F565" i="1"/>
  <c r="D565" i="1"/>
  <c r="AI564" i="1"/>
  <c r="AH564" i="1"/>
  <c r="AF564" i="1"/>
  <c r="AD564" i="1"/>
  <c r="AB564" i="1"/>
  <c r="Z564" i="1"/>
  <c r="X564" i="1"/>
  <c r="V564" i="1"/>
  <c r="Q564" i="1"/>
  <c r="P564" i="1"/>
  <c r="N564" i="1"/>
  <c r="L564" i="1"/>
  <c r="J564" i="1"/>
  <c r="H564" i="1"/>
  <c r="F564" i="1"/>
  <c r="D564" i="1"/>
  <c r="AI563" i="1"/>
  <c r="AH563" i="1"/>
  <c r="AF563" i="1"/>
  <c r="AD563" i="1"/>
  <c r="AB563" i="1"/>
  <c r="Z563" i="1"/>
  <c r="X563" i="1"/>
  <c r="V563" i="1"/>
  <c r="Q563" i="1"/>
  <c r="P563" i="1"/>
  <c r="N563" i="1"/>
  <c r="L563" i="1"/>
  <c r="J563" i="1"/>
  <c r="H563" i="1"/>
  <c r="F563" i="1"/>
  <c r="D563" i="1"/>
  <c r="AI562" i="1"/>
  <c r="AH562" i="1"/>
  <c r="AF562" i="1"/>
  <c r="AD562" i="1"/>
  <c r="AB562" i="1"/>
  <c r="Z562" i="1"/>
  <c r="X562" i="1"/>
  <c r="V562" i="1"/>
  <c r="Q562" i="1"/>
  <c r="P562" i="1"/>
  <c r="N562" i="1"/>
  <c r="L562" i="1"/>
  <c r="J562" i="1"/>
  <c r="H562" i="1"/>
  <c r="F562" i="1"/>
  <c r="D562" i="1"/>
  <c r="AI561" i="1"/>
  <c r="AH561" i="1"/>
  <c r="AF561" i="1"/>
  <c r="AD561" i="1"/>
  <c r="AB561" i="1"/>
  <c r="Z561" i="1"/>
  <c r="X561" i="1"/>
  <c r="V561" i="1"/>
  <c r="Q561" i="1"/>
  <c r="P561" i="1"/>
  <c r="N561" i="1"/>
  <c r="L561" i="1"/>
  <c r="J561" i="1"/>
  <c r="H561" i="1"/>
  <c r="F561" i="1"/>
  <c r="D561" i="1"/>
  <c r="AI560" i="1"/>
  <c r="AH560" i="1"/>
  <c r="AF560" i="1"/>
  <c r="AD560" i="1"/>
  <c r="AB560" i="1"/>
  <c r="Z560" i="1"/>
  <c r="X560" i="1"/>
  <c r="V560" i="1"/>
  <c r="Q560" i="1"/>
  <c r="P560" i="1"/>
  <c r="N560" i="1"/>
  <c r="L560" i="1"/>
  <c r="J560" i="1"/>
  <c r="H560" i="1"/>
  <c r="F560" i="1"/>
  <c r="D560" i="1"/>
  <c r="AI559" i="1"/>
  <c r="AH559" i="1"/>
  <c r="AF559" i="1"/>
  <c r="AD559" i="1"/>
  <c r="AB559" i="1"/>
  <c r="Z559" i="1"/>
  <c r="X559" i="1"/>
  <c r="V559" i="1"/>
  <c r="Q559" i="1"/>
  <c r="P559" i="1"/>
  <c r="N559" i="1"/>
  <c r="L559" i="1"/>
  <c r="J559" i="1"/>
  <c r="H559" i="1"/>
  <c r="F559" i="1"/>
  <c r="D559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AI557" i="1"/>
  <c r="AH557" i="1"/>
  <c r="AF557" i="1"/>
  <c r="AD557" i="1"/>
  <c r="AB557" i="1"/>
  <c r="Z557" i="1"/>
  <c r="X557" i="1"/>
  <c r="V557" i="1"/>
  <c r="Q557" i="1"/>
  <c r="P557" i="1"/>
  <c r="N557" i="1"/>
  <c r="L557" i="1"/>
  <c r="J557" i="1"/>
  <c r="H557" i="1"/>
  <c r="F557" i="1"/>
  <c r="D557" i="1"/>
  <c r="AI556" i="1"/>
  <c r="AH556" i="1"/>
  <c r="AF556" i="1"/>
  <c r="AD556" i="1"/>
  <c r="AB556" i="1"/>
  <c r="Z556" i="1"/>
  <c r="X556" i="1"/>
  <c r="V556" i="1"/>
  <c r="Q556" i="1"/>
  <c r="P556" i="1"/>
  <c r="N556" i="1"/>
  <c r="L556" i="1"/>
  <c r="J556" i="1"/>
  <c r="H556" i="1"/>
  <c r="F556" i="1"/>
  <c r="D556" i="1"/>
  <c r="AI549" i="1"/>
  <c r="AG549" i="1"/>
  <c r="AE549" i="1"/>
  <c r="AC549" i="1"/>
  <c r="AA549" i="1"/>
  <c r="Y549" i="1"/>
  <c r="W549" i="1"/>
  <c r="U549" i="1"/>
  <c r="Q549" i="1"/>
  <c r="O549" i="1"/>
  <c r="M549" i="1"/>
  <c r="K549" i="1"/>
  <c r="I549" i="1"/>
  <c r="G549" i="1"/>
  <c r="E549" i="1"/>
  <c r="C549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AI547" i="1"/>
  <c r="AH547" i="1"/>
  <c r="AF547" i="1"/>
  <c r="AD547" i="1"/>
  <c r="AB547" i="1"/>
  <c r="Z547" i="1"/>
  <c r="X547" i="1"/>
  <c r="V547" i="1"/>
  <c r="Q547" i="1"/>
  <c r="P547" i="1"/>
  <c r="N547" i="1"/>
  <c r="L547" i="1"/>
  <c r="J547" i="1"/>
  <c r="H547" i="1"/>
  <c r="F547" i="1"/>
  <c r="D547" i="1"/>
  <c r="AI546" i="1"/>
  <c r="AH546" i="1"/>
  <c r="AF546" i="1"/>
  <c r="AD546" i="1"/>
  <c r="AB546" i="1"/>
  <c r="Z546" i="1"/>
  <c r="X546" i="1"/>
  <c r="V546" i="1"/>
  <c r="Q546" i="1"/>
  <c r="P546" i="1"/>
  <c r="N546" i="1"/>
  <c r="L546" i="1"/>
  <c r="J546" i="1"/>
  <c r="H546" i="1"/>
  <c r="F546" i="1"/>
  <c r="D546" i="1"/>
  <c r="AI545" i="1"/>
  <c r="AH545" i="1"/>
  <c r="AF545" i="1"/>
  <c r="AD545" i="1"/>
  <c r="AB545" i="1"/>
  <c r="Z545" i="1"/>
  <c r="X545" i="1"/>
  <c r="V545" i="1"/>
  <c r="Q545" i="1"/>
  <c r="P545" i="1"/>
  <c r="N545" i="1"/>
  <c r="L545" i="1"/>
  <c r="J545" i="1"/>
  <c r="H545" i="1"/>
  <c r="F545" i="1"/>
  <c r="D545" i="1"/>
  <c r="AI544" i="1"/>
  <c r="AH544" i="1"/>
  <c r="AF544" i="1"/>
  <c r="AD544" i="1"/>
  <c r="AB544" i="1"/>
  <c r="Z544" i="1"/>
  <c r="X544" i="1"/>
  <c r="V544" i="1"/>
  <c r="Q544" i="1"/>
  <c r="P544" i="1"/>
  <c r="N544" i="1"/>
  <c r="L544" i="1"/>
  <c r="J544" i="1"/>
  <c r="H544" i="1"/>
  <c r="F544" i="1"/>
  <c r="D544" i="1"/>
  <c r="AI543" i="1"/>
  <c r="AH543" i="1"/>
  <c r="AF543" i="1"/>
  <c r="AD543" i="1"/>
  <c r="AB543" i="1"/>
  <c r="Z543" i="1"/>
  <c r="X543" i="1"/>
  <c r="V543" i="1"/>
  <c r="Q543" i="1"/>
  <c r="P543" i="1"/>
  <c r="N543" i="1"/>
  <c r="L543" i="1"/>
  <c r="J543" i="1"/>
  <c r="H543" i="1"/>
  <c r="F543" i="1"/>
  <c r="D543" i="1"/>
  <c r="AI542" i="1"/>
  <c r="AH542" i="1"/>
  <c r="AF542" i="1"/>
  <c r="AD542" i="1"/>
  <c r="AB542" i="1"/>
  <c r="Z542" i="1"/>
  <c r="X542" i="1"/>
  <c r="V542" i="1"/>
  <c r="Q542" i="1"/>
  <c r="P542" i="1"/>
  <c r="N542" i="1"/>
  <c r="L542" i="1"/>
  <c r="J542" i="1"/>
  <c r="H542" i="1"/>
  <c r="F542" i="1"/>
  <c r="D542" i="1"/>
  <c r="AI541" i="1"/>
  <c r="AH541" i="1"/>
  <c r="AF541" i="1"/>
  <c r="AD541" i="1"/>
  <c r="AB541" i="1"/>
  <c r="Z541" i="1"/>
  <c r="X541" i="1"/>
  <c r="V541" i="1"/>
  <c r="Q541" i="1"/>
  <c r="P541" i="1"/>
  <c r="N541" i="1"/>
  <c r="L541" i="1"/>
  <c r="J541" i="1"/>
  <c r="H541" i="1"/>
  <c r="F541" i="1"/>
  <c r="D541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AI539" i="1"/>
  <c r="AH539" i="1"/>
  <c r="AF539" i="1"/>
  <c r="AD539" i="1"/>
  <c r="AB539" i="1"/>
  <c r="Z539" i="1"/>
  <c r="X539" i="1"/>
  <c r="V539" i="1"/>
  <c r="Q539" i="1"/>
  <c r="P539" i="1"/>
  <c r="N539" i="1"/>
  <c r="L539" i="1"/>
  <c r="J539" i="1"/>
  <c r="H539" i="1"/>
  <c r="F539" i="1"/>
  <c r="D539" i="1"/>
  <c r="AI538" i="1"/>
  <c r="AH538" i="1"/>
  <c r="AF538" i="1"/>
  <c r="AD538" i="1"/>
  <c r="AB538" i="1"/>
  <c r="Z538" i="1"/>
  <c r="X538" i="1"/>
  <c r="V538" i="1"/>
  <c r="Q538" i="1"/>
  <c r="P538" i="1"/>
  <c r="N538" i="1"/>
  <c r="L538" i="1"/>
  <c r="J538" i="1"/>
  <c r="H538" i="1"/>
  <c r="F538" i="1"/>
  <c r="D538" i="1"/>
  <c r="AI533" i="1"/>
  <c r="AG533" i="1"/>
  <c r="AE533" i="1"/>
  <c r="AC533" i="1"/>
  <c r="AA533" i="1"/>
  <c r="Y533" i="1"/>
  <c r="W533" i="1"/>
  <c r="U533" i="1"/>
  <c r="Q533" i="1"/>
  <c r="O533" i="1"/>
  <c r="M533" i="1"/>
  <c r="K533" i="1"/>
  <c r="I533" i="1"/>
  <c r="G533" i="1"/>
  <c r="E533" i="1"/>
  <c r="C533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AI531" i="1"/>
  <c r="AH531" i="1"/>
  <c r="AF531" i="1"/>
  <c r="AD531" i="1"/>
  <c r="AB531" i="1"/>
  <c r="Z531" i="1"/>
  <c r="X531" i="1"/>
  <c r="V531" i="1"/>
  <c r="Q531" i="1"/>
  <c r="P531" i="1"/>
  <c r="N531" i="1"/>
  <c r="L531" i="1"/>
  <c r="J531" i="1"/>
  <c r="H531" i="1"/>
  <c r="F531" i="1"/>
  <c r="D531" i="1"/>
  <c r="AI530" i="1"/>
  <c r="AH530" i="1"/>
  <c r="AF530" i="1"/>
  <c r="AD530" i="1"/>
  <c r="AB530" i="1"/>
  <c r="Z530" i="1"/>
  <c r="X530" i="1"/>
  <c r="V530" i="1"/>
  <c r="Q530" i="1"/>
  <c r="P530" i="1"/>
  <c r="N530" i="1"/>
  <c r="L530" i="1"/>
  <c r="J530" i="1"/>
  <c r="H530" i="1"/>
  <c r="F530" i="1"/>
  <c r="D530" i="1"/>
  <c r="AI529" i="1"/>
  <c r="AH529" i="1"/>
  <c r="AF529" i="1"/>
  <c r="AD529" i="1"/>
  <c r="AB529" i="1"/>
  <c r="Z529" i="1"/>
  <c r="X529" i="1"/>
  <c r="V529" i="1"/>
  <c r="Q529" i="1"/>
  <c r="P529" i="1"/>
  <c r="N529" i="1"/>
  <c r="L529" i="1"/>
  <c r="J529" i="1"/>
  <c r="H529" i="1"/>
  <c r="F529" i="1"/>
  <c r="D529" i="1"/>
  <c r="AI528" i="1"/>
  <c r="AH528" i="1"/>
  <c r="AF528" i="1"/>
  <c r="AD528" i="1"/>
  <c r="AB528" i="1"/>
  <c r="Z528" i="1"/>
  <c r="X528" i="1"/>
  <c r="V528" i="1"/>
  <c r="Q528" i="1"/>
  <c r="P528" i="1"/>
  <c r="N528" i="1"/>
  <c r="L528" i="1"/>
  <c r="J528" i="1"/>
  <c r="H528" i="1"/>
  <c r="F528" i="1"/>
  <c r="D528" i="1"/>
  <c r="AI527" i="1"/>
  <c r="AH527" i="1"/>
  <c r="AF527" i="1"/>
  <c r="AD527" i="1"/>
  <c r="AB527" i="1"/>
  <c r="Z527" i="1"/>
  <c r="X527" i="1"/>
  <c r="V527" i="1"/>
  <c r="Q527" i="1"/>
  <c r="P527" i="1"/>
  <c r="N527" i="1"/>
  <c r="L527" i="1"/>
  <c r="J527" i="1"/>
  <c r="H527" i="1"/>
  <c r="F527" i="1"/>
  <c r="D527" i="1"/>
  <c r="AI526" i="1"/>
  <c r="AH526" i="1"/>
  <c r="AF526" i="1"/>
  <c r="AD526" i="1"/>
  <c r="AB526" i="1"/>
  <c r="Z526" i="1"/>
  <c r="X526" i="1"/>
  <c r="V526" i="1"/>
  <c r="Q526" i="1"/>
  <c r="P526" i="1"/>
  <c r="N526" i="1"/>
  <c r="L526" i="1"/>
  <c r="J526" i="1"/>
  <c r="H526" i="1"/>
  <c r="F526" i="1"/>
  <c r="D526" i="1"/>
  <c r="AI525" i="1"/>
  <c r="AH525" i="1"/>
  <c r="AF525" i="1"/>
  <c r="AD525" i="1"/>
  <c r="AB525" i="1"/>
  <c r="Z525" i="1"/>
  <c r="X525" i="1"/>
  <c r="V525" i="1"/>
  <c r="Q525" i="1"/>
  <c r="P525" i="1"/>
  <c r="N525" i="1"/>
  <c r="L525" i="1"/>
  <c r="J525" i="1"/>
  <c r="H525" i="1"/>
  <c r="F525" i="1"/>
  <c r="D525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AI523" i="1"/>
  <c r="AH523" i="1"/>
  <c r="AF523" i="1"/>
  <c r="AD523" i="1"/>
  <c r="AB523" i="1"/>
  <c r="Z523" i="1"/>
  <c r="X523" i="1"/>
  <c r="V523" i="1"/>
  <c r="Q523" i="1"/>
  <c r="P523" i="1"/>
  <c r="N523" i="1"/>
  <c r="L523" i="1"/>
  <c r="J523" i="1"/>
  <c r="H523" i="1"/>
  <c r="F523" i="1"/>
  <c r="D523" i="1"/>
  <c r="AI522" i="1"/>
  <c r="AH522" i="1"/>
  <c r="AF522" i="1"/>
  <c r="AD522" i="1"/>
  <c r="AB522" i="1"/>
  <c r="Z522" i="1"/>
  <c r="X522" i="1"/>
  <c r="V522" i="1"/>
  <c r="Q522" i="1"/>
  <c r="P522" i="1"/>
  <c r="N522" i="1"/>
  <c r="L522" i="1"/>
  <c r="J522" i="1"/>
  <c r="H522" i="1"/>
  <c r="F522" i="1"/>
  <c r="D522" i="1"/>
  <c r="AI517" i="1"/>
  <c r="AG517" i="1"/>
  <c r="AE517" i="1"/>
  <c r="AC517" i="1"/>
  <c r="AA517" i="1"/>
  <c r="Y517" i="1"/>
  <c r="W517" i="1"/>
  <c r="U517" i="1"/>
  <c r="Q517" i="1"/>
  <c r="O517" i="1"/>
  <c r="M517" i="1"/>
  <c r="K517" i="1"/>
  <c r="I517" i="1"/>
  <c r="G517" i="1"/>
  <c r="E517" i="1"/>
  <c r="C517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AI515" i="1"/>
  <c r="AH515" i="1"/>
  <c r="AF515" i="1"/>
  <c r="AD515" i="1"/>
  <c r="AB515" i="1"/>
  <c r="Z515" i="1"/>
  <c r="X515" i="1"/>
  <c r="V515" i="1"/>
  <c r="Q515" i="1"/>
  <c r="P515" i="1"/>
  <c r="N515" i="1"/>
  <c r="L515" i="1"/>
  <c r="J515" i="1"/>
  <c r="H515" i="1"/>
  <c r="F515" i="1"/>
  <c r="D515" i="1"/>
  <c r="AI514" i="1"/>
  <c r="AH514" i="1"/>
  <c r="AF514" i="1"/>
  <c r="AD514" i="1"/>
  <c r="AB514" i="1"/>
  <c r="Z514" i="1"/>
  <c r="X514" i="1"/>
  <c r="V514" i="1"/>
  <c r="Q514" i="1"/>
  <c r="P514" i="1"/>
  <c r="N514" i="1"/>
  <c r="L514" i="1"/>
  <c r="J514" i="1"/>
  <c r="H514" i="1"/>
  <c r="F514" i="1"/>
  <c r="D514" i="1"/>
  <c r="AI513" i="1"/>
  <c r="AH513" i="1"/>
  <c r="AF513" i="1"/>
  <c r="AD513" i="1"/>
  <c r="AB513" i="1"/>
  <c r="Z513" i="1"/>
  <c r="X513" i="1"/>
  <c r="V513" i="1"/>
  <c r="Q513" i="1"/>
  <c r="P513" i="1"/>
  <c r="N513" i="1"/>
  <c r="L513" i="1"/>
  <c r="J513" i="1"/>
  <c r="H513" i="1"/>
  <c r="F513" i="1"/>
  <c r="D513" i="1"/>
  <c r="AI512" i="1"/>
  <c r="AH512" i="1"/>
  <c r="AF512" i="1"/>
  <c r="AD512" i="1"/>
  <c r="AB512" i="1"/>
  <c r="Z512" i="1"/>
  <c r="X512" i="1"/>
  <c r="V512" i="1"/>
  <c r="Q512" i="1"/>
  <c r="P512" i="1"/>
  <c r="N512" i="1"/>
  <c r="L512" i="1"/>
  <c r="J512" i="1"/>
  <c r="H512" i="1"/>
  <c r="F512" i="1"/>
  <c r="D512" i="1"/>
  <c r="AI511" i="1"/>
  <c r="AH511" i="1"/>
  <c r="AF511" i="1"/>
  <c r="AD511" i="1"/>
  <c r="AB511" i="1"/>
  <c r="Z511" i="1"/>
  <c r="X511" i="1"/>
  <c r="V511" i="1"/>
  <c r="Q511" i="1"/>
  <c r="P511" i="1"/>
  <c r="N511" i="1"/>
  <c r="L511" i="1"/>
  <c r="J511" i="1"/>
  <c r="H511" i="1"/>
  <c r="F511" i="1"/>
  <c r="D511" i="1"/>
  <c r="AI510" i="1"/>
  <c r="AH510" i="1"/>
  <c r="AF510" i="1"/>
  <c r="AD510" i="1"/>
  <c r="AB510" i="1"/>
  <c r="Z510" i="1"/>
  <c r="X510" i="1"/>
  <c r="V510" i="1"/>
  <c r="Q510" i="1"/>
  <c r="P510" i="1"/>
  <c r="N510" i="1"/>
  <c r="L510" i="1"/>
  <c r="J510" i="1"/>
  <c r="H510" i="1"/>
  <c r="F510" i="1"/>
  <c r="D510" i="1"/>
  <c r="AI509" i="1"/>
  <c r="AH509" i="1"/>
  <c r="AF509" i="1"/>
  <c r="AD509" i="1"/>
  <c r="AB509" i="1"/>
  <c r="Z509" i="1"/>
  <c r="X509" i="1"/>
  <c r="V509" i="1"/>
  <c r="Q509" i="1"/>
  <c r="P509" i="1"/>
  <c r="N509" i="1"/>
  <c r="L509" i="1"/>
  <c r="J509" i="1"/>
  <c r="H509" i="1"/>
  <c r="F509" i="1"/>
  <c r="D509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AI507" i="1"/>
  <c r="AH507" i="1"/>
  <c r="AF507" i="1"/>
  <c r="AD507" i="1"/>
  <c r="AB507" i="1"/>
  <c r="Z507" i="1"/>
  <c r="X507" i="1"/>
  <c r="V507" i="1"/>
  <c r="Q507" i="1"/>
  <c r="P507" i="1"/>
  <c r="N507" i="1"/>
  <c r="L507" i="1"/>
  <c r="J507" i="1"/>
  <c r="H507" i="1"/>
  <c r="F507" i="1"/>
  <c r="D507" i="1"/>
  <c r="AI506" i="1"/>
  <c r="AH506" i="1"/>
  <c r="AF506" i="1"/>
  <c r="AD506" i="1"/>
  <c r="AB506" i="1"/>
  <c r="Z506" i="1"/>
  <c r="X506" i="1"/>
  <c r="V506" i="1"/>
  <c r="Q506" i="1"/>
  <c r="P506" i="1"/>
  <c r="N506" i="1"/>
  <c r="L506" i="1"/>
  <c r="J506" i="1"/>
  <c r="H506" i="1"/>
  <c r="F506" i="1"/>
  <c r="D506" i="1"/>
  <c r="AI499" i="1"/>
  <c r="AG499" i="1"/>
  <c r="AE499" i="1"/>
  <c r="AC499" i="1"/>
  <c r="AA499" i="1"/>
  <c r="Y499" i="1"/>
  <c r="W499" i="1"/>
  <c r="U499" i="1"/>
  <c r="Q499" i="1"/>
  <c r="O499" i="1"/>
  <c r="M499" i="1"/>
  <c r="K499" i="1"/>
  <c r="I499" i="1"/>
  <c r="G499" i="1"/>
  <c r="E499" i="1"/>
  <c r="C499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AI497" i="1"/>
  <c r="AH497" i="1"/>
  <c r="AF497" i="1"/>
  <c r="AD497" i="1"/>
  <c r="AB497" i="1"/>
  <c r="Z497" i="1"/>
  <c r="X497" i="1"/>
  <c r="V497" i="1"/>
  <c r="Q497" i="1"/>
  <c r="P497" i="1"/>
  <c r="N497" i="1"/>
  <c r="L497" i="1"/>
  <c r="J497" i="1"/>
  <c r="H497" i="1"/>
  <c r="F497" i="1"/>
  <c r="D497" i="1"/>
  <c r="AI496" i="1"/>
  <c r="AH496" i="1"/>
  <c r="AF496" i="1"/>
  <c r="AD496" i="1"/>
  <c r="AB496" i="1"/>
  <c r="Z496" i="1"/>
  <c r="X496" i="1"/>
  <c r="V496" i="1"/>
  <c r="Q496" i="1"/>
  <c r="P496" i="1"/>
  <c r="N496" i="1"/>
  <c r="L496" i="1"/>
  <c r="J496" i="1"/>
  <c r="H496" i="1"/>
  <c r="F496" i="1"/>
  <c r="D496" i="1"/>
  <c r="AI495" i="1"/>
  <c r="AH495" i="1"/>
  <c r="AF495" i="1"/>
  <c r="AD495" i="1"/>
  <c r="AB495" i="1"/>
  <c r="Z495" i="1"/>
  <c r="X495" i="1"/>
  <c r="V495" i="1"/>
  <c r="Q495" i="1"/>
  <c r="P495" i="1"/>
  <c r="N495" i="1"/>
  <c r="L495" i="1"/>
  <c r="J495" i="1"/>
  <c r="H495" i="1"/>
  <c r="F495" i="1"/>
  <c r="D495" i="1"/>
  <c r="AI494" i="1"/>
  <c r="AH494" i="1"/>
  <c r="AF494" i="1"/>
  <c r="AD494" i="1"/>
  <c r="AB494" i="1"/>
  <c r="Z494" i="1"/>
  <c r="X494" i="1"/>
  <c r="V494" i="1"/>
  <c r="Q494" i="1"/>
  <c r="P494" i="1"/>
  <c r="N494" i="1"/>
  <c r="L494" i="1"/>
  <c r="J494" i="1"/>
  <c r="H494" i="1"/>
  <c r="F494" i="1"/>
  <c r="D494" i="1"/>
  <c r="AI493" i="1"/>
  <c r="AH493" i="1"/>
  <c r="AF493" i="1"/>
  <c r="AD493" i="1"/>
  <c r="AB493" i="1"/>
  <c r="Z493" i="1"/>
  <c r="X493" i="1"/>
  <c r="V493" i="1"/>
  <c r="Q493" i="1"/>
  <c r="P493" i="1"/>
  <c r="N493" i="1"/>
  <c r="L493" i="1"/>
  <c r="J493" i="1"/>
  <c r="H493" i="1"/>
  <c r="F493" i="1"/>
  <c r="D493" i="1"/>
  <c r="AI492" i="1"/>
  <c r="AH492" i="1"/>
  <c r="AF492" i="1"/>
  <c r="AD492" i="1"/>
  <c r="AB492" i="1"/>
  <c r="Z492" i="1"/>
  <c r="X492" i="1"/>
  <c r="V492" i="1"/>
  <c r="Q492" i="1"/>
  <c r="P492" i="1"/>
  <c r="N492" i="1"/>
  <c r="L492" i="1"/>
  <c r="J492" i="1"/>
  <c r="H492" i="1"/>
  <c r="F492" i="1"/>
  <c r="D492" i="1"/>
  <c r="AI491" i="1"/>
  <c r="AH491" i="1"/>
  <c r="AF491" i="1"/>
  <c r="AD491" i="1"/>
  <c r="AB491" i="1"/>
  <c r="Z491" i="1"/>
  <c r="X491" i="1"/>
  <c r="V491" i="1"/>
  <c r="Q491" i="1"/>
  <c r="P491" i="1"/>
  <c r="N491" i="1"/>
  <c r="L491" i="1"/>
  <c r="J491" i="1"/>
  <c r="H491" i="1"/>
  <c r="F491" i="1"/>
  <c r="D491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AI489" i="1"/>
  <c r="AH489" i="1"/>
  <c r="AF489" i="1"/>
  <c r="AD489" i="1"/>
  <c r="AB489" i="1"/>
  <c r="Z489" i="1"/>
  <c r="X489" i="1"/>
  <c r="V489" i="1"/>
  <c r="Q489" i="1"/>
  <c r="P489" i="1"/>
  <c r="N489" i="1"/>
  <c r="L489" i="1"/>
  <c r="J489" i="1"/>
  <c r="H489" i="1"/>
  <c r="F489" i="1"/>
  <c r="D489" i="1"/>
  <c r="AI488" i="1"/>
  <c r="AH488" i="1"/>
  <c r="AF488" i="1"/>
  <c r="AD488" i="1"/>
  <c r="AB488" i="1"/>
  <c r="Z488" i="1"/>
  <c r="X488" i="1"/>
  <c r="V488" i="1"/>
  <c r="Q488" i="1"/>
  <c r="P488" i="1"/>
  <c r="N488" i="1"/>
  <c r="L488" i="1"/>
  <c r="J488" i="1"/>
  <c r="H488" i="1"/>
  <c r="F488" i="1"/>
  <c r="D488" i="1"/>
  <c r="AI483" i="1"/>
  <c r="AG483" i="1"/>
  <c r="AE483" i="1"/>
  <c r="AC483" i="1"/>
  <c r="AA483" i="1"/>
  <c r="Y483" i="1"/>
  <c r="W483" i="1"/>
  <c r="U483" i="1"/>
  <c r="Q483" i="1"/>
  <c r="O483" i="1"/>
  <c r="M483" i="1"/>
  <c r="K483" i="1"/>
  <c r="I483" i="1"/>
  <c r="G483" i="1"/>
  <c r="E483" i="1"/>
  <c r="C483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AI481" i="1"/>
  <c r="AH481" i="1"/>
  <c r="AF481" i="1"/>
  <c r="AD481" i="1"/>
  <c r="AB481" i="1"/>
  <c r="Z481" i="1"/>
  <c r="X481" i="1"/>
  <c r="V481" i="1"/>
  <c r="Q481" i="1"/>
  <c r="P481" i="1"/>
  <c r="N481" i="1"/>
  <c r="L481" i="1"/>
  <c r="J481" i="1"/>
  <c r="H481" i="1"/>
  <c r="F481" i="1"/>
  <c r="D481" i="1"/>
  <c r="AI480" i="1"/>
  <c r="AH480" i="1"/>
  <c r="AF480" i="1"/>
  <c r="AD480" i="1"/>
  <c r="AB480" i="1"/>
  <c r="Z480" i="1"/>
  <c r="X480" i="1"/>
  <c r="V480" i="1"/>
  <c r="Q480" i="1"/>
  <c r="P480" i="1"/>
  <c r="N480" i="1"/>
  <c r="L480" i="1"/>
  <c r="J480" i="1"/>
  <c r="H480" i="1"/>
  <c r="F480" i="1"/>
  <c r="D480" i="1"/>
  <c r="AI479" i="1"/>
  <c r="AH479" i="1"/>
  <c r="AF479" i="1"/>
  <c r="AD479" i="1"/>
  <c r="AB479" i="1"/>
  <c r="Z479" i="1"/>
  <c r="X479" i="1"/>
  <c r="V479" i="1"/>
  <c r="Q479" i="1"/>
  <c r="P479" i="1"/>
  <c r="N479" i="1"/>
  <c r="L479" i="1"/>
  <c r="J479" i="1"/>
  <c r="H479" i="1"/>
  <c r="F479" i="1"/>
  <c r="D479" i="1"/>
  <c r="AI478" i="1"/>
  <c r="AH478" i="1"/>
  <c r="AF478" i="1"/>
  <c r="AD478" i="1"/>
  <c r="AB478" i="1"/>
  <c r="Z478" i="1"/>
  <c r="X478" i="1"/>
  <c r="V478" i="1"/>
  <c r="Q478" i="1"/>
  <c r="P478" i="1"/>
  <c r="N478" i="1"/>
  <c r="L478" i="1"/>
  <c r="J478" i="1"/>
  <c r="H478" i="1"/>
  <c r="F478" i="1"/>
  <c r="D478" i="1"/>
  <c r="AI477" i="1"/>
  <c r="AH477" i="1"/>
  <c r="AF477" i="1"/>
  <c r="AD477" i="1"/>
  <c r="AB477" i="1"/>
  <c r="Z477" i="1"/>
  <c r="X477" i="1"/>
  <c r="V477" i="1"/>
  <c r="Q477" i="1"/>
  <c r="P477" i="1"/>
  <c r="N477" i="1"/>
  <c r="L477" i="1"/>
  <c r="J477" i="1"/>
  <c r="H477" i="1"/>
  <c r="F477" i="1"/>
  <c r="D477" i="1"/>
  <c r="AI476" i="1"/>
  <c r="AH476" i="1"/>
  <c r="AF476" i="1"/>
  <c r="AD476" i="1"/>
  <c r="AB476" i="1"/>
  <c r="Z476" i="1"/>
  <c r="X476" i="1"/>
  <c r="V476" i="1"/>
  <c r="Q476" i="1"/>
  <c r="P476" i="1"/>
  <c r="N476" i="1"/>
  <c r="L476" i="1"/>
  <c r="J476" i="1"/>
  <c r="H476" i="1"/>
  <c r="F476" i="1"/>
  <c r="D476" i="1"/>
  <c r="AI475" i="1"/>
  <c r="AH475" i="1"/>
  <c r="AF475" i="1"/>
  <c r="AD475" i="1"/>
  <c r="AB475" i="1"/>
  <c r="Z475" i="1"/>
  <c r="X475" i="1"/>
  <c r="V475" i="1"/>
  <c r="Q475" i="1"/>
  <c r="P475" i="1"/>
  <c r="N475" i="1"/>
  <c r="L475" i="1"/>
  <c r="J475" i="1"/>
  <c r="H475" i="1"/>
  <c r="F475" i="1"/>
  <c r="D475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AI473" i="1"/>
  <c r="AH473" i="1"/>
  <c r="AF473" i="1"/>
  <c r="AD473" i="1"/>
  <c r="AB473" i="1"/>
  <c r="Z473" i="1"/>
  <c r="X473" i="1"/>
  <c r="V473" i="1"/>
  <c r="Q473" i="1"/>
  <c r="P473" i="1"/>
  <c r="N473" i="1"/>
  <c r="L473" i="1"/>
  <c r="J473" i="1"/>
  <c r="H473" i="1"/>
  <c r="F473" i="1"/>
  <c r="D473" i="1"/>
  <c r="AI472" i="1"/>
  <c r="AH472" i="1"/>
  <c r="AF472" i="1"/>
  <c r="AD472" i="1"/>
  <c r="AB472" i="1"/>
  <c r="Z472" i="1"/>
  <c r="X472" i="1"/>
  <c r="V472" i="1"/>
  <c r="Q472" i="1"/>
  <c r="P472" i="1"/>
  <c r="N472" i="1"/>
  <c r="L472" i="1"/>
  <c r="J472" i="1"/>
  <c r="H472" i="1"/>
  <c r="F472" i="1"/>
  <c r="D472" i="1"/>
  <c r="AI467" i="1"/>
  <c r="AG467" i="1"/>
  <c r="AE467" i="1"/>
  <c r="AC467" i="1"/>
  <c r="AA467" i="1"/>
  <c r="Y467" i="1"/>
  <c r="W467" i="1"/>
  <c r="U467" i="1"/>
  <c r="Q467" i="1"/>
  <c r="O467" i="1"/>
  <c r="M467" i="1"/>
  <c r="K467" i="1"/>
  <c r="I467" i="1"/>
  <c r="G467" i="1"/>
  <c r="E467" i="1"/>
  <c r="C467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AI465" i="1"/>
  <c r="AH465" i="1"/>
  <c r="AF465" i="1"/>
  <c r="AD465" i="1"/>
  <c r="AB465" i="1"/>
  <c r="Z465" i="1"/>
  <c r="X465" i="1"/>
  <c r="V465" i="1"/>
  <c r="Q465" i="1"/>
  <c r="P465" i="1"/>
  <c r="N465" i="1"/>
  <c r="L465" i="1"/>
  <c r="J465" i="1"/>
  <c r="H465" i="1"/>
  <c r="F465" i="1"/>
  <c r="D465" i="1"/>
  <c r="AI464" i="1"/>
  <c r="AH464" i="1"/>
  <c r="AF464" i="1"/>
  <c r="AD464" i="1"/>
  <c r="AB464" i="1"/>
  <c r="Z464" i="1"/>
  <c r="X464" i="1"/>
  <c r="V464" i="1"/>
  <c r="Q464" i="1"/>
  <c r="P464" i="1"/>
  <c r="N464" i="1"/>
  <c r="L464" i="1"/>
  <c r="J464" i="1"/>
  <c r="H464" i="1"/>
  <c r="F464" i="1"/>
  <c r="D464" i="1"/>
  <c r="AI463" i="1"/>
  <c r="AH463" i="1"/>
  <c r="AF463" i="1"/>
  <c r="AD463" i="1"/>
  <c r="AB463" i="1"/>
  <c r="Z463" i="1"/>
  <c r="X463" i="1"/>
  <c r="V463" i="1"/>
  <c r="Q463" i="1"/>
  <c r="P463" i="1"/>
  <c r="N463" i="1"/>
  <c r="L463" i="1"/>
  <c r="J463" i="1"/>
  <c r="H463" i="1"/>
  <c r="F463" i="1"/>
  <c r="D463" i="1"/>
  <c r="AI462" i="1"/>
  <c r="AH462" i="1"/>
  <c r="AF462" i="1"/>
  <c r="AD462" i="1"/>
  <c r="AB462" i="1"/>
  <c r="Z462" i="1"/>
  <c r="X462" i="1"/>
  <c r="V462" i="1"/>
  <c r="Q462" i="1"/>
  <c r="P462" i="1"/>
  <c r="N462" i="1"/>
  <c r="L462" i="1"/>
  <c r="J462" i="1"/>
  <c r="H462" i="1"/>
  <c r="F462" i="1"/>
  <c r="D462" i="1"/>
  <c r="AI461" i="1"/>
  <c r="AH461" i="1"/>
  <c r="AF461" i="1"/>
  <c r="AD461" i="1"/>
  <c r="AB461" i="1"/>
  <c r="Z461" i="1"/>
  <c r="X461" i="1"/>
  <c r="V461" i="1"/>
  <c r="Q461" i="1"/>
  <c r="P461" i="1"/>
  <c r="N461" i="1"/>
  <c r="L461" i="1"/>
  <c r="J461" i="1"/>
  <c r="H461" i="1"/>
  <c r="F461" i="1"/>
  <c r="D461" i="1"/>
  <c r="AI460" i="1"/>
  <c r="AH460" i="1"/>
  <c r="AF460" i="1"/>
  <c r="AD460" i="1"/>
  <c r="AB460" i="1"/>
  <c r="Z460" i="1"/>
  <c r="X460" i="1"/>
  <c r="V460" i="1"/>
  <c r="Q460" i="1"/>
  <c r="P460" i="1"/>
  <c r="N460" i="1"/>
  <c r="L460" i="1"/>
  <c r="J460" i="1"/>
  <c r="H460" i="1"/>
  <c r="F460" i="1"/>
  <c r="D460" i="1"/>
  <c r="AI459" i="1"/>
  <c r="AH459" i="1"/>
  <c r="AF459" i="1"/>
  <c r="AD459" i="1"/>
  <c r="AB459" i="1"/>
  <c r="Z459" i="1"/>
  <c r="X459" i="1"/>
  <c r="V459" i="1"/>
  <c r="Q459" i="1"/>
  <c r="P459" i="1"/>
  <c r="N459" i="1"/>
  <c r="L459" i="1"/>
  <c r="J459" i="1"/>
  <c r="H459" i="1"/>
  <c r="F459" i="1"/>
  <c r="D459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AI457" i="1"/>
  <c r="AH457" i="1"/>
  <c r="AF457" i="1"/>
  <c r="AD457" i="1"/>
  <c r="AB457" i="1"/>
  <c r="Z457" i="1"/>
  <c r="X457" i="1"/>
  <c r="V457" i="1"/>
  <c r="Q457" i="1"/>
  <c r="P457" i="1"/>
  <c r="N457" i="1"/>
  <c r="L457" i="1"/>
  <c r="J457" i="1"/>
  <c r="H457" i="1"/>
  <c r="F457" i="1"/>
  <c r="D457" i="1"/>
  <c r="AI456" i="1"/>
  <c r="AH456" i="1"/>
  <c r="AF456" i="1"/>
  <c r="AD456" i="1"/>
  <c r="AB456" i="1"/>
  <c r="Z456" i="1"/>
  <c r="X456" i="1"/>
  <c r="V456" i="1"/>
  <c r="Q456" i="1"/>
  <c r="P456" i="1"/>
  <c r="N456" i="1"/>
  <c r="L456" i="1"/>
  <c r="J456" i="1"/>
  <c r="H456" i="1"/>
  <c r="F456" i="1"/>
  <c r="D456" i="1"/>
  <c r="AI449" i="1"/>
  <c r="AG449" i="1"/>
  <c r="AE449" i="1"/>
  <c r="AC449" i="1"/>
  <c r="AA449" i="1"/>
  <c r="Y449" i="1"/>
  <c r="W449" i="1"/>
  <c r="U449" i="1"/>
  <c r="Q449" i="1"/>
  <c r="O449" i="1"/>
  <c r="M449" i="1"/>
  <c r="K449" i="1"/>
  <c r="I449" i="1"/>
  <c r="G449" i="1"/>
  <c r="E449" i="1"/>
  <c r="C449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AI447" i="1"/>
  <c r="AH447" i="1"/>
  <c r="AF447" i="1"/>
  <c r="AD447" i="1"/>
  <c r="AB447" i="1"/>
  <c r="Z447" i="1"/>
  <c r="X447" i="1"/>
  <c r="V447" i="1"/>
  <c r="Q447" i="1"/>
  <c r="P447" i="1"/>
  <c r="N447" i="1"/>
  <c r="L447" i="1"/>
  <c r="J447" i="1"/>
  <c r="H447" i="1"/>
  <c r="F447" i="1"/>
  <c r="D447" i="1"/>
  <c r="AI446" i="1"/>
  <c r="AH446" i="1"/>
  <c r="AF446" i="1"/>
  <c r="AD446" i="1"/>
  <c r="AB446" i="1"/>
  <c r="Z446" i="1"/>
  <c r="X446" i="1"/>
  <c r="V446" i="1"/>
  <c r="Q446" i="1"/>
  <c r="P446" i="1"/>
  <c r="N446" i="1"/>
  <c r="L446" i="1"/>
  <c r="J446" i="1"/>
  <c r="H446" i="1"/>
  <c r="F446" i="1"/>
  <c r="D446" i="1"/>
  <c r="AI445" i="1"/>
  <c r="AH445" i="1"/>
  <c r="AF445" i="1"/>
  <c r="AD445" i="1"/>
  <c r="AB445" i="1"/>
  <c r="Z445" i="1"/>
  <c r="X445" i="1"/>
  <c r="V445" i="1"/>
  <c r="Q445" i="1"/>
  <c r="P445" i="1"/>
  <c r="N445" i="1"/>
  <c r="L445" i="1"/>
  <c r="J445" i="1"/>
  <c r="H445" i="1"/>
  <c r="F445" i="1"/>
  <c r="D445" i="1"/>
  <c r="AI444" i="1"/>
  <c r="AH444" i="1"/>
  <c r="AF444" i="1"/>
  <c r="AD444" i="1"/>
  <c r="AB444" i="1"/>
  <c r="Z444" i="1"/>
  <c r="X444" i="1"/>
  <c r="V444" i="1"/>
  <c r="Q444" i="1"/>
  <c r="P444" i="1"/>
  <c r="N444" i="1"/>
  <c r="L444" i="1"/>
  <c r="J444" i="1"/>
  <c r="H444" i="1"/>
  <c r="F444" i="1"/>
  <c r="D444" i="1"/>
  <c r="AI443" i="1"/>
  <c r="AH443" i="1"/>
  <c r="AF443" i="1"/>
  <c r="AD443" i="1"/>
  <c r="AB443" i="1"/>
  <c r="Z443" i="1"/>
  <c r="X443" i="1"/>
  <c r="V443" i="1"/>
  <c r="Q443" i="1"/>
  <c r="P443" i="1"/>
  <c r="N443" i="1"/>
  <c r="L443" i="1"/>
  <c r="J443" i="1"/>
  <c r="H443" i="1"/>
  <c r="F443" i="1"/>
  <c r="D443" i="1"/>
  <c r="AI442" i="1"/>
  <c r="AH442" i="1"/>
  <c r="AF442" i="1"/>
  <c r="AD442" i="1"/>
  <c r="AB442" i="1"/>
  <c r="Z442" i="1"/>
  <c r="X442" i="1"/>
  <c r="V442" i="1"/>
  <c r="Q442" i="1"/>
  <c r="P442" i="1"/>
  <c r="N442" i="1"/>
  <c r="L442" i="1"/>
  <c r="J442" i="1"/>
  <c r="H442" i="1"/>
  <c r="F442" i="1"/>
  <c r="D442" i="1"/>
  <c r="AI441" i="1"/>
  <c r="AH441" i="1"/>
  <c r="AF441" i="1"/>
  <c r="AD441" i="1"/>
  <c r="AB441" i="1"/>
  <c r="Z441" i="1"/>
  <c r="X441" i="1"/>
  <c r="V441" i="1"/>
  <c r="Q441" i="1"/>
  <c r="P441" i="1"/>
  <c r="N441" i="1"/>
  <c r="L441" i="1"/>
  <c r="J441" i="1"/>
  <c r="H441" i="1"/>
  <c r="F441" i="1"/>
  <c r="D441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AI439" i="1"/>
  <c r="AH439" i="1"/>
  <c r="AF439" i="1"/>
  <c r="AD439" i="1"/>
  <c r="AB439" i="1"/>
  <c r="Z439" i="1"/>
  <c r="X439" i="1"/>
  <c r="V439" i="1"/>
  <c r="Q439" i="1"/>
  <c r="P439" i="1"/>
  <c r="N439" i="1"/>
  <c r="L439" i="1"/>
  <c r="J439" i="1"/>
  <c r="H439" i="1"/>
  <c r="F439" i="1"/>
  <c r="D439" i="1"/>
  <c r="AI438" i="1"/>
  <c r="AH438" i="1"/>
  <c r="AF438" i="1"/>
  <c r="AD438" i="1"/>
  <c r="AB438" i="1"/>
  <c r="Z438" i="1"/>
  <c r="X438" i="1"/>
  <c r="V438" i="1"/>
  <c r="Q438" i="1"/>
  <c r="P438" i="1"/>
  <c r="N438" i="1"/>
  <c r="L438" i="1"/>
  <c r="J438" i="1"/>
  <c r="H438" i="1"/>
  <c r="F438" i="1"/>
  <c r="D438" i="1"/>
  <c r="AI433" i="1"/>
  <c r="AG433" i="1"/>
  <c r="AE433" i="1"/>
  <c r="AC433" i="1"/>
  <c r="AA433" i="1"/>
  <c r="Y433" i="1"/>
  <c r="W433" i="1"/>
  <c r="U433" i="1"/>
  <c r="Q433" i="1"/>
  <c r="O433" i="1"/>
  <c r="M433" i="1"/>
  <c r="K433" i="1"/>
  <c r="I433" i="1"/>
  <c r="G433" i="1"/>
  <c r="E433" i="1"/>
  <c r="C433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AI431" i="1"/>
  <c r="AH431" i="1"/>
  <c r="AF431" i="1"/>
  <c r="AD431" i="1"/>
  <c r="AB431" i="1"/>
  <c r="Z431" i="1"/>
  <c r="X431" i="1"/>
  <c r="V431" i="1"/>
  <c r="Q431" i="1"/>
  <c r="P431" i="1"/>
  <c r="N431" i="1"/>
  <c r="L431" i="1"/>
  <c r="J431" i="1"/>
  <c r="H431" i="1"/>
  <c r="F431" i="1"/>
  <c r="D431" i="1"/>
  <c r="AI430" i="1"/>
  <c r="AH430" i="1"/>
  <c r="AF430" i="1"/>
  <c r="AD430" i="1"/>
  <c r="AB430" i="1"/>
  <c r="Z430" i="1"/>
  <c r="X430" i="1"/>
  <c r="V430" i="1"/>
  <c r="Q430" i="1"/>
  <c r="P430" i="1"/>
  <c r="N430" i="1"/>
  <c r="L430" i="1"/>
  <c r="J430" i="1"/>
  <c r="H430" i="1"/>
  <c r="F430" i="1"/>
  <c r="D430" i="1"/>
  <c r="AI429" i="1"/>
  <c r="AH429" i="1"/>
  <c r="AF429" i="1"/>
  <c r="AD429" i="1"/>
  <c r="AB429" i="1"/>
  <c r="Z429" i="1"/>
  <c r="X429" i="1"/>
  <c r="V429" i="1"/>
  <c r="Q429" i="1"/>
  <c r="P429" i="1"/>
  <c r="N429" i="1"/>
  <c r="L429" i="1"/>
  <c r="J429" i="1"/>
  <c r="H429" i="1"/>
  <c r="F429" i="1"/>
  <c r="D429" i="1"/>
  <c r="AI428" i="1"/>
  <c r="AH428" i="1"/>
  <c r="AF428" i="1"/>
  <c r="AD428" i="1"/>
  <c r="AB428" i="1"/>
  <c r="Z428" i="1"/>
  <c r="X428" i="1"/>
  <c r="V428" i="1"/>
  <c r="Q428" i="1"/>
  <c r="P428" i="1"/>
  <c r="N428" i="1"/>
  <c r="L428" i="1"/>
  <c r="J428" i="1"/>
  <c r="H428" i="1"/>
  <c r="F428" i="1"/>
  <c r="D428" i="1"/>
  <c r="AI427" i="1"/>
  <c r="AH427" i="1"/>
  <c r="AF427" i="1"/>
  <c r="AD427" i="1"/>
  <c r="AB427" i="1"/>
  <c r="Z427" i="1"/>
  <c r="X427" i="1"/>
  <c r="V427" i="1"/>
  <c r="Q427" i="1"/>
  <c r="P427" i="1"/>
  <c r="N427" i="1"/>
  <c r="L427" i="1"/>
  <c r="J427" i="1"/>
  <c r="H427" i="1"/>
  <c r="F427" i="1"/>
  <c r="D427" i="1"/>
  <c r="AI426" i="1"/>
  <c r="AH426" i="1"/>
  <c r="AF426" i="1"/>
  <c r="AD426" i="1"/>
  <c r="AB426" i="1"/>
  <c r="Z426" i="1"/>
  <c r="X426" i="1"/>
  <c r="V426" i="1"/>
  <c r="Q426" i="1"/>
  <c r="P426" i="1"/>
  <c r="N426" i="1"/>
  <c r="L426" i="1"/>
  <c r="J426" i="1"/>
  <c r="H426" i="1"/>
  <c r="F426" i="1"/>
  <c r="D426" i="1"/>
  <c r="AI425" i="1"/>
  <c r="AH425" i="1"/>
  <c r="AF425" i="1"/>
  <c r="AD425" i="1"/>
  <c r="AB425" i="1"/>
  <c r="Z425" i="1"/>
  <c r="X425" i="1"/>
  <c r="V425" i="1"/>
  <c r="Q425" i="1"/>
  <c r="P425" i="1"/>
  <c r="N425" i="1"/>
  <c r="L425" i="1"/>
  <c r="J425" i="1"/>
  <c r="H425" i="1"/>
  <c r="F425" i="1"/>
  <c r="D425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AI423" i="1"/>
  <c r="AH423" i="1"/>
  <c r="AF423" i="1"/>
  <c r="AD423" i="1"/>
  <c r="AB423" i="1"/>
  <c r="Z423" i="1"/>
  <c r="X423" i="1"/>
  <c r="V423" i="1"/>
  <c r="Q423" i="1"/>
  <c r="P423" i="1"/>
  <c r="N423" i="1"/>
  <c r="L423" i="1"/>
  <c r="J423" i="1"/>
  <c r="H423" i="1"/>
  <c r="F423" i="1"/>
  <c r="D423" i="1"/>
  <c r="AI422" i="1"/>
  <c r="AH422" i="1"/>
  <c r="AF422" i="1"/>
  <c r="AD422" i="1"/>
  <c r="AB422" i="1"/>
  <c r="Z422" i="1"/>
  <c r="X422" i="1"/>
  <c r="V422" i="1"/>
  <c r="Q422" i="1"/>
  <c r="P422" i="1"/>
  <c r="N422" i="1"/>
  <c r="L422" i="1"/>
  <c r="J422" i="1"/>
  <c r="H422" i="1"/>
  <c r="F422" i="1"/>
  <c r="D422" i="1"/>
  <c r="AI417" i="1"/>
  <c r="AG417" i="1"/>
  <c r="AE417" i="1"/>
  <c r="AC417" i="1"/>
  <c r="AA417" i="1"/>
  <c r="Y417" i="1"/>
  <c r="W417" i="1"/>
  <c r="U417" i="1"/>
  <c r="Q417" i="1"/>
  <c r="O417" i="1"/>
  <c r="M417" i="1"/>
  <c r="K417" i="1"/>
  <c r="I417" i="1"/>
  <c r="G417" i="1"/>
  <c r="E417" i="1"/>
  <c r="C417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AI415" i="1"/>
  <c r="AH415" i="1"/>
  <c r="AF415" i="1"/>
  <c r="AD415" i="1"/>
  <c r="AB415" i="1"/>
  <c r="Z415" i="1"/>
  <c r="X415" i="1"/>
  <c r="V415" i="1"/>
  <c r="Q415" i="1"/>
  <c r="P415" i="1"/>
  <c r="N415" i="1"/>
  <c r="L415" i="1"/>
  <c r="J415" i="1"/>
  <c r="H415" i="1"/>
  <c r="F415" i="1"/>
  <c r="D415" i="1"/>
  <c r="AI414" i="1"/>
  <c r="AH414" i="1"/>
  <c r="AF414" i="1"/>
  <c r="AD414" i="1"/>
  <c r="AB414" i="1"/>
  <c r="Z414" i="1"/>
  <c r="X414" i="1"/>
  <c r="V414" i="1"/>
  <c r="Q414" i="1"/>
  <c r="P414" i="1"/>
  <c r="N414" i="1"/>
  <c r="L414" i="1"/>
  <c r="J414" i="1"/>
  <c r="H414" i="1"/>
  <c r="F414" i="1"/>
  <c r="D414" i="1"/>
  <c r="AI413" i="1"/>
  <c r="AH413" i="1"/>
  <c r="AF413" i="1"/>
  <c r="AD413" i="1"/>
  <c r="AB413" i="1"/>
  <c r="Z413" i="1"/>
  <c r="X413" i="1"/>
  <c r="V413" i="1"/>
  <c r="Q413" i="1"/>
  <c r="P413" i="1"/>
  <c r="N413" i="1"/>
  <c r="L413" i="1"/>
  <c r="J413" i="1"/>
  <c r="H413" i="1"/>
  <c r="F413" i="1"/>
  <c r="D413" i="1"/>
  <c r="AI412" i="1"/>
  <c r="AH412" i="1"/>
  <c r="AF412" i="1"/>
  <c r="AD412" i="1"/>
  <c r="AB412" i="1"/>
  <c r="Z412" i="1"/>
  <c r="X412" i="1"/>
  <c r="V412" i="1"/>
  <c r="Q412" i="1"/>
  <c r="P412" i="1"/>
  <c r="N412" i="1"/>
  <c r="L412" i="1"/>
  <c r="J412" i="1"/>
  <c r="H412" i="1"/>
  <c r="F412" i="1"/>
  <c r="D412" i="1"/>
  <c r="AI411" i="1"/>
  <c r="AH411" i="1"/>
  <c r="AF411" i="1"/>
  <c r="AD411" i="1"/>
  <c r="AB411" i="1"/>
  <c r="Z411" i="1"/>
  <c r="X411" i="1"/>
  <c r="V411" i="1"/>
  <c r="Q411" i="1"/>
  <c r="P411" i="1"/>
  <c r="N411" i="1"/>
  <c r="L411" i="1"/>
  <c r="J411" i="1"/>
  <c r="H411" i="1"/>
  <c r="F411" i="1"/>
  <c r="D411" i="1"/>
  <c r="AI410" i="1"/>
  <c r="AH410" i="1"/>
  <c r="AF410" i="1"/>
  <c r="AD410" i="1"/>
  <c r="AB410" i="1"/>
  <c r="Z410" i="1"/>
  <c r="X410" i="1"/>
  <c r="V410" i="1"/>
  <c r="Q410" i="1"/>
  <c r="P410" i="1"/>
  <c r="N410" i="1"/>
  <c r="L410" i="1"/>
  <c r="J410" i="1"/>
  <c r="H410" i="1"/>
  <c r="F410" i="1"/>
  <c r="D410" i="1"/>
  <c r="AI409" i="1"/>
  <c r="AH409" i="1"/>
  <c r="AF409" i="1"/>
  <c r="AD409" i="1"/>
  <c r="AB409" i="1"/>
  <c r="Z409" i="1"/>
  <c r="X409" i="1"/>
  <c r="V409" i="1"/>
  <c r="Q409" i="1"/>
  <c r="P409" i="1"/>
  <c r="N409" i="1"/>
  <c r="L409" i="1"/>
  <c r="J409" i="1"/>
  <c r="H409" i="1"/>
  <c r="F409" i="1"/>
  <c r="D409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AI407" i="1"/>
  <c r="AH407" i="1"/>
  <c r="AF407" i="1"/>
  <c r="AD407" i="1"/>
  <c r="AB407" i="1"/>
  <c r="Z407" i="1"/>
  <c r="X407" i="1"/>
  <c r="V407" i="1"/>
  <c r="Q407" i="1"/>
  <c r="P407" i="1"/>
  <c r="N407" i="1"/>
  <c r="L407" i="1"/>
  <c r="J407" i="1"/>
  <c r="H407" i="1"/>
  <c r="F407" i="1"/>
  <c r="D407" i="1"/>
  <c r="AI406" i="1"/>
  <c r="AH406" i="1"/>
  <c r="AF406" i="1"/>
  <c r="AD406" i="1"/>
  <c r="AB406" i="1"/>
  <c r="Z406" i="1"/>
  <c r="X406" i="1"/>
  <c r="V406" i="1"/>
  <c r="Q406" i="1"/>
  <c r="P406" i="1"/>
  <c r="N406" i="1"/>
  <c r="L406" i="1"/>
  <c r="J406" i="1"/>
  <c r="H406" i="1"/>
  <c r="F406" i="1"/>
  <c r="D406" i="1"/>
  <c r="AI399" i="1"/>
  <c r="AG399" i="1"/>
  <c r="AE399" i="1"/>
  <c r="AC399" i="1"/>
  <c r="AA399" i="1"/>
  <c r="Y399" i="1"/>
  <c r="W399" i="1"/>
  <c r="U399" i="1"/>
  <c r="Q399" i="1"/>
  <c r="O399" i="1"/>
  <c r="M399" i="1"/>
  <c r="K399" i="1"/>
  <c r="I399" i="1"/>
  <c r="G399" i="1"/>
  <c r="E399" i="1"/>
  <c r="C399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AI397" i="1"/>
  <c r="AH397" i="1"/>
  <c r="AF397" i="1"/>
  <c r="AD397" i="1"/>
  <c r="AB397" i="1"/>
  <c r="Z397" i="1"/>
  <c r="X397" i="1"/>
  <c r="V397" i="1"/>
  <c r="Q397" i="1"/>
  <c r="P397" i="1"/>
  <c r="N397" i="1"/>
  <c r="L397" i="1"/>
  <c r="J397" i="1"/>
  <c r="H397" i="1"/>
  <c r="F397" i="1"/>
  <c r="D397" i="1"/>
  <c r="AI396" i="1"/>
  <c r="AH396" i="1"/>
  <c r="AF396" i="1"/>
  <c r="AD396" i="1"/>
  <c r="AB396" i="1"/>
  <c r="Z396" i="1"/>
  <c r="X396" i="1"/>
  <c r="V396" i="1"/>
  <c r="Q396" i="1"/>
  <c r="P396" i="1"/>
  <c r="N396" i="1"/>
  <c r="L396" i="1"/>
  <c r="J396" i="1"/>
  <c r="H396" i="1"/>
  <c r="F396" i="1"/>
  <c r="D396" i="1"/>
  <c r="AI395" i="1"/>
  <c r="AH395" i="1"/>
  <c r="AF395" i="1"/>
  <c r="AD395" i="1"/>
  <c r="AB395" i="1"/>
  <c r="Z395" i="1"/>
  <c r="X395" i="1"/>
  <c r="V395" i="1"/>
  <c r="Q395" i="1"/>
  <c r="P395" i="1"/>
  <c r="N395" i="1"/>
  <c r="L395" i="1"/>
  <c r="J395" i="1"/>
  <c r="H395" i="1"/>
  <c r="F395" i="1"/>
  <c r="D395" i="1"/>
  <c r="AI394" i="1"/>
  <c r="AH394" i="1"/>
  <c r="AF394" i="1"/>
  <c r="AD394" i="1"/>
  <c r="AB394" i="1"/>
  <c r="Z394" i="1"/>
  <c r="X394" i="1"/>
  <c r="V394" i="1"/>
  <c r="Q394" i="1"/>
  <c r="P394" i="1"/>
  <c r="N394" i="1"/>
  <c r="L394" i="1"/>
  <c r="J394" i="1"/>
  <c r="H394" i="1"/>
  <c r="F394" i="1"/>
  <c r="D394" i="1"/>
  <c r="AI393" i="1"/>
  <c r="AH393" i="1"/>
  <c r="AF393" i="1"/>
  <c r="AD393" i="1"/>
  <c r="AB393" i="1"/>
  <c r="Z393" i="1"/>
  <c r="X393" i="1"/>
  <c r="V393" i="1"/>
  <c r="Q393" i="1"/>
  <c r="P393" i="1"/>
  <c r="N393" i="1"/>
  <c r="L393" i="1"/>
  <c r="J393" i="1"/>
  <c r="H393" i="1"/>
  <c r="F393" i="1"/>
  <c r="D393" i="1"/>
  <c r="AI392" i="1"/>
  <c r="AH392" i="1"/>
  <c r="AF392" i="1"/>
  <c r="AD392" i="1"/>
  <c r="AB392" i="1"/>
  <c r="Z392" i="1"/>
  <c r="X392" i="1"/>
  <c r="V392" i="1"/>
  <c r="Q392" i="1"/>
  <c r="P392" i="1"/>
  <c r="N392" i="1"/>
  <c r="L392" i="1"/>
  <c r="J392" i="1"/>
  <c r="H392" i="1"/>
  <c r="F392" i="1"/>
  <c r="D392" i="1"/>
  <c r="AI391" i="1"/>
  <c r="AH391" i="1"/>
  <c r="AF391" i="1"/>
  <c r="AD391" i="1"/>
  <c r="AB391" i="1"/>
  <c r="Z391" i="1"/>
  <c r="X391" i="1"/>
  <c r="V391" i="1"/>
  <c r="Q391" i="1"/>
  <c r="P391" i="1"/>
  <c r="N391" i="1"/>
  <c r="L391" i="1"/>
  <c r="J391" i="1"/>
  <c r="H391" i="1"/>
  <c r="F391" i="1"/>
  <c r="D391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AI389" i="1"/>
  <c r="AH389" i="1"/>
  <c r="AF389" i="1"/>
  <c r="AD389" i="1"/>
  <c r="AB389" i="1"/>
  <c r="Z389" i="1"/>
  <c r="X389" i="1"/>
  <c r="V389" i="1"/>
  <c r="Q389" i="1"/>
  <c r="P389" i="1"/>
  <c r="N389" i="1"/>
  <c r="L389" i="1"/>
  <c r="J389" i="1"/>
  <c r="H389" i="1"/>
  <c r="F389" i="1"/>
  <c r="D389" i="1"/>
  <c r="AI388" i="1"/>
  <c r="AH388" i="1"/>
  <c r="AF388" i="1"/>
  <c r="AD388" i="1"/>
  <c r="AB388" i="1"/>
  <c r="Z388" i="1"/>
  <c r="X388" i="1"/>
  <c r="V388" i="1"/>
  <c r="Q388" i="1"/>
  <c r="P388" i="1"/>
  <c r="N388" i="1"/>
  <c r="L388" i="1"/>
  <c r="J388" i="1"/>
  <c r="H388" i="1"/>
  <c r="F388" i="1"/>
  <c r="D388" i="1"/>
  <c r="AI383" i="1"/>
  <c r="AG383" i="1"/>
  <c r="AE383" i="1"/>
  <c r="AC383" i="1"/>
  <c r="AA383" i="1"/>
  <c r="Y383" i="1"/>
  <c r="W383" i="1"/>
  <c r="U383" i="1"/>
  <c r="Q383" i="1"/>
  <c r="O383" i="1"/>
  <c r="M383" i="1"/>
  <c r="K383" i="1"/>
  <c r="I383" i="1"/>
  <c r="G383" i="1"/>
  <c r="E383" i="1"/>
  <c r="C383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I381" i="1"/>
  <c r="AH381" i="1"/>
  <c r="AF381" i="1"/>
  <c r="AD381" i="1"/>
  <c r="AB381" i="1"/>
  <c r="Z381" i="1"/>
  <c r="X381" i="1"/>
  <c r="V381" i="1"/>
  <c r="Q381" i="1"/>
  <c r="P381" i="1"/>
  <c r="N381" i="1"/>
  <c r="L381" i="1"/>
  <c r="J381" i="1"/>
  <c r="H381" i="1"/>
  <c r="F381" i="1"/>
  <c r="D381" i="1"/>
  <c r="AI380" i="1"/>
  <c r="AH380" i="1"/>
  <c r="AF380" i="1"/>
  <c r="AD380" i="1"/>
  <c r="AB380" i="1"/>
  <c r="Z380" i="1"/>
  <c r="X380" i="1"/>
  <c r="V380" i="1"/>
  <c r="Q380" i="1"/>
  <c r="P380" i="1"/>
  <c r="N380" i="1"/>
  <c r="L380" i="1"/>
  <c r="J380" i="1"/>
  <c r="H380" i="1"/>
  <c r="F380" i="1"/>
  <c r="D380" i="1"/>
  <c r="AI379" i="1"/>
  <c r="AH379" i="1"/>
  <c r="AF379" i="1"/>
  <c r="AD379" i="1"/>
  <c r="AB379" i="1"/>
  <c r="Z379" i="1"/>
  <c r="X379" i="1"/>
  <c r="V379" i="1"/>
  <c r="Q379" i="1"/>
  <c r="P379" i="1"/>
  <c r="N379" i="1"/>
  <c r="L379" i="1"/>
  <c r="J379" i="1"/>
  <c r="H379" i="1"/>
  <c r="F379" i="1"/>
  <c r="D379" i="1"/>
  <c r="AI378" i="1"/>
  <c r="AH378" i="1"/>
  <c r="AF378" i="1"/>
  <c r="AD378" i="1"/>
  <c r="AB378" i="1"/>
  <c r="Z378" i="1"/>
  <c r="X378" i="1"/>
  <c r="V378" i="1"/>
  <c r="Q378" i="1"/>
  <c r="P378" i="1"/>
  <c r="N378" i="1"/>
  <c r="L378" i="1"/>
  <c r="J378" i="1"/>
  <c r="H378" i="1"/>
  <c r="F378" i="1"/>
  <c r="D378" i="1"/>
  <c r="AI377" i="1"/>
  <c r="AH377" i="1"/>
  <c r="AF377" i="1"/>
  <c r="AD377" i="1"/>
  <c r="AB377" i="1"/>
  <c r="Z377" i="1"/>
  <c r="X377" i="1"/>
  <c r="V377" i="1"/>
  <c r="Q377" i="1"/>
  <c r="P377" i="1"/>
  <c r="N377" i="1"/>
  <c r="L377" i="1"/>
  <c r="J377" i="1"/>
  <c r="H377" i="1"/>
  <c r="F377" i="1"/>
  <c r="D377" i="1"/>
  <c r="AI376" i="1"/>
  <c r="AH376" i="1"/>
  <c r="AF376" i="1"/>
  <c r="AD376" i="1"/>
  <c r="AB376" i="1"/>
  <c r="Z376" i="1"/>
  <c r="X376" i="1"/>
  <c r="V376" i="1"/>
  <c r="Q376" i="1"/>
  <c r="P376" i="1"/>
  <c r="N376" i="1"/>
  <c r="L376" i="1"/>
  <c r="J376" i="1"/>
  <c r="H376" i="1"/>
  <c r="F376" i="1"/>
  <c r="D376" i="1"/>
  <c r="AI375" i="1"/>
  <c r="AH375" i="1"/>
  <c r="AF375" i="1"/>
  <c r="AD375" i="1"/>
  <c r="AB375" i="1"/>
  <c r="Z375" i="1"/>
  <c r="X375" i="1"/>
  <c r="V375" i="1"/>
  <c r="Q375" i="1"/>
  <c r="P375" i="1"/>
  <c r="N375" i="1"/>
  <c r="L375" i="1"/>
  <c r="J375" i="1"/>
  <c r="H375" i="1"/>
  <c r="F375" i="1"/>
  <c r="D375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AI373" i="1"/>
  <c r="AH373" i="1"/>
  <c r="AF373" i="1"/>
  <c r="AD373" i="1"/>
  <c r="AB373" i="1"/>
  <c r="Z373" i="1"/>
  <c r="X373" i="1"/>
  <c r="V373" i="1"/>
  <c r="Q373" i="1"/>
  <c r="P373" i="1"/>
  <c r="N373" i="1"/>
  <c r="L373" i="1"/>
  <c r="J373" i="1"/>
  <c r="H373" i="1"/>
  <c r="F373" i="1"/>
  <c r="D373" i="1"/>
  <c r="AI372" i="1"/>
  <c r="AH372" i="1"/>
  <c r="AF372" i="1"/>
  <c r="AD372" i="1"/>
  <c r="AB372" i="1"/>
  <c r="Z372" i="1"/>
  <c r="X372" i="1"/>
  <c r="V372" i="1"/>
  <c r="Q372" i="1"/>
  <c r="P372" i="1"/>
  <c r="N372" i="1"/>
  <c r="L372" i="1"/>
  <c r="J372" i="1"/>
  <c r="H372" i="1"/>
  <c r="F372" i="1"/>
  <c r="D372" i="1"/>
  <c r="AI367" i="1"/>
  <c r="AG367" i="1"/>
  <c r="AE367" i="1"/>
  <c r="AC367" i="1"/>
  <c r="AA367" i="1"/>
  <c r="Y367" i="1"/>
  <c r="W367" i="1"/>
  <c r="U367" i="1"/>
  <c r="Q367" i="1"/>
  <c r="O367" i="1"/>
  <c r="M367" i="1"/>
  <c r="K367" i="1"/>
  <c r="I367" i="1"/>
  <c r="G367" i="1"/>
  <c r="E367" i="1"/>
  <c r="C367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AI365" i="1"/>
  <c r="AH365" i="1"/>
  <c r="AF365" i="1"/>
  <c r="AD365" i="1"/>
  <c r="AB365" i="1"/>
  <c r="Z365" i="1"/>
  <c r="X365" i="1"/>
  <c r="V365" i="1"/>
  <c r="Q365" i="1"/>
  <c r="P365" i="1"/>
  <c r="N365" i="1"/>
  <c r="L365" i="1"/>
  <c r="J365" i="1"/>
  <c r="H365" i="1"/>
  <c r="F365" i="1"/>
  <c r="D365" i="1"/>
  <c r="AI364" i="1"/>
  <c r="AH364" i="1"/>
  <c r="AF364" i="1"/>
  <c r="AD364" i="1"/>
  <c r="AB364" i="1"/>
  <c r="Z364" i="1"/>
  <c r="X364" i="1"/>
  <c r="V364" i="1"/>
  <c r="Q364" i="1"/>
  <c r="P364" i="1"/>
  <c r="N364" i="1"/>
  <c r="L364" i="1"/>
  <c r="J364" i="1"/>
  <c r="H364" i="1"/>
  <c r="F364" i="1"/>
  <c r="D364" i="1"/>
  <c r="AI363" i="1"/>
  <c r="AH363" i="1"/>
  <c r="AF363" i="1"/>
  <c r="AD363" i="1"/>
  <c r="AB363" i="1"/>
  <c r="Z363" i="1"/>
  <c r="X363" i="1"/>
  <c r="V363" i="1"/>
  <c r="Q363" i="1"/>
  <c r="P363" i="1"/>
  <c r="N363" i="1"/>
  <c r="L363" i="1"/>
  <c r="J363" i="1"/>
  <c r="H363" i="1"/>
  <c r="F363" i="1"/>
  <c r="D363" i="1"/>
  <c r="AI362" i="1"/>
  <c r="AH362" i="1"/>
  <c r="AF362" i="1"/>
  <c r="AD362" i="1"/>
  <c r="AB362" i="1"/>
  <c r="Z362" i="1"/>
  <c r="X362" i="1"/>
  <c r="V362" i="1"/>
  <c r="Q362" i="1"/>
  <c r="P362" i="1"/>
  <c r="N362" i="1"/>
  <c r="L362" i="1"/>
  <c r="J362" i="1"/>
  <c r="H362" i="1"/>
  <c r="F362" i="1"/>
  <c r="D362" i="1"/>
  <c r="AI361" i="1"/>
  <c r="AH361" i="1"/>
  <c r="AF361" i="1"/>
  <c r="AD361" i="1"/>
  <c r="AB361" i="1"/>
  <c r="Z361" i="1"/>
  <c r="X361" i="1"/>
  <c r="V361" i="1"/>
  <c r="Q361" i="1"/>
  <c r="P361" i="1"/>
  <c r="N361" i="1"/>
  <c r="L361" i="1"/>
  <c r="J361" i="1"/>
  <c r="H361" i="1"/>
  <c r="F361" i="1"/>
  <c r="D361" i="1"/>
  <c r="AI360" i="1"/>
  <c r="AH360" i="1"/>
  <c r="AF360" i="1"/>
  <c r="AD360" i="1"/>
  <c r="AB360" i="1"/>
  <c r="Z360" i="1"/>
  <c r="X360" i="1"/>
  <c r="V360" i="1"/>
  <c r="Q360" i="1"/>
  <c r="P360" i="1"/>
  <c r="N360" i="1"/>
  <c r="L360" i="1"/>
  <c r="J360" i="1"/>
  <c r="H360" i="1"/>
  <c r="F360" i="1"/>
  <c r="D360" i="1"/>
  <c r="AI359" i="1"/>
  <c r="AH359" i="1"/>
  <c r="AF359" i="1"/>
  <c r="AD359" i="1"/>
  <c r="AB359" i="1"/>
  <c r="Z359" i="1"/>
  <c r="X359" i="1"/>
  <c r="V359" i="1"/>
  <c r="Q359" i="1"/>
  <c r="P359" i="1"/>
  <c r="N359" i="1"/>
  <c r="L359" i="1"/>
  <c r="J359" i="1"/>
  <c r="H359" i="1"/>
  <c r="F359" i="1"/>
  <c r="D359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AI357" i="1"/>
  <c r="AH357" i="1"/>
  <c r="AF357" i="1"/>
  <c r="AD357" i="1"/>
  <c r="AB357" i="1"/>
  <c r="Z357" i="1"/>
  <c r="X357" i="1"/>
  <c r="V357" i="1"/>
  <c r="Q357" i="1"/>
  <c r="P357" i="1"/>
  <c r="N357" i="1"/>
  <c r="L357" i="1"/>
  <c r="J357" i="1"/>
  <c r="H357" i="1"/>
  <c r="F357" i="1"/>
  <c r="D357" i="1"/>
  <c r="AI356" i="1"/>
  <c r="AH356" i="1"/>
  <c r="AF356" i="1"/>
  <c r="AD356" i="1"/>
  <c r="AB356" i="1"/>
  <c r="Z356" i="1"/>
  <c r="X356" i="1"/>
  <c r="V356" i="1"/>
  <c r="Q356" i="1"/>
  <c r="P356" i="1"/>
  <c r="N356" i="1"/>
  <c r="L356" i="1"/>
  <c r="J356" i="1"/>
  <c r="H356" i="1"/>
  <c r="F356" i="1"/>
  <c r="D356" i="1"/>
  <c r="AI349" i="1"/>
  <c r="AG349" i="1"/>
  <c r="AE349" i="1"/>
  <c r="AC349" i="1"/>
  <c r="AA349" i="1"/>
  <c r="Y349" i="1"/>
  <c r="W349" i="1"/>
  <c r="U349" i="1"/>
  <c r="Q349" i="1"/>
  <c r="O349" i="1"/>
  <c r="M349" i="1"/>
  <c r="K349" i="1"/>
  <c r="I349" i="1"/>
  <c r="G349" i="1"/>
  <c r="E349" i="1"/>
  <c r="C349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AI347" i="1"/>
  <c r="AH347" i="1"/>
  <c r="AF347" i="1"/>
  <c r="AD347" i="1"/>
  <c r="AB347" i="1"/>
  <c r="Z347" i="1"/>
  <c r="X347" i="1"/>
  <c r="V347" i="1"/>
  <c r="Q347" i="1"/>
  <c r="P347" i="1"/>
  <c r="N347" i="1"/>
  <c r="L347" i="1"/>
  <c r="J347" i="1"/>
  <c r="H347" i="1"/>
  <c r="F347" i="1"/>
  <c r="D347" i="1"/>
  <c r="AI346" i="1"/>
  <c r="AH346" i="1"/>
  <c r="AF346" i="1"/>
  <c r="AD346" i="1"/>
  <c r="AB346" i="1"/>
  <c r="Z346" i="1"/>
  <c r="X346" i="1"/>
  <c r="V346" i="1"/>
  <c r="Q346" i="1"/>
  <c r="P346" i="1"/>
  <c r="N346" i="1"/>
  <c r="L346" i="1"/>
  <c r="J346" i="1"/>
  <c r="H346" i="1"/>
  <c r="F346" i="1"/>
  <c r="D346" i="1"/>
  <c r="AI345" i="1"/>
  <c r="AH345" i="1"/>
  <c r="AF345" i="1"/>
  <c r="AD345" i="1"/>
  <c r="AB345" i="1"/>
  <c r="Z345" i="1"/>
  <c r="X345" i="1"/>
  <c r="V345" i="1"/>
  <c r="Q345" i="1"/>
  <c r="P345" i="1"/>
  <c r="N345" i="1"/>
  <c r="L345" i="1"/>
  <c r="J345" i="1"/>
  <c r="H345" i="1"/>
  <c r="F345" i="1"/>
  <c r="D345" i="1"/>
  <c r="AI344" i="1"/>
  <c r="AH344" i="1"/>
  <c r="AF344" i="1"/>
  <c r="AD344" i="1"/>
  <c r="AB344" i="1"/>
  <c r="Z344" i="1"/>
  <c r="X344" i="1"/>
  <c r="V344" i="1"/>
  <c r="Q344" i="1"/>
  <c r="P344" i="1"/>
  <c r="N344" i="1"/>
  <c r="L344" i="1"/>
  <c r="J344" i="1"/>
  <c r="H344" i="1"/>
  <c r="F344" i="1"/>
  <c r="D344" i="1"/>
  <c r="AI343" i="1"/>
  <c r="AH343" i="1"/>
  <c r="AF343" i="1"/>
  <c r="AD343" i="1"/>
  <c r="AB343" i="1"/>
  <c r="Z343" i="1"/>
  <c r="X343" i="1"/>
  <c r="V343" i="1"/>
  <c r="Q343" i="1"/>
  <c r="P343" i="1"/>
  <c r="N343" i="1"/>
  <c r="L343" i="1"/>
  <c r="J343" i="1"/>
  <c r="H343" i="1"/>
  <c r="F343" i="1"/>
  <c r="D343" i="1"/>
  <c r="AI342" i="1"/>
  <c r="AH342" i="1"/>
  <c r="AF342" i="1"/>
  <c r="AD342" i="1"/>
  <c r="AB342" i="1"/>
  <c r="Z342" i="1"/>
  <c r="X342" i="1"/>
  <c r="V342" i="1"/>
  <c r="Q342" i="1"/>
  <c r="P342" i="1"/>
  <c r="N342" i="1"/>
  <c r="L342" i="1"/>
  <c r="J342" i="1"/>
  <c r="H342" i="1"/>
  <c r="F342" i="1"/>
  <c r="D342" i="1"/>
  <c r="AI341" i="1"/>
  <c r="AH341" i="1"/>
  <c r="AF341" i="1"/>
  <c r="AD341" i="1"/>
  <c r="AB341" i="1"/>
  <c r="Z341" i="1"/>
  <c r="X341" i="1"/>
  <c r="V341" i="1"/>
  <c r="Q341" i="1"/>
  <c r="P341" i="1"/>
  <c r="N341" i="1"/>
  <c r="L341" i="1"/>
  <c r="J341" i="1"/>
  <c r="H341" i="1"/>
  <c r="F341" i="1"/>
  <c r="D341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AI339" i="1"/>
  <c r="AH339" i="1"/>
  <c r="AF339" i="1"/>
  <c r="AD339" i="1"/>
  <c r="AB339" i="1"/>
  <c r="Z339" i="1"/>
  <c r="X339" i="1"/>
  <c r="V339" i="1"/>
  <c r="Q339" i="1"/>
  <c r="P339" i="1"/>
  <c r="N339" i="1"/>
  <c r="L339" i="1"/>
  <c r="J339" i="1"/>
  <c r="H339" i="1"/>
  <c r="F339" i="1"/>
  <c r="D339" i="1"/>
  <c r="AI338" i="1"/>
  <c r="AH338" i="1"/>
  <c r="AF338" i="1"/>
  <c r="AD338" i="1"/>
  <c r="AB338" i="1"/>
  <c r="Z338" i="1"/>
  <c r="X338" i="1"/>
  <c r="V338" i="1"/>
  <c r="Q338" i="1"/>
  <c r="P338" i="1"/>
  <c r="N338" i="1"/>
  <c r="L338" i="1"/>
  <c r="J338" i="1"/>
  <c r="H338" i="1"/>
  <c r="F338" i="1"/>
  <c r="D338" i="1"/>
  <c r="AI333" i="1"/>
  <c r="AG333" i="1"/>
  <c r="AE333" i="1"/>
  <c r="AC333" i="1"/>
  <c r="AA333" i="1"/>
  <c r="Y333" i="1"/>
  <c r="W333" i="1"/>
  <c r="U333" i="1"/>
  <c r="Q333" i="1"/>
  <c r="O333" i="1"/>
  <c r="M333" i="1"/>
  <c r="K333" i="1"/>
  <c r="I333" i="1"/>
  <c r="G333" i="1"/>
  <c r="E333" i="1"/>
  <c r="C333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AI331" i="1"/>
  <c r="AH331" i="1"/>
  <c r="AF331" i="1"/>
  <c r="AD331" i="1"/>
  <c r="AB331" i="1"/>
  <c r="Z331" i="1"/>
  <c r="X331" i="1"/>
  <c r="V331" i="1"/>
  <c r="Q331" i="1"/>
  <c r="P331" i="1"/>
  <c r="N331" i="1"/>
  <c r="L331" i="1"/>
  <c r="J331" i="1"/>
  <c r="H331" i="1"/>
  <c r="F331" i="1"/>
  <c r="D331" i="1"/>
  <c r="AI330" i="1"/>
  <c r="AH330" i="1"/>
  <c r="AF330" i="1"/>
  <c r="AD330" i="1"/>
  <c r="AB330" i="1"/>
  <c r="Z330" i="1"/>
  <c r="X330" i="1"/>
  <c r="V330" i="1"/>
  <c r="Q330" i="1"/>
  <c r="P330" i="1"/>
  <c r="N330" i="1"/>
  <c r="L330" i="1"/>
  <c r="J330" i="1"/>
  <c r="H330" i="1"/>
  <c r="F330" i="1"/>
  <c r="D330" i="1"/>
  <c r="AI329" i="1"/>
  <c r="AH329" i="1"/>
  <c r="AF329" i="1"/>
  <c r="AD329" i="1"/>
  <c r="AB329" i="1"/>
  <c r="Z329" i="1"/>
  <c r="X329" i="1"/>
  <c r="V329" i="1"/>
  <c r="Q329" i="1"/>
  <c r="P329" i="1"/>
  <c r="N329" i="1"/>
  <c r="L329" i="1"/>
  <c r="J329" i="1"/>
  <c r="H329" i="1"/>
  <c r="F329" i="1"/>
  <c r="D329" i="1"/>
  <c r="AI328" i="1"/>
  <c r="AH328" i="1"/>
  <c r="AF328" i="1"/>
  <c r="AD328" i="1"/>
  <c r="AB328" i="1"/>
  <c r="Z328" i="1"/>
  <c r="X328" i="1"/>
  <c r="V328" i="1"/>
  <c r="Q328" i="1"/>
  <c r="P328" i="1"/>
  <c r="N328" i="1"/>
  <c r="L328" i="1"/>
  <c r="J328" i="1"/>
  <c r="H328" i="1"/>
  <c r="F328" i="1"/>
  <c r="D328" i="1"/>
  <c r="AI327" i="1"/>
  <c r="AH327" i="1"/>
  <c r="AF327" i="1"/>
  <c r="AD327" i="1"/>
  <c r="AB327" i="1"/>
  <c r="Z327" i="1"/>
  <c r="X327" i="1"/>
  <c r="V327" i="1"/>
  <c r="Q327" i="1"/>
  <c r="P327" i="1"/>
  <c r="N327" i="1"/>
  <c r="L327" i="1"/>
  <c r="J327" i="1"/>
  <c r="H327" i="1"/>
  <c r="F327" i="1"/>
  <c r="D327" i="1"/>
  <c r="AI326" i="1"/>
  <c r="AH326" i="1"/>
  <c r="AF326" i="1"/>
  <c r="AD326" i="1"/>
  <c r="AB326" i="1"/>
  <c r="Z326" i="1"/>
  <c r="X326" i="1"/>
  <c r="V326" i="1"/>
  <c r="Q326" i="1"/>
  <c r="P326" i="1"/>
  <c r="N326" i="1"/>
  <c r="L326" i="1"/>
  <c r="J326" i="1"/>
  <c r="H326" i="1"/>
  <c r="F326" i="1"/>
  <c r="D326" i="1"/>
  <c r="AI325" i="1"/>
  <c r="AH325" i="1"/>
  <c r="AF325" i="1"/>
  <c r="AD325" i="1"/>
  <c r="AB325" i="1"/>
  <c r="Z325" i="1"/>
  <c r="X325" i="1"/>
  <c r="V325" i="1"/>
  <c r="Q325" i="1"/>
  <c r="P325" i="1"/>
  <c r="N325" i="1"/>
  <c r="L325" i="1"/>
  <c r="J325" i="1"/>
  <c r="H325" i="1"/>
  <c r="F325" i="1"/>
  <c r="D325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AI323" i="1"/>
  <c r="AH323" i="1"/>
  <c r="AF323" i="1"/>
  <c r="AD323" i="1"/>
  <c r="AB323" i="1"/>
  <c r="Z323" i="1"/>
  <c r="X323" i="1"/>
  <c r="V323" i="1"/>
  <c r="Q323" i="1"/>
  <c r="P323" i="1"/>
  <c r="N323" i="1"/>
  <c r="L323" i="1"/>
  <c r="J323" i="1"/>
  <c r="H323" i="1"/>
  <c r="F323" i="1"/>
  <c r="D323" i="1"/>
  <c r="AI322" i="1"/>
  <c r="AH322" i="1"/>
  <c r="AF322" i="1"/>
  <c r="AD322" i="1"/>
  <c r="AB322" i="1"/>
  <c r="Z322" i="1"/>
  <c r="X322" i="1"/>
  <c r="V322" i="1"/>
  <c r="Q322" i="1"/>
  <c r="P322" i="1"/>
  <c r="N322" i="1"/>
  <c r="L322" i="1"/>
  <c r="J322" i="1"/>
  <c r="H322" i="1"/>
  <c r="F322" i="1"/>
  <c r="D322" i="1"/>
  <c r="AI317" i="1"/>
  <c r="AG317" i="1"/>
  <c r="AE317" i="1"/>
  <c r="AC317" i="1"/>
  <c r="AA317" i="1"/>
  <c r="Y317" i="1"/>
  <c r="W317" i="1"/>
  <c r="U317" i="1"/>
  <c r="Q317" i="1"/>
  <c r="O317" i="1"/>
  <c r="M317" i="1"/>
  <c r="K317" i="1"/>
  <c r="I317" i="1"/>
  <c r="G317" i="1"/>
  <c r="E317" i="1"/>
  <c r="C317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AI315" i="1"/>
  <c r="AH315" i="1"/>
  <c r="AF315" i="1"/>
  <c r="AD315" i="1"/>
  <c r="AB315" i="1"/>
  <c r="Z315" i="1"/>
  <c r="X315" i="1"/>
  <c r="V315" i="1"/>
  <c r="Q315" i="1"/>
  <c r="P315" i="1"/>
  <c r="N315" i="1"/>
  <c r="L315" i="1"/>
  <c r="J315" i="1"/>
  <c r="H315" i="1"/>
  <c r="F315" i="1"/>
  <c r="D315" i="1"/>
  <c r="AI314" i="1"/>
  <c r="AH314" i="1"/>
  <c r="AF314" i="1"/>
  <c r="AD314" i="1"/>
  <c r="AB314" i="1"/>
  <c r="Z314" i="1"/>
  <c r="X314" i="1"/>
  <c r="V314" i="1"/>
  <c r="Q314" i="1"/>
  <c r="P314" i="1"/>
  <c r="N314" i="1"/>
  <c r="L314" i="1"/>
  <c r="J314" i="1"/>
  <c r="H314" i="1"/>
  <c r="F314" i="1"/>
  <c r="D314" i="1"/>
  <c r="AI313" i="1"/>
  <c r="AH313" i="1"/>
  <c r="AF313" i="1"/>
  <c r="AD313" i="1"/>
  <c r="AB313" i="1"/>
  <c r="Z313" i="1"/>
  <c r="X313" i="1"/>
  <c r="V313" i="1"/>
  <c r="Q313" i="1"/>
  <c r="P313" i="1"/>
  <c r="N313" i="1"/>
  <c r="L313" i="1"/>
  <c r="J313" i="1"/>
  <c r="H313" i="1"/>
  <c r="F313" i="1"/>
  <c r="D313" i="1"/>
  <c r="AI312" i="1"/>
  <c r="AH312" i="1"/>
  <c r="AF312" i="1"/>
  <c r="AD312" i="1"/>
  <c r="AB312" i="1"/>
  <c r="Z312" i="1"/>
  <c r="X312" i="1"/>
  <c r="V312" i="1"/>
  <c r="Q312" i="1"/>
  <c r="P312" i="1"/>
  <c r="N312" i="1"/>
  <c r="L312" i="1"/>
  <c r="J312" i="1"/>
  <c r="H312" i="1"/>
  <c r="F312" i="1"/>
  <c r="D312" i="1"/>
  <c r="AI311" i="1"/>
  <c r="AH311" i="1"/>
  <c r="AF311" i="1"/>
  <c r="AD311" i="1"/>
  <c r="AB311" i="1"/>
  <c r="Z311" i="1"/>
  <c r="X311" i="1"/>
  <c r="V311" i="1"/>
  <c r="Q311" i="1"/>
  <c r="P311" i="1"/>
  <c r="N311" i="1"/>
  <c r="L311" i="1"/>
  <c r="J311" i="1"/>
  <c r="H311" i="1"/>
  <c r="F311" i="1"/>
  <c r="D311" i="1"/>
  <c r="AI310" i="1"/>
  <c r="AH310" i="1"/>
  <c r="AF310" i="1"/>
  <c r="AD310" i="1"/>
  <c r="AB310" i="1"/>
  <c r="Z310" i="1"/>
  <c r="X310" i="1"/>
  <c r="V310" i="1"/>
  <c r="Q310" i="1"/>
  <c r="P310" i="1"/>
  <c r="N310" i="1"/>
  <c r="L310" i="1"/>
  <c r="J310" i="1"/>
  <c r="H310" i="1"/>
  <c r="F310" i="1"/>
  <c r="D310" i="1"/>
  <c r="AI309" i="1"/>
  <c r="AH309" i="1"/>
  <c r="AF309" i="1"/>
  <c r="AD309" i="1"/>
  <c r="AB309" i="1"/>
  <c r="Z309" i="1"/>
  <c r="X309" i="1"/>
  <c r="V309" i="1"/>
  <c r="Q309" i="1"/>
  <c r="P309" i="1"/>
  <c r="N309" i="1"/>
  <c r="L309" i="1"/>
  <c r="J309" i="1"/>
  <c r="H309" i="1"/>
  <c r="F309" i="1"/>
  <c r="D309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AI307" i="1"/>
  <c r="AH307" i="1"/>
  <c r="AF307" i="1"/>
  <c r="AD307" i="1"/>
  <c r="AB307" i="1"/>
  <c r="Z307" i="1"/>
  <c r="X307" i="1"/>
  <c r="V307" i="1"/>
  <c r="Q307" i="1"/>
  <c r="P307" i="1"/>
  <c r="N307" i="1"/>
  <c r="L307" i="1"/>
  <c r="J307" i="1"/>
  <c r="H307" i="1"/>
  <c r="F307" i="1"/>
  <c r="D307" i="1"/>
  <c r="AI306" i="1"/>
  <c r="AH306" i="1"/>
  <c r="AF306" i="1"/>
  <c r="AD306" i="1"/>
  <c r="AB306" i="1"/>
  <c r="Z306" i="1"/>
  <c r="X306" i="1"/>
  <c r="V306" i="1"/>
  <c r="Q306" i="1"/>
  <c r="P306" i="1"/>
  <c r="N306" i="1"/>
  <c r="L306" i="1"/>
  <c r="J306" i="1"/>
  <c r="H306" i="1"/>
  <c r="F306" i="1"/>
  <c r="D306" i="1"/>
  <c r="AF299" i="1"/>
  <c r="AD299" i="1"/>
  <c r="AB299" i="1"/>
  <c r="Z299" i="1"/>
  <c r="X299" i="1"/>
  <c r="N299" i="1"/>
  <c r="L299" i="1"/>
  <c r="J299" i="1"/>
  <c r="H299" i="1"/>
  <c r="F299" i="1"/>
  <c r="AF298" i="1"/>
  <c r="AE298" i="1"/>
  <c r="AD298" i="1"/>
  <c r="AC298" i="1"/>
  <c r="AB298" i="1"/>
  <c r="AA298" i="1"/>
  <c r="Z298" i="1"/>
  <c r="Y298" i="1"/>
  <c r="X298" i="1"/>
  <c r="N298" i="1"/>
  <c r="M298" i="1"/>
  <c r="L298" i="1"/>
  <c r="K298" i="1"/>
  <c r="J298" i="1"/>
  <c r="I298" i="1"/>
  <c r="H298" i="1"/>
  <c r="G298" i="1"/>
  <c r="F298" i="1"/>
  <c r="AF297" i="1"/>
  <c r="AE297" i="1"/>
  <c r="AC297" i="1"/>
  <c r="AA297" i="1"/>
  <c r="Y297" i="1"/>
  <c r="N297" i="1"/>
  <c r="M297" i="1"/>
  <c r="K297" i="1"/>
  <c r="I297" i="1"/>
  <c r="G297" i="1"/>
  <c r="AF296" i="1"/>
  <c r="AE296" i="1"/>
  <c r="AC296" i="1"/>
  <c r="AA296" i="1"/>
  <c r="Y296" i="1"/>
  <c r="N296" i="1"/>
  <c r="M296" i="1"/>
  <c r="K296" i="1"/>
  <c r="I296" i="1"/>
  <c r="G296" i="1"/>
  <c r="AF295" i="1"/>
  <c r="AE295" i="1"/>
  <c r="AC295" i="1"/>
  <c r="AA295" i="1"/>
  <c r="Y295" i="1"/>
  <c r="N295" i="1"/>
  <c r="M295" i="1"/>
  <c r="K295" i="1"/>
  <c r="I295" i="1"/>
  <c r="G295" i="1"/>
  <c r="AF294" i="1"/>
  <c r="AE294" i="1"/>
  <c r="AC294" i="1"/>
  <c r="AA294" i="1"/>
  <c r="Y294" i="1"/>
  <c r="N294" i="1"/>
  <c r="M294" i="1"/>
  <c r="K294" i="1"/>
  <c r="I294" i="1"/>
  <c r="G294" i="1"/>
  <c r="AF293" i="1"/>
  <c r="AE293" i="1"/>
  <c r="AC293" i="1"/>
  <c r="AA293" i="1"/>
  <c r="Y293" i="1"/>
  <c r="N293" i="1"/>
  <c r="M293" i="1"/>
  <c r="K293" i="1"/>
  <c r="I293" i="1"/>
  <c r="G293" i="1"/>
  <c r="AF292" i="1"/>
  <c r="AE292" i="1"/>
  <c r="AC292" i="1"/>
  <c r="AA292" i="1"/>
  <c r="Y292" i="1"/>
  <c r="N292" i="1"/>
  <c r="M292" i="1"/>
  <c r="K292" i="1"/>
  <c r="I292" i="1"/>
  <c r="G292" i="1"/>
  <c r="AF291" i="1"/>
  <c r="AE291" i="1"/>
  <c r="AC291" i="1"/>
  <c r="AA291" i="1"/>
  <c r="Y291" i="1"/>
  <c r="N291" i="1"/>
  <c r="M291" i="1"/>
  <c r="K291" i="1"/>
  <c r="I291" i="1"/>
  <c r="G291" i="1"/>
  <c r="AF290" i="1"/>
  <c r="AE290" i="1"/>
  <c r="AD290" i="1"/>
  <c r="AC290" i="1"/>
  <c r="AB290" i="1"/>
  <c r="AA290" i="1"/>
  <c r="Z290" i="1"/>
  <c r="Y290" i="1"/>
  <c r="X290" i="1"/>
  <c r="N290" i="1"/>
  <c r="M290" i="1"/>
  <c r="L290" i="1"/>
  <c r="K290" i="1"/>
  <c r="J290" i="1"/>
  <c r="I290" i="1"/>
  <c r="H290" i="1"/>
  <c r="G290" i="1"/>
  <c r="F290" i="1"/>
  <c r="AF289" i="1"/>
  <c r="AE289" i="1"/>
  <c r="AC289" i="1"/>
  <c r="AA289" i="1"/>
  <c r="Y289" i="1"/>
  <c r="N289" i="1"/>
  <c r="M289" i="1"/>
  <c r="K289" i="1"/>
  <c r="I289" i="1"/>
  <c r="G289" i="1"/>
  <c r="AF288" i="1"/>
  <c r="AE288" i="1"/>
  <c r="AC288" i="1"/>
  <c r="AA288" i="1"/>
  <c r="Y288" i="1"/>
  <c r="N288" i="1"/>
  <c r="M288" i="1"/>
  <c r="K288" i="1"/>
  <c r="I288" i="1"/>
  <c r="G288" i="1"/>
  <c r="BM283" i="1"/>
  <c r="BK283" i="1"/>
  <c r="BI283" i="1"/>
  <c r="BG283" i="1"/>
  <c r="BE283" i="1"/>
  <c r="AV283" i="1"/>
  <c r="AT283" i="1"/>
  <c r="AR283" i="1"/>
  <c r="AP283" i="1"/>
  <c r="AN283" i="1"/>
  <c r="AF283" i="1"/>
  <c r="AD283" i="1"/>
  <c r="AB283" i="1"/>
  <c r="Z283" i="1"/>
  <c r="X283" i="1"/>
  <c r="N283" i="1"/>
  <c r="L283" i="1"/>
  <c r="J283" i="1"/>
  <c r="H283" i="1"/>
  <c r="F283" i="1"/>
  <c r="BM282" i="1"/>
  <c r="BL282" i="1"/>
  <c r="BK282" i="1"/>
  <c r="BJ282" i="1"/>
  <c r="BI282" i="1"/>
  <c r="BH282" i="1"/>
  <c r="BG282" i="1"/>
  <c r="BF282" i="1"/>
  <c r="BE282" i="1"/>
  <c r="AV282" i="1"/>
  <c r="AU282" i="1"/>
  <c r="AT282" i="1"/>
  <c r="AS282" i="1"/>
  <c r="AR282" i="1"/>
  <c r="AQ282" i="1"/>
  <c r="AP282" i="1"/>
  <c r="AO282" i="1"/>
  <c r="AN282" i="1"/>
  <c r="AF282" i="1"/>
  <c r="AE282" i="1"/>
  <c r="AD282" i="1"/>
  <c r="AC282" i="1"/>
  <c r="AB282" i="1"/>
  <c r="AA282" i="1"/>
  <c r="Z282" i="1"/>
  <c r="Y282" i="1"/>
  <c r="X282" i="1"/>
  <c r="N282" i="1"/>
  <c r="M282" i="1"/>
  <c r="L282" i="1"/>
  <c r="K282" i="1"/>
  <c r="J282" i="1"/>
  <c r="I282" i="1"/>
  <c r="H282" i="1"/>
  <c r="G282" i="1"/>
  <c r="F282" i="1"/>
  <c r="BM281" i="1"/>
  <c r="BL281" i="1"/>
  <c r="BJ281" i="1"/>
  <c r="BH281" i="1"/>
  <c r="BF281" i="1"/>
  <c r="AV281" i="1"/>
  <c r="AU281" i="1"/>
  <c r="AS281" i="1"/>
  <c r="AQ281" i="1"/>
  <c r="AO281" i="1"/>
  <c r="AF281" i="1"/>
  <c r="AE281" i="1"/>
  <c r="AC281" i="1"/>
  <c r="AA281" i="1"/>
  <c r="Y281" i="1"/>
  <c r="N281" i="1"/>
  <c r="M281" i="1"/>
  <c r="K281" i="1"/>
  <c r="I281" i="1"/>
  <c r="G281" i="1"/>
  <c r="BM280" i="1"/>
  <c r="BL280" i="1"/>
  <c r="BJ280" i="1"/>
  <c r="BH280" i="1"/>
  <c r="BF280" i="1"/>
  <c r="AV280" i="1"/>
  <c r="AU280" i="1"/>
  <c r="AS280" i="1"/>
  <c r="AQ280" i="1"/>
  <c r="AO280" i="1"/>
  <c r="AF280" i="1"/>
  <c r="AE280" i="1"/>
  <c r="AC280" i="1"/>
  <c r="AA280" i="1"/>
  <c r="Y280" i="1"/>
  <c r="N280" i="1"/>
  <c r="M280" i="1"/>
  <c r="K280" i="1"/>
  <c r="I280" i="1"/>
  <c r="G280" i="1"/>
  <c r="BM279" i="1"/>
  <c r="BL279" i="1"/>
  <c r="BJ279" i="1"/>
  <c r="BH279" i="1"/>
  <c r="BF279" i="1"/>
  <c r="AV279" i="1"/>
  <c r="AU279" i="1"/>
  <c r="AS279" i="1"/>
  <c r="AQ279" i="1"/>
  <c r="AO279" i="1"/>
  <c r="AF279" i="1"/>
  <c r="AE279" i="1"/>
  <c r="AC279" i="1"/>
  <c r="AA279" i="1"/>
  <c r="Y279" i="1"/>
  <c r="N279" i="1"/>
  <c r="M279" i="1"/>
  <c r="K279" i="1"/>
  <c r="I279" i="1"/>
  <c r="G279" i="1"/>
  <c r="BM278" i="1"/>
  <c r="BL278" i="1"/>
  <c r="BJ278" i="1"/>
  <c r="BH278" i="1"/>
  <c r="BF278" i="1"/>
  <c r="AV278" i="1"/>
  <c r="AU278" i="1"/>
  <c r="AS278" i="1"/>
  <c r="AQ278" i="1"/>
  <c r="AO278" i="1"/>
  <c r="AF278" i="1"/>
  <c r="AE278" i="1"/>
  <c r="AC278" i="1"/>
  <c r="AA278" i="1"/>
  <c r="Y278" i="1"/>
  <c r="N278" i="1"/>
  <c r="M278" i="1"/>
  <c r="K278" i="1"/>
  <c r="I278" i="1"/>
  <c r="G278" i="1"/>
  <c r="BM277" i="1"/>
  <c r="BL277" i="1"/>
  <c r="BJ277" i="1"/>
  <c r="BH277" i="1"/>
  <c r="BF277" i="1"/>
  <c r="AV277" i="1"/>
  <c r="AU277" i="1"/>
  <c r="AS277" i="1"/>
  <c r="AQ277" i="1"/>
  <c r="AO277" i="1"/>
  <c r="AF277" i="1"/>
  <c r="AE277" i="1"/>
  <c r="AC277" i="1"/>
  <c r="AA277" i="1"/>
  <c r="Y277" i="1"/>
  <c r="N277" i="1"/>
  <c r="M277" i="1"/>
  <c r="K277" i="1"/>
  <c r="I277" i="1"/>
  <c r="G277" i="1"/>
  <c r="BM276" i="1"/>
  <c r="BL276" i="1"/>
  <c r="BJ276" i="1"/>
  <c r="BH276" i="1"/>
  <c r="BF276" i="1"/>
  <c r="AV276" i="1"/>
  <c r="AU276" i="1"/>
  <c r="AS276" i="1"/>
  <c r="AQ276" i="1"/>
  <c r="AO276" i="1"/>
  <c r="AF276" i="1"/>
  <c r="AE276" i="1"/>
  <c r="AC276" i="1"/>
  <c r="AA276" i="1"/>
  <c r="Y276" i="1"/>
  <c r="N276" i="1"/>
  <c r="M276" i="1"/>
  <c r="K276" i="1"/>
  <c r="I276" i="1"/>
  <c r="G276" i="1"/>
  <c r="BM275" i="1"/>
  <c r="BL275" i="1"/>
  <c r="BJ275" i="1"/>
  <c r="BH275" i="1"/>
  <c r="BF275" i="1"/>
  <c r="AV275" i="1"/>
  <c r="AU275" i="1"/>
  <c r="AS275" i="1"/>
  <c r="AQ275" i="1"/>
  <c r="AO275" i="1"/>
  <c r="AF275" i="1"/>
  <c r="AE275" i="1"/>
  <c r="AC275" i="1"/>
  <c r="AA275" i="1"/>
  <c r="Y275" i="1"/>
  <c r="N275" i="1"/>
  <c r="M275" i="1"/>
  <c r="K275" i="1"/>
  <c r="I275" i="1"/>
  <c r="G275" i="1"/>
  <c r="BM274" i="1"/>
  <c r="BL274" i="1"/>
  <c r="BK274" i="1"/>
  <c r="BJ274" i="1"/>
  <c r="BI274" i="1"/>
  <c r="BH274" i="1"/>
  <c r="BG274" i="1"/>
  <c r="BF274" i="1"/>
  <c r="BE274" i="1"/>
  <c r="AV274" i="1"/>
  <c r="AU274" i="1"/>
  <c r="AT274" i="1"/>
  <c r="AS274" i="1"/>
  <c r="AR274" i="1"/>
  <c r="AQ274" i="1"/>
  <c r="AP274" i="1"/>
  <c r="AO274" i="1"/>
  <c r="AN274" i="1"/>
  <c r="AF274" i="1"/>
  <c r="AE274" i="1"/>
  <c r="AD274" i="1"/>
  <c r="AC274" i="1"/>
  <c r="AB274" i="1"/>
  <c r="AA274" i="1"/>
  <c r="Z274" i="1"/>
  <c r="Y274" i="1"/>
  <c r="X274" i="1"/>
  <c r="N274" i="1"/>
  <c r="M274" i="1"/>
  <c r="L274" i="1"/>
  <c r="K274" i="1"/>
  <c r="J274" i="1"/>
  <c r="I274" i="1"/>
  <c r="H274" i="1"/>
  <c r="G274" i="1"/>
  <c r="F274" i="1"/>
  <c r="BM273" i="1"/>
  <c r="BL273" i="1"/>
  <c r="BJ273" i="1"/>
  <c r="BH273" i="1"/>
  <c r="BF273" i="1"/>
  <c r="AV273" i="1"/>
  <c r="AU273" i="1"/>
  <c r="AS273" i="1"/>
  <c r="AQ273" i="1"/>
  <c r="AO273" i="1"/>
  <c r="AF273" i="1"/>
  <c r="AE273" i="1"/>
  <c r="AC273" i="1"/>
  <c r="AA273" i="1"/>
  <c r="Y273" i="1"/>
  <c r="N273" i="1"/>
  <c r="M273" i="1"/>
  <c r="K273" i="1"/>
  <c r="I273" i="1"/>
  <c r="G273" i="1"/>
  <c r="BM272" i="1"/>
  <c r="BL272" i="1"/>
  <c r="BJ272" i="1"/>
  <c r="BH272" i="1"/>
  <c r="BF272" i="1"/>
  <c r="AV272" i="1"/>
  <c r="AU272" i="1"/>
  <c r="AS272" i="1"/>
  <c r="AQ272" i="1"/>
  <c r="AO272" i="1"/>
  <c r="AF272" i="1"/>
  <c r="AE272" i="1"/>
  <c r="AC272" i="1"/>
  <c r="AA272" i="1"/>
  <c r="Y272" i="1"/>
  <c r="N272" i="1"/>
  <c r="M272" i="1"/>
  <c r="K272" i="1"/>
  <c r="I272" i="1"/>
  <c r="G272" i="1"/>
  <c r="AF267" i="1"/>
  <c r="AD267" i="1"/>
  <c r="AB267" i="1"/>
  <c r="Z267" i="1"/>
  <c r="X267" i="1"/>
  <c r="N267" i="1"/>
  <c r="L267" i="1"/>
  <c r="J267" i="1"/>
  <c r="H267" i="1"/>
  <c r="F267" i="1"/>
  <c r="AF266" i="1"/>
  <c r="AE266" i="1"/>
  <c r="AD266" i="1"/>
  <c r="AC266" i="1"/>
  <c r="AB266" i="1"/>
  <c r="AA266" i="1"/>
  <c r="Z266" i="1"/>
  <c r="Y266" i="1"/>
  <c r="X266" i="1"/>
  <c r="N266" i="1"/>
  <c r="M266" i="1"/>
  <c r="L266" i="1"/>
  <c r="K266" i="1"/>
  <c r="J266" i="1"/>
  <c r="I266" i="1"/>
  <c r="H266" i="1"/>
  <c r="G266" i="1"/>
  <c r="F266" i="1"/>
  <c r="AF265" i="1"/>
  <c r="AE265" i="1"/>
  <c r="AC265" i="1"/>
  <c r="AA265" i="1"/>
  <c r="Y265" i="1"/>
  <c r="N265" i="1"/>
  <c r="M265" i="1"/>
  <c r="K265" i="1"/>
  <c r="I265" i="1"/>
  <c r="G265" i="1"/>
  <c r="AF264" i="1"/>
  <c r="AE264" i="1"/>
  <c r="AC264" i="1"/>
  <c r="AA264" i="1"/>
  <c r="Y264" i="1"/>
  <c r="N264" i="1"/>
  <c r="M264" i="1"/>
  <c r="K264" i="1"/>
  <c r="I264" i="1"/>
  <c r="G264" i="1"/>
  <c r="AF263" i="1"/>
  <c r="AE263" i="1"/>
  <c r="AC263" i="1"/>
  <c r="AA263" i="1"/>
  <c r="Y263" i="1"/>
  <c r="N263" i="1"/>
  <c r="M263" i="1"/>
  <c r="K263" i="1"/>
  <c r="I263" i="1"/>
  <c r="G263" i="1"/>
  <c r="AF262" i="1"/>
  <c r="AE262" i="1"/>
  <c r="AC262" i="1"/>
  <c r="AA262" i="1"/>
  <c r="Y262" i="1"/>
  <c r="N262" i="1"/>
  <c r="M262" i="1"/>
  <c r="K262" i="1"/>
  <c r="I262" i="1"/>
  <c r="G262" i="1"/>
  <c r="AF261" i="1"/>
  <c r="AE261" i="1"/>
  <c r="AC261" i="1"/>
  <c r="AA261" i="1"/>
  <c r="Y261" i="1"/>
  <c r="N261" i="1"/>
  <c r="M261" i="1"/>
  <c r="K261" i="1"/>
  <c r="I261" i="1"/>
  <c r="G261" i="1"/>
  <c r="AF260" i="1"/>
  <c r="AE260" i="1"/>
  <c r="AC260" i="1"/>
  <c r="AA260" i="1"/>
  <c r="Y260" i="1"/>
  <c r="N260" i="1"/>
  <c r="M260" i="1"/>
  <c r="K260" i="1"/>
  <c r="I260" i="1"/>
  <c r="G260" i="1"/>
  <c r="AF259" i="1"/>
  <c r="AE259" i="1"/>
  <c r="AC259" i="1"/>
  <c r="AA259" i="1"/>
  <c r="Y259" i="1"/>
  <c r="N259" i="1"/>
  <c r="M259" i="1"/>
  <c r="K259" i="1"/>
  <c r="I259" i="1"/>
  <c r="G259" i="1"/>
  <c r="AF258" i="1"/>
  <c r="AE258" i="1"/>
  <c r="AD258" i="1"/>
  <c r="AC258" i="1"/>
  <c r="AB258" i="1"/>
  <c r="AA258" i="1"/>
  <c r="Z258" i="1"/>
  <c r="Y258" i="1"/>
  <c r="X258" i="1"/>
  <c r="N258" i="1"/>
  <c r="M258" i="1"/>
  <c r="L258" i="1"/>
  <c r="K258" i="1"/>
  <c r="J258" i="1"/>
  <c r="I258" i="1"/>
  <c r="H258" i="1"/>
  <c r="G258" i="1"/>
  <c r="F258" i="1"/>
  <c r="AF257" i="1"/>
  <c r="AE257" i="1"/>
  <c r="AC257" i="1"/>
  <c r="AA257" i="1"/>
  <c r="Y257" i="1"/>
  <c r="N257" i="1"/>
  <c r="M257" i="1"/>
  <c r="K257" i="1"/>
  <c r="I257" i="1"/>
  <c r="G257" i="1"/>
  <c r="AF256" i="1"/>
  <c r="AE256" i="1"/>
  <c r="AC256" i="1"/>
  <c r="AA256" i="1"/>
  <c r="Y256" i="1"/>
  <c r="N256" i="1"/>
  <c r="M256" i="1"/>
  <c r="K256" i="1"/>
  <c r="I256" i="1"/>
  <c r="G256" i="1"/>
  <c r="AF249" i="1"/>
  <c r="AD249" i="1"/>
  <c r="AB249" i="1"/>
  <c r="Z249" i="1"/>
  <c r="X249" i="1"/>
  <c r="N249" i="1"/>
  <c r="L249" i="1"/>
  <c r="J249" i="1"/>
  <c r="H249" i="1"/>
  <c r="F249" i="1"/>
  <c r="AF248" i="1"/>
  <c r="AE248" i="1"/>
  <c r="AD248" i="1"/>
  <c r="AC248" i="1"/>
  <c r="AB248" i="1"/>
  <c r="AA248" i="1"/>
  <c r="Z248" i="1"/>
  <c r="Y248" i="1"/>
  <c r="X248" i="1"/>
  <c r="N248" i="1"/>
  <c r="M248" i="1"/>
  <c r="L248" i="1"/>
  <c r="K248" i="1"/>
  <c r="J248" i="1"/>
  <c r="I248" i="1"/>
  <c r="H248" i="1"/>
  <c r="G248" i="1"/>
  <c r="F248" i="1"/>
  <c r="AF247" i="1"/>
  <c r="AE247" i="1"/>
  <c r="AC247" i="1"/>
  <c r="AA247" i="1"/>
  <c r="Y247" i="1"/>
  <c r="N247" i="1"/>
  <c r="M247" i="1"/>
  <c r="K247" i="1"/>
  <c r="I247" i="1"/>
  <c r="G247" i="1"/>
  <c r="AF246" i="1"/>
  <c r="AE246" i="1"/>
  <c r="AC246" i="1"/>
  <c r="AA246" i="1"/>
  <c r="Y246" i="1"/>
  <c r="N246" i="1"/>
  <c r="M246" i="1"/>
  <c r="K246" i="1"/>
  <c r="I246" i="1"/>
  <c r="G246" i="1"/>
  <c r="AF245" i="1"/>
  <c r="AE245" i="1"/>
  <c r="AC245" i="1"/>
  <c r="AA245" i="1"/>
  <c r="Y245" i="1"/>
  <c r="N245" i="1"/>
  <c r="M245" i="1"/>
  <c r="K245" i="1"/>
  <c r="I245" i="1"/>
  <c r="G245" i="1"/>
  <c r="AF244" i="1"/>
  <c r="AE244" i="1"/>
  <c r="AC244" i="1"/>
  <c r="AA244" i="1"/>
  <c r="Y244" i="1"/>
  <c r="N244" i="1"/>
  <c r="M244" i="1"/>
  <c r="K244" i="1"/>
  <c r="I244" i="1"/>
  <c r="G244" i="1"/>
  <c r="AF243" i="1"/>
  <c r="AE243" i="1"/>
  <c r="AC243" i="1"/>
  <c r="AA243" i="1"/>
  <c r="Y243" i="1"/>
  <c r="N243" i="1"/>
  <c r="M243" i="1"/>
  <c r="K243" i="1"/>
  <c r="I243" i="1"/>
  <c r="G243" i="1"/>
  <c r="AF242" i="1"/>
  <c r="AE242" i="1"/>
  <c r="AC242" i="1"/>
  <c r="AA242" i="1"/>
  <c r="Y242" i="1"/>
  <c r="N242" i="1"/>
  <c r="M242" i="1"/>
  <c r="K242" i="1"/>
  <c r="I242" i="1"/>
  <c r="G242" i="1"/>
  <c r="AF241" i="1"/>
  <c r="AE241" i="1"/>
  <c r="AC241" i="1"/>
  <c r="AA241" i="1"/>
  <c r="Y241" i="1"/>
  <c r="N241" i="1"/>
  <c r="M241" i="1"/>
  <c r="K241" i="1"/>
  <c r="I241" i="1"/>
  <c r="G241" i="1"/>
  <c r="AF240" i="1"/>
  <c r="AE240" i="1"/>
  <c r="AD240" i="1"/>
  <c r="AC240" i="1"/>
  <c r="AB240" i="1"/>
  <c r="AA240" i="1"/>
  <c r="Z240" i="1"/>
  <c r="Y240" i="1"/>
  <c r="X240" i="1"/>
  <c r="N240" i="1"/>
  <c r="M240" i="1"/>
  <c r="L240" i="1"/>
  <c r="K240" i="1"/>
  <c r="J240" i="1"/>
  <c r="I240" i="1"/>
  <c r="H240" i="1"/>
  <c r="G240" i="1"/>
  <c r="F240" i="1"/>
  <c r="AF239" i="1"/>
  <c r="AE239" i="1"/>
  <c r="AC239" i="1"/>
  <c r="AA239" i="1"/>
  <c r="Y239" i="1"/>
  <c r="N239" i="1"/>
  <c r="M239" i="1"/>
  <c r="K239" i="1"/>
  <c r="I239" i="1"/>
  <c r="G239" i="1"/>
  <c r="AF238" i="1"/>
  <c r="AE238" i="1"/>
  <c r="AC238" i="1"/>
  <c r="AA238" i="1"/>
  <c r="Y238" i="1"/>
  <c r="N238" i="1"/>
  <c r="M238" i="1"/>
  <c r="K238" i="1"/>
  <c r="I238" i="1"/>
  <c r="G238" i="1"/>
  <c r="BM233" i="1"/>
  <c r="BK233" i="1"/>
  <c r="BI233" i="1"/>
  <c r="BG233" i="1"/>
  <c r="BE233" i="1"/>
  <c r="AV233" i="1"/>
  <c r="AT233" i="1"/>
  <c r="AR233" i="1"/>
  <c r="AP233" i="1"/>
  <c r="AN233" i="1"/>
  <c r="AF233" i="1"/>
  <c r="AD233" i="1"/>
  <c r="AB233" i="1"/>
  <c r="Z233" i="1"/>
  <c r="X233" i="1"/>
  <c r="N233" i="1"/>
  <c r="L233" i="1"/>
  <c r="J233" i="1"/>
  <c r="H233" i="1"/>
  <c r="F233" i="1"/>
  <c r="BM232" i="1"/>
  <c r="BL232" i="1"/>
  <c r="BK232" i="1"/>
  <c r="BJ232" i="1"/>
  <c r="BI232" i="1"/>
  <c r="BH232" i="1"/>
  <c r="BG232" i="1"/>
  <c r="BF232" i="1"/>
  <c r="BE232" i="1"/>
  <c r="AV232" i="1"/>
  <c r="AU232" i="1"/>
  <c r="AT232" i="1"/>
  <c r="AS232" i="1"/>
  <c r="AR232" i="1"/>
  <c r="AQ232" i="1"/>
  <c r="AP232" i="1"/>
  <c r="AO232" i="1"/>
  <c r="AN232" i="1"/>
  <c r="AF232" i="1"/>
  <c r="AE232" i="1"/>
  <c r="AD232" i="1"/>
  <c r="AC232" i="1"/>
  <c r="AB232" i="1"/>
  <c r="AA232" i="1"/>
  <c r="Z232" i="1"/>
  <c r="Y232" i="1"/>
  <c r="X232" i="1"/>
  <c r="N232" i="1"/>
  <c r="M232" i="1"/>
  <c r="L232" i="1"/>
  <c r="K232" i="1"/>
  <c r="J232" i="1"/>
  <c r="I232" i="1"/>
  <c r="H232" i="1"/>
  <c r="G232" i="1"/>
  <c r="F232" i="1"/>
  <c r="BM231" i="1"/>
  <c r="BL231" i="1"/>
  <c r="BJ231" i="1"/>
  <c r="BH231" i="1"/>
  <c r="BF231" i="1"/>
  <c r="AV231" i="1"/>
  <c r="AU231" i="1"/>
  <c r="AS231" i="1"/>
  <c r="AQ231" i="1"/>
  <c r="AO231" i="1"/>
  <c r="AF231" i="1"/>
  <c r="AE231" i="1"/>
  <c r="AC231" i="1"/>
  <c r="AA231" i="1"/>
  <c r="Y231" i="1"/>
  <c r="N231" i="1"/>
  <c r="M231" i="1"/>
  <c r="K231" i="1"/>
  <c r="I231" i="1"/>
  <c r="G231" i="1"/>
  <c r="BM230" i="1"/>
  <c r="BL230" i="1"/>
  <c r="BJ230" i="1"/>
  <c r="BH230" i="1"/>
  <c r="BF230" i="1"/>
  <c r="AV230" i="1"/>
  <c r="AU230" i="1"/>
  <c r="AS230" i="1"/>
  <c r="AQ230" i="1"/>
  <c r="AO230" i="1"/>
  <c r="AF230" i="1"/>
  <c r="AE230" i="1"/>
  <c r="AC230" i="1"/>
  <c r="AA230" i="1"/>
  <c r="Y230" i="1"/>
  <c r="N230" i="1"/>
  <c r="M230" i="1"/>
  <c r="K230" i="1"/>
  <c r="I230" i="1"/>
  <c r="G230" i="1"/>
  <c r="BM229" i="1"/>
  <c r="BL229" i="1"/>
  <c r="BJ229" i="1"/>
  <c r="BH229" i="1"/>
  <c r="BF229" i="1"/>
  <c r="AV229" i="1"/>
  <c r="AU229" i="1"/>
  <c r="AS229" i="1"/>
  <c r="AQ229" i="1"/>
  <c r="AO229" i="1"/>
  <c r="AF229" i="1"/>
  <c r="AE229" i="1"/>
  <c r="AC229" i="1"/>
  <c r="AA229" i="1"/>
  <c r="Y229" i="1"/>
  <c r="N229" i="1"/>
  <c r="M229" i="1"/>
  <c r="K229" i="1"/>
  <c r="I229" i="1"/>
  <c r="G229" i="1"/>
  <c r="BM228" i="1"/>
  <c r="BL228" i="1"/>
  <c r="BJ228" i="1"/>
  <c r="BH228" i="1"/>
  <c r="BF228" i="1"/>
  <c r="AV228" i="1"/>
  <c r="AU228" i="1"/>
  <c r="AS228" i="1"/>
  <c r="AQ228" i="1"/>
  <c r="AO228" i="1"/>
  <c r="AF228" i="1"/>
  <c r="AE228" i="1"/>
  <c r="AC228" i="1"/>
  <c r="AA228" i="1"/>
  <c r="Y228" i="1"/>
  <c r="N228" i="1"/>
  <c r="M228" i="1"/>
  <c r="K228" i="1"/>
  <c r="I228" i="1"/>
  <c r="G228" i="1"/>
  <c r="BM227" i="1"/>
  <c r="BL227" i="1"/>
  <c r="BJ227" i="1"/>
  <c r="BH227" i="1"/>
  <c r="BF227" i="1"/>
  <c r="AV227" i="1"/>
  <c r="AU227" i="1"/>
  <c r="AS227" i="1"/>
  <c r="AQ227" i="1"/>
  <c r="AO227" i="1"/>
  <c r="AF227" i="1"/>
  <c r="AE227" i="1"/>
  <c r="AC227" i="1"/>
  <c r="AA227" i="1"/>
  <c r="Y227" i="1"/>
  <c r="N227" i="1"/>
  <c r="M227" i="1"/>
  <c r="K227" i="1"/>
  <c r="I227" i="1"/>
  <c r="G227" i="1"/>
  <c r="BM226" i="1"/>
  <c r="BL226" i="1"/>
  <c r="BJ226" i="1"/>
  <c r="BH226" i="1"/>
  <c r="BF226" i="1"/>
  <c r="AV226" i="1"/>
  <c r="AU226" i="1"/>
  <c r="AS226" i="1"/>
  <c r="AQ226" i="1"/>
  <c r="AO226" i="1"/>
  <c r="AF226" i="1"/>
  <c r="AE226" i="1"/>
  <c r="AC226" i="1"/>
  <c r="AA226" i="1"/>
  <c r="Y226" i="1"/>
  <c r="N226" i="1"/>
  <c r="M226" i="1"/>
  <c r="K226" i="1"/>
  <c r="I226" i="1"/>
  <c r="G226" i="1"/>
  <c r="BM225" i="1"/>
  <c r="BL225" i="1"/>
  <c r="BJ225" i="1"/>
  <c r="BH225" i="1"/>
  <c r="BF225" i="1"/>
  <c r="AV225" i="1"/>
  <c r="AU225" i="1"/>
  <c r="AS225" i="1"/>
  <c r="AQ225" i="1"/>
  <c r="AO225" i="1"/>
  <c r="AF225" i="1"/>
  <c r="AE225" i="1"/>
  <c r="AC225" i="1"/>
  <c r="AA225" i="1"/>
  <c r="Y225" i="1"/>
  <c r="N225" i="1"/>
  <c r="M225" i="1"/>
  <c r="K225" i="1"/>
  <c r="I225" i="1"/>
  <c r="G225" i="1"/>
  <c r="BM224" i="1"/>
  <c r="BL224" i="1"/>
  <c r="BK224" i="1"/>
  <c r="BJ224" i="1"/>
  <c r="BI224" i="1"/>
  <c r="BH224" i="1"/>
  <c r="BG224" i="1"/>
  <c r="BF224" i="1"/>
  <c r="BE224" i="1"/>
  <c r="AV224" i="1"/>
  <c r="AU224" i="1"/>
  <c r="AT224" i="1"/>
  <c r="AS224" i="1"/>
  <c r="AR224" i="1"/>
  <c r="AQ224" i="1"/>
  <c r="AP224" i="1"/>
  <c r="AO224" i="1"/>
  <c r="AN224" i="1"/>
  <c r="AF224" i="1"/>
  <c r="AE224" i="1"/>
  <c r="AD224" i="1"/>
  <c r="AC224" i="1"/>
  <c r="AB224" i="1"/>
  <c r="AA224" i="1"/>
  <c r="Z224" i="1"/>
  <c r="Y224" i="1"/>
  <c r="X224" i="1"/>
  <c r="N224" i="1"/>
  <c r="M224" i="1"/>
  <c r="L224" i="1"/>
  <c r="K224" i="1"/>
  <c r="J224" i="1"/>
  <c r="I224" i="1"/>
  <c r="H224" i="1"/>
  <c r="G224" i="1"/>
  <c r="F224" i="1"/>
  <c r="BM223" i="1"/>
  <c r="BL223" i="1"/>
  <c r="BJ223" i="1"/>
  <c r="BH223" i="1"/>
  <c r="BF223" i="1"/>
  <c r="AV223" i="1"/>
  <c r="AU223" i="1"/>
  <c r="AS223" i="1"/>
  <c r="AQ223" i="1"/>
  <c r="AO223" i="1"/>
  <c r="AF223" i="1"/>
  <c r="AE223" i="1"/>
  <c r="AC223" i="1"/>
  <c r="AA223" i="1"/>
  <c r="Y223" i="1"/>
  <c r="N223" i="1"/>
  <c r="M223" i="1"/>
  <c r="K223" i="1"/>
  <c r="I223" i="1"/>
  <c r="G223" i="1"/>
  <c r="BM222" i="1"/>
  <c r="BL222" i="1"/>
  <c r="BJ222" i="1"/>
  <c r="BH222" i="1"/>
  <c r="BF222" i="1"/>
  <c r="AV222" i="1"/>
  <c r="AU222" i="1"/>
  <c r="AS222" i="1"/>
  <c r="AQ222" i="1"/>
  <c r="AO222" i="1"/>
  <c r="AF222" i="1"/>
  <c r="AE222" i="1"/>
  <c r="AC222" i="1"/>
  <c r="AA222" i="1"/>
  <c r="Y222" i="1"/>
  <c r="N222" i="1"/>
  <c r="M222" i="1"/>
  <c r="K222" i="1"/>
  <c r="I222" i="1"/>
  <c r="G222" i="1"/>
  <c r="AF217" i="1"/>
  <c r="AD217" i="1"/>
  <c r="AB217" i="1"/>
  <c r="Z217" i="1"/>
  <c r="X217" i="1"/>
  <c r="N217" i="1"/>
  <c r="L217" i="1"/>
  <c r="J217" i="1"/>
  <c r="H217" i="1"/>
  <c r="F217" i="1"/>
  <c r="AF216" i="1"/>
  <c r="AE216" i="1"/>
  <c r="AD216" i="1"/>
  <c r="AC216" i="1"/>
  <c r="AB216" i="1"/>
  <c r="AA216" i="1"/>
  <c r="Z216" i="1"/>
  <c r="Y216" i="1"/>
  <c r="X216" i="1"/>
  <c r="N216" i="1"/>
  <c r="M216" i="1"/>
  <c r="L216" i="1"/>
  <c r="K216" i="1"/>
  <c r="J216" i="1"/>
  <c r="I216" i="1"/>
  <c r="H216" i="1"/>
  <c r="G216" i="1"/>
  <c r="F216" i="1"/>
  <c r="AF215" i="1"/>
  <c r="AE215" i="1"/>
  <c r="AC215" i="1"/>
  <c r="AA215" i="1"/>
  <c r="Y215" i="1"/>
  <c r="N215" i="1"/>
  <c r="M215" i="1"/>
  <c r="K215" i="1"/>
  <c r="I215" i="1"/>
  <c r="G215" i="1"/>
  <c r="AF214" i="1"/>
  <c r="AE214" i="1"/>
  <c r="AC214" i="1"/>
  <c r="AA214" i="1"/>
  <c r="Y214" i="1"/>
  <c r="N214" i="1"/>
  <c r="M214" i="1"/>
  <c r="K214" i="1"/>
  <c r="I214" i="1"/>
  <c r="G214" i="1"/>
  <c r="AF213" i="1"/>
  <c r="AE213" i="1"/>
  <c r="AC213" i="1"/>
  <c r="AA213" i="1"/>
  <c r="Y213" i="1"/>
  <c r="N213" i="1"/>
  <c r="M213" i="1"/>
  <c r="K213" i="1"/>
  <c r="I213" i="1"/>
  <c r="G213" i="1"/>
  <c r="AF212" i="1"/>
  <c r="AE212" i="1"/>
  <c r="AC212" i="1"/>
  <c r="AA212" i="1"/>
  <c r="Y212" i="1"/>
  <c r="N212" i="1"/>
  <c r="M212" i="1"/>
  <c r="K212" i="1"/>
  <c r="I212" i="1"/>
  <c r="G212" i="1"/>
  <c r="AF211" i="1"/>
  <c r="AE211" i="1"/>
  <c r="AC211" i="1"/>
  <c r="AA211" i="1"/>
  <c r="Y211" i="1"/>
  <c r="N211" i="1"/>
  <c r="M211" i="1"/>
  <c r="K211" i="1"/>
  <c r="I211" i="1"/>
  <c r="G211" i="1"/>
  <c r="AF210" i="1"/>
  <c r="AE210" i="1"/>
  <c r="AC210" i="1"/>
  <c r="AA210" i="1"/>
  <c r="Y210" i="1"/>
  <c r="N210" i="1"/>
  <c r="M210" i="1"/>
  <c r="K210" i="1"/>
  <c r="I210" i="1"/>
  <c r="G210" i="1"/>
  <c r="AF209" i="1"/>
  <c r="AE209" i="1"/>
  <c r="AC209" i="1"/>
  <c r="AA209" i="1"/>
  <c r="Y209" i="1"/>
  <c r="N209" i="1"/>
  <c r="M209" i="1"/>
  <c r="K209" i="1"/>
  <c r="I209" i="1"/>
  <c r="G209" i="1"/>
  <c r="AF208" i="1"/>
  <c r="AE208" i="1"/>
  <c r="AD208" i="1"/>
  <c r="AC208" i="1"/>
  <c r="AB208" i="1"/>
  <c r="AA208" i="1"/>
  <c r="Z208" i="1"/>
  <c r="Y208" i="1"/>
  <c r="X208" i="1"/>
  <c r="N208" i="1"/>
  <c r="M208" i="1"/>
  <c r="L208" i="1"/>
  <c r="K208" i="1"/>
  <c r="J208" i="1"/>
  <c r="I208" i="1"/>
  <c r="H208" i="1"/>
  <c r="G208" i="1"/>
  <c r="F208" i="1"/>
  <c r="AF207" i="1"/>
  <c r="AE207" i="1"/>
  <c r="AC207" i="1"/>
  <c r="AA207" i="1"/>
  <c r="Y207" i="1"/>
  <c r="N207" i="1"/>
  <c r="M207" i="1"/>
  <c r="K207" i="1"/>
  <c r="I207" i="1"/>
  <c r="G207" i="1"/>
  <c r="AF206" i="1"/>
  <c r="AE206" i="1"/>
  <c r="AC206" i="1"/>
  <c r="AA206" i="1"/>
  <c r="Y206" i="1"/>
  <c r="N206" i="1"/>
  <c r="M206" i="1"/>
  <c r="K206" i="1"/>
  <c r="I206" i="1"/>
  <c r="G206" i="1"/>
  <c r="AF199" i="1"/>
  <c r="AD199" i="1"/>
  <c r="AB199" i="1"/>
  <c r="Z199" i="1"/>
  <c r="X199" i="1"/>
  <c r="N199" i="1"/>
  <c r="L199" i="1"/>
  <c r="J199" i="1"/>
  <c r="H199" i="1"/>
  <c r="F199" i="1"/>
  <c r="AF198" i="1"/>
  <c r="AE198" i="1"/>
  <c r="AD198" i="1"/>
  <c r="AC198" i="1"/>
  <c r="AB198" i="1"/>
  <c r="AA198" i="1"/>
  <c r="Z198" i="1"/>
  <c r="Y198" i="1"/>
  <c r="X198" i="1"/>
  <c r="N198" i="1"/>
  <c r="M198" i="1"/>
  <c r="L198" i="1"/>
  <c r="K198" i="1"/>
  <c r="J198" i="1"/>
  <c r="I198" i="1"/>
  <c r="H198" i="1"/>
  <c r="G198" i="1"/>
  <c r="F198" i="1"/>
  <c r="AF197" i="1"/>
  <c r="AE197" i="1"/>
  <c r="AC197" i="1"/>
  <c r="AA197" i="1"/>
  <c r="Y197" i="1"/>
  <c r="N197" i="1"/>
  <c r="M197" i="1"/>
  <c r="K197" i="1"/>
  <c r="I197" i="1"/>
  <c r="G197" i="1"/>
  <c r="AF196" i="1"/>
  <c r="AE196" i="1"/>
  <c r="AC196" i="1"/>
  <c r="AA196" i="1"/>
  <c r="Y196" i="1"/>
  <c r="N196" i="1"/>
  <c r="M196" i="1"/>
  <c r="K196" i="1"/>
  <c r="I196" i="1"/>
  <c r="G196" i="1"/>
  <c r="AF195" i="1"/>
  <c r="AE195" i="1"/>
  <c r="AC195" i="1"/>
  <c r="AA195" i="1"/>
  <c r="Y195" i="1"/>
  <c r="N195" i="1"/>
  <c r="M195" i="1"/>
  <c r="K195" i="1"/>
  <c r="I195" i="1"/>
  <c r="G195" i="1"/>
  <c r="AF194" i="1"/>
  <c r="AE194" i="1"/>
  <c r="AC194" i="1"/>
  <c r="AA194" i="1"/>
  <c r="Y194" i="1"/>
  <c r="N194" i="1"/>
  <c r="M194" i="1"/>
  <c r="K194" i="1"/>
  <c r="I194" i="1"/>
  <c r="G194" i="1"/>
  <c r="AF193" i="1"/>
  <c r="AE193" i="1"/>
  <c r="AC193" i="1"/>
  <c r="AA193" i="1"/>
  <c r="Y193" i="1"/>
  <c r="N193" i="1"/>
  <c r="M193" i="1"/>
  <c r="K193" i="1"/>
  <c r="I193" i="1"/>
  <c r="G193" i="1"/>
  <c r="AF192" i="1"/>
  <c r="AE192" i="1"/>
  <c r="AC192" i="1"/>
  <c r="AA192" i="1"/>
  <c r="Y192" i="1"/>
  <c r="N192" i="1"/>
  <c r="M192" i="1"/>
  <c r="K192" i="1"/>
  <c r="I192" i="1"/>
  <c r="G192" i="1"/>
  <c r="AF191" i="1"/>
  <c r="AE191" i="1"/>
  <c r="AC191" i="1"/>
  <c r="AA191" i="1"/>
  <c r="Y191" i="1"/>
  <c r="N191" i="1"/>
  <c r="M191" i="1"/>
  <c r="K191" i="1"/>
  <c r="I191" i="1"/>
  <c r="G191" i="1"/>
  <c r="AF190" i="1"/>
  <c r="AE190" i="1"/>
  <c r="AD190" i="1"/>
  <c r="AC190" i="1"/>
  <c r="AB190" i="1"/>
  <c r="AA190" i="1"/>
  <c r="Z190" i="1"/>
  <c r="Y190" i="1"/>
  <c r="X190" i="1"/>
  <c r="N190" i="1"/>
  <c r="M190" i="1"/>
  <c r="L190" i="1"/>
  <c r="K190" i="1"/>
  <c r="J190" i="1"/>
  <c r="I190" i="1"/>
  <c r="H190" i="1"/>
  <c r="G190" i="1"/>
  <c r="F190" i="1"/>
  <c r="AF189" i="1"/>
  <c r="AE189" i="1"/>
  <c r="AC189" i="1"/>
  <c r="AA189" i="1"/>
  <c r="Y189" i="1"/>
  <c r="N189" i="1"/>
  <c r="M189" i="1"/>
  <c r="K189" i="1"/>
  <c r="I189" i="1"/>
  <c r="G189" i="1"/>
  <c r="AF188" i="1"/>
  <c r="AE188" i="1"/>
  <c r="AC188" i="1"/>
  <c r="AA188" i="1"/>
  <c r="Y188" i="1"/>
  <c r="N188" i="1"/>
  <c r="M188" i="1"/>
  <c r="K188" i="1"/>
  <c r="I188" i="1"/>
  <c r="G188" i="1"/>
  <c r="BM183" i="1"/>
  <c r="BK183" i="1"/>
  <c r="BI183" i="1"/>
  <c r="BG183" i="1"/>
  <c r="BE183" i="1"/>
  <c r="AV183" i="1"/>
  <c r="AT183" i="1"/>
  <c r="AR183" i="1"/>
  <c r="AP183" i="1"/>
  <c r="AN183" i="1"/>
  <c r="AF183" i="1"/>
  <c r="AD183" i="1"/>
  <c r="AB183" i="1"/>
  <c r="Z183" i="1"/>
  <c r="X183" i="1"/>
  <c r="N183" i="1"/>
  <c r="L183" i="1"/>
  <c r="J183" i="1"/>
  <c r="H183" i="1"/>
  <c r="F183" i="1"/>
  <c r="BM182" i="1"/>
  <c r="BL182" i="1"/>
  <c r="BK182" i="1"/>
  <c r="BJ182" i="1"/>
  <c r="BI182" i="1"/>
  <c r="BH182" i="1"/>
  <c r="BG182" i="1"/>
  <c r="BF182" i="1"/>
  <c r="BE182" i="1"/>
  <c r="AV182" i="1"/>
  <c r="AU182" i="1"/>
  <c r="AT182" i="1"/>
  <c r="AS182" i="1"/>
  <c r="AR182" i="1"/>
  <c r="AQ182" i="1"/>
  <c r="AP182" i="1"/>
  <c r="AO182" i="1"/>
  <c r="AN182" i="1"/>
  <c r="AF182" i="1"/>
  <c r="AE182" i="1"/>
  <c r="AD182" i="1"/>
  <c r="AC182" i="1"/>
  <c r="AB182" i="1"/>
  <c r="AA182" i="1"/>
  <c r="Z182" i="1"/>
  <c r="Y182" i="1"/>
  <c r="X182" i="1"/>
  <c r="N182" i="1"/>
  <c r="M182" i="1"/>
  <c r="L182" i="1"/>
  <c r="K182" i="1"/>
  <c r="J182" i="1"/>
  <c r="I182" i="1"/>
  <c r="H182" i="1"/>
  <c r="G182" i="1"/>
  <c r="F182" i="1"/>
  <c r="BM181" i="1"/>
  <c r="BL181" i="1"/>
  <c r="BJ181" i="1"/>
  <c r="BH181" i="1"/>
  <c r="BF181" i="1"/>
  <c r="AV181" i="1"/>
  <c r="AU181" i="1"/>
  <c r="AS181" i="1"/>
  <c r="AQ181" i="1"/>
  <c r="AO181" i="1"/>
  <c r="AF181" i="1"/>
  <c r="AE181" i="1"/>
  <c r="AC181" i="1"/>
  <c r="AA181" i="1"/>
  <c r="Y181" i="1"/>
  <c r="N181" i="1"/>
  <c r="M181" i="1"/>
  <c r="K181" i="1"/>
  <c r="I181" i="1"/>
  <c r="G181" i="1"/>
  <c r="BM180" i="1"/>
  <c r="BL180" i="1"/>
  <c r="BJ180" i="1"/>
  <c r="BH180" i="1"/>
  <c r="BF180" i="1"/>
  <c r="AV180" i="1"/>
  <c r="AU180" i="1"/>
  <c r="AS180" i="1"/>
  <c r="AQ180" i="1"/>
  <c r="AO180" i="1"/>
  <c r="AF180" i="1"/>
  <c r="AE180" i="1"/>
  <c r="AC180" i="1"/>
  <c r="AA180" i="1"/>
  <c r="Y180" i="1"/>
  <c r="N180" i="1"/>
  <c r="M180" i="1"/>
  <c r="K180" i="1"/>
  <c r="I180" i="1"/>
  <c r="G180" i="1"/>
  <c r="BM179" i="1"/>
  <c r="BL179" i="1"/>
  <c r="BJ179" i="1"/>
  <c r="BH179" i="1"/>
  <c r="BF179" i="1"/>
  <c r="AV179" i="1"/>
  <c r="AU179" i="1"/>
  <c r="AS179" i="1"/>
  <c r="AQ179" i="1"/>
  <c r="AO179" i="1"/>
  <c r="AF179" i="1"/>
  <c r="AE179" i="1"/>
  <c r="AC179" i="1"/>
  <c r="AA179" i="1"/>
  <c r="Y179" i="1"/>
  <c r="N179" i="1"/>
  <c r="M179" i="1"/>
  <c r="K179" i="1"/>
  <c r="I179" i="1"/>
  <c r="G179" i="1"/>
  <c r="BM178" i="1"/>
  <c r="BL178" i="1"/>
  <c r="BJ178" i="1"/>
  <c r="BH178" i="1"/>
  <c r="BF178" i="1"/>
  <c r="AV178" i="1"/>
  <c r="AU178" i="1"/>
  <c r="AS178" i="1"/>
  <c r="AQ178" i="1"/>
  <c r="AO178" i="1"/>
  <c r="AF178" i="1"/>
  <c r="AE178" i="1"/>
  <c r="AC178" i="1"/>
  <c r="AA178" i="1"/>
  <c r="Y178" i="1"/>
  <c r="N178" i="1"/>
  <c r="M178" i="1"/>
  <c r="K178" i="1"/>
  <c r="I178" i="1"/>
  <c r="G178" i="1"/>
  <c r="BM177" i="1"/>
  <c r="BL177" i="1"/>
  <c r="BJ177" i="1"/>
  <c r="BH177" i="1"/>
  <c r="BF177" i="1"/>
  <c r="AV177" i="1"/>
  <c r="AU177" i="1"/>
  <c r="AS177" i="1"/>
  <c r="AQ177" i="1"/>
  <c r="AO177" i="1"/>
  <c r="AF177" i="1"/>
  <c r="AE177" i="1"/>
  <c r="AC177" i="1"/>
  <c r="AA177" i="1"/>
  <c r="Y177" i="1"/>
  <c r="N177" i="1"/>
  <c r="M177" i="1"/>
  <c r="K177" i="1"/>
  <c r="I177" i="1"/>
  <c r="G177" i="1"/>
  <c r="BM176" i="1"/>
  <c r="BL176" i="1"/>
  <c r="BJ176" i="1"/>
  <c r="BH176" i="1"/>
  <c r="BF176" i="1"/>
  <c r="AV176" i="1"/>
  <c r="AU176" i="1"/>
  <c r="AS176" i="1"/>
  <c r="AQ176" i="1"/>
  <c r="AO176" i="1"/>
  <c r="AF176" i="1"/>
  <c r="AE176" i="1"/>
  <c r="AC176" i="1"/>
  <c r="AA176" i="1"/>
  <c r="Y176" i="1"/>
  <c r="N176" i="1"/>
  <c r="M176" i="1"/>
  <c r="K176" i="1"/>
  <c r="I176" i="1"/>
  <c r="G176" i="1"/>
  <c r="BM175" i="1"/>
  <c r="BL175" i="1"/>
  <c r="BJ175" i="1"/>
  <c r="BH175" i="1"/>
  <c r="BF175" i="1"/>
  <c r="AV175" i="1"/>
  <c r="AU175" i="1"/>
  <c r="AS175" i="1"/>
  <c r="AQ175" i="1"/>
  <c r="AO175" i="1"/>
  <c r="AF175" i="1"/>
  <c r="AE175" i="1"/>
  <c r="AC175" i="1"/>
  <c r="AA175" i="1"/>
  <c r="Y175" i="1"/>
  <c r="N175" i="1"/>
  <c r="M175" i="1"/>
  <c r="K175" i="1"/>
  <c r="I175" i="1"/>
  <c r="G175" i="1"/>
  <c r="BM174" i="1"/>
  <c r="BL174" i="1"/>
  <c r="BK174" i="1"/>
  <c r="BJ174" i="1"/>
  <c r="BI174" i="1"/>
  <c r="BH174" i="1"/>
  <c r="BG174" i="1"/>
  <c r="BF174" i="1"/>
  <c r="BE174" i="1"/>
  <c r="AV174" i="1"/>
  <c r="AU174" i="1"/>
  <c r="AT174" i="1"/>
  <c r="AS174" i="1"/>
  <c r="AR174" i="1"/>
  <c r="AQ174" i="1"/>
  <c r="AP174" i="1"/>
  <c r="AO174" i="1"/>
  <c r="AN174" i="1"/>
  <c r="AF174" i="1"/>
  <c r="AE174" i="1"/>
  <c r="AD174" i="1"/>
  <c r="AC174" i="1"/>
  <c r="AB174" i="1"/>
  <c r="AA174" i="1"/>
  <c r="Z174" i="1"/>
  <c r="Y174" i="1"/>
  <c r="X174" i="1"/>
  <c r="N174" i="1"/>
  <c r="M174" i="1"/>
  <c r="L174" i="1"/>
  <c r="K174" i="1"/>
  <c r="J174" i="1"/>
  <c r="I174" i="1"/>
  <c r="H174" i="1"/>
  <c r="G174" i="1"/>
  <c r="F174" i="1"/>
  <c r="BM173" i="1"/>
  <c r="BL173" i="1"/>
  <c r="BJ173" i="1"/>
  <c r="BH173" i="1"/>
  <c r="BF173" i="1"/>
  <c r="AV173" i="1"/>
  <c r="AU173" i="1"/>
  <c r="AS173" i="1"/>
  <c r="AQ173" i="1"/>
  <c r="AO173" i="1"/>
  <c r="AF173" i="1"/>
  <c r="AE173" i="1"/>
  <c r="AC173" i="1"/>
  <c r="AA173" i="1"/>
  <c r="Y173" i="1"/>
  <c r="N173" i="1"/>
  <c r="M173" i="1"/>
  <c r="K173" i="1"/>
  <c r="I173" i="1"/>
  <c r="G173" i="1"/>
  <c r="BM172" i="1"/>
  <c r="BL172" i="1"/>
  <c r="BJ172" i="1"/>
  <c r="BH172" i="1"/>
  <c r="BF172" i="1"/>
  <c r="AV172" i="1"/>
  <c r="AU172" i="1"/>
  <c r="AS172" i="1"/>
  <c r="AQ172" i="1"/>
  <c r="AO172" i="1"/>
  <c r="AF172" i="1"/>
  <c r="AE172" i="1"/>
  <c r="AC172" i="1"/>
  <c r="AA172" i="1"/>
  <c r="Y172" i="1"/>
  <c r="N172" i="1"/>
  <c r="M172" i="1"/>
  <c r="K172" i="1"/>
  <c r="I172" i="1"/>
  <c r="G172" i="1"/>
  <c r="AF167" i="1"/>
  <c r="AD167" i="1"/>
  <c r="AB167" i="1"/>
  <c r="Z167" i="1"/>
  <c r="X167" i="1"/>
  <c r="N167" i="1"/>
  <c r="L167" i="1"/>
  <c r="J167" i="1"/>
  <c r="H167" i="1"/>
  <c r="F167" i="1"/>
  <c r="AF166" i="1"/>
  <c r="AE166" i="1"/>
  <c r="AD166" i="1"/>
  <c r="AC166" i="1"/>
  <c r="AB166" i="1"/>
  <c r="AA166" i="1"/>
  <c r="Z166" i="1"/>
  <c r="Y166" i="1"/>
  <c r="X166" i="1"/>
  <c r="N166" i="1"/>
  <c r="M166" i="1"/>
  <c r="L166" i="1"/>
  <c r="K166" i="1"/>
  <c r="J166" i="1"/>
  <c r="I166" i="1"/>
  <c r="H166" i="1"/>
  <c r="G166" i="1"/>
  <c r="F166" i="1"/>
  <c r="AF165" i="1"/>
  <c r="AE165" i="1"/>
  <c r="AC165" i="1"/>
  <c r="AA165" i="1"/>
  <c r="Y165" i="1"/>
  <c r="N165" i="1"/>
  <c r="M165" i="1"/>
  <c r="K165" i="1"/>
  <c r="I165" i="1"/>
  <c r="G165" i="1"/>
  <c r="AF164" i="1"/>
  <c r="AE164" i="1"/>
  <c r="AC164" i="1"/>
  <c r="AA164" i="1"/>
  <c r="Y164" i="1"/>
  <c r="N164" i="1"/>
  <c r="M164" i="1"/>
  <c r="K164" i="1"/>
  <c r="I164" i="1"/>
  <c r="G164" i="1"/>
  <c r="AF163" i="1"/>
  <c r="AE163" i="1"/>
  <c r="AC163" i="1"/>
  <c r="AA163" i="1"/>
  <c r="Y163" i="1"/>
  <c r="N163" i="1"/>
  <c r="M163" i="1"/>
  <c r="K163" i="1"/>
  <c r="I163" i="1"/>
  <c r="G163" i="1"/>
  <c r="AF162" i="1"/>
  <c r="AE162" i="1"/>
  <c r="AC162" i="1"/>
  <c r="AA162" i="1"/>
  <c r="Y162" i="1"/>
  <c r="N162" i="1"/>
  <c r="M162" i="1"/>
  <c r="K162" i="1"/>
  <c r="I162" i="1"/>
  <c r="G162" i="1"/>
  <c r="AF161" i="1"/>
  <c r="AE161" i="1"/>
  <c r="AC161" i="1"/>
  <c r="AA161" i="1"/>
  <c r="Y161" i="1"/>
  <c r="N161" i="1"/>
  <c r="M161" i="1"/>
  <c r="K161" i="1"/>
  <c r="I161" i="1"/>
  <c r="G161" i="1"/>
  <c r="AF160" i="1"/>
  <c r="AE160" i="1"/>
  <c r="AC160" i="1"/>
  <c r="AA160" i="1"/>
  <c r="Y160" i="1"/>
  <c r="N160" i="1"/>
  <c r="M160" i="1"/>
  <c r="K160" i="1"/>
  <c r="I160" i="1"/>
  <c r="G160" i="1"/>
  <c r="AF159" i="1"/>
  <c r="AE159" i="1"/>
  <c r="AC159" i="1"/>
  <c r="AA159" i="1"/>
  <c r="Y159" i="1"/>
  <c r="N159" i="1"/>
  <c r="M159" i="1"/>
  <c r="K159" i="1"/>
  <c r="I159" i="1"/>
  <c r="G159" i="1"/>
  <c r="AF158" i="1"/>
  <c r="AE158" i="1"/>
  <c r="AD158" i="1"/>
  <c r="AC158" i="1"/>
  <c r="AB158" i="1"/>
  <c r="AA158" i="1"/>
  <c r="Z158" i="1"/>
  <c r="Y158" i="1"/>
  <c r="X158" i="1"/>
  <c r="N158" i="1"/>
  <c r="M158" i="1"/>
  <c r="L158" i="1"/>
  <c r="K158" i="1"/>
  <c r="J158" i="1"/>
  <c r="I158" i="1"/>
  <c r="H158" i="1"/>
  <c r="G158" i="1"/>
  <c r="F158" i="1"/>
  <c r="AF157" i="1"/>
  <c r="AE157" i="1"/>
  <c r="AC157" i="1"/>
  <c r="AA157" i="1"/>
  <c r="Y157" i="1"/>
  <c r="N157" i="1"/>
  <c r="M157" i="1"/>
  <c r="K157" i="1"/>
  <c r="I157" i="1"/>
  <c r="G157" i="1"/>
  <c r="AF156" i="1"/>
  <c r="AE156" i="1"/>
  <c r="AC156" i="1"/>
  <c r="AA156" i="1"/>
  <c r="Y156" i="1"/>
  <c r="N156" i="1"/>
  <c r="M156" i="1"/>
  <c r="K156" i="1"/>
  <c r="I156" i="1"/>
  <c r="G156" i="1"/>
  <c r="AI149" i="1"/>
  <c r="AG149" i="1"/>
  <c r="AE149" i="1"/>
  <c r="AC149" i="1"/>
  <c r="AA149" i="1"/>
  <c r="Y149" i="1"/>
  <c r="W149" i="1"/>
  <c r="U149" i="1"/>
  <c r="Q149" i="1"/>
  <c r="O149" i="1"/>
  <c r="M149" i="1"/>
  <c r="K149" i="1"/>
  <c r="I149" i="1"/>
  <c r="G149" i="1"/>
  <c r="E149" i="1"/>
  <c r="C149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AI147" i="1"/>
  <c r="AH147" i="1"/>
  <c r="AF147" i="1"/>
  <c r="AD147" i="1"/>
  <c r="AB147" i="1"/>
  <c r="Z147" i="1"/>
  <c r="X147" i="1"/>
  <c r="V147" i="1"/>
  <c r="Q147" i="1"/>
  <c r="P147" i="1"/>
  <c r="N147" i="1"/>
  <c r="L147" i="1"/>
  <c r="J147" i="1"/>
  <c r="H147" i="1"/>
  <c r="F147" i="1"/>
  <c r="D147" i="1"/>
  <c r="AI146" i="1"/>
  <c r="AH146" i="1"/>
  <c r="AF146" i="1"/>
  <c r="AD146" i="1"/>
  <c r="AB146" i="1"/>
  <c r="Z146" i="1"/>
  <c r="X146" i="1"/>
  <c r="V146" i="1"/>
  <c r="Q146" i="1"/>
  <c r="P146" i="1"/>
  <c r="N146" i="1"/>
  <c r="L146" i="1"/>
  <c r="J146" i="1"/>
  <c r="H146" i="1"/>
  <c r="F146" i="1"/>
  <c r="D146" i="1"/>
  <c r="AI145" i="1"/>
  <c r="AH145" i="1"/>
  <c r="AF145" i="1"/>
  <c r="AD145" i="1"/>
  <c r="AB145" i="1"/>
  <c r="Z145" i="1"/>
  <c r="X145" i="1"/>
  <c r="V145" i="1"/>
  <c r="Q145" i="1"/>
  <c r="P145" i="1"/>
  <c r="N145" i="1"/>
  <c r="L145" i="1"/>
  <c r="J145" i="1"/>
  <c r="H145" i="1"/>
  <c r="F145" i="1"/>
  <c r="D145" i="1"/>
  <c r="AI144" i="1"/>
  <c r="AH144" i="1"/>
  <c r="AF144" i="1"/>
  <c r="AD144" i="1"/>
  <c r="AB144" i="1"/>
  <c r="Z144" i="1"/>
  <c r="X144" i="1"/>
  <c r="V144" i="1"/>
  <c r="Q144" i="1"/>
  <c r="P144" i="1"/>
  <c r="N144" i="1"/>
  <c r="L144" i="1"/>
  <c r="J144" i="1"/>
  <c r="H144" i="1"/>
  <c r="F144" i="1"/>
  <c r="D144" i="1"/>
  <c r="AI143" i="1"/>
  <c r="AH143" i="1"/>
  <c r="AF143" i="1"/>
  <c r="AD143" i="1"/>
  <c r="AB143" i="1"/>
  <c r="Z143" i="1"/>
  <c r="X143" i="1"/>
  <c r="V143" i="1"/>
  <c r="Q143" i="1"/>
  <c r="P143" i="1"/>
  <c r="N143" i="1"/>
  <c r="L143" i="1"/>
  <c r="J143" i="1"/>
  <c r="H143" i="1"/>
  <c r="F143" i="1"/>
  <c r="D143" i="1"/>
  <c r="AI142" i="1"/>
  <c r="AH142" i="1"/>
  <c r="AF142" i="1"/>
  <c r="AD142" i="1"/>
  <c r="AB142" i="1"/>
  <c r="Z142" i="1"/>
  <c r="X142" i="1"/>
  <c r="V142" i="1"/>
  <c r="Q142" i="1"/>
  <c r="P142" i="1"/>
  <c r="N142" i="1"/>
  <c r="L142" i="1"/>
  <c r="J142" i="1"/>
  <c r="H142" i="1"/>
  <c r="F142" i="1"/>
  <c r="D142" i="1"/>
  <c r="AI141" i="1"/>
  <c r="AH141" i="1"/>
  <c r="AF141" i="1"/>
  <c r="AD141" i="1"/>
  <c r="AB141" i="1"/>
  <c r="Z141" i="1"/>
  <c r="X141" i="1"/>
  <c r="V141" i="1"/>
  <c r="Q141" i="1"/>
  <c r="P141" i="1"/>
  <c r="N141" i="1"/>
  <c r="L141" i="1"/>
  <c r="J141" i="1"/>
  <c r="H141" i="1"/>
  <c r="F141" i="1"/>
  <c r="D141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AI139" i="1"/>
  <c r="AH139" i="1"/>
  <c r="AF139" i="1"/>
  <c r="AD139" i="1"/>
  <c r="AB139" i="1"/>
  <c r="Z139" i="1"/>
  <c r="X139" i="1"/>
  <c r="V139" i="1"/>
  <c r="Q139" i="1"/>
  <c r="P139" i="1"/>
  <c r="N139" i="1"/>
  <c r="L139" i="1"/>
  <c r="J139" i="1"/>
  <c r="H139" i="1"/>
  <c r="F139" i="1"/>
  <c r="D139" i="1"/>
  <c r="AI138" i="1"/>
  <c r="AH138" i="1"/>
  <c r="AF138" i="1"/>
  <c r="AD138" i="1"/>
  <c r="AB138" i="1"/>
  <c r="Z138" i="1"/>
  <c r="X138" i="1"/>
  <c r="V138" i="1"/>
  <c r="Q138" i="1"/>
  <c r="P138" i="1"/>
  <c r="N138" i="1"/>
  <c r="L138" i="1"/>
  <c r="J138" i="1"/>
  <c r="H138" i="1"/>
  <c r="F138" i="1"/>
  <c r="D138" i="1"/>
  <c r="BR133" i="1"/>
  <c r="BP133" i="1"/>
  <c r="BN133" i="1"/>
  <c r="BL133" i="1"/>
  <c r="BJ133" i="1"/>
  <c r="BH133" i="1"/>
  <c r="BF133" i="1"/>
  <c r="BD133" i="1"/>
  <c r="BA133" i="1"/>
  <c r="AY133" i="1"/>
  <c r="AW133" i="1"/>
  <c r="AU133" i="1"/>
  <c r="AS133" i="1"/>
  <c r="AQ133" i="1"/>
  <c r="AO133" i="1"/>
  <c r="AM133" i="1"/>
  <c r="AI133" i="1"/>
  <c r="AG133" i="1"/>
  <c r="AE133" i="1"/>
  <c r="AC133" i="1"/>
  <c r="AA133" i="1"/>
  <c r="Y133" i="1"/>
  <c r="W133" i="1"/>
  <c r="U133" i="1"/>
  <c r="Q133" i="1"/>
  <c r="O133" i="1"/>
  <c r="M133" i="1"/>
  <c r="K133" i="1"/>
  <c r="I133" i="1"/>
  <c r="G133" i="1"/>
  <c r="E133" i="1"/>
  <c r="C133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R131" i="1"/>
  <c r="BQ131" i="1"/>
  <c r="BO131" i="1"/>
  <c r="BM131" i="1"/>
  <c r="BK131" i="1"/>
  <c r="BI131" i="1"/>
  <c r="BG131" i="1"/>
  <c r="BE131" i="1"/>
  <c r="BA131" i="1"/>
  <c r="AZ131" i="1"/>
  <c r="AX131" i="1"/>
  <c r="AV131" i="1"/>
  <c r="AT131" i="1"/>
  <c r="AR131" i="1"/>
  <c r="AP131" i="1"/>
  <c r="AN131" i="1"/>
  <c r="AI131" i="1"/>
  <c r="AH131" i="1"/>
  <c r="AF131" i="1"/>
  <c r="AD131" i="1"/>
  <c r="AB131" i="1"/>
  <c r="Z131" i="1"/>
  <c r="X131" i="1"/>
  <c r="V131" i="1"/>
  <c r="Q131" i="1"/>
  <c r="P131" i="1"/>
  <c r="N131" i="1"/>
  <c r="L131" i="1"/>
  <c r="J131" i="1"/>
  <c r="H131" i="1"/>
  <c r="F131" i="1"/>
  <c r="D131" i="1"/>
  <c r="BR130" i="1"/>
  <c r="BQ130" i="1"/>
  <c r="BO130" i="1"/>
  <c r="BM130" i="1"/>
  <c r="BK130" i="1"/>
  <c r="BI130" i="1"/>
  <c r="BG130" i="1"/>
  <c r="BE130" i="1"/>
  <c r="BA130" i="1"/>
  <c r="AZ130" i="1"/>
  <c r="AX130" i="1"/>
  <c r="AV130" i="1"/>
  <c r="AT130" i="1"/>
  <c r="AR130" i="1"/>
  <c r="AP130" i="1"/>
  <c r="AN130" i="1"/>
  <c r="AI130" i="1"/>
  <c r="AH130" i="1"/>
  <c r="AF130" i="1"/>
  <c r="AD130" i="1"/>
  <c r="AB130" i="1"/>
  <c r="Z130" i="1"/>
  <c r="X130" i="1"/>
  <c r="V130" i="1"/>
  <c r="Q130" i="1"/>
  <c r="P130" i="1"/>
  <c r="N130" i="1"/>
  <c r="L130" i="1"/>
  <c r="J130" i="1"/>
  <c r="H130" i="1"/>
  <c r="F130" i="1"/>
  <c r="D130" i="1"/>
  <c r="BR129" i="1"/>
  <c r="BQ129" i="1"/>
  <c r="BO129" i="1"/>
  <c r="BM129" i="1"/>
  <c r="BK129" i="1"/>
  <c r="BI129" i="1"/>
  <c r="BG129" i="1"/>
  <c r="BE129" i="1"/>
  <c r="BA129" i="1"/>
  <c r="AZ129" i="1"/>
  <c r="AX129" i="1"/>
  <c r="AV129" i="1"/>
  <c r="AT129" i="1"/>
  <c r="AR129" i="1"/>
  <c r="AP129" i="1"/>
  <c r="AN129" i="1"/>
  <c r="AI129" i="1"/>
  <c r="AH129" i="1"/>
  <c r="AF129" i="1"/>
  <c r="AD129" i="1"/>
  <c r="AB129" i="1"/>
  <c r="Z129" i="1"/>
  <c r="X129" i="1"/>
  <c r="V129" i="1"/>
  <c r="Q129" i="1"/>
  <c r="P129" i="1"/>
  <c r="N129" i="1"/>
  <c r="L129" i="1"/>
  <c r="J129" i="1"/>
  <c r="H129" i="1"/>
  <c r="F129" i="1"/>
  <c r="D129" i="1"/>
  <c r="BR128" i="1"/>
  <c r="BQ128" i="1"/>
  <c r="BO128" i="1"/>
  <c r="BM128" i="1"/>
  <c r="BK128" i="1"/>
  <c r="BI128" i="1"/>
  <c r="BG128" i="1"/>
  <c r="BE128" i="1"/>
  <c r="BA128" i="1"/>
  <c r="AZ128" i="1"/>
  <c r="AX128" i="1"/>
  <c r="AV128" i="1"/>
  <c r="AT128" i="1"/>
  <c r="AR128" i="1"/>
  <c r="AP128" i="1"/>
  <c r="AN128" i="1"/>
  <c r="AI128" i="1"/>
  <c r="AH128" i="1"/>
  <c r="AF128" i="1"/>
  <c r="AD128" i="1"/>
  <c r="AB128" i="1"/>
  <c r="Z128" i="1"/>
  <c r="X128" i="1"/>
  <c r="V128" i="1"/>
  <c r="Q128" i="1"/>
  <c r="P128" i="1"/>
  <c r="N128" i="1"/>
  <c r="L128" i="1"/>
  <c r="J128" i="1"/>
  <c r="H128" i="1"/>
  <c r="F128" i="1"/>
  <c r="D128" i="1"/>
  <c r="BR127" i="1"/>
  <c r="BQ127" i="1"/>
  <c r="BO127" i="1"/>
  <c r="BM127" i="1"/>
  <c r="BK127" i="1"/>
  <c r="BI127" i="1"/>
  <c r="BG127" i="1"/>
  <c r="BE127" i="1"/>
  <c r="BA127" i="1"/>
  <c r="AZ127" i="1"/>
  <c r="AX127" i="1"/>
  <c r="AV127" i="1"/>
  <c r="AT127" i="1"/>
  <c r="AR127" i="1"/>
  <c r="AP127" i="1"/>
  <c r="AN127" i="1"/>
  <c r="AI127" i="1"/>
  <c r="AH127" i="1"/>
  <c r="AF127" i="1"/>
  <c r="AD127" i="1"/>
  <c r="AB127" i="1"/>
  <c r="Z127" i="1"/>
  <c r="X127" i="1"/>
  <c r="V127" i="1"/>
  <c r="Q127" i="1"/>
  <c r="P127" i="1"/>
  <c r="N127" i="1"/>
  <c r="L127" i="1"/>
  <c r="J127" i="1"/>
  <c r="H127" i="1"/>
  <c r="F127" i="1"/>
  <c r="D127" i="1"/>
  <c r="BR126" i="1"/>
  <c r="BQ126" i="1"/>
  <c r="BO126" i="1"/>
  <c r="BM126" i="1"/>
  <c r="BK126" i="1"/>
  <c r="BI126" i="1"/>
  <c r="BG126" i="1"/>
  <c r="BE126" i="1"/>
  <c r="BA126" i="1"/>
  <c r="AZ126" i="1"/>
  <c r="AX126" i="1"/>
  <c r="AV126" i="1"/>
  <c r="AT126" i="1"/>
  <c r="AR126" i="1"/>
  <c r="AP126" i="1"/>
  <c r="AN126" i="1"/>
  <c r="AI126" i="1"/>
  <c r="AH126" i="1"/>
  <c r="AF126" i="1"/>
  <c r="AD126" i="1"/>
  <c r="AB126" i="1"/>
  <c r="Z126" i="1"/>
  <c r="X126" i="1"/>
  <c r="V126" i="1"/>
  <c r="Q126" i="1"/>
  <c r="P126" i="1"/>
  <c r="N126" i="1"/>
  <c r="L126" i="1"/>
  <c r="J126" i="1"/>
  <c r="H126" i="1"/>
  <c r="F126" i="1"/>
  <c r="D126" i="1"/>
  <c r="BR125" i="1"/>
  <c r="BQ125" i="1"/>
  <c r="BO125" i="1"/>
  <c r="BM125" i="1"/>
  <c r="BK125" i="1"/>
  <c r="BI125" i="1"/>
  <c r="BG125" i="1"/>
  <c r="BE125" i="1"/>
  <c r="BA125" i="1"/>
  <c r="AZ125" i="1"/>
  <c r="AX125" i="1"/>
  <c r="AV125" i="1"/>
  <c r="AT125" i="1"/>
  <c r="AR125" i="1"/>
  <c r="AP125" i="1"/>
  <c r="AN125" i="1"/>
  <c r="AI125" i="1"/>
  <c r="AH125" i="1"/>
  <c r="AF125" i="1"/>
  <c r="AD125" i="1"/>
  <c r="AB125" i="1"/>
  <c r="Z125" i="1"/>
  <c r="X125" i="1"/>
  <c r="V125" i="1"/>
  <c r="Q125" i="1"/>
  <c r="P125" i="1"/>
  <c r="N125" i="1"/>
  <c r="L125" i="1"/>
  <c r="J125" i="1"/>
  <c r="H125" i="1"/>
  <c r="F125" i="1"/>
  <c r="D125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R123" i="1"/>
  <c r="BQ123" i="1"/>
  <c r="BO123" i="1"/>
  <c r="BM123" i="1"/>
  <c r="BK123" i="1"/>
  <c r="BI123" i="1"/>
  <c r="BG123" i="1"/>
  <c r="BE123" i="1"/>
  <c r="BA123" i="1"/>
  <c r="AZ123" i="1"/>
  <c r="AX123" i="1"/>
  <c r="AV123" i="1"/>
  <c r="AT123" i="1"/>
  <c r="AR123" i="1"/>
  <c r="AP123" i="1"/>
  <c r="AN123" i="1"/>
  <c r="AI123" i="1"/>
  <c r="AH123" i="1"/>
  <c r="AF123" i="1"/>
  <c r="AD123" i="1"/>
  <c r="AB123" i="1"/>
  <c r="Z123" i="1"/>
  <c r="X123" i="1"/>
  <c r="V123" i="1"/>
  <c r="Q123" i="1"/>
  <c r="P123" i="1"/>
  <c r="N123" i="1"/>
  <c r="L123" i="1"/>
  <c r="J123" i="1"/>
  <c r="H123" i="1"/>
  <c r="F123" i="1"/>
  <c r="D123" i="1"/>
  <c r="BR122" i="1"/>
  <c r="BQ122" i="1"/>
  <c r="BO122" i="1"/>
  <c r="BM122" i="1"/>
  <c r="BK122" i="1"/>
  <c r="BI122" i="1"/>
  <c r="BG122" i="1"/>
  <c r="BE122" i="1"/>
  <c r="BA122" i="1"/>
  <c r="AZ122" i="1"/>
  <c r="AX122" i="1"/>
  <c r="AV122" i="1"/>
  <c r="AT122" i="1"/>
  <c r="AR122" i="1"/>
  <c r="AP122" i="1"/>
  <c r="AN122" i="1"/>
  <c r="AI122" i="1"/>
  <c r="AH122" i="1"/>
  <c r="AF122" i="1"/>
  <c r="AD122" i="1"/>
  <c r="AB122" i="1"/>
  <c r="Z122" i="1"/>
  <c r="X122" i="1"/>
  <c r="V122" i="1"/>
  <c r="Q122" i="1"/>
  <c r="P122" i="1"/>
  <c r="N122" i="1"/>
  <c r="L122" i="1"/>
  <c r="J122" i="1"/>
  <c r="H122" i="1"/>
  <c r="F122" i="1"/>
  <c r="D122" i="1"/>
  <c r="AI117" i="1"/>
  <c r="AG117" i="1"/>
  <c r="AE117" i="1"/>
  <c r="AC117" i="1"/>
  <c r="AA117" i="1"/>
  <c r="Y117" i="1"/>
  <c r="W117" i="1"/>
  <c r="U117" i="1"/>
  <c r="Q117" i="1"/>
  <c r="O117" i="1"/>
  <c r="M117" i="1"/>
  <c r="K117" i="1"/>
  <c r="I117" i="1"/>
  <c r="G117" i="1"/>
  <c r="E117" i="1"/>
  <c r="C117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AI115" i="1"/>
  <c r="AH115" i="1"/>
  <c r="AF115" i="1"/>
  <c r="AD115" i="1"/>
  <c r="AB115" i="1"/>
  <c r="Z115" i="1"/>
  <c r="X115" i="1"/>
  <c r="V115" i="1"/>
  <c r="Q115" i="1"/>
  <c r="P115" i="1"/>
  <c r="N115" i="1"/>
  <c r="L115" i="1"/>
  <c r="J115" i="1"/>
  <c r="H115" i="1"/>
  <c r="F115" i="1"/>
  <c r="D115" i="1"/>
  <c r="AI114" i="1"/>
  <c r="AH114" i="1"/>
  <c r="AF114" i="1"/>
  <c r="AD114" i="1"/>
  <c r="AB114" i="1"/>
  <c r="Z114" i="1"/>
  <c r="X114" i="1"/>
  <c r="V114" i="1"/>
  <c r="Q114" i="1"/>
  <c r="P114" i="1"/>
  <c r="N114" i="1"/>
  <c r="L114" i="1"/>
  <c r="J114" i="1"/>
  <c r="H114" i="1"/>
  <c r="F114" i="1"/>
  <c r="D114" i="1"/>
  <c r="AI113" i="1"/>
  <c r="AH113" i="1"/>
  <c r="AF113" i="1"/>
  <c r="AD113" i="1"/>
  <c r="AB113" i="1"/>
  <c r="Z113" i="1"/>
  <c r="X113" i="1"/>
  <c r="V113" i="1"/>
  <c r="Q113" i="1"/>
  <c r="P113" i="1"/>
  <c r="N113" i="1"/>
  <c r="L113" i="1"/>
  <c r="J113" i="1"/>
  <c r="H113" i="1"/>
  <c r="F113" i="1"/>
  <c r="D113" i="1"/>
  <c r="AI112" i="1"/>
  <c r="AH112" i="1"/>
  <c r="AF112" i="1"/>
  <c r="AD112" i="1"/>
  <c r="AB112" i="1"/>
  <c r="Z112" i="1"/>
  <c r="X112" i="1"/>
  <c r="V112" i="1"/>
  <c r="Q112" i="1"/>
  <c r="P112" i="1"/>
  <c r="N112" i="1"/>
  <c r="L112" i="1"/>
  <c r="J112" i="1"/>
  <c r="H112" i="1"/>
  <c r="F112" i="1"/>
  <c r="D112" i="1"/>
  <c r="AI111" i="1"/>
  <c r="AH111" i="1"/>
  <c r="AF111" i="1"/>
  <c r="AD111" i="1"/>
  <c r="AB111" i="1"/>
  <c r="Z111" i="1"/>
  <c r="X111" i="1"/>
  <c r="V111" i="1"/>
  <c r="Q111" i="1"/>
  <c r="P111" i="1"/>
  <c r="N111" i="1"/>
  <c r="L111" i="1"/>
  <c r="J111" i="1"/>
  <c r="H111" i="1"/>
  <c r="F111" i="1"/>
  <c r="D111" i="1"/>
  <c r="AI110" i="1"/>
  <c r="AH110" i="1"/>
  <c r="AF110" i="1"/>
  <c r="AD110" i="1"/>
  <c r="AB110" i="1"/>
  <c r="Z110" i="1"/>
  <c r="X110" i="1"/>
  <c r="V110" i="1"/>
  <c r="Q110" i="1"/>
  <c r="P110" i="1"/>
  <c r="N110" i="1"/>
  <c r="L110" i="1"/>
  <c r="J110" i="1"/>
  <c r="H110" i="1"/>
  <c r="F110" i="1"/>
  <c r="D110" i="1"/>
  <c r="AI109" i="1"/>
  <c r="AH109" i="1"/>
  <c r="AF109" i="1"/>
  <c r="AD109" i="1"/>
  <c r="AB109" i="1"/>
  <c r="Z109" i="1"/>
  <c r="X109" i="1"/>
  <c r="V109" i="1"/>
  <c r="Q109" i="1"/>
  <c r="P109" i="1"/>
  <c r="N109" i="1"/>
  <c r="L109" i="1"/>
  <c r="J109" i="1"/>
  <c r="H109" i="1"/>
  <c r="F109" i="1"/>
  <c r="D109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AI107" i="1"/>
  <c r="AH107" i="1"/>
  <c r="AF107" i="1"/>
  <c r="AD107" i="1"/>
  <c r="AB107" i="1"/>
  <c r="Z107" i="1"/>
  <c r="X107" i="1"/>
  <c r="V107" i="1"/>
  <c r="Q107" i="1"/>
  <c r="P107" i="1"/>
  <c r="N107" i="1"/>
  <c r="L107" i="1"/>
  <c r="J107" i="1"/>
  <c r="H107" i="1"/>
  <c r="F107" i="1"/>
  <c r="D107" i="1"/>
  <c r="AI106" i="1"/>
  <c r="AH106" i="1"/>
  <c r="AF106" i="1"/>
  <c r="AD106" i="1"/>
  <c r="AB106" i="1"/>
  <c r="Z106" i="1"/>
  <c r="X106" i="1"/>
  <c r="V106" i="1"/>
  <c r="Q106" i="1"/>
  <c r="P106" i="1"/>
  <c r="N106" i="1"/>
  <c r="L106" i="1"/>
  <c r="J106" i="1"/>
  <c r="H106" i="1"/>
  <c r="F106" i="1"/>
  <c r="D106" i="1"/>
  <c r="AI99" i="1"/>
  <c r="AG99" i="1"/>
  <c r="AE99" i="1"/>
  <c r="AC99" i="1"/>
  <c r="AA99" i="1"/>
  <c r="Y99" i="1"/>
  <c r="W99" i="1"/>
  <c r="U99" i="1"/>
  <c r="Q99" i="1"/>
  <c r="O99" i="1"/>
  <c r="M99" i="1"/>
  <c r="K99" i="1"/>
  <c r="I99" i="1"/>
  <c r="G99" i="1"/>
  <c r="E99" i="1"/>
  <c r="C99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I97" i="1"/>
  <c r="AH97" i="1"/>
  <c r="AF97" i="1"/>
  <c r="AD97" i="1"/>
  <c r="AB97" i="1"/>
  <c r="Z97" i="1"/>
  <c r="X97" i="1"/>
  <c r="V97" i="1"/>
  <c r="Q97" i="1"/>
  <c r="P97" i="1"/>
  <c r="N97" i="1"/>
  <c r="L97" i="1"/>
  <c r="J97" i="1"/>
  <c r="H97" i="1"/>
  <c r="F97" i="1"/>
  <c r="D97" i="1"/>
  <c r="AI96" i="1"/>
  <c r="AH96" i="1"/>
  <c r="AF96" i="1"/>
  <c r="AD96" i="1"/>
  <c r="AB96" i="1"/>
  <c r="Z96" i="1"/>
  <c r="X96" i="1"/>
  <c r="V96" i="1"/>
  <c r="Q96" i="1"/>
  <c r="P96" i="1"/>
  <c r="N96" i="1"/>
  <c r="L96" i="1"/>
  <c r="J96" i="1"/>
  <c r="H96" i="1"/>
  <c r="F96" i="1"/>
  <c r="D96" i="1"/>
  <c r="AI95" i="1"/>
  <c r="AH95" i="1"/>
  <c r="AF95" i="1"/>
  <c r="AD95" i="1"/>
  <c r="AB95" i="1"/>
  <c r="Z95" i="1"/>
  <c r="X95" i="1"/>
  <c r="V95" i="1"/>
  <c r="Q95" i="1"/>
  <c r="P95" i="1"/>
  <c r="N95" i="1"/>
  <c r="L95" i="1"/>
  <c r="J95" i="1"/>
  <c r="H95" i="1"/>
  <c r="F95" i="1"/>
  <c r="D95" i="1"/>
  <c r="AI94" i="1"/>
  <c r="AH94" i="1"/>
  <c r="AF94" i="1"/>
  <c r="AD94" i="1"/>
  <c r="AB94" i="1"/>
  <c r="Z94" i="1"/>
  <c r="X94" i="1"/>
  <c r="V94" i="1"/>
  <c r="Q94" i="1"/>
  <c r="P94" i="1"/>
  <c r="N94" i="1"/>
  <c r="L94" i="1"/>
  <c r="J94" i="1"/>
  <c r="H94" i="1"/>
  <c r="F94" i="1"/>
  <c r="D94" i="1"/>
  <c r="AI93" i="1"/>
  <c r="AH93" i="1"/>
  <c r="AF93" i="1"/>
  <c r="AD93" i="1"/>
  <c r="AB93" i="1"/>
  <c r="Z93" i="1"/>
  <c r="X93" i="1"/>
  <c r="V93" i="1"/>
  <c r="Q93" i="1"/>
  <c r="P93" i="1"/>
  <c r="N93" i="1"/>
  <c r="L93" i="1"/>
  <c r="J93" i="1"/>
  <c r="H93" i="1"/>
  <c r="F93" i="1"/>
  <c r="D93" i="1"/>
  <c r="AI92" i="1"/>
  <c r="AH92" i="1"/>
  <c r="AF92" i="1"/>
  <c r="AD92" i="1"/>
  <c r="AB92" i="1"/>
  <c r="Z92" i="1"/>
  <c r="X92" i="1"/>
  <c r="V92" i="1"/>
  <c r="Q92" i="1"/>
  <c r="P92" i="1"/>
  <c r="N92" i="1"/>
  <c r="L92" i="1"/>
  <c r="J92" i="1"/>
  <c r="H92" i="1"/>
  <c r="F92" i="1"/>
  <c r="D92" i="1"/>
  <c r="AI91" i="1"/>
  <c r="AH91" i="1"/>
  <c r="AF91" i="1"/>
  <c r="AD91" i="1"/>
  <c r="AB91" i="1"/>
  <c r="Z91" i="1"/>
  <c r="X91" i="1"/>
  <c r="V91" i="1"/>
  <c r="Q91" i="1"/>
  <c r="P91" i="1"/>
  <c r="N91" i="1"/>
  <c r="L91" i="1"/>
  <c r="J91" i="1"/>
  <c r="H91" i="1"/>
  <c r="F91" i="1"/>
  <c r="D91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AI89" i="1"/>
  <c r="AH89" i="1"/>
  <c r="AF89" i="1"/>
  <c r="AD89" i="1"/>
  <c r="AB89" i="1"/>
  <c r="Z89" i="1"/>
  <c r="X89" i="1"/>
  <c r="V89" i="1"/>
  <c r="Q89" i="1"/>
  <c r="P89" i="1"/>
  <c r="N89" i="1"/>
  <c r="L89" i="1"/>
  <c r="J89" i="1"/>
  <c r="H89" i="1"/>
  <c r="F89" i="1"/>
  <c r="D89" i="1"/>
  <c r="AI88" i="1"/>
  <c r="AH88" i="1"/>
  <c r="AF88" i="1"/>
  <c r="AD88" i="1"/>
  <c r="AB88" i="1"/>
  <c r="Z88" i="1"/>
  <c r="X88" i="1"/>
  <c r="V88" i="1"/>
  <c r="Q88" i="1"/>
  <c r="P88" i="1"/>
  <c r="N88" i="1"/>
  <c r="L88" i="1"/>
  <c r="J88" i="1"/>
  <c r="H88" i="1"/>
  <c r="F88" i="1"/>
  <c r="D88" i="1"/>
  <c r="BR83" i="1"/>
  <c r="BP83" i="1"/>
  <c r="BN83" i="1"/>
  <c r="BL83" i="1"/>
  <c r="BJ83" i="1"/>
  <c r="BH83" i="1"/>
  <c r="BF83" i="1"/>
  <c r="BD83" i="1"/>
  <c r="BA83" i="1"/>
  <c r="AY83" i="1"/>
  <c r="AW83" i="1"/>
  <c r="AU83" i="1"/>
  <c r="AS83" i="1"/>
  <c r="AQ83" i="1"/>
  <c r="AO83" i="1"/>
  <c r="AM83" i="1"/>
  <c r="AI83" i="1"/>
  <c r="AG83" i="1"/>
  <c r="AE83" i="1"/>
  <c r="AC83" i="1"/>
  <c r="AA83" i="1"/>
  <c r="Y83" i="1"/>
  <c r="W83" i="1"/>
  <c r="U83" i="1"/>
  <c r="Q83" i="1"/>
  <c r="O83" i="1"/>
  <c r="M83" i="1"/>
  <c r="K83" i="1"/>
  <c r="I83" i="1"/>
  <c r="G83" i="1"/>
  <c r="E83" i="1"/>
  <c r="C83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R81" i="1"/>
  <c r="BQ81" i="1"/>
  <c r="BO81" i="1"/>
  <c r="BM81" i="1"/>
  <c r="BK81" i="1"/>
  <c r="BI81" i="1"/>
  <c r="BG81" i="1"/>
  <c r="BE81" i="1"/>
  <c r="BA81" i="1"/>
  <c r="AZ81" i="1"/>
  <c r="AX81" i="1"/>
  <c r="AV81" i="1"/>
  <c r="AT81" i="1"/>
  <c r="AR81" i="1"/>
  <c r="AP81" i="1"/>
  <c r="AN81" i="1"/>
  <c r="AI81" i="1"/>
  <c r="AH81" i="1"/>
  <c r="AF81" i="1"/>
  <c r="AD81" i="1"/>
  <c r="AB81" i="1"/>
  <c r="Z81" i="1"/>
  <c r="X81" i="1"/>
  <c r="V81" i="1"/>
  <c r="Q81" i="1"/>
  <c r="P81" i="1"/>
  <c r="N81" i="1"/>
  <c r="L81" i="1"/>
  <c r="J81" i="1"/>
  <c r="H81" i="1"/>
  <c r="F81" i="1"/>
  <c r="D81" i="1"/>
  <c r="BR80" i="1"/>
  <c r="BQ80" i="1"/>
  <c r="BO80" i="1"/>
  <c r="BM80" i="1"/>
  <c r="BK80" i="1"/>
  <c r="BI80" i="1"/>
  <c r="BG80" i="1"/>
  <c r="BE80" i="1"/>
  <c r="BA80" i="1"/>
  <c r="AZ80" i="1"/>
  <c r="AX80" i="1"/>
  <c r="AV80" i="1"/>
  <c r="AT80" i="1"/>
  <c r="AR80" i="1"/>
  <c r="AP80" i="1"/>
  <c r="AN80" i="1"/>
  <c r="AI80" i="1"/>
  <c r="AH80" i="1"/>
  <c r="AF80" i="1"/>
  <c r="AD80" i="1"/>
  <c r="AB80" i="1"/>
  <c r="Z80" i="1"/>
  <c r="X80" i="1"/>
  <c r="V80" i="1"/>
  <c r="Q80" i="1"/>
  <c r="P80" i="1"/>
  <c r="N80" i="1"/>
  <c r="L80" i="1"/>
  <c r="J80" i="1"/>
  <c r="H80" i="1"/>
  <c r="F80" i="1"/>
  <c r="D80" i="1"/>
  <c r="BR79" i="1"/>
  <c r="BQ79" i="1"/>
  <c r="BO79" i="1"/>
  <c r="BM79" i="1"/>
  <c r="BK79" i="1"/>
  <c r="BI79" i="1"/>
  <c r="BG79" i="1"/>
  <c r="BE79" i="1"/>
  <c r="BA79" i="1"/>
  <c r="AZ79" i="1"/>
  <c r="AX79" i="1"/>
  <c r="AV79" i="1"/>
  <c r="AT79" i="1"/>
  <c r="AR79" i="1"/>
  <c r="AP79" i="1"/>
  <c r="AN79" i="1"/>
  <c r="AI79" i="1"/>
  <c r="AH79" i="1"/>
  <c r="AF79" i="1"/>
  <c r="AD79" i="1"/>
  <c r="AB79" i="1"/>
  <c r="Z79" i="1"/>
  <c r="X79" i="1"/>
  <c r="V79" i="1"/>
  <c r="Q79" i="1"/>
  <c r="P79" i="1"/>
  <c r="N79" i="1"/>
  <c r="L79" i="1"/>
  <c r="J79" i="1"/>
  <c r="H79" i="1"/>
  <c r="F79" i="1"/>
  <c r="D79" i="1"/>
  <c r="BR78" i="1"/>
  <c r="BQ78" i="1"/>
  <c r="BO78" i="1"/>
  <c r="BM78" i="1"/>
  <c r="BK78" i="1"/>
  <c r="BI78" i="1"/>
  <c r="BG78" i="1"/>
  <c r="BE78" i="1"/>
  <c r="BA78" i="1"/>
  <c r="AZ78" i="1"/>
  <c r="AX78" i="1"/>
  <c r="AV78" i="1"/>
  <c r="AT78" i="1"/>
  <c r="AR78" i="1"/>
  <c r="AP78" i="1"/>
  <c r="AN78" i="1"/>
  <c r="AI78" i="1"/>
  <c r="AH78" i="1"/>
  <c r="AF78" i="1"/>
  <c r="AD78" i="1"/>
  <c r="AB78" i="1"/>
  <c r="Z78" i="1"/>
  <c r="X78" i="1"/>
  <c r="V78" i="1"/>
  <c r="Q78" i="1"/>
  <c r="P78" i="1"/>
  <c r="N78" i="1"/>
  <c r="L78" i="1"/>
  <c r="J78" i="1"/>
  <c r="H78" i="1"/>
  <c r="F78" i="1"/>
  <c r="D78" i="1"/>
  <c r="BR77" i="1"/>
  <c r="BQ77" i="1"/>
  <c r="BO77" i="1"/>
  <c r="BM77" i="1"/>
  <c r="BK77" i="1"/>
  <c r="BI77" i="1"/>
  <c r="BG77" i="1"/>
  <c r="BE77" i="1"/>
  <c r="BA77" i="1"/>
  <c r="AZ77" i="1"/>
  <c r="AX77" i="1"/>
  <c r="AV77" i="1"/>
  <c r="AT77" i="1"/>
  <c r="AR77" i="1"/>
  <c r="AP77" i="1"/>
  <c r="AN77" i="1"/>
  <c r="AI77" i="1"/>
  <c r="AH77" i="1"/>
  <c r="AF77" i="1"/>
  <c r="AD77" i="1"/>
  <c r="AB77" i="1"/>
  <c r="Z77" i="1"/>
  <c r="X77" i="1"/>
  <c r="V77" i="1"/>
  <c r="Q77" i="1"/>
  <c r="P77" i="1"/>
  <c r="N77" i="1"/>
  <c r="L77" i="1"/>
  <c r="J77" i="1"/>
  <c r="H77" i="1"/>
  <c r="F77" i="1"/>
  <c r="D77" i="1"/>
  <c r="BR76" i="1"/>
  <c r="BQ76" i="1"/>
  <c r="BO76" i="1"/>
  <c r="BM76" i="1"/>
  <c r="BK76" i="1"/>
  <c r="BI76" i="1"/>
  <c r="BG76" i="1"/>
  <c r="BE76" i="1"/>
  <c r="BA76" i="1"/>
  <c r="AZ76" i="1"/>
  <c r="AX76" i="1"/>
  <c r="AV76" i="1"/>
  <c r="AT76" i="1"/>
  <c r="AR76" i="1"/>
  <c r="AP76" i="1"/>
  <c r="AN76" i="1"/>
  <c r="AI76" i="1"/>
  <c r="AH76" i="1"/>
  <c r="AF76" i="1"/>
  <c r="AD76" i="1"/>
  <c r="AB76" i="1"/>
  <c r="Z76" i="1"/>
  <c r="X76" i="1"/>
  <c r="V76" i="1"/>
  <c r="Q76" i="1"/>
  <c r="P76" i="1"/>
  <c r="N76" i="1"/>
  <c r="L76" i="1"/>
  <c r="J76" i="1"/>
  <c r="H76" i="1"/>
  <c r="F76" i="1"/>
  <c r="D76" i="1"/>
  <c r="BR75" i="1"/>
  <c r="BQ75" i="1"/>
  <c r="BO75" i="1"/>
  <c r="BM75" i="1"/>
  <c r="BK75" i="1"/>
  <c r="BI75" i="1"/>
  <c r="BG75" i="1"/>
  <c r="BE75" i="1"/>
  <c r="BA75" i="1"/>
  <c r="AZ75" i="1"/>
  <c r="AX75" i="1"/>
  <c r="AV75" i="1"/>
  <c r="AT75" i="1"/>
  <c r="AR75" i="1"/>
  <c r="AP75" i="1"/>
  <c r="AN75" i="1"/>
  <c r="AI75" i="1"/>
  <c r="AH75" i="1"/>
  <c r="AF75" i="1"/>
  <c r="AD75" i="1"/>
  <c r="AB75" i="1"/>
  <c r="Z75" i="1"/>
  <c r="X75" i="1"/>
  <c r="V75" i="1"/>
  <c r="Q75" i="1"/>
  <c r="P75" i="1"/>
  <c r="N75" i="1"/>
  <c r="L75" i="1"/>
  <c r="J75" i="1"/>
  <c r="H75" i="1"/>
  <c r="F75" i="1"/>
  <c r="D75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R73" i="1"/>
  <c r="BQ73" i="1"/>
  <c r="BO73" i="1"/>
  <c r="BM73" i="1"/>
  <c r="BK73" i="1"/>
  <c r="BI73" i="1"/>
  <c r="BG73" i="1"/>
  <c r="BE73" i="1"/>
  <c r="BA73" i="1"/>
  <c r="AZ73" i="1"/>
  <c r="AX73" i="1"/>
  <c r="AV73" i="1"/>
  <c r="AT73" i="1"/>
  <c r="AR73" i="1"/>
  <c r="AP73" i="1"/>
  <c r="AN73" i="1"/>
  <c r="AI73" i="1"/>
  <c r="AH73" i="1"/>
  <c r="AF73" i="1"/>
  <c r="AD73" i="1"/>
  <c r="AB73" i="1"/>
  <c r="Z73" i="1"/>
  <c r="X73" i="1"/>
  <c r="V73" i="1"/>
  <c r="Q73" i="1"/>
  <c r="P73" i="1"/>
  <c r="N73" i="1"/>
  <c r="L73" i="1"/>
  <c r="J73" i="1"/>
  <c r="H73" i="1"/>
  <c r="F73" i="1"/>
  <c r="D73" i="1"/>
  <c r="BR72" i="1"/>
  <c r="BQ72" i="1"/>
  <c r="BO72" i="1"/>
  <c r="BM72" i="1"/>
  <c r="BK72" i="1"/>
  <c r="BI72" i="1"/>
  <c r="BG72" i="1"/>
  <c r="BE72" i="1"/>
  <c r="BA72" i="1"/>
  <c r="AZ72" i="1"/>
  <c r="AX72" i="1"/>
  <c r="AV72" i="1"/>
  <c r="AT72" i="1"/>
  <c r="AR72" i="1"/>
  <c r="AP72" i="1"/>
  <c r="AN72" i="1"/>
  <c r="AI72" i="1"/>
  <c r="AH72" i="1"/>
  <c r="AF72" i="1"/>
  <c r="AD72" i="1"/>
  <c r="AB72" i="1"/>
  <c r="Z72" i="1"/>
  <c r="X72" i="1"/>
  <c r="V72" i="1"/>
  <c r="Q72" i="1"/>
  <c r="P72" i="1"/>
  <c r="N72" i="1"/>
  <c r="L72" i="1"/>
  <c r="J72" i="1"/>
  <c r="H72" i="1"/>
  <c r="F72" i="1"/>
  <c r="D72" i="1"/>
  <c r="AI67" i="1"/>
  <c r="AG67" i="1"/>
  <c r="AE67" i="1"/>
  <c r="AC67" i="1"/>
  <c r="AA67" i="1"/>
  <c r="Y67" i="1"/>
  <c r="W67" i="1"/>
  <c r="U67" i="1"/>
  <c r="Q67" i="1"/>
  <c r="O67" i="1"/>
  <c r="M67" i="1"/>
  <c r="K67" i="1"/>
  <c r="I67" i="1"/>
  <c r="G67" i="1"/>
  <c r="E67" i="1"/>
  <c r="C67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I65" i="1"/>
  <c r="AH65" i="1"/>
  <c r="AF65" i="1"/>
  <c r="AD65" i="1"/>
  <c r="AB65" i="1"/>
  <c r="Z65" i="1"/>
  <c r="X65" i="1"/>
  <c r="V65" i="1"/>
  <c r="Q65" i="1"/>
  <c r="P65" i="1"/>
  <c r="N65" i="1"/>
  <c r="L65" i="1"/>
  <c r="J65" i="1"/>
  <c r="H65" i="1"/>
  <c r="F65" i="1"/>
  <c r="D65" i="1"/>
  <c r="AI64" i="1"/>
  <c r="AH64" i="1"/>
  <c r="AF64" i="1"/>
  <c r="AD64" i="1"/>
  <c r="AB64" i="1"/>
  <c r="Z64" i="1"/>
  <c r="X64" i="1"/>
  <c r="V64" i="1"/>
  <c r="Q64" i="1"/>
  <c r="P64" i="1"/>
  <c r="N64" i="1"/>
  <c r="L64" i="1"/>
  <c r="J64" i="1"/>
  <c r="H64" i="1"/>
  <c r="F64" i="1"/>
  <c r="D64" i="1"/>
  <c r="AI63" i="1"/>
  <c r="AH63" i="1"/>
  <c r="AF63" i="1"/>
  <c r="AD63" i="1"/>
  <c r="AB63" i="1"/>
  <c r="Z63" i="1"/>
  <c r="X63" i="1"/>
  <c r="V63" i="1"/>
  <c r="Q63" i="1"/>
  <c r="P63" i="1"/>
  <c r="N63" i="1"/>
  <c r="L63" i="1"/>
  <c r="J63" i="1"/>
  <c r="H63" i="1"/>
  <c r="F63" i="1"/>
  <c r="D63" i="1"/>
  <c r="AI62" i="1"/>
  <c r="AH62" i="1"/>
  <c r="AF62" i="1"/>
  <c r="AD62" i="1"/>
  <c r="AB62" i="1"/>
  <c r="Z62" i="1"/>
  <c r="X62" i="1"/>
  <c r="V62" i="1"/>
  <c r="Q62" i="1"/>
  <c r="P62" i="1"/>
  <c r="N62" i="1"/>
  <c r="L62" i="1"/>
  <c r="J62" i="1"/>
  <c r="H62" i="1"/>
  <c r="F62" i="1"/>
  <c r="D62" i="1"/>
  <c r="AI61" i="1"/>
  <c r="AH61" i="1"/>
  <c r="AF61" i="1"/>
  <c r="AD61" i="1"/>
  <c r="AB61" i="1"/>
  <c r="Z61" i="1"/>
  <c r="X61" i="1"/>
  <c r="V61" i="1"/>
  <c r="Q61" i="1"/>
  <c r="P61" i="1"/>
  <c r="N61" i="1"/>
  <c r="L61" i="1"/>
  <c r="J61" i="1"/>
  <c r="H61" i="1"/>
  <c r="F61" i="1"/>
  <c r="D61" i="1"/>
  <c r="AI60" i="1"/>
  <c r="AH60" i="1"/>
  <c r="AF60" i="1"/>
  <c r="AD60" i="1"/>
  <c r="AB60" i="1"/>
  <c r="Z60" i="1"/>
  <c r="X60" i="1"/>
  <c r="V60" i="1"/>
  <c r="Q60" i="1"/>
  <c r="P60" i="1"/>
  <c r="N60" i="1"/>
  <c r="L60" i="1"/>
  <c r="J60" i="1"/>
  <c r="H60" i="1"/>
  <c r="F60" i="1"/>
  <c r="D60" i="1"/>
  <c r="AI59" i="1"/>
  <c r="AH59" i="1"/>
  <c r="AF59" i="1"/>
  <c r="AD59" i="1"/>
  <c r="AB59" i="1"/>
  <c r="Z59" i="1"/>
  <c r="X59" i="1"/>
  <c r="V59" i="1"/>
  <c r="Q59" i="1"/>
  <c r="P59" i="1"/>
  <c r="N59" i="1"/>
  <c r="L59" i="1"/>
  <c r="J59" i="1"/>
  <c r="H59" i="1"/>
  <c r="F59" i="1"/>
  <c r="D59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I57" i="1"/>
  <c r="AH57" i="1"/>
  <c r="AF57" i="1"/>
  <c r="AD57" i="1"/>
  <c r="AB57" i="1"/>
  <c r="Z57" i="1"/>
  <c r="X57" i="1"/>
  <c r="V57" i="1"/>
  <c r="Q57" i="1"/>
  <c r="P57" i="1"/>
  <c r="N57" i="1"/>
  <c r="L57" i="1"/>
  <c r="J57" i="1"/>
  <c r="H57" i="1"/>
  <c r="F57" i="1"/>
  <c r="D57" i="1"/>
  <c r="AI56" i="1"/>
  <c r="AH56" i="1"/>
  <c r="AF56" i="1"/>
  <c r="AD56" i="1"/>
  <c r="AB56" i="1"/>
  <c r="Z56" i="1"/>
  <c r="X56" i="1"/>
  <c r="V56" i="1"/>
  <c r="Q56" i="1"/>
  <c r="P56" i="1"/>
  <c r="N56" i="1"/>
  <c r="L56" i="1"/>
  <c r="J56" i="1"/>
  <c r="H56" i="1"/>
  <c r="F56" i="1"/>
  <c r="D56" i="1"/>
  <c r="AI49" i="1"/>
  <c r="AG49" i="1"/>
  <c r="AE49" i="1"/>
  <c r="AC49" i="1"/>
  <c r="AA49" i="1"/>
  <c r="Y49" i="1"/>
  <c r="W49" i="1"/>
  <c r="U49" i="1"/>
  <c r="Q49" i="1"/>
  <c r="O49" i="1"/>
  <c r="M49" i="1"/>
  <c r="K49" i="1"/>
  <c r="I49" i="1"/>
  <c r="G49" i="1"/>
  <c r="E49" i="1"/>
  <c r="C49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I47" i="1"/>
  <c r="AH47" i="1"/>
  <c r="AF47" i="1"/>
  <c r="AD47" i="1"/>
  <c r="AB47" i="1"/>
  <c r="Z47" i="1"/>
  <c r="X47" i="1"/>
  <c r="V47" i="1"/>
  <c r="Q47" i="1"/>
  <c r="P47" i="1"/>
  <c r="N47" i="1"/>
  <c r="L47" i="1"/>
  <c r="J47" i="1"/>
  <c r="H47" i="1"/>
  <c r="F47" i="1"/>
  <c r="D47" i="1"/>
  <c r="AI46" i="1"/>
  <c r="AH46" i="1"/>
  <c r="AF46" i="1"/>
  <c r="AD46" i="1"/>
  <c r="AB46" i="1"/>
  <c r="Z46" i="1"/>
  <c r="X46" i="1"/>
  <c r="V46" i="1"/>
  <c r="Q46" i="1"/>
  <c r="P46" i="1"/>
  <c r="N46" i="1"/>
  <c r="L46" i="1"/>
  <c r="J46" i="1"/>
  <c r="H46" i="1"/>
  <c r="F46" i="1"/>
  <c r="D46" i="1"/>
  <c r="AI45" i="1"/>
  <c r="AH45" i="1"/>
  <c r="AF45" i="1"/>
  <c r="AD45" i="1"/>
  <c r="AB45" i="1"/>
  <c r="Z45" i="1"/>
  <c r="X45" i="1"/>
  <c r="V45" i="1"/>
  <c r="Q45" i="1"/>
  <c r="P45" i="1"/>
  <c r="N45" i="1"/>
  <c r="L45" i="1"/>
  <c r="J45" i="1"/>
  <c r="H45" i="1"/>
  <c r="F45" i="1"/>
  <c r="D45" i="1"/>
  <c r="AI44" i="1"/>
  <c r="AH44" i="1"/>
  <c r="AF44" i="1"/>
  <c r="AD44" i="1"/>
  <c r="AB44" i="1"/>
  <c r="Z44" i="1"/>
  <c r="X44" i="1"/>
  <c r="V44" i="1"/>
  <c r="Q44" i="1"/>
  <c r="P44" i="1"/>
  <c r="N44" i="1"/>
  <c r="L44" i="1"/>
  <c r="J44" i="1"/>
  <c r="H44" i="1"/>
  <c r="F44" i="1"/>
  <c r="D44" i="1"/>
  <c r="AI43" i="1"/>
  <c r="AH43" i="1"/>
  <c r="AF43" i="1"/>
  <c r="AD43" i="1"/>
  <c r="AB43" i="1"/>
  <c r="Z43" i="1"/>
  <c r="X43" i="1"/>
  <c r="V43" i="1"/>
  <c r="Q43" i="1"/>
  <c r="P43" i="1"/>
  <c r="N43" i="1"/>
  <c r="L43" i="1"/>
  <c r="J43" i="1"/>
  <c r="H43" i="1"/>
  <c r="F43" i="1"/>
  <c r="D43" i="1"/>
  <c r="AI42" i="1"/>
  <c r="AH42" i="1"/>
  <c r="AF42" i="1"/>
  <c r="AD42" i="1"/>
  <c r="AB42" i="1"/>
  <c r="Z42" i="1"/>
  <c r="X42" i="1"/>
  <c r="V42" i="1"/>
  <c r="Q42" i="1"/>
  <c r="P42" i="1"/>
  <c r="N42" i="1"/>
  <c r="L42" i="1"/>
  <c r="J42" i="1"/>
  <c r="H42" i="1"/>
  <c r="F42" i="1"/>
  <c r="D42" i="1"/>
  <c r="AI41" i="1"/>
  <c r="AH41" i="1"/>
  <c r="AF41" i="1"/>
  <c r="AD41" i="1"/>
  <c r="AB41" i="1"/>
  <c r="Z41" i="1"/>
  <c r="X41" i="1"/>
  <c r="V41" i="1"/>
  <c r="Q41" i="1"/>
  <c r="P41" i="1"/>
  <c r="N41" i="1"/>
  <c r="L41" i="1"/>
  <c r="J41" i="1"/>
  <c r="H41" i="1"/>
  <c r="F41" i="1"/>
  <c r="D41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I39" i="1"/>
  <c r="AH39" i="1"/>
  <c r="AF39" i="1"/>
  <c r="AD39" i="1"/>
  <c r="AB39" i="1"/>
  <c r="Z39" i="1"/>
  <c r="X39" i="1"/>
  <c r="V39" i="1"/>
  <c r="Q39" i="1"/>
  <c r="P39" i="1"/>
  <c r="N39" i="1"/>
  <c r="L39" i="1"/>
  <c r="J39" i="1"/>
  <c r="H39" i="1"/>
  <c r="F39" i="1"/>
  <c r="D39" i="1"/>
  <c r="AI38" i="1"/>
  <c r="AH38" i="1"/>
  <c r="AF38" i="1"/>
  <c r="AD38" i="1"/>
  <c r="AB38" i="1"/>
  <c r="Z38" i="1"/>
  <c r="X38" i="1"/>
  <c r="V38" i="1"/>
  <c r="Q38" i="1"/>
  <c r="P38" i="1"/>
  <c r="N38" i="1"/>
  <c r="L38" i="1"/>
  <c r="J38" i="1"/>
  <c r="H38" i="1"/>
  <c r="F38" i="1"/>
  <c r="D38" i="1"/>
  <c r="BR33" i="1"/>
  <c r="BP33" i="1"/>
  <c r="BN33" i="1"/>
  <c r="BL33" i="1"/>
  <c r="BJ33" i="1"/>
  <c r="BH33" i="1"/>
  <c r="BF33" i="1"/>
  <c r="BD33" i="1"/>
  <c r="BA33" i="1"/>
  <c r="AY33" i="1"/>
  <c r="AW33" i="1"/>
  <c r="AU33" i="1"/>
  <c r="AS33" i="1"/>
  <c r="AQ33" i="1"/>
  <c r="AO33" i="1"/>
  <c r="AM33" i="1"/>
  <c r="AI33" i="1"/>
  <c r="AG33" i="1"/>
  <c r="AE33" i="1"/>
  <c r="AC33" i="1"/>
  <c r="AA33" i="1"/>
  <c r="Y33" i="1"/>
  <c r="W33" i="1"/>
  <c r="U33" i="1"/>
  <c r="Q33" i="1"/>
  <c r="O33" i="1"/>
  <c r="M33" i="1"/>
  <c r="K33" i="1"/>
  <c r="I33" i="1"/>
  <c r="G33" i="1"/>
  <c r="E33" i="1"/>
  <c r="C33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R31" i="1"/>
  <c r="BQ31" i="1"/>
  <c r="BO31" i="1"/>
  <c r="BM31" i="1"/>
  <c r="BK31" i="1"/>
  <c r="BI31" i="1"/>
  <c r="BG31" i="1"/>
  <c r="BE31" i="1"/>
  <c r="BA31" i="1"/>
  <c r="AZ31" i="1"/>
  <c r="AX31" i="1"/>
  <c r="AV31" i="1"/>
  <c r="AT31" i="1"/>
  <c r="AR31" i="1"/>
  <c r="AP31" i="1"/>
  <c r="AN31" i="1"/>
  <c r="AI31" i="1"/>
  <c r="AH31" i="1"/>
  <c r="AF31" i="1"/>
  <c r="AD31" i="1"/>
  <c r="AB31" i="1"/>
  <c r="Z31" i="1"/>
  <c r="X31" i="1"/>
  <c r="V31" i="1"/>
  <c r="Q31" i="1"/>
  <c r="P31" i="1"/>
  <c r="N31" i="1"/>
  <c r="L31" i="1"/>
  <c r="J31" i="1"/>
  <c r="H31" i="1"/>
  <c r="F31" i="1"/>
  <c r="D31" i="1"/>
  <c r="BR30" i="1"/>
  <c r="BQ30" i="1"/>
  <c r="BO30" i="1"/>
  <c r="BM30" i="1"/>
  <c r="BK30" i="1"/>
  <c r="BI30" i="1"/>
  <c r="BG30" i="1"/>
  <c r="BE30" i="1"/>
  <c r="BA30" i="1"/>
  <c r="AZ30" i="1"/>
  <c r="AX30" i="1"/>
  <c r="AV30" i="1"/>
  <c r="AT30" i="1"/>
  <c r="AR30" i="1"/>
  <c r="AP30" i="1"/>
  <c r="AN30" i="1"/>
  <c r="AI30" i="1"/>
  <c r="AH30" i="1"/>
  <c r="AF30" i="1"/>
  <c r="AD30" i="1"/>
  <c r="AB30" i="1"/>
  <c r="Z30" i="1"/>
  <c r="X30" i="1"/>
  <c r="V30" i="1"/>
  <c r="Q30" i="1"/>
  <c r="P30" i="1"/>
  <c r="N30" i="1"/>
  <c r="L30" i="1"/>
  <c r="J30" i="1"/>
  <c r="H30" i="1"/>
  <c r="F30" i="1"/>
  <c r="D30" i="1"/>
  <c r="BR29" i="1"/>
  <c r="BQ29" i="1"/>
  <c r="BO29" i="1"/>
  <c r="BM29" i="1"/>
  <c r="BK29" i="1"/>
  <c r="BI29" i="1"/>
  <c r="BG29" i="1"/>
  <c r="BE29" i="1"/>
  <c r="BA29" i="1"/>
  <c r="AZ29" i="1"/>
  <c r="AX29" i="1"/>
  <c r="AV29" i="1"/>
  <c r="AT29" i="1"/>
  <c r="AR29" i="1"/>
  <c r="AP29" i="1"/>
  <c r="AN29" i="1"/>
  <c r="AI29" i="1"/>
  <c r="AH29" i="1"/>
  <c r="AF29" i="1"/>
  <c r="AD29" i="1"/>
  <c r="AB29" i="1"/>
  <c r="Z29" i="1"/>
  <c r="X29" i="1"/>
  <c r="V29" i="1"/>
  <c r="Q29" i="1"/>
  <c r="P29" i="1"/>
  <c r="N29" i="1"/>
  <c r="L29" i="1"/>
  <c r="J29" i="1"/>
  <c r="H29" i="1"/>
  <c r="F29" i="1"/>
  <c r="D29" i="1"/>
  <c r="BR28" i="1"/>
  <c r="BQ28" i="1"/>
  <c r="BO28" i="1"/>
  <c r="BM28" i="1"/>
  <c r="BK28" i="1"/>
  <c r="BI28" i="1"/>
  <c r="BG28" i="1"/>
  <c r="BE28" i="1"/>
  <c r="BA28" i="1"/>
  <c r="AZ28" i="1"/>
  <c r="AX28" i="1"/>
  <c r="AV28" i="1"/>
  <c r="AT28" i="1"/>
  <c r="AR28" i="1"/>
  <c r="AP28" i="1"/>
  <c r="AN28" i="1"/>
  <c r="AI28" i="1"/>
  <c r="AH28" i="1"/>
  <c r="AF28" i="1"/>
  <c r="AD28" i="1"/>
  <c r="AB28" i="1"/>
  <c r="Z28" i="1"/>
  <c r="X28" i="1"/>
  <c r="V28" i="1"/>
  <c r="Q28" i="1"/>
  <c r="P28" i="1"/>
  <c r="N28" i="1"/>
  <c r="L28" i="1"/>
  <c r="J28" i="1"/>
  <c r="H28" i="1"/>
  <c r="F28" i="1"/>
  <c r="D28" i="1"/>
  <c r="BR27" i="1"/>
  <c r="BQ27" i="1"/>
  <c r="BO27" i="1"/>
  <c r="BM27" i="1"/>
  <c r="BK27" i="1"/>
  <c r="BI27" i="1"/>
  <c r="BG27" i="1"/>
  <c r="BE27" i="1"/>
  <c r="BA27" i="1"/>
  <c r="AZ27" i="1"/>
  <c r="AX27" i="1"/>
  <c r="AV27" i="1"/>
  <c r="AT27" i="1"/>
  <c r="AR27" i="1"/>
  <c r="AP27" i="1"/>
  <c r="AN27" i="1"/>
  <c r="AI27" i="1"/>
  <c r="AH27" i="1"/>
  <c r="AF27" i="1"/>
  <c r="AD27" i="1"/>
  <c r="AB27" i="1"/>
  <c r="Z27" i="1"/>
  <c r="X27" i="1"/>
  <c r="V27" i="1"/>
  <c r="Q27" i="1"/>
  <c r="P27" i="1"/>
  <c r="N27" i="1"/>
  <c r="L27" i="1"/>
  <c r="J27" i="1"/>
  <c r="H27" i="1"/>
  <c r="F27" i="1"/>
  <c r="D27" i="1"/>
  <c r="BR26" i="1"/>
  <c r="BQ26" i="1"/>
  <c r="BO26" i="1"/>
  <c r="BM26" i="1"/>
  <c r="BK26" i="1"/>
  <c r="BI26" i="1"/>
  <c r="BG26" i="1"/>
  <c r="BE26" i="1"/>
  <c r="BA26" i="1"/>
  <c r="AZ26" i="1"/>
  <c r="AX26" i="1"/>
  <c r="AV26" i="1"/>
  <c r="AT26" i="1"/>
  <c r="AR26" i="1"/>
  <c r="AP26" i="1"/>
  <c r="AN26" i="1"/>
  <c r="AI26" i="1"/>
  <c r="AH26" i="1"/>
  <c r="AF26" i="1"/>
  <c r="AD26" i="1"/>
  <c r="AB26" i="1"/>
  <c r="Z26" i="1"/>
  <c r="X26" i="1"/>
  <c r="V26" i="1"/>
  <c r="Q26" i="1"/>
  <c r="P26" i="1"/>
  <c r="N26" i="1"/>
  <c r="L26" i="1"/>
  <c r="J26" i="1"/>
  <c r="H26" i="1"/>
  <c r="F26" i="1"/>
  <c r="D26" i="1"/>
  <c r="BR25" i="1"/>
  <c r="BQ25" i="1"/>
  <c r="BO25" i="1"/>
  <c r="BM25" i="1"/>
  <c r="BK25" i="1"/>
  <c r="BI25" i="1"/>
  <c r="BG25" i="1"/>
  <c r="BE25" i="1"/>
  <c r="BA25" i="1"/>
  <c r="AZ25" i="1"/>
  <c r="AX25" i="1"/>
  <c r="AV25" i="1"/>
  <c r="AT25" i="1"/>
  <c r="AR25" i="1"/>
  <c r="AP25" i="1"/>
  <c r="AN25" i="1"/>
  <c r="AI25" i="1"/>
  <c r="AH25" i="1"/>
  <c r="AF25" i="1"/>
  <c r="AD25" i="1"/>
  <c r="AB25" i="1"/>
  <c r="Z25" i="1"/>
  <c r="X25" i="1"/>
  <c r="V25" i="1"/>
  <c r="Q25" i="1"/>
  <c r="P25" i="1"/>
  <c r="N25" i="1"/>
  <c r="L25" i="1"/>
  <c r="J25" i="1"/>
  <c r="H25" i="1"/>
  <c r="F25" i="1"/>
  <c r="D25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R23" i="1"/>
  <c r="BQ23" i="1"/>
  <c r="BO23" i="1"/>
  <c r="BM23" i="1"/>
  <c r="BK23" i="1"/>
  <c r="BI23" i="1"/>
  <c r="BG23" i="1"/>
  <c r="BE23" i="1"/>
  <c r="BA23" i="1"/>
  <c r="AZ23" i="1"/>
  <c r="AX23" i="1"/>
  <c r="AV23" i="1"/>
  <c r="AT23" i="1"/>
  <c r="AR23" i="1"/>
  <c r="AP23" i="1"/>
  <c r="AN23" i="1"/>
  <c r="AI23" i="1"/>
  <c r="AH23" i="1"/>
  <c r="AF23" i="1"/>
  <c r="AD23" i="1"/>
  <c r="AB23" i="1"/>
  <c r="Z23" i="1"/>
  <c r="X23" i="1"/>
  <c r="V23" i="1"/>
  <c r="Q23" i="1"/>
  <c r="P23" i="1"/>
  <c r="N23" i="1"/>
  <c r="L23" i="1"/>
  <c r="J23" i="1"/>
  <c r="H23" i="1"/>
  <c r="F23" i="1"/>
  <c r="D23" i="1"/>
  <c r="BR22" i="1"/>
  <c r="BQ22" i="1"/>
  <c r="BO22" i="1"/>
  <c r="BM22" i="1"/>
  <c r="BK22" i="1"/>
  <c r="BI22" i="1"/>
  <c r="BG22" i="1"/>
  <c r="BE22" i="1"/>
  <c r="BA22" i="1"/>
  <c r="AZ22" i="1"/>
  <c r="AX22" i="1"/>
  <c r="AV22" i="1"/>
  <c r="AT22" i="1"/>
  <c r="AR22" i="1"/>
  <c r="AP22" i="1"/>
  <c r="AN22" i="1"/>
  <c r="AI22" i="1"/>
  <c r="AH22" i="1"/>
  <c r="AF22" i="1"/>
  <c r="AD22" i="1"/>
  <c r="AB22" i="1"/>
  <c r="Z22" i="1"/>
  <c r="X22" i="1"/>
  <c r="V22" i="1"/>
  <c r="Q22" i="1"/>
  <c r="P22" i="1"/>
  <c r="N22" i="1"/>
  <c r="L22" i="1"/>
  <c r="J22" i="1"/>
  <c r="H22" i="1"/>
  <c r="F22" i="1"/>
  <c r="D22" i="1"/>
  <c r="AI17" i="1"/>
  <c r="AG17" i="1"/>
  <c r="AE17" i="1"/>
  <c r="AC17" i="1"/>
  <c r="AA17" i="1"/>
  <c r="Y17" i="1"/>
  <c r="W17" i="1"/>
  <c r="U17" i="1"/>
  <c r="Q17" i="1"/>
  <c r="O17" i="1"/>
  <c r="M17" i="1"/>
  <c r="K17" i="1"/>
  <c r="I17" i="1"/>
  <c r="G17" i="1"/>
  <c r="E17" i="1"/>
  <c r="C17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I15" i="1"/>
  <c r="AH15" i="1"/>
  <c r="AF15" i="1"/>
  <c r="AD15" i="1"/>
  <c r="AB15" i="1"/>
  <c r="Z15" i="1"/>
  <c r="X15" i="1"/>
  <c r="V15" i="1"/>
  <c r="Q15" i="1"/>
  <c r="P15" i="1"/>
  <c r="N15" i="1"/>
  <c r="L15" i="1"/>
  <c r="J15" i="1"/>
  <c r="H15" i="1"/>
  <c r="F15" i="1"/>
  <c r="D15" i="1"/>
  <c r="AI14" i="1"/>
  <c r="AH14" i="1"/>
  <c r="AF14" i="1"/>
  <c r="AD14" i="1"/>
  <c r="AB14" i="1"/>
  <c r="Z14" i="1"/>
  <c r="X14" i="1"/>
  <c r="V14" i="1"/>
  <c r="Q14" i="1"/>
  <c r="P14" i="1"/>
  <c r="N14" i="1"/>
  <c r="L14" i="1"/>
  <c r="J14" i="1"/>
  <c r="H14" i="1"/>
  <c r="F14" i="1"/>
  <c r="D14" i="1"/>
  <c r="AI13" i="1"/>
  <c r="AH13" i="1"/>
  <c r="AF13" i="1"/>
  <c r="AD13" i="1"/>
  <c r="AB13" i="1"/>
  <c r="Z13" i="1"/>
  <c r="X13" i="1"/>
  <c r="V13" i="1"/>
  <c r="Q13" i="1"/>
  <c r="P13" i="1"/>
  <c r="N13" i="1"/>
  <c r="L13" i="1"/>
  <c r="J13" i="1"/>
  <c r="H13" i="1"/>
  <c r="F13" i="1"/>
  <c r="D13" i="1"/>
  <c r="AI12" i="1"/>
  <c r="AH12" i="1"/>
  <c r="AF12" i="1"/>
  <c r="AD12" i="1"/>
  <c r="AB12" i="1"/>
  <c r="Z12" i="1"/>
  <c r="X12" i="1"/>
  <c r="V12" i="1"/>
  <c r="Q12" i="1"/>
  <c r="P12" i="1"/>
  <c r="N12" i="1"/>
  <c r="L12" i="1"/>
  <c r="J12" i="1"/>
  <c r="H12" i="1"/>
  <c r="F12" i="1"/>
  <c r="D12" i="1"/>
  <c r="AI11" i="1"/>
  <c r="AH11" i="1"/>
  <c r="AF11" i="1"/>
  <c r="AD11" i="1"/>
  <c r="AB11" i="1"/>
  <c r="Z11" i="1"/>
  <c r="X11" i="1"/>
  <c r="V11" i="1"/>
  <c r="Q11" i="1"/>
  <c r="P11" i="1"/>
  <c r="N11" i="1"/>
  <c r="L11" i="1"/>
  <c r="J11" i="1"/>
  <c r="H11" i="1"/>
  <c r="F11" i="1"/>
  <c r="D11" i="1"/>
  <c r="AI10" i="1"/>
  <c r="AH10" i="1"/>
  <c r="AF10" i="1"/>
  <c r="AD10" i="1"/>
  <c r="AB10" i="1"/>
  <c r="Z10" i="1"/>
  <c r="X10" i="1"/>
  <c r="V10" i="1"/>
  <c r="Q10" i="1"/>
  <c r="P10" i="1"/>
  <c r="N10" i="1"/>
  <c r="L10" i="1"/>
  <c r="J10" i="1"/>
  <c r="H10" i="1"/>
  <c r="F10" i="1"/>
  <c r="D10" i="1"/>
  <c r="AI9" i="1"/>
  <c r="AH9" i="1"/>
  <c r="AF9" i="1"/>
  <c r="AD9" i="1"/>
  <c r="AB9" i="1"/>
  <c r="Z9" i="1"/>
  <c r="X9" i="1"/>
  <c r="V9" i="1"/>
  <c r="Q9" i="1"/>
  <c r="P9" i="1"/>
  <c r="N9" i="1"/>
  <c r="L9" i="1"/>
  <c r="J9" i="1"/>
  <c r="H9" i="1"/>
  <c r="F9" i="1"/>
  <c r="D9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I7" i="1"/>
  <c r="AH7" i="1"/>
  <c r="AF7" i="1"/>
  <c r="AD7" i="1"/>
  <c r="AB7" i="1"/>
  <c r="Z7" i="1"/>
  <c r="X7" i="1"/>
  <c r="V7" i="1"/>
  <c r="Q7" i="1"/>
  <c r="P7" i="1"/>
  <c r="N7" i="1"/>
  <c r="L7" i="1"/>
  <c r="J7" i="1"/>
  <c r="H7" i="1"/>
  <c r="F7" i="1"/>
  <c r="D7" i="1"/>
  <c r="AI6" i="1"/>
  <c r="AH6" i="1"/>
  <c r="AF6" i="1"/>
  <c r="AD6" i="1"/>
  <c r="AB6" i="1"/>
  <c r="Z6" i="1"/>
  <c r="X6" i="1"/>
  <c r="V6" i="1"/>
  <c r="Q6" i="1"/>
  <c r="P6" i="1"/>
  <c r="N6" i="1"/>
  <c r="L6" i="1"/>
  <c r="J6" i="1"/>
  <c r="H6" i="1"/>
  <c r="F6" i="1"/>
  <c r="D6" i="1"/>
</calcChain>
</file>

<file path=xl/sharedStrings.xml><?xml version="1.0" encoding="utf-8"?>
<sst xmlns="http://schemas.openxmlformats.org/spreadsheetml/2006/main" count="3072" uniqueCount="161">
  <si>
    <t>Mode of Payments in TAT Ranges - TOTAL - Count</t>
  </si>
  <si>
    <t>Mode of Payments in TAT Ranges - TOTAL - Amount</t>
  </si>
  <si>
    <t>Mode of Payment in TAT Ranges (YTD)</t>
  </si>
  <si>
    <t>IWT(International)</t>
  </si>
  <si>
    <t>DWT(Domestic)</t>
  </si>
  <si>
    <t>Cheque</t>
  </si>
  <si>
    <t>Cash</t>
  </si>
  <si>
    <t>Credit Card</t>
  </si>
  <si>
    <t>CDM-cash</t>
  </si>
  <si>
    <t>CDM-cheque</t>
  </si>
  <si>
    <t>Grand Total</t>
  </si>
  <si>
    <t>TAT Range</t>
  </si>
  <si>
    <t>Count</t>
  </si>
  <si>
    <t>%</t>
  </si>
  <si>
    <t>Amount</t>
  </si>
  <si>
    <t>0 - 3</t>
  </si>
  <si>
    <t>4 - 10</t>
  </si>
  <si>
    <t>0-10</t>
  </si>
  <si>
    <t>10 - 15</t>
  </si>
  <si>
    <t>15 - 30</t>
  </si>
  <si>
    <t>30 - 45</t>
  </si>
  <si>
    <t>45 - 60</t>
  </si>
  <si>
    <t>60- 75</t>
  </si>
  <si>
    <t>75 - 90</t>
  </si>
  <si>
    <t>90+</t>
  </si>
  <si>
    <t>Total</t>
  </si>
  <si>
    <t>Grand Total %</t>
  </si>
  <si>
    <t>Mode of Payment in TAT Ranges (MTD)</t>
  </si>
  <si>
    <t>Mode of Payment in TAT Ranges (MTD) - GL Date</t>
  </si>
  <si>
    <t>Mode of Payment in TAT Ranges (Weekly)</t>
  </si>
  <si>
    <t>Mode of Payments in TAT Ranges - SOBHA</t>
  </si>
  <si>
    <t>Mode of Payment in TAT Ranges (MTD) -GL Date</t>
  </si>
  <si>
    <t>dd</t>
  </si>
  <si>
    <t>Mode of Payments in TAT Ranges - SINIYA &amp; DT</t>
  </si>
  <si>
    <t>Department Wise Receipt in TAT Ranges - TOTAL</t>
  </si>
  <si>
    <t>Department wise Receipt in TAT Ranges (YTD)</t>
  </si>
  <si>
    <t>Sales</t>
  </si>
  <si>
    <t>Dues</t>
  </si>
  <si>
    <t>Advance</t>
  </si>
  <si>
    <t>CRM</t>
  </si>
  <si>
    <t>Department wise Receipt in TAT Ranges (MTD)</t>
  </si>
  <si>
    <t>Department wise Receipt in TAT Ranges (MTD) - GL date</t>
  </si>
  <si>
    <t>Department wise Receipt in TAT Ranges (Weekly)</t>
  </si>
  <si>
    <t>Department Wise Receipt in TAT Ranges - SOBHA</t>
  </si>
  <si>
    <t>Department wise Receipt in TAT Ranges (MTD) - GL Date</t>
  </si>
  <si>
    <t>Department wise Receipt in TAT Ranges (MTD)  - GL Date</t>
  </si>
  <si>
    <t>Department Wise Receipt in TAT Ranges - SINIYA &amp; DT</t>
  </si>
  <si>
    <t>Mode of Payment in TAT Ranges - DUES</t>
  </si>
  <si>
    <t>Mode of Payment in TAT Ranges - Collections Dues (YTD)</t>
  </si>
  <si>
    <t>Mode of Payment in TAT Ranges - Collections Dues (MTD)</t>
  </si>
  <si>
    <t>Mode of Payment in TAT Ranges - Collections Dues (Weekly)</t>
  </si>
  <si>
    <t>Mode of Payment in TAT Ranges - DUES - SOBHA</t>
  </si>
  <si>
    <t>Mode of Payment in TAT Ranges - DUES - SINIYA &amp; DT</t>
  </si>
  <si>
    <t>Mode of Payments in TAT Ranges - ADVANCE</t>
  </si>
  <si>
    <t>Mode of Payment in TAT Ranges - Collections Advance (YTD)</t>
  </si>
  <si>
    <t>Mode of Payment in TAT Ranges - Collections Advance (MTD)</t>
  </si>
  <si>
    <t>Mode of Payment in TAT Ranges - Collections Advance (Weekly)</t>
  </si>
  <si>
    <t>Mode of Payments in TAT Ranges - ADVANCE - SOBHA</t>
  </si>
  <si>
    <t>Mode of Payments in TAT Ranges - ADVANCE - SINIYA &amp; DT</t>
  </si>
  <si>
    <t>Apr-26</t>
  </si>
  <si>
    <t>Collector wise MTD</t>
  </si>
  <si>
    <t>Collector wise MTD - Dues</t>
  </si>
  <si>
    <t>Collector wise MTD - Advance</t>
  </si>
  <si>
    <t>Jan-25</t>
  </si>
  <si>
    <t>&lt;=10 Days</t>
  </si>
  <si>
    <t>11 - 15 Days</t>
  </si>
  <si>
    <t>16 - 20 Days</t>
  </si>
  <si>
    <t>&gt;=21 Days</t>
  </si>
  <si>
    <t>PR Status</t>
  </si>
  <si>
    <t>Nov-24</t>
  </si>
  <si>
    <t>Allocation Collector Name</t>
  </si>
  <si>
    <t>Team</t>
  </si>
  <si>
    <t>Per %</t>
  </si>
  <si>
    <t>Total Amount Updated in Coll Tracker</t>
  </si>
  <si>
    <t>Amount in Coll Tracker (MTD)</t>
  </si>
  <si>
    <t>Variance</t>
  </si>
  <si>
    <t>In process</t>
  </si>
  <si>
    <t>Resubmitted</t>
  </si>
  <si>
    <t>Oct-24</t>
  </si>
  <si>
    <t>Karan</t>
  </si>
  <si>
    <t>Abdulla</t>
  </si>
  <si>
    <t>Dec-24</t>
  </si>
  <si>
    <t>Abdellatif</t>
  </si>
  <si>
    <t>Yogesh</t>
  </si>
  <si>
    <t>Feb-25</t>
  </si>
  <si>
    <t>Sid</t>
  </si>
  <si>
    <t>Nischitha</t>
  </si>
  <si>
    <t>Jun-23</t>
  </si>
  <si>
    <t>Ali</t>
  </si>
  <si>
    <t>Ateev</t>
  </si>
  <si>
    <t>Oct-23</t>
  </si>
  <si>
    <t>Sarmad</t>
  </si>
  <si>
    <t>Krizia</t>
  </si>
  <si>
    <t>Feb-23</t>
  </si>
  <si>
    <t>Ainur</t>
  </si>
  <si>
    <t>Ayari</t>
  </si>
  <si>
    <t>Sep-24</t>
  </si>
  <si>
    <t>Lamis</t>
  </si>
  <si>
    <t>Basma</t>
  </si>
  <si>
    <t>Nov-23</t>
  </si>
  <si>
    <t>Hussein</t>
  </si>
  <si>
    <t>Sherif</t>
  </si>
  <si>
    <t>Jan-24</t>
  </si>
  <si>
    <t>Aqsa</t>
  </si>
  <si>
    <t>Noha</t>
  </si>
  <si>
    <t>Jul-24</t>
  </si>
  <si>
    <t>Vinod</t>
  </si>
  <si>
    <t>Vijay</t>
  </si>
  <si>
    <t>Nov-25</t>
  </si>
  <si>
    <t>Moustafa</t>
  </si>
  <si>
    <t>Wael</t>
  </si>
  <si>
    <t>May-25</t>
  </si>
  <si>
    <t>Rajiv</t>
  </si>
  <si>
    <t>Jaidev</t>
  </si>
  <si>
    <t>Mar-23</t>
  </si>
  <si>
    <t>Ruhul</t>
  </si>
  <si>
    <t>Aug-25</t>
  </si>
  <si>
    <t>Oksana</t>
  </si>
  <si>
    <t>Aug-23</t>
  </si>
  <si>
    <t>Daria</t>
  </si>
  <si>
    <t>Aug-24</t>
  </si>
  <si>
    <t>Omar</t>
  </si>
  <si>
    <t>Sep-22</t>
  </si>
  <si>
    <t>Anirudh</t>
  </si>
  <si>
    <t>Jun-24</t>
  </si>
  <si>
    <t>Sabah</t>
  </si>
  <si>
    <t>Apr-24</t>
  </si>
  <si>
    <t>Nijish</t>
  </si>
  <si>
    <t>Jul-23</t>
  </si>
  <si>
    <t>Zeba</t>
  </si>
  <si>
    <t>Dec-22</t>
  </si>
  <si>
    <t>Farheen</t>
  </si>
  <si>
    <t>Mar-25</t>
  </si>
  <si>
    <t>Walid</t>
  </si>
  <si>
    <t>Nov-22</t>
  </si>
  <si>
    <t>Monish</t>
  </si>
  <si>
    <t>Sep-25</t>
  </si>
  <si>
    <t>Anna</t>
  </si>
  <si>
    <t>Apr-25</t>
  </si>
  <si>
    <t>Melvyn</t>
  </si>
  <si>
    <t>Apr-23</t>
  </si>
  <si>
    <t>Yusuf</t>
  </si>
  <si>
    <t>May-23</t>
  </si>
  <si>
    <t>Mar-24</t>
  </si>
  <si>
    <t>Sep-23</t>
  </si>
  <si>
    <t>Jun-25</t>
  </si>
  <si>
    <t>Oct-22</t>
  </si>
  <si>
    <t>Jan-23</t>
  </si>
  <si>
    <t>Jul-22</t>
  </si>
  <si>
    <t>Jul-25</t>
  </si>
  <si>
    <t>Dec-25</t>
  </si>
  <si>
    <t>Apr-22</t>
  </si>
  <si>
    <t>-</t>
  </si>
  <si>
    <t>Jun-22</t>
  </si>
  <si>
    <t>May-22</t>
  </si>
  <si>
    <t>Feb-22</t>
  </si>
  <si>
    <t>Mar-22</t>
  </si>
  <si>
    <t>Jul-21</t>
  </si>
  <si>
    <t>Jan-26</t>
  </si>
  <si>
    <t>Feb-26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</si>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</sst>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5" fontId="2" fillId="0" borderId="5" xfId="2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" fontId="2" fillId="0" borderId="6" xfId="0" quotePrefix="1" applyNumberFormat="1" applyFont="1" applyBorder="1" applyAlignment="1">
      <alignment horizontal="center" vertical="center"/>
    </xf>
    <xf numFmtId="164" fontId="2" fillId="0" borderId="7" xfId="1" applyNumberFormat="1" applyFont="1" applyBorder="1" applyAlignment="1">
      <alignment horizontal="center" vertical="center"/>
    </xf>
    <xf numFmtId="165" fontId="2" fillId="0" borderId="8" xfId="2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vertical="center"/>
    </xf>
    <xf numFmtId="16" fontId="3" fillId="4" borderId="6" xfId="0" quotePrefix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165" fontId="3" fillId="4" borderId="8" xfId="2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10" xfId="1" applyNumberFormat="1" applyFont="1" applyBorder="1" applyAlignment="1">
      <alignment horizontal="center" vertical="center"/>
    </xf>
    <xf numFmtId="165" fontId="2" fillId="0" borderId="11" xfId="2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164" fontId="3" fillId="5" borderId="2" xfId="1" applyNumberFormat="1" applyFont="1" applyFill="1" applyBorder="1" applyAlignment="1">
      <alignment horizontal="center" vertical="center"/>
    </xf>
    <xf numFmtId="165" fontId="3" fillId="5" borderId="2" xfId="2" applyNumberFormat="1" applyFont="1" applyFill="1" applyBorder="1" applyAlignment="1">
      <alignment horizontal="center" vertical="center"/>
    </xf>
    <xf numFmtId="9" fontId="3" fillId="5" borderId="2" xfId="2" applyFont="1" applyFill="1" applyBorder="1" applyAlignment="1">
      <alignment horizontal="center" vertical="center"/>
    </xf>
    <xf numFmtId="164" fontId="3" fillId="5" borderId="2" xfId="0" applyNumberFormat="1" applyFont="1" applyFill="1" applyBorder="1"/>
    <xf numFmtId="0" fontId="3" fillId="5" borderId="2" xfId="0" applyFont="1" applyFill="1" applyBorder="1" applyAlignment="1">
      <alignment horizontal="center" vertical="center"/>
    </xf>
    <xf numFmtId="165" fontId="3" fillId="5" borderId="2" xfId="2" applyNumberFormat="1" applyFont="1" applyFill="1" applyBorder="1" applyAlignment="1">
      <alignment horizontal="center"/>
    </xf>
    <xf numFmtId="9" fontId="3" fillId="5" borderId="2" xfId="2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165" fontId="4" fillId="0" borderId="5" xfId="2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vertical="center"/>
    </xf>
    <xf numFmtId="16" fontId="4" fillId="0" borderId="6" xfId="0" quotePrefix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5" fontId="4" fillId="0" borderId="8" xfId="2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vertical="center"/>
    </xf>
    <xf numFmtId="16" fontId="5" fillId="4" borderId="6" xfId="0" quotePrefix="1" applyNumberFormat="1" applyFont="1" applyFill="1" applyBorder="1" applyAlignment="1">
      <alignment horizontal="center" vertical="center"/>
    </xf>
    <xf numFmtId="164" fontId="5" fillId="4" borderId="7" xfId="1" applyNumberFormat="1" applyFont="1" applyFill="1" applyBorder="1" applyAlignment="1">
      <alignment horizontal="center" vertical="center"/>
    </xf>
    <xf numFmtId="165" fontId="5" fillId="4" borderId="8" xfId="2" applyNumberFormat="1" applyFont="1" applyFill="1" applyBorder="1" applyAlignment="1">
      <alignment horizontal="center" vertical="center"/>
    </xf>
    <xf numFmtId="164" fontId="5" fillId="4" borderId="6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165" fontId="4" fillId="0" borderId="11" xfId="2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vertical="center"/>
    </xf>
    <xf numFmtId="0" fontId="5" fillId="5" borderId="12" xfId="0" applyFont="1" applyFill="1" applyBorder="1" applyAlignment="1">
      <alignment horizontal="center" vertical="center"/>
    </xf>
    <xf numFmtId="164" fontId="5" fillId="5" borderId="2" xfId="1" applyNumberFormat="1" applyFont="1" applyFill="1" applyBorder="1" applyAlignment="1">
      <alignment horizontal="center" vertical="center"/>
    </xf>
    <xf numFmtId="165" fontId="5" fillId="5" borderId="2" xfId="2" applyNumberFormat="1" applyFont="1" applyFill="1" applyBorder="1" applyAlignment="1">
      <alignment horizontal="center" vertical="center"/>
    </xf>
    <xf numFmtId="9" fontId="5" fillId="5" borderId="2" xfId="2" applyFont="1" applyFill="1" applyBorder="1" applyAlignment="1">
      <alignment horizontal="center" vertical="center"/>
    </xf>
    <xf numFmtId="164" fontId="5" fillId="5" borderId="2" xfId="0" applyNumberFormat="1" applyFont="1" applyFill="1" applyBorder="1"/>
    <xf numFmtId="0" fontId="5" fillId="5" borderId="2" xfId="0" applyFont="1" applyFill="1" applyBorder="1" applyAlignment="1">
      <alignment horizontal="center" vertical="center"/>
    </xf>
    <xf numFmtId="165" fontId="5" fillId="5" borderId="2" xfId="2" applyNumberFormat="1" applyFont="1" applyFill="1" applyBorder="1" applyAlignment="1">
      <alignment horizontal="center"/>
    </xf>
    <xf numFmtId="9" fontId="5" fillId="5" borderId="2" xfId="2" applyFont="1" applyFill="1" applyBorder="1" applyAlignment="1">
      <alignment horizontal="center"/>
    </xf>
    <xf numFmtId="164" fontId="2" fillId="0" borderId="3" xfId="0" applyNumberFormat="1" applyFont="1" applyBorder="1"/>
    <xf numFmtId="164" fontId="4" fillId="0" borderId="3" xfId="0" applyNumberFormat="1" applyFont="1" applyBorder="1"/>
    <xf numFmtId="164" fontId="2" fillId="0" borderId="6" xfId="0" applyNumberFormat="1" applyFont="1" applyBorder="1"/>
    <xf numFmtId="164" fontId="4" fillId="0" borderId="6" xfId="0" applyNumberFormat="1" applyFont="1" applyBorder="1"/>
    <xf numFmtId="164" fontId="2" fillId="0" borderId="9" xfId="0" applyNumberFormat="1" applyFont="1" applyBorder="1"/>
    <xf numFmtId="164" fontId="4" fillId="0" borderId="9" xfId="0" applyNumberFormat="1" applyFont="1" applyBorder="1"/>
    <xf numFmtId="0" fontId="3" fillId="0" borderId="1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3" borderId="17" xfId="0" applyFont="1" applyFill="1" applyBorder="1"/>
    <xf numFmtId="0" fontId="3" fillId="3" borderId="17" xfId="0" applyFont="1" applyFill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/>
    </xf>
    <xf numFmtId="165" fontId="2" fillId="0" borderId="5" xfId="2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165" fontId="2" fillId="0" borderId="8" xfId="2" applyNumberFormat="1" applyFont="1" applyBorder="1" applyAlignment="1">
      <alignment horizontal="center"/>
    </xf>
    <xf numFmtId="164" fontId="2" fillId="0" borderId="6" xfId="1" applyNumberFormat="1" applyFont="1" applyBorder="1"/>
    <xf numFmtId="164" fontId="2" fillId="0" borderId="18" xfId="1" applyNumberFormat="1" applyFont="1" applyBorder="1" applyAlignment="1">
      <alignment horizontal="center"/>
    </xf>
    <xf numFmtId="165" fontId="2" fillId="0" borderId="19" xfId="2" applyNumberFormat="1" applyFont="1" applyBorder="1" applyAlignment="1">
      <alignment horizontal="center"/>
    </xf>
    <xf numFmtId="164" fontId="2" fillId="0" borderId="9" xfId="1" applyNumberFormat="1" applyFont="1" applyBorder="1"/>
    <xf numFmtId="164" fontId="3" fillId="5" borderId="12" xfId="1" applyNumberFormat="1" applyFont="1" applyFill="1" applyBorder="1" applyAlignment="1">
      <alignment horizontal="center"/>
    </xf>
    <xf numFmtId="165" fontId="3" fillId="5" borderId="12" xfId="2" applyNumberFormat="1" applyFont="1" applyFill="1" applyBorder="1" applyAlignment="1">
      <alignment horizontal="center"/>
    </xf>
    <xf numFmtId="164" fontId="3" fillId="5" borderId="2" xfId="1" applyNumberFormat="1" applyFont="1" applyFill="1" applyBorder="1"/>
    <xf numFmtId="0" fontId="3" fillId="5" borderId="2" xfId="0" applyFont="1" applyFill="1" applyBorder="1"/>
    <xf numFmtId="9" fontId="3" fillId="5" borderId="2" xfId="2" applyFont="1" applyFill="1" applyBorder="1"/>
    <xf numFmtId="164" fontId="4" fillId="0" borderId="4" xfId="1" applyNumberFormat="1" applyFont="1" applyBorder="1" applyAlignment="1">
      <alignment horizontal="center"/>
    </xf>
    <xf numFmtId="165" fontId="4" fillId="0" borderId="5" xfId="2" applyNumberFormat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165" fontId="4" fillId="0" borderId="8" xfId="2" applyNumberFormat="1" applyFont="1" applyBorder="1" applyAlignment="1">
      <alignment horizontal="center"/>
    </xf>
    <xf numFmtId="164" fontId="4" fillId="0" borderId="6" xfId="1" applyNumberFormat="1" applyFont="1" applyBorder="1"/>
    <xf numFmtId="164" fontId="4" fillId="0" borderId="18" xfId="1" applyNumberFormat="1" applyFont="1" applyBorder="1" applyAlignment="1">
      <alignment horizontal="center"/>
    </xf>
    <xf numFmtId="165" fontId="4" fillId="0" borderId="19" xfId="2" applyNumberFormat="1" applyFont="1" applyBorder="1" applyAlignment="1">
      <alignment horizontal="center"/>
    </xf>
    <xf numFmtId="164" fontId="4" fillId="0" borderId="9" xfId="1" applyNumberFormat="1" applyFont="1" applyBorder="1"/>
    <xf numFmtId="164" fontId="5" fillId="5" borderId="12" xfId="1" applyNumberFormat="1" applyFont="1" applyFill="1" applyBorder="1" applyAlignment="1">
      <alignment horizontal="center"/>
    </xf>
    <xf numFmtId="165" fontId="5" fillId="5" borderId="12" xfId="2" applyNumberFormat="1" applyFont="1" applyFill="1" applyBorder="1" applyAlignment="1">
      <alignment horizontal="center"/>
    </xf>
    <xf numFmtId="164" fontId="5" fillId="5" borderId="2" xfId="1" applyNumberFormat="1" applyFont="1" applyFill="1" applyBorder="1"/>
    <xf numFmtId="0" fontId="5" fillId="5" borderId="2" xfId="0" applyFont="1" applyFill="1" applyBorder="1"/>
    <xf numFmtId="9" fontId="5" fillId="5" borderId="2" xfId="2" applyFont="1" applyFill="1" applyBorder="1"/>
    <xf numFmtId="0" fontId="3" fillId="0" borderId="0" xfId="0" applyFont="1" applyAlignment="1">
      <alignment vertical="center"/>
    </xf>
    <xf numFmtId="164" fontId="3" fillId="6" borderId="6" xfId="1" applyNumberFormat="1" applyFont="1" applyFill="1" applyBorder="1"/>
    <xf numFmtId="164" fontId="5" fillId="6" borderId="6" xfId="1" applyNumberFormat="1" applyFont="1" applyFill="1" applyBorder="1"/>
    <xf numFmtId="164" fontId="3" fillId="6" borderId="6" xfId="1" applyNumberFormat="1" applyFont="1" applyFill="1" applyBorder="1" applyAlignment="1">
      <alignment horizontal="center" vertical="center"/>
    </xf>
    <xf numFmtId="0" fontId="3" fillId="4" borderId="8" xfId="2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7" fillId="0" borderId="0" xfId="0" applyFont="1"/>
    <xf numFmtId="164" fontId="7" fillId="0" borderId="0" xfId="1" applyNumberFormat="1" applyFont="1"/>
    <xf numFmtId="0" fontId="6" fillId="0" borderId="0" xfId="0" applyFont="1" applyAlignment="1">
      <alignment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8" fillId="11" borderId="23" xfId="0" applyFont="1" applyFill="1" applyBorder="1" applyAlignment="1">
      <alignment horizontal="center" vertical="center"/>
    </xf>
    <xf numFmtId="0" fontId="8" fillId="11" borderId="24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 vertical="center"/>
    </xf>
    <xf numFmtId="164" fontId="6" fillId="12" borderId="2" xfId="1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164" fontId="6" fillId="13" borderId="2" xfId="1" applyNumberFormat="1" applyFont="1" applyFill="1" applyBorder="1" applyAlignment="1">
      <alignment horizontal="center" vertical="center"/>
    </xf>
    <xf numFmtId="164" fontId="6" fillId="14" borderId="2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indent="1"/>
    </xf>
    <xf numFmtId="0" fontId="7" fillId="3" borderId="2" xfId="0" applyFont="1" applyFill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9" fontId="7" fillId="15" borderId="2" xfId="0" applyNumberFormat="1" applyFont="1" applyFill="1" applyBorder="1" applyAlignment="1">
      <alignment horizontal="center"/>
    </xf>
    <xf numFmtId="164" fontId="7" fillId="15" borderId="2" xfId="1" applyNumberFormat="1" applyFont="1" applyFill="1" applyBorder="1" applyAlignment="1">
      <alignment horizontal="center"/>
    </xf>
    <xf numFmtId="164" fontId="7" fillId="0" borderId="0" xfId="0" applyNumberFormat="1" applyFont="1"/>
    <xf numFmtId="0" fontId="7" fillId="8" borderId="2" xfId="0" applyFont="1" applyFill="1" applyBorder="1" applyAlignment="1">
      <alignment horizontal="left" indent="1"/>
    </xf>
    <xf numFmtId="0" fontId="6" fillId="2" borderId="2" xfId="0" applyFont="1" applyFill="1" applyBorder="1" applyAlignment="1">
      <alignment horizontal="left" indent="1"/>
    </xf>
    <xf numFmtId="9" fontId="6" fillId="2" borderId="2" xfId="0" applyNumberFormat="1" applyFont="1" applyFill="1" applyBorder="1" applyAlignment="1">
      <alignment horizontal="center"/>
    </xf>
    <xf numFmtId="164" fontId="6" fillId="2" borderId="2" xfId="1" applyNumberFormat="1" applyFont="1" applyFill="1" applyBorder="1" applyAlignment="1">
      <alignment horizontal="center"/>
    </xf>
    <xf numFmtId="164" fontId="6" fillId="2" borderId="2" xfId="1" applyNumberFormat="1" applyFont="1" applyFill="1" applyBorder="1"/>
    <xf numFmtId="0" fontId="7" fillId="8" borderId="2" xfId="0" applyFont="1" applyFill="1" applyBorder="1" applyAlignment="1">
      <alignment horizontal="center"/>
    </xf>
    <xf numFmtId="9" fontId="6" fillId="2" borderId="2" xfId="0" applyNumberFormat="1" applyFont="1" applyFill="1" applyBorder="1"/>
    <xf numFmtId="165" fontId="6" fillId="2" borderId="2" xfId="0" applyNumberFormat="1" applyFont="1" applyFill="1" applyBorder="1"/>
    <xf numFmtId="17" fontId="7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3880-0771-471B-B645-8DAF9D681130}">
  <dimension ref="A1:BR19435"/>
  <sheetViews>
    <sheetView showGridLines="0" tabSelected="1" view="pageBreakPreview" zoomScale="60" zoomScaleNormal="150" workbookViewId="0">
      <selection activeCell="J13" sqref="J13"/>
    </sheetView>
  </sheetViews>
  <sheetFormatPr defaultColWidth="20.88671875" defaultRowHeight="21" x14ac:dyDescent="0.4"/>
  <cols>
    <col min="1" max="1" width="4.33203125" style="1" customWidth="1"/>
    <col min="2" max="2" width="18.33203125" style="1" bestFit="1" customWidth="1"/>
    <col min="3" max="3" width="15.44140625" style="1" customWidth="1"/>
    <col min="4" max="4" width="14.6640625" style="1" customWidth="1"/>
    <col min="5" max="5" width="18.33203125" style="1" bestFit="1" customWidth="1"/>
    <col min="6" max="6" width="13.44140625" style="1" customWidth="1"/>
    <col min="7" max="7" width="13.109375" style="1" customWidth="1"/>
    <col min="8" max="8" width="14.5546875" style="1" customWidth="1"/>
    <col min="9" max="10" width="13" style="1" customWidth="1"/>
    <col min="11" max="11" width="11.77734375" style="1" customWidth="1"/>
    <col min="12" max="12" width="15.21875" style="1" customWidth="1"/>
    <col min="13" max="13" width="11.77734375" style="1" customWidth="1"/>
    <col min="14" max="14" width="16.21875" style="1" customWidth="1"/>
    <col min="15" max="15" width="11.5546875" style="1" customWidth="1"/>
    <col min="16" max="16" width="13.109375" style="1" customWidth="1"/>
    <col min="17" max="17" width="15.44140625" style="1" bestFit="1" customWidth="1"/>
    <col min="18" max="19" width="20.88671875" style="1"/>
    <col min="20" max="20" width="18.33203125" style="1" bestFit="1" customWidth="1"/>
    <col min="21" max="21" width="22.109375" style="1" bestFit="1" customWidth="1"/>
    <col min="22" max="22" width="12.88671875" style="1" customWidth="1"/>
    <col min="23" max="25" width="22.109375" style="1" bestFit="1" customWidth="1"/>
    <col min="26" max="26" width="23.77734375" style="1" bestFit="1" customWidth="1"/>
    <col min="27" max="28" width="22.109375" style="1" bestFit="1" customWidth="1"/>
    <col min="29" max="30" width="19.5546875" style="1" bestFit="1" customWidth="1"/>
    <col min="31" max="31" width="21.109375" style="1" bestFit="1" customWidth="1"/>
    <col min="32" max="32" width="23.77734375" style="1" bestFit="1" customWidth="1"/>
    <col min="33" max="33" width="19.5546875" style="1" bestFit="1" customWidth="1"/>
    <col min="34" max="34" width="10.5546875" style="1" bestFit="1" customWidth="1"/>
    <col min="35" max="35" width="23.77734375" style="1" bestFit="1" customWidth="1"/>
    <col min="36" max="37" width="20.88671875" style="1"/>
    <col min="38" max="38" width="15" style="1" customWidth="1"/>
    <col min="39" max="39" width="18.6640625" style="1" customWidth="1"/>
    <col min="40" max="40" width="14.21875" style="1" customWidth="1"/>
    <col min="41" max="41" width="13.21875" style="1" customWidth="1"/>
    <col min="42" max="42" width="13.109375" style="1" customWidth="1"/>
    <col min="43" max="43" width="14.77734375" style="1" customWidth="1"/>
    <col min="44" max="44" width="13.33203125" style="1" customWidth="1"/>
    <col min="45" max="45" width="14.88671875" style="1" customWidth="1"/>
    <col min="46" max="46" width="13" style="1" customWidth="1"/>
    <col min="47" max="47" width="16.109375" style="1" customWidth="1"/>
    <col min="48" max="48" width="18.5546875" style="1" customWidth="1"/>
    <col min="49" max="49" width="11.77734375" style="1" customWidth="1"/>
    <col min="50" max="50" width="12.88671875" style="1" customWidth="1"/>
    <col min="51" max="52" width="13" style="1" customWidth="1"/>
    <col min="53" max="53" width="15.44140625" style="1" bestFit="1" customWidth="1"/>
    <col min="54" max="54" width="20.88671875" style="1"/>
    <col min="55" max="55" width="18.33203125" style="1" bestFit="1" customWidth="1"/>
    <col min="56" max="56" width="18.77734375" style="1" bestFit="1" customWidth="1"/>
    <col min="57" max="57" width="20.21875" style="1" customWidth="1"/>
    <col min="58" max="58" width="18.77734375" style="1" bestFit="1" customWidth="1"/>
    <col min="59" max="59" width="21.21875" style="1" customWidth="1"/>
    <col min="60" max="60" width="19.88671875" style="1" customWidth="1"/>
    <col min="61" max="61" width="20.6640625" style="1" customWidth="1"/>
    <col min="62" max="62" width="18.77734375" style="1" bestFit="1" customWidth="1"/>
    <col min="63" max="64" width="19.109375" style="1" customWidth="1"/>
    <col min="65" max="65" width="23.33203125" style="1" customWidth="1"/>
    <col min="66" max="66" width="17.109375" style="1" bestFit="1" customWidth="1"/>
    <col min="67" max="67" width="13.44140625" style="1" customWidth="1"/>
    <col min="68" max="68" width="17.109375" style="1" bestFit="1" customWidth="1"/>
    <col min="69" max="69" width="15.109375" style="1" customWidth="1"/>
    <col min="70" max="70" width="21.109375" style="1" bestFit="1" customWidth="1"/>
    <col min="71" max="71" width="6.44140625" style="1" customWidth="1"/>
    <col min="72" max="16384" width="20.88671875" style="1"/>
  </cols>
  <sheetData>
    <row r="1" spans="2:35" ht="19.2" customHeight="1" x14ac:dyDescent="0.4"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W1" s="2" t="s">
        <v>1</v>
      </c>
      <c r="X1" s="2"/>
      <c r="Y1" s="2"/>
      <c r="Z1" s="2"/>
      <c r="AA1" s="2"/>
      <c r="AB1" s="2"/>
      <c r="AC1" s="2"/>
      <c r="AD1" s="2"/>
      <c r="AE1" s="2"/>
      <c r="AF1" s="2"/>
    </row>
    <row r="2" spans="2:35" x14ac:dyDescent="0.4">
      <c r="E2" s="3"/>
      <c r="F2" s="3"/>
      <c r="G2" s="3"/>
      <c r="H2" s="3"/>
      <c r="I2" s="3"/>
      <c r="J2" s="3"/>
      <c r="K2" s="3"/>
      <c r="L2" s="3"/>
      <c r="M2" s="3"/>
      <c r="N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2:35" x14ac:dyDescent="0.4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T3" s="4" t="s">
        <v>2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2:35" x14ac:dyDescent="0.4">
      <c r="B4" s="5"/>
      <c r="C4" s="6" t="s">
        <v>3</v>
      </c>
      <c r="D4" s="6"/>
      <c r="E4" s="6" t="s">
        <v>4</v>
      </c>
      <c r="F4" s="6"/>
      <c r="G4" s="6" t="s">
        <v>5</v>
      </c>
      <c r="H4" s="6"/>
      <c r="I4" s="6" t="s">
        <v>6</v>
      </c>
      <c r="J4" s="6"/>
      <c r="K4" s="6" t="s">
        <v>7</v>
      </c>
      <c r="L4" s="6"/>
      <c r="M4" s="6" t="s">
        <v>8</v>
      </c>
      <c r="N4" s="6"/>
      <c r="O4" s="6" t="s">
        <v>9</v>
      </c>
      <c r="P4" s="6"/>
      <c r="Q4" s="7" t="s">
        <v>10</v>
      </c>
      <c r="T4" s="5"/>
      <c r="U4" s="6" t="s">
        <v>3</v>
      </c>
      <c r="V4" s="6"/>
      <c r="W4" s="6" t="s">
        <v>4</v>
      </c>
      <c r="X4" s="6"/>
      <c r="Y4" s="6" t="s">
        <v>5</v>
      </c>
      <c r="Z4" s="6"/>
      <c r="AA4" s="6" t="s">
        <v>6</v>
      </c>
      <c r="AB4" s="6"/>
      <c r="AC4" s="6" t="s">
        <v>7</v>
      </c>
      <c r="AD4" s="6"/>
      <c r="AE4" s="6" t="s">
        <v>8</v>
      </c>
      <c r="AF4" s="6"/>
      <c r="AG4" s="6" t="s">
        <v>9</v>
      </c>
      <c r="AH4" s="6"/>
      <c r="AI4" s="7" t="s">
        <v>10</v>
      </c>
    </row>
    <row r="5" spans="2:35" x14ac:dyDescent="0.4">
      <c r="B5" s="8" t="s">
        <v>11</v>
      </c>
      <c r="C5" s="8" t="s">
        <v>12</v>
      </c>
      <c r="D5" s="8" t="s">
        <v>13</v>
      </c>
      <c r="E5" s="8" t="s">
        <v>12</v>
      </c>
      <c r="F5" s="8" t="s">
        <v>13</v>
      </c>
      <c r="G5" s="8" t="s">
        <v>12</v>
      </c>
      <c r="H5" s="8" t="s">
        <v>13</v>
      </c>
      <c r="I5" s="8" t="s">
        <v>12</v>
      </c>
      <c r="J5" s="8" t="s">
        <v>13</v>
      </c>
      <c r="K5" s="8" t="s">
        <v>12</v>
      </c>
      <c r="L5" s="8" t="s">
        <v>13</v>
      </c>
      <c r="M5" s="8" t="s">
        <v>12</v>
      </c>
      <c r="N5" s="8" t="s">
        <v>13</v>
      </c>
      <c r="O5" s="8" t="s">
        <v>12</v>
      </c>
      <c r="P5" s="8" t="s">
        <v>13</v>
      </c>
      <c r="Q5" s="7"/>
      <c r="T5" s="8" t="s">
        <v>11</v>
      </c>
      <c r="U5" s="8" t="s">
        <v>14</v>
      </c>
      <c r="V5" s="8" t="s">
        <v>13</v>
      </c>
      <c r="W5" s="8" t="s">
        <v>14</v>
      </c>
      <c r="X5" s="8" t="s">
        <v>13</v>
      </c>
      <c r="Y5" s="8" t="s">
        <v>14</v>
      </c>
      <c r="Z5" s="8" t="s">
        <v>13</v>
      </c>
      <c r="AA5" s="8" t="s">
        <v>14</v>
      </c>
      <c r="AB5" s="8" t="s">
        <v>13</v>
      </c>
      <c r="AC5" s="8" t="s">
        <v>14</v>
      </c>
      <c r="AD5" s="8" t="s">
        <v>13</v>
      </c>
      <c r="AE5" s="8" t="s">
        <v>14</v>
      </c>
      <c r="AF5" s="8" t="s">
        <v>13</v>
      </c>
      <c r="AG5" s="8" t="s">
        <v>14</v>
      </c>
      <c r="AH5" s="8" t="s">
        <v>13</v>
      </c>
      <c r="AI5" s="7"/>
    </row>
    <row r="6" spans="2:35" s="13" customFormat="1" x14ac:dyDescent="0.3">
      <c r="B6" s="9" t="s">
        <v>15</v>
      </c>
      <c r="C6" s="10">
        <v>12604</v>
      </c>
      <c r="D6" s="11">
        <f ca="1">C6/$C$16</f>
        <v>0.32846867507557592</v>
      </c>
      <c r="E6" s="10">
        <v>16894</v>
      </c>
      <c r="F6" s="11">
        <f ca="1">E6/$E$16</f>
        <v>0.37506382789778658</v>
      </c>
      <c r="G6" s="10">
        <v>9355</v>
      </c>
      <c r="H6" s="11">
        <f ca="1">G6/$G$16</f>
        <v>0.88463356973995277</v>
      </c>
      <c r="I6" s="10">
        <v>11028</v>
      </c>
      <c r="J6" s="11">
        <f ca="1">I6/$I$16</f>
        <v>0.90952577319587624</v>
      </c>
      <c r="K6" s="10">
        <v>2072</v>
      </c>
      <c r="L6" s="11">
        <f ca="1">K6/$K$16</f>
        <v>0.69740828004039046</v>
      </c>
      <c r="M6" s="10">
        <v>2919</v>
      </c>
      <c r="N6" s="11">
        <f ca="1">M6/$M$16</f>
        <v>0.31444576106862004</v>
      </c>
      <c r="O6" s="10">
        <v>147</v>
      </c>
      <c r="P6" s="11">
        <f ca="1">O6/$O$16</f>
        <v>0.20220082530949107</v>
      </c>
      <c r="Q6" s="12">
        <f ca="1">SUM(C6,G6,I6,K6,M6,O6,E6)</f>
        <v>55019</v>
      </c>
      <c r="T6" s="9" t="s">
        <v>15</v>
      </c>
      <c r="U6" s="10">
        <v>2066470098</v>
      </c>
      <c r="V6" s="11">
        <f ca="1">U6/$U$16</f>
        <v>0.37208046638897369</v>
      </c>
      <c r="W6" s="10">
        <v>2738969114</v>
      </c>
      <c r="X6" s="11">
        <f ca="1">W6/$W$16</f>
        <v>0.42411464706734897</v>
      </c>
      <c r="Y6" s="10">
        <v>3900291612</v>
      </c>
      <c r="Z6" s="11">
        <f ca="1">Y6/$Y$16</f>
        <v>0.92289137047334191</v>
      </c>
      <c r="AA6" s="10">
        <v>1769936602</v>
      </c>
      <c r="AB6" s="11">
        <f ca="1">AA6/$AA$16</f>
        <v>0.94779178016792764</v>
      </c>
      <c r="AC6" s="10">
        <v>114959832</v>
      </c>
      <c r="AD6" s="11">
        <f ca="1">AC6/$AC$16</f>
        <v>0.75807569904675209</v>
      </c>
      <c r="AE6" s="10">
        <v>151931263</v>
      </c>
      <c r="AF6" s="11">
        <f ca="1">AE6/$AE$16</f>
        <v>0.33630697533849113</v>
      </c>
      <c r="AG6" s="10">
        <v>54014981</v>
      </c>
      <c r="AH6" s="11">
        <f ca="1">AG6/$AG$16</f>
        <v>0.24583646008990331</v>
      </c>
      <c r="AI6" s="12">
        <f ca="1">SUM(U6,Y6,AA6,AC6,AE6,AG6,W6)</f>
        <v>10796573502</v>
      </c>
    </row>
    <row r="7" spans="2:35" s="13" customFormat="1" x14ac:dyDescent="0.3">
      <c r="B7" s="14" t="s">
        <v>16</v>
      </c>
      <c r="C7" s="15">
        <v>12272</v>
      </c>
      <c r="D7" s="16">
        <f ca="1">C7/$C$16</f>
        <v>0.3198165328885646</v>
      </c>
      <c r="E7" s="15">
        <v>13584</v>
      </c>
      <c r="F7" s="16">
        <f ca="1">E7/$E$16</f>
        <v>0.30157849166352152</v>
      </c>
      <c r="G7" s="15">
        <v>771</v>
      </c>
      <c r="H7" s="16">
        <f ca="1">G7/$G$16</f>
        <v>7.2907801418439722E-2</v>
      </c>
      <c r="I7" s="15">
        <v>394</v>
      </c>
      <c r="J7" s="16">
        <f ca="1">I7/$I$16</f>
        <v>3.249484536082474E-2</v>
      </c>
      <c r="K7" s="15">
        <v>547</v>
      </c>
      <c r="L7" s="16">
        <f ca="1">K7/$K$16</f>
        <v>0.18411309323460115</v>
      </c>
      <c r="M7" s="15">
        <v>3249</v>
      </c>
      <c r="N7" s="16">
        <f ca="1">M7/$M$16</f>
        <v>0.34999461381019065</v>
      </c>
      <c r="O7" s="15">
        <v>196</v>
      </c>
      <c r="P7" s="16">
        <f ca="1">O7/$O$16</f>
        <v>0.26960110041265473</v>
      </c>
      <c r="Q7" s="17">
        <f t="shared" ref="Q7:Q15" ca="1" si="0">SUM(C7,G7,I7,K7,M7,O7,E7)</f>
        <v>31013</v>
      </c>
      <c r="T7" s="14" t="s">
        <v>16</v>
      </c>
      <c r="U7" s="15">
        <v>1919819707</v>
      </c>
      <c r="V7" s="16">
        <f t="shared" ref="V7:V15" ca="1" si="1">U7/$U$16</f>
        <v>0.34567517461523067</v>
      </c>
      <c r="W7" s="15">
        <v>2084514988</v>
      </c>
      <c r="X7" s="16">
        <f t="shared" ref="X7:X15" ca="1" si="2">W7/$W$16</f>
        <v>0.3227759429353752</v>
      </c>
      <c r="Y7" s="15">
        <v>245740383</v>
      </c>
      <c r="Z7" s="16">
        <f t="shared" ref="Z7:Z16" ca="1" si="3">Y7/$Y$16</f>
        <v>5.8147364712357805E-2</v>
      </c>
      <c r="AA7" s="15">
        <v>31564667</v>
      </c>
      <c r="AB7" s="16">
        <f t="shared" ref="AB7:AB16" ca="1" si="4">AA7/$AA$16</f>
        <v>1.6902713855701051E-2</v>
      </c>
      <c r="AC7" s="15">
        <v>23991790</v>
      </c>
      <c r="AD7" s="16">
        <f t="shared" ref="AD7:AD16" ca="1" si="5">AC7/$AC$16</f>
        <v>0.15820824247231741</v>
      </c>
      <c r="AE7" s="15">
        <v>159679107</v>
      </c>
      <c r="AF7" s="16">
        <f t="shared" ref="AF7:AF16" ca="1" si="6">AE7/$AE$16</f>
        <v>0.35345719136107812</v>
      </c>
      <c r="AG7" s="15">
        <v>61285550</v>
      </c>
      <c r="AH7" s="16">
        <f t="shared" ref="AH7:AH16" ca="1" si="7">AG7/$AG$16</f>
        <v>0.27892674194706785</v>
      </c>
      <c r="AI7" s="17">
        <f ca="1">SUM(U7,Y7,AA7,AC7,AE7,AG7,W7)</f>
        <v>4526596192</v>
      </c>
    </row>
    <row r="8" spans="2:35" s="13" customFormat="1" x14ac:dyDescent="0.3">
      <c r="B8" s="18" t="s">
        <v>17</v>
      </c>
      <c r="C8" s="19">
        <f ca="1">+SUM(C6:C7)</f>
        <v>24876</v>
      </c>
      <c r="D8" s="20">
        <f ca="1">+C8/$C$16</f>
        <v>0.64828520796414046</v>
      </c>
      <c r="E8" s="19">
        <f ca="1">+SUM(E6:E7)</f>
        <v>30478</v>
      </c>
      <c r="F8" s="20">
        <f ca="1">+E8/$E$16</f>
        <v>0.67664231956130805</v>
      </c>
      <c r="G8" s="19">
        <f ca="1">+SUM(G6:G7)</f>
        <v>10126</v>
      </c>
      <c r="H8" s="20">
        <f ca="1">+G8/$G$16</f>
        <v>0.95754137115839244</v>
      </c>
      <c r="I8" s="19">
        <f ca="1">+SUM(I6:I7)</f>
        <v>11422</v>
      </c>
      <c r="J8" s="20">
        <f ca="1">+I8/$I$16</f>
        <v>0.94202061855670105</v>
      </c>
      <c r="K8" s="19">
        <f ca="1">+SUM(K6:K7)</f>
        <v>2619</v>
      </c>
      <c r="L8" s="20">
        <f ca="1">+K8/$K$16</f>
        <v>0.88152137327499158</v>
      </c>
      <c r="M8" s="19">
        <f ca="1">+SUM(M6:M7)</f>
        <v>6168</v>
      </c>
      <c r="N8" s="20">
        <f ca="1">+M8/$M$16</f>
        <v>0.66444037487881069</v>
      </c>
      <c r="O8" s="19">
        <f ca="1">+SUM(O6:O7)</f>
        <v>343</v>
      </c>
      <c r="P8" s="20">
        <f ca="1">+O8/$O$16</f>
        <v>0.4718019257221458</v>
      </c>
      <c r="Q8" s="21">
        <f ca="1">+SUM(Q6:Q7)</f>
        <v>86032</v>
      </c>
      <c r="T8" s="18" t="s">
        <v>17</v>
      </c>
      <c r="U8" s="19">
        <f ca="1">+SUM(U6:U7)</f>
        <v>3986289805</v>
      </c>
      <c r="V8" s="20">
        <f t="shared" ca="1" si="1"/>
        <v>0.7177556410042043</v>
      </c>
      <c r="W8" s="19">
        <f ca="1">+SUM(W6:W7)</f>
        <v>4823484102</v>
      </c>
      <c r="X8" s="20">
        <f t="shared" ca="1" si="2"/>
        <v>0.74689059000272418</v>
      </c>
      <c r="Y8" s="19">
        <f ca="1">+SUM(Y6:Y7)</f>
        <v>4146031995</v>
      </c>
      <c r="Z8" s="20">
        <f t="shared" ca="1" si="3"/>
        <v>0.98103873518569973</v>
      </c>
      <c r="AA8" s="19">
        <f ca="1">+SUM(AA6:AA7)</f>
        <v>1801501269</v>
      </c>
      <c r="AB8" s="20">
        <f t="shared" ca="1" si="4"/>
        <v>0.96469449402362861</v>
      </c>
      <c r="AC8" s="19">
        <f ca="1">+SUM(AC6:AC7)</f>
        <v>138951622</v>
      </c>
      <c r="AD8" s="20">
        <f t="shared" ca="1" si="5"/>
        <v>0.91628394151906944</v>
      </c>
      <c r="AE8" s="19">
        <f ca="1">+SUM(AE6:AE7)</f>
        <v>311610370</v>
      </c>
      <c r="AF8" s="20">
        <f t="shared" ca="1" si="6"/>
        <v>0.68976416669956919</v>
      </c>
      <c r="AG8" s="19">
        <f ca="1">+SUM(AG6:AG7)</f>
        <v>115300531</v>
      </c>
      <c r="AH8" s="20">
        <f t="shared" ca="1" si="7"/>
        <v>0.52476320203697113</v>
      </c>
      <c r="AI8" s="21">
        <f ca="1">+SUM(AI6:AI7)</f>
        <v>15323169694</v>
      </c>
    </row>
    <row r="9" spans="2:35" s="13" customFormat="1" x14ac:dyDescent="0.3">
      <c r="B9" s="22" t="s">
        <v>18</v>
      </c>
      <c r="C9" s="15">
        <v>3868</v>
      </c>
      <c r="D9" s="16">
        <f t="shared" ref="D9:D16" ca="1" si="8">C9/$C$16</f>
        <v>0.10080266861252997</v>
      </c>
      <c r="E9" s="15">
        <v>3929</v>
      </c>
      <c r="F9" s="16">
        <f t="shared" ref="F9:F16" ca="1" si="9">E9/$E$16</f>
        <v>8.7227760140310376E-2</v>
      </c>
      <c r="G9" s="15">
        <v>73</v>
      </c>
      <c r="H9" s="16">
        <f t="shared" ref="H9:H16" ca="1" si="10">G9/$G$16</f>
        <v>6.9030732860520094E-3</v>
      </c>
      <c r="I9" s="15">
        <v>74</v>
      </c>
      <c r="J9" s="16">
        <f t="shared" ref="J9:J16" ca="1" si="11">I9/$I$16</f>
        <v>6.1030927835051549E-3</v>
      </c>
      <c r="K9" s="15">
        <v>107</v>
      </c>
      <c r="L9" s="16">
        <f t="shared" ref="L9:L16" ca="1" si="12">K9/$K$16</f>
        <v>3.6014809828340627E-2</v>
      </c>
      <c r="M9" s="15">
        <v>969</v>
      </c>
      <c r="N9" s="16">
        <f t="shared" ref="N9:N16" ca="1" si="13">M9/$M$16</f>
        <v>0.1043843585047937</v>
      </c>
      <c r="O9" s="15">
        <v>92</v>
      </c>
      <c r="P9" s="16">
        <f t="shared" ref="P9:P16" ca="1" si="14">O9/$O$16</f>
        <v>0.12654745529573591</v>
      </c>
      <c r="Q9" s="17">
        <f t="shared" ca="1" si="0"/>
        <v>9112</v>
      </c>
      <c r="T9" s="22" t="s">
        <v>18</v>
      </c>
      <c r="U9" s="15">
        <v>510116699</v>
      </c>
      <c r="V9" s="16">
        <f t="shared" ca="1" si="1"/>
        <v>9.1849603563304835E-2</v>
      </c>
      <c r="W9" s="15">
        <v>481712607</v>
      </c>
      <c r="X9" s="16">
        <f t="shared" ca="1" si="2"/>
        <v>7.459060829179455E-2</v>
      </c>
      <c r="Y9" s="15">
        <v>15286289</v>
      </c>
      <c r="Z9" s="16">
        <f t="shared" ca="1" si="3"/>
        <v>3.6170588274109725E-3</v>
      </c>
      <c r="AA9" s="15">
        <v>5149626</v>
      </c>
      <c r="AB9" s="16">
        <f t="shared" ca="1" si="4"/>
        <v>2.757597751367958E-3</v>
      </c>
      <c r="AC9" s="15">
        <v>4811959</v>
      </c>
      <c r="AD9" s="16">
        <f t="shared" ca="1" si="5"/>
        <v>3.1731337104853374E-2</v>
      </c>
      <c r="AE9" s="15">
        <v>42920512</v>
      </c>
      <c r="AF9" s="16">
        <f t="shared" ca="1" si="6"/>
        <v>9.5006566033084397E-2</v>
      </c>
      <c r="AG9" s="15">
        <v>23825373</v>
      </c>
      <c r="AH9" s="16">
        <f t="shared" ca="1" si="7"/>
        <v>0.10843557195070679</v>
      </c>
      <c r="AI9" s="17">
        <f t="shared" ref="AI9:AI15" ca="1" si="15">SUM(U9,Y9,AA9,AC9,AE9,AG9,W9)</f>
        <v>1083823065</v>
      </c>
    </row>
    <row r="10" spans="2:35" s="13" customFormat="1" x14ac:dyDescent="0.3">
      <c r="B10" s="22" t="s">
        <v>19</v>
      </c>
      <c r="C10" s="15">
        <v>4453</v>
      </c>
      <c r="D10" s="16">
        <f t="shared" ca="1" si="8"/>
        <v>0.1160481601167518</v>
      </c>
      <c r="E10" s="15">
        <v>4781</v>
      </c>
      <c r="F10" s="16">
        <f t="shared" ca="1" si="9"/>
        <v>0.10614301889305774</v>
      </c>
      <c r="G10" s="15">
        <v>28</v>
      </c>
      <c r="H10" s="16">
        <f t="shared" ca="1" si="10"/>
        <v>2.6477541371158391E-3</v>
      </c>
      <c r="I10" s="15">
        <v>67</v>
      </c>
      <c r="J10" s="16">
        <f t="shared" ca="1" si="11"/>
        <v>5.5257731958762886E-3</v>
      </c>
      <c r="K10" s="15">
        <v>77</v>
      </c>
      <c r="L10" s="16">
        <f t="shared" ca="1" si="12"/>
        <v>2.5917199596095591E-2</v>
      </c>
      <c r="M10" s="15">
        <v>993</v>
      </c>
      <c r="N10" s="16">
        <f t="shared" ca="1" si="13"/>
        <v>0.10696972961327157</v>
      </c>
      <c r="O10" s="15">
        <v>146</v>
      </c>
      <c r="P10" s="16">
        <f t="shared" ca="1" si="14"/>
        <v>0.20082530949105915</v>
      </c>
      <c r="Q10" s="17">
        <f t="shared" ca="1" si="0"/>
        <v>10545</v>
      </c>
      <c r="T10" s="22" t="s">
        <v>19</v>
      </c>
      <c r="U10" s="15">
        <v>566970083</v>
      </c>
      <c r="V10" s="16">
        <f t="shared" ca="1" si="1"/>
        <v>0.10208639995101207</v>
      </c>
      <c r="W10" s="15">
        <v>591429432</v>
      </c>
      <c r="X10" s="16">
        <f t="shared" ca="1" si="2"/>
        <v>9.15796689841471E-2</v>
      </c>
      <c r="Y10" s="15">
        <v>5163558</v>
      </c>
      <c r="Z10" s="16">
        <f t="shared" ca="1" si="3"/>
        <v>1.221806878356712E-3</v>
      </c>
      <c r="AA10" s="15">
        <v>11294717</v>
      </c>
      <c r="AB10" s="16">
        <f t="shared" ca="1" si="4"/>
        <v>6.0482617963979225E-3</v>
      </c>
      <c r="AC10" s="15">
        <v>2950416</v>
      </c>
      <c r="AD10" s="16">
        <f t="shared" ca="1" si="5"/>
        <v>1.9455827594448138E-2</v>
      </c>
      <c r="AE10" s="15">
        <v>46409480</v>
      </c>
      <c r="AF10" s="16">
        <f t="shared" ca="1" si="6"/>
        <v>0.10272956031328585</v>
      </c>
      <c r="AG10" s="15">
        <v>36976976</v>
      </c>
      <c r="AH10" s="16">
        <f t="shared" ca="1" si="7"/>
        <v>0.16829199448703522</v>
      </c>
      <c r="AI10" s="17">
        <f t="shared" ca="1" si="15"/>
        <v>1261194662</v>
      </c>
    </row>
    <row r="11" spans="2:35" s="13" customFormat="1" x14ac:dyDescent="0.3">
      <c r="B11" s="22" t="s">
        <v>20</v>
      </c>
      <c r="C11" s="15">
        <v>1695</v>
      </c>
      <c r="D11" s="16">
        <f t="shared" ca="1" si="8"/>
        <v>4.4172834358386322E-2</v>
      </c>
      <c r="E11" s="15">
        <v>1810</v>
      </c>
      <c r="F11" s="16">
        <f t="shared" ca="1" si="9"/>
        <v>4.0183824345625292E-2</v>
      </c>
      <c r="G11" s="15">
        <v>24</v>
      </c>
      <c r="H11" s="16">
        <f t="shared" ca="1" si="10"/>
        <v>2.2695035460992908E-3</v>
      </c>
      <c r="I11" s="15">
        <v>44</v>
      </c>
      <c r="J11" s="16">
        <f t="shared" ca="1" si="11"/>
        <v>3.6288659793814433E-3</v>
      </c>
      <c r="K11" s="15">
        <v>54</v>
      </c>
      <c r="L11" s="16">
        <f t="shared" ca="1" si="12"/>
        <v>1.8175698418041064E-2</v>
      </c>
      <c r="M11" s="15">
        <v>386</v>
      </c>
      <c r="N11" s="16">
        <f t="shared" ca="1" si="13"/>
        <v>4.1581385328018958E-2</v>
      </c>
      <c r="O11" s="15">
        <v>46</v>
      </c>
      <c r="P11" s="16">
        <f t="shared" ca="1" si="14"/>
        <v>6.3273727647867956E-2</v>
      </c>
      <c r="Q11" s="17">
        <f t="shared" ca="1" si="0"/>
        <v>4059</v>
      </c>
      <c r="T11" s="22" t="s">
        <v>20</v>
      </c>
      <c r="U11" s="15">
        <v>188536206</v>
      </c>
      <c r="V11" s="16">
        <f t="shared" ca="1" si="1"/>
        <v>3.3947086641893241E-2</v>
      </c>
      <c r="W11" s="15">
        <v>209757938</v>
      </c>
      <c r="X11" s="16">
        <f t="shared" ca="1" si="2"/>
        <v>3.2479889382368871E-2</v>
      </c>
      <c r="Y11" s="15">
        <v>6247079</v>
      </c>
      <c r="Z11" s="16">
        <f t="shared" ca="1" si="3"/>
        <v>1.4781908311745061E-3</v>
      </c>
      <c r="AA11" s="15">
        <v>4596446</v>
      </c>
      <c r="AB11" s="16">
        <f t="shared" ca="1" si="4"/>
        <v>2.4613727586982521E-3</v>
      </c>
      <c r="AC11" s="15">
        <v>1856088</v>
      </c>
      <c r="AD11" s="16">
        <f t="shared" ca="1" si="5"/>
        <v>1.2239537789967263E-2</v>
      </c>
      <c r="AE11" s="15">
        <v>16368514</v>
      </c>
      <c r="AF11" s="16">
        <f t="shared" ca="1" si="6"/>
        <v>3.6232473326610511E-2</v>
      </c>
      <c r="AG11" s="15">
        <v>12545309</v>
      </c>
      <c r="AH11" s="16">
        <f t="shared" ca="1" si="7"/>
        <v>5.7097018238218111E-2</v>
      </c>
      <c r="AI11" s="17">
        <f t="shared" ca="1" si="15"/>
        <v>439907580</v>
      </c>
    </row>
    <row r="12" spans="2:35" s="13" customFormat="1" x14ac:dyDescent="0.3">
      <c r="B12" s="22" t="s">
        <v>21</v>
      </c>
      <c r="C12" s="15">
        <v>821</v>
      </c>
      <c r="D12" s="16">
        <f t="shared" ca="1" si="8"/>
        <v>2.1395809444386533E-2</v>
      </c>
      <c r="E12" s="15">
        <v>1025</v>
      </c>
      <c r="F12" s="16">
        <f t="shared" ca="1" si="9"/>
        <v>2.2756033123903827E-2</v>
      </c>
      <c r="G12" s="15">
        <v>19</v>
      </c>
      <c r="H12" s="16">
        <f t="shared" ca="1" si="10"/>
        <v>1.7966903073286051E-3</v>
      </c>
      <c r="I12" s="15">
        <v>23</v>
      </c>
      <c r="J12" s="16">
        <f t="shared" ca="1" si="11"/>
        <v>1.8969072164948455E-3</v>
      </c>
      <c r="K12" s="15">
        <v>14</v>
      </c>
      <c r="L12" s="16">
        <f t="shared" ca="1" si="12"/>
        <v>4.7122181083810166E-3</v>
      </c>
      <c r="M12" s="15">
        <v>172</v>
      </c>
      <c r="N12" s="16">
        <f t="shared" ca="1" si="13"/>
        <v>1.8528492944091351E-2</v>
      </c>
      <c r="O12" s="15">
        <v>11</v>
      </c>
      <c r="P12" s="16">
        <f t="shared" ca="1" si="14"/>
        <v>1.5130674002751032E-2</v>
      </c>
      <c r="Q12" s="17">
        <f t="shared" ca="1" si="0"/>
        <v>2085</v>
      </c>
      <c r="T12" s="22" t="s">
        <v>21</v>
      </c>
      <c r="U12" s="15">
        <v>95498837</v>
      </c>
      <c r="V12" s="16">
        <f t="shared" ca="1" si="1"/>
        <v>1.7195144437345048E-2</v>
      </c>
      <c r="W12" s="15">
        <v>104317349</v>
      </c>
      <c r="X12" s="16">
        <f t="shared" ca="1" si="2"/>
        <v>1.6152980852538548E-2</v>
      </c>
      <c r="Y12" s="15">
        <v>6809905</v>
      </c>
      <c r="Z12" s="16">
        <f t="shared" ca="1" si="3"/>
        <v>1.6113673497917067E-3</v>
      </c>
      <c r="AA12" s="15">
        <v>1822687</v>
      </c>
      <c r="AB12" s="16">
        <f t="shared" ca="1" si="4"/>
        <v>9.7603934201194594E-4</v>
      </c>
      <c r="AC12" s="15">
        <v>442268</v>
      </c>
      <c r="AD12" s="16">
        <f t="shared" ca="1" si="5"/>
        <v>2.9164327872887716E-3</v>
      </c>
      <c r="AE12" s="15">
        <v>8213744</v>
      </c>
      <c r="AF12" s="16">
        <f t="shared" ca="1" si="6"/>
        <v>1.8181507520573164E-2</v>
      </c>
      <c r="AG12" s="15">
        <v>6049275</v>
      </c>
      <c r="AH12" s="16">
        <f t="shared" ca="1" si="7"/>
        <v>2.7531849953077829E-2</v>
      </c>
      <c r="AI12" s="17">
        <f t="shared" ca="1" si="15"/>
        <v>223154065</v>
      </c>
    </row>
    <row r="13" spans="2:35" s="13" customFormat="1" x14ac:dyDescent="0.3">
      <c r="B13" s="22" t="s">
        <v>22</v>
      </c>
      <c r="C13" s="15">
        <v>540</v>
      </c>
      <c r="D13" s="16">
        <f t="shared" ca="1" si="8"/>
        <v>1.4072761388512456E-2</v>
      </c>
      <c r="E13" s="15">
        <v>667</v>
      </c>
      <c r="F13" s="16">
        <f t="shared" ca="1" si="9"/>
        <v>1.4808072286481806E-2</v>
      </c>
      <c r="G13" s="15">
        <v>7</v>
      </c>
      <c r="H13" s="16">
        <f t="shared" ca="1" si="10"/>
        <v>6.6193853427895977E-4</v>
      </c>
      <c r="I13" s="15">
        <v>26</v>
      </c>
      <c r="J13" s="16">
        <f t="shared" ca="1" si="11"/>
        <v>2.1443298969072164E-3</v>
      </c>
      <c r="K13" s="15">
        <v>6</v>
      </c>
      <c r="L13" s="16">
        <f t="shared" ca="1" si="12"/>
        <v>2.0195220464490071E-3</v>
      </c>
      <c r="M13" s="15">
        <v>157</v>
      </c>
      <c r="N13" s="16">
        <f t="shared" ca="1" si="13"/>
        <v>1.6912636001292686E-2</v>
      </c>
      <c r="O13" s="15">
        <v>3</v>
      </c>
      <c r="P13" s="16">
        <f t="shared" ca="1" si="14"/>
        <v>4.1265474552957355E-3</v>
      </c>
      <c r="Q13" s="17">
        <f t="shared" ca="1" si="0"/>
        <v>1406</v>
      </c>
      <c r="T13" s="22" t="s">
        <v>22</v>
      </c>
      <c r="U13" s="15">
        <v>48162471</v>
      </c>
      <c r="V13" s="16">
        <f t="shared" ca="1" si="1"/>
        <v>8.6719448248824462E-3</v>
      </c>
      <c r="W13" s="15">
        <v>68987240</v>
      </c>
      <c r="X13" s="16">
        <f t="shared" ca="1" si="2"/>
        <v>1.0682303350993721E-2</v>
      </c>
      <c r="Y13" s="15">
        <v>2515325</v>
      </c>
      <c r="Z13" s="16">
        <f t="shared" ca="1" si="3"/>
        <v>5.9517901925428105E-4</v>
      </c>
      <c r="AA13" s="15">
        <v>3586106</v>
      </c>
      <c r="AB13" s="16">
        <f t="shared" ca="1" si="4"/>
        <v>1.9203409804454037E-3</v>
      </c>
      <c r="AC13" s="15">
        <v>300253</v>
      </c>
      <c r="AD13" s="16">
        <f t="shared" ca="1" si="5"/>
        <v>1.9799481167116217E-3</v>
      </c>
      <c r="AE13" s="15">
        <v>7599088</v>
      </c>
      <c r="AF13" s="16">
        <f t="shared" ca="1" si="6"/>
        <v>1.6820937640800258E-2</v>
      </c>
      <c r="AG13" s="15">
        <v>627726</v>
      </c>
      <c r="AH13" s="16">
        <f t="shared" ca="1" si="7"/>
        <v>2.8569469967303081E-3</v>
      </c>
      <c r="AI13" s="17">
        <f t="shared" ca="1" si="15"/>
        <v>131778209</v>
      </c>
    </row>
    <row r="14" spans="2:35" s="13" customFormat="1" x14ac:dyDescent="0.3">
      <c r="B14" s="22" t="s">
        <v>23</v>
      </c>
      <c r="C14" s="15">
        <v>386</v>
      </c>
      <c r="D14" s="16">
        <f t="shared" ca="1" si="8"/>
        <v>1.0059418325862608E-2</v>
      </c>
      <c r="E14" s="15">
        <v>485</v>
      </c>
      <c r="F14" s="16">
        <f t="shared" ca="1" si="9"/>
        <v>1.0767488843993518E-2</v>
      </c>
      <c r="G14" s="15">
        <v>7</v>
      </c>
      <c r="H14" s="16">
        <f t="shared" ca="1" si="10"/>
        <v>6.6193853427895977E-4</v>
      </c>
      <c r="I14" s="15">
        <v>31</v>
      </c>
      <c r="J14" s="16">
        <f t="shared" ca="1" si="11"/>
        <v>2.5567010309278351E-3</v>
      </c>
      <c r="K14" s="15">
        <v>5</v>
      </c>
      <c r="L14" s="16">
        <f t="shared" ca="1" si="12"/>
        <v>1.6829350387075059E-3</v>
      </c>
      <c r="M14" s="15">
        <v>58</v>
      </c>
      <c r="N14" s="16">
        <f t="shared" ca="1" si="13"/>
        <v>6.2479801788215021E-3</v>
      </c>
      <c r="O14" s="15">
        <v>19</v>
      </c>
      <c r="P14" s="16">
        <f t="shared" ca="1" si="14"/>
        <v>2.6134800550206328E-2</v>
      </c>
      <c r="Q14" s="17">
        <f t="shared" ca="1" si="0"/>
        <v>991</v>
      </c>
      <c r="T14" s="22" t="s">
        <v>23</v>
      </c>
      <c r="U14" s="15">
        <v>31859519</v>
      </c>
      <c r="V14" s="16">
        <f t="shared" ca="1" si="1"/>
        <v>5.7364995021807318E-3</v>
      </c>
      <c r="W14" s="15">
        <v>39573260</v>
      </c>
      <c r="X14" s="16">
        <f t="shared" ca="1" si="2"/>
        <v>6.1277066296281128E-3</v>
      </c>
      <c r="Y14" s="15">
        <v>1382701</v>
      </c>
      <c r="Z14" s="16">
        <f t="shared" ca="1" si="3"/>
        <v>3.2717625956960381E-4</v>
      </c>
      <c r="AA14" s="15">
        <v>1956451</v>
      </c>
      <c r="AB14" s="16">
        <f t="shared" ca="1" si="4"/>
        <v>1.0476692634108949E-3</v>
      </c>
      <c r="AC14" s="15">
        <v>103258</v>
      </c>
      <c r="AD14" s="16">
        <f t="shared" ca="1" si="5"/>
        <v>6.8091070742143671E-4</v>
      </c>
      <c r="AE14" s="15">
        <v>2626035</v>
      </c>
      <c r="AF14" s="16">
        <f t="shared" ca="1" si="6"/>
        <v>5.8128516181887762E-3</v>
      </c>
      <c r="AG14" s="15">
        <v>12181287</v>
      </c>
      <c r="AH14" s="16">
        <f t="shared" ca="1" si="7"/>
        <v>5.5440257868815283E-2</v>
      </c>
      <c r="AI14" s="17">
        <f t="shared" ca="1" si="15"/>
        <v>89682511</v>
      </c>
    </row>
    <row r="15" spans="2:35" s="13" customFormat="1" x14ac:dyDescent="0.3">
      <c r="B15" s="23" t="s">
        <v>24</v>
      </c>
      <c r="C15" s="24">
        <v>1733</v>
      </c>
      <c r="D15" s="25">
        <f t="shared" ca="1" si="8"/>
        <v>4.516313978942979E-2</v>
      </c>
      <c r="E15" s="24">
        <v>1868</v>
      </c>
      <c r="F15" s="25">
        <f t="shared" ca="1" si="9"/>
        <v>4.1471482805319364E-2</v>
      </c>
      <c r="G15" s="24">
        <v>291</v>
      </c>
      <c r="H15" s="25">
        <f t="shared" ca="1" si="10"/>
        <v>2.7517730496453899E-2</v>
      </c>
      <c r="I15" s="24">
        <v>438</v>
      </c>
      <c r="J15" s="25">
        <f t="shared" ca="1" si="11"/>
        <v>3.6123711340206185E-2</v>
      </c>
      <c r="K15" s="24">
        <v>89</v>
      </c>
      <c r="L15" s="25">
        <f t="shared" ca="1" si="12"/>
        <v>2.9956243688993606E-2</v>
      </c>
      <c r="M15" s="24">
        <v>380</v>
      </c>
      <c r="N15" s="25">
        <f t="shared" ca="1" si="13"/>
        <v>4.0935042550899491E-2</v>
      </c>
      <c r="O15" s="24">
        <v>67</v>
      </c>
      <c r="P15" s="25">
        <f t="shared" ca="1" si="14"/>
        <v>9.2159559834938107E-2</v>
      </c>
      <c r="Q15" s="26">
        <f t="shared" ca="1" si="0"/>
        <v>4866</v>
      </c>
      <c r="T15" s="23" t="s">
        <v>24</v>
      </c>
      <c r="U15" s="24">
        <v>126392191</v>
      </c>
      <c r="V15" s="25">
        <f t="shared" ca="1" si="1"/>
        <v>2.275768007517728E-2</v>
      </c>
      <c r="W15" s="15">
        <v>138824660</v>
      </c>
      <c r="X15" s="25">
        <f t="shared" ca="1" si="2"/>
        <v>2.1496252505804898E-2</v>
      </c>
      <c r="Y15" s="24">
        <v>42728585</v>
      </c>
      <c r="Z15" s="25">
        <f t="shared" ca="1" si="3"/>
        <v>1.0110485648742482E-2</v>
      </c>
      <c r="AA15" s="24">
        <v>37524595</v>
      </c>
      <c r="AB15" s="25">
        <f t="shared" ca="1" si="4"/>
        <v>2.0094224084038981E-2</v>
      </c>
      <c r="AC15" s="24">
        <v>2231039</v>
      </c>
      <c r="AD15" s="25">
        <f t="shared" ca="1" si="5"/>
        <v>1.4712064380239932E-2</v>
      </c>
      <c r="AE15" s="24">
        <v>16015896</v>
      </c>
      <c r="AF15" s="25">
        <f t="shared" ca="1" si="6"/>
        <v>3.545193684788784E-2</v>
      </c>
      <c r="AG15" s="24">
        <v>12212685</v>
      </c>
      <c r="AH15" s="25">
        <f t="shared" ca="1" si="7"/>
        <v>5.5583158468445276E-2</v>
      </c>
      <c r="AI15" s="26">
        <f t="shared" ca="1" si="15"/>
        <v>375929651</v>
      </c>
    </row>
    <row r="16" spans="2:35" x14ac:dyDescent="0.4">
      <c r="B16" s="27" t="s">
        <v>25</v>
      </c>
      <c r="C16" s="28">
        <f ca="1">SUM(C8:C15)</f>
        <v>38372</v>
      </c>
      <c r="D16" s="29">
        <f t="shared" ca="1" si="8"/>
        <v>1</v>
      </c>
      <c r="E16" s="28">
        <f ca="1">SUM(E8:E15)</f>
        <v>45043</v>
      </c>
      <c r="F16" s="30">
        <f t="shared" ca="1" si="9"/>
        <v>1</v>
      </c>
      <c r="G16" s="28">
        <f ca="1">SUM(G8:G15)</f>
        <v>10575</v>
      </c>
      <c r="H16" s="29">
        <f t="shared" ca="1" si="10"/>
        <v>1</v>
      </c>
      <c r="I16" s="28">
        <f ca="1">SUM(I8:I15)</f>
        <v>12125</v>
      </c>
      <c r="J16" s="29">
        <f t="shared" ca="1" si="11"/>
        <v>1</v>
      </c>
      <c r="K16" s="28">
        <f ca="1">SUM(K8:K15)</f>
        <v>2971</v>
      </c>
      <c r="L16" s="29">
        <f t="shared" ca="1" si="12"/>
        <v>1</v>
      </c>
      <c r="M16" s="28">
        <f ca="1">SUM(M8:M15)</f>
        <v>9283</v>
      </c>
      <c r="N16" s="29">
        <f t="shared" ca="1" si="13"/>
        <v>1</v>
      </c>
      <c r="O16" s="28">
        <f ca="1">SUM(O8:O15)</f>
        <v>727</v>
      </c>
      <c r="P16" s="29">
        <f t="shared" ca="1" si="14"/>
        <v>1</v>
      </c>
      <c r="Q16" s="31">
        <f ca="1">SUM(C16,G16,I16,K16,M16,O16,E16)</f>
        <v>119096</v>
      </c>
      <c r="T16" s="27" t="s">
        <v>25</v>
      </c>
      <c r="U16" s="28">
        <f ca="1">SUM(U8:U15)</f>
        <v>5553825811</v>
      </c>
      <c r="V16" s="29">
        <f ca="1">U16/$U$16</f>
        <v>1</v>
      </c>
      <c r="W16" s="28">
        <f ca="1">SUM(W8:W15)</f>
        <v>6458086588</v>
      </c>
      <c r="X16" s="30">
        <f ca="1">W16/$U$16</f>
        <v>1.1628176337848057</v>
      </c>
      <c r="Y16" s="28">
        <f ca="1">SUM(Y8:Y15)</f>
        <v>4226165437</v>
      </c>
      <c r="Z16" s="29">
        <f t="shared" ca="1" si="3"/>
        <v>1</v>
      </c>
      <c r="AA16" s="28">
        <f ca="1">SUM(AA8:AA15)</f>
        <v>1867431897</v>
      </c>
      <c r="AB16" s="29">
        <f t="shared" ca="1" si="4"/>
        <v>1</v>
      </c>
      <c r="AC16" s="28">
        <f ca="1">SUM(AC8:AC15)</f>
        <v>151646903</v>
      </c>
      <c r="AD16" s="29">
        <f t="shared" ca="1" si="5"/>
        <v>1</v>
      </c>
      <c r="AE16" s="28">
        <f ca="1">SUM(AE8:AE15)</f>
        <v>451763639</v>
      </c>
      <c r="AF16" s="29">
        <f t="shared" ca="1" si="6"/>
        <v>1</v>
      </c>
      <c r="AG16" s="28">
        <f ca="1">SUM(AG8:AG15)</f>
        <v>219719162</v>
      </c>
      <c r="AH16" s="29">
        <f t="shared" ca="1" si="7"/>
        <v>1</v>
      </c>
      <c r="AI16" s="31">
        <f ca="1">SUM(U16,Y16,AA16,AC16,AE16,AG16,W16)</f>
        <v>18928639437</v>
      </c>
    </row>
    <row r="17" spans="2:70" x14ac:dyDescent="0.4">
      <c r="B17" s="32" t="s">
        <v>26</v>
      </c>
      <c r="C17" s="33">
        <f ca="1">C16/$Q$16</f>
        <v>0.32219386041512732</v>
      </c>
      <c r="D17" s="33"/>
      <c r="E17" s="33">
        <f ca="1">E16/$Q$16</f>
        <v>0.37820749647343321</v>
      </c>
      <c r="F17" s="33"/>
      <c r="G17" s="33">
        <f ca="1">G16/$Q$16</f>
        <v>8.8793914153288106E-2</v>
      </c>
      <c r="H17" s="33"/>
      <c r="I17" s="33">
        <f ca="1">I16/$Q$16</f>
        <v>0.10180862497481023</v>
      </c>
      <c r="J17" s="33"/>
      <c r="K17" s="33">
        <f ca="1">K16/$Q$16</f>
        <v>2.4946261839188553E-2</v>
      </c>
      <c r="L17" s="33"/>
      <c r="M17" s="33">
        <f ca="1">M16/$Q$16</f>
        <v>7.7945522939477402E-2</v>
      </c>
      <c r="N17" s="33"/>
      <c r="O17" s="33">
        <f ca="1">O16/$Q$16</f>
        <v>6.1043192046752199E-3</v>
      </c>
      <c r="P17" s="33"/>
      <c r="Q17" s="34">
        <f ca="1">Q16/$Q$16</f>
        <v>1</v>
      </c>
      <c r="T17" s="32" t="s">
        <v>26</v>
      </c>
      <c r="U17" s="33">
        <f ca="1">U16/$AI$16</f>
        <v>0.29340861129954654</v>
      </c>
      <c r="V17" s="33"/>
      <c r="W17" s="33">
        <f ca="1">W16/$AI$16</f>
        <v>0.34118070712342452</v>
      </c>
      <c r="X17" s="33"/>
      <c r="Y17" s="33">
        <f ca="1">Y16/$AI$16</f>
        <v>0.22326831524610652</v>
      </c>
      <c r="Z17" s="33"/>
      <c r="AA17" s="33">
        <f ca="1">AA16/$AI$16</f>
        <v>9.86564250016677E-2</v>
      </c>
      <c r="AB17" s="33"/>
      <c r="AC17" s="33">
        <f ca="1">AC16/$AI$16</f>
        <v>8.0115057135894448E-3</v>
      </c>
      <c r="AD17" s="33"/>
      <c r="AE17" s="33">
        <f ca="1">AE16/$AI$16</f>
        <v>2.3866672536269729E-2</v>
      </c>
      <c r="AF17" s="33"/>
      <c r="AG17" s="33">
        <f ca="1">AG16/$AI$16</f>
        <v>1.1607763079395594E-2</v>
      </c>
      <c r="AH17" s="33"/>
      <c r="AI17" s="34">
        <f ca="1">AI16/$AI$16</f>
        <v>1</v>
      </c>
    </row>
    <row r="19" spans="2:70" x14ac:dyDescent="0.4">
      <c r="B19" s="4" t="s">
        <v>27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T19" s="4" t="s">
        <v>27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L19" s="4" t="s">
        <v>28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C19" s="4" t="s">
        <v>28</v>
      </c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spans="2:70" x14ac:dyDescent="0.4">
      <c r="B20" s="5"/>
      <c r="C20" s="6" t="s">
        <v>3</v>
      </c>
      <c r="D20" s="6"/>
      <c r="E20" s="6" t="s">
        <v>4</v>
      </c>
      <c r="F20" s="6"/>
      <c r="G20" s="6" t="s">
        <v>5</v>
      </c>
      <c r="H20" s="6"/>
      <c r="I20" s="6" t="s">
        <v>6</v>
      </c>
      <c r="J20" s="6"/>
      <c r="K20" s="6" t="s">
        <v>7</v>
      </c>
      <c r="L20" s="6"/>
      <c r="M20" s="6" t="s">
        <v>8</v>
      </c>
      <c r="N20" s="6"/>
      <c r="O20" s="6" t="s">
        <v>9</v>
      </c>
      <c r="P20" s="6"/>
      <c r="Q20" s="7" t="s">
        <v>10</v>
      </c>
      <c r="T20" s="5"/>
      <c r="U20" s="6" t="s">
        <v>3</v>
      </c>
      <c r="V20" s="6"/>
      <c r="W20" s="6" t="s">
        <v>4</v>
      </c>
      <c r="X20" s="6"/>
      <c r="Y20" s="6" t="s">
        <v>5</v>
      </c>
      <c r="Z20" s="6"/>
      <c r="AA20" s="6" t="s">
        <v>6</v>
      </c>
      <c r="AB20" s="6"/>
      <c r="AC20" s="6" t="s">
        <v>7</v>
      </c>
      <c r="AD20" s="6"/>
      <c r="AE20" s="6" t="s">
        <v>8</v>
      </c>
      <c r="AF20" s="6"/>
      <c r="AG20" s="6" t="s">
        <v>9</v>
      </c>
      <c r="AH20" s="6"/>
      <c r="AI20" s="7" t="s">
        <v>10</v>
      </c>
      <c r="AL20" s="5"/>
      <c r="AM20" s="6" t="s">
        <v>3</v>
      </c>
      <c r="AN20" s="6"/>
      <c r="AO20" s="6" t="s">
        <v>4</v>
      </c>
      <c r="AP20" s="6"/>
      <c r="AQ20" s="6" t="s">
        <v>5</v>
      </c>
      <c r="AR20" s="6"/>
      <c r="AS20" s="6" t="s">
        <v>6</v>
      </c>
      <c r="AT20" s="6"/>
      <c r="AU20" s="6" t="s">
        <v>7</v>
      </c>
      <c r="AV20" s="6"/>
      <c r="AW20" s="6" t="s">
        <v>8</v>
      </c>
      <c r="AX20" s="6"/>
      <c r="AY20" s="6" t="s">
        <v>9</v>
      </c>
      <c r="AZ20" s="6"/>
      <c r="BA20" s="7" t="s">
        <v>10</v>
      </c>
      <c r="BC20" s="5"/>
      <c r="BD20" s="6" t="s">
        <v>3</v>
      </c>
      <c r="BE20" s="6"/>
      <c r="BF20" s="6" t="s">
        <v>4</v>
      </c>
      <c r="BG20" s="6"/>
      <c r="BH20" s="6" t="s">
        <v>5</v>
      </c>
      <c r="BI20" s="6"/>
      <c r="BJ20" s="6" t="s">
        <v>6</v>
      </c>
      <c r="BK20" s="6"/>
      <c r="BL20" s="6" t="s">
        <v>7</v>
      </c>
      <c r="BM20" s="6"/>
      <c r="BN20" s="6" t="s">
        <v>8</v>
      </c>
      <c r="BO20" s="6"/>
      <c r="BP20" s="6" t="s">
        <v>9</v>
      </c>
      <c r="BQ20" s="6"/>
      <c r="BR20" s="7" t="s">
        <v>10</v>
      </c>
    </row>
    <row r="21" spans="2:70" x14ac:dyDescent="0.4">
      <c r="B21" s="8" t="s">
        <v>11</v>
      </c>
      <c r="C21" s="8" t="s">
        <v>12</v>
      </c>
      <c r="D21" s="8" t="s">
        <v>13</v>
      </c>
      <c r="E21" s="8" t="s">
        <v>12</v>
      </c>
      <c r="F21" s="8" t="s">
        <v>13</v>
      </c>
      <c r="G21" s="8" t="s">
        <v>12</v>
      </c>
      <c r="H21" s="8" t="s">
        <v>13</v>
      </c>
      <c r="I21" s="8" t="s">
        <v>12</v>
      </c>
      <c r="J21" s="8" t="s">
        <v>13</v>
      </c>
      <c r="K21" s="8" t="s">
        <v>12</v>
      </c>
      <c r="L21" s="8" t="s">
        <v>13</v>
      </c>
      <c r="M21" s="8" t="s">
        <v>12</v>
      </c>
      <c r="N21" s="8" t="s">
        <v>13</v>
      </c>
      <c r="O21" s="8" t="s">
        <v>12</v>
      </c>
      <c r="P21" s="8" t="s">
        <v>13</v>
      </c>
      <c r="Q21" s="7"/>
      <c r="T21" s="8" t="s">
        <v>11</v>
      </c>
      <c r="U21" s="8" t="s">
        <v>14</v>
      </c>
      <c r="V21" s="8" t="s">
        <v>13</v>
      </c>
      <c r="W21" s="8" t="s">
        <v>14</v>
      </c>
      <c r="X21" s="8" t="s">
        <v>13</v>
      </c>
      <c r="Y21" s="8" t="s">
        <v>14</v>
      </c>
      <c r="Z21" s="8" t="s">
        <v>13</v>
      </c>
      <c r="AA21" s="8" t="s">
        <v>14</v>
      </c>
      <c r="AB21" s="8" t="s">
        <v>13</v>
      </c>
      <c r="AC21" s="8" t="s">
        <v>14</v>
      </c>
      <c r="AD21" s="8" t="s">
        <v>13</v>
      </c>
      <c r="AE21" s="8" t="s">
        <v>14</v>
      </c>
      <c r="AF21" s="8" t="s">
        <v>13</v>
      </c>
      <c r="AG21" s="8" t="s">
        <v>14</v>
      </c>
      <c r="AH21" s="8" t="s">
        <v>13</v>
      </c>
      <c r="AI21" s="7"/>
      <c r="AL21" s="8" t="s">
        <v>11</v>
      </c>
      <c r="AM21" s="8" t="s">
        <v>12</v>
      </c>
      <c r="AN21" s="8" t="s">
        <v>13</v>
      </c>
      <c r="AO21" s="8" t="s">
        <v>12</v>
      </c>
      <c r="AP21" s="8" t="s">
        <v>13</v>
      </c>
      <c r="AQ21" s="8" t="s">
        <v>12</v>
      </c>
      <c r="AR21" s="8" t="s">
        <v>13</v>
      </c>
      <c r="AS21" s="8" t="s">
        <v>12</v>
      </c>
      <c r="AT21" s="8" t="s">
        <v>13</v>
      </c>
      <c r="AU21" s="8" t="s">
        <v>12</v>
      </c>
      <c r="AV21" s="8" t="s">
        <v>13</v>
      </c>
      <c r="AW21" s="8" t="s">
        <v>12</v>
      </c>
      <c r="AX21" s="8" t="s">
        <v>13</v>
      </c>
      <c r="AY21" s="8" t="s">
        <v>12</v>
      </c>
      <c r="AZ21" s="8" t="s">
        <v>13</v>
      </c>
      <c r="BA21" s="7"/>
      <c r="BC21" s="8" t="s">
        <v>11</v>
      </c>
      <c r="BD21" s="8" t="s">
        <v>14</v>
      </c>
      <c r="BE21" s="8" t="s">
        <v>13</v>
      </c>
      <c r="BF21" s="8" t="s">
        <v>14</v>
      </c>
      <c r="BG21" s="8" t="s">
        <v>13</v>
      </c>
      <c r="BH21" s="8" t="s">
        <v>14</v>
      </c>
      <c r="BI21" s="8" t="s">
        <v>13</v>
      </c>
      <c r="BJ21" s="8" t="s">
        <v>14</v>
      </c>
      <c r="BK21" s="8" t="s">
        <v>13</v>
      </c>
      <c r="BL21" s="8" t="s">
        <v>14</v>
      </c>
      <c r="BM21" s="8" t="s">
        <v>13</v>
      </c>
      <c r="BN21" s="8" t="s">
        <v>14</v>
      </c>
      <c r="BO21" s="8" t="s">
        <v>13</v>
      </c>
      <c r="BP21" s="8" t="s">
        <v>14</v>
      </c>
      <c r="BQ21" s="8" t="s">
        <v>13</v>
      </c>
      <c r="BR21" s="7"/>
    </row>
    <row r="22" spans="2:70" s="13" customFormat="1" x14ac:dyDescent="0.3">
      <c r="B22" s="9" t="s">
        <v>15</v>
      </c>
      <c r="C22" s="10">
        <v>481</v>
      </c>
      <c r="D22" s="11">
        <f ca="1">C22/C$32</f>
        <v>0.51720430107526882</v>
      </c>
      <c r="E22" s="10">
        <v>839</v>
      </c>
      <c r="F22" s="11">
        <f ca="1">E22/E$32</f>
        <v>0.58548499651081642</v>
      </c>
      <c r="G22" s="10">
        <v>234</v>
      </c>
      <c r="H22" s="11">
        <f ca="1">G22/G$32</f>
        <v>0.80412371134020622</v>
      </c>
      <c r="I22" s="10">
        <v>410</v>
      </c>
      <c r="J22" s="11">
        <f ca="1">I22/I$32</f>
        <v>0.97156398104265407</v>
      </c>
      <c r="K22" s="10">
        <v>46</v>
      </c>
      <c r="L22" s="11">
        <f ca="1">K22/K$32</f>
        <v>0.86792452830188682</v>
      </c>
      <c r="M22" s="10">
        <v>58</v>
      </c>
      <c r="N22" s="11">
        <f ca="1">M22/M$32</f>
        <v>0.453125</v>
      </c>
      <c r="O22" s="10">
        <v>11</v>
      </c>
      <c r="P22" s="11">
        <f ca="1">O22/O$32</f>
        <v>0.28205128205128205</v>
      </c>
      <c r="Q22" s="12">
        <f t="shared" ref="Q22:Q32" ca="1" si="16">SUM(C22,G22,I22,K22,M22,O22,E22)</f>
        <v>2079</v>
      </c>
      <c r="T22" s="9" t="s">
        <v>15</v>
      </c>
      <c r="U22" s="10">
        <v>68713644</v>
      </c>
      <c r="V22" s="11">
        <f ca="1">U22/U$32</f>
        <v>0.53410483902548311</v>
      </c>
      <c r="W22" s="10">
        <v>153787077</v>
      </c>
      <c r="X22" s="11">
        <f ca="1">W22/W$32</f>
        <v>0.6253384074633197</v>
      </c>
      <c r="Y22" s="10">
        <v>87595670</v>
      </c>
      <c r="Z22" s="11">
        <f ca="1">Y22/Y$32</f>
        <v>0.94464651041491365</v>
      </c>
      <c r="AA22" s="10">
        <v>145672653</v>
      </c>
      <c r="AB22" s="11">
        <f ca="1">AA22/AA$32</f>
        <v>0.99237995915940691</v>
      </c>
      <c r="AC22" s="10">
        <v>1291091</v>
      </c>
      <c r="AD22" s="11">
        <f ca="1">AC22/AC$32</f>
        <v>0.85567655982619917</v>
      </c>
      <c r="AE22" s="10">
        <v>2666386</v>
      </c>
      <c r="AF22" s="11">
        <f ca="1">AE22/AE$32</f>
        <v>0.45896150978887212</v>
      </c>
      <c r="AG22" s="10">
        <v>6618928</v>
      </c>
      <c r="AH22" s="11">
        <f ca="1">AG22/AG$32</f>
        <v>0.53339960808925946</v>
      </c>
      <c r="AI22" s="12">
        <f ca="1">SUM(U22,Y22,AA22,AC22,AE22,AG22,W22)</f>
        <v>466345449</v>
      </c>
      <c r="AL22" s="35" t="s">
        <v>15</v>
      </c>
      <c r="AM22" s="36">
        <v>481</v>
      </c>
      <c r="AN22" s="37">
        <f ca="1">AM22/AM$32</f>
        <v>0.51720430107526882</v>
      </c>
      <c r="AO22" s="36">
        <v>839</v>
      </c>
      <c r="AP22" s="37">
        <f ca="1">AO22/AO$32</f>
        <v>0.58548499651081642</v>
      </c>
      <c r="AQ22" s="36">
        <v>234</v>
      </c>
      <c r="AR22" s="37">
        <f ca="1">AQ22/AQ$32</f>
        <v>0.80412371134020622</v>
      </c>
      <c r="AS22" s="36">
        <v>410</v>
      </c>
      <c r="AT22" s="37">
        <f ca="1">AS22/AS$32</f>
        <v>0.97156398104265407</v>
      </c>
      <c r="AU22" s="36">
        <v>46</v>
      </c>
      <c r="AV22" s="37">
        <f ca="1">AU22/AU$32</f>
        <v>0.86792452830188682</v>
      </c>
      <c r="AW22" s="36">
        <v>58</v>
      </c>
      <c r="AX22" s="37">
        <f ca="1">AW22/AW$32</f>
        <v>0.453125</v>
      </c>
      <c r="AY22" s="36">
        <v>11</v>
      </c>
      <c r="AZ22" s="37">
        <f ca="1">AY22/AY$32</f>
        <v>0.28205128205128205</v>
      </c>
      <c r="BA22" s="38">
        <f ca="1">SUM(AM22,AQ22,AS22,AU22,AW22,AY22,AO22)</f>
        <v>2079</v>
      </c>
      <c r="BC22" s="35" t="s">
        <v>15</v>
      </c>
      <c r="BD22" s="36">
        <v>68713644</v>
      </c>
      <c r="BE22" s="37">
        <f ca="1">BD22/BD$32</f>
        <v>0.53410483902548311</v>
      </c>
      <c r="BF22" s="36">
        <v>153787077</v>
      </c>
      <c r="BG22" s="37">
        <f ca="1">BF22/BF$32</f>
        <v>0.6253384074633197</v>
      </c>
      <c r="BH22" s="36">
        <v>87595670</v>
      </c>
      <c r="BI22" s="37">
        <f ca="1">BH22/BH$32</f>
        <v>0.94464651041491365</v>
      </c>
      <c r="BJ22" s="36">
        <v>145672653</v>
      </c>
      <c r="BK22" s="37">
        <f ca="1">BJ22/BJ$32</f>
        <v>0.99237995915940691</v>
      </c>
      <c r="BL22" s="36">
        <v>1291091</v>
      </c>
      <c r="BM22" s="37">
        <f ca="1">BL22/BL$32</f>
        <v>0.85567655982619917</v>
      </c>
      <c r="BN22" s="36">
        <v>2666386</v>
      </c>
      <c r="BO22" s="37">
        <f ca="1">BN22/BN$32</f>
        <v>0.45896150978887212</v>
      </c>
      <c r="BP22" s="36">
        <v>6618928</v>
      </c>
      <c r="BQ22" s="37">
        <f ca="1">BP22/BP$32</f>
        <v>0.53339960808925946</v>
      </c>
      <c r="BR22" s="38">
        <f ca="1">SUM(BD22,BH22,BJ22,BL22,BN22,BP22,BF22)</f>
        <v>466345449</v>
      </c>
    </row>
    <row r="23" spans="2:70" s="13" customFormat="1" x14ac:dyDescent="0.3">
      <c r="B23" s="14" t="s">
        <v>16</v>
      </c>
      <c r="C23" s="15">
        <v>346</v>
      </c>
      <c r="D23" s="16">
        <f ca="1">C23/C$32</f>
        <v>0.3720430107526882</v>
      </c>
      <c r="E23" s="15">
        <v>484</v>
      </c>
      <c r="F23" s="16">
        <f ca="1">E23/E$32</f>
        <v>0.33775296580600139</v>
      </c>
      <c r="G23" s="15">
        <v>25</v>
      </c>
      <c r="H23" s="16">
        <f ca="1">G23/G$32</f>
        <v>8.5910652920962199E-2</v>
      </c>
      <c r="I23" s="15">
        <v>10</v>
      </c>
      <c r="J23" s="16">
        <f ca="1">I23/I$32</f>
        <v>2.3696682464454975E-2</v>
      </c>
      <c r="K23" s="15">
        <v>7</v>
      </c>
      <c r="L23" s="16">
        <f ca="1">K23/K$32</f>
        <v>0.13207547169811321</v>
      </c>
      <c r="M23" s="15">
        <v>52</v>
      </c>
      <c r="N23" s="16">
        <f ca="1">M23/M$32</f>
        <v>0.40625</v>
      </c>
      <c r="O23" s="15">
        <v>12</v>
      </c>
      <c r="P23" s="16">
        <f ca="1">O23/O$32</f>
        <v>0.30769230769230771</v>
      </c>
      <c r="Q23" s="17">
        <f t="shared" ca="1" si="16"/>
        <v>936</v>
      </c>
      <c r="T23" s="14" t="s">
        <v>16</v>
      </c>
      <c r="U23" s="15">
        <v>50508838</v>
      </c>
      <c r="V23" s="16">
        <f ca="1">U23/U$32</f>
        <v>0.39260055527478949</v>
      </c>
      <c r="W23" s="15">
        <v>77935060</v>
      </c>
      <c r="X23" s="16">
        <f ca="1">W23/W$32</f>
        <v>0.31690430208227621</v>
      </c>
      <c r="Y23" s="15">
        <v>2027847</v>
      </c>
      <c r="Z23" s="16">
        <f ca="1">Y23/Y$32</f>
        <v>2.1868644788096848E-2</v>
      </c>
      <c r="AA23" s="15">
        <v>948555</v>
      </c>
      <c r="AB23" s="16">
        <f ca="1">AA23/AA$32</f>
        <v>6.4619333332279682E-3</v>
      </c>
      <c r="AC23" s="15">
        <v>217763</v>
      </c>
      <c r="AD23" s="16">
        <f ca="1">AC23/AC$32</f>
        <v>0.14432344017380078</v>
      </c>
      <c r="AE23" s="15">
        <v>2074911</v>
      </c>
      <c r="AF23" s="16">
        <f ca="1">AE23/AE$32</f>
        <v>0.35715169718020512</v>
      </c>
      <c r="AG23" s="15">
        <v>2262113</v>
      </c>
      <c r="AH23" s="16">
        <f ca="1">AG23/AG$32</f>
        <v>0.18229691993229402</v>
      </c>
      <c r="AI23" s="17">
        <f ca="1">SUM(U23,Y23,AA23,AC23,AE23,AG23,W23)</f>
        <v>135975087</v>
      </c>
      <c r="AL23" s="39" t="s">
        <v>16</v>
      </c>
      <c r="AM23" s="40">
        <v>346</v>
      </c>
      <c r="AN23" s="41">
        <f ca="1">AM23/AM$32</f>
        <v>0.3720430107526882</v>
      </c>
      <c r="AO23" s="40">
        <v>484</v>
      </c>
      <c r="AP23" s="41">
        <f ca="1">AO23/AO$32</f>
        <v>0.33775296580600139</v>
      </c>
      <c r="AQ23" s="40">
        <v>25</v>
      </c>
      <c r="AR23" s="41">
        <f ca="1">AQ23/AQ$32</f>
        <v>8.5910652920962199E-2</v>
      </c>
      <c r="AS23" s="40">
        <v>10</v>
      </c>
      <c r="AT23" s="41">
        <f ca="1">AS23/AS$32</f>
        <v>2.3696682464454975E-2</v>
      </c>
      <c r="AU23" s="40">
        <v>7</v>
      </c>
      <c r="AV23" s="41">
        <f ca="1">AU23/AU$32</f>
        <v>0.13207547169811321</v>
      </c>
      <c r="AW23" s="40">
        <v>52</v>
      </c>
      <c r="AX23" s="41">
        <f ca="1">AW23/AW$32</f>
        <v>0.40625</v>
      </c>
      <c r="AY23" s="40">
        <v>12</v>
      </c>
      <c r="AZ23" s="41">
        <f ca="1">AY23/AY$32</f>
        <v>0.30769230769230771</v>
      </c>
      <c r="BA23" s="42">
        <f ca="1">SUM(AM23,AQ23,AS23,AU23,AW23,AY23,AO23)</f>
        <v>936</v>
      </c>
      <c r="BC23" s="39" t="s">
        <v>16</v>
      </c>
      <c r="BD23" s="40">
        <v>50508838</v>
      </c>
      <c r="BE23" s="41">
        <f ca="1">BD23/BD$32</f>
        <v>0.39260055527478949</v>
      </c>
      <c r="BF23" s="40">
        <v>77935060</v>
      </c>
      <c r="BG23" s="41">
        <f ca="1">BF23/BF$32</f>
        <v>0.31690430208227621</v>
      </c>
      <c r="BH23" s="40">
        <v>2027847</v>
      </c>
      <c r="BI23" s="41">
        <f ca="1">BH23/BH$32</f>
        <v>2.1868644788096848E-2</v>
      </c>
      <c r="BJ23" s="40">
        <v>948555</v>
      </c>
      <c r="BK23" s="41">
        <f ca="1">BJ23/BJ$32</f>
        <v>6.4619333332279682E-3</v>
      </c>
      <c r="BL23" s="40">
        <v>217763</v>
      </c>
      <c r="BM23" s="41">
        <f ca="1">BL23/BL$32</f>
        <v>0.14432344017380078</v>
      </c>
      <c r="BN23" s="40">
        <v>2074911</v>
      </c>
      <c r="BO23" s="41">
        <f ca="1">BN23/BN$32</f>
        <v>0.35715169718020512</v>
      </c>
      <c r="BP23" s="40">
        <v>2262113</v>
      </c>
      <c r="BQ23" s="41">
        <f ca="1">BP23/BP$32</f>
        <v>0.18229691993229402</v>
      </c>
      <c r="BR23" s="42">
        <f ca="1">SUM(BD23,BH23,BJ23,BL23,BN23,BP23,BF23)</f>
        <v>135975087</v>
      </c>
    </row>
    <row r="24" spans="2:70" s="13" customFormat="1" x14ac:dyDescent="0.3">
      <c r="B24" s="18" t="s">
        <v>17</v>
      </c>
      <c r="C24" s="19">
        <f ca="1">+SUM(C22:C23)</f>
        <v>827</v>
      </c>
      <c r="D24" s="20">
        <f ca="1">+C24/$C$32</f>
        <v>0.88924731182795702</v>
      </c>
      <c r="E24" s="19">
        <f ca="1">+SUM(E22:E23)</f>
        <v>1323</v>
      </c>
      <c r="F24" s="20">
        <f ca="1">+E24/$E$32</f>
        <v>0.92323796231681787</v>
      </c>
      <c r="G24" s="19">
        <f ca="1">+SUM(G22:G23)</f>
        <v>259</v>
      </c>
      <c r="H24" s="20">
        <f ca="1">+G24/$G$32</f>
        <v>0.89003436426116833</v>
      </c>
      <c r="I24" s="19">
        <f ca="1">+SUM(I22:I23)</f>
        <v>420</v>
      </c>
      <c r="J24" s="20">
        <f ca="1">+I24/$I$32</f>
        <v>0.99526066350710896</v>
      </c>
      <c r="K24" s="19">
        <f ca="1">+SUM(K22:K23)</f>
        <v>53</v>
      </c>
      <c r="L24" s="20">
        <f ca="1">+K24/$K$32</f>
        <v>1</v>
      </c>
      <c r="M24" s="19">
        <f ca="1">+SUM(M22:M23)</f>
        <v>110</v>
      </c>
      <c r="N24" s="20">
        <f ca="1">+M24/$M$32</f>
        <v>0.859375</v>
      </c>
      <c r="O24" s="19">
        <f ca="1">+SUM(O22:O23)</f>
        <v>23</v>
      </c>
      <c r="P24" s="20">
        <f ca="1">+O24/$O$32</f>
        <v>0.58974358974358976</v>
      </c>
      <c r="Q24" s="21">
        <f ca="1">+SUM(Q22:Q23)</f>
        <v>3015</v>
      </c>
      <c r="T24" s="18" t="s">
        <v>17</v>
      </c>
      <c r="U24" s="19">
        <f ca="1">+SUM(U22:U23)</f>
        <v>119222482</v>
      </c>
      <c r="V24" s="20">
        <f ca="1">U24/U$32</f>
        <v>0.92670539430027266</v>
      </c>
      <c r="W24" s="19">
        <f ca="1">+SUM(W22:W23)</f>
        <v>231722137</v>
      </c>
      <c r="X24" s="20">
        <f ca="1">+W24/$W$32</f>
        <v>0.94224270954559586</v>
      </c>
      <c r="Y24" s="19">
        <f ca="1">+SUM(Y22:Y23)</f>
        <v>89623517</v>
      </c>
      <c r="Z24" s="20">
        <f ca="1">+Y24/$Y$32</f>
        <v>0.96651515520301057</v>
      </c>
      <c r="AA24" s="19">
        <f ca="1">+SUM(AA22:AA23)</f>
        <v>146621208</v>
      </c>
      <c r="AB24" s="20">
        <f ca="1">+AA24/$AA$32</f>
        <v>0.99884189249263489</v>
      </c>
      <c r="AC24" s="19">
        <f ca="1">+SUM(AC22:AC23)</f>
        <v>1508854</v>
      </c>
      <c r="AD24" s="20">
        <f ca="1">+AC24/$AC$32</f>
        <v>1</v>
      </c>
      <c r="AE24" s="19">
        <f ca="1">+SUM(AE22:AE23)</f>
        <v>4741297</v>
      </c>
      <c r="AF24" s="20">
        <f ca="1">+AE24/AE$32</f>
        <v>0.8161132069690773</v>
      </c>
      <c r="AG24" s="19">
        <f ca="1">+SUM(AG22:AG23)</f>
        <v>8881041</v>
      </c>
      <c r="AH24" s="20">
        <f ca="1">+AG24/$AG$32</f>
        <v>0.71569652802155348</v>
      </c>
      <c r="AI24" s="21">
        <f ca="1">+SUM(AI22:AI23)</f>
        <v>602320536</v>
      </c>
      <c r="AL24" s="43" t="s">
        <v>17</v>
      </c>
      <c r="AM24" s="44">
        <f ca="1">+SUM(AM22:AM23)</f>
        <v>827</v>
      </c>
      <c r="AN24" s="45">
        <f ca="1">AM24/AM$32</f>
        <v>0.88924731182795702</v>
      </c>
      <c r="AO24" s="44">
        <f ca="1">+SUM(AO22:AO23)</f>
        <v>1323</v>
      </c>
      <c r="AP24" s="45">
        <f ca="1">AO24/AO$32</f>
        <v>0.92323796231681787</v>
      </c>
      <c r="AQ24" s="44">
        <f ca="1">+SUM(AQ22:AQ23)</f>
        <v>259</v>
      </c>
      <c r="AR24" s="45">
        <f ca="1">AQ24/AQ$32</f>
        <v>0.89003436426116833</v>
      </c>
      <c r="AS24" s="44">
        <f ca="1">+SUM(AS22:AS23)</f>
        <v>420</v>
      </c>
      <c r="AT24" s="45">
        <f ca="1">AS24/AS$32</f>
        <v>0.99526066350710896</v>
      </c>
      <c r="AU24" s="44">
        <f ca="1">+SUM(AU22:AU23)</f>
        <v>53</v>
      </c>
      <c r="AV24" s="45">
        <f ca="1">AU24/AU$32</f>
        <v>1</v>
      </c>
      <c r="AW24" s="44">
        <f ca="1">+SUM(AW22:AW23)</f>
        <v>110</v>
      </c>
      <c r="AX24" s="45">
        <f ca="1">AW24/AW$32</f>
        <v>0.859375</v>
      </c>
      <c r="AY24" s="44">
        <f ca="1">+SUM(AY22:AY23)</f>
        <v>23</v>
      </c>
      <c r="AZ24" s="45">
        <f ca="1">AY24/AY$32</f>
        <v>0.58974358974358976</v>
      </c>
      <c r="BA24" s="46">
        <f ca="1">+SUM(BA22:BA23)</f>
        <v>3015</v>
      </c>
      <c r="BC24" s="43" t="s">
        <v>17</v>
      </c>
      <c r="BD24" s="44">
        <f ca="1">+SUM(BD22:BD23)</f>
        <v>119222482</v>
      </c>
      <c r="BE24" s="45">
        <f ca="1">BD24/BD$32</f>
        <v>0.92670539430027266</v>
      </c>
      <c r="BF24" s="44">
        <f ca="1">+SUM(BF22:BF23)</f>
        <v>231722137</v>
      </c>
      <c r="BG24" s="45">
        <f ca="1">BF24/BF$32</f>
        <v>0.94224270954559586</v>
      </c>
      <c r="BH24" s="44">
        <f ca="1">+SUM(BH22:BH23)</f>
        <v>89623517</v>
      </c>
      <c r="BI24" s="45">
        <f ca="1">BH24/BH$32</f>
        <v>0.96651515520301057</v>
      </c>
      <c r="BJ24" s="44">
        <f ca="1">+SUM(BJ22:BJ23)</f>
        <v>146621208</v>
      </c>
      <c r="BK24" s="45">
        <f ca="1">BJ24/BJ$32</f>
        <v>0.99884189249263489</v>
      </c>
      <c r="BL24" s="44">
        <f ca="1">+SUM(BL22:BL23)</f>
        <v>1508854</v>
      </c>
      <c r="BM24" s="45">
        <f ca="1">BL24/BL$32</f>
        <v>1</v>
      </c>
      <c r="BN24" s="44">
        <f ca="1">+SUM(BN22:BN23)</f>
        <v>4741297</v>
      </c>
      <c r="BO24" s="45">
        <f ca="1">BN24/BN$32</f>
        <v>0.8161132069690773</v>
      </c>
      <c r="BP24" s="44">
        <f ca="1">+SUM(BP22:BP23)</f>
        <v>8881041</v>
      </c>
      <c r="BQ24" s="45">
        <f ca="1">BP24/BP$32</f>
        <v>0.71569652802155348</v>
      </c>
      <c r="BR24" s="46">
        <f ca="1">+SUM(BR22:BR23)</f>
        <v>602320536</v>
      </c>
    </row>
    <row r="25" spans="2:70" s="13" customFormat="1" x14ac:dyDescent="0.3">
      <c r="B25" s="22" t="s">
        <v>18</v>
      </c>
      <c r="C25" s="15">
        <v>86</v>
      </c>
      <c r="D25" s="16">
        <f t="shared" ref="D25:D32" ca="1" si="17">C25/C$32</f>
        <v>9.2473118279569888E-2</v>
      </c>
      <c r="E25" s="15">
        <v>83</v>
      </c>
      <c r="F25" s="16">
        <f t="shared" ref="F25:F32" ca="1" si="18">E25/E$32</f>
        <v>5.7920446615491977E-2</v>
      </c>
      <c r="G25" s="15">
        <v>32</v>
      </c>
      <c r="H25" s="16">
        <f t="shared" ref="H25:H32" ca="1" si="19">G25/G$32</f>
        <v>0.10996563573883161</v>
      </c>
      <c r="I25" s="15">
        <v>2</v>
      </c>
      <c r="J25" s="16">
        <f t="shared" ref="J25:J32" ca="1" si="20">I25/I$32</f>
        <v>4.7393364928909956E-3</v>
      </c>
      <c r="K25" s="15">
        <v>0</v>
      </c>
      <c r="L25" s="16">
        <f t="shared" ref="L25:L32" ca="1" si="21">K25/K$32</f>
        <v>0</v>
      </c>
      <c r="M25" s="15">
        <v>13</v>
      </c>
      <c r="N25" s="16">
        <f t="shared" ref="N25:N32" ca="1" si="22">M25/M$32</f>
        <v>0.1015625</v>
      </c>
      <c r="O25" s="15">
        <v>15</v>
      </c>
      <c r="P25" s="16">
        <f t="shared" ref="P25:P32" ca="1" si="23">O25/O$32</f>
        <v>0.38461538461538464</v>
      </c>
      <c r="Q25" s="17">
        <f t="shared" ca="1" si="16"/>
        <v>231</v>
      </c>
      <c r="T25" s="22" t="s">
        <v>18</v>
      </c>
      <c r="U25" s="15">
        <v>7390192</v>
      </c>
      <c r="V25" s="16">
        <f t="shared" ref="V25:V32" ca="1" si="24">U25/U$32</f>
        <v>5.7443283149521414E-2</v>
      </c>
      <c r="W25" s="15">
        <v>11075142</v>
      </c>
      <c r="X25" s="16">
        <f t="shared" ref="X25:X32" ca="1" si="25">W25/W$32</f>
        <v>4.5034418988990375E-2</v>
      </c>
      <c r="Y25" s="15">
        <v>3105000</v>
      </c>
      <c r="Z25" s="16">
        <f t="shared" ref="Z25:Z32" ca="1" si="26">Y25/Y$32</f>
        <v>3.3484844796989474E-2</v>
      </c>
      <c r="AA25" s="15">
        <v>170000</v>
      </c>
      <c r="AB25" s="16">
        <f t="shared" ref="AB25:AB32" ca="1" si="27">AA25/AA$32</f>
        <v>1.1581075073651549E-3</v>
      </c>
      <c r="AC25" s="15">
        <v>0</v>
      </c>
      <c r="AD25" s="16">
        <f t="shared" ref="AD25:AD32" ca="1" si="28">AC25/AC$32</f>
        <v>0</v>
      </c>
      <c r="AE25" s="15">
        <v>702310</v>
      </c>
      <c r="AF25" s="16">
        <f t="shared" ref="AF25:AF32" ca="1" si="29">AE25/AE$32</f>
        <v>0.12088769515734886</v>
      </c>
      <c r="AG25" s="15">
        <v>3143790</v>
      </c>
      <c r="AH25" s="16">
        <f t="shared" ref="AH25:AH32" ca="1" si="30">AG25/AG$32</f>
        <v>0.25334863197105828</v>
      </c>
      <c r="AI25" s="17">
        <f t="shared" ref="AI25:AI32" ca="1" si="31">SUM(U25,Y25,AA25,AC25,AE25,AG25,W25)</f>
        <v>25586434</v>
      </c>
      <c r="AL25" s="47" t="s">
        <v>18</v>
      </c>
      <c r="AM25" s="40">
        <v>86</v>
      </c>
      <c r="AN25" s="41">
        <f t="shared" ref="AN25:AN32" ca="1" si="32">AM25/AM$32</f>
        <v>9.2473118279569888E-2</v>
      </c>
      <c r="AO25" s="40">
        <v>83</v>
      </c>
      <c r="AP25" s="41">
        <f t="shared" ref="AP25:AP32" ca="1" si="33">AO25/AO$32</f>
        <v>5.7920446615491977E-2</v>
      </c>
      <c r="AQ25" s="40">
        <v>32</v>
      </c>
      <c r="AR25" s="41">
        <f t="shared" ref="AR25:AR32" ca="1" si="34">AQ25/AQ$32</f>
        <v>0.10996563573883161</v>
      </c>
      <c r="AS25" s="40">
        <v>2</v>
      </c>
      <c r="AT25" s="41">
        <f t="shared" ref="AT25:AT32" ca="1" si="35">AS25/AS$32</f>
        <v>4.7393364928909956E-3</v>
      </c>
      <c r="AU25" s="40">
        <v>0</v>
      </c>
      <c r="AV25" s="41">
        <f t="shared" ref="AV25:AV32" ca="1" si="36">AU25/AU$32</f>
        <v>0</v>
      </c>
      <c r="AW25" s="40">
        <v>13</v>
      </c>
      <c r="AX25" s="41">
        <f t="shared" ref="AX25:AX32" ca="1" si="37">AW25/AW$32</f>
        <v>0.1015625</v>
      </c>
      <c r="AY25" s="40">
        <v>15</v>
      </c>
      <c r="AZ25" s="41">
        <f t="shared" ref="AZ25:AZ32" ca="1" si="38">AY25/AY$32</f>
        <v>0.38461538461538464</v>
      </c>
      <c r="BA25" s="42">
        <f t="shared" ref="BA25:BA32" ca="1" si="39">SUM(AM25,AQ25,AS25,AU25,AW25,AY25,AO25)</f>
        <v>231</v>
      </c>
      <c r="BC25" s="47" t="s">
        <v>18</v>
      </c>
      <c r="BD25" s="40">
        <v>7390192</v>
      </c>
      <c r="BE25" s="41">
        <f t="shared" ref="BE25:BE32" ca="1" si="40">BD25/BD$32</f>
        <v>5.7443283149521414E-2</v>
      </c>
      <c r="BF25" s="40">
        <v>11075142</v>
      </c>
      <c r="BG25" s="41">
        <f t="shared" ref="BG25:BG32" ca="1" si="41">BF25/BF$32</f>
        <v>4.5034418988990375E-2</v>
      </c>
      <c r="BH25" s="40">
        <v>3105000</v>
      </c>
      <c r="BI25" s="41">
        <f t="shared" ref="BI25:BI32" ca="1" si="42">BH25/BH$32</f>
        <v>3.3484844796989474E-2</v>
      </c>
      <c r="BJ25" s="40">
        <v>170000</v>
      </c>
      <c r="BK25" s="41">
        <f t="shared" ref="BK25:BK32" ca="1" si="43">BJ25/BJ$32</f>
        <v>1.1581075073651549E-3</v>
      </c>
      <c r="BL25" s="40">
        <v>0</v>
      </c>
      <c r="BM25" s="41">
        <f t="shared" ref="BM25:BM32" ca="1" si="44">BL25/BL$32</f>
        <v>0</v>
      </c>
      <c r="BN25" s="40">
        <v>702310</v>
      </c>
      <c r="BO25" s="41">
        <f t="shared" ref="BO25:BO32" ca="1" si="45">BN25/BN$32</f>
        <v>0.12088769515734886</v>
      </c>
      <c r="BP25" s="40">
        <v>3143790</v>
      </c>
      <c r="BQ25" s="41">
        <f t="shared" ref="BQ25:BQ32" ca="1" si="46">BP25/BP$32</f>
        <v>0.25334863197105828</v>
      </c>
      <c r="BR25" s="42">
        <f t="shared" ref="BR25:BR32" ca="1" si="47">SUM(BD25,BH25,BJ25,BL25,BN25,BP25,BF25)</f>
        <v>25586434</v>
      </c>
    </row>
    <row r="26" spans="2:70" s="13" customFormat="1" x14ac:dyDescent="0.3">
      <c r="B26" s="22" t="s">
        <v>19</v>
      </c>
      <c r="C26" s="15">
        <v>17</v>
      </c>
      <c r="D26" s="16">
        <f t="shared" ca="1" si="17"/>
        <v>1.8279569892473119E-2</v>
      </c>
      <c r="E26" s="15">
        <v>27</v>
      </c>
      <c r="F26" s="16">
        <f t="shared" ca="1" si="18"/>
        <v>1.884159106769016E-2</v>
      </c>
      <c r="G26" s="15">
        <v>0</v>
      </c>
      <c r="H26" s="16">
        <f t="shared" ca="1" si="19"/>
        <v>0</v>
      </c>
      <c r="I26" s="15">
        <v>0</v>
      </c>
      <c r="J26" s="16">
        <f t="shared" ca="1" si="20"/>
        <v>0</v>
      </c>
      <c r="K26" s="15">
        <v>0</v>
      </c>
      <c r="L26" s="16">
        <f t="shared" ca="1" si="21"/>
        <v>0</v>
      </c>
      <c r="M26" s="15">
        <v>5</v>
      </c>
      <c r="N26" s="16">
        <f t="shared" ca="1" si="22"/>
        <v>3.90625E-2</v>
      </c>
      <c r="O26" s="15">
        <v>1</v>
      </c>
      <c r="P26" s="16">
        <f t="shared" ca="1" si="23"/>
        <v>2.564102564102564E-2</v>
      </c>
      <c r="Q26" s="17">
        <f t="shared" ca="1" si="16"/>
        <v>50</v>
      </c>
      <c r="T26" s="22" t="s">
        <v>19</v>
      </c>
      <c r="U26" s="15">
        <v>2039304</v>
      </c>
      <c r="V26" s="16">
        <f t="shared" ca="1" si="24"/>
        <v>1.5851322550205951E-2</v>
      </c>
      <c r="W26" s="15">
        <v>3128887</v>
      </c>
      <c r="X26" s="16">
        <f t="shared" ca="1" si="25"/>
        <v>1.2722871465413729E-2</v>
      </c>
      <c r="Y26" s="15">
        <v>0</v>
      </c>
      <c r="Z26" s="16">
        <f t="shared" ca="1" si="26"/>
        <v>0</v>
      </c>
      <c r="AA26" s="15">
        <v>0</v>
      </c>
      <c r="AB26" s="16">
        <f t="shared" ca="1" si="27"/>
        <v>0</v>
      </c>
      <c r="AC26" s="15">
        <v>0</v>
      </c>
      <c r="AD26" s="16">
        <f t="shared" ca="1" si="28"/>
        <v>0</v>
      </c>
      <c r="AE26" s="15">
        <v>366000</v>
      </c>
      <c r="AF26" s="16">
        <f t="shared" ca="1" si="29"/>
        <v>6.2999097873573898E-2</v>
      </c>
      <c r="AG26" s="15">
        <v>384117</v>
      </c>
      <c r="AH26" s="16">
        <f t="shared" ca="1" si="30"/>
        <v>3.0954840007388216E-2</v>
      </c>
      <c r="AI26" s="17">
        <f t="shared" ca="1" si="31"/>
        <v>5918308</v>
      </c>
      <c r="AL26" s="47" t="s">
        <v>19</v>
      </c>
      <c r="AM26" s="40">
        <v>17</v>
      </c>
      <c r="AN26" s="41">
        <f t="shared" ca="1" si="32"/>
        <v>1.8279569892473119E-2</v>
      </c>
      <c r="AO26" s="40">
        <v>27</v>
      </c>
      <c r="AP26" s="41">
        <f t="shared" ca="1" si="33"/>
        <v>1.884159106769016E-2</v>
      </c>
      <c r="AQ26" s="40">
        <v>0</v>
      </c>
      <c r="AR26" s="41">
        <f t="shared" ca="1" si="34"/>
        <v>0</v>
      </c>
      <c r="AS26" s="40">
        <v>0</v>
      </c>
      <c r="AT26" s="41">
        <f t="shared" ca="1" si="35"/>
        <v>0</v>
      </c>
      <c r="AU26" s="40">
        <v>0</v>
      </c>
      <c r="AV26" s="41">
        <f t="shared" ca="1" si="36"/>
        <v>0</v>
      </c>
      <c r="AW26" s="40">
        <v>5</v>
      </c>
      <c r="AX26" s="41">
        <f t="shared" ca="1" si="37"/>
        <v>3.90625E-2</v>
      </c>
      <c r="AY26" s="40">
        <v>1</v>
      </c>
      <c r="AZ26" s="41">
        <f t="shared" ca="1" si="38"/>
        <v>2.564102564102564E-2</v>
      </c>
      <c r="BA26" s="42">
        <f t="shared" ca="1" si="39"/>
        <v>50</v>
      </c>
      <c r="BC26" s="47" t="s">
        <v>19</v>
      </c>
      <c r="BD26" s="40">
        <v>2039304</v>
      </c>
      <c r="BE26" s="41">
        <f t="shared" ca="1" si="40"/>
        <v>1.5851322550205951E-2</v>
      </c>
      <c r="BF26" s="40">
        <v>3128887</v>
      </c>
      <c r="BG26" s="41">
        <f t="shared" ca="1" si="41"/>
        <v>1.2722871465413729E-2</v>
      </c>
      <c r="BH26" s="40">
        <v>0</v>
      </c>
      <c r="BI26" s="41">
        <f t="shared" ca="1" si="42"/>
        <v>0</v>
      </c>
      <c r="BJ26" s="40">
        <v>0</v>
      </c>
      <c r="BK26" s="41">
        <f t="shared" ca="1" si="43"/>
        <v>0</v>
      </c>
      <c r="BL26" s="40">
        <v>0</v>
      </c>
      <c r="BM26" s="41">
        <f t="shared" ca="1" si="44"/>
        <v>0</v>
      </c>
      <c r="BN26" s="40">
        <v>366000</v>
      </c>
      <c r="BO26" s="41">
        <f t="shared" ca="1" si="45"/>
        <v>6.2999097873573898E-2</v>
      </c>
      <c r="BP26" s="40">
        <v>384117</v>
      </c>
      <c r="BQ26" s="41">
        <f t="shared" ca="1" si="46"/>
        <v>3.0954840007388216E-2</v>
      </c>
      <c r="BR26" s="42">
        <f t="shared" ca="1" si="47"/>
        <v>5918308</v>
      </c>
    </row>
    <row r="27" spans="2:70" s="13" customFormat="1" x14ac:dyDescent="0.3">
      <c r="B27" s="22" t="s">
        <v>20</v>
      </c>
      <c r="C27" s="15">
        <v>0</v>
      </c>
      <c r="D27" s="16">
        <f t="shared" ca="1" si="17"/>
        <v>0</v>
      </c>
      <c r="E27" s="15">
        <v>0</v>
      </c>
      <c r="F27" s="16">
        <f t="shared" ca="1" si="18"/>
        <v>0</v>
      </c>
      <c r="G27" s="15">
        <v>0</v>
      </c>
      <c r="H27" s="16">
        <f t="shared" ca="1" si="19"/>
        <v>0</v>
      </c>
      <c r="I27" s="15">
        <v>0</v>
      </c>
      <c r="J27" s="16">
        <f t="shared" ca="1" si="20"/>
        <v>0</v>
      </c>
      <c r="K27" s="15">
        <v>0</v>
      </c>
      <c r="L27" s="16">
        <f t="shared" ca="1" si="21"/>
        <v>0</v>
      </c>
      <c r="M27" s="15">
        <v>0</v>
      </c>
      <c r="N27" s="16">
        <f t="shared" ca="1" si="22"/>
        <v>0</v>
      </c>
      <c r="O27" s="15">
        <v>0</v>
      </c>
      <c r="P27" s="16">
        <f t="shared" ca="1" si="23"/>
        <v>0</v>
      </c>
      <c r="Q27" s="17">
        <f t="shared" ca="1" si="16"/>
        <v>0</v>
      </c>
      <c r="T27" s="22" t="s">
        <v>20</v>
      </c>
      <c r="U27" s="15">
        <v>0</v>
      </c>
      <c r="V27" s="16">
        <f t="shared" ca="1" si="24"/>
        <v>0</v>
      </c>
      <c r="W27" s="15">
        <v>0</v>
      </c>
      <c r="X27" s="16">
        <f t="shared" ca="1" si="25"/>
        <v>0</v>
      </c>
      <c r="Y27" s="15">
        <v>0</v>
      </c>
      <c r="Z27" s="16">
        <f t="shared" ca="1" si="26"/>
        <v>0</v>
      </c>
      <c r="AA27" s="15">
        <v>0</v>
      </c>
      <c r="AB27" s="16">
        <f t="shared" ca="1" si="27"/>
        <v>0</v>
      </c>
      <c r="AC27" s="15">
        <v>0</v>
      </c>
      <c r="AD27" s="16">
        <f t="shared" ca="1" si="28"/>
        <v>0</v>
      </c>
      <c r="AE27" s="15">
        <v>0</v>
      </c>
      <c r="AF27" s="16">
        <f t="shared" ca="1" si="29"/>
        <v>0</v>
      </c>
      <c r="AG27" s="15">
        <v>0</v>
      </c>
      <c r="AH27" s="16">
        <f t="shared" ca="1" si="30"/>
        <v>0</v>
      </c>
      <c r="AI27" s="17">
        <f t="shared" ca="1" si="31"/>
        <v>0</v>
      </c>
      <c r="AL27" s="47" t="s">
        <v>20</v>
      </c>
      <c r="AM27" s="40">
        <v>0</v>
      </c>
      <c r="AN27" s="41">
        <f t="shared" ca="1" si="32"/>
        <v>0</v>
      </c>
      <c r="AO27" s="40">
        <v>0</v>
      </c>
      <c r="AP27" s="41">
        <f t="shared" ca="1" si="33"/>
        <v>0</v>
      </c>
      <c r="AQ27" s="40">
        <v>0</v>
      </c>
      <c r="AR27" s="41">
        <f t="shared" ca="1" si="34"/>
        <v>0</v>
      </c>
      <c r="AS27" s="40">
        <v>0</v>
      </c>
      <c r="AT27" s="41">
        <f t="shared" ca="1" si="35"/>
        <v>0</v>
      </c>
      <c r="AU27" s="40">
        <v>0</v>
      </c>
      <c r="AV27" s="41">
        <f t="shared" ca="1" si="36"/>
        <v>0</v>
      </c>
      <c r="AW27" s="40">
        <v>0</v>
      </c>
      <c r="AX27" s="41">
        <f t="shared" ca="1" si="37"/>
        <v>0</v>
      </c>
      <c r="AY27" s="40">
        <v>0</v>
      </c>
      <c r="AZ27" s="41">
        <f t="shared" ca="1" si="38"/>
        <v>0</v>
      </c>
      <c r="BA27" s="42">
        <f t="shared" ca="1" si="39"/>
        <v>0</v>
      </c>
      <c r="BC27" s="47" t="s">
        <v>20</v>
      </c>
      <c r="BD27" s="40">
        <v>0</v>
      </c>
      <c r="BE27" s="41">
        <f t="shared" ca="1" si="40"/>
        <v>0</v>
      </c>
      <c r="BF27" s="40">
        <v>0</v>
      </c>
      <c r="BG27" s="41">
        <f t="shared" ca="1" si="41"/>
        <v>0</v>
      </c>
      <c r="BH27" s="40">
        <v>0</v>
      </c>
      <c r="BI27" s="41">
        <f t="shared" ca="1" si="42"/>
        <v>0</v>
      </c>
      <c r="BJ27" s="40">
        <v>0</v>
      </c>
      <c r="BK27" s="41">
        <f t="shared" ca="1" si="43"/>
        <v>0</v>
      </c>
      <c r="BL27" s="40">
        <v>0</v>
      </c>
      <c r="BM27" s="41">
        <f t="shared" ca="1" si="44"/>
        <v>0</v>
      </c>
      <c r="BN27" s="40">
        <v>0</v>
      </c>
      <c r="BO27" s="41">
        <f t="shared" ca="1" si="45"/>
        <v>0</v>
      </c>
      <c r="BP27" s="40">
        <v>0</v>
      </c>
      <c r="BQ27" s="41">
        <f t="shared" ca="1" si="46"/>
        <v>0</v>
      </c>
      <c r="BR27" s="42">
        <f t="shared" ca="1" si="47"/>
        <v>0</v>
      </c>
    </row>
    <row r="28" spans="2:70" s="13" customFormat="1" x14ac:dyDescent="0.3">
      <c r="B28" s="22" t="s">
        <v>21</v>
      </c>
      <c r="C28" s="15">
        <v>0</v>
      </c>
      <c r="D28" s="16">
        <f t="shared" ca="1" si="17"/>
        <v>0</v>
      </c>
      <c r="E28" s="15">
        <v>0</v>
      </c>
      <c r="F28" s="16">
        <f t="shared" ca="1" si="18"/>
        <v>0</v>
      </c>
      <c r="G28" s="15">
        <v>0</v>
      </c>
      <c r="H28" s="16">
        <f t="shared" ca="1" si="19"/>
        <v>0</v>
      </c>
      <c r="I28" s="15">
        <v>0</v>
      </c>
      <c r="J28" s="16">
        <f t="shared" ca="1" si="20"/>
        <v>0</v>
      </c>
      <c r="K28" s="15">
        <v>0</v>
      </c>
      <c r="L28" s="16">
        <f t="shared" ca="1" si="21"/>
        <v>0</v>
      </c>
      <c r="M28" s="15">
        <v>0</v>
      </c>
      <c r="N28" s="16">
        <f t="shared" ca="1" si="22"/>
        <v>0</v>
      </c>
      <c r="O28" s="15">
        <v>0</v>
      </c>
      <c r="P28" s="16">
        <f t="shared" ca="1" si="23"/>
        <v>0</v>
      </c>
      <c r="Q28" s="17">
        <f t="shared" ca="1" si="16"/>
        <v>0</v>
      </c>
      <c r="T28" s="22" t="s">
        <v>21</v>
      </c>
      <c r="U28" s="15">
        <v>0</v>
      </c>
      <c r="V28" s="16">
        <f t="shared" ca="1" si="24"/>
        <v>0</v>
      </c>
      <c r="W28" s="15">
        <v>0</v>
      </c>
      <c r="X28" s="16">
        <f t="shared" ca="1" si="25"/>
        <v>0</v>
      </c>
      <c r="Y28" s="15">
        <v>0</v>
      </c>
      <c r="Z28" s="16">
        <f t="shared" ca="1" si="26"/>
        <v>0</v>
      </c>
      <c r="AA28" s="15">
        <v>0</v>
      </c>
      <c r="AB28" s="16">
        <f t="shared" ca="1" si="27"/>
        <v>0</v>
      </c>
      <c r="AC28" s="15">
        <v>0</v>
      </c>
      <c r="AD28" s="16">
        <f t="shared" ca="1" si="28"/>
        <v>0</v>
      </c>
      <c r="AE28" s="15">
        <v>0</v>
      </c>
      <c r="AF28" s="16">
        <f t="shared" ca="1" si="29"/>
        <v>0</v>
      </c>
      <c r="AG28" s="15">
        <v>0</v>
      </c>
      <c r="AH28" s="16">
        <f t="shared" ca="1" si="30"/>
        <v>0</v>
      </c>
      <c r="AI28" s="17">
        <f t="shared" ca="1" si="31"/>
        <v>0</v>
      </c>
      <c r="AL28" s="47" t="s">
        <v>21</v>
      </c>
      <c r="AM28" s="40">
        <v>0</v>
      </c>
      <c r="AN28" s="41">
        <f t="shared" ca="1" si="32"/>
        <v>0</v>
      </c>
      <c r="AO28" s="40">
        <v>0</v>
      </c>
      <c r="AP28" s="41">
        <f t="shared" ca="1" si="33"/>
        <v>0</v>
      </c>
      <c r="AQ28" s="40">
        <v>0</v>
      </c>
      <c r="AR28" s="41">
        <f t="shared" ca="1" si="34"/>
        <v>0</v>
      </c>
      <c r="AS28" s="40">
        <v>0</v>
      </c>
      <c r="AT28" s="41">
        <f t="shared" ca="1" si="35"/>
        <v>0</v>
      </c>
      <c r="AU28" s="40">
        <v>0</v>
      </c>
      <c r="AV28" s="41">
        <f t="shared" ca="1" si="36"/>
        <v>0</v>
      </c>
      <c r="AW28" s="40">
        <v>0</v>
      </c>
      <c r="AX28" s="41">
        <f t="shared" ca="1" si="37"/>
        <v>0</v>
      </c>
      <c r="AY28" s="40">
        <v>0</v>
      </c>
      <c r="AZ28" s="41">
        <f t="shared" ca="1" si="38"/>
        <v>0</v>
      </c>
      <c r="BA28" s="42">
        <f t="shared" ca="1" si="39"/>
        <v>0</v>
      </c>
      <c r="BC28" s="47" t="s">
        <v>21</v>
      </c>
      <c r="BD28" s="40">
        <v>0</v>
      </c>
      <c r="BE28" s="41">
        <f t="shared" ca="1" si="40"/>
        <v>0</v>
      </c>
      <c r="BF28" s="40">
        <v>0</v>
      </c>
      <c r="BG28" s="41">
        <f t="shared" ca="1" si="41"/>
        <v>0</v>
      </c>
      <c r="BH28" s="40">
        <v>0</v>
      </c>
      <c r="BI28" s="41">
        <f t="shared" ca="1" si="42"/>
        <v>0</v>
      </c>
      <c r="BJ28" s="40">
        <v>0</v>
      </c>
      <c r="BK28" s="41">
        <f t="shared" ca="1" si="43"/>
        <v>0</v>
      </c>
      <c r="BL28" s="40">
        <v>0</v>
      </c>
      <c r="BM28" s="41">
        <f t="shared" ca="1" si="44"/>
        <v>0</v>
      </c>
      <c r="BN28" s="40">
        <v>0</v>
      </c>
      <c r="BO28" s="41">
        <f t="shared" ca="1" si="45"/>
        <v>0</v>
      </c>
      <c r="BP28" s="40">
        <v>0</v>
      </c>
      <c r="BQ28" s="41">
        <f t="shared" ca="1" si="46"/>
        <v>0</v>
      </c>
      <c r="BR28" s="42">
        <f t="shared" ca="1" si="47"/>
        <v>0</v>
      </c>
    </row>
    <row r="29" spans="2:70" s="13" customFormat="1" x14ac:dyDescent="0.3">
      <c r="B29" s="22" t="s">
        <v>22</v>
      </c>
      <c r="C29" s="15">
        <v>0</v>
      </c>
      <c r="D29" s="16">
        <f t="shared" ca="1" si="17"/>
        <v>0</v>
      </c>
      <c r="E29" s="15">
        <v>0</v>
      </c>
      <c r="F29" s="16">
        <f t="shared" ca="1" si="18"/>
        <v>0</v>
      </c>
      <c r="G29" s="15">
        <v>0</v>
      </c>
      <c r="H29" s="16">
        <f t="shared" ca="1" si="19"/>
        <v>0</v>
      </c>
      <c r="I29" s="15">
        <v>0</v>
      </c>
      <c r="J29" s="16">
        <f t="shared" ca="1" si="20"/>
        <v>0</v>
      </c>
      <c r="K29" s="15">
        <v>0</v>
      </c>
      <c r="L29" s="16">
        <f t="shared" ca="1" si="21"/>
        <v>0</v>
      </c>
      <c r="M29" s="15">
        <v>0</v>
      </c>
      <c r="N29" s="16">
        <f t="shared" ca="1" si="22"/>
        <v>0</v>
      </c>
      <c r="O29" s="15">
        <v>0</v>
      </c>
      <c r="P29" s="16">
        <f t="shared" ca="1" si="23"/>
        <v>0</v>
      </c>
      <c r="Q29" s="17">
        <f t="shared" ca="1" si="16"/>
        <v>0</v>
      </c>
      <c r="T29" s="22" t="s">
        <v>22</v>
      </c>
      <c r="U29" s="15">
        <v>0</v>
      </c>
      <c r="V29" s="16">
        <f t="shared" ca="1" si="24"/>
        <v>0</v>
      </c>
      <c r="W29" s="15">
        <v>0</v>
      </c>
      <c r="X29" s="16">
        <f t="shared" ca="1" si="25"/>
        <v>0</v>
      </c>
      <c r="Y29" s="15">
        <v>0</v>
      </c>
      <c r="Z29" s="16">
        <f t="shared" ca="1" si="26"/>
        <v>0</v>
      </c>
      <c r="AA29" s="15">
        <v>0</v>
      </c>
      <c r="AB29" s="16">
        <f t="shared" ca="1" si="27"/>
        <v>0</v>
      </c>
      <c r="AC29" s="15">
        <v>0</v>
      </c>
      <c r="AD29" s="16">
        <f t="shared" ca="1" si="28"/>
        <v>0</v>
      </c>
      <c r="AE29" s="15">
        <v>0</v>
      </c>
      <c r="AF29" s="16">
        <f t="shared" ca="1" si="29"/>
        <v>0</v>
      </c>
      <c r="AG29" s="15">
        <v>0</v>
      </c>
      <c r="AH29" s="16">
        <f t="shared" ca="1" si="30"/>
        <v>0</v>
      </c>
      <c r="AI29" s="17">
        <f t="shared" ca="1" si="31"/>
        <v>0</v>
      </c>
      <c r="AL29" s="47" t="s">
        <v>22</v>
      </c>
      <c r="AM29" s="40">
        <v>0</v>
      </c>
      <c r="AN29" s="41">
        <f t="shared" ca="1" si="32"/>
        <v>0</v>
      </c>
      <c r="AO29" s="40">
        <v>0</v>
      </c>
      <c r="AP29" s="41">
        <f t="shared" ca="1" si="33"/>
        <v>0</v>
      </c>
      <c r="AQ29" s="40">
        <v>0</v>
      </c>
      <c r="AR29" s="41">
        <f t="shared" ca="1" si="34"/>
        <v>0</v>
      </c>
      <c r="AS29" s="40">
        <v>0</v>
      </c>
      <c r="AT29" s="41">
        <f t="shared" ca="1" si="35"/>
        <v>0</v>
      </c>
      <c r="AU29" s="40">
        <v>0</v>
      </c>
      <c r="AV29" s="41">
        <f t="shared" ca="1" si="36"/>
        <v>0</v>
      </c>
      <c r="AW29" s="40">
        <v>0</v>
      </c>
      <c r="AX29" s="41">
        <f t="shared" ca="1" si="37"/>
        <v>0</v>
      </c>
      <c r="AY29" s="40">
        <v>0</v>
      </c>
      <c r="AZ29" s="41">
        <f t="shared" ca="1" si="38"/>
        <v>0</v>
      </c>
      <c r="BA29" s="42">
        <f t="shared" ca="1" si="39"/>
        <v>0</v>
      </c>
      <c r="BC29" s="47" t="s">
        <v>22</v>
      </c>
      <c r="BD29" s="40">
        <v>0</v>
      </c>
      <c r="BE29" s="41">
        <f t="shared" ca="1" si="40"/>
        <v>0</v>
      </c>
      <c r="BF29" s="40">
        <v>0</v>
      </c>
      <c r="BG29" s="41">
        <f t="shared" ca="1" si="41"/>
        <v>0</v>
      </c>
      <c r="BH29" s="40">
        <v>0</v>
      </c>
      <c r="BI29" s="41">
        <f t="shared" ca="1" si="42"/>
        <v>0</v>
      </c>
      <c r="BJ29" s="40">
        <v>0</v>
      </c>
      <c r="BK29" s="41">
        <f t="shared" ca="1" si="43"/>
        <v>0</v>
      </c>
      <c r="BL29" s="40">
        <v>0</v>
      </c>
      <c r="BM29" s="41">
        <f t="shared" ca="1" si="44"/>
        <v>0</v>
      </c>
      <c r="BN29" s="40">
        <v>0</v>
      </c>
      <c r="BO29" s="41">
        <f t="shared" ca="1" si="45"/>
        <v>0</v>
      </c>
      <c r="BP29" s="40">
        <v>0</v>
      </c>
      <c r="BQ29" s="41">
        <f t="shared" ca="1" si="46"/>
        <v>0</v>
      </c>
      <c r="BR29" s="42">
        <f t="shared" ca="1" si="47"/>
        <v>0</v>
      </c>
    </row>
    <row r="30" spans="2:70" s="13" customFormat="1" x14ac:dyDescent="0.3">
      <c r="B30" s="22" t="s">
        <v>23</v>
      </c>
      <c r="C30" s="15">
        <v>0</v>
      </c>
      <c r="D30" s="16">
        <f t="shared" ca="1" si="17"/>
        <v>0</v>
      </c>
      <c r="E30" s="15">
        <v>0</v>
      </c>
      <c r="F30" s="16">
        <f t="shared" ca="1" si="18"/>
        <v>0</v>
      </c>
      <c r="G30" s="15">
        <v>0</v>
      </c>
      <c r="H30" s="16">
        <f t="shared" ca="1" si="19"/>
        <v>0</v>
      </c>
      <c r="I30" s="15">
        <v>0</v>
      </c>
      <c r="J30" s="16">
        <f t="shared" ca="1" si="20"/>
        <v>0</v>
      </c>
      <c r="K30" s="15">
        <v>0</v>
      </c>
      <c r="L30" s="16">
        <f t="shared" ca="1" si="21"/>
        <v>0</v>
      </c>
      <c r="M30" s="15">
        <v>0</v>
      </c>
      <c r="N30" s="16">
        <f t="shared" ca="1" si="22"/>
        <v>0</v>
      </c>
      <c r="O30" s="15">
        <v>0</v>
      </c>
      <c r="P30" s="16">
        <f t="shared" ca="1" si="23"/>
        <v>0</v>
      </c>
      <c r="Q30" s="17">
        <f t="shared" ca="1" si="16"/>
        <v>0</v>
      </c>
      <c r="T30" s="22" t="s">
        <v>23</v>
      </c>
      <c r="U30" s="15">
        <v>0</v>
      </c>
      <c r="V30" s="16">
        <f t="shared" ca="1" si="24"/>
        <v>0</v>
      </c>
      <c r="W30" s="15">
        <v>0</v>
      </c>
      <c r="X30" s="16">
        <f t="shared" ca="1" si="25"/>
        <v>0</v>
      </c>
      <c r="Y30" s="15">
        <v>0</v>
      </c>
      <c r="Z30" s="16">
        <f t="shared" ca="1" si="26"/>
        <v>0</v>
      </c>
      <c r="AA30" s="15">
        <v>0</v>
      </c>
      <c r="AB30" s="16">
        <f t="shared" ca="1" si="27"/>
        <v>0</v>
      </c>
      <c r="AC30" s="15">
        <v>0</v>
      </c>
      <c r="AD30" s="16">
        <f t="shared" ca="1" si="28"/>
        <v>0</v>
      </c>
      <c r="AE30" s="15">
        <v>0</v>
      </c>
      <c r="AF30" s="16">
        <f t="shared" ca="1" si="29"/>
        <v>0</v>
      </c>
      <c r="AG30" s="15">
        <v>0</v>
      </c>
      <c r="AH30" s="16">
        <f t="shared" ca="1" si="30"/>
        <v>0</v>
      </c>
      <c r="AI30" s="17">
        <f t="shared" ca="1" si="31"/>
        <v>0</v>
      </c>
      <c r="AL30" s="47" t="s">
        <v>23</v>
      </c>
      <c r="AM30" s="40">
        <v>0</v>
      </c>
      <c r="AN30" s="41">
        <f t="shared" ca="1" si="32"/>
        <v>0</v>
      </c>
      <c r="AO30" s="40">
        <v>0</v>
      </c>
      <c r="AP30" s="41">
        <f t="shared" ca="1" si="33"/>
        <v>0</v>
      </c>
      <c r="AQ30" s="40">
        <v>0</v>
      </c>
      <c r="AR30" s="41">
        <f t="shared" ca="1" si="34"/>
        <v>0</v>
      </c>
      <c r="AS30" s="40">
        <v>0</v>
      </c>
      <c r="AT30" s="41">
        <f t="shared" ca="1" si="35"/>
        <v>0</v>
      </c>
      <c r="AU30" s="40">
        <v>0</v>
      </c>
      <c r="AV30" s="41">
        <f t="shared" ca="1" si="36"/>
        <v>0</v>
      </c>
      <c r="AW30" s="40">
        <v>0</v>
      </c>
      <c r="AX30" s="41">
        <f t="shared" ca="1" si="37"/>
        <v>0</v>
      </c>
      <c r="AY30" s="40">
        <v>0</v>
      </c>
      <c r="AZ30" s="41">
        <f t="shared" ca="1" si="38"/>
        <v>0</v>
      </c>
      <c r="BA30" s="42">
        <f t="shared" ca="1" si="39"/>
        <v>0</v>
      </c>
      <c r="BC30" s="47" t="s">
        <v>23</v>
      </c>
      <c r="BD30" s="40">
        <v>0</v>
      </c>
      <c r="BE30" s="41">
        <f t="shared" ca="1" si="40"/>
        <v>0</v>
      </c>
      <c r="BF30" s="40">
        <v>0</v>
      </c>
      <c r="BG30" s="41">
        <f t="shared" ca="1" si="41"/>
        <v>0</v>
      </c>
      <c r="BH30" s="40">
        <v>0</v>
      </c>
      <c r="BI30" s="41">
        <f t="shared" ca="1" si="42"/>
        <v>0</v>
      </c>
      <c r="BJ30" s="40">
        <v>0</v>
      </c>
      <c r="BK30" s="41">
        <f t="shared" ca="1" si="43"/>
        <v>0</v>
      </c>
      <c r="BL30" s="40">
        <v>0</v>
      </c>
      <c r="BM30" s="41">
        <f t="shared" ca="1" si="44"/>
        <v>0</v>
      </c>
      <c r="BN30" s="40">
        <v>0</v>
      </c>
      <c r="BO30" s="41">
        <f t="shared" ca="1" si="45"/>
        <v>0</v>
      </c>
      <c r="BP30" s="40">
        <v>0</v>
      </c>
      <c r="BQ30" s="41">
        <f t="shared" ca="1" si="46"/>
        <v>0</v>
      </c>
      <c r="BR30" s="42">
        <f t="shared" ca="1" si="47"/>
        <v>0</v>
      </c>
    </row>
    <row r="31" spans="2:70" s="13" customFormat="1" x14ac:dyDescent="0.3">
      <c r="B31" s="23" t="s">
        <v>24</v>
      </c>
      <c r="C31" s="24">
        <v>0</v>
      </c>
      <c r="D31" s="25">
        <f t="shared" ca="1" si="17"/>
        <v>0</v>
      </c>
      <c r="E31" s="24">
        <v>0</v>
      </c>
      <c r="F31" s="25">
        <f t="shared" ca="1" si="18"/>
        <v>0</v>
      </c>
      <c r="G31" s="24">
        <v>0</v>
      </c>
      <c r="H31" s="25">
        <f t="shared" ca="1" si="19"/>
        <v>0</v>
      </c>
      <c r="I31" s="24">
        <v>0</v>
      </c>
      <c r="J31" s="25">
        <f t="shared" ca="1" si="20"/>
        <v>0</v>
      </c>
      <c r="K31" s="24">
        <v>0</v>
      </c>
      <c r="L31" s="25">
        <f t="shared" ca="1" si="21"/>
        <v>0</v>
      </c>
      <c r="M31" s="24">
        <v>0</v>
      </c>
      <c r="N31" s="25">
        <f t="shared" ca="1" si="22"/>
        <v>0</v>
      </c>
      <c r="O31" s="24">
        <v>0</v>
      </c>
      <c r="P31" s="25">
        <f t="shared" ca="1" si="23"/>
        <v>0</v>
      </c>
      <c r="Q31" s="26">
        <f t="shared" ca="1" si="16"/>
        <v>0</v>
      </c>
      <c r="T31" s="23" t="s">
        <v>24</v>
      </c>
      <c r="U31" s="24">
        <v>0</v>
      </c>
      <c r="V31" s="25">
        <f t="shared" ca="1" si="24"/>
        <v>0</v>
      </c>
      <c r="W31" s="24">
        <v>0</v>
      </c>
      <c r="X31" s="25">
        <f t="shared" ca="1" si="25"/>
        <v>0</v>
      </c>
      <c r="Y31" s="24">
        <v>0</v>
      </c>
      <c r="Z31" s="25">
        <f t="shared" ca="1" si="26"/>
        <v>0</v>
      </c>
      <c r="AA31" s="24">
        <v>0</v>
      </c>
      <c r="AB31" s="25">
        <f t="shared" ca="1" si="27"/>
        <v>0</v>
      </c>
      <c r="AC31" s="24">
        <v>0</v>
      </c>
      <c r="AD31" s="25">
        <f t="shared" ca="1" si="28"/>
        <v>0</v>
      </c>
      <c r="AE31" s="24">
        <v>0</v>
      </c>
      <c r="AF31" s="25">
        <f t="shared" ca="1" si="29"/>
        <v>0</v>
      </c>
      <c r="AG31" s="24">
        <v>0</v>
      </c>
      <c r="AH31" s="25">
        <f t="shared" ca="1" si="30"/>
        <v>0</v>
      </c>
      <c r="AI31" s="26">
        <f t="shared" ca="1" si="31"/>
        <v>0</v>
      </c>
      <c r="AL31" s="48" t="s">
        <v>24</v>
      </c>
      <c r="AM31" s="49">
        <v>0</v>
      </c>
      <c r="AN31" s="50">
        <f t="shared" ca="1" si="32"/>
        <v>0</v>
      </c>
      <c r="AO31" s="49">
        <v>0</v>
      </c>
      <c r="AP31" s="50">
        <f t="shared" ca="1" si="33"/>
        <v>0</v>
      </c>
      <c r="AQ31" s="49">
        <v>0</v>
      </c>
      <c r="AR31" s="50">
        <f t="shared" ca="1" si="34"/>
        <v>0</v>
      </c>
      <c r="AS31" s="49">
        <v>0</v>
      </c>
      <c r="AT31" s="50">
        <f t="shared" ca="1" si="35"/>
        <v>0</v>
      </c>
      <c r="AU31" s="49">
        <v>0</v>
      </c>
      <c r="AV31" s="50">
        <f t="shared" ca="1" si="36"/>
        <v>0</v>
      </c>
      <c r="AW31" s="49">
        <v>0</v>
      </c>
      <c r="AX31" s="50">
        <f t="shared" ca="1" si="37"/>
        <v>0</v>
      </c>
      <c r="AY31" s="49">
        <v>0</v>
      </c>
      <c r="AZ31" s="50">
        <f t="shared" ca="1" si="38"/>
        <v>0</v>
      </c>
      <c r="BA31" s="51">
        <f t="shared" ca="1" si="39"/>
        <v>0</v>
      </c>
      <c r="BC31" s="48" t="s">
        <v>24</v>
      </c>
      <c r="BD31" s="49">
        <v>0</v>
      </c>
      <c r="BE31" s="50">
        <f t="shared" ca="1" si="40"/>
        <v>0</v>
      </c>
      <c r="BF31" s="49">
        <v>0</v>
      </c>
      <c r="BG31" s="50">
        <f t="shared" ca="1" si="41"/>
        <v>0</v>
      </c>
      <c r="BH31" s="49">
        <v>0</v>
      </c>
      <c r="BI31" s="50">
        <f t="shared" ca="1" si="42"/>
        <v>0</v>
      </c>
      <c r="BJ31" s="49">
        <v>0</v>
      </c>
      <c r="BK31" s="50">
        <f t="shared" ca="1" si="43"/>
        <v>0</v>
      </c>
      <c r="BL31" s="49">
        <v>0</v>
      </c>
      <c r="BM31" s="50">
        <f t="shared" ca="1" si="44"/>
        <v>0</v>
      </c>
      <c r="BN31" s="49">
        <v>0</v>
      </c>
      <c r="BO31" s="50">
        <f t="shared" ca="1" si="45"/>
        <v>0</v>
      </c>
      <c r="BP31" s="49">
        <v>0</v>
      </c>
      <c r="BQ31" s="50">
        <f t="shared" ca="1" si="46"/>
        <v>0</v>
      </c>
      <c r="BR31" s="51">
        <f t="shared" ca="1" si="47"/>
        <v>0</v>
      </c>
    </row>
    <row r="32" spans="2:70" x14ac:dyDescent="0.4">
      <c r="B32" s="27" t="s">
        <v>25</v>
      </c>
      <c r="C32" s="28">
        <f ca="1">SUM(C24:C31)</f>
        <v>930</v>
      </c>
      <c r="D32" s="29">
        <f t="shared" ca="1" si="17"/>
        <v>1</v>
      </c>
      <c r="E32" s="28">
        <f ca="1">SUM(E24:E31)</f>
        <v>1433</v>
      </c>
      <c r="F32" s="30">
        <f t="shared" ca="1" si="18"/>
        <v>1</v>
      </c>
      <c r="G32" s="28">
        <f ca="1">SUM(G24:G31)</f>
        <v>291</v>
      </c>
      <c r="H32" s="29">
        <f t="shared" ca="1" si="19"/>
        <v>1</v>
      </c>
      <c r="I32" s="28">
        <f ca="1">SUM(I24:I31)</f>
        <v>422</v>
      </c>
      <c r="J32" s="29">
        <f t="shared" ca="1" si="20"/>
        <v>1</v>
      </c>
      <c r="K32" s="28">
        <f ca="1">SUM(K24:K31)</f>
        <v>53</v>
      </c>
      <c r="L32" s="29">
        <f t="shared" ca="1" si="21"/>
        <v>1</v>
      </c>
      <c r="M32" s="28">
        <f ca="1">SUM(M24:M31)</f>
        <v>128</v>
      </c>
      <c r="N32" s="29">
        <f t="shared" ca="1" si="22"/>
        <v>1</v>
      </c>
      <c r="O32" s="28">
        <f ca="1">SUM(O24:O31)</f>
        <v>39</v>
      </c>
      <c r="P32" s="29">
        <f t="shared" ca="1" si="23"/>
        <v>1</v>
      </c>
      <c r="Q32" s="31">
        <f t="shared" ca="1" si="16"/>
        <v>3296</v>
      </c>
      <c r="T32" s="27" t="s">
        <v>25</v>
      </c>
      <c r="U32" s="28">
        <f ca="1">SUM(U24:U31)</f>
        <v>128651978</v>
      </c>
      <c r="V32" s="29">
        <f t="shared" ca="1" si="24"/>
        <v>1</v>
      </c>
      <c r="W32" s="28">
        <f ca="1">SUM(W24:W31)</f>
        <v>245926166</v>
      </c>
      <c r="X32" s="30">
        <f t="shared" ca="1" si="25"/>
        <v>1</v>
      </c>
      <c r="Y32" s="28">
        <f ca="1">SUM(Y24:Y31)</f>
        <v>92728517</v>
      </c>
      <c r="Z32" s="29">
        <f t="shared" ca="1" si="26"/>
        <v>1</v>
      </c>
      <c r="AA32" s="28">
        <f ca="1">SUM(AA24:AA31)</f>
        <v>146791208</v>
      </c>
      <c r="AB32" s="29">
        <f t="shared" ca="1" si="27"/>
        <v>1</v>
      </c>
      <c r="AC32" s="28">
        <f ca="1">SUM(AC24:AC31)</f>
        <v>1508854</v>
      </c>
      <c r="AD32" s="29">
        <f t="shared" ca="1" si="28"/>
        <v>1</v>
      </c>
      <c r="AE32" s="28">
        <f ca="1">SUM(AE24:AE31)</f>
        <v>5809607</v>
      </c>
      <c r="AF32" s="29">
        <f t="shared" ca="1" si="29"/>
        <v>1</v>
      </c>
      <c r="AG32" s="28">
        <f ca="1">SUM(AG24:AG31)</f>
        <v>12408948</v>
      </c>
      <c r="AH32" s="29">
        <f t="shared" ca="1" si="30"/>
        <v>1</v>
      </c>
      <c r="AI32" s="31">
        <f t="shared" ca="1" si="31"/>
        <v>633825278</v>
      </c>
      <c r="AL32" s="52" t="s">
        <v>25</v>
      </c>
      <c r="AM32" s="53">
        <f ca="1">SUM(AM24:AM31)</f>
        <v>930</v>
      </c>
      <c r="AN32" s="54">
        <f t="shared" ca="1" si="32"/>
        <v>1</v>
      </c>
      <c r="AO32" s="53">
        <f ca="1">SUM(AO24:AO31)</f>
        <v>1433</v>
      </c>
      <c r="AP32" s="55">
        <f t="shared" ca="1" si="33"/>
        <v>1</v>
      </c>
      <c r="AQ32" s="53">
        <f ca="1">SUM(AQ24:AQ31)</f>
        <v>291</v>
      </c>
      <c r="AR32" s="54">
        <f t="shared" ca="1" si="34"/>
        <v>1</v>
      </c>
      <c r="AS32" s="53">
        <f ca="1">SUM(AS24:AS31)</f>
        <v>422</v>
      </c>
      <c r="AT32" s="54">
        <f t="shared" ca="1" si="35"/>
        <v>1</v>
      </c>
      <c r="AU32" s="53">
        <f ca="1">SUM(AU24:AU31)</f>
        <v>53</v>
      </c>
      <c r="AV32" s="54">
        <f t="shared" ca="1" si="36"/>
        <v>1</v>
      </c>
      <c r="AW32" s="53">
        <f ca="1">SUM(AW24:AW31)</f>
        <v>128</v>
      </c>
      <c r="AX32" s="54">
        <f t="shared" ca="1" si="37"/>
        <v>1</v>
      </c>
      <c r="AY32" s="53">
        <f ca="1">SUM(AY24:AY31)</f>
        <v>39</v>
      </c>
      <c r="AZ32" s="54">
        <f t="shared" ca="1" si="38"/>
        <v>1</v>
      </c>
      <c r="BA32" s="56">
        <f t="shared" ca="1" si="39"/>
        <v>3296</v>
      </c>
      <c r="BC32" s="52" t="s">
        <v>25</v>
      </c>
      <c r="BD32" s="53">
        <f ca="1">SUM(BD24:BD31)</f>
        <v>128651978</v>
      </c>
      <c r="BE32" s="54">
        <f t="shared" ca="1" si="40"/>
        <v>1</v>
      </c>
      <c r="BF32" s="53">
        <f ca="1">SUM(BF24:BF31)</f>
        <v>245926166</v>
      </c>
      <c r="BG32" s="55">
        <f t="shared" ca="1" si="41"/>
        <v>1</v>
      </c>
      <c r="BH32" s="53">
        <f ca="1">SUM(BH24:BH31)</f>
        <v>92728517</v>
      </c>
      <c r="BI32" s="54">
        <f t="shared" ca="1" si="42"/>
        <v>1</v>
      </c>
      <c r="BJ32" s="53">
        <f ca="1">SUM(BJ24:BJ31)</f>
        <v>146791208</v>
      </c>
      <c r="BK32" s="54">
        <f t="shared" ca="1" si="43"/>
        <v>1</v>
      </c>
      <c r="BL32" s="53">
        <f ca="1">SUM(BL24:BL31)</f>
        <v>1508854</v>
      </c>
      <c r="BM32" s="54">
        <f t="shared" ca="1" si="44"/>
        <v>1</v>
      </c>
      <c r="BN32" s="53">
        <f ca="1">SUM(BN24:BN31)</f>
        <v>5809607</v>
      </c>
      <c r="BO32" s="54">
        <f t="shared" ca="1" si="45"/>
        <v>1</v>
      </c>
      <c r="BP32" s="53">
        <f ca="1">SUM(BP24:BP31)</f>
        <v>12408948</v>
      </c>
      <c r="BQ32" s="54">
        <f t="shared" ca="1" si="46"/>
        <v>1</v>
      </c>
      <c r="BR32" s="56">
        <f t="shared" ca="1" si="47"/>
        <v>633825278</v>
      </c>
    </row>
    <row r="33" spans="2:70" x14ac:dyDescent="0.4">
      <c r="B33" s="32" t="s">
        <v>26</v>
      </c>
      <c r="C33" s="33">
        <f ca="1">C32/$Q$32</f>
        <v>0.2821601941747573</v>
      </c>
      <c r="D33" s="33"/>
      <c r="E33" s="33">
        <f ca="1">E32/$Q$32</f>
        <v>0.43476941747572817</v>
      </c>
      <c r="F33" s="33"/>
      <c r="G33" s="33">
        <f ca="1">G32/$Q$32</f>
        <v>8.8288834951456313E-2</v>
      </c>
      <c r="H33" s="33"/>
      <c r="I33" s="33">
        <f ca="1">I32/$Q$32</f>
        <v>0.12803398058252427</v>
      </c>
      <c r="J33" s="33"/>
      <c r="K33" s="33">
        <f ca="1">K32/$Q$32</f>
        <v>1.6080097087378641E-2</v>
      </c>
      <c r="L33" s="33"/>
      <c r="M33" s="33">
        <f ca="1">M32/$Q$32</f>
        <v>3.8834951456310676E-2</v>
      </c>
      <c r="N33" s="33"/>
      <c r="O33" s="33">
        <f ca="1">O32/$Q$32</f>
        <v>1.183252427184466E-2</v>
      </c>
      <c r="P33" s="33"/>
      <c r="Q33" s="34">
        <f ca="1">Q32/$Q$32</f>
        <v>1</v>
      </c>
      <c r="T33" s="32" t="s">
        <v>26</v>
      </c>
      <c r="U33" s="33">
        <f ca="1">U32/$AI$32</f>
        <v>0.20297703872896025</v>
      </c>
      <c r="V33" s="33"/>
      <c r="W33" s="33">
        <f ca="1">W32/$AI$32</f>
        <v>0.38800308939398281</v>
      </c>
      <c r="X33" s="33"/>
      <c r="Y33" s="33">
        <f ca="1">Y32/$AI$32</f>
        <v>0.14629980882523275</v>
      </c>
      <c r="Z33" s="33"/>
      <c r="AA33" s="33">
        <f ca="1">AA32/$AI$32</f>
        <v>0.23159569852308731</v>
      </c>
      <c r="AB33" s="33"/>
      <c r="AC33" s="33">
        <f ca="1">AC32/$AI$32</f>
        <v>2.3805519476299587E-3</v>
      </c>
      <c r="AD33" s="33"/>
      <c r="AE33" s="33">
        <f ca="1">AE32/$AI$32</f>
        <v>9.1659439937957169E-3</v>
      </c>
      <c r="AF33" s="33"/>
      <c r="AG33" s="33">
        <f ca="1">AG32/$AI$32</f>
        <v>1.9577868587311219E-2</v>
      </c>
      <c r="AH33" s="33"/>
      <c r="AI33" s="34">
        <f ca="1">AI32/$AI$32</f>
        <v>1</v>
      </c>
      <c r="AL33" s="57" t="s">
        <v>26</v>
      </c>
      <c r="AM33" s="58">
        <f ca="1">AM32/$BA$32</f>
        <v>0.2821601941747573</v>
      </c>
      <c r="AN33" s="58"/>
      <c r="AO33" s="58">
        <f ca="1">AO32/$BA$32</f>
        <v>0.43476941747572817</v>
      </c>
      <c r="AP33" s="58"/>
      <c r="AQ33" s="58">
        <f ca="1">AQ32/$BA$32</f>
        <v>8.8288834951456313E-2</v>
      </c>
      <c r="AR33" s="58"/>
      <c r="AS33" s="58">
        <f ca="1">AS32/$BA$32</f>
        <v>0.12803398058252427</v>
      </c>
      <c r="AT33" s="58"/>
      <c r="AU33" s="58">
        <f ca="1">AU32/$BA$32</f>
        <v>1.6080097087378641E-2</v>
      </c>
      <c r="AV33" s="58"/>
      <c r="AW33" s="58">
        <f ca="1">AW32/$BA$32</f>
        <v>3.8834951456310676E-2</v>
      </c>
      <c r="AX33" s="58"/>
      <c r="AY33" s="58">
        <f ca="1">AY32/$BA$32</f>
        <v>1.183252427184466E-2</v>
      </c>
      <c r="AZ33" s="58"/>
      <c r="BA33" s="59">
        <f ca="1">BA32/$BA$32</f>
        <v>1</v>
      </c>
      <c r="BC33" s="57" t="s">
        <v>26</v>
      </c>
      <c r="BD33" s="58">
        <f ca="1">BD32/$BR$32</f>
        <v>0.20297703872896025</v>
      </c>
      <c r="BE33" s="58"/>
      <c r="BF33" s="58">
        <f ca="1">BF32/$BR$32</f>
        <v>0.38800308939398281</v>
      </c>
      <c r="BG33" s="58"/>
      <c r="BH33" s="58">
        <f ca="1">BH32/$BR$32</f>
        <v>0.14629980882523275</v>
      </c>
      <c r="BI33" s="58"/>
      <c r="BJ33" s="58">
        <f ca="1">BJ32/$BR$32</f>
        <v>0.23159569852308731</v>
      </c>
      <c r="BK33" s="58"/>
      <c r="BL33" s="58">
        <f ca="1">BL32/$BR$32</f>
        <v>2.3805519476299587E-3</v>
      </c>
      <c r="BM33" s="58"/>
      <c r="BN33" s="58">
        <f ca="1">BN32/$BR$32</f>
        <v>9.1659439937957169E-3</v>
      </c>
      <c r="BO33" s="58"/>
      <c r="BP33" s="58">
        <f ca="1">BP32/$BR$32</f>
        <v>1.9577868587311219E-2</v>
      </c>
      <c r="BQ33" s="58"/>
      <c r="BR33" s="59">
        <f ca="1">BR32/$BR$32</f>
        <v>1</v>
      </c>
    </row>
    <row r="35" spans="2:70" x14ac:dyDescent="0.4">
      <c r="B35" s="4" t="s">
        <v>29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T35" s="4" t="s">
        <v>29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2:70" x14ac:dyDescent="0.4">
      <c r="B36" s="5"/>
      <c r="C36" s="6" t="s">
        <v>3</v>
      </c>
      <c r="D36" s="6"/>
      <c r="E36" s="6" t="s">
        <v>4</v>
      </c>
      <c r="F36" s="6"/>
      <c r="G36" s="6" t="s">
        <v>5</v>
      </c>
      <c r="H36" s="6"/>
      <c r="I36" s="6" t="s">
        <v>6</v>
      </c>
      <c r="J36" s="6"/>
      <c r="K36" s="6" t="s">
        <v>7</v>
      </c>
      <c r="L36" s="6"/>
      <c r="M36" s="6" t="s">
        <v>8</v>
      </c>
      <c r="N36" s="6"/>
      <c r="O36" s="6" t="s">
        <v>9</v>
      </c>
      <c r="P36" s="6"/>
      <c r="Q36" s="7" t="s">
        <v>10</v>
      </c>
      <c r="T36" s="5"/>
      <c r="U36" s="6" t="s">
        <v>3</v>
      </c>
      <c r="V36" s="6"/>
      <c r="W36" s="6" t="s">
        <v>4</v>
      </c>
      <c r="X36" s="6"/>
      <c r="Y36" s="6" t="s">
        <v>5</v>
      </c>
      <c r="Z36" s="6"/>
      <c r="AA36" s="6" t="s">
        <v>6</v>
      </c>
      <c r="AB36" s="6"/>
      <c r="AC36" s="6" t="s">
        <v>7</v>
      </c>
      <c r="AD36" s="6"/>
      <c r="AE36" s="6" t="s">
        <v>8</v>
      </c>
      <c r="AF36" s="6"/>
      <c r="AG36" s="6" t="s">
        <v>9</v>
      </c>
      <c r="AH36" s="6"/>
      <c r="AI36" s="7" t="s">
        <v>10</v>
      </c>
    </row>
    <row r="37" spans="2:70" x14ac:dyDescent="0.4">
      <c r="B37" s="8" t="s">
        <v>11</v>
      </c>
      <c r="C37" s="8" t="s">
        <v>12</v>
      </c>
      <c r="D37" s="8" t="s">
        <v>13</v>
      </c>
      <c r="E37" s="8" t="s">
        <v>12</v>
      </c>
      <c r="F37" s="8" t="s">
        <v>13</v>
      </c>
      <c r="G37" s="8" t="s">
        <v>12</v>
      </c>
      <c r="H37" s="8" t="s">
        <v>13</v>
      </c>
      <c r="I37" s="8" t="s">
        <v>12</v>
      </c>
      <c r="J37" s="8" t="s">
        <v>13</v>
      </c>
      <c r="K37" s="8" t="s">
        <v>12</v>
      </c>
      <c r="L37" s="8" t="s">
        <v>13</v>
      </c>
      <c r="M37" s="8" t="s">
        <v>12</v>
      </c>
      <c r="N37" s="8" t="s">
        <v>13</v>
      </c>
      <c r="O37" s="8" t="s">
        <v>12</v>
      </c>
      <c r="P37" s="8" t="s">
        <v>13</v>
      </c>
      <c r="Q37" s="7"/>
      <c r="T37" s="8" t="s">
        <v>11</v>
      </c>
      <c r="U37" s="8" t="s">
        <v>14</v>
      </c>
      <c r="V37" s="8" t="s">
        <v>13</v>
      </c>
      <c r="W37" s="8" t="s">
        <v>14</v>
      </c>
      <c r="X37" s="8" t="s">
        <v>13</v>
      </c>
      <c r="Y37" s="8" t="s">
        <v>14</v>
      </c>
      <c r="Z37" s="8" t="s">
        <v>13</v>
      </c>
      <c r="AA37" s="8" t="s">
        <v>14</v>
      </c>
      <c r="AB37" s="8" t="s">
        <v>13</v>
      </c>
      <c r="AC37" s="8" t="s">
        <v>14</v>
      </c>
      <c r="AD37" s="8" t="s">
        <v>13</v>
      </c>
      <c r="AE37" s="8" t="s">
        <v>14</v>
      </c>
      <c r="AF37" s="8" t="s">
        <v>13</v>
      </c>
      <c r="AG37" s="8" t="s">
        <v>14</v>
      </c>
      <c r="AH37" s="8" t="s">
        <v>13</v>
      </c>
      <c r="AI37" s="7"/>
    </row>
    <row r="38" spans="2:70" s="13" customFormat="1" x14ac:dyDescent="0.3">
      <c r="B38" s="9" t="s">
        <v>15</v>
      </c>
      <c r="C38" s="10">
        <v>132</v>
      </c>
      <c r="D38" s="11">
        <f ca="1">C38/C$48</f>
        <v>0.35967302452316074</v>
      </c>
      <c r="E38" s="10">
        <v>241</v>
      </c>
      <c r="F38" s="11">
        <f ca="1">E38/E$48</f>
        <v>0.45557655954631382</v>
      </c>
      <c r="G38" s="10">
        <v>70</v>
      </c>
      <c r="H38" s="11">
        <f ca="1">G38/G$48</f>
        <v>0.55555555555555558</v>
      </c>
      <c r="I38" s="10">
        <v>139</v>
      </c>
      <c r="J38" s="11">
        <f ca="1">I38/I$48</f>
        <v>0.90259740259740262</v>
      </c>
      <c r="K38" s="10">
        <v>2</v>
      </c>
      <c r="L38" s="11">
        <f ca="1">K38/K$48</f>
        <v>0.25</v>
      </c>
      <c r="M38" s="10">
        <v>14</v>
      </c>
      <c r="N38" s="11">
        <f ca="1">M38/M$48</f>
        <v>0.2153846153846154</v>
      </c>
      <c r="O38" s="10">
        <v>4</v>
      </c>
      <c r="P38" s="11">
        <f ca="1">IFERROR(O38/O$48,0)</f>
        <v>0.14814814814814814</v>
      </c>
      <c r="Q38" s="12">
        <f t="shared" ref="Q38:Q48" ca="1" si="48">SUM(C38,G38,I38,K38,M38,O38,E38)</f>
        <v>602</v>
      </c>
      <c r="T38" s="9" t="s">
        <v>15</v>
      </c>
      <c r="U38" s="10">
        <v>19265934</v>
      </c>
      <c r="V38" s="11">
        <f ca="1">U38/U$48</f>
        <v>0.44719274177650326</v>
      </c>
      <c r="W38" s="10">
        <v>52869417</v>
      </c>
      <c r="X38" s="11">
        <f ca="1">W38/W$48</f>
        <v>0.56178433470432043</v>
      </c>
      <c r="Y38" s="10">
        <v>19859993</v>
      </c>
      <c r="Z38" s="11">
        <f ca="1">Y38/Y$48</f>
        <v>0.8038532594095692</v>
      </c>
      <c r="AA38" s="10">
        <v>36039904</v>
      </c>
      <c r="AB38" s="11">
        <f ca="1">AA38/AA$48</f>
        <v>0.97054373079996692</v>
      </c>
      <c r="AC38" s="10">
        <v>50000</v>
      </c>
      <c r="AD38" s="11">
        <f ca="1">AC38/AC$48</f>
        <v>0.1914513158448938</v>
      </c>
      <c r="AE38" s="10">
        <v>592510</v>
      </c>
      <c r="AF38" s="11">
        <f ca="1">AE38/AE$48</f>
        <v>0.2129814017354546</v>
      </c>
      <c r="AG38" s="10">
        <v>3595967</v>
      </c>
      <c r="AH38" s="11">
        <f ca="1">IFERROR(AG38/AG$48,0)</f>
        <v>0.39873138829874527</v>
      </c>
      <c r="AI38" s="12">
        <f ca="1">SUM(U38,Y38,AA38,AC38,AE38,AG38,W38)</f>
        <v>132273725</v>
      </c>
    </row>
    <row r="39" spans="2:70" s="13" customFormat="1" x14ac:dyDescent="0.3">
      <c r="B39" s="14" t="s">
        <v>16</v>
      </c>
      <c r="C39" s="15">
        <v>125</v>
      </c>
      <c r="D39" s="16">
        <f ca="1">C39/C$48</f>
        <v>0.34059945504087191</v>
      </c>
      <c r="E39" s="15">
        <v>154</v>
      </c>
      <c r="F39" s="16">
        <f ca="1">E39/E$48</f>
        <v>0.29111531190926276</v>
      </c>
      <c r="G39" s="15">
        <v>24</v>
      </c>
      <c r="H39" s="16">
        <f ca="1">G39/G$48</f>
        <v>0.19047619047619047</v>
      </c>
      <c r="I39" s="15">
        <v>7</v>
      </c>
      <c r="J39" s="16">
        <f ca="1">I39/I$48</f>
        <v>4.5454545454545456E-2</v>
      </c>
      <c r="K39" s="15">
        <v>5</v>
      </c>
      <c r="L39" s="16">
        <f ca="1">K39/K$48</f>
        <v>0.625</v>
      </c>
      <c r="M39" s="15">
        <v>19</v>
      </c>
      <c r="N39" s="16">
        <f ca="1">M39/M$48</f>
        <v>0.29230769230769232</v>
      </c>
      <c r="O39" s="15">
        <v>10</v>
      </c>
      <c r="P39" s="16">
        <f ca="1">IFERROR(O39/O$48,0)</f>
        <v>0.37037037037037035</v>
      </c>
      <c r="Q39" s="17">
        <f t="shared" ca="1" si="48"/>
        <v>344</v>
      </c>
      <c r="T39" s="14" t="s">
        <v>16</v>
      </c>
      <c r="U39" s="15">
        <v>15798669</v>
      </c>
      <c r="V39" s="16">
        <f ca="1">U39/U$48</f>
        <v>0.36671204762403148</v>
      </c>
      <c r="W39" s="15">
        <v>26591261</v>
      </c>
      <c r="X39" s="16">
        <f ca="1">W39/W$48</f>
        <v>0.28255567618296118</v>
      </c>
      <c r="Y39" s="15">
        <v>1741000</v>
      </c>
      <c r="Z39" s="16">
        <f ca="1">Y39/Y$48</f>
        <v>7.0468732019797781E-2</v>
      </c>
      <c r="AA39" s="15">
        <v>715000</v>
      </c>
      <c r="AB39" s="16">
        <f ca="1">AA39/AA$48</f>
        <v>1.9254734072598426E-2</v>
      </c>
      <c r="AC39" s="15">
        <v>121163</v>
      </c>
      <c r="AD39" s="16">
        <f ca="1">AC39/AC$48</f>
        <v>0.46393631563429738</v>
      </c>
      <c r="AE39" s="15">
        <v>601000</v>
      </c>
      <c r="AF39" s="16">
        <f ca="1">AE39/AE$48</f>
        <v>0.21603318499773544</v>
      </c>
      <c r="AG39" s="15">
        <v>1541146</v>
      </c>
      <c r="AH39" s="16">
        <f ca="1">IFERROR(AG39/AG$48,0)</f>
        <v>0.17088679739025917</v>
      </c>
      <c r="AI39" s="17">
        <f ca="1">SUM(U39,Y39,AA39,AC39,AE39,AG39,W39)</f>
        <v>47109239</v>
      </c>
    </row>
    <row r="40" spans="2:70" s="13" customFormat="1" x14ac:dyDescent="0.3">
      <c r="B40" s="18" t="s">
        <v>17</v>
      </c>
      <c r="C40" s="19">
        <f ca="1">+SUM(C38:C39)</f>
        <v>257</v>
      </c>
      <c r="D40" s="20">
        <f ca="1">+C40/$C$48</f>
        <v>0.70027247956403271</v>
      </c>
      <c r="E40" s="19">
        <f ca="1">+SUM(E38:E39)</f>
        <v>395</v>
      </c>
      <c r="F40" s="20">
        <f ca="1">+E40/$E$48</f>
        <v>0.74669187145557658</v>
      </c>
      <c r="G40" s="19">
        <f ca="1">+SUM(G38:G39)</f>
        <v>94</v>
      </c>
      <c r="H40" s="20">
        <f ca="1">+G40/$G$48</f>
        <v>0.74603174603174605</v>
      </c>
      <c r="I40" s="19">
        <f ca="1">+SUM(I38:I39)</f>
        <v>146</v>
      </c>
      <c r="J40" s="20">
        <f ca="1">+I40/$I$48</f>
        <v>0.94805194805194803</v>
      </c>
      <c r="K40" s="19">
        <f ca="1">+SUM(K38:K39)</f>
        <v>7</v>
      </c>
      <c r="L40" s="20">
        <f ca="1">+K40/$K$48</f>
        <v>0.875</v>
      </c>
      <c r="M40" s="19">
        <f ca="1">+SUM(M38:M39)</f>
        <v>33</v>
      </c>
      <c r="N40" s="20">
        <f ca="1">+M40/$M$48</f>
        <v>0.50769230769230766</v>
      </c>
      <c r="O40" s="19">
        <f ca="1">+SUM(O38:O39)</f>
        <v>14</v>
      </c>
      <c r="P40" s="20">
        <f ca="1">+O40/$O$48</f>
        <v>0.51851851851851849</v>
      </c>
      <c r="Q40" s="21">
        <f ca="1">+SUM(Q38:Q39)</f>
        <v>946</v>
      </c>
      <c r="T40" s="18" t="s">
        <v>17</v>
      </c>
      <c r="U40" s="19">
        <f ca="1">+SUM(U38:U39)</f>
        <v>35064603</v>
      </c>
      <c r="V40" s="20">
        <f ca="1">U40/U$48</f>
        <v>0.81390478940053479</v>
      </c>
      <c r="W40" s="19">
        <f ca="1">+SUM(W38:W39)</f>
        <v>79460678</v>
      </c>
      <c r="X40" s="20">
        <f ca="1">W40/W$48</f>
        <v>0.84434001088728161</v>
      </c>
      <c r="Y40" s="19">
        <f ca="1">+SUM(Y38:Y39)</f>
        <v>21600993</v>
      </c>
      <c r="Z40" s="20">
        <f ca="1">Y40/Y$48</f>
        <v>0.87432199142936695</v>
      </c>
      <c r="AA40" s="19">
        <f ca="1">+SUM(AA38:AA39)</f>
        <v>36754904</v>
      </c>
      <c r="AB40" s="20">
        <f ca="1">AA40/AA$48</f>
        <v>0.98979846487256529</v>
      </c>
      <c r="AC40" s="19">
        <f ca="1">+SUM(AC38:AC39)</f>
        <v>171163</v>
      </c>
      <c r="AD40" s="20">
        <f ca="1">AC40/AC$48</f>
        <v>0.6553876314791911</v>
      </c>
      <c r="AE40" s="19">
        <f ca="1">+SUM(AE38:AE39)</f>
        <v>1193510</v>
      </c>
      <c r="AF40" s="20">
        <f ca="1">AE40/AE$48</f>
        <v>0.42901458673319004</v>
      </c>
      <c r="AG40" s="19">
        <f ca="1">+SUM(AG38:AG39)</f>
        <v>5137113</v>
      </c>
      <c r="AH40" s="20">
        <f ca="1">IFERROR(AG40/AG$48,0)</f>
        <v>0.56961818568900435</v>
      </c>
      <c r="AI40" s="21">
        <f ca="1">+SUM(AI38:AI39)</f>
        <v>179382964</v>
      </c>
    </row>
    <row r="41" spans="2:70" s="13" customFormat="1" x14ac:dyDescent="0.3">
      <c r="B41" s="22" t="s">
        <v>18</v>
      </c>
      <c r="C41" s="15">
        <v>38</v>
      </c>
      <c r="D41" s="16">
        <f t="shared" ref="D41:D48" ca="1" si="49">C41/C$48</f>
        <v>0.10354223433242507</v>
      </c>
      <c r="E41" s="15">
        <v>42</v>
      </c>
      <c r="F41" s="16">
        <f t="shared" ref="F41:F48" ca="1" si="50">E41/E$48</f>
        <v>7.9395085066162566E-2</v>
      </c>
      <c r="G41" s="15">
        <v>32</v>
      </c>
      <c r="H41" s="16">
        <f t="shared" ref="H41:H48" ca="1" si="51">G41/G$48</f>
        <v>0.25396825396825395</v>
      </c>
      <c r="I41" s="15">
        <v>2</v>
      </c>
      <c r="J41" s="16">
        <f t="shared" ref="J41:J48" ca="1" si="52">I41/I$48</f>
        <v>1.2987012987012988E-2</v>
      </c>
      <c r="K41" s="15">
        <v>0</v>
      </c>
      <c r="L41" s="16">
        <f t="shared" ref="L41:L48" ca="1" si="53">K41/K$48</f>
        <v>0</v>
      </c>
      <c r="M41" s="15">
        <v>7</v>
      </c>
      <c r="N41" s="16">
        <f t="shared" ref="N41:N48" ca="1" si="54">M41/M$48</f>
        <v>0.1076923076923077</v>
      </c>
      <c r="O41" s="15">
        <v>11</v>
      </c>
      <c r="P41" s="16">
        <f t="shared" ref="P41:P48" ca="1" si="55">IFERROR(O41/O$48,0)</f>
        <v>0.40740740740740738</v>
      </c>
      <c r="Q41" s="17">
        <f t="shared" ca="1" si="48"/>
        <v>132</v>
      </c>
      <c r="T41" s="22" t="s">
        <v>18</v>
      </c>
      <c r="U41" s="15">
        <v>3195568</v>
      </c>
      <c r="V41" s="16">
        <f t="shared" ref="V41:V48" ca="1" si="56">U41/U$48</f>
        <v>7.417417787547996E-2</v>
      </c>
      <c r="W41" s="15">
        <v>4823232</v>
      </c>
      <c r="X41" s="16">
        <f t="shared" ref="X41:X48" ca="1" si="57">W41/W$48</f>
        <v>5.1251107615667271E-2</v>
      </c>
      <c r="Y41" s="15">
        <v>3105000</v>
      </c>
      <c r="Z41" s="16">
        <f t="shared" ref="Z41:Z48" ca="1" si="58">Y41/Y$48</f>
        <v>0.12567800857063305</v>
      </c>
      <c r="AA41" s="15">
        <v>170000</v>
      </c>
      <c r="AB41" s="16">
        <f t="shared" ref="AB41:AB48" ca="1" si="59">AA41/AA$48</f>
        <v>4.5780486606178073E-3</v>
      </c>
      <c r="AC41" s="15">
        <v>0</v>
      </c>
      <c r="AD41" s="16">
        <f t="shared" ref="AD41:AD48" ca="1" si="60">AC41/AC$48</f>
        <v>0</v>
      </c>
      <c r="AE41" s="15">
        <v>393710</v>
      </c>
      <c r="AF41" s="16">
        <f t="shared" ref="AF41:AF48" ca="1" si="61">AE41/AE$48</f>
        <v>0.14152150626532181</v>
      </c>
      <c r="AG41" s="15">
        <v>2947290</v>
      </c>
      <c r="AH41" s="16">
        <f t="shared" ref="AH41:AH48" ca="1" si="62">IFERROR(AG41/AG$48,0)</f>
        <v>0.32680417629500186</v>
      </c>
      <c r="AI41" s="17">
        <f t="shared" ref="AI41:AI48" ca="1" si="63">SUM(U41,Y41,AA41,AC41,AE41,AG41,W41)</f>
        <v>14634800</v>
      </c>
    </row>
    <row r="42" spans="2:70" s="13" customFormat="1" x14ac:dyDescent="0.3">
      <c r="B42" s="22" t="s">
        <v>19</v>
      </c>
      <c r="C42" s="15">
        <v>18</v>
      </c>
      <c r="D42" s="16">
        <f t="shared" ca="1" si="49"/>
        <v>4.9046321525885561E-2</v>
      </c>
      <c r="E42" s="15">
        <v>30</v>
      </c>
      <c r="F42" s="16">
        <f t="shared" ca="1" si="50"/>
        <v>5.6710775047258979E-2</v>
      </c>
      <c r="G42" s="15">
        <v>0</v>
      </c>
      <c r="H42" s="16">
        <f t="shared" ca="1" si="51"/>
        <v>0</v>
      </c>
      <c r="I42" s="15">
        <v>0</v>
      </c>
      <c r="J42" s="16">
        <f t="shared" ca="1" si="52"/>
        <v>0</v>
      </c>
      <c r="K42" s="15">
        <v>0</v>
      </c>
      <c r="L42" s="16">
        <f t="shared" ca="1" si="53"/>
        <v>0</v>
      </c>
      <c r="M42" s="15">
        <v>8</v>
      </c>
      <c r="N42" s="16">
        <f t="shared" ca="1" si="54"/>
        <v>0.12307692307692308</v>
      </c>
      <c r="O42" s="15">
        <v>2</v>
      </c>
      <c r="P42" s="16">
        <f t="shared" ca="1" si="55"/>
        <v>7.407407407407407E-2</v>
      </c>
      <c r="Q42" s="17">
        <f t="shared" ca="1" si="48"/>
        <v>58</v>
      </c>
      <c r="T42" s="22" t="s">
        <v>19</v>
      </c>
      <c r="U42" s="15">
        <v>1708346</v>
      </c>
      <c r="V42" s="16">
        <f t="shared" ca="1" si="56"/>
        <v>3.9653407493398567E-2</v>
      </c>
      <c r="W42" s="15">
        <v>3611118</v>
      </c>
      <c r="X42" s="16">
        <f t="shared" ca="1" si="57"/>
        <v>3.8371323882175512E-2</v>
      </c>
      <c r="Y42" s="15">
        <v>0</v>
      </c>
      <c r="Z42" s="16">
        <f t="shared" ca="1" si="58"/>
        <v>0</v>
      </c>
      <c r="AA42" s="15">
        <v>0</v>
      </c>
      <c r="AB42" s="16">
        <f t="shared" ca="1" si="59"/>
        <v>0</v>
      </c>
      <c r="AC42" s="15">
        <v>0</v>
      </c>
      <c r="AD42" s="16">
        <f t="shared" ca="1" si="60"/>
        <v>0</v>
      </c>
      <c r="AE42" s="15">
        <v>706080</v>
      </c>
      <c r="AF42" s="16">
        <f t="shared" ca="1" si="61"/>
        <v>0.25380484403194847</v>
      </c>
      <c r="AG42" s="15">
        <v>934117</v>
      </c>
      <c r="AH42" s="16">
        <f t="shared" ca="1" si="62"/>
        <v>0.10357763801599376</v>
      </c>
      <c r="AI42" s="17">
        <f t="shared" ca="1" si="63"/>
        <v>6959661</v>
      </c>
    </row>
    <row r="43" spans="2:70" s="13" customFormat="1" x14ac:dyDescent="0.3">
      <c r="B43" s="22" t="s">
        <v>20</v>
      </c>
      <c r="C43" s="15">
        <v>11</v>
      </c>
      <c r="D43" s="16">
        <f t="shared" ca="1" si="49"/>
        <v>2.9972752043596729E-2</v>
      </c>
      <c r="E43" s="15">
        <v>13</v>
      </c>
      <c r="F43" s="16">
        <f t="shared" ca="1" si="50"/>
        <v>2.4574669187145556E-2</v>
      </c>
      <c r="G43" s="15">
        <v>0</v>
      </c>
      <c r="H43" s="16">
        <f t="shared" ca="1" si="51"/>
        <v>0</v>
      </c>
      <c r="I43" s="15">
        <v>0</v>
      </c>
      <c r="J43" s="16">
        <f t="shared" ca="1" si="52"/>
        <v>0</v>
      </c>
      <c r="K43" s="15">
        <v>1</v>
      </c>
      <c r="L43" s="16">
        <f t="shared" ca="1" si="53"/>
        <v>0.125</v>
      </c>
      <c r="M43" s="15">
        <v>6</v>
      </c>
      <c r="N43" s="16">
        <f t="shared" ca="1" si="54"/>
        <v>9.2307692307692313E-2</v>
      </c>
      <c r="O43" s="15">
        <v>0</v>
      </c>
      <c r="P43" s="16">
        <f t="shared" ca="1" si="55"/>
        <v>0</v>
      </c>
      <c r="Q43" s="17">
        <f t="shared" ca="1" si="48"/>
        <v>31</v>
      </c>
      <c r="T43" s="22" t="s">
        <v>20</v>
      </c>
      <c r="U43" s="15">
        <v>367201</v>
      </c>
      <c r="V43" s="16">
        <f t="shared" ca="1" si="56"/>
        <v>8.5233148817531381E-3</v>
      </c>
      <c r="W43" s="15">
        <v>853208</v>
      </c>
      <c r="X43" s="16">
        <f t="shared" ca="1" si="57"/>
        <v>9.06608992197519E-3</v>
      </c>
      <c r="Y43" s="15">
        <v>0</v>
      </c>
      <c r="Z43" s="16">
        <f t="shared" ca="1" si="58"/>
        <v>0</v>
      </c>
      <c r="AA43" s="15">
        <v>0</v>
      </c>
      <c r="AB43" s="16">
        <f t="shared" ca="1" si="59"/>
        <v>0</v>
      </c>
      <c r="AC43" s="15">
        <v>90000</v>
      </c>
      <c r="AD43" s="16">
        <f t="shared" ca="1" si="60"/>
        <v>0.34461236852080884</v>
      </c>
      <c r="AE43" s="15">
        <v>93850</v>
      </c>
      <c r="AF43" s="16">
        <f t="shared" ca="1" si="61"/>
        <v>3.3734965743822745E-2</v>
      </c>
      <c r="AG43" s="15">
        <v>0</v>
      </c>
      <c r="AH43" s="16">
        <f t="shared" ca="1" si="62"/>
        <v>0</v>
      </c>
      <c r="AI43" s="17">
        <f t="shared" ca="1" si="63"/>
        <v>1404259</v>
      </c>
    </row>
    <row r="44" spans="2:70" s="13" customFormat="1" x14ac:dyDescent="0.3">
      <c r="B44" s="22" t="s">
        <v>21</v>
      </c>
      <c r="C44" s="15">
        <v>8</v>
      </c>
      <c r="D44" s="16">
        <f t="shared" ca="1" si="49"/>
        <v>2.1798365122615803E-2</v>
      </c>
      <c r="E44" s="15">
        <v>9</v>
      </c>
      <c r="F44" s="16">
        <f t="shared" ca="1" si="50"/>
        <v>1.7013232514177693E-2</v>
      </c>
      <c r="G44" s="15">
        <v>0</v>
      </c>
      <c r="H44" s="16">
        <f t="shared" ca="1" si="51"/>
        <v>0</v>
      </c>
      <c r="I44" s="15">
        <v>0</v>
      </c>
      <c r="J44" s="16">
        <f t="shared" ca="1" si="52"/>
        <v>0</v>
      </c>
      <c r="K44" s="15">
        <v>0</v>
      </c>
      <c r="L44" s="16">
        <f t="shared" ca="1" si="53"/>
        <v>0</v>
      </c>
      <c r="M44" s="15">
        <v>1</v>
      </c>
      <c r="N44" s="16">
        <f t="shared" ca="1" si="54"/>
        <v>1.5384615384615385E-2</v>
      </c>
      <c r="O44" s="15">
        <v>0</v>
      </c>
      <c r="P44" s="16">
        <f t="shared" ca="1" si="55"/>
        <v>0</v>
      </c>
      <c r="Q44" s="17">
        <f t="shared" ca="1" si="48"/>
        <v>18</v>
      </c>
      <c r="T44" s="22" t="s">
        <v>21</v>
      </c>
      <c r="U44" s="15">
        <v>352319</v>
      </c>
      <c r="V44" s="16">
        <f t="shared" ca="1" si="56"/>
        <v>8.177880168693398E-3</v>
      </c>
      <c r="W44" s="15">
        <v>1118049</v>
      </c>
      <c r="X44" s="16">
        <f t="shared" ca="1" si="57"/>
        <v>1.1880259879389832E-2</v>
      </c>
      <c r="Y44" s="15">
        <v>0</v>
      </c>
      <c r="Z44" s="16">
        <f t="shared" ca="1" si="58"/>
        <v>0</v>
      </c>
      <c r="AA44" s="15">
        <v>0</v>
      </c>
      <c r="AB44" s="16">
        <f t="shared" ca="1" si="59"/>
        <v>0</v>
      </c>
      <c r="AC44" s="15">
        <v>0</v>
      </c>
      <c r="AD44" s="16">
        <f t="shared" ca="1" si="60"/>
        <v>0</v>
      </c>
      <c r="AE44" s="15">
        <v>35000</v>
      </c>
      <c r="AF44" s="16">
        <f t="shared" ca="1" si="61"/>
        <v>1.2580967512347321E-2</v>
      </c>
      <c r="AG44" s="15">
        <v>0</v>
      </c>
      <c r="AH44" s="16">
        <f t="shared" ca="1" si="62"/>
        <v>0</v>
      </c>
      <c r="AI44" s="17">
        <f t="shared" ca="1" si="63"/>
        <v>1505368</v>
      </c>
    </row>
    <row r="45" spans="2:70" s="13" customFormat="1" x14ac:dyDescent="0.3">
      <c r="B45" s="22" t="s">
        <v>22</v>
      </c>
      <c r="C45" s="15">
        <v>6</v>
      </c>
      <c r="D45" s="16">
        <f t="shared" ca="1" si="49"/>
        <v>1.6348773841961851E-2</v>
      </c>
      <c r="E45" s="15">
        <v>6</v>
      </c>
      <c r="F45" s="16">
        <f t="shared" ca="1" si="50"/>
        <v>1.1342155009451797E-2</v>
      </c>
      <c r="G45" s="15">
        <v>0</v>
      </c>
      <c r="H45" s="16">
        <f t="shared" ca="1" si="51"/>
        <v>0</v>
      </c>
      <c r="I45" s="15">
        <v>0</v>
      </c>
      <c r="J45" s="16">
        <f t="shared" ca="1" si="52"/>
        <v>0</v>
      </c>
      <c r="K45" s="15">
        <v>0</v>
      </c>
      <c r="L45" s="16">
        <f t="shared" ca="1" si="53"/>
        <v>0</v>
      </c>
      <c r="M45" s="15">
        <v>4</v>
      </c>
      <c r="N45" s="16">
        <f t="shared" ca="1" si="54"/>
        <v>6.1538461538461542E-2</v>
      </c>
      <c r="O45" s="15">
        <v>0</v>
      </c>
      <c r="P45" s="16">
        <f t="shared" ca="1" si="55"/>
        <v>0</v>
      </c>
      <c r="Q45" s="17">
        <f t="shared" ca="1" si="48"/>
        <v>16</v>
      </c>
      <c r="T45" s="22" t="s">
        <v>22</v>
      </c>
      <c r="U45" s="15">
        <v>491216</v>
      </c>
      <c r="V45" s="16">
        <f t="shared" ca="1" si="56"/>
        <v>1.1401898804619949E-2</v>
      </c>
      <c r="W45" s="15">
        <v>569073</v>
      </c>
      <c r="X45" s="16">
        <f t="shared" ca="1" si="57"/>
        <v>6.0469041431493696E-3</v>
      </c>
      <c r="Y45" s="15">
        <v>0</v>
      </c>
      <c r="Z45" s="16">
        <f t="shared" ca="1" si="58"/>
        <v>0</v>
      </c>
      <c r="AA45" s="15">
        <v>0</v>
      </c>
      <c r="AB45" s="16">
        <f t="shared" ca="1" si="59"/>
        <v>0</v>
      </c>
      <c r="AC45" s="15">
        <v>0</v>
      </c>
      <c r="AD45" s="16">
        <f t="shared" ca="1" si="60"/>
        <v>0</v>
      </c>
      <c r="AE45" s="15">
        <v>42630</v>
      </c>
      <c r="AF45" s="16">
        <f t="shared" ca="1" si="61"/>
        <v>1.5323618430039036E-2</v>
      </c>
      <c r="AG45" s="15">
        <v>0</v>
      </c>
      <c r="AH45" s="16">
        <f t="shared" ca="1" si="62"/>
        <v>0</v>
      </c>
      <c r="AI45" s="17">
        <f t="shared" ca="1" si="63"/>
        <v>1102919</v>
      </c>
    </row>
    <row r="46" spans="2:70" s="13" customFormat="1" x14ac:dyDescent="0.3">
      <c r="B46" s="22" t="s">
        <v>23</v>
      </c>
      <c r="C46" s="15">
        <v>4</v>
      </c>
      <c r="D46" s="16">
        <f t="shared" ca="1" si="49"/>
        <v>1.0899182561307902E-2</v>
      </c>
      <c r="E46" s="15">
        <v>6</v>
      </c>
      <c r="F46" s="16">
        <f t="shared" ca="1" si="50"/>
        <v>1.1342155009451797E-2</v>
      </c>
      <c r="G46" s="15">
        <v>0</v>
      </c>
      <c r="H46" s="16">
        <f t="shared" ca="1" si="51"/>
        <v>0</v>
      </c>
      <c r="I46" s="15">
        <v>0</v>
      </c>
      <c r="J46" s="16">
        <f t="shared" ca="1" si="52"/>
        <v>0</v>
      </c>
      <c r="K46" s="15">
        <v>0</v>
      </c>
      <c r="L46" s="16">
        <f t="shared" ca="1" si="53"/>
        <v>0</v>
      </c>
      <c r="M46" s="15">
        <v>2</v>
      </c>
      <c r="N46" s="16">
        <f t="shared" ca="1" si="54"/>
        <v>3.0769230769230771E-2</v>
      </c>
      <c r="O46" s="15">
        <v>0</v>
      </c>
      <c r="P46" s="16">
        <f t="shared" ca="1" si="55"/>
        <v>0</v>
      </c>
      <c r="Q46" s="17">
        <f t="shared" ca="1" si="48"/>
        <v>12</v>
      </c>
      <c r="T46" s="22" t="s">
        <v>23</v>
      </c>
      <c r="U46" s="15">
        <v>266248</v>
      </c>
      <c r="V46" s="16">
        <f t="shared" ca="1" si="56"/>
        <v>6.1800363850779538E-3</v>
      </c>
      <c r="W46" s="15">
        <v>1428136</v>
      </c>
      <c r="X46" s="16">
        <f t="shared" ca="1" si="57"/>
        <v>1.517520862065283E-2</v>
      </c>
      <c r="Y46" s="15">
        <v>0</v>
      </c>
      <c r="Z46" s="16">
        <f t="shared" ca="1" si="58"/>
        <v>0</v>
      </c>
      <c r="AA46" s="15">
        <v>0</v>
      </c>
      <c r="AB46" s="16">
        <f t="shared" ca="1" si="59"/>
        <v>0</v>
      </c>
      <c r="AC46" s="15">
        <v>0</v>
      </c>
      <c r="AD46" s="16">
        <f t="shared" ca="1" si="60"/>
        <v>0</v>
      </c>
      <c r="AE46" s="15">
        <v>199000</v>
      </c>
      <c r="AF46" s="16">
        <f t="shared" ca="1" si="61"/>
        <v>7.1531786713060486E-2</v>
      </c>
      <c r="AG46" s="15">
        <v>0</v>
      </c>
      <c r="AH46" s="16">
        <f t="shared" ca="1" si="62"/>
        <v>0</v>
      </c>
      <c r="AI46" s="17">
        <f t="shared" ca="1" si="63"/>
        <v>1893384</v>
      </c>
    </row>
    <row r="47" spans="2:70" s="13" customFormat="1" x14ac:dyDescent="0.3">
      <c r="B47" s="23" t="s">
        <v>24</v>
      </c>
      <c r="C47" s="24">
        <v>25</v>
      </c>
      <c r="D47" s="25">
        <f t="shared" ca="1" si="49"/>
        <v>6.8119891008174394E-2</v>
      </c>
      <c r="E47" s="24">
        <v>28</v>
      </c>
      <c r="F47" s="25">
        <f t="shared" ca="1" si="50"/>
        <v>5.2930056710775046E-2</v>
      </c>
      <c r="G47" s="24">
        <v>0</v>
      </c>
      <c r="H47" s="25">
        <f t="shared" ca="1" si="51"/>
        <v>0</v>
      </c>
      <c r="I47" s="24">
        <v>6</v>
      </c>
      <c r="J47" s="25">
        <f t="shared" ca="1" si="52"/>
        <v>3.896103896103896E-2</v>
      </c>
      <c r="K47" s="24">
        <v>0</v>
      </c>
      <c r="L47" s="25">
        <f t="shared" ca="1" si="53"/>
        <v>0</v>
      </c>
      <c r="M47" s="24">
        <v>4</v>
      </c>
      <c r="N47" s="25">
        <f t="shared" ca="1" si="54"/>
        <v>6.1538461538461542E-2</v>
      </c>
      <c r="O47" s="24">
        <v>0</v>
      </c>
      <c r="P47" s="25">
        <f t="shared" ca="1" si="55"/>
        <v>0</v>
      </c>
      <c r="Q47" s="26">
        <f t="shared" ca="1" si="48"/>
        <v>63</v>
      </c>
      <c r="T47" s="23" t="s">
        <v>24</v>
      </c>
      <c r="U47" s="24">
        <v>1636446</v>
      </c>
      <c r="V47" s="25">
        <f t="shared" ca="1" si="56"/>
        <v>3.7984494990442284E-2</v>
      </c>
      <c r="W47" s="24">
        <v>2246316</v>
      </c>
      <c r="X47" s="25">
        <f t="shared" ca="1" si="57"/>
        <v>2.3869095049708421E-2</v>
      </c>
      <c r="Y47" s="24">
        <v>0</v>
      </c>
      <c r="Z47" s="25">
        <f t="shared" ca="1" si="58"/>
        <v>0</v>
      </c>
      <c r="AA47" s="24">
        <v>208821</v>
      </c>
      <c r="AB47" s="25">
        <f t="shared" ca="1" si="59"/>
        <v>5.6234864668168894E-3</v>
      </c>
      <c r="AC47" s="24">
        <v>0</v>
      </c>
      <c r="AD47" s="25">
        <f t="shared" ca="1" si="60"/>
        <v>0</v>
      </c>
      <c r="AE47" s="24">
        <v>118200</v>
      </c>
      <c r="AF47" s="25">
        <f t="shared" ca="1" si="61"/>
        <v>4.2487724570270093E-2</v>
      </c>
      <c r="AG47" s="24">
        <v>0</v>
      </c>
      <c r="AH47" s="25">
        <f t="shared" ca="1" si="62"/>
        <v>0</v>
      </c>
      <c r="AI47" s="26">
        <f t="shared" ca="1" si="63"/>
        <v>4209783</v>
      </c>
    </row>
    <row r="48" spans="2:70" x14ac:dyDescent="0.4">
      <c r="B48" s="27" t="s">
        <v>25</v>
      </c>
      <c r="C48" s="28">
        <f ca="1">SUM(C40:C47)</f>
        <v>367</v>
      </c>
      <c r="D48" s="29">
        <f t="shared" ca="1" si="49"/>
        <v>1</v>
      </c>
      <c r="E48" s="28">
        <f ca="1">SUM(E40:E47)</f>
        <v>529</v>
      </c>
      <c r="F48" s="30">
        <f t="shared" ca="1" si="50"/>
        <v>1</v>
      </c>
      <c r="G48" s="28">
        <f ca="1">SUM(G40:G47)</f>
        <v>126</v>
      </c>
      <c r="H48" s="29">
        <f t="shared" ca="1" si="51"/>
        <v>1</v>
      </c>
      <c r="I48" s="28">
        <f ca="1">SUM(I40:I47)</f>
        <v>154</v>
      </c>
      <c r="J48" s="29">
        <f t="shared" ca="1" si="52"/>
        <v>1</v>
      </c>
      <c r="K48" s="28">
        <f ca="1">SUM(K40:K47)</f>
        <v>8</v>
      </c>
      <c r="L48" s="29">
        <f t="shared" ca="1" si="53"/>
        <v>1</v>
      </c>
      <c r="M48" s="28">
        <f ca="1">SUM(M40:M47)</f>
        <v>65</v>
      </c>
      <c r="N48" s="29">
        <f t="shared" ca="1" si="54"/>
        <v>1</v>
      </c>
      <c r="O48" s="28">
        <f ca="1">SUM(O40:O47)</f>
        <v>27</v>
      </c>
      <c r="P48" s="29">
        <f t="shared" ca="1" si="55"/>
        <v>1</v>
      </c>
      <c r="Q48" s="31">
        <f t="shared" ca="1" si="48"/>
        <v>1276</v>
      </c>
      <c r="T48" s="27" t="s">
        <v>25</v>
      </c>
      <c r="U48" s="28">
        <f ca="1">SUM(U40:U47)</f>
        <v>43081947</v>
      </c>
      <c r="V48" s="29">
        <f t="shared" ca="1" si="56"/>
        <v>1</v>
      </c>
      <c r="W48" s="28">
        <f ca="1">SUM(W40:W47)</f>
        <v>94109810</v>
      </c>
      <c r="X48" s="30">
        <f t="shared" ca="1" si="57"/>
        <v>1</v>
      </c>
      <c r="Y48" s="28">
        <f ca="1">SUM(Y40:Y47)</f>
        <v>24705993</v>
      </c>
      <c r="Z48" s="29">
        <f t="shared" ca="1" si="58"/>
        <v>1</v>
      </c>
      <c r="AA48" s="28">
        <f ca="1">SUM(AA40:AA47)</f>
        <v>37133725</v>
      </c>
      <c r="AB48" s="29">
        <f t="shared" ca="1" si="59"/>
        <v>1</v>
      </c>
      <c r="AC48" s="28">
        <f ca="1">SUM(AC40:AC47)</f>
        <v>261163</v>
      </c>
      <c r="AD48" s="29">
        <f t="shared" ca="1" si="60"/>
        <v>1</v>
      </c>
      <c r="AE48" s="28">
        <f ca="1">SUM(AE40:AE47)</f>
        <v>2781980</v>
      </c>
      <c r="AF48" s="29">
        <f t="shared" ca="1" si="61"/>
        <v>1</v>
      </c>
      <c r="AG48" s="28">
        <f ca="1">SUM(AG40:AG47)</f>
        <v>9018520</v>
      </c>
      <c r="AH48" s="29">
        <f t="shared" ca="1" si="62"/>
        <v>1</v>
      </c>
      <c r="AI48" s="31">
        <f t="shared" ca="1" si="63"/>
        <v>211093138</v>
      </c>
    </row>
    <row r="49" spans="2:35" x14ac:dyDescent="0.4">
      <c r="B49" s="32" t="s">
        <v>26</v>
      </c>
      <c r="C49" s="33">
        <f ca="1">C48/$Q$48</f>
        <v>0.28761755485893414</v>
      </c>
      <c r="D49" s="33"/>
      <c r="E49" s="33">
        <f ca="1">E48/$Q$48</f>
        <v>0.41457680250783702</v>
      </c>
      <c r="F49" s="33"/>
      <c r="G49" s="33">
        <f ca="1">G48/$Q$48</f>
        <v>9.8746081504702196E-2</v>
      </c>
      <c r="H49" s="33"/>
      <c r="I49" s="33">
        <f ca="1">I48/$Q$48</f>
        <v>0.1206896551724138</v>
      </c>
      <c r="J49" s="33"/>
      <c r="K49" s="33">
        <f ca="1">K48/$Q$48</f>
        <v>6.269592476489028E-3</v>
      </c>
      <c r="L49" s="33"/>
      <c r="M49" s="33">
        <f ca="1">M48/$Q$48</f>
        <v>5.0940438871473356E-2</v>
      </c>
      <c r="N49" s="33"/>
      <c r="O49" s="33">
        <f ca="1">O48/$Q$48</f>
        <v>2.115987460815047E-2</v>
      </c>
      <c r="P49" s="33"/>
      <c r="Q49" s="34">
        <f ca="1">Q48/$Q$48</f>
        <v>1</v>
      </c>
      <c r="T49" s="32" t="s">
        <v>26</v>
      </c>
      <c r="U49" s="33">
        <f ca="1">U48/$AI$48</f>
        <v>0.20408975586880518</v>
      </c>
      <c r="V49" s="33"/>
      <c r="W49" s="33">
        <f ca="1">W48/$AI$48</f>
        <v>0.44582126587174992</v>
      </c>
      <c r="X49" s="33"/>
      <c r="Y49" s="33">
        <f ca="1">Y48/$AI$48</f>
        <v>0.11703835204723709</v>
      </c>
      <c r="Z49" s="33"/>
      <c r="AA49" s="33">
        <f ca="1">AA48/$AI$48</f>
        <v>0.17591156847552289</v>
      </c>
      <c r="AB49" s="33"/>
      <c r="AC49" s="33">
        <f ca="1">AC48/$AI$48</f>
        <v>1.2371932241587124E-3</v>
      </c>
      <c r="AD49" s="33"/>
      <c r="AE49" s="33">
        <f ca="1">AE48/$AI$48</f>
        <v>1.3178921997928706E-2</v>
      </c>
      <c r="AF49" s="33"/>
      <c r="AG49" s="33">
        <f ca="1">AG48/$AI$48</f>
        <v>4.2722942514597517E-2</v>
      </c>
      <c r="AH49" s="33"/>
      <c r="AI49" s="34">
        <f ca="1">AI48/$AI$48</f>
        <v>1</v>
      </c>
    </row>
    <row r="51" spans="2:35" x14ac:dyDescent="0.4">
      <c r="E51" s="2" t="s">
        <v>30</v>
      </c>
      <c r="F51" s="2"/>
      <c r="G51" s="2"/>
      <c r="H51" s="2"/>
      <c r="I51" s="2"/>
      <c r="J51" s="2"/>
      <c r="K51" s="2"/>
      <c r="L51" s="2"/>
      <c r="M51" s="2"/>
      <c r="N51" s="2"/>
      <c r="W51" s="2" t="s">
        <v>30</v>
      </c>
      <c r="X51" s="2"/>
      <c r="Y51" s="2"/>
      <c r="Z51" s="2"/>
      <c r="AA51" s="2"/>
      <c r="AB51" s="2"/>
      <c r="AC51" s="2"/>
      <c r="AD51" s="2"/>
      <c r="AE51" s="2"/>
      <c r="AF51" s="2"/>
    </row>
    <row r="52" spans="2:35" x14ac:dyDescent="0.4">
      <c r="E52" s="3"/>
      <c r="F52" s="3"/>
      <c r="G52" s="3"/>
      <c r="H52" s="3"/>
      <c r="I52" s="3"/>
      <c r="J52" s="3"/>
      <c r="K52" s="3"/>
      <c r="L52" s="3"/>
      <c r="M52" s="3"/>
      <c r="N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2:35" x14ac:dyDescent="0.4">
      <c r="B53" s="4" t="s">
        <v>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T53" s="4" t="s">
        <v>2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2:35" x14ac:dyDescent="0.4">
      <c r="B54" s="5"/>
      <c r="C54" s="6" t="s">
        <v>3</v>
      </c>
      <c r="D54" s="6"/>
      <c r="E54" s="6" t="s">
        <v>4</v>
      </c>
      <c r="F54" s="6"/>
      <c r="G54" s="6" t="s">
        <v>5</v>
      </c>
      <c r="H54" s="6"/>
      <c r="I54" s="6" t="s">
        <v>6</v>
      </c>
      <c r="J54" s="6"/>
      <c r="K54" s="6" t="s">
        <v>7</v>
      </c>
      <c r="L54" s="6"/>
      <c r="M54" s="6" t="s">
        <v>8</v>
      </c>
      <c r="N54" s="6"/>
      <c r="O54" s="6" t="s">
        <v>9</v>
      </c>
      <c r="P54" s="6"/>
      <c r="Q54" s="7" t="s">
        <v>10</v>
      </c>
      <c r="T54" s="5"/>
      <c r="U54" s="6" t="s">
        <v>3</v>
      </c>
      <c r="V54" s="6"/>
      <c r="W54" s="6" t="s">
        <v>4</v>
      </c>
      <c r="X54" s="6"/>
      <c r="Y54" s="6" t="s">
        <v>5</v>
      </c>
      <c r="Z54" s="6"/>
      <c r="AA54" s="6" t="s">
        <v>6</v>
      </c>
      <c r="AB54" s="6"/>
      <c r="AC54" s="6" t="s">
        <v>7</v>
      </c>
      <c r="AD54" s="6"/>
      <c r="AE54" s="6" t="s">
        <v>8</v>
      </c>
      <c r="AF54" s="6"/>
      <c r="AG54" s="6" t="s">
        <v>9</v>
      </c>
      <c r="AH54" s="6"/>
      <c r="AI54" s="7" t="s">
        <v>10</v>
      </c>
    </row>
    <row r="55" spans="2:35" x14ac:dyDescent="0.4">
      <c r="B55" s="8" t="s">
        <v>11</v>
      </c>
      <c r="C55" s="8" t="s">
        <v>12</v>
      </c>
      <c r="D55" s="8" t="s">
        <v>13</v>
      </c>
      <c r="E55" s="8" t="s">
        <v>12</v>
      </c>
      <c r="F55" s="8" t="s">
        <v>13</v>
      </c>
      <c r="G55" s="8" t="s">
        <v>12</v>
      </c>
      <c r="H55" s="8" t="s">
        <v>13</v>
      </c>
      <c r="I55" s="8" t="s">
        <v>12</v>
      </c>
      <c r="J55" s="8" t="s">
        <v>13</v>
      </c>
      <c r="K55" s="8" t="s">
        <v>12</v>
      </c>
      <c r="L55" s="8" t="s">
        <v>13</v>
      </c>
      <c r="M55" s="8" t="s">
        <v>12</v>
      </c>
      <c r="N55" s="8" t="s">
        <v>13</v>
      </c>
      <c r="O55" s="8" t="s">
        <v>12</v>
      </c>
      <c r="P55" s="8" t="s">
        <v>13</v>
      </c>
      <c r="Q55" s="7"/>
      <c r="T55" s="8" t="s">
        <v>11</v>
      </c>
      <c r="U55" s="8" t="s">
        <v>14</v>
      </c>
      <c r="V55" s="8" t="s">
        <v>13</v>
      </c>
      <c r="W55" s="8" t="s">
        <v>14</v>
      </c>
      <c r="X55" s="8" t="s">
        <v>13</v>
      </c>
      <c r="Y55" s="8" t="s">
        <v>14</v>
      </c>
      <c r="Z55" s="8" t="s">
        <v>13</v>
      </c>
      <c r="AA55" s="8" t="s">
        <v>14</v>
      </c>
      <c r="AB55" s="8" t="s">
        <v>13</v>
      </c>
      <c r="AC55" s="8" t="s">
        <v>14</v>
      </c>
      <c r="AD55" s="8" t="s">
        <v>13</v>
      </c>
      <c r="AE55" s="8" t="s">
        <v>14</v>
      </c>
      <c r="AF55" s="8" t="s">
        <v>13</v>
      </c>
      <c r="AG55" s="8" t="s">
        <v>14</v>
      </c>
      <c r="AH55" s="8" t="s">
        <v>13</v>
      </c>
      <c r="AI55" s="7"/>
    </row>
    <row r="56" spans="2:35" s="13" customFormat="1" x14ac:dyDescent="0.3">
      <c r="B56" s="9" t="s">
        <v>15</v>
      </c>
      <c r="C56" s="10">
        <v>8600</v>
      </c>
      <c r="D56" s="11">
        <f ca="1">C56/C$66</f>
        <v>0.30796777081468218</v>
      </c>
      <c r="E56" s="10">
        <v>13694</v>
      </c>
      <c r="F56" s="11">
        <f ca="1">E56/E$66</f>
        <v>0.37160456975387368</v>
      </c>
      <c r="G56" s="10">
        <v>8354</v>
      </c>
      <c r="H56" s="11">
        <f ca="1">G56/G$66</f>
        <v>0.88159560996200925</v>
      </c>
      <c r="I56" s="10">
        <v>9031</v>
      </c>
      <c r="J56" s="11">
        <f ca="1">I56/I$66</f>
        <v>0.90237809752198239</v>
      </c>
      <c r="K56" s="10">
        <v>1768</v>
      </c>
      <c r="L56" s="11">
        <f ca="1">K56/K$66</f>
        <v>0.70047543581616478</v>
      </c>
      <c r="M56" s="10">
        <v>2892</v>
      </c>
      <c r="N56" s="11">
        <f ca="1">M56/M$66</f>
        <v>0.31572052401746725</v>
      </c>
      <c r="O56" s="10">
        <v>113</v>
      </c>
      <c r="P56" s="11">
        <f ca="1">O56/O$66</f>
        <v>0.18646864686468648</v>
      </c>
      <c r="Q56" s="12">
        <f t="shared" ref="Q56:Q66" ca="1" si="64">SUM(C56,G56,I56,K56,M56,O56,E56)</f>
        <v>44452</v>
      </c>
      <c r="T56" s="9" t="s">
        <v>15</v>
      </c>
      <c r="U56" s="10">
        <v>1544982072</v>
      </c>
      <c r="V56" s="11">
        <f ca="1">U56/U$66</f>
        <v>0.34783382300363691</v>
      </c>
      <c r="W56" s="10">
        <v>2318571554</v>
      </c>
      <c r="X56" s="11">
        <f ca="1">W56/W$66</f>
        <v>0.41578998604107964</v>
      </c>
      <c r="Y56" s="10">
        <v>3639080402</v>
      </c>
      <c r="Z56" s="11">
        <f ca="1">Y56/Y$66</f>
        <v>0.92420570986642447</v>
      </c>
      <c r="AA56" s="10">
        <v>1567353182</v>
      </c>
      <c r="AB56" s="11">
        <f ca="1">AA56/AA$66</f>
        <v>0.9464750619520822</v>
      </c>
      <c r="AC56" s="10">
        <v>102329715</v>
      </c>
      <c r="AD56" s="11">
        <f ca="1">AC56/AC$66</f>
        <v>0.7675371187887422</v>
      </c>
      <c r="AE56" s="10">
        <v>151375623</v>
      </c>
      <c r="AF56" s="11">
        <f ca="1">AE56/AE$66</f>
        <v>0.33773649927522548</v>
      </c>
      <c r="AG56" s="10">
        <v>43718182</v>
      </c>
      <c r="AH56" s="11">
        <f ca="1">AG56/AG$66</f>
        <v>0.23242187191609218</v>
      </c>
      <c r="AI56" s="12">
        <f ca="1">SUM(U56,Y56,AA56,AC56,AE56,AG56,W56)</f>
        <v>9367410730</v>
      </c>
    </row>
    <row r="57" spans="2:35" s="13" customFormat="1" x14ac:dyDescent="0.3">
      <c r="B57" s="14" t="s">
        <v>16</v>
      </c>
      <c r="C57" s="15">
        <v>9263</v>
      </c>
      <c r="D57" s="16">
        <f ca="1">C57/C$66</f>
        <v>0.33170993733213966</v>
      </c>
      <c r="E57" s="15">
        <v>11260</v>
      </c>
      <c r="F57" s="16">
        <f ca="1">E57/E$66</f>
        <v>0.30555480176928712</v>
      </c>
      <c r="G57" s="15">
        <v>686</v>
      </c>
      <c r="H57" s="16">
        <f ca="1">G57/G$66</f>
        <v>7.2393414943013934E-2</v>
      </c>
      <c r="I57" s="15">
        <v>319</v>
      </c>
      <c r="J57" s="16">
        <f ca="1">I57/I$66</f>
        <v>3.1874500399680254E-2</v>
      </c>
      <c r="K57" s="15">
        <v>459</v>
      </c>
      <c r="L57" s="16">
        <f ca="1">K57/K$66</f>
        <v>0.18185419968304278</v>
      </c>
      <c r="M57" s="15">
        <v>3201</v>
      </c>
      <c r="N57" s="16">
        <f ca="1">M57/M$66</f>
        <v>0.34945414847161571</v>
      </c>
      <c r="O57" s="15">
        <v>143</v>
      </c>
      <c r="P57" s="16">
        <f ca="1">O57/O$66</f>
        <v>0.23597359735973597</v>
      </c>
      <c r="Q57" s="17">
        <f t="shared" ca="1" si="64"/>
        <v>25331</v>
      </c>
      <c r="T57" s="14" t="s">
        <v>16</v>
      </c>
      <c r="U57" s="15">
        <v>1564363649</v>
      </c>
      <c r="V57" s="16">
        <f ca="1">U57/U$66</f>
        <v>0.35219734808650233</v>
      </c>
      <c r="W57" s="15">
        <v>1821602760</v>
      </c>
      <c r="X57" s="16">
        <f ca="1">W57/W$66</f>
        <v>0.32666845448272591</v>
      </c>
      <c r="Y57" s="15">
        <v>222753427</v>
      </c>
      <c r="Z57" s="16">
        <f ca="1">Y57/Y$66</f>
        <v>5.6571981485369162E-2</v>
      </c>
      <c r="AA57" s="15">
        <v>25116650</v>
      </c>
      <c r="AB57" s="16">
        <f ca="1">AA57/AA$66</f>
        <v>1.516715130819747E-2</v>
      </c>
      <c r="AC57" s="15">
        <v>20795982</v>
      </c>
      <c r="AD57" s="16">
        <f ca="1">AC57/AC$66</f>
        <v>0.15598292350039814</v>
      </c>
      <c r="AE57" s="15">
        <v>158163707</v>
      </c>
      <c r="AF57" s="16">
        <f ca="1">AE57/AE$66</f>
        <v>0.35288149872435193</v>
      </c>
      <c r="AG57" s="15">
        <v>46280213</v>
      </c>
      <c r="AH57" s="16">
        <f ca="1">AG57/AG$66</f>
        <v>0.24604256732668947</v>
      </c>
      <c r="AI57" s="17">
        <f ca="1">SUM(U57,Y57,AA57,AC57,AE57,AG57,W57)</f>
        <v>3859076388</v>
      </c>
    </row>
    <row r="58" spans="2:35" s="13" customFormat="1" x14ac:dyDescent="0.3">
      <c r="B58" s="18" t="s">
        <v>17</v>
      </c>
      <c r="C58" s="19">
        <f ca="1">+SUM(C56:C57)</f>
        <v>17863</v>
      </c>
      <c r="D58" s="20">
        <f ca="1">+C58/$C$66</f>
        <v>0.6396777081468219</v>
      </c>
      <c r="E58" s="19">
        <f ca="1">+SUM(E56:E57)</f>
        <v>24954</v>
      </c>
      <c r="F58" s="20">
        <f ca="1">+E58/$E$66</f>
        <v>0.67715937152316086</v>
      </c>
      <c r="G58" s="19">
        <f ca="1">+SUM(G56:G57)</f>
        <v>9040</v>
      </c>
      <c r="H58" s="20">
        <f ca="1">+G58/$G$66</f>
        <v>0.95398902490502324</v>
      </c>
      <c r="I58" s="19">
        <f ca="1">+SUM(I56:I57)</f>
        <v>9350</v>
      </c>
      <c r="J58" s="20">
        <f ca="1">+I58/$I$66</f>
        <v>0.93425259792166271</v>
      </c>
      <c r="K58" s="19">
        <f ca="1">+SUM(K56:K57)</f>
        <v>2227</v>
      </c>
      <c r="L58" s="20">
        <f ca="1">+K58/$K$66</f>
        <v>0.88232963549920762</v>
      </c>
      <c r="M58" s="19">
        <f ca="1">+SUM(M56:M57)</f>
        <v>6093</v>
      </c>
      <c r="N58" s="20">
        <f ca="1">+M58/$M$66</f>
        <v>0.66517467248908302</v>
      </c>
      <c r="O58" s="19">
        <f ca="1">+SUM(O56:O57)</f>
        <v>256</v>
      </c>
      <c r="P58" s="20">
        <f ca="1">+O58/$O$66</f>
        <v>0.42244224422442245</v>
      </c>
      <c r="Q58" s="21">
        <f ca="1">+SUM(Q56:Q57)</f>
        <v>69783</v>
      </c>
      <c r="T58" s="18" t="s">
        <v>17</v>
      </c>
      <c r="U58" s="19">
        <f ca="1">+SUM(U56:U57)</f>
        <v>3109345721</v>
      </c>
      <c r="V58" s="20">
        <f ca="1">U58/U$66</f>
        <v>0.70003117109013924</v>
      </c>
      <c r="W58" s="19">
        <f ca="1">+SUM(W56:W57)</f>
        <v>4140174314</v>
      </c>
      <c r="X58" s="20">
        <f ca="1">W58/W$66</f>
        <v>0.7424584405238055</v>
      </c>
      <c r="Y58" s="19">
        <f ca="1">+SUM(Y56:Y57)</f>
        <v>3861833829</v>
      </c>
      <c r="Z58" s="20">
        <f ca="1">Y58/Y$66</f>
        <v>0.9807776913517936</v>
      </c>
      <c r="AA58" s="19">
        <f ca="1">+SUM(AA56:AA57)</f>
        <v>1592469832</v>
      </c>
      <c r="AB58" s="20">
        <f ca="1">AA58/AA$66</f>
        <v>0.96164221326027965</v>
      </c>
      <c r="AC58" s="19">
        <f ca="1">+SUM(AC56:AC57)</f>
        <v>123125697</v>
      </c>
      <c r="AD58" s="20">
        <f ca="1">AC58/AC$66</f>
        <v>0.92352004228914031</v>
      </c>
      <c r="AE58" s="19">
        <f ca="1">+SUM(AE56:AE57)</f>
        <v>309539330</v>
      </c>
      <c r="AF58" s="20">
        <f ca="1">AE58/AE$66</f>
        <v>0.69061799799957735</v>
      </c>
      <c r="AG58" s="19">
        <f ca="1">+SUM(AG56:AG57)</f>
        <v>89998395</v>
      </c>
      <c r="AH58" s="20">
        <f ca="1">AG58/AG$66</f>
        <v>0.47846443924278165</v>
      </c>
      <c r="AI58" s="21">
        <f ca="1">+SUM(AI56:AI57)</f>
        <v>13226487118</v>
      </c>
    </row>
    <row r="59" spans="2:35" s="13" customFormat="1" x14ac:dyDescent="0.3">
      <c r="B59" s="22" t="s">
        <v>18</v>
      </c>
      <c r="C59" s="15">
        <v>2921</v>
      </c>
      <c r="D59" s="16">
        <f t="shared" ref="D59:D66" ca="1" si="65">C59/C$66</f>
        <v>0.10460161145926589</v>
      </c>
      <c r="E59" s="15">
        <v>3174</v>
      </c>
      <c r="F59" s="16">
        <f t="shared" ref="F59:F66" ca="1" si="66">E59/E$66</f>
        <v>8.613063417546335E-2</v>
      </c>
      <c r="G59" s="15">
        <v>67</v>
      </c>
      <c r="H59" s="16">
        <f t="shared" ref="H59:H66" ca="1" si="67">G59/G$66</f>
        <v>7.0704938792739555E-3</v>
      </c>
      <c r="I59" s="15">
        <v>56</v>
      </c>
      <c r="J59" s="16">
        <f t="shared" ref="J59:J66" ca="1" si="68">I59/I$66</f>
        <v>5.5955235811350921E-3</v>
      </c>
      <c r="K59" s="15">
        <v>71</v>
      </c>
      <c r="L59" s="16">
        <f t="shared" ref="L59:L66" ca="1" si="69">K59/K$66</f>
        <v>2.8129952456418382E-2</v>
      </c>
      <c r="M59" s="15">
        <v>958</v>
      </c>
      <c r="N59" s="16">
        <f t="shared" ref="N59:N66" ca="1" si="70">M59/M$66</f>
        <v>0.10458515283842795</v>
      </c>
      <c r="O59" s="15">
        <v>83</v>
      </c>
      <c r="P59" s="16">
        <f t="shared" ref="P59:P66" ca="1" si="71">O59/O$66</f>
        <v>0.13696369636963696</v>
      </c>
      <c r="Q59" s="17">
        <f t="shared" ca="1" si="64"/>
        <v>7330</v>
      </c>
      <c r="T59" s="22" t="s">
        <v>18</v>
      </c>
      <c r="U59" s="15">
        <v>423819375</v>
      </c>
      <c r="V59" s="16">
        <f t="shared" ref="V59:V66" ca="1" si="72">U59/U$66</f>
        <v>9.5417750238633206E-2</v>
      </c>
      <c r="W59" s="15">
        <v>414236116</v>
      </c>
      <c r="X59" s="16">
        <f t="shared" ref="X59:X66" ca="1" si="73">W59/W$66</f>
        <v>7.428506081350425E-2</v>
      </c>
      <c r="Y59" s="15">
        <v>12942766</v>
      </c>
      <c r="Z59" s="16">
        <f t="shared" ref="Z59:Z66" ca="1" si="74">Y59/Y$66</f>
        <v>3.2870332384222554E-3</v>
      </c>
      <c r="AA59" s="15">
        <v>3966710</v>
      </c>
      <c r="AB59" s="16">
        <f t="shared" ref="AB59:AB66" ca="1" si="75">AA59/AA$66</f>
        <v>2.3953708303352549E-3</v>
      </c>
      <c r="AC59" s="15">
        <v>3248331</v>
      </c>
      <c r="AD59" s="16">
        <f t="shared" ref="AD59:AD66" ca="1" si="76">AC59/AC$66</f>
        <v>2.4364522236890368E-2</v>
      </c>
      <c r="AE59" s="15">
        <v>42671502</v>
      </c>
      <c r="AF59" s="16">
        <f t="shared" ref="AF59:AF66" ca="1" si="77">AE59/AE$66</f>
        <v>9.520504965516001E-2</v>
      </c>
      <c r="AG59" s="15">
        <v>22542268</v>
      </c>
      <c r="AH59" s="16">
        <f t="shared" ref="AH59:AH66" ca="1" si="78">AG59/AG$66</f>
        <v>0.11984295517581731</v>
      </c>
      <c r="AI59" s="17">
        <f t="shared" ref="AI59:AI66" ca="1" si="79">SUM(U59,Y59,AA59,AC59,AE59,AG59,W59)</f>
        <v>923427068</v>
      </c>
    </row>
    <row r="60" spans="2:35" s="13" customFormat="1" x14ac:dyDescent="0.3">
      <c r="B60" s="22" t="s">
        <v>19</v>
      </c>
      <c r="C60" s="15">
        <v>3328</v>
      </c>
      <c r="D60" s="16">
        <f t="shared" ca="1" si="65"/>
        <v>0.11917636526410026</v>
      </c>
      <c r="E60" s="15">
        <v>3946</v>
      </c>
      <c r="F60" s="16">
        <f t="shared" ca="1" si="66"/>
        <v>0.10707986214756723</v>
      </c>
      <c r="G60" s="15">
        <v>27</v>
      </c>
      <c r="H60" s="16">
        <f t="shared" ca="1" si="67"/>
        <v>2.8493035035880116E-3</v>
      </c>
      <c r="I60" s="15">
        <v>55</v>
      </c>
      <c r="J60" s="16">
        <f t="shared" ca="1" si="68"/>
        <v>5.4956035171862512E-3</v>
      </c>
      <c r="K60" s="15">
        <v>67</v>
      </c>
      <c r="L60" s="16">
        <f t="shared" ca="1" si="69"/>
        <v>2.6545166402535656E-2</v>
      </c>
      <c r="M60" s="15">
        <v>984</v>
      </c>
      <c r="N60" s="16">
        <f t="shared" ca="1" si="70"/>
        <v>0.10742358078602621</v>
      </c>
      <c r="O60" s="15">
        <v>131</v>
      </c>
      <c r="P60" s="16">
        <f t="shared" ca="1" si="71"/>
        <v>0.21617161716171618</v>
      </c>
      <c r="Q60" s="17">
        <f t="shared" ca="1" si="64"/>
        <v>8538</v>
      </c>
      <c r="T60" s="22" t="s">
        <v>19</v>
      </c>
      <c r="U60" s="15">
        <v>474527852</v>
      </c>
      <c r="V60" s="16">
        <f t="shared" ca="1" si="72"/>
        <v>0.10683414382226179</v>
      </c>
      <c r="W60" s="15">
        <v>509852163</v>
      </c>
      <c r="X60" s="16">
        <f t="shared" ca="1" si="73"/>
        <v>9.1431909173153025E-2</v>
      </c>
      <c r="Y60" s="15">
        <v>4926486</v>
      </c>
      <c r="Z60" s="16">
        <f t="shared" ca="1" si="74"/>
        <v>1.2511640271192343E-3</v>
      </c>
      <c r="AA60" s="15">
        <v>10399124</v>
      </c>
      <c r="AB60" s="16">
        <f t="shared" ca="1" si="75"/>
        <v>6.2797023958492751E-3</v>
      </c>
      <c r="AC60" s="15">
        <v>2465945</v>
      </c>
      <c r="AD60" s="16">
        <f t="shared" ca="1" si="76"/>
        <v>1.8496135950261415E-2</v>
      </c>
      <c r="AE60" s="15">
        <v>46237290</v>
      </c>
      <c r="AF60" s="16">
        <f t="shared" ca="1" si="77"/>
        <v>0.10316073454292829</v>
      </c>
      <c r="AG60" s="15">
        <v>33001451</v>
      </c>
      <c r="AH60" s="16">
        <f t="shared" ca="1" si="78"/>
        <v>0.17544780378486902</v>
      </c>
      <c r="AI60" s="17">
        <f t="shared" ca="1" si="79"/>
        <v>1081410311</v>
      </c>
    </row>
    <row r="61" spans="2:35" s="13" customFormat="1" x14ac:dyDescent="0.3">
      <c r="B61" s="22" t="s">
        <v>20</v>
      </c>
      <c r="C61" s="15">
        <v>1295</v>
      </c>
      <c r="D61" s="16">
        <f t="shared" ca="1" si="65"/>
        <v>4.637421665174575E-2</v>
      </c>
      <c r="E61" s="15">
        <v>1478</v>
      </c>
      <c r="F61" s="16">
        <f t="shared" ca="1" si="66"/>
        <v>4.0107459770426852E-2</v>
      </c>
      <c r="G61" s="15">
        <v>19</v>
      </c>
      <c r="H61" s="16">
        <f t="shared" ca="1" si="67"/>
        <v>2.0050654284508233E-3</v>
      </c>
      <c r="I61" s="15">
        <v>40</v>
      </c>
      <c r="J61" s="16">
        <f t="shared" ca="1" si="68"/>
        <v>3.9968025579536371E-3</v>
      </c>
      <c r="K61" s="15">
        <v>49</v>
      </c>
      <c r="L61" s="16">
        <f t="shared" ca="1" si="69"/>
        <v>1.9413629160063391E-2</v>
      </c>
      <c r="M61" s="15">
        <v>379</v>
      </c>
      <c r="N61" s="16">
        <f t="shared" ca="1" si="70"/>
        <v>4.1375545851528382E-2</v>
      </c>
      <c r="O61" s="15">
        <v>42</v>
      </c>
      <c r="P61" s="16">
        <f t="shared" ca="1" si="71"/>
        <v>6.9306930693069313E-2</v>
      </c>
      <c r="Q61" s="17">
        <f t="shared" ca="1" si="64"/>
        <v>3302</v>
      </c>
      <c r="T61" s="22" t="s">
        <v>20</v>
      </c>
      <c r="U61" s="15">
        <v>162890562</v>
      </c>
      <c r="V61" s="16">
        <f t="shared" ca="1" si="72"/>
        <v>3.6672818370199797E-2</v>
      </c>
      <c r="W61" s="15">
        <v>190174138</v>
      </c>
      <c r="X61" s="16">
        <f t="shared" ca="1" si="73"/>
        <v>3.4103973219191126E-2</v>
      </c>
      <c r="Y61" s="15">
        <v>4383497</v>
      </c>
      <c r="Z61" s="16">
        <f t="shared" ca="1" si="74"/>
        <v>1.1132628326529462E-3</v>
      </c>
      <c r="AA61" s="15">
        <v>4410446</v>
      </c>
      <c r="AB61" s="16">
        <f t="shared" ca="1" si="75"/>
        <v>2.6633289797259705E-3</v>
      </c>
      <c r="AC61" s="15">
        <v>1535380</v>
      </c>
      <c r="AD61" s="16">
        <f t="shared" ca="1" si="76"/>
        <v>1.1516314117027093E-2</v>
      </c>
      <c r="AE61" s="15">
        <v>16286314</v>
      </c>
      <c r="AF61" s="16">
        <f t="shared" ca="1" si="77"/>
        <v>3.6336647654669568E-2</v>
      </c>
      <c r="AG61" s="15">
        <v>11926650</v>
      </c>
      <c r="AH61" s="16">
        <f t="shared" ca="1" si="78"/>
        <v>6.340644079591555E-2</v>
      </c>
      <c r="AI61" s="17">
        <f t="shared" ca="1" si="79"/>
        <v>391606987</v>
      </c>
    </row>
    <row r="62" spans="2:35" s="13" customFormat="1" x14ac:dyDescent="0.3">
      <c r="B62" s="22" t="s">
        <v>21</v>
      </c>
      <c r="C62" s="15">
        <v>591</v>
      </c>
      <c r="D62" s="16">
        <f t="shared" ca="1" si="65"/>
        <v>2.1163831692032228E-2</v>
      </c>
      <c r="E62" s="15">
        <v>848</v>
      </c>
      <c r="F62" s="16">
        <f t="shared" ca="1" si="66"/>
        <v>2.3011587202518249E-2</v>
      </c>
      <c r="G62" s="15">
        <v>19</v>
      </c>
      <c r="H62" s="16">
        <f t="shared" ca="1" si="67"/>
        <v>2.0050654284508233E-3</v>
      </c>
      <c r="I62" s="15">
        <v>21</v>
      </c>
      <c r="J62" s="16">
        <f t="shared" ca="1" si="68"/>
        <v>2.0983213429256594E-3</v>
      </c>
      <c r="K62" s="15">
        <v>13</v>
      </c>
      <c r="L62" s="16">
        <f t="shared" ca="1" si="69"/>
        <v>5.1505546751188592E-3</v>
      </c>
      <c r="M62" s="15">
        <v>165</v>
      </c>
      <c r="N62" s="16">
        <f t="shared" ca="1" si="70"/>
        <v>1.8013100436681223E-2</v>
      </c>
      <c r="O62" s="15">
        <v>11</v>
      </c>
      <c r="P62" s="16">
        <f t="shared" ca="1" si="71"/>
        <v>1.8151815181518153E-2</v>
      </c>
      <c r="Q62" s="17">
        <f t="shared" ca="1" si="64"/>
        <v>1668</v>
      </c>
      <c r="T62" s="22" t="s">
        <v>21</v>
      </c>
      <c r="U62" s="15">
        <v>84040108</v>
      </c>
      <c r="V62" s="16">
        <f t="shared" ca="1" si="72"/>
        <v>1.8920602757181076E-2</v>
      </c>
      <c r="W62" s="15">
        <v>93609241</v>
      </c>
      <c r="X62" s="16">
        <f t="shared" ca="1" si="73"/>
        <v>1.678696736426279E-2</v>
      </c>
      <c r="Y62" s="15">
        <v>6809905</v>
      </c>
      <c r="Z62" s="16">
        <f t="shared" ca="1" si="74"/>
        <v>1.729489978069441E-3</v>
      </c>
      <c r="AA62" s="15">
        <v>1820687</v>
      </c>
      <c r="AB62" s="16">
        <f t="shared" ca="1" si="75"/>
        <v>1.0994553498921283E-3</v>
      </c>
      <c r="AC62" s="15">
        <v>430268</v>
      </c>
      <c r="AD62" s="16">
        <f t="shared" ca="1" si="76"/>
        <v>3.227280179828455E-3</v>
      </c>
      <c r="AE62" s="15">
        <v>8048834</v>
      </c>
      <c r="AF62" s="16">
        <f t="shared" ca="1" si="77"/>
        <v>1.7957878319730582E-2</v>
      </c>
      <c r="AG62" s="15">
        <v>6049275</v>
      </c>
      <c r="AH62" s="16">
        <f t="shared" ca="1" si="78"/>
        <v>3.2160162086228072E-2</v>
      </c>
      <c r="AI62" s="17">
        <f t="shared" ca="1" si="79"/>
        <v>200808318</v>
      </c>
    </row>
    <row r="63" spans="2:35" s="13" customFormat="1" x14ac:dyDescent="0.3">
      <c r="B63" s="22" t="s">
        <v>22</v>
      </c>
      <c r="C63" s="15">
        <v>372</v>
      </c>
      <c r="D63" s="16">
        <f t="shared" ca="1" si="65"/>
        <v>1.3321396598030439E-2</v>
      </c>
      <c r="E63" s="15">
        <v>536</v>
      </c>
      <c r="F63" s="16">
        <f t="shared" ca="1" si="66"/>
        <v>1.4545059835553988E-2</v>
      </c>
      <c r="G63" s="15">
        <v>6</v>
      </c>
      <c r="H63" s="16">
        <f t="shared" ca="1" si="67"/>
        <v>6.3317855635289147E-4</v>
      </c>
      <c r="I63" s="15">
        <v>23</v>
      </c>
      <c r="J63" s="16">
        <f t="shared" ca="1" si="68"/>
        <v>2.2981614708233412E-3</v>
      </c>
      <c r="K63" s="15">
        <v>6</v>
      </c>
      <c r="L63" s="16">
        <f t="shared" ca="1" si="69"/>
        <v>2.3771790808240888E-3</v>
      </c>
      <c r="M63" s="15">
        <v>154</v>
      </c>
      <c r="N63" s="16">
        <f t="shared" ca="1" si="70"/>
        <v>1.6812227074235808E-2</v>
      </c>
      <c r="O63" s="15">
        <v>2</v>
      </c>
      <c r="P63" s="16">
        <f t="shared" ca="1" si="71"/>
        <v>3.3003300330033004E-3</v>
      </c>
      <c r="Q63" s="17">
        <f t="shared" ca="1" si="64"/>
        <v>1099</v>
      </c>
      <c r="T63" s="22" t="s">
        <v>22</v>
      </c>
      <c r="U63" s="15">
        <v>42793780</v>
      </c>
      <c r="V63" s="16">
        <f t="shared" ca="1" si="72"/>
        <v>9.6344963271370425E-3</v>
      </c>
      <c r="W63" s="15">
        <v>62303288</v>
      </c>
      <c r="X63" s="16">
        <f t="shared" ca="1" si="73"/>
        <v>1.117286339649165E-2</v>
      </c>
      <c r="Y63" s="15">
        <v>2514325</v>
      </c>
      <c r="Z63" s="16">
        <f t="shared" ca="1" si="74"/>
        <v>6.3855514711430594E-4</v>
      </c>
      <c r="AA63" s="15">
        <v>3451096</v>
      </c>
      <c r="AB63" s="16">
        <f t="shared" ca="1" si="75"/>
        <v>2.0840078279195295E-3</v>
      </c>
      <c r="AC63" s="15">
        <v>300253</v>
      </c>
      <c r="AD63" s="16">
        <f t="shared" ca="1" si="76"/>
        <v>2.2520860390129712E-3</v>
      </c>
      <c r="AE63" s="15">
        <v>7596088</v>
      </c>
      <c r="AF63" s="16">
        <f t="shared" ca="1" si="77"/>
        <v>1.6947749700138633E-2</v>
      </c>
      <c r="AG63" s="15">
        <v>464726</v>
      </c>
      <c r="AH63" s="16">
        <f t="shared" ca="1" si="78"/>
        <v>2.4706536710075878E-3</v>
      </c>
      <c r="AI63" s="17">
        <f t="shared" ca="1" si="79"/>
        <v>119423556</v>
      </c>
    </row>
    <row r="64" spans="2:35" s="13" customFormat="1" x14ac:dyDescent="0.3">
      <c r="B64" s="22" t="s">
        <v>23</v>
      </c>
      <c r="C64" s="15">
        <v>261</v>
      </c>
      <c r="D64" s="16">
        <f t="shared" ca="1" si="65"/>
        <v>9.3464637421665168E-3</v>
      </c>
      <c r="E64" s="15">
        <v>378</v>
      </c>
      <c r="F64" s="16">
        <f t="shared" ca="1" si="66"/>
        <v>1.0257523540745163E-2</v>
      </c>
      <c r="G64" s="15">
        <v>7</v>
      </c>
      <c r="H64" s="16">
        <f t="shared" ca="1" si="67"/>
        <v>7.3870831574504006E-4</v>
      </c>
      <c r="I64" s="15">
        <v>30</v>
      </c>
      <c r="J64" s="16">
        <f t="shared" ca="1" si="68"/>
        <v>2.9976019184652278E-3</v>
      </c>
      <c r="K64" s="15">
        <v>4</v>
      </c>
      <c r="L64" s="16">
        <f t="shared" ca="1" si="69"/>
        <v>1.5847860538827259E-3</v>
      </c>
      <c r="M64" s="15">
        <v>56</v>
      </c>
      <c r="N64" s="16">
        <f t="shared" ca="1" si="70"/>
        <v>6.1135371179039302E-3</v>
      </c>
      <c r="O64" s="15">
        <v>17</v>
      </c>
      <c r="P64" s="16">
        <f t="shared" ca="1" si="71"/>
        <v>2.8052805280528052E-2</v>
      </c>
      <c r="Q64" s="17">
        <f t="shared" ca="1" si="64"/>
        <v>753</v>
      </c>
      <c r="T64" s="22" t="s">
        <v>23</v>
      </c>
      <c r="U64" s="15">
        <v>28797250</v>
      </c>
      <c r="V64" s="16">
        <f t="shared" ca="1" si="72"/>
        <v>6.4833487333123456E-3</v>
      </c>
      <c r="W64" s="15">
        <v>35590648</v>
      </c>
      <c r="X64" s="16">
        <f t="shared" ca="1" si="73"/>
        <v>6.3824793371518168E-3</v>
      </c>
      <c r="Y64" s="15">
        <v>1382701</v>
      </c>
      <c r="Z64" s="16">
        <f t="shared" ca="1" si="74"/>
        <v>3.5116018830902846E-4</v>
      </c>
      <c r="AA64" s="15">
        <v>1955451</v>
      </c>
      <c r="AB64" s="16">
        <f t="shared" ca="1" si="75"/>
        <v>1.180835071268105E-3</v>
      </c>
      <c r="AC64" s="15">
        <v>73258</v>
      </c>
      <c r="AD64" s="16">
        <f t="shared" ca="1" si="76"/>
        <v>5.4948100117571588E-4</v>
      </c>
      <c r="AE64" s="15">
        <v>2615035</v>
      </c>
      <c r="AF64" s="16">
        <f t="shared" ca="1" si="77"/>
        <v>5.8344451297960261E-3</v>
      </c>
      <c r="AG64" s="15">
        <v>12102226</v>
      </c>
      <c r="AH64" s="16">
        <f t="shared" ca="1" si="78"/>
        <v>6.4339867135179599E-2</v>
      </c>
      <c r="AI64" s="17">
        <f t="shared" ca="1" si="79"/>
        <v>82516569</v>
      </c>
    </row>
    <row r="65" spans="1:70" s="13" customFormat="1" x14ac:dyDescent="0.3">
      <c r="B65" s="23" t="s">
        <v>24</v>
      </c>
      <c r="C65" s="24">
        <v>1294</v>
      </c>
      <c r="D65" s="25">
        <f t="shared" ca="1" si="65"/>
        <v>4.633840644583706E-2</v>
      </c>
      <c r="E65" s="24">
        <v>1537</v>
      </c>
      <c r="F65" s="25">
        <f t="shared" ca="1" si="66"/>
        <v>4.1708501804564327E-2</v>
      </c>
      <c r="G65" s="24">
        <v>291</v>
      </c>
      <c r="H65" s="25">
        <f t="shared" ca="1" si="67"/>
        <v>3.0709159983115238E-2</v>
      </c>
      <c r="I65" s="24">
        <v>433</v>
      </c>
      <c r="J65" s="25">
        <f t="shared" ca="1" si="68"/>
        <v>4.3265387689848119E-2</v>
      </c>
      <c r="K65" s="24">
        <v>87</v>
      </c>
      <c r="L65" s="25">
        <f t="shared" ca="1" si="69"/>
        <v>3.4469096671949286E-2</v>
      </c>
      <c r="M65" s="24">
        <v>371</v>
      </c>
      <c r="N65" s="25">
        <f t="shared" ca="1" si="70"/>
        <v>4.0502183406113536E-2</v>
      </c>
      <c r="O65" s="24">
        <v>64</v>
      </c>
      <c r="P65" s="25">
        <f t="shared" ca="1" si="71"/>
        <v>0.10561056105610561</v>
      </c>
      <c r="Q65" s="26">
        <f t="shared" ca="1" si="64"/>
        <v>4077</v>
      </c>
      <c r="T65" s="23" t="s">
        <v>24</v>
      </c>
      <c r="U65" s="24">
        <v>115510020</v>
      </c>
      <c r="V65" s="25">
        <f t="shared" ca="1" si="72"/>
        <v>2.6005668661135482E-2</v>
      </c>
      <c r="W65" s="24">
        <v>130364553</v>
      </c>
      <c r="X65" s="25">
        <f t="shared" ca="1" si="73"/>
        <v>2.3378306172439821E-2</v>
      </c>
      <c r="Y65" s="24">
        <v>42728585</v>
      </c>
      <c r="Z65" s="25">
        <f t="shared" ca="1" si="74"/>
        <v>1.0851643236519196E-2</v>
      </c>
      <c r="AA65" s="24">
        <v>37516595</v>
      </c>
      <c r="AB65" s="25">
        <f t="shared" ca="1" si="75"/>
        <v>2.2655086284730036E-2</v>
      </c>
      <c r="AC65" s="24">
        <v>2143039</v>
      </c>
      <c r="AD65" s="25">
        <f t="shared" ca="1" si="76"/>
        <v>1.6074138186663641E-2</v>
      </c>
      <c r="AE65" s="24">
        <v>15211896</v>
      </c>
      <c r="AF65" s="25">
        <f t="shared" ca="1" si="77"/>
        <v>3.3939496997999509E-2</v>
      </c>
      <c r="AG65" s="24">
        <v>12013408</v>
      </c>
      <c r="AH65" s="25">
        <f t="shared" ca="1" si="78"/>
        <v>6.3867678108201223E-2</v>
      </c>
      <c r="AI65" s="26">
        <f t="shared" ca="1" si="79"/>
        <v>355488096</v>
      </c>
    </row>
    <row r="66" spans="1:70" x14ac:dyDescent="0.4">
      <c r="B66" s="27" t="s">
        <v>25</v>
      </c>
      <c r="C66" s="28">
        <f ca="1">SUM(C58:C65)</f>
        <v>27925</v>
      </c>
      <c r="D66" s="29">
        <f t="shared" ca="1" si="65"/>
        <v>1</v>
      </c>
      <c r="E66" s="28">
        <f ca="1">SUM(E58:E65)</f>
        <v>36851</v>
      </c>
      <c r="F66" s="30">
        <f t="shared" ca="1" si="66"/>
        <v>1</v>
      </c>
      <c r="G66" s="28">
        <f ca="1">SUM(G58:G65)</f>
        <v>9476</v>
      </c>
      <c r="H66" s="29">
        <f t="shared" ca="1" si="67"/>
        <v>1</v>
      </c>
      <c r="I66" s="28">
        <f ca="1">SUM(I58:I65)</f>
        <v>10008</v>
      </c>
      <c r="J66" s="29">
        <f t="shared" ca="1" si="68"/>
        <v>1</v>
      </c>
      <c r="K66" s="28">
        <f ca="1">SUM(K58:K65)</f>
        <v>2524</v>
      </c>
      <c r="L66" s="29">
        <f t="shared" ca="1" si="69"/>
        <v>1</v>
      </c>
      <c r="M66" s="28">
        <f ca="1">SUM(M58:M65)</f>
        <v>9160</v>
      </c>
      <c r="N66" s="29">
        <f t="shared" ca="1" si="70"/>
        <v>1</v>
      </c>
      <c r="O66" s="28">
        <f ca="1">SUM(O58:O65)</f>
        <v>606</v>
      </c>
      <c r="P66" s="29">
        <f t="shared" ca="1" si="71"/>
        <v>1</v>
      </c>
      <c r="Q66" s="31">
        <f t="shared" ca="1" si="64"/>
        <v>96550</v>
      </c>
      <c r="T66" s="27" t="s">
        <v>25</v>
      </c>
      <c r="U66" s="28">
        <f ca="1">SUM(U58:U65)</f>
        <v>4441724668</v>
      </c>
      <c r="V66" s="29">
        <f t="shared" ca="1" si="72"/>
        <v>1</v>
      </c>
      <c r="W66" s="28">
        <f ca="1">SUM(W58:W65)</f>
        <v>5576304461</v>
      </c>
      <c r="X66" s="30">
        <f t="shared" ca="1" si="73"/>
        <v>1</v>
      </c>
      <c r="Y66" s="28">
        <f ca="1">SUM(Y58:Y65)</f>
        <v>3937522094</v>
      </c>
      <c r="Z66" s="29">
        <f t="shared" ca="1" si="74"/>
        <v>1</v>
      </c>
      <c r="AA66" s="28">
        <f ca="1">SUM(AA58:AA65)</f>
        <v>1655989941</v>
      </c>
      <c r="AB66" s="29">
        <f t="shared" ca="1" si="75"/>
        <v>1</v>
      </c>
      <c r="AC66" s="28">
        <f ca="1">SUM(AC58:AC65)</f>
        <v>133322171</v>
      </c>
      <c r="AD66" s="29">
        <f t="shared" ca="1" si="76"/>
        <v>1</v>
      </c>
      <c r="AE66" s="28">
        <f ca="1">SUM(AE58:AE65)</f>
        <v>448206289</v>
      </c>
      <c r="AF66" s="29">
        <f t="shared" ca="1" si="77"/>
        <v>1</v>
      </c>
      <c r="AG66" s="28">
        <f ca="1">SUM(AG58:AG65)</f>
        <v>188098399</v>
      </c>
      <c r="AH66" s="29">
        <f t="shared" ca="1" si="78"/>
        <v>1</v>
      </c>
      <c r="AI66" s="31">
        <f t="shared" ca="1" si="79"/>
        <v>16381168023</v>
      </c>
    </row>
    <row r="67" spans="1:70" x14ac:dyDescent="0.4">
      <c r="B67" s="32" t="s">
        <v>26</v>
      </c>
      <c r="C67" s="33">
        <f ca="1">C66/$Q$66</f>
        <v>0.28922837907819782</v>
      </c>
      <c r="D67" s="33"/>
      <c r="E67" s="33">
        <f ca="1">E66/$Q$66</f>
        <v>0.3816778871051269</v>
      </c>
      <c r="F67" s="33"/>
      <c r="G67" s="33">
        <f ca="1">G66/$Q$66</f>
        <v>9.8146038322112897E-2</v>
      </c>
      <c r="H67" s="33"/>
      <c r="I67" s="33">
        <f ca="1">I66/$Q$66</f>
        <v>0.10365613671672709</v>
      </c>
      <c r="J67" s="33"/>
      <c r="K67" s="33">
        <f ca="1">K66/$Q$66</f>
        <v>2.6141895390989125E-2</v>
      </c>
      <c r="L67" s="33"/>
      <c r="M67" s="33">
        <f ca="1">M66/$Q$66</f>
        <v>9.4873122734334542E-2</v>
      </c>
      <c r="N67" s="33"/>
      <c r="O67" s="33">
        <f ca="1">O66/$Q$66</f>
        <v>6.2765406525116521E-3</v>
      </c>
      <c r="P67" s="33"/>
      <c r="Q67" s="34">
        <f ca="1">Q66/$Q$66</f>
        <v>1</v>
      </c>
      <c r="T67" s="32" t="s">
        <v>26</v>
      </c>
      <c r="U67" s="33">
        <f ca="1">U66/$AI$66</f>
        <v>0.27114822714495029</v>
      </c>
      <c r="V67" s="33"/>
      <c r="W67" s="33">
        <f ca="1">W66/$AI$66</f>
        <v>0.34040945390283417</v>
      </c>
      <c r="X67" s="33"/>
      <c r="Y67" s="33">
        <f ca="1">Y66/$AI$66</f>
        <v>0.24036882403449603</v>
      </c>
      <c r="Z67" s="33"/>
      <c r="AA67" s="33">
        <f ca="1">AA66/$AI$66</f>
        <v>0.1010910784063081</v>
      </c>
      <c r="AB67" s="33"/>
      <c r="AC67" s="33">
        <f ca="1">AC66/$AI$66</f>
        <v>8.1387463221675553E-3</v>
      </c>
      <c r="AD67" s="33"/>
      <c r="AE67" s="33">
        <f ca="1">AE66/$AI$66</f>
        <v>2.7361070246681763E-2</v>
      </c>
      <c r="AF67" s="33"/>
      <c r="AG67" s="33">
        <f ca="1">AG66/$AI$66</f>
        <v>1.1482599942562106E-2</v>
      </c>
      <c r="AH67" s="33"/>
      <c r="AI67" s="34">
        <f ca="1">AI66/$AI$66</f>
        <v>1</v>
      </c>
    </row>
    <row r="69" spans="1:70" x14ac:dyDescent="0.4">
      <c r="B69" s="4" t="s">
        <v>27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T69" s="4" t="s">
        <v>27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L69" s="4" t="s">
        <v>28</v>
      </c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C69" s="4" t="s">
        <v>31</v>
      </c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</row>
    <row r="70" spans="1:70" x14ac:dyDescent="0.4">
      <c r="B70" s="5"/>
      <c r="C70" s="6" t="s">
        <v>3</v>
      </c>
      <c r="D70" s="6"/>
      <c r="E70" s="6" t="s">
        <v>4</v>
      </c>
      <c r="F70" s="6"/>
      <c r="G70" s="6" t="s">
        <v>5</v>
      </c>
      <c r="H70" s="6"/>
      <c r="I70" s="6" t="s">
        <v>6</v>
      </c>
      <c r="J70" s="6"/>
      <c r="K70" s="6" t="s">
        <v>7</v>
      </c>
      <c r="L70" s="6"/>
      <c r="M70" s="6" t="s">
        <v>8</v>
      </c>
      <c r="N70" s="6"/>
      <c r="O70" s="6" t="s">
        <v>9</v>
      </c>
      <c r="P70" s="6"/>
      <c r="Q70" s="7" t="s">
        <v>10</v>
      </c>
      <c r="T70" s="5"/>
      <c r="U70" s="6" t="s">
        <v>3</v>
      </c>
      <c r="V70" s="6"/>
      <c r="W70" s="6" t="s">
        <v>4</v>
      </c>
      <c r="X70" s="6"/>
      <c r="Y70" s="6" t="s">
        <v>5</v>
      </c>
      <c r="Z70" s="6"/>
      <c r="AA70" s="6" t="s">
        <v>6</v>
      </c>
      <c r="AB70" s="6"/>
      <c r="AC70" s="6" t="s">
        <v>7</v>
      </c>
      <c r="AD70" s="6"/>
      <c r="AE70" s="6" t="s">
        <v>8</v>
      </c>
      <c r="AF70" s="6"/>
      <c r="AG70" s="6" t="s">
        <v>9</v>
      </c>
      <c r="AH70" s="6"/>
      <c r="AI70" s="7" t="s">
        <v>10</v>
      </c>
      <c r="AL70" s="5"/>
      <c r="AM70" s="6" t="s">
        <v>3</v>
      </c>
      <c r="AN70" s="6"/>
      <c r="AO70" s="6" t="s">
        <v>4</v>
      </c>
      <c r="AP70" s="6"/>
      <c r="AQ70" s="6" t="s">
        <v>5</v>
      </c>
      <c r="AR70" s="6"/>
      <c r="AS70" s="6" t="s">
        <v>6</v>
      </c>
      <c r="AT70" s="6"/>
      <c r="AU70" s="6" t="s">
        <v>7</v>
      </c>
      <c r="AV70" s="6"/>
      <c r="AW70" s="6" t="s">
        <v>8</v>
      </c>
      <c r="AX70" s="6"/>
      <c r="AY70" s="6" t="s">
        <v>9</v>
      </c>
      <c r="AZ70" s="6"/>
      <c r="BA70" s="7" t="s">
        <v>10</v>
      </c>
      <c r="BC70" s="5"/>
      <c r="BD70" s="6" t="s">
        <v>3</v>
      </c>
      <c r="BE70" s="6"/>
      <c r="BF70" s="6" t="s">
        <v>4</v>
      </c>
      <c r="BG70" s="6"/>
      <c r="BH70" s="6" t="s">
        <v>5</v>
      </c>
      <c r="BI70" s="6"/>
      <c r="BJ70" s="6" t="s">
        <v>6</v>
      </c>
      <c r="BK70" s="6"/>
      <c r="BL70" s="6" t="s">
        <v>7</v>
      </c>
      <c r="BM70" s="6"/>
      <c r="BN70" s="6" t="s">
        <v>8</v>
      </c>
      <c r="BO70" s="6"/>
      <c r="BP70" s="6" t="s">
        <v>9</v>
      </c>
      <c r="BQ70" s="6"/>
      <c r="BR70" s="7" t="s">
        <v>10</v>
      </c>
    </row>
    <row r="71" spans="1:70" x14ac:dyDescent="0.4">
      <c r="B71" s="8" t="s">
        <v>11</v>
      </c>
      <c r="C71" s="8" t="s">
        <v>12</v>
      </c>
      <c r="D71" s="8" t="s">
        <v>13</v>
      </c>
      <c r="E71" s="8" t="s">
        <v>12</v>
      </c>
      <c r="F71" s="8" t="s">
        <v>13</v>
      </c>
      <c r="G71" s="8" t="s">
        <v>12</v>
      </c>
      <c r="H71" s="8" t="s">
        <v>13</v>
      </c>
      <c r="I71" s="8" t="s">
        <v>12</v>
      </c>
      <c r="J71" s="8" t="s">
        <v>13</v>
      </c>
      <c r="K71" s="8" t="s">
        <v>12</v>
      </c>
      <c r="L71" s="8" t="s">
        <v>13</v>
      </c>
      <c r="M71" s="8" t="s">
        <v>12</v>
      </c>
      <c r="N71" s="8" t="s">
        <v>13</v>
      </c>
      <c r="O71" s="8" t="s">
        <v>12</v>
      </c>
      <c r="P71" s="8" t="s">
        <v>13</v>
      </c>
      <c r="Q71" s="7"/>
      <c r="T71" s="8" t="s">
        <v>11</v>
      </c>
      <c r="U71" s="8" t="s">
        <v>14</v>
      </c>
      <c r="V71" s="8" t="s">
        <v>13</v>
      </c>
      <c r="W71" s="8" t="s">
        <v>14</v>
      </c>
      <c r="X71" s="8" t="s">
        <v>13</v>
      </c>
      <c r="Y71" s="8" t="s">
        <v>14</v>
      </c>
      <c r="Z71" s="8" t="s">
        <v>13</v>
      </c>
      <c r="AA71" s="8" t="s">
        <v>14</v>
      </c>
      <c r="AB71" s="8" t="s">
        <v>13</v>
      </c>
      <c r="AC71" s="8" t="s">
        <v>14</v>
      </c>
      <c r="AD71" s="8" t="s">
        <v>13</v>
      </c>
      <c r="AE71" s="8" t="s">
        <v>14</v>
      </c>
      <c r="AF71" s="8" t="s">
        <v>13</v>
      </c>
      <c r="AG71" s="8" t="s">
        <v>14</v>
      </c>
      <c r="AH71" s="8" t="s">
        <v>13</v>
      </c>
      <c r="AI71" s="7"/>
      <c r="AL71" s="8" t="s">
        <v>11</v>
      </c>
      <c r="AM71" s="8" t="s">
        <v>12</v>
      </c>
      <c r="AN71" s="8" t="s">
        <v>13</v>
      </c>
      <c r="AO71" s="8" t="s">
        <v>12</v>
      </c>
      <c r="AP71" s="8" t="s">
        <v>13</v>
      </c>
      <c r="AQ71" s="8" t="s">
        <v>12</v>
      </c>
      <c r="AR71" s="8" t="s">
        <v>13</v>
      </c>
      <c r="AS71" s="8" t="s">
        <v>12</v>
      </c>
      <c r="AT71" s="8" t="s">
        <v>13</v>
      </c>
      <c r="AU71" s="8" t="s">
        <v>12</v>
      </c>
      <c r="AV71" s="8" t="s">
        <v>13</v>
      </c>
      <c r="AW71" s="8" t="s">
        <v>12</v>
      </c>
      <c r="AX71" s="8" t="s">
        <v>13</v>
      </c>
      <c r="AY71" s="8" t="s">
        <v>12</v>
      </c>
      <c r="AZ71" s="8" t="s">
        <v>13</v>
      </c>
      <c r="BA71" s="7"/>
      <c r="BC71" s="8" t="s">
        <v>11</v>
      </c>
      <c r="BD71" s="8" t="s">
        <v>14</v>
      </c>
      <c r="BE71" s="8" t="s">
        <v>13</v>
      </c>
      <c r="BF71" s="8" t="s">
        <v>14</v>
      </c>
      <c r="BG71" s="8" t="s">
        <v>13</v>
      </c>
      <c r="BH71" s="8" t="s">
        <v>14</v>
      </c>
      <c r="BI71" s="8" t="s">
        <v>13</v>
      </c>
      <c r="BJ71" s="8" t="s">
        <v>14</v>
      </c>
      <c r="BK71" s="8" t="s">
        <v>13</v>
      </c>
      <c r="BL71" s="8" t="s">
        <v>14</v>
      </c>
      <c r="BM71" s="8" t="s">
        <v>13</v>
      </c>
      <c r="BN71" s="8" t="s">
        <v>14</v>
      </c>
      <c r="BO71" s="8" t="s">
        <v>13</v>
      </c>
      <c r="BP71" s="8" t="s">
        <v>14</v>
      </c>
      <c r="BQ71" s="8" t="s">
        <v>13</v>
      </c>
      <c r="BR71" s="7"/>
    </row>
    <row r="72" spans="1:70" x14ac:dyDescent="0.4">
      <c r="A72" s="1" t="s">
        <v>32</v>
      </c>
      <c r="B72" s="9" t="s">
        <v>15</v>
      </c>
      <c r="C72" s="10">
        <v>325</v>
      </c>
      <c r="D72" s="11">
        <f ca="1">C72/C$82</f>
        <v>0.49923195084485406</v>
      </c>
      <c r="E72" s="10">
        <v>685</v>
      </c>
      <c r="F72" s="11">
        <f ca="1">E72/E$82</f>
        <v>0.56705298013245031</v>
      </c>
      <c r="G72" s="10">
        <v>215</v>
      </c>
      <c r="H72" s="11">
        <f ca="1">G72/G$82</f>
        <v>0.7904411764705882</v>
      </c>
      <c r="I72" s="10">
        <v>331</v>
      </c>
      <c r="J72" s="11">
        <f ca="1">I72/I$82</f>
        <v>0.96783625730994149</v>
      </c>
      <c r="K72" s="10">
        <v>39</v>
      </c>
      <c r="L72" s="11">
        <f ca="1">K72/K$82</f>
        <v>0.8666666666666667</v>
      </c>
      <c r="M72" s="10">
        <v>58</v>
      </c>
      <c r="N72" s="11">
        <f ca="1">M72/M$82</f>
        <v>0.453125</v>
      </c>
      <c r="O72" s="10">
        <v>11</v>
      </c>
      <c r="P72" s="11">
        <f ca="1">IFERROR((O72/O$82),0)</f>
        <v>0.29729729729729731</v>
      </c>
      <c r="Q72" s="60">
        <f t="shared" ref="Q72:Q82" ca="1" si="80">SUM(C72,G72,I72,K72,M72,O72,E72)</f>
        <v>1664</v>
      </c>
      <c r="T72" s="9" t="s">
        <v>15</v>
      </c>
      <c r="U72" s="10">
        <v>54781323</v>
      </c>
      <c r="V72" s="11">
        <f ca="1">U72/U$82</f>
        <v>0.53222466753375031</v>
      </c>
      <c r="W72" s="10">
        <v>132165147</v>
      </c>
      <c r="X72" s="11">
        <f ca="1">W72/W$82</f>
        <v>0.60745810181157445</v>
      </c>
      <c r="Y72" s="10">
        <v>83425293</v>
      </c>
      <c r="Z72" s="11">
        <f ca="1">Y72/Y$82</f>
        <v>0.94203980571407664</v>
      </c>
      <c r="AA72" s="10">
        <v>130684236</v>
      </c>
      <c r="AB72" s="11">
        <f ca="1">AA72/AA$82</f>
        <v>0.99151341946924321</v>
      </c>
      <c r="AC72" s="10">
        <v>1136459</v>
      </c>
      <c r="AD72" s="11">
        <f ca="1">AC72/AC$82</f>
        <v>0.9025088507030532</v>
      </c>
      <c r="AE72" s="10">
        <v>2666386</v>
      </c>
      <c r="AF72" s="11">
        <f ca="1">AE72/AE$82</f>
        <v>0.45896150978887212</v>
      </c>
      <c r="AG72" s="10">
        <v>6618928</v>
      </c>
      <c r="AH72" s="11">
        <f ca="1">IFERROR((AG72/AG$82),0)</f>
        <v>0.54769023878610867</v>
      </c>
      <c r="AI72" s="60">
        <f ca="1">SUM(U72,Y72,AA72,AC72,AE72,AG72,W72)</f>
        <v>411477772</v>
      </c>
      <c r="AL72" s="35" t="s">
        <v>15</v>
      </c>
      <c r="AM72" s="36">
        <v>325</v>
      </c>
      <c r="AN72" s="37">
        <f ca="1">AM72/AM$82</f>
        <v>0.49923195084485406</v>
      </c>
      <c r="AO72" s="36">
        <v>685</v>
      </c>
      <c r="AP72" s="37">
        <f ca="1">AO72/AO$82</f>
        <v>0.56705298013245031</v>
      </c>
      <c r="AQ72" s="36">
        <v>215</v>
      </c>
      <c r="AR72" s="37">
        <f ca="1">AQ72/AQ$82</f>
        <v>0.7904411764705882</v>
      </c>
      <c r="AS72" s="36">
        <v>331</v>
      </c>
      <c r="AT72" s="37">
        <f ca="1">AS72/AS$82</f>
        <v>0.96783625730994149</v>
      </c>
      <c r="AU72" s="36">
        <v>39</v>
      </c>
      <c r="AV72" s="37">
        <f ca="1">AU72/AU$82</f>
        <v>0.8666666666666667</v>
      </c>
      <c r="AW72" s="36">
        <v>58</v>
      </c>
      <c r="AX72" s="37">
        <f ca="1">AW72/AW$82</f>
        <v>0.453125</v>
      </c>
      <c r="AY72" s="36">
        <v>11</v>
      </c>
      <c r="AZ72" s="37">
        <f ca="1">IFERROR((AY72/AY$82),0)</f>
        <v>0.29729729729729731</v>
      </c>
      <c r="BA72" s="61">
        <f ca="1">SUM(AM72,AQ72,AS72,AU72,AW72,AY72,AO72)</f>
        <v>1664</v>
      </c>
      <c r="BC72" s="35" t="s">
        <v>15</v>
      </c>
      <c r="BD72" s="36">
        <v>54781323</v>
      </c>
      <c r="BE72" s="37">
        <f ca="1">BD72/BD$82</f>
        <v>0.53222466753375031</v>
      </c>
      <c r="BF72" s="36">
        <v>132165147</v>
      </c>
      <c r="BG72" s="37">
        <f ca="1">BF72/BF$82</f>
        <v>0.60745810181157445</v>
      </c>
      <c r="BH72" s="36">
        <v>83425293</v>
      </c>
      <c r="BI72" s="37">
        <f ca="1">BH72/BH$82</f>
        <v>0.94203980571407664</v>
      </c>
      <c r="BJ72" s="36">
        <v>130684236</v>
      </c>
      <c r="BK72" s="37">
        <f ca="1">BJ72/BJ$82</f>
        <v>0.99151341946924321</v>
      </c>
      <c r="BL72" s="36">
        <v>1136459</v>
      </c>
      <c r="BM72" s="37">
        <f ca="1">BL72/BL$82</f>
        <v>0.9025088507030532</v>
      </c>
      <c r="BN72" s="36">
        <v>2666386</v>
      </c>
      <c r="BO72" s="37">
        <f ca="1">BN72/BN$82</f>
        <v>0.45896150978887212</v>
      </c>
      <c r="BP72" s="36">
        <v>6618928</v>
      </c>
      <c r="BQ72" s="37">
        <f ca="1">IFERROR((BP72/BP$82),0)</f>
        <v>0.54769023878610867</v>
      </c>
      <c r="BR72" s="61">
        <f ca="1">SUM(BD72,BH72,BJ72,BL72,BN72,BP72,BF72)</f>
        <v>411477772</v>
      </c>
    </row>
    <row r="73" spans="1:70" x14ac:dyDescent="0.4">
      <c r="B73" s="14" t="s">
        <v>16</v>
      </c>
      <c r="C73" s="15">
        <v>258</v>
      </c>
      <c r="D73" s="16">
        <f ca="1">C73/C$82</f>
        <v>0.39631336405529954</v>
      </c>
      <c r="E73" s="15">
        <v>432</v>
      </c>
      <c r="F73" s="16">
        <f ca="1">E73/E$82</f>
        <v>0.35761589403973509</v>
      </c>
      <c r="G73" s="15">
        <v>25</v>
      </c>
      <c r="H73" s="16">
        <f ca="1">G73/G$82</f>
        <v>9.1911764705882359E-2</v>
      </c>
      <c r="I73" s="15">
        <v>9</v>
      </c>
      <c r="J73" s="16">
        <f ca="1">I73/I$82</f>
        <v>2.6315789473684209E-2</v>
      </c>
      <c r="K73" s="15">
        <v>6</v>
      </c>
      <c r="L73" s="16">
        <f ca="1">K73/K$82</f>
        <v>0.13333333333333333</v>
      </c>
      <c r="M73" s="15">
        <v>52</v>
      </c>
      <c r="N73" s="16">
        <f ca="1">M73/M$82</f>
        <v>0.40625</v>
      </c>
      <c r="O73" s="15">
        <v>10</v>
      </c>
      <c r="P73" s="16">
        <f t="shared" ref="P73:P82" ca="1" si="81">IFERROR((O73/O$82),0)</f>
        <v>0.27027027027027029</v>
      </c>
      <c r="Q73" s="62">
        <f t="shared" ca="1" si="80"/>
        <v>792</v>
      </c>
      <c r="T73" s="14" t="s">
        <v>16</v>
      </c>
      <c r="U73" s="15">
        <v>41616070</v>
      </c>
      <c r="V73" s="16">
        <f ca="1">U73/U$82</f>
        <v>0.40431843933034034</v>
      </c>
      <c r="W73" s="15">
        <v>72918296</v>
      </c>
      <c r="X73" s="16">
        <f ca="1">W73/W$82</f>
        <v>0.33514743244294593</v>
      </c>
      <c r="Y73" s="15">
        <v>2027847</v>
      </c>
      <c r="Z73" s="16">
        <f ca="1">Y73/Y$82</f>
        <v>2.2898482285197048E-2</v>
      </c>
      <c r="AA73" s="15">
        <v>948555</v>
      </c>
      <c r="AB73" s="16">
        <f ca="1">AA73/AA$82</f>
        <v>7.1967747632901034E-3</v>
      </c>
      <c r="AC73" s="15">
        <v>122763</v>
      </c>
      <c r="AD73" s="16">
        <f ca="1">AC73/AC$82</f>
        <v>9.7491149296946841E-2</v>
      </c>
      <c r="AE73" s="15">
        <v>2074911</v>
      </c>
      <c r="AF73" s="16">
        <f ca="1">AE73/AE$82</f>
        <v>0.35715169718020512</v>
      </c>
      <c r="AG73" s="15">
        <v>1938332</v>
      </c>
      <c r="AH73" s="16">
        <f t="shared" ref="AH73:AH82" ca="1" si="82">IFERROR((AG73/AG$82),0)</f>
        <v>0.1603893433992265</v>
      </c>
      <c r="AI73" s="62">
        <f ca="1">SUM(U73,Y73,AA73,AC73,AE73,AG73,W73)</f>
        <v>121646774</v>
      </c>
      <c r="AL73" s="39" t="s">
        <v>16</v>
      </c>
      <c r="AM73" s="40">
        <v>258</v>
      </c>
      <c r="AN73" s="41">
        <f ca="1">AM73/AM$82</f>
        <v>0.39631336405529954</v>
      </c>
      <c r="AO73" s="40">
        <v>432</v>
      </c>
      <c r="AP73" s="41">
        <f ca="1">AO73/AO$82</f>
        <v>0.35761589403973509</v>
      </c>
      <c r="AQ73" s="40">
        <v>25</v>
      </c>
      <c r="AR73" s="41">
        <f ca="1">AQ73/AQ$82</f>
        <v>9.1911764705882359E-2</v>
      </c>
      <c r="AS73" s="40">
        <v>9</v>
      </c>
      <c r="AT73" s="41">
        <f ca="1">AS73/AS$82</f>
        <v>2.6315789473684209E-2</v>
      </c>
      <c r="AU73" s="40">
        <v>6</v>
      </c>
      <c r="AV73" s="41">
        <f ca="1">AU73/AU$82</f>
        <v>0.13333333333333333</v>
      </c>
      <c r="AW73" s="40">
        <v>52</v>
      </c>
      <c r="AX73" s="41">
        <f ca="1">AW73/AW$82</f>
        <v>0.40625</v>
      </c>
      <c r="AY73" s="40">
        <v>10</v>
      </c>
      <c r="AZ73" s="41">
        <f t="shared" ref="AZ73:AZ82" ca="1" si="83">IFERROR((AY73/AY$82),0)</f>
        <v>0.27027027027027029</v>
      </c>
      <c r="BA73" s="63">
        <f ca="1">SUM(AM73,AQ73,AS73,AU73,AW73,AY73,AO73)</f>
        <v>792</v>
      </c>
      <c r="BC73" s="39" t="s">
        <v>16</v>
      </c>
      <c r="BD73" s="40">
        <v>41616070</v>
      </c>
      <c r="BE73" s="41">
        <f ca="1">BD73/BD$82</f>
        <v>0.40431843933034034</v>
      </c>
      <c r="BF73" s="40">
        <v>72918296</v>
      </c>
      <c r="BG73" s="41">
        <f ca="1">BF73/BF$82</f>
        <v>0.33514743244294593</v>
      </c>
      <c r="BH73" s="40">
        <v>2027847</v>
      </c>
      <c r="BI73" s="41">
        <f ca="1">BH73/BH$82</f>
        <v>2.2898482285197048E-2</v>
      </c>
      <c r="BJ73" s="40">
        <v>948555</v>
      </c>
      <c r="BK73" s="41">
        <f ca="1">BJ73/BJ$82</f>
        <v>7.1967747632901034E-3</v>
      </c>
      <c r="BL73" s="40">
        <v>122763</v>
      </c>
      <c r="BM73" s="41">
        <f ca="1">BL73/BL$82</f>
        <v>9.7491149296946841E-2</v>
      </c>
      <c r="BN73" s="40">
        <v>2074911</v>
      </c>
      <c r="BO73" s="41">
        <f ca="1">BN73/BN$82</f>
        <v>0.35715169718020512</v>
      </c>
      <c r="BP73" s="40">
        <v>1938332</v>
      </c>
      <c r="BQ73" s="41">
        <f t="shared" ref="BQ73:BQ82" ca="1" si="84">IFERROR((BP73/BP$82),0)</f>
        <v>0.1603893433992265</v>
      </c>
      <c r="BR73" s="63">
        <f ca="1">SUM(BD73,BH73,BJ73,BL73,BN73,BP73,BF73)</f>
        <v>121646774</v>
      </c>
    </row>
    <row r="74" spans="1:70" x14ac:dyDescent="0.4">
      <c r="B74" s="18" t="s">
        <v>17</v>
      </c>
      <c r="C74" s="19">
        <f ca="1">+SUM(C72:C73)</f>
        <v>583</v>
      </c>
      <c r="D74" s="20">
        <f ca="1">+C74/$C$82</f>
        <v>0.89554531490015366</v>
      </c>
      <c r="E74" s="19">
        <f ca="1">+SUM(E72:E73)</f>
        <v>1117</v>
      </c>
      <c r="F74" s="20">
        <f ca="1">+E74/$E$82</f>
        <v>0.92466887417218546</v>
      </c>
      <c r="G74" s="19">
        <f ca="1">+SUM(G72:G73)</f>
        <v>240</v>
      </c>
      <c r="H74" s="20">
        <f ca="1">+G74/$G$82</f>
        <v>0.88235294117647056</v>
      </c>
      <c r="I74" s="19">
        <f ca="1">+SUM(I72:I73)</f>
        <v>340</v>
      </c>
      <c r="J74" s="20">
        <f ca="1">+I74/$I$82</f>
        <v>0.99415204678362568</v>
      </c>
      <c r="K74" s="19">
        <f ca="1">+SUM(K72:K73)</f>
        <v>45</v>
      </c>
      <c r="L74" s="20">
        <f ca="1">+K74/$K$82</f>
        <v>1</v>
      </c>
      <c r="M74" s="19">
        <f ca="1">+SUM(M72:M73)</f>
        <v>110</v>
      </c>
      <c r="N74" s="20">
        <f ca="1">+M74/$M$82</f>
        <v>0.859375</v>
      </c>
      <c r="O74" s="19">
        <f ca="1">+SUM(O72:O73)</f>
        <v>21</v>
      </c>
      <c r="P74" s="20">
        <f t="shared" ca="1" si="81"/>
        <v>0.56756756756756754</v>
      </c>
      <c r="Q74" s="21">
        <f ca="1">+SUM(Q72:Q73)</f>
        <v>2456</v>
      </c>
      <c r="T74" s="18" t="s">
        <v>17</v>
      </c>
      <c r="U74" s="19">
        <f ca="1">+SUM(U72:U73)</f>
        <v>96397393</v>
      </c>
      <c r="V74" s="20">
        <f ca="1">U74/U$82</f>
        <v>0.93654310686409059</v>
      </c>
      <c r="W74" s="19">
        <f ca="1">+SUM(W72:W73)</f>
        <v>205083443</v>
      </c>
      <c r="X74" s="20">
        <f ca="1">W74/W$82</f>
        <v>0.94260553425452032</v>
      </c>
      <c r="Y74" s="19">
        <f ca="1">+SUM(Y72:Y73)</f>
        <v>85453140</v>
      </c>
      <c r="Z74" s="20">
        <f ca="1">Y74/Y$82</f>
        <v>0.96493828799927372</v>
      </c>
      <c r="AA74" s="19">
        <f ca="1">+SUM(AA72:AA73)</f>
        <v>131632791</v>
      </c>
      <c r="AB74" s="20">
        <f ca="1">AA74/AA$82</f>
        <v>0.99871019423253338</v>
      </c>
      <c r="AC74" s="19">
        <f ca="1">+SUM(AC72:AC73)</f>
        <v>1259222</v>
      </c>
      <c r="AD74" s="20">
        <f ca="1">AC74/AC$82</f>
        <v>1</v>
      </c>
      <c r="AE74" s="19">
        <f ca="1">+SUM(AE72:AE73)</f>
        <v>4741297</v>
      </c>
      <c r="AF74" s="20">
        <f ca="1">AE74/AE$82</f>
        <v>0.8161132069690773</v>
      </c>
      <c r="AG74" s="19">
        <f ca="1">+SUM(AG72:AG73)</f>
        <v>8557260</v>
      </c>
      <c r="AH74" s="20">
        <f t="shared" ca="1" si="82"/>
        <v>0.70807958218533518</v>
      </c>
      <c r="AI74" s="21">
        <f ca="1">+SUM(AI72:AI73)</f>
        <v>533124546</v>
      </c>
      <c r="AL74" s="43" t="s">
        <v>17</v>
      </c>
      <c r="AM74" s="44">
        <f ca="1">+SUM(AM72:AM73)</f>
        <v>583</v>
      </c>
      <c r="AN74" s="45">
        <f ca="1">AM74/AM$82</f>
        <v>0.89554531490015366</v>
      </c>
      <c r="AO74" s="44">
        <f ca="1">+SUM(AO72:AO73)</f>
        <v>1117</v>
      </c>
      <c r="AP74" s="45">
        <f ca="1">AO74/AO$82</f>
        <v>0.92466887417218546</v>
      </c>
      <c r="AQ74" s="44">
        <f ca="1">+SUM(AQ72:AQ73)</f>
        <v>240</v>
      </c>
      <c r="AR74" s="45">
        <f ca="1">AQ74/AQ$82</f>
        <v>0.88235294117647056</v>
      </c>
      <c r="AS74" s="44">
        <f ca="1">+SUM(AS72:AS73)</f>
        <v>340</v>
      </c>
      <c r="AT74" s="45">
        <f ca="1">AS74/AS$82</f>
        <v>0.99415204678362568</v>
      </c>
      <c r="AU74" s="44">
        <f ca="1">+SUM(AU72:AU73)</f>
        <v>45</v>
      </c>
      <c r="AV74" s="45">
        <f ca="1">AU74/AU$82</f>
        <v>1</v>
      </c>
      <c r="AW74" s="44">
        <f ca="1">+SUM(AW72:AW73)</f>
        <v>110</v>
      </c>
      <c r="AX74" s="45">
        <f ca="1">AW74/AW$82</f>
        <v>0.859375</v>
      </c>
      <c r="AY74" s="44">
        <f ca="1">+SUM(AY72:AY73)</f>
        <v>21</v>
      </c>
      <c r="AZ74" s="45">
        <f t="shared" ca="1" si="83"/>
        <v>0.56756756756756754</v>
      </c>
      <c r="BA74" s="46">
        <f ca="1">+SUM(BA72:BA73)</f>
        <v>2456</v>
      </c>
      <c r="BC74" s="43" t="s">
        <v>17</v>
      </c>
      <c r="BD74" s="44">
        <f ca="1">+SUM(BD72:BD73)</f>
        <v>96397393</v>
      </c>
      <c r="BE74" s="45">
        <f ca="1">BD74/BD$82</f>
        <v>0.93654310686409059</v>
      </c>
      <c r="BF74" s="44">
        <f ca="1">+SUM(BF72:BF73)</f>
        <v>205083443</v>
      </c>
      <c r="BG74" s="45">
        <f ca="1">BF74/BF$82</f>
        <v>0.94260553425452032</v>
      </c>
      <c r="BH74" s="44">
        <f ca="1">+SUM(BH72:BH73)</f>
        <v>85453140</v>
      </c>
      <c r="BI74" s="45">
        <f ca="1">BH74/BH$82</f>
        <v>0.96493828799927372</v>
      </c>
      <c r="BJ74" s="44">
        <f ca="1">+SUM(BJ72:BJ73)</f>
        <v>131632791</v>
      </c>
      <c r="BK74" s="45">
        <f ca="1">BJ74/BJ$82</f>
        <v>0.99871019423253338</v>
      </c>
      <c r="BL74" s="44">
        <f ca="1">+SUM(BL72:BL73)</f>
        <v>1259222</v>
      </c>
      <c r="BM74" s="45">
        <f ca="1">BL74/BL$82</f>
        <v>1</v>
      </c>
      <c r="BN74" s="44">
        <f ca="1">+SUM(BN72:BN73)</f>
        <v>4741297</v>
      </c>
      <c r="BO74" s="45">
        <f ca="1">BN74/BN$82</f>
        <v>0.8161132069690773</v>
      </c>
      <c r="BP74" s="44">
        <f ca="1">+SUM(BP72:BP73)</f>
        <v>8557260</v>
      </c>
      <c r="BQ74" s="45">
        <f t="shared" ca="1" si="84"/>
        <v>0.70807958218533518</v>
      </c>
      <c r="BR74" s="46">
        <f ca="1">+SUM(BR72:BR73)</f>
        <v>533124546</v>
      </c>
    </row>
    <row r="75" spans="1:70" x14ac:dyDescent="0.4">
      <c r="B75" s="22" t="s">
        <v>18</v>
      </c>
      <c r="C75" s="15">
        <v>56</v>
      </c>
      <c r="D75" s="16">
        <f t="shared" ref="D75:D82" ca="1" si="85">C75/C$82</f>
        <v>8.6021505376344093E-2</v>
      </c>
      <c r="E75" s="15">
        <v>69</v>
      </c>
      <c r="F75" s="16">
        <f t="shared" ref="F75:F82" ca="1" si="86">E75/E$82</f>
        <v>5.7119205298013245E-2</v>
      </c>
      <c r="G75" s="15">
        <v>32</v>
      </c>
      <c r="H75" s="16">
        <f t="shared" ref="H75:H82" ca="1" si="87">G75/G$82</f>
        <v>0.11764705882352941</v>
      </c>
      <c r="I75" s="15">
        <v>2</v>
      </c>
      <c r="J75" s="16">
        <f t="shared" ref="J75:J82" ca="1" si="88">I75/I$82</f>
        <v>5.8479532163742687E-3</v>
      </c>
      <c r="K75" s="15">
        <v>0</v>
      </c>
      <c r="L75" s="16">
        <f t="shared" ref="L75:L82" ca="1" si="89">K75/K$82</f>
        <v>0</v>
      </c>
      <c r="M75" s="15">
        <v>13</v>
      </c>
      <c r="N75" s="16">
        <f t="shared" ref="N75:N82" ca="1" si="90">M75/M$82</f>
        <v>0.1015625</v>
      </c>
      <c r="O75" s="15">
        <v>15</v>
      </c>
      <c r="P75" s="16">
        <f t="shared" ca="1" si="81"/>
        <v>0.40540540540540543</v>
      </c>
      <c r="Q75" s="62">
        <f t="shared" ca="1" si="80"/>
        <v>187</v>
      </c>
      <c r="T75" s="22" t="s">
        <v>18</v>
      </c>
      <c r="U75" s="15">
        <v>5079954</v>
      </c>
      <c r="V75" s="16">
        <f t="shared" ref="V75:V82" ca="1" si="91">U75/U$82</f>
        <v>4.9353989291874983E-2</v>
      </c>
      <c r="W75" s="15">
        <v>10113708</v>
      </c>
      <c r="X75" s="16">
        <f t="shared" ref="X75:X82" ca="1" si="92">W75/W$82</f>
        <v>4.6484674692311538E-2</v>
      </c>
      <c r="Y75" s="15">
        <v>3105000</v>
      </c>
      <c r="Z75" s="16">
        <f t="shared" ref="Z75:Z82" ca="1" si="93">Y75/Y$82</f>
        <v>3.5061712000726303E-2</v>
      </c>
      <c r="AA75" s="15">
        <v>170000</v>
      </c>
      <c r="AB75" s="16">
        <f t="shared" ref="AB75:AB82" ca="1" si="94">AA75/AA$82</f>
        <v>1.2898057674666388E-3</v>
      </c>
      <c r="AC75" s="15">
        <v>0</v>
      </c>
      <c r="AD75" s="16">
        <f t="shared" ref="AD75:AD82" ca="1" si="95">AC75/AC$82</f>
        <v>0</v>
      </c>
      <c r="AE75" s="15">
        <v>702310</v>
      </c>
      <c r="AF75" s="16">
        <f t="shared" ref="AF75:AF82" ca="1" si="96">AE75/AE$82</f>
        <v>0.12088769515734886</v>
      </c>
      <c r="AG75" s="15">
        <v>3143790</v>
      </c>
      <c r="AH75" s="16">
        <f t="shared" ca="1" si="82"/>
        <v>0.26013624801378415</v>
      </c>
      <c r="AI75" s="62">
        <f t="shared" ref="AI75:AI82" ca="1" si="97">SUM(U75,Y75,AA75,AC75,AE75,AG75,W75)</f>
        <v>22314762</v>
      </c>
      <c r="AL75" s="47" t="s">
        <v>18</v>
      </c>
      <c r="AM75" s="40">
        <v>56</v>
      </c>
      <c r="AN75" s="41">
        <f t="shared" ref="AN75:AN82" ca="1" si="98">AM75/AM$82</f>
        <v>8.6021505376344093E-2</v>
      </c>
      <c r="AO75" s="40">
        <v>69</v>
      </c>
      <c r="AP75" s="41">
        <f t="shared" ref="AP75:AP82" ca="1" si="99">AO75/AO$82</f>
        <v>5.7119205298013245E-2</v>
      </c>
      <c r="AQ75" s="40">
        <v>32</v>
      </c>
      <c r="AR75" s="41">
        <f t="shared" ref="AR75:AR82" ca="1" si="100">AQ75/AQ$82</f>
        <v>0.11764705882352941</v>
      </c>
      <c r="AS75" s="40">
        <v>2</v>
      </c>
      <c r="AT75" s="41">
        <f t="shared" ref="AT75:AT82" ca="1" si="101">AS75/AS$82</f>
        <v>5.8479532163742687E-3</v>
      </c>
      <c r="AU75" s="40">
        <v>0</v>
      </c>
      <c r="AV75" s="41">
        <f t="shared" ref="AV75:AV82" ca="1" si="102">AU75/AU$82</f>
        <v>0</v>
      </c>
      <c r="AW75" s="40">
        <v>13</v>
      </c>
      <c r="AX75" s="41">
        <f t="shared" ref="AX75:AX82" ca="1" si="103">AW75/AW$82</f>
        <v>0.1015625</v>
      </c>
      <c r="AY75" s="40">
        <v>15</v>
      </c>
      <c r="AZ75" s="41">
        <f t="shared" ca="1" si="83"/>
        <v>0.40540540540540543</v>
      </c>
      <c r="BA75" s="63">
        <f t="shared" ref="BA75:BA82" ca="1" si="104">SUM(AM75,AQ75,AS75,AU75,AW75,AY75,AO75)</f>
        <v>187</v>
      </c>
      <c r="BC75" s="47" t="s">
        <v>18</v>
      </c>
      <c r="BD75" s="40">
        <v>5079954</v>
      </c>
      <c r="BE75" s="41">
        <f t="shared" ref="BE75:BE82" ca="1" si="105">BD75/BD$82</f>
        <v>4.9353989291874983E-2</v>
      </c>
      <c r="BF75" s="40">
        <v>10113708</v>
      </c>
      <c r="BG75" s="41">
        <f t="shared" ref="BG75:BG82" ca="1" si="106">BF75/BF$82</f>
        <v>4.6484674692311538E-2</v>
      </c>
      <c r="BH75" s="40">
        <v>3105000</v>
      </c>
      <c r="BI75" s="41">
        <f t="shared" ref="BI75:BI82" ca="1" si="107">BH75/BH$82</f>
        <v>3.5061712000726303E-2</v>
      </c>
      <c r="BJ75" s="40">
        <v>170000</v>
      </c>
      <c r="BK75" s="41">
        <f t="shared" ref="BK75:BK82" ca="1" si="108">BJ75/BJ$82</f>
        <v>1.2898057674666388E-3</v>
      </c>
      <c r="BL75" s="40">
        <v>0</v>
      </c>
      <c r="BM75" s="41">
        <f t="shared" ref="BM75:BM82" ca="1" si="109">BL75/BL$82</f>
        <v>0</v>
      </c>
      <c r="BN75" s="40">
        <v>702310</v>
      </c>
      <c r="BO75" s="41">
        <f t="shared" ref="BO75:BO82" ca="1" si="110">BN75/BN$82</f>
        <v>0.12088769515734886</v>
      </c>
      <c r="BP75" s="40">
        <v>3143790</v>
      </c>
      <c r="BQ75" s="41">
        <f t="shared" ca="1" si="84"/>
        <v>0.26013624801378415</v>
      </c>
      <c r="BR75" s="63">
        <f t="shared" ref="BR75:BR82" ca="1" si="111">SUM(BD75,BH75,BJ75,BL75,BN75,BP75,BF75)</f>
        <v>22314762</v>
      </c>
    </row>
    <row r="76" spans="1:70" x14ac:dyDescent="0.4">
      <c r="B76" s="22" t="s">
        <v>19</v>
      </c>
      <c r="C76" s="15">
        <v>12</v>
      </c>
      <c r="D76" s="16">
        <f t="shared" ca="1" si="85"/>
        <v>1.8433179723502304E-2</v>
      </c>
      <c r="E76" s="15">
        <v>22</v>
      </c>
      <c r="F76" s="16">
        <f t="shared" ca="1" si="86"/>
        <v>1.8211920529801324E-2</v>
      </c>
      <c r="G76" s="15">
        <v>0</v>
      </c>
      <c r="H76" s="16">
        <f t="shared" ca="1" si="87"/>
        <v>0</v>
      </c>
      <c r="I76" s="15">
        <v>0</v>
      </c>
      <c r="J76" s="16">
        <f t="shared" ca="1" si="88"/>
        <v>0</v>
      </c>
      <c r="K76" s="15">
        <v>0</v>
      </c>
      <c r="L76" s="16">
        <f t="shared" ca="1" si="89"/>
        <v>0</v>
      </c>
      <c r="M76" s="15">
        <v>5</v>
      </c>
      <c r="N76" s="16">
        <f t="shared" ca="1" si="90"/>
        <v>3.90625E-2</v>
      </c>
      <c r="O76" s="15">
        <v>1</v>
      </c>
      <c r="P76" s="16">
        <f t="shared" ca="1" si="81"/>
        <v>2.7027027027027029E-2</v>
      </c>
      <c r="Q76" s="62">
        <f t="shared" ca="1" si="80"/>
        <v>40</v>
      </c>
      <c r="T76" s="22" t="s">
        <v>19</v>
      </c>
      <c r="U76" s="15">
        <v>1451597</v>
      </c>
      <c r="V76" s="16">
        <f t="shared" ca="1" si="91"/>
        <v>1.4102903844034386E-2</v>
      </c>
      <c r="W76" s="15">
        <v>2373652</v>
      </c>
      <c r="X76" s="16">
        <f t="shared" ca="1" si="92"/>
        <v>1.0909791053168104E-2</v>
      </c>
      <c r="Y76" s="15">
        <v>0</v>
      </c>
      <c r="Z76" s="16">
        <f t="shared" ca="1" si="93"/>
        <v>0</v>
      </c>
      <c r="AA76" s="15">
        <v>0</v>
      </c>
      <c r="AB76" s="16">
        <f t="shared" ca="1" si="94"/>
        <v>0</v>
      </c>
      <c r="AC76" s="15">
        <v>0</v>
      </c>
      <c r="AD76" s="16">
        <f t="shared" ca="1" si="95"/>
        <v>0</v>
      </c>
      <c r="AE76" s="15">
        <v>366000</v>
      </c>
      <c r="AF76" s="16">
        <f t="shared" ca="1" si="96"/>
        <v>6.2999097873573898E-2</v>
      </c>
      <c r="AG76" s="15">
        <v>384117</v>
      </c>
      <c r="AH76" s="16">
        <f t="shared" ca="1" si="82"/>
        <v>3.1784169800880696E-2</v>
      </c>
      <c r="AI76" s="62">
        <f t="shared" ca="1" si="97"/>
        <v>4575366</v>
      </c>
      <c r="AL76" s="47" t="s">
        <v>19</v>
      </c>
      <c r="AM76" s="40">
        <v>12</v>
      </c>
      <c r="AN76" s="41">
        <f t="shared" ca="1" si="98"/>
        <v>1.8433179723502304E-2</v>
      </c>
      <c r="AO76" s="40">
        <v>22</v>
      </c>
      <c r="AP76" s="41">
        <f t="shared" ca="1" si="99"/>
        <v>1.8211920529801324E-2</v>
      </c>
      <c r="AQ76" s="40">
        <v>0</v>
      </c>
      <c r="AR76" s="41">
        <f t="shared" ca="1" si="100"/>
        <v>0</v>
      </c>
      <c r="AS76" s="40">
        <v>0</v>
      </c>
      <c r="AT76" s="41">
        <f t="shared" ca="1" si="101"/>
        <v>0</v>
      </c>
      <c r="AU76" s="40">
        <v>0</v>
      </c>
      <c r="AV76" s="41">
        <f t="shared" ca="1" si="102"/>
        <v>0</v>
      </c>
      <c r="AW76" s="40">
        <v>5</v>
      </c>
      <c r="AX76" s="41">
        <f t="shared" ca="1" si="103"/>
        <v>3.90625E-2</v>
      </c>
      <c r="AY76" s="40">
        <v>1</v>
      </c>
      <c r="AZ76" s="41">
        <f t="shared" ca="1" si="83"/>
        <v>2.7027027027027029E-2</v>
      </c>
      <c r="BA76" s="63">
        <f t="shared" ca="1" si="104"/>
        <v>40</v>
      </c>
      <c r="BC76" s="47" t="s">
        <v>19</v>
      </c>
      <c r="BD76" s="40">
        <v>1451597</v>
      </c>
      <c r="BE76" s="41">
        <f t="shared" ca="1" si="105"/>
        <v>1.4102903844034386E-2</v>
      </c>
      <c r="BF76" s="40">
        <v>2373652</v>
      </c>
      <c r="BG76" s="41">
        <f t="shared" ca="1" si="106"/>
        <v>1.0909791053168104E-2</v>
      </c>
      <c r="BH76" s="40">
        <v>0</v>
      </c>
      <c r="BI76" s="41">
        <f t="shared" ca="1" si="107"/>
        <v>0</v>
      </c>
      <c r="BJ76" s="40">
        <v>0</v>
      </c>
      <c r="BK76" s="41">
        <f t="shared" ca="1" si="108"/>
        <v>0</v>
      </c>
      <c r="BL76" s="40">
        <v>0</v>
      </c>
      <c r="BM76" s="41">
        <f t="shared" ca="1" si="109"/>
        <v>0</v>
      </c>
      <c r="BN76" s="40">
        <v>366000</v>
      </c>
      <c r="BO76" s="41">
        <f t="shared" ca="1" si="110"/>
        <v>6.2999097873573898E-2</v>
      </c>
      <c r="BP76" s="40">
        <v>384117</v>
      </c>
      <c r="BQ76" s="41">
        <f t="shared" ca="1" si="84"/>
        <v>3.1784169800880696E-2</v>
      </c>
      <c r="BR76" s="63">
        <f t="shared" ca="1" si="111"/>
        <v>4575366</v>
      </c>
    </row>
    <row r="77" spans="1:70" x14ac:dyDescent="0.4">
      <c r="B77" s="22" t="s">
        <v>20</v>
      </c>
      <c r="C77" s="15">
        <v>0</v>
      </c>
      <c r="D77" s="16">
        <f t="shared" ca="1" si="85"/>
        <v>0</v>
      </c>
      <c r="E77" s="15">
        <v>0</v>
      </c>
      <c r="F77" s="16">
        <f t="shared" ca="1" si="86"/>
        <v>0</v>
      </c>
      <c r="G77" s="15">
        <v>0</v>
      </c>
      <c r="H77" s="16">
        <f t="shared" ca="1" si="87"/>
        <v>0</v>
      </c>
      <c r="I77" s="15">
        <v>0</v>
      </c>
      <c r="J77" s="16">
        <f t="shared" ca="1" si="88"/>
        <v>0</v>
      </c>
      <c r="K77" s="15">
        <v>0</v>
      </c>
      <c r="L77" s="16">
        <f t="shared" ca="1" si="89"/>
        <v>0</v>
      </c>
      <c r="M77" s="15">
        <v>0</v>
      </c>
      <c r="N77" s="16">
        <f t="shared" ca="1" si="90"/>
        <v>0</v>
      </c>
      <c r="O77" s="15">
        <v>0</v>
      </c>
      <c r="P77" s="16">
        <f t="shared" ca="1" si="81"/>
        <v>0</v>
      </c>
      <c r="Q77" s="62">
        <f t="shared" ca="1" si="80"/>
        <v>0</v>
      </c>
      <c r="T77" s="22" t="s">
        <v>20</v>
      </c>
      <c r="U77" s="15">
        <v>0</v>
      </c>
      <c r="V77" s="16">
        <f t="shared" ca="1" si="91"/>
        <v>0</v>
      </c>
      <c r="W77" s="15">
        <v>0</v>
      </c>
      <c r="X77" s="16">
        <f t="shared" ca="1" si="92"/>
        <v>0</v>
      </c>
      <c r="Y77" s="15">
        <v>0</v>
      </c>
      <c r="Z77" s="16">
        <f t="shared" ca="1" si="93"/>
        <v>0</v>
      </c>
      <c r="AA77" s="15">
        <v>0</v>
      </c>
      <c r="AB77" s="16">
        <f t="shared" ca="1" si="94"/>
        <v>0</v>
      </c>
      <c r="AC77" s="15">
        <v>0</v>
      </c>
      <c r="AD77" s="16">
        <f t="shared" ca="1" si="95"/>
        <v>0</v>
      </c>
      <c r="AE77" s="15">
        <v>0</v>
      </c>
      <c r="AF77" s="16">
        <f t="shared" ca="1" si="96"/>
        <v>0</v>
      </c>
      <c r="AG77" s="15">
        <v>0</v>
      </c>
      <c r="AH77" s="16">
        <f t="shared" ca="1" si="82"/>
        <v>0</v>
      </c>
      <c r="AI77" s="62">
        <f t="shared" ca="1" si="97"/>
        <v>0</v>
      </c>
      <c r="AL77" s="47" t="s">
        <v>20</v>
      </c>
      <c r="AM77" s="40">
        <v>0</v>
      </c>
      <c r="AN77" s="41">
        <f t="shared" ca="1" si="98"/>
        <v>0</v>
      </c>
      <c r="AO77" s="40">
        <v>0</v>
      </c>
      <c r="AP77" s="41">
        <f t="shared" ca="1" si="99"/>
        <v>0</v>
      </c>
      <c r="AQ77" s="40">
        <v>0</v>
      </c>
      <c r="AR77" s="41">
        <f t="shared" ca="1" si="100"/>
        <v>0</v>
      </c>
      <c r="AS77" s="40">
        <v>0</v>
      </c>
      <c r="AT77" s="41">
        <f t="shared" ca="1" si="101"/>
        <v>0</v>
      </c>
      <c r="AU77" s="40">
        <v>0</v>
      </c>
      <c r="AV77" s="41">
        <f t="shared" ca="1" si="102"/>
        <v>0</v>
      </c>
      <c r="AW77" s="40">
        <v>0</v>
      </c>
      <c r="AX77" s="41">
        <f t="shared" ca="1" si="103"/>
        <v>0</v>
      </c>
      <c r="AY77" s="40">
        <v>0</v>
      </c>
      <c r="AZ77" s="41">
        <f t="shared" ca="1" si="83"/>
        <v>0</v>
      </c>
      <c r="BA77" s="63">
        <f t="shared" ca="1" si="104"/>
        <v>0</v>
      </c>
      <c r="BC77" s="47" t="s">
        <v>20</v>
      </c>
      <c r="BD77" s="40">
        <v>0</v>
      </c>
      <c r="BE77" s="41">
        <f t="shared" ca="1" si="105"/>
        <v>0</v>
      </c>
      <c r="BF77" s="40">
        <v>0</v>
      </c>
      <c r="BG77" s="41">
        <f t="shared" ca="1" si="106"/>
        <v>0</v>
      </c>
      <c r="BH77" s="40">
        <v>0</v>
      </c>
      <c r="BI77" s="41">
        <f t="shared" ca="1" si="107"/>
        <v>0</v>
      </c>
      <c r="BJ77" s="40">
        <v>0</v>
      </c>
      <c r="BK77" s="41">
        <f t="shared" ca="1" si="108"/>
        <v>0</v>
      </c>
      <c r="BL77" s="40">
        <v>0</v>
      </c>
      <c r="BM77" s="41">
        <f t="shared" ca="1" si="109"/>
        <v>0</v>
      </c>
      <c r="BN77" s="40">
        <v>0</v>
      </c>
      <c r="BO77" s="41">
        <f t="shared" ca="1" si="110"/>
        <v>0</v>
      </c>
      <c r="BP77" s="40">
        <v>0</v>
      </c>
      <c r="BQ77" s="41">
        <f t="shared" ca="1" si="84"/>
        <v>0</v>
      </c>
      <c r="BR77" s="63">
        <f t="shared" ca="1" si="111"/>
        <v>0</v>
      </c>
    </row>
    <row r="78" spans="1:70" x14ac:dyDescent="0.4">
      <c r="B78" s="22" t="s">
        <v>21</v>
      </c>
      <c r="C78" s="15">
        <v>0</v>
      </c>
      <c r="D78" s="16">
        <f t="shared" ca="1" si="85"/>
        <v>0</v>
      </c>
      <c r="E78" s="15">
        <v>0</v>
      </c>
      <c r="F78" s="16">
        <f t="shared" ca="1" si="86"/>
        <v>0</v>
      </c>
      <c r="G78" s="15">
        <v>0</v>
      </c>
      <c r="H78" s="16">
        <f t="shared" ca="1" si="87"/>
        <v>0</v>
      </c>
      <c r="I78" s="15">
        <v>0</v>
      </c>
      <c r="J78" s="16">
        <f t="shared" ca="1" si="88"/>
        <v>0</v>
      </c>
      <c r="K78" s="15">
        <v>0</v>
      </c>
      <c r="L78" s="16">
        <f t="shared" ca="1" si="89"/>
        <v>0</v>
      </c>
      <c r="M78" s="15">
        <v>0</v>
      </c>
      <c r="N78" s="16">
        <f t="shared" ca="1" si="90"/>
        <v>0</v>
      </c>
      <c r="O78" s="15">
        <v>0</v>
      </c>
      <c r="P78" s="16">
        <f t="shared" ca="1" si="81"/>
        <v>0</v>
      </c>
      <c r="Q78" s="62">
        <f t="shared" ca="1" si="80"/>
        <v>0</v>
      </c>
      <c r="T78" s="22" t="s">
        <v>21</v>
      </c>
      <c r="U78" s="15">
        <v>0</v>
      </c>
      <c r="V78" s="16">
        <f t="shared" ca="1" si="91"/>
        <v>0</v>
      </c>
      <c r="W78" s="15">
        <v>0</v>
      </c>
      <c r="X78" s="16">
        <f t="shared" ca="1" si="92"/>
        <v>0</v>
      </c>
      <c r="Y78" s="15">
        <v>0</v>
      </c>
      <c r="Z78" s="16">
        <f t="shared" ca="1" si="93"/>
        <v>0</v>
      </c>
      <c r="AA78" s="15">
        <v>0</v>
      </c>
      <c r="AB78" s="16">
        <f t="shared" ca="1" si="94"/>
        <v>0</v>
      </c>
      <c r="AC78" s="15">
        <v>0</v>
      </c>
      <c r="AD78" s="16">
        <f t="shared" ca="1" si="95"/>
        <v>0</v>
      </c>
      <c r="AE78" s="15">
        <v>0</v>
      </c>
      <c r="AF78" s="16">
        <f t="shared" ca="1" si="96"/>
        <v>0</v>
      </c>
      <c r="AG78" s="15">
        <v>0</v>
      </c>
      <c r="AH78" s="16">
        <f t="shared" ca="1" si="82"/>
        <v>0</v>
      </c>
      <c r="AI78" s="62">
        <f t="shared" ca="1" si="97"/>
        <v>0</v>
      </c>
      <c r="AL78" s="47" t="s">
        <v>21</v>
      </c>
      <c r="AM78" s="40">
        <v>0</v>
      </c>
      <c r="AN78" s="41">
        <f t="shared" ca="1" si="98"/>
        <v>0</v>
      </c>
      <c r="AO78" s="40">
        <v>0</v>
      </c>
      <c r="AP78" s="41">
        <f t="shared" ca="1" si="99"/>
        <v>0</v>
      </c>
      <c r="AQ78" s="40">
        <v>0</v>
      </c>
      <c r="AR78" s="41">
        <f t="shared" ca="1" si="100"/>
        <v>0</v>
      </c>
      <c r="AS78" s="40">
        <v>0</v>
      </c>
      <c r="AT78" s="41">
        <f t="shared" ca="1" si="101"/>
        <v>0</v>
      </c>
      <c r="AU78" s="40">
        <v>0</v>
      </c>
      <c r="AV78" s="41">
        <f t="shared" ca="1" si="102"/>
        <v>0</v>
      </c>
      <c r="AW78" s="40">
        <v>0</v>
      </c>
      <c r="AX78" s="41">
        <f t="shared" ca="1" si="103"/>
        <v>0</v>
      </c>
      <c r="AY78" s="40">
        <v>0</v>
      </c>
      <c r="AZ78" s="41">
        <f t="shared" ca="1" si="83"/>
        <v>0</v>
      </c>
      <c r="BA78" s="63">
        <f t="shared" ca="1" si="104"/>
        <v>0</v>
      </c>
      <c r="BC78" s="47" t="s">
        <v>21</v>
      </c>
      <c r="BD78" s="40">
        <v>0</v>
      </c>
      <c r="BE78" s="41">
        <f t="shared" ca="1" si="105"/>
        <v>0</v>
      </c>
      <c r="BF78" s="40">
        <v>0</v>
      </c>
      <c r="BG78" s="41">
        <f t="shared" ca="1" si="106"/>
        <v>0</v>
      </c>
      <c r="BH78" s="40">
        <v>0</v>
      </c>
      <c r="BI78" s="41">
        <f t="shared" ca="1" si="107"/>
        <v>0</v>
      </c>
      <c r="BJ78" s="40">
        <v>0</v>
      </c>
      <c r="BK78" s="41">
        <f t="shared" ca="1" si="108"/>
        <v>0</v>
      </c>
      <c r="BL78" s="40">
        <v>0</v>
      </c>
      <c r="BM78" s="41">
        <f t="shared" ca="1" si="109"/>
        <v>0</v>
      </c>
      <c r="BN78" s="40">
        <v>0</v>
      </c>
      <c r="BO78" s="41">
        <f t="shared" ca="1" si="110"/>
        <v>0</v>
      </c>
      <c r="BP78" s="40">
        <v>0</v>
      </c>
      <c r="BQ78" s="41">
        <f t="shared" ca="1" si="84"/>
        <v>0</v>
      </c>
      <c r="BR78" s="63">
        <f t="shared" ca="1" si="111"/>
        <v>0</v>
      </c>
    </row>
    <row r="79" spans="1:70" x14ac:dyDescent="0.4">
      <c r="B79" s="22" t="s">
        <v>22</v>
      </c>
      <c r="C79" s="15">
        <v>0</v>
      </c>
      <c r="D79" s="16">
        <f t="shared" ca="1" si="85"/>
        <v>0</v>
      </c>
      <c r="E79" s="15">
        <v>0</v>
      </c>
      <c r="F79" s="16">
        <f t="shared" ca="1" si="86"/>
        <v>0</v>
      </c>
      <c r="G79" s="15">
        <v>0</v>
      </c>
      <c r="H79" s="16">
        <f t="shared" ca="1" si="87"/>
        <v>0</v>
      </c>
      <c r="I79" s="15">
        <v>0</v>
      </c>
      <c r="J79" s="16">
        <f t="shared" ca="1" si="88"/>
        <v>0</v>
      </c>
      <c r="K79" s="15">
        <v>0</v>
      </c>
      <c r="L79" s="16">
        <f t="shared" ca="1" si="89"/>
        <v>0</v>
      </c>
      <c r="M79" s="15">
        <v>0</v>
      </c>
      <c r="N79" s="16">
        <f t="shared" ca="1" si="90"/>
        <v>0</v>
      </c>
      <c r="O79" s="15">
        <v>0</v>
      </c>
      <c r="P79" s="16">
        <f t="shared" ca="1" si="81"/>
        <v>0</v>
      </c>
      <c r="Q79" s="62">
        <f t="shared" ca="1" si="80"/>
        <v>0</v>
      </c>
      <c r="T79" s="22" t="s">
        <v>22</v>
      </c>
      <c r="U79" s="15">
        <v>0</v>
      </c>
      <c r="V79" s="16">
        <f t="shared" ca="1" si="91"/>
        <v>0</v>
      </c>
      <c r="W79" s="15">
        <v>0</v>
      </c>
      <c r="X79" s="16">
        <f t="shared" ca="1" si="92"/>
        <v>0</v>
      </c>
      <c r="Y79" s="15">
        <v>0</v>
      </c>
      <c r="Z79" s="16">
        <f t="shared" ca="1" si="93"/>
        <v>0</v>
      </c>
      <c r="AA79" s="15">
        <v>0</v>
      </c>
      <c r="AB79" s="16">
        <f t="shared" ca="1" si="94"/>
        <v>0</v>
      </c>
      <c r="AC79" s="15">
        <v>0</v>
      </c>
      <c r="AD79" s="16">
        <f t="shared" ca="1" si="95"/>
        <v>0</v>
      </c>
      <c r="AE79" s="15">
        <v>0</v>
      </c>
      <c r="AF79" s="16">
        <f t="shared" ca="1" si="96"/>
        <v>0</v>
      </c>
      <c r="AG79" s="15">
        <v>0</v>
      </c>
      <c r="AH79" s="16">
        <f t="shared" ca="1" si="82"/>
        <v>0</v>
      </c>
      <c r="AI79" s="62">
        <f t="shared" ca="1" si="97"/>
        <v>0</v>
      </c>
      <c r="AL79" s="47" t="s">
        <v>22</v>
      </c>
      <c r="AM79" s="40">
        <v>0</v>
      </c>
      <c r="AN79" s="41">
        <f t="shared" ca="1" si="98"/>
        <v>0</v>
      </c>
      <c r="AO79" s="40">
        <v>0</v>
      </c>
      <c r="AP79" s="41">
        <f t="shared" ca="1" si="99"/>
        <v>0</v>
      </c>
      <c r="AQ79" s="40">
        <v>0</v>
      </c>
      <c r="AR79" s="41">
        <f t="shared" ca="1" si="100"/>
        <v>0</v>
      </c>
      <c r="AS79" s="40">
        <v>0</v>
      </c>
      <c r="AT79" s="41">
        <f t="shared" ca="1" si="101"/>
        <v>0</v>
      </c>
      <c r="AU79" s="40">
        <v>0</v>
      </c>
      <c r="AV79" s="41">
        <f t="shared" ca="1" si="102"/>
        <v>0</v>
      </c>
      <c r="AW79" s="40">
        <v>0</v>
      </c>
      <c r="AX79" s="41">
        <f t="shared" ca="1" si="103"/>
        <v>0</v>
      </c>
      <c r="AY79" s="40">
        <v>0</v>
      </c>
      <c r="AZ79" s="41">
        <f t="shared" ca="1" si="83"/>
        <v>0</v>
      </c>
      <c r="BA79" s="63">
        <f t="shared" ca="1" si="104"/>
        <v>0</v>
      </c>
      <c r="BC79" s="47" t="s">
        <v>22</v>
      </c>
      <c r="BD79" s="40">
        <v>0</v>
      </c>
      <c r="BE79" s="41">
        <f t="shared" ca="1" si="105"/>
        <v>0</v>
      </c>
      <c r="BF79" s="40">
        <v>0</v>
      </c>
      <c r="BG79" s="41">
        <f t="shared" ca="1" si="106"/>
        <v>0</v>
      </c>
      <c r="BH79" s="40">
        <v>0</v>
      </c>
      <c r="BI79" s="41">
        <f t="shared" ca="1" si="107"/>
        <v>0</v>
      </c>
      <c r="BJ79" s="40">
        <v>0</v>
      </c>
      <c r="BK79" s="41">
        <f t="shared" ca="1" si="108"/>
        <v>0</v>
      </c>
      <c r="BL79" s="40">
        <v>0</v>
      </c>
      <c r="BM79" s="41">
        <f t="shared" ca="1" si="109"/>
        <v>0</v>
      </c>
      <c r="BN79" s="40">
        <v>0</v>
      </c>
      <c r="BO79" s="41">
        <f t="shared" ca="1" si="110"/>
        <v>0</v>
      </c>
      <c r="BP79" s="40">
        <v>0</v>
      </c>
      <c r="BQ79" s="41">
        <f t="shared" ca="1" si="84"/>
        <v>0</v>
      </c>
      <c r="BR79" s="63">
        <f t="shared" ca="1" si="111"/>
        <v>0</v>
      </c>
    </row>
    <row r="80" spans="1:70" x14ac:dyDescent="0.4">
      <c r="B80" s="22" t="s">
        <v>23</v>
      </c>
      <c r="C80" s="15">
        <v>0</v>
      </c>
      <c r="D80" s="16">
        <f t="shared" ca="1" si="85"/>
        <v>0</v>
      </c>
      <c r="E80" s="15">
        <v>0</v>
      </c>
      <c r="F80" s="16">
        <f t="shared" ca="1" si="86"/>
        <v>0</v>
      </c>
      <c r="G80" s="15">
        <v>0</v>
      </c>
      <c r="H80" s="16">
        <f t="shared" ca="1" si="87"/>
        <v>0</v>
      </c>
      <c r="I80" s="15">
        <v>0</v>
      </c>
      <c r="J80" s="16">
        <f t="shared" ca="1" si="88"/>
        <v>0</v>
      </c>
      <c r="K80" s="15">
        <v>0</v>
      </c>
      <c r="L80" s="16">
        <f t="shared" ca="1" si="89"/>
        <v>0</v>
      </c>
      <c r="M80" s="15">
        <v>0</v>
      </c>
      <c r="N80" s="16">
        <f t="shared" ca="1" si="90"/>
        <v>0</v>
      </c>
      <c r="O80" s="15">
        <v>0</v>
      </c>
      <c r="P80" s="16">
        <f t="shared" ca="1" si="81"/>
        <v>0</v>
      </c>
      <c r="Q80" s="62">
        <f t="shared" ca="1" si="80"/>
        <v>0</v>
      </c>
      <c r="T80" s="22" t="s">
        <v>23</v>
      </c>
      <c r="U80" s="15">
        <v>0</v>
      </c>
      <c r="V80" s="16">
        <f t="shared" ca="1" si="91"/>
        <v>0</v>
      </c>
      <c r="W80" s="15">
        <v>0</v>
      </c>
      <c r="X80" s="16">
        <f t="shared" ca="1" si="92"/>
        <v>0</v>
      </c>
      <c r="Y80" s="15">
        <v>0</v>
      </c>
      <c r="Z80" s="16">
        <f t="shared" ca="1" si="93"/>
        <v>0</v>
      </c>
      <c r="AA80" s="15">
        <v>0</v>
      </c>
      <c r="AB80" s="16">
        <f t="shared" ca="1" si="94"/>
        <v>0</v>
      </c>
      <c r="AC80" s="15">
        <v>0</v>
      </c>
      <c r="AD80" s="16">
        <f t="shared" ca="1" si="95"/>
        <v>0</v>
      </c>
      <c r="AE80" s="15">
        <v>0</v>
      </c>
      <c r="AF80" s="16">
        <f t="shared" ca="1" si="96"/>
        <v>0</v>
      </c>
      <c r="AG80" s="15">
        <v>0</v>
      </c>
      <c r="AH80" s="16">
        <f t="shared" ca="1" si="82"/>
        <v>0</v>
      </c>
      <c r="AI80" s="62">
        <f t="shared" ca="1" si="97"/>
        <v>0</v>
      </c>
      <c r="AL80" s="47" t="s">
        <v>23</v>
      </c>
      <c r="AM80" s="40">
        <v>0</v>
      </c>
      <c r="AN80" s="41">
        <f t="shared" ca="1" si="98"/>
        <v>0</v>
      </c>
      <c r="AO80" s="40">
        <v>0</v>
      </c>
      <c r="AP80" s="41">
        <f t="shared" ca="1" si="99"/>
        <v>0</v>
      </c>
      <c r="AQ80" s="40">
        <v>0</v>
      </c>
      <c r="AR80" s="41">
        <f t="shared" ca="1" si="100"/>
        <v>0</v>
      </c>
      <c r="AS80" s="40">
        <v>0</v>
      </c>
      <c r="AT80" s="41">
        <f t="shared" ca="1" si="101"/>
        <v>0</v>
      </c>
      <c r="AU80" s="40">
        <v>0</v>
      </c>
      <c r="AV80" s="41">
        <f t="shared" ca="1" si="102"/>
        <v>0</v>
      </c>
      <c r="AW80" s="40">
        <v>0</v>
      </c>
      <c r="AX80" s="41">
        <f t="shared" ca="1" si="103"/>
        <v>0</v>
      </c>
      <c r="AY80" s="40">
        <v>0</v>
      </c>
      <c r="AZ80" s="41">
        <f t="shared" ca="1" si="83"/>
        <v>0</v>
      </c>
      <c r="BA80" s="63">
        <f t="shared" ca="1" si="104"/>
        <v>0</v>
      </c>
      <c r="BC80" s="47" t="s">
        <v>23</v>
      </c>
      <c r="BD80" s="40">
        <v>0</v>
      </c>
      <c r="BE80" s="41">
        <f t="shared" ca="1" si="105"/>
        <v>0</v>
      </c>
      <c r="BF80" s="40">
        <v>0</v>
      </c>
      <c r="BG80" s="41">
        <f t="shared" ca="1" si="106"/>
        <v>0</v>
      </c>
      <c r="BH80" s="40">
        <v>0</v>
      </c>
      <c r="BI80" s="41">
        <f t="shared" ca="1" si="107"/>
        <v>0</v>
      </c>
      <c r="BJ80" s="40">
        <v>0</v>
      </c>
      <c r="BK80" s="41">
        <f t="shared" ca="1" si="108"/>
        <v>0</v>
      </c>
      <c r="BL80" s="40">
        <v>0</v>
      </c>
      <c r="BM80" s="41">
        <f t="shared" ca="1" si="109"/>
        <v>0</v>
      </c>
      <c r="BN80" s="40">
        <v>0</v>
      </c>
      <c r="BO80" s="41">
        <f t="shared" ca="1" si="110"/>
        <v>0</v>
      </c>
      <c r="BP80" s="40">
        <v>0</v>
      </c>
      <c r="BQ80" s="41">
        <f t="shared" ca="1" si="84"/>
        <v>0</v>
      </c>
      <c r="BR80" s="63">
        <f t="shared" ca="1" si="111"/>
        <v>0</v>
      </c>
    </row>
    <row r="81" spans="2:70" x14ac:dyDescent="0.4">
      <c r="B81" s="23" t="s">
        <v>24</v>
      </c>
      <c r="C81" s="24">
        <v>0</v>
      </c>
      <c r="D81" s="25">
        <f t="shared" ca="1" si="85"/>
        <v>0</v>
      </c>
      <c r="E81" s="24">
        <v>0</v>
      </c>
      <c r="F81" s="25">
        <f t="shared" ca="1" si="86"/>
        <v>0</v>
      </c>
      <c r="G81" s="24">
        <v>0</v>
      </c>
      <c r="H81" s="25">
        <f t="shared" ca="1" si="87"/>
        <v>0</v>
      </c>
      <c r="I81" s="24">
        <v>0</v>
      </c>
      <c r="J81" s="25">
        <f t="shared" ca="1" si="88"/>
        <v>0</v>
      </c>
      <c r="K81" s="24">
        <v>0</v>
      </c>
      <c r="L81" s="25">
        <f t="shared" ca="1" si="89"/>
        <v>0</v>
      </c>
      <c r="M81" s="24">
        <v>0</v>
      </c>
      <c r="N81" s="25">
        <f t="shared" ca="1" si="90"/>
        <v>0</v>
      </c>
      <c r="O81" s="24">
        <v>0</v>
      </c>
      <c r="P81" s="25">
        <f t="shared" ca="1" si="81"/>
        <v>0</v>
      </c>
      <c r="Q81" s="64">
        <f t="shared" ca="1" si="80"/>
        <v>0</v>
      </c>
      <c r="T81" s="23" t="s">
        <v>24</v>
      </c>
      <c r="U81" s="24">
        <v>0</v>
      </c>
      <c r="V81" s="25">
        <f t="shared" ca="1" si="91"/>
        <v>0</v>
      </c>
      <c r="W81" s="24">
        <v>0</v>
      </c>
      <c r="X81" s="25">
        <f t="shared" ca="1" si="92"/>
        <v>0</v>
      </c>
      <c r="Y81" s="24">
        <v>0</v>
      </c>
      <c r="Z81" s="25">
        <f t="shared" ca="1" si="93"/>
        <v>0</v>
      </c>
      <c r="AA81" s="24">
        <v>0</v>
      </c>
      <c r="AB81" s="25">
        <f t="shared" ca="1" si="94"/>
        <v>0</v>
      </c>
      <c r="AC81" s="24">
        <v>0</v>
      </c>
      <c r="AD81" s="25">
        <f t="shared" ca="1" si="95"/>
        <v>0</v>
      </c>
      <c r="AE81" s="24">
        <v>0</v>
      </c>
      <c r="AF81" s="25">
        <f t="shared" ca="1" si="96"/>
        <v>0</v>
      </c>
      <c r="AG81" s="24">
        <v>0</v>
      </c>
      <c r="AH81" s="25">
        <f t="shared" ca="1" si="82"/>
        <v>0</v>
      </c>
      <c r="AI81" s="64">
        <f t="shared" ca="1" si="97"/>
        <v>0</v>
      </c>
      <c r="AL81" s="48" t="s">
        <v>24</v>
      </c>
      <c r="AM81" s="49">
        <v>0</v>
      </c>
      <c r="AN81" s="50">
        <f t="shared" ca="1" si="98"/>
        <v>0</v>
      </c>
      <c r="AO81" s="49">
        <v>0</v>
      </c>
      <c r="AP81" s="50">
        <f t="shared" ca="1" si="99"/>
        <v>0</v>
      </c>
      <c r="AQ81" s="49">
        <v>0</v>
      </c>
      <c r="AR81" s="50">
        <f t="shared" ca="1" si="100"/>
        <v>0</v>
      </c>
      <c r="AS81" s="49">
        <v>0</v>
      </c>
      <c r="AT81" s="50">
        <f t="shared" ca="1" si="101"/>
        <v>0</v>
      </c>
      <c r="AU81" s="49">
        <v>0</v>
      </c>
      <c r="AV81" s="50">
        <f t="shared" ca="1" si="102"/>
        <v>0</v>
      </c>
      <c r="AW81" s="49">
        <v>0</v>
      </c>
      <c r="AX81" s="50">
        <f t="shared" ca="1" si="103"/>
        <v>0</v>
      </c>
      <c r="AY81" s="49">
        <v>0</v>
      </c>
      <c r="AZ81" s="50">
        <f t="shared" ca="1" si="83"/>
        <v>0</v>
      </c>
      <c r="BA81" s="65">
        <f t="shared" ca="1" si="104"/>
        <v>0</v>
      </c>
      <c r="BC81" s="48" t="s">
        <v>24</v>
      </c>
      <c r="BD81" s="49">
        <v>0</v>
      </c>
      <c r="BE81" s="50">
        <f t="shared" ca="1" si="105"/>
        <v>0</v>
      </c>
      <c r="BF81" s="49">
        <v>0</v>
      </c>
      <c r="BG81" s="50">
        <f t="shared" ca="1" si="106"/>
        <v>0</v>
      </c>
      <c r="BH81" s="49">
        <v>0</v>
      </c>
      <c r="BI81" s="50">
        <f t="shared" ca="1" si="107"/>
        <v>0</v>
      </c>
      <c r="BJ81" s="49">
        <v>0</v>
      </c>
      <c r="BK81" s="50">
        <f t="shared" ca="1" si="108"/>
        <v>0</v>
      </c>
      <c r="BL81" s="49">
        <v>0</v>
      </c>
      <c r="BM81" s="50">
        <f t="shared" ca="1" si="109"/>
        <v>0</v>
      </c>
      <c r="BN81" s="49">
        <v>0</v>
      </c>
      <c r="BO81" s="50">
        <f t="shared" ca="1" si="110"/>
        <v>0</v>
      </c>
      <c r="BP81" s="49">
        <v>0</v>
      </c>
      <c r="BQ81" s="50">
        <f t="shared" ca="1" si="84"/>
        <v>0</v>
      </c>
      <c r="BR81" s="65">
        <f t="shared" ca="1" si="111"/>
        <v>0</v>
      </c>
    </row>
    <row r="82" spans="2:70" x14ac:dyDescent="0.4">
      <c r="B82" s="27" t="s">
        <v>25</v>
      </c>
      <c r="C82" s="28">
        <f ca="1">SUM(C74:C81)</f>
        <v>651</v>
      </c>
      <c r="D82" s="29">
        <f t="shared" ca="1" si="85"/>
        <v>1</v>
      </c>
      <c r="E82" s="28">
        <f ca="1">SUM(E74:E81)</f>
        <v>1208</v>
      </c>
      <c r="F82" s="30">
        <f t="shared" ca="1" si="86"/>
        <v>1</v>
      </c>
      <c r="G82" s="28">
        <f ca="1">SUM(G74:G81)</f>
        <v>272</v>
      </c>
      <c r="H82" s="29">
        <f t="shared" ca="1" si="87"/>
        <v>1</v>
      </c>
      <c r="I82" s="28">
        <f ca="1">SUM(I74:I81)</f>
        <v>342</v>
      </c>
      <c r="J82" s="29">
        <f t="shared" ca="1" si="88"/>
        <v>1</v>
      </c>
      <c r="K82" s="28">
        <f ca="1">SUM(K74:K81)</f>
        <v>45</v>
      </c>
      <c r="L82" s="29">
        <f t="shared" ca="1" si="89"/>
        <v>1</v>
      </c>
      <c r="M82" s="28">
        <f ca="1">SUM(M74:M81)</f>
        <v>128</v>
      </c>
      <c r="N82" s="29">
        <f t="shared" ca="1" si="90"/>
        <v>1</v>
      </c>
      <c r="O82" s="28">
        <f ca="1">SUM(O74:O81)</f>
        <v>37</v>
      </c>
      <c r="P82" s="29">
        <f t="shared" ca="1" si="81"/>
        <v>1</v>
      </c>
      <c r="Q82" s="31">
        <f t="shared" ca="1" si="80"/>
        <v>2683</v>
      </c>
      <c r="T82" s="27" t="s">
        <v>25</v>
      </c>
      <c r="U82" s="28">
        <f ca="1">SUM(U74:U81)</f>
        <v>102928944</v>
      </c>
      <c r="V82" s="29">
        <f t="shared" ca="1" si="91"/>
        <v>1</v>
      </c>
      <c r="W82" s="28">
        <f ca="1">SUM(W74:W81)</f>
        <v>217570803</v>
      </c>
      <c r="X82" s="30">
        <f t="shared" ca="1" si="92"/>
        <v>1</v>
      </c>
      <c r="Y82" s="28">
        <f ca="1">SUM(Y74:Y81)</f>
        <v>88558140</v>
      </c>
      <c r="Z82" s="29">
        <f t="shared" ca="1" si="93"/>
        <v>1</v>
      </c>
      <c r="AA82" s="28">
        <f ca="1">SUM(AA74:AA81)</f>
        <v>131802791</v>
      </c>
      <c r="AB82" s="29">
        <f t="shared" ca="1" si="94"/>
        <v>1</v>
      </c>
      <c r="AC82" s="28">
        <f ca="1">SUM(AC74:AC81)</f>
        <v>1259222</v>
      </c>
      <c r="AD82" s="29">
        <f t="shared" ca="1" si="95"/>
        <v>1</v>
      </c>
      <c r="AE82" s="28">
        <f ca="1">SUM(AE74:AE81)</f>
        <v>5809607</v>
      </c>
      <c r="AF82" s="29">
        <f t="shared" ca="1" si="96"/>
        <v>1</v>
      </c>
      <c r="AG82" s="28">
        <f ca="1">SUM(AG74:AG81)</f>
        <v>12085167</v>
      </c>
      <c r="AH82" s="29">
        <f t="shared" ca="1" si="82"/>
        <v>1</v>
      </c>
      <c r="AI82" s="31">
        <f t="shared" ca="1" si="97"/>
        <v>560014674</v>
      </c>
      <c r="AL82" s="52" t="s">
        <v>25</v>
      </c>
      <c r="AM82" s="53">
        <f ca="1">SUM(AM74:AM81)</f>
        <v>651</v>
      </c>
      <c r="AN82" s="54">
        <f t="shared" ca="1" si="98"/>
        <v>1</v>
      </c>
      <c r="AO82" s="53">
        <f ca="1">SUM(AO74:AO81)</f>
        <v>1208</v>
      </c>
      <c r="AP82" s="55">
        <f t="shared" ca="1" si="99"/>
        <v>1</v>
      </c>
      <c r="AQ82" s="53">
        <f ca="1">SUM(AQ74:AQ81)</f>
        <v>272</v>
      </c>
      <c r="AR82" s="54">
        <f t="shared" ca="1" si="100"/>
        <v>1</v>
      </c>
      <c r="AS82" s="53">
        <f ca="1">SUM(AS74:AS81)</f>
        <v>342</v>
      </c>
      <c r="AT82" s="54">
        <f t="shared" ca="1" si="101"/>
        <v>1</v>
      </c>
      <c r="AU82" s="53">
        <f ca="1">SUM(AU74:AU81)</f>
        <v>45</v>
      </c>
      <c r="AV82" s="54">
        <f t="shared" ca="1" si="102"/>
        <v>1</v>
      </c>
      <c r="AW82" s="53">
        <f ca="1">SUM(AW74:AW81)</f>
        <v>128</v>
      </c>
      <c r="AX82" s="54">
        <f t="shared" ca="1" si="103"/>
        <v>1</v>
      </c>
      <c r="AY82" s="53">
        <f ca="1">SUM(AY74:AY81)</f>
        <v>37</v>
      </c>
      <c r="AZ82" s="54">
        <f t="shared" ca="1" si="83"/>
        <v>1</v>
      </c>
      <c r="BA82" s="56">
        <f t="shared" ca="1" si="104"/>
        <v>2683</v>
      </c>
      <c r="BC82" s="52" t="s">
        <v>25</v>
      </c>
      <c r="BD82" s="53">
        <f ca="1">SUM(BD74:BD81)</f>
        <v>102928944</v>
      </c>
      <c r="BE82" s="54">
        <f t="shared" ca="1" si="105"/>
        <v>1</v>
      </c>
      <c r="BF82" s="53">
        <f ca="1">SUM(BF74:BF81)</f>
        <v>217570803</v>
      </c>
      <c r="BG82" s="55">
        <f t="shared" ca="1" si="106"/>
        <v>1</v>
      </c>
      <c r="BH82" s="53">
        <f ca="1">SUM(BH74:BH81)</f>
        <v>88558140</v>
      </c>
      <c r="BI82" s="54">
        <f t="shared" ca="1" si="107"/>
        <v>1</v>
      </c>
      <c r="BJ82" s="53">
        <f ca="1">SUM(BJ74:BJ81)</f>
        <v>131802791</v>
      </c>
      <c r="BK82" s="54">
        <f t="shared" ca="1" si="108"/>
        <v>1</v>
      </c>
      <c r="BL82" s="53">
        <f ca="1">SUM(BL74:BL81)</f>
        <v>1259222</v>
      </c>
      <c r="BM82" s="54">
        <f t="shared" ca="1" si="109"/>
        <v>1</v>
      </c>
      <c r="BN82" s="53">
        <f ca="1">SUM(BN74:BN81)</f>
        <v>5809607</v>
      </c>
      <c r="BO82" s="54">
        <f t="shared" ca="1" si="110"/>
        <v>1</v>
      </c>
      <c r="BP82" s="53">
        <f ca="1">SUM(BP74:BP81)</f>
        <v>12085167</v>
      </c>
      <c r="BQ82" s="54">
        <f t="shared" ca="1" si="84"/>
        <v>1</v>
      </c>
      <c r="BR82" s="56">
        <f t="shared" ca="1" si="111"/>
        <v>560014674</v>
      </c>
    </row>
    <row r="83" spans="2:70" x14ac:dyDescent="0.4">
      <c r="B83" s="32" t="s">
        <v>26</v>
      </c>
      <c r="C83" s="33">
        <f ca="1">C82/$Q$82</f>
        <v>0.24263883712262393</v>
      </c>
      <c r="D83" s="33"/>
      <c r="E83" s="33">
        <f ca="1">E82/$Q$82</f>
        <v>0.45024226612001489</v>
      </c>
      <c r="F83" s="33"/>
      <c r="G83" s="33">
        <f ca="1">G82/$Q$82</f>
        <v>0.10137905329854641</v>
      </c>
      <c r="H83" s="33"/>
      <c r="I83" s="33">
        <f ca="1">I82/$Q$82</f>
        <v>0.12746925083861349</v>
      </c>
      <c r="J83" s="33"/>
      <c r="K83" s="33">
        <f ca="1">K82/$Q$82</f>
        <v>1.6772269847185987E-2</v>
      </c>
      <c r="L83" s="33"/>
      <c r="M83" s="33">
        <f ca="1">M82/$Q$82</f>
        <v>4.7707789787551247E-2</v>
      </c>
      <c r="N83" s="33"/>
      <c r="O83" s="33">
        <f ca="1">O82/$Q$82</f>
        <v>1.3790532985464033E-2</v>
      </c>
      <c r="P83" s="33"/>
      <c r="Q83" s="34">
        <f ca="1">Q82/$Q$82</f>
        <v>1</v>
      </c>
      <c r="T83" s="32" t="s">
        <v>26</v>
      </c>
      <c r="U83" s="33">
        <f ca="1">U82/$AI$82</f>
        <v>0.18379686957988534</v>
      </c>
      <c r="V83" s="33"/>
      <c r="W83" s="33">
        <f ca="1">W82/$AI$82</f>
        <v>0.38850911074519451</v>
      </c>
      <c r="X83" s="33"/>
      <c r="Y83" s="33">
        <f ca="1">Y82/$AI$82</f>
        <v>0.15813539200224599</v>
      </c>
      <c r="Z83" s="33"/>
      <c r="AA83" s="33">
        <f ca="1">AA82/$AI$82</f>
        <v>0.23535595961901526</v>
      </c>
      <c r="AB83" s="33"/>
      <c r="AC83" s="33">
        <f ca="1">AC82/$AI$82</f>
        <v>2.2485517941981644E-3</v>
      </c>
      <c r="AD83" s="33"/>
      <c r="AE83" s="33">
        <f ca="1">AE82/$AI$82</f>
        <v>1.0374026377744523E-2</v>
      </c>
      <c r="AF83" s="33"/>
      <c r="AG83" s="33">
        <f ca="1">AG82/$AI$82</f>
        <v>2.1580089881716207E-2</v>
      </c>
      <c r="AH83" s="33"/>
      <c r="AI83" s="34">
        <f ca="1">AI82/$AI$82</f>
        <v>1</v>
      </c>
      <c r="AL83" s="57" t="s">
        <v>26</v>
      </c>
      <c r="AM83" s="58">
        <f ca="1">AM82/$BA$82</f>
        <v>0.24263883712262393</v>
      </c>
      <c r="AN83" s="58"/>
      <c r="AO83" s="58">
        <f ca="1">AO82/$BA$82</f>
        <v>0.45024226612001489</v>
      </c>
      <c r="AP83" s="58"/>
      <c r="AQ83" s="58">
        <f ca="1">AQ82/$BA$82</f>
        <v>0.10137905329854641</v>
      </c>
      <c r="AR83" s="58"/>
      <c r="AS83" s="58">
        <f ca="1">AS82/$BA$82</f>
        <v>0.12746925083861349</v>
      </c>
      <c r="AT83" s="58"/>
      <c r="AU83" s="58">
        <f ca="1">AU82/$BA$82</f>
        <v>1.6772269847185987E-2</v>
      </c>
      <c r="AV83" s="58"/>
      <c r="AW83" s="58">
        <f ca="1">AW82/$BA$82</f>
        <v>4.7707789787551247E-2</v>
      </c>
      <c r="AX83" s="58"/>
      <c r="AY83" s="58">
        <f ca="1">AY82/$BA$82</f>
        <v>1.3790532985464033E-2</v>
      </c>
      <c r="AZ83" s="58"/>
      <c r="BA83" s="59">
        <f ca="1">BA82/$BA$82</f>
        <v>1</v>
      </c>
      <c r="BC83" s="57" t="s">
        <v>26</v>
      </c>
      <c r="BD83" s="58">
        <f ca="1">BD82/$BR$82</f>
        <v>0.18379686957988534</v>
      </c>
      <c r="BE83" s="58"/>
      <c r="BF83" s="58">
        <f ca="1">BF82/$BR$82</f>
        <v>0.38850911074519451</v>
      </c>
      <c r="BG83" s="58"/>
      <c r="BH83" s="58">
        <f ca="1">BH82/$BR$82</f>
        <v>0.15813539200224599</v>
      </c>
      <c r="BI83" s="58"/>
      <c r="BJ83" s="58">
        <f ca="1">BJ82/$BR$82</f>
        <v>0.23535595961901526</v>
      </c>
      <c r="BK83" s="58"/>
      <c r="BL83" s="58">
        <f ca="1">BL82/$BR$82</f>
        <v>2.2485517941981644E-3</v>
      </c>
      <c r="BM83" s="58"/>
      <c r="BN83" s="58">
        <f ca="1">BN82/$BR$82</f>
        <v>1.0374026377744523E-2</v>
      </c>
      <c r="BO83" s="58"/>
      <c r="BP83" s="58">
        <f ca="1">BP82/$BR$82</f>
        <v>2.1580089881716207E-2</v>
      </c>
      <c r="BQ83" s="58"/>
      <c r="BR83" s="59">
        <f ca="1">BR82/$BR$82</f>
        <v>1</v>
      </c>
    </row>
    <row r="85" spans="2:70" x14ac:dyDescent="0.4">
      <c r="B85" s="4" t="s">
        <v>29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T85" s="4" t="s">
        <v>29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2:70" x14ac:dyDescent="0.4">
      <c r="B86" s="5"/>
      <c r="C86" s="6" t="s">
        <v>3</v>
      </c>
      <c r="D86" s="6"/>
      <c r="E86" s="6" t="s">
        <v>4</v>
      </c>
      <c r="F86" s="6"/>
      <c r="G86" s="6" t="s">
        <v>5</v>
      </c>
      <c r="H86" s="6"/>
      <c r="I86" s="6" t="s">
        <v>6</v>
      </c>
      <c r="J86" s="6"/>
      <c r="K86" s="6" t="s">
        <v>7</v>
      </c>
      <c r="L86" s="6"/>
      <c r="M86" s="6" t="s">
        <v>8</v>
      </c>
      <c r="N86" s="6"/>
      <c r="O86" s="6" t="s">
        <v>9</v>
      </c>
      <c r="P86" s="6"/>
      <c r="Q86" s="7" t="s">
        <v>10</v>
      </c>
      <c r="T86" s="5"/>
      <c r="U86" s="6" t="s">
        <v>3</v>
      </c>
      <c r="V86" s="6"/>
      <c r="W86" s="6" t="s">
        <v>4</v>
      </c>
      <c r="X86" s="6"/>
      <c r="Y86" s="6" t="s">
        <v>5</v>
      </c>
      <c r="Z86" s="6"/>
      <c r="AA86" s="6" t="s">
        <v>6</v>
      </c>
      <c r="AB86" s="6"/>
      <c r="AC86" s="6" t="s">
        <v>7</v>
      </c>
      <c r="AD86" s="6"/>
      <c r="AE86" s="6" t="s">
        <v>8</v>
      </c>
      <c r="AF86" s="6"/>
      <c r="AG86" s="6" t="s">
        <v>9</v>
      </c>
      <c r="AH86" s="6"/>
      <c r="AI86" s="7" t="s">
        <v>10</v>
      </c>
    </row>
    <row r="87" spans="2:70" x14ac:dyDescent="0.4">
      <c r="B87" s="8" t="s">
        <v>11</v>
      </c>
      <c r="C87" s="8" t="s">
        <v>12</v>
      </c>
      <c r="D87" s="8" t="s">
        <v>13</v>
      </c>
      <c r="E87" s="8" t="s">
        <v>12</v>
      </c>
      <c r="F87" s="8" t="s">
        <v>13</v>
      </c>
      <c r="G87" s="8" t="s">
        <v>12</v>
      </c>
      <c r="H87" s="8" t="s">
        <v>13</v>
      </c>
      <c r="I87" s="8" t="s">
        <v>12</v>
      </c>
      <c r="J87" s="8" t="s">
        <v>13</v>
      </c>
      <c r="K87" s="8" t="s">
        <v>12</v>
      </c>
      <c r="L87" s="8" t="s">
        <v>13</v>
      </c>
      <c r="M87" s="8" t="s">
        <v>12</v>
      </c>
      <c r="N87" s="8" t="s">
        <v>13</v>
      </c>
      <c r="O87" s="8" t="s">
        <v>12</v>
      </c>
      <c r="P87" s="8" t="s">
        <v>13</v>
      </c>
      <c r="Q87" s="7"/>
      <c r="T87" s="8" t="s">
        <v>11</v>
      </c>
      <c r="U87" s="8" t="s">
        <v>14</v>
      </c>
      <c r="V87" s="8" t="s">
        <v>13</v>
      </c>
      <c r="W87" s="8" t="s">
        <v>14</v>
      </c>
      <c r="X87" s="8" t="s">
        <v>13</v>
      </c>
      <c r="Y87" s="8" t="s">
        <v>14</v>
      </c>
      <c r="Z87" s="8" t="s">
        <v>13</v>
      </c>
      <c r="AA87" s="8" t="s">
        <v>14</v>
      </c>
      <c r="AB87" s="8" t="s">
        <v>13</v>
      </c>
      <c r="AC87" s="8" t="s">
        <v>14</v>
      </c>
      <c r="AD87" s="8" t="s">
        <v>13</v>
      </c>
      <c r="AE87" s="8" t="s">
        <v>14</v>
      </c>
      <c r="AF87" s="8" t="s">
        <v>13</v>
      </c>
      <c r="AG87" s="8" t="s">
        <v>14</v>
      </c>
      <c r="AH87" s="8" t="s">
        <v>13</v>
      </c>
      <c r="AI87" s="7"/>
    </row>
    <row r="88" spans="2:70" x14ac:dyDescent="0.4">
      <c r="B88" s="9" t="s">
        <v>15</v>
      </c>
      <c r="C88" s="10">
        <v>88</v>
      </c>
      <c r="D88" s="11">
        <f ca="1">C88/C$98</f>
        <v>0.34920634920634919</v>
      </c>
      <c r="E88" s="10">
        <v>200</v>
      </c>
      <c r="F88" s="11">
        <f ca="1">E88/E$98</f>
        <v>0.45662100456621002</v>
      </c>
      <c r="G88" s="10">
        <v>64</v>
      </c>
      <c r="H88" s="11">
        <f ca="1">G88/G$98</f>
        <v>0.53333333333333333</v>
      </c>
      <c r="I88" s="10">
        <v>112</v>
      </c>
      <c r="J88" s="11">
        <f ca="1">I88/I$98</f>
        <v>0.88888888888888884</v>
      </c>
      <c r="K88" s="10">
        <v>2</v>
      </c>
      <c r="L88" s="11">
        <f ca="1">K88/K$98</f>
        <v>0.2857142857142857</v>
      </c>
      <c r="M88" s="10">
        <v>14</v>
      </c>
      <c r="N88" s="11">
        <f ca="1">M88/M$98</f>
        <v>0.2153846153846154</v>
      </c>
      <c r="O88" s="10">
        <v>4</v>
      </c>
      <c r="P88" s="11">
        <f ca="1">IFERROR((O88/O$98),0)</f>
        <v>0.15384615384615385</v>
      </c>
      <c r="Q88" s="60">
        <f t="shared" ref="Q88:Q98" ca="1" si="112">SUM(C88,G88,I88,K88,M88,O88,E88)</f>
        <v>484</v>
      </c>
      <c r="T88" s="9" t="s">
        <v>15</v>
      </c>
      <c r="U88" s="10">
        <v>15959285</v>
      </c>
      <c r="V88" s="11">
        <f ca="1">U88/U$98</f>
        <v>0.45091470422159552</v>
      </c>
      <c r="W88" s="10">
        <v>42692772</v>
      </c>
      <c r="X88" s="11">
        <f ca="1">W88/W$98</f>
        <v>0.53102152180413897</v>
      </c>
      <c r="Y88" s="10">
        <v>18666241</v>
      </c>
      <c r="Z88" s="11">
        <f ca="1">Y88/Y$98</f>
        <v>0.79389459303347565</v>
      </c>
      <c r="AA88" s="10">
        <v>33612391</v>
      </c>
      <c r="AB88" s="11">
        <f ca="1">AA88/AA$98</f>
        <v>0.96848342308287638</v>
      </c>
      <c r="AC88" s="10">
        <v>50000</v>
      </c>
      <c r="AD88" s="11">
        <f ca="1">AC88/AC$98</f>
        <v>0.30090934804980651</v>
      </c>
      <c r="AE88" s="10">
        <v>592510</v>
      </c>
      <c r="AF88" s="11">
        <f ca="1">AE88/AE$98</f>
        <v>0.2129814017354546</v>
      </c>
      <c r="AG88" s="10">
        <v>3595967</v>
      </c>
      <c r="AH88" s="11">
        <f ca="1">IFERROR((AG88/AG$98),0)</f>
        <v>0.40398585811832538</v>
      </c>
      <c r="AI88" s="60">
        <f ca="1">SUM(U88,Y88,AA88,AC88,AE88,AG88,W88)</f>
        <v>115169166</v>
      </c>
    </row>
    <row r="89" spans="2:70" x14ac:dyDescent="0.4">
      <c r="B89" s="14" t="s">
        <v>16</v>
      </c>
      <c r="C89" s="15">
        <v>95</v>
      </c>
      <c r="D89" s="16">
        <f ca="1">C89/C$98</f>
        <v>0.37698412698412698</v>
      </c>
      <c r="E89" s="15">
        <v>138</v>
      </c>
      <c r="F89" s="16">
        <f ca="1">E89/E$98</f>
        <v>0.31506849315068491</v>
      </c>
      <c r="G89" s="15">
        <v>24</v>
      </c>
      <c r="H89" s="16">
        <f ca="1">G89/G$98</f>
        <v>0.2</v>
      </c>
      <c r="I89" s="15">
        <v>6</v>
      </c>
      <c r="J89" s="16">
        <f ca="1">I89/I$98</f>
        <v>4.7619047619047616E-2</v>
      </c>
      <c r="K89" s="15">
        <v>4</v>
      </c>
      <c r="L89" s="16">
        <f ca="1">K89/K$98</f>
        <v>0.5714285714285714</v>
      </c>
      <c r="M89" s="15">
        <v>19</v>
      </c>
      <c r="N89" s="16">
        <f ca="1">M89/M$98</f>
        <v>0.29230769230769232</v>
      </c>
      <c r="O89" s="15">
        <v>9</v>
      </c>
      <c r="P89" s="16">
        <f t="shared" ref="P89:P97" ca="1" si="113">IFERROR((O89/O$98),0)</f>
        <v>0.34615384615384615</v>
      </c>
      <c r="Q89" s="62">
        <f t="shared" ca="1" si="112"/>
        <v>295</v>
      </c>
      <c r="T89" s="14" t="s">
        <v>16</v>
      </c>
      <c r="U89" s="15">
        <v>12991860</v>
      </c>
      <c r="V89" s="16">
        <f ca="1">U89/U$98</f>
        <v>0.36707288009383743</v>
      </c>
      <c r="W89" s="15">
        <v>24804992</v>
      </c>
      <c r="X89" s="16">
        <f ca="1">W89/W$98</f>
        <v>0.30852961714876453</v>
      </c>
      <c r="Y89" s="15">
        <v>1741000</v>
      </c>
      <c r="Z89" s="16">
        <f ca="1">Y89/Y$98</f>
        <v>7.4046536015005965E-2</v>
      </c>
      <c r="AA89" s="15">
        <v>715000</v>
      </c>
      <c r="AB89" s="16">
        <f ca="1">AA89/AA$98</f>
        <v>2.0601499235929292E-2</v>
      </c>
      <c r="AC89" s="15">
        <v>26163</v>
      </c>
      <c r="AD89" s="16">
        <f ca="1">AC89/AC$98</f>
        <v>0.15745382546054176</v>
      </c>
      <c r="AE89" s="15">
        <v>601000</v>
      </c>
      <c r="AF89" s="16">
        <f ca="1">AE89/AE$98</f>
        <v>0.21603318499773544</v>
      </c>
      <c r="AG89" s="15">
        <v>1423846</v>
      </c>
      <c r="AH89" s="16">
        <f t="shared" ref="AH89:AH97" ca="1" si="114">IFERROR((AG89/AG$98),0)</f>
        <v>0.15996076942261847</v>
      </c>
      <c r="AI89" s="62">
        <f ca="1">SUM(U89,Y89,AA89,AC89,AE89,AG89,W89)</f>
        <v>42303861</v>
      </c>
    </row>
    <row r="90" spans="2:70" x14ac:dyDescent="0.4">
      <c r="B90" s="18" t="s">
        <v>17</v>
      </c>
      <c r="C90" s="19">
        <f ca="1">+SUM(C88:C89)</f>
        <v>183</v>
      </c>
      <c r="D90" s="20">
        <f ca="1">+C90/$C$98</f>
        <v>0.72619047619047616</v>
      </c>
      <c r="E90" s="19">
        <f ca="1">+SUM(E88:E89)</f>
        <v>338</v>
      </c>
      <c r="F90" s="20">
        <f ca="1">+E90/$E$98</f>
        <v>0.77168949771689499</v>
      </c>
      <c r="G90" s="19">
        <f ca="1">+SUM(G88:G89)</f>
        <v>88</v>
      </c>
      <c r="H90" s="20">
        <f ca="1">+G90/$G$98</f>
        <v>0.73333333333333328</v>
      </c>
      <c r="I90" s="19">
        <f ca="1">+SUM(I88:I89)</f>
        <v>118</v>
      </c>
      <c r="J90" s="20">
        <f ca="1">+I90/$I$98</f>
        <v>0.93650793650793651</v>
      </c>
      <c r="K90" s="19">
        <f ca="1">+SUM(K88:K89)</f>
        <v>6</v>
      </c>
      <c r="L90" s="20">
        <f ca="1">+K90/$K$98</f>
        <v>0.8571428571428571</v>
      </c>
      <c r="M90" s="19">
        <f ca="1">+SUM(M88:M89)</f>
        <v>33</v>
      </c>
      <c r="N90" s="20">
        <f ca="1">+M90/$M$98</f>
        <v>0.50769230769230766</v>
      </c>
      <c r="O90" s="19">
        <f ca="1">+SUM(O88:O89)</f>
        <v>13</v>
      </c>
      <c r="P90" s="20">
        <f t="shared" ca="1" si="113"/>
        <v>0.5</v>
      </c>
      <c r="Q90" s="21">
        <f ca="1">+SUM(Q88:Q89)</f>
        <v>779</v>
      </c>
      <c r="T90" s="18" t="s">
        <v>17</v>
      </c>
      <c r="U90" s="19">
        <f ca="1">+SUM(U88:U89)</f>
        <v>28951145</v>
      </c>
      <c r="V90" s="20">
        <f ca="1">U90/U$98</f>
        <v>0.81798758431543295</v>
      </c>
      <c r="W90" s="19">
        <f ca="1">+SUM(W88:W89)</f>
        <v>67497764</v>
      </c>
      <c r="X90" s="20">
        <f ca="1">W90/W$98</f>
        <v>0.83955113895290345</v>
      </c>
      <c r="Y90" s="19">
        <f ca="1">+SUM(Y88:Y89)</f>
        <v>20407241</v>
      </c>
      <c r="Z90" s="20">
        <f ca="1">Y90/Y$98</f>
        <v>0.86794112904848164</v>
      </c>
      <c r="AA90" s="19">
        <f ca="1">+SUM(AA88:AA89)</f>
        <v>34327391</v>
      </c>
      <c r="AB90" s="20">
        <f ca="1">AA90/AA$98</f>
        <v>0.98908492231880563</v>
      </c>
      <c r="AC90" s="19">
        <f ca="1">+SUM(AC88:AC89)</f>
        <v>76163</v>
      </c>
      <c r="AD90" s="20">
        <f ca="1">AC90/AC$98</f>
        <v>0.45836317351034828</v>
      </c>
      <c r="AE90" s="19">
        <f ca="1">+SUM(AE88:AE89)</f>
        <v>1193510</v>
      </c>
      <c r="AF90" s="20">
        <f ca="1">AE90/AE$98</f>
        <v>0.42901458673319004</v>
      </c>
      <c r="AG90" s="19">
        <f ca="1">+SUM(AG88:AG89)</f>
        <v>5019813</v>
      </c>
      <c r="AH90" s="20">
        <f t="shared" ca="1" si="114"/>
        <v>0.56394662754094382</v>
      </c>
      <c r="AI90" s="21">
        <f ca="1">+SUM(AI88:AI89)</f>
        <v>157473027</v>
      </c>
    </row>
    <row r="91" spans="2:70" x14ac:dyDescent="0.4">
      <c r="B91" s="22" t="s">
        <v>18</v>
      </c>
      <c r="C91" s="15">
        <v>23</v>
      </c>
      <c r="D91" s="16">
        <f t="shared" ref="D91:D98" ca="1" si="115">C91/C$98</f>
        <v>9.1269841269841265E-2</v>
      </c>
      <c r="E91" s="15">
        <v>35</v>
      </c>
      <c r="F91" s="16">
        <f t="shared" ref="F91:F98" ca="1" si="116">E91/E$98</f>
        <v>7.9908675799086754E-2</v>
      </c>
      <c r="G91" s="15">
        <v>32</v>
      </c>
      <c r="H91" s="16">
        <f t="shared" ref="H91:H98" ca="1" si="117">G91/G$98</f>
        <v>0.26666666666666666</v>
      </c>
      <c r="I91" s="15">
        <v>2</v>
      </c>
      <c r="J91" s="16">
        <f t="shared" ref="J91:J98" ca="1" si="118">I91/I$98</f>
        <v>1.5873015873015872E-2</v>
      </c>
      <c r="K91" s="15">
        <v>0</v>
      </c>
      <c r="L91" s="16">
        <f t="shared" ref="L91:L98" ca="1" si="119">K91/K$98</f>
        <v>0</v>
      </c>
      <c r="M91" s="15">
        <v>7</v>
      </c>
      <c r="N91" s="16">
        <f t="shared" ref="N91:N98" ca="1" si="120">M91/M$98</f>
        <v>0.1076923076923077</v>
      </c>
      <c r="O91" s="15">
        <v>11</v>
      </c>
      <c r="P91" s="16">
        <f t="shared" ca="1" si="113"/>
        <v>0.42307692307692307</v>
      </c>
      <c r="Q91" s="62">
        <f t="shared" ca="1" si="112"/>
        <v>110</v>
      </c>
      <c r="T91" s="22" t="s">
        <v>18</v>
      </c>
      <c r="U91" s="15">
        <v>2419444</v>
      </c>
      <c r="V91" s="16">
        <f t="shared" ref="V91:V98" ca="1" si="121">U91/U$98</f>
        <v>6.8359132357164745E-2</v>
      </c>
      <c r="W91" s="15">
        <v>4218648</v>
      </c>
      <c r="X91" s="16">
        <f t="shared" ref="X91:X98" ca="1" si="122">W91/W$98</f>
        <v>5.2472415726858575E-2</v>
      </c>
      <c r="Y91" s="15">
        <v>3105000</v>
      </c>
      <c r="Z91" s="16">
        <f t="shared" ref="Z91:Z98" ca="1" si="123">Y91/Y$98</f>
        <v>0.13205887095151841</v>
      </c>
      <c r="AA91" s="15">
        <v>170000</v>
      </c>
      <c r="AB91" s="16">
        <f t="shared" ref="AB91:AB98" ca="1" si="124">AA91/AA$98</f>
        <v>4.8982585595915796E-3</v>
      </c>
      <c r="AC91" s="15">
        <v>0</v>
      </c>
      <c r="AD91" s="16">
        <f t="shared" ref="AD91:AD98" ca="1" si="125">AC91/AC$98</f>
        <v>0</v>
      </c>
      <c r="AE91" s="15">
        <v>393710</v>
      </c>
      <c r="AF91" s="16">
        <f t="shared" ref="AF91:AF98" ca="1" si="126">AE91/AE$98</f>
        <v>0.14152150626532181</v>
      </c>
      <c r="AG91" s="15">
        <v>2947290</v>
      </c>
      <c r="AH91" s="16">
        <f t="shared" ca="1" si="114"/>
        <v>0.33111079155441614</v>
      </c>
      <c r="AI91" s="62">
        <f t="shared" ref="AI91:AI98" ca="1" si="127">SUM(U91,Y91,AA91,AC91,AE91,AG91,W91)</f>
        <v>13254092</v>
      </c>
    </row>
    <row r="92" spans="2:70" x14ac:dyDescent="0.4">
      <c r="B92" s="22" t="s">
        <v>19</v>
      </c>
      <c r="C92" s="15">
        <v>9</v>
      </c>
      <c r="D92" s="16">
        <f t="shared" ca="1" si="115"/>
        <v>3.5714285714285712E-2</v>
      </c>
      <c r="E92" s="15">
        <v>23</v>
      </c>
      <c r="F92" s="16">
        <f t="shared" ca="1" si="116"/>
        <v>5.2511415525114152E-2</v>
      </c>
      <c r="G92" s="15">
        <v>0</v>
      </c>
      <c r="H92" s="16">
        <f t="shared" ca="1" si="117"/>
        <v>0</v>
      </c>
      <c r="I92" s="15">
        <v>0</v>
      </c>
      <c r="J92" s="16">
        <f t="shared" ca="1" si="118"/>
        <v>0</v>
      </c>
      <c r="K92" s="15">
        <v>0</v>
      </c>
      <c r="L92" s="16">
        <f t="shared" ca="1" si="119"/>
        <v>0</v>
      </c>
      <c r="M92" s="15">
        <v>8</v>
      </c>
      <c r="N92" s="16">
        <f t="shared" ca="1" si="120"/>
        <v>0.12307692307692308</v>
      </c>
      <c r="O92" s="15">
        <v>2</v>
      </c>
      <c r="P92" s="16">
        <f t="shared" ca="1" si="113"/>
        <v>7.6923076923076927E-2</v>
      </c>
      <c r="Q92" s="62">
        <f t="shared" ca="1" si="112"/>
        <v>42</v>
      </c>
      <c r="T92" s="22" t="s">
        <v>19</v>
      </c>
      <c r="U92" s="15">
        <v>1062565</v>
      </c>
      <c r="V92" s="16">
        <f t="shared" ca="1" si="121"/>
        <v>3.0021782472787448E-2</v>
      </c>
      <c r="W92" s="15">
        <v>2815883</v>
      </c>
      <c r="X92" s="16">
        <f t="shared" ca="1" si="122"/>
        <v>3.5024534735819082E-2</v>
      </c>
      <c r="Y92" s="15">
        <v>0</v>
      </c>
      <c r="Z92" s="16">
        <f t="shared" ca="1" si="123"/>
        <v>0</v>
      </c>
      <c r="AA92" s="15">
        <v>0</v>
      </c>
      <c r="AB92" s="16">
        <f t="shared" ca="1" si="124"/>
        <v>0</v>
      </c>
      <c r="AC92" s="15">
        <v>0</v>
      </c>
      <c r="AD92" s="16">
        <f t="shared" ca="1" si="125"/>
        <v>0</v>
      </c>
      <c r="AE92" s="15">
        <v>706080</v>
      </c>
      <c r="AF92" s="16">
        <f t="shared" ca="1" si="126"/>
        <v>0.25380484403194847</v>
      </c>
      <c r="AG92" s="15">
        <v>934117</v>
      </c>
      <c r="AH92" s="16">
        <f t="shared" ca="1" si="114"/>
        <v>0.10494258090464004</v>
      </c>
      <c r="AI92" s="62">
        <f t="shared" ca="1" si="127"/>
        <v>5518645</v>
      </c>
    </row>
    <row r="93" spans="2:70" x14ac:dyDescent="0.4">
      <c r="B93" s="22" t="s">
        <v>20</v>
      </c>
      <c r="C93" s="15">
        <v>6</v>
      </c>
      <c r="D93" s="16">
        <f t="shared" ca="1" si="115"/>
        <v>2.3809523809523808E-2</v>
      </c>
      <c r="E93" s="15">
        <v>10</v>
      </c>
      <c r="F93" s="16">
        <f t="shared" ca="1" si="116"/>
        <v>2.2831050228310501E-2</v>
      </c>
      <c r="G93" s="15">
        <v>0</v>
      </c>
      <c r="H93" s="16">
        <f t="shared" ca="1" si="117"/>
        <v>0</v>
      </c>
      <c r="I93" s="15">
        <v>0</v>
      </c>
      <c r="J93" s="16">
        <f t="shared" ca="1" si="118"/>
        <v>0</v>
      </c>
      <c r="K93" s="15">
        <v>1</v>
      </c>
      <c r="L93" s="16">
        <f t="shared" ca="1" si="119"/>
        <v>0.14285714285714285</v>
      </c>
      <c r="M93" s="15">
        <v>6</v>
      </c>
      <c r="N93" s="16">
        <f t="shared" ca="1" si="120"/>
        <v>9.2307692307692313E-2</v>
      </c>
      <c r="O93" s="15">
        <v>0</v>
      </c>
      <c r="P93" s="16">
        <f t="shared" ca="1" si="113"/>
        <v>0</v>
      </c>
      <c r="Q93" s="62">
        <f t="shared" ca="1" si="112"/>
        <v>23</v>
      </c>
      <c r="T93" s="22" t="s">
        <v>20</v>
      </c>
      <c r="U93" s="15">
        <v>294351</v>
      </c>
      <c r="V93" s="16">
        <f t="shared" ca="1" si="121"/>
        <v>8.3166128120608692E-3</v>
      </c>
      <c r="W93" s="15">
        <v>826508</v>
      </c>
      <c r="X93" s="16">
        <f t="shared" ca="1" si="122"/>
        <v>1.0280277325241269E-2</v>
      </c>
      <c r="Y93" s="15">
        <v>0</v>
      </c>
      <c r="Z93" s="16">
        <f t="shared" ca="1" si="123"/>
        <v>0</v>
      </c>
      <c r="AA93" s="15">
        <v>0</v>
      </c>
      <c r="AB93" s="16">
        <f t="shared" ca="1" si="124"/>
        <v>0</v>
      </c>
      <c r="AC93" s="15">
        <v>90000</v>
      </c>
      <c r="AD93" s="16">
        <f t="shared" ca="1" si="125"/>
        <v>0.54163682648965172</v>
      </c>
      <c r="AE93" s="15">
        <v>93850</v>
      </c>
      <c r="AF93" s="16">
        <f t="shared" ca="1" si="126"/>
        <v>3.3734965743822745E-2</v>
      </c>
      <c r="AG93" s="15">
        <v>0</v>
      </c>
      <c r="AH93" s="16">
        <f t="shared" ca="1" si="114"/>
        <v>0</v>
      </c>
      <c r="AI93" s="62">
        <f t="shared" ca="1" si="127"/>
        <v>1304709</v>
      </c>
    </row>
    <row r="94" spans="2:70" x14ac:dyDescent="0.4">
      <c r="B94" s="22" t="s">
        <v>21</v>
      </c>
      <c r="C94" s="15">
        <v>3</v>
      </c>
      <c r="D94" s="16">
        <f t="shared" ca="1" si="115"/>
        <v>1.1904761904761904E-2</v>
      </c>
      <c r="E94" s="15">
        <v>7</v>
      </c>
      <c r="F94" s="16">
        <f t="shared" ca="1" si="116"/>
        <v>1.5981735159817351E-2</v>
      </c>
      <c r="G94" s="15">
        <v>0</v>
      </c>
      <c r="H94" s="16">
        <f t="shared" ca="1" si="117"/>
        <v>0</v>
      </c>
      <c r="I94" s="15">
        <v>0</v>
      </c>
      <c r="J94" s="16">
        <f t="shared" ca="1" si="118"/>
        <v>0</v>
      </c>
      <c r="K94" s="15">
        <v>0</v>
      </c>
      <c r="L94" s="16">
        <f t="shared" ca="1" si="119"/>
        <v>0</v>
      </c>
      <c r="M94" s="15">
        <v>1</v>
      </c>
      <c r="N94" s="16">
        <f t="shared" ca="1" si="120"/>
        <v>1.5384615384615385E-2</v>
      </c>
      <c r="O94" s="15">
        <v>0</v>
      </c>
      <c r="P94" s="16">
        <f t="shared" ca="1" si="113"/>
        <v>0</v>
      </c>
      <c r="Q94" s="62">
        <f t="shared" ca="1" si="112"/>
        <v>11</v>
      </c>
      <c r="T94" s="22" t="s">
        <v>21</v>
      </c>
      <c r="U94" s="15">
        <v>277608</v>
      </c>
      <c r="V94" s="16">
        <f t="shared" ca="1" si="121"/>
        <v>7.8435549718893233E-3</v>
      </c>
      <c r="W94" s="15">
        <v>1065911</v>
      </c>
      <c r="X94" s="16">
        <f t="shared" ca="1" si="122"/>
        <v>1.3258021318638472E-2</v>
      </c>
      <c r="Y94" s="15">
        <v>0</v>
      </c>
      <c r="Z94" s="16">
        <f t="shared" ca="1" si="123"/>
        <v>0</v>
      </c>
      <c r="AA94" s="15">
        <v>0</v>
      </c>
      <c r="AB94" s="16">
        <f t="shared" ca="1" si="124"/>
        <v>0</v>
      </c>
      <c r="AC94" s="15">
        <v>0</v>
      </c>
      <c r="AD94" s="16">
        <f t="shared" ca="1" si="125"/>
        <v>0</v>
      </c>
      <c r="AE94" s="15">
        <v>35000</v>
      </c>
      <c r="AF94" s="16">
        <f t="shared" ca="1" si="126"/>
        <v>1.2580967512347321E-2</v>
      </c>
      <c r="AG94" s="15">
        <v>0</v>
      </c>
      <c r="AH94" s="16">
        <f t="shared" ca="1" si="114"/>
        <v>0</v>
      </c>
      <c r="AI94" s="62">
        <f t="shared" ca="1" si="127"/>
        <v>1378519</v>
      </c>
    </row>
    <row r="95" spans="2:70" x14ac:dyDescent="0.4">
      <c r="B95" s="22" t="s">
        <v>22</v>
      </c>
      <c r="C95" s="15">
        <v>4</v>
      </c>
      <c r="D95" s="16">
        <f t="shared" ca="1" si="115"/>
        <v>1.5873015873015872E-2</v>
      </c>
      <c r="E95" s="15">
        <v>3</v>
      </c>
      <c r="F95" s="16">
        <f t="shared" ca="1" si="116"/>
        <v>6.8493150684931503E-3</v>
      </c>
      <c r="G95" s="15">
        <v>0</v>
      </c>
      <c r="H95" s="16">
        <f t="shared" ca="1" si="117"/>
        <v>0</v>
      </c>
      <c r="I95" s="15">
        <v>0</v>
      </c>
      <c r="J95" s="16">
        <f t="shared" ca="1" si="118"/>
        <v>0</v>
      </c>
      <c r="K95" s="15">
        <v>0</v>
      </c>
      <c r="L95" s="16">
        <f t="shared" ca="1" si="119"/>
        <v>0</v>
      </c>
      <c r="M95" s="15">
        <v>4</v>
      </c>
      <c r="N95" s="16">
        <f t="shared" ca="1" si="120"/>
        <v>6.1538461538461542E-2</v>
      </c>
      <c r="O95" s="15">
        <v>0</v>
      </c>
      <c r="P95" s="16">
        <f t="shared" ca="1" si="113"/>
        <v>0</v>
      </c>
      <c r="Q95" s="62">
        <f t="shared" ca="1" si="112"/>
        <v>11</v>
      </c>
      <c r="T95" s="22" t="s">
        <v>22</v>
      </c>
      <c r="U95" s="15">
        <v>489210</v>
      </c>
      <c r="V95" s="16">
        <f t="shared" ca="1" si="121"/>
        <v>1.3822172011606206E-2</v>
      </c>
      <c r="W95" s="15">
        <v>307276</v>
      </c>
      <c r="X95" s="16">
        <f t="shared" ca="1" si="122"/>
        <v>3.8219623952712328E-3</v>
      </c>
      <c r="Y95" s="15">
        <v>0</v>
      </c>
      <c r="Z95" s="16">
        <f t="shared" ca="1" si="123"/>
        <v>0</v>
      </c>
      <c r="AA95" s="15">
        <v>0</v>
      </c>
      <c r="AB95" s="16">
        <f t="shared" ca="1" si="124"/>
        <v>0</v>
      </c>
      <c r="AC95" s="15">
        <v>0</v>
      </c>
      <c r="AD95" s="16">
        <f t="shared" ca="1" si="125"/>
        <v>0</v>
      </c>
      <c r="AE95" s="15">
        <v>42630</v>
      </c>
      <c r="AF95" s="16">
        <f t="shared" ca="1" si="126"/>
        <v>1.5323618430039036E-2</v>
      </c>
      <c r="AG95" s="15">
        <v>0</v>
      </c>
      <c r="AH95" s="16">
        <f t="shared" ca="1" si="114"/>
        <v>0</v>
      </c>
      <c r="AI95" s="62">
        <f t="shared" ca="1" si="127"/>
        <v>839116</v>
      </c>
    </row>
    <row r="96" spans="2:70" x14ac:dyDescent="0.4">
      <c r="B96" s="22" t="s">
        <v>23</v>
      </c>
      <c r="C96" s="15">
        <v>3</v>
      </c>
      <c r="D96" s="16">
        <f t="shared" ca="1" si="115"/>
        <v>1.1904761904761904E-2</v>
      </c>
      <c r="E96" s="15">
        <v>6</v>
      </c>
      <c r="F96" s="16">
        <f t="shared" ca="1" si="116"/>
        <v>1.3698630136986301E-2</v>
      </c>
      <c r="G96" s="15">
        <v>0</v>
      </c>
      <c r="H96" s="16">
        <f t="shared" ca="1" si="117"/>
        <v>0</v>
      </c>
      <c r="I96" s="15">
        <v>0</v>
      </c>
      <c r="J96" s="16">
        <f t="shared" ca="1" si="118"/>
        <v>0</v>
      </c>
      <c r="K96" s="15">
        <v>0</v>
      </c>
      <c r="L96" s="16">
        <f t="shared" ca="1" si="119"/>
        <v>0</v>
      </c>
      <c r="M96" s="15">
        <v>2</v>
      </c>
      <c r="N96" s="16">
        <f t="shared" ca="1" si="120"/>
        <v>3.0769230769230771E-2</v>
      </c>
      <c r="O96" s="15">
        <v>0</v>
      </c>
      <c r="P96" s="16">
        <f t="shared" ca="1" si="113"/>
        <v>0</v>
      </c>
      <c r="Q96" s="62">
        <f t="shared" ca="1" si="112"/>
        <v>11</v>
      </c>
      <c r="T96" s="22" t="s">
        <v>23</v>
      </c>
      <c r="U96" s="15">
        <v>265248</v>
      </c>
      <c r="V96" s="16">
        <f t="shared" ca="1" si="121"/>
        <v>7.4943347064338889E-3</v>
      </c>
      <c r="W96" s="15">
        <v>1428136</v>
      </c>
      <c r="X96" s="16">
        <f t="shared" ca="1" si="122"/>
        <v>1.7763450732673807E-2</v>
      </c>
      <c r="Y96" s="15">
        <v>0</v>
      </c>
      <c r="Z96" s="16">
        <f t="shared" ca="1" si="123"/>
        <v>0</v>
      </c>
      <c r="AA96" s="15">
        <v>0</v>
      </c>
      <c r="AB96" s="16">
        <f t="shared" ca="1" si="124"/>
        <v>0</v>
      </c>
      <c r="AC96" s="15">
        <v>0</v>
      </c>
      <c r="AD96" s="16">
        <f t="shared" ca="1" si="125"/>
        <v>0</v>
      </c>
      <c r="AE96" s="15">
        <v>199000</v>
      </c>
      <c r="AF96" s="16">
        <f t="shared" ca="1" si="126"/>
        <v>7.1531786713060486E-2</v>
      </c>
      <c r="AG96" s="15">
        <v>0</v>
      </c>
      <c r="AH96" s="16">
        <f t="shared" ca="1" si="114"/>
        <v>0</v>
      </c>
      <c r="AI96" s="62">
        <f t="shared" ca="1" si="127"/>
        <v>1892384</v>
      </c>
    </row>
    <row r="97" spans="2:35" x14ac:dyDescent="0.4">
      <c r="B97" s="23" t="s">
        <v>24</v>
      </c>
      <c r="C97" s="24">
        <v>21</v>
      </c>
      <c r="D97" s="25">
        <f t="shared" ca="1" si="115"/>
        <v>8.3333333333333329E-2</v>
      </c>
      <c r="E97" s="24">
        <v>16</v>
      </c>
      <c r="F97" s="25">
        <f t="shared" ca="1" si="116"/>
        <v>3.6529680365296802E-2</v>
      </c>
      <c r="G97" s="24">
        <v>0</v>
      </c>
      <c r="H97" s="25">
        <f t="shared" ca="1" si="117"/>
        <v>0</v>
      </c>
      <c r="I97" s="24">
        <v>6</v>
      </c>
      <c r="J97" s="25">
        <f t="shared" ca="1" si="118"/>
        <v>4.7619047619047616E-2</v>
      </c>
      <c r="K97" s="24">
        <v>0</v>
      </c>
      <c r="L97" s="25">
        <f t="shared" ca="1" si="119"/>
        <v>0</v>
      </c>
      <c r="M97" s="24">
        <v>4</v>
      </c>
      <c r="N97" s="25">
        <f t="shared" ca="1" si="120"/>
        <v>6.1538461538461542E-2</v>
      </c>
      <c r="O97" s="24">
        <v>0</v>
      </c>
      <c r="P97" s="25">
        <f t="shared" ca="1" si="113"/>
        <v>0</v>
      </c>
      <c r="Q97" s="64">
        <f t="shared" ca="1" si="112"/>
        <v>47</v>
      </c>
      <c r="T97" s="23" t="s">
        <v>24</v>
      </c>
      <c r="U97" s="24">
        <v>1633564</v>
      </c>
      <c r="V97" s="25">
        <f t="shared" ca="1" si="121"/>
        <v>4.6154826352624599E-2</v>
      </c>
      <c r="W97" s="24">
        <v>2237316</v>
      </c>
      <c r="X97" s="25">
        <f t="shared" ca="1" si="122"/>
        <v>2.7828198812594063E-2</v>
      </c>
      <c r="Y97" s="24">
        <v>0</v>
      </c>
      <c r="Z97" s="25">
        <f t="shared" ca="1" si="123"/>
        <v>0</v>
      </c>
      <c r="AA97" s="24">
        <v>208821</v>
      </c>
      <c r="AB97" s="25">
        <f t="shared" ca="1" si="124"/>
        <v>6.0168191216027839E-3</v>
      </c>
      <c r="AC97" s="24">
        <v>0</v>
      </c>
      <c r="AD97" s="25">
        <f t="shared" ca="1" si="125"/>
        <v>0</v>
      </c>
      <c r="AE97" s="24">
        <v>118200</v>
      </c>
      <c r="AF97" s="25">
        <f t="shared" ca="1" si="126"/>
        <v>4.2487724570270093E-2</v>
      </c>
      <c r="AG97" s="24">
        <v>0</v>
      </c>
      <c r="AH97" s="25">
        <f t="shared" ca="1" si="114"/>
        <v>0</v>
      </c>
      <c r="AI97" s="64">
        <f t="shared" ca="1" si="127"/>
        <v>4197901</v>
      </c>
    </row>
    <row r="98" spans="2:35" x14ac:dyDescent="0.4">
      <c r="B98" s="27" t="s">
        <v>25</v>
      </c>
      <c r="C98" s="28">
        <f ca="1">SUM(C90:C97)</f>
        <v>252</v>
      </c>
      <c r="D98" s="29">
        <f t="shared" ca="1" si="115"/>
        <v>1</v>
      </c>
      <c r="E98" s="28">
        <f ca="1">SUM(E90:E97)</f>
        <v>438</v>
      </c>
      <c r="F98" s="30">
        <f t="shared" ca="1" si="116"/>
        <v>1</v>
      </c>
      <c r="G98" s="28">
        <f ca="1">SUM(G90:G97)</f>
        <v>120</v>
      </c>
      <c r="H98" s="29">
        <f t="shared" ca="1" si="117"/>
        <v>1</v>
      </c>
      <c r="I98" s="28">
        <f ca="1">SUM(I90:I97)</f>
        <v>126</v>
      </c>
      <c r="J98" s="29">
        <f t="shared" ca="1" si="118"/>
        <v>1</v>
      </c>
      <c r="K98" s="28">
        <f ca="1">SUM(K90:K97)</f>
        <v>7</v>
      </c>
      <c r="L98" s="29">
        <f t="shared" ca="1" si="119"/>
        <v>1</v>
      </c>
      <c r="M98" s="28">
        <f ca="1">SUM(M90:M97)</f>
        <v>65</v>
      </c>
      <c r="N98" s="29">
        <f t="shared" ca="1" si="120"/>
        <v>1</v>
      </c>
      <c r="O98" s="28">
        <f ca="1">SUM(O90:O97)</f>
        <v>26</v>
      </c>
      <c r="P98" s="29">
        <f ca="1">IFERROR((O98/O$98),0)</f>
        <v>1</v>
      </c>
      <c r="Q98" s="31">
        <f t="shared" ca="1" si="112"/>
        <v>1034</v>
      </c>
      <c r="T98" s="27" t="s">
        <v>25</v>
      </c>
      <c r="U98" s="28">
        <f ca="1">SUM(U90:U97)</f>
        <v>35393135</v>
      </c>
      <c r="V98" s="29">
        <f t="shared" ca="1" si="121"/>
        <v>1</v>
      </c>
      <c r="W98" s="28">
        <f ca="1">SUM(W90:W97)</f>
        <v>80397442</v>
      </c>
      <c r="X98" s="30">
        <f t="shared" ca="1" si="122"/>
        <v>1</v>
      </c>
      <c r="Y98" s="28">
        <f ca="1">SUM(Y90:Y97)</f>
        <v>23512241</v>
      </c>
      <c r="Z98" s="29">
        <f t="shared" ca="1" si="123"/>
        <v>1</v>
      </c>
      <c r="AA98" s="28">
        <f ca="1">SUM(AA90:AA97)</f>
        <v>34706212</v>
      </c>
      <c r="AB98" s="29">
        <f t="shared" ca="1" si="124"/>
        <v>1</v>
      </c>
      <c r="AC98" s="28">
        <f ca="1">SUM(AC90:AC97)</f>
        <v>166163</v>
      </c>
      <c r="AD98" s="29">
        <f t="shared" ca="1" si="125"/>
        <v>1</v>
      </c>
      <c r="AE98" s="28">
        <f ca="1">SUM(AE90:AE97)</f>
        <v>2781980</v>
      </c>
      <c r="AF98" s="29">
        <f t="shared" ca="1" si="126"/>
        <v>1</v>
      </c>
      <c r="AG98" s="28">
        <f ca="1">SUM(AG90:AG97)</f>
        <v>8901220</v>
      </c>
      <c r="AH98" s="29">
        <f ca="1">IFERROR((AG98/AG$98),0)</f>
        <v>1</v>
      </c>
      <c r="AI98" s="31">
        <f t="shared" ca="1" si="127"/>
        <v>185858393</v>
      </c>
    </row>
    <row r="99" spans="2:35" x14ac:dyDescent="0.4">
      <c r="B99" s="32" t="s">
        <v>26</v>
      </c>
      <c r="C99" s="33">
        <f ca="1">C98/$Q$98</f>
        <v>0.2437137330754352</v>
      </c>
      <c r="D99" s="33"/>
      <c r="E99" s="33">
        <f ca="1">E98/$Q$98</f>
        <v>0.42359767891682787</v>
      </c>
      <c r="F99" s="33"/>
      <c r="G99" s="33">
        <f ca="1">G98/$Q$98</f>
        <v>0.11605415860735009</v>
      </c>
      <c r="H99" s="33"/>
      <c r="I99" s="33">
        <f ca="1">I98/$Q$98</f>
        <v>0.1218568665377176</v>
      </c>
      <c r="J99" s="33"/>
      <c r="K99" s="33">
        <f ca="1">K98/$Q$98</f>
        <v>6.7698259187620891E-3</v>
      </c>
      <c r="L99" s="33"/>
      <c r="M99" s="33">
        <f ca="1">M98/$Q$98</f>
        <v>6.286266924564797E-2</v>
      </c>
      <c r="N99" s="33"/>
      <c r="O99" s="33">
        <f ca="1">O98/$Q$98</f>
        <v>2.5145067698259187E-2</v>
      </c>
      <c r="P99" s="33"/>
      <c r="Q99" s="34">
        <f ca="1">Q98/$Q$98</f>
        <v>1</v>
      </c>
      <c r="T99" s="32" t="s">
        <v>26</v>
      </c>
      <c r="U99" s="33">
        <f ca="1">U98/$AI$98</f>
        <v>0.19043065222241537</v>
      </c>
      <c r="V99" s="33"/>
      <c r="W99" s="33">
        <f ca="1">W98/$AI$98</f>
        <v>0.43257364223524736</v>
      </c>
      <c r="X99" s="33"/>
      <c r="Y99" s="33">
        <f ca="1">Y98/$AI$98</f>
        <v>0.12650621056429773</v>
      </c>
      <c r="Z99" s="33"/>
      <c r="AA99" s="33">
        <f ca="1">AA98/$AI$98</f>
        <v>0.18673470398509256</v>
      </c>
      <c r="AB99" s="33"/>
      <c r="AC99" s="33">
        <f ca="1">AC98/$AI$98</f>
        <v>8.9403011248461622E-4</v>
      </c>
      <c r="AD99" s="33"/>
      <c r="AE99" s="33">
        <f ca="1">AE98/$AI$98</f>
        <v>1.4968277488550114E-2</v>
      </c>
      <c r="AF99" s="33"/>
      <c r="AG99" s="33">
        <f ca="1">AG98/$AI$98</f>
        <v>4.7892483391912252E-2</v>
      </c>
      <c r="AH99" s="33"/>
      <c r="AI99" s="34">
        <f ca="1">AI98/$AI$98</f>
        <v>1</v>
      </c>
    </row>
    <row r="101" spans="2:35" x14ac:dyDescent="0.4">
      <c r="E101" s="2" t="s">
        <v>33</v>
      </c>
      <c r="F101" s="2"/>
      <c r="G101" s="2"/>
      <c r="H101" s="2"/>
      <c r="I101" s="2"/>
      <c r="J101" s="2"/>
      <c r="K101" s="2"/>
      <c r="L101" s="2"/>
      <c r="M101" s="2"/>
      <c r="N101" s="2"/>
      <c r="W101" s="2" t="s">
        <v>33</v>
      </c>
      <c r="X101" s="2"/>
      <c r="Y101" s="2"/>
      <c r="Z101" s="2"/>
      <c r="AA101" s="2"/>
      <c r="AB101" s="2"/>
      <c r="AC101" s="2"/>
      <c r="AD101" s="2"/>
      <c r="AE101" s="2"/>
      <c r="AF101" s="2"/>
    </row>
    <row r="102" spans="2:35" x14ac:dyDescent="0.4">
      <c r="E102" s="3"/>
      <c r="F102" s="3"/>
      <c r="G102" s="3"/>
      <c r="H102" s="3"/>
      <c r="I102" s="3"/>
      <c r="J102" s="3"/>
      <c r="K102" s="3"/>
      <c r="L102" s="3"/>
      <c r="M102" s="3"/>
      <c r="N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2:35" x14ac:dyDescent="0.4">
      <c r="B103" s="4" t="s">
        <v>2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T103" s="4" t="s">
        <v>2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2:35" x14ac:dyDescent="0.4">
      <c r="B104" s="5"/>
      <c r="C104" s="6" t="s">
        <v>3</v>
      </c>
      <c r="D104" s="6"/>
      <c r="E104" s="6" t="s">
        <v>4</v>
      </c>
      <c r="F104" s="6"/>
      <c r="G104" s="6" t="s">
        <v>5</v>
      </c>
      <c r="H104" s="6"/>
      <c r="I104" s="6" t="s">
        <v>6</v>
      </c>
      <c r="J104" s="6"/>
      <c r="K104" s="6" t="s">
        <v>7</v>
      </c>
      <c r="L104" s="6"/>
      <c r="M104" s="6" t="s">
        <v>8</v>
      </c>
      <c r="N104" s="6"/>
      <c r="O104" s="6" t="s">
        <v>9</v>
      </c>
      <c r="P104" s="6"/>
      <c r="Q104" s="7" t="s">
        <v>10</v>
      </c>
      <c r="T104" s="5"/>
      <c r="U104" s="6" t="s">
        <v>3</v>
      </c>
      <c r="V104" s="6"/>
      <c r="W104" s="6" t="s">
        <v>4</v>
      </c>
      <c r="X104" s="6"/>
      <c r="Y104" s="6" t="s">
        <v>5</v>
      </c>
      <c r="Z104" s="6"/>
      <c r="AA104" s="6" t="s">
        <v>6</v>
      </c>
      <c r="AB104" s="6"/>
      <c r="AC104" s="6" t="s">
        <v>7</v>
      </c>
      <c r="AD104" s="6"/>
      <c r="AE104" s="6" t="s">
        <v>8</v>
      </c>
      <c r="AF104" s="6"/>
      <c r="AG104" s="6" t="s">
        <v>9</v>
      </c>
      <c r="AH104" s="6"/>
      <c r="AI104" s="7" t="s">
        <v>10</v>
      </c>
    </row>
    <row r="105" spans="2:35" x14ac:dyDescent="0.4">
      <c r="B105" s="8" t="s">
        <v>11</v>
      </c>
      <c r="C105" s="8" t="s">
        <v>12</v>
      </c>
      <c r="D105" s="8" t="s">
        <v>13</v>
      </c>
      <c r="E105" s="8" t="s">
        <v>12</v>
      </c>
      <c r="F105" s="8" t="s">
        <v>13</v>
      </c>
      <c r="G105" s="8" t="s">
        <v>12</v>
      </c>
      <c r="H105" s="8" t="s">
        <v>13</v>
      </c>
      <c r="I105" s="8" t="s">
        <v>12</v>
      </c>
      <c r="J105" s="8" t="s">
        <v>13</v>
      </c>
      <c r="K105" s="8" t="s">
        <v>12</v>
      </c>
      <c r="L105" s="8" t="s">
        <v>13</v>
      </c>
      <c r="M105" s="8" t="s">
        <v>12</v>
      </c>
      <c r="N105" s="8" t="s">
        <v>13</v>
      </c>
      <c r="O105" s="8" t="s">
        <v>12</v>
      </c>
      <c r="P105" s="8" t="s">
        <v>13</v>
      </c>
      <c r="Q105" s="7"/>
      <c r="T105" s="8" t="s">
        <v>11</v>
      </c>
      <c r="U105" s="8" t="s">
        <v>14</v>
      </c>
      <c r="V105" s="8" t="s">
        <v>13</v>
      </c>
      <c r="W105" s="8" t="s">
        <v>14</v>
      </c>
      <c r="X105" s="8" t="s">
        <v>13</v>
      </c>
      <c r="Y105" s="8" t="s">
        <v>14</v>
      </c>
      <c r="Z105" s="8" t="s">
        <v>13</v>
      </c>
      <c r="AA105" s="8" t="s">
        <v>14</v>
      </c>
      <c r="AB105" s="8" t="s">
        <v>13</v>
      </c>
      <c r="AC105" s="8" t="s">
        <v>14</v>
      </c>
      <c r="AD105" s="8" t="s">
        <v>13</v>
      </c>
      <c r="AE105" s="8" t="s">
        <v>14</v>
      </c>
      <c r="AF105" s="8" t="s">
        <v>13</v>
      </c>
      <c r="AG105" s="8" t="s">
        <v>14</v>
      </c>
      <c r="AH105" s="8" t="s">
        <v>13</v>
      </c>
      <c r="AI105" s="7"/>
    </row>
    <row r="106" spans="2:35" x14ac:dyDescent="0.4">
      <c r="B106" s="9" t="s">
        <v>15</v>
      </c>
      <c r="C106" s="10">
        <v>4004</v>
      </c>
      <c r="D106" s="11">
        <f ca="1">C106/C$116</f>
        <v>0.38326792380587726</v>
      </c>
      <c r="E106" s="10">
        <v>3200</v>
      </c>
      <c r="F106" s="11">
        <f ca="1">E106/E$116</f>
        <v>0.390625</v>
      </c>
      <c r="G106" s="10">
        <v>1001</v>
      </c>
      <c r="H106" s="11">
        <f ca="1">G106/G$116</f>
        <v>0.91082802547770703</v>
      </c>
      <c r="I106" s="10">
        <v>1997</v>
      </c>
      <c r="J106" s="11">
        <f ca="1">I106/I$116</f>
        <v>0.94331601322626357</v>
      </c>
      <c r="K106" s="10">
        <v>304</v>
      </c>
      <c r="L106" s="11">
        <f ca="1">K106/K$116</f>
        <v>0.68008948545861303</v>
      </c>
      <c r="M106" s="10">
        <v>27</v>
      </c>
      <c r="N106" s="11">
        <f ca="1">M106/M$116</f>
        <v>0.21951219512195122</v>
      </c>
      <c r="O106" s="10">
        <v>34</v>
      </c>
      <c r="P106" s="11">
        <f ca="1">O106/O$116</f>
        <v>0.28099173553719009</v>
      </c>
      <c r="Q106" s="60">
        <f t="shared" ref="Q106:Q116" ca="1" si="128">SUM(C106,G106,I106,K106,M106,O106,E106)</f>
        <v>10567</v>
      </c>
      <c r="T106" s="9" t="s">
        <v>15</v>
      </c>
      <c r="U106" s="10">
        <v>521488026</v>
      </c>
      <c r="V106" s="11">
        <f ca="1">U106/U$116</f>
        <v>0.46892140097368823</v>
      </c>
      <c r="W106" s="10">
        <v>420397560</v>
      </c>
      <c r="X106" s="11">
        <f ca="1">W106/W$116</f>
        <v>0.4767589942316896</v>
      </c>
      <c r="Y106" s="10">
        <v>261211210</v>
      </c>
      <c r="Z106" s="11">
        <f ca="1">Y106/Y$116</f>
        <v>0.90496183728027291</v>
      </c>
      <c r="AA106" s="10">
        <v>202583420</v>
      </c>
      <c r="AB106" s="11">
        <f ca="1">AA106/AA$116</f>
        <v>0.95810417115134894</v>
      </c>
      <c r="AC106" s="10">
        <v>12630117</v>
      </c>
      <c r="AD106" s="11">
        <f ca="1">AC106/AC$116</f>
        <v>0.68923883852707912</v>
      </c>
      <c r="AE106" s="10">
        <v>555640</v>
      </c>
      <c r="AF106" s="11">
        <f ca="1">AE106/AE$116</f>
        <v>0.15619492037612268</v>
      </c>
      <c r="AG106" s="10">
        <v>10296799</v>
      </c>
      <c r="AH106" s="11">
        <f ca="1">AG106/AG$116</f>
        <v>0.32563410946155852</v>
      </c>
      <c r="AI106" s="60">
        <f ca="1">SUM(U106,Y106,AA106,AC106,AE106,AG106,W106)</f>
        <v>1429162772</v>
      </c>
    </row>
    <row r="107" spans="2:35" x14ac:dyDescent="0.4">
      <c r="B107" s="14" t="s">
        <v>16</v>
      </c>
      <c r="C107" s="15">
        <v>3009</v>
      </c>
      <c r="D107" s="16">
        <f ca="1">C107/C$116</f>
        <v>0.28802527041255865</v>
      </c>
      <c r="E107" s="15">
        <v>2324</v>
      </c>
      <c r="F107" s="16">
        <f ca="1">E107/E$116</f>
        <v>0.28369140625</v>
      </c>
      <c r="G107" s="15">
        <v>85</v>
      </c>
      <c r="H107" s="16">
        <f ca="1">G107/G$116</f>
        <v>7.7343039126478622E-2</v>
      </c>
      <c r="I107" s="15">
        <v>75</v>
      </c>
      <c r="J107" s="16">
        <f ca="1">I107/I$116</f>
        <v>3.542749173358526E-2</v>
      </c>
      <c r="K107" s="15">
        <v>88</v>
      </c>
      <c r="L107" s="16">
        <f ca="1">K107/K$116</f>
        <v>0.19686800894854586</v>
      </c>
      <c r="M107" s="15">
        <v>48</v>
      </c>
      <c r="N107" s="16">
        <f ca="1">M107/M$116</f>
        <v>0.3902439024390244</v>
      </c>
      <c r="O107" s="15">
        <v>53</v>
      </c>
      <c r="P107" s="16">
        <f ca="1">O107/O$116</f>
        <v>0.43801652892561982</v>
      </c>
      <c r="Q107" s="62">
        <f t="shared" ca="1" si="128"/>
        <v>5682</v>
      </c>
      <c r="T107" s="14" t="s">
        <v>16</v>
      </c>
      <c r="U107" s="15">
        <v>355456058</v>
      </c>
      <c r="V107" s="16">
        <f ca="1">U107/U$116</f>
        <v>0.31962565656674269</v>
      </c>
      <c r="W107" s="15">
        <v>262912228</v>
      </c>
      <c r="X107" s="16">
        <f ca="1">W107/W$116</f>
        <v>0.29816007826613616</v>
      </c>
      <c r="Y107" s="15">
        <v>22986956</v>
      </c>
      <c r="Z107" s="16">
        <f ca="1">Y107/Y$116</f>
        <v>7.9637921876479931E-2</v>
      </c>
      <c r="AA107" s="15">
        <v>6448017</v>
      </c>
      <c r="AB107" s="16">
        <f ca="1">AA107/AA$116</f>
        <v>3.0495447176056203E-2</v>
      </c>
      <c r="AC107" s="15">
        <v>3195808</v>
      </c>
      <c r="AD107" s="16">
        <f ca="1">AC107/AC$116</f>
        <v>0.17439862149143573</v>
      </c>
      <c r="AE107" s="15">
        <v>1515400</v>
      </c>
      <c r="AF107" s="16">
        <f ca="1">AE107/AE$116</f>
        <v>0.42599125753721168</v>
      </c>
      <c r="AG107" s="15">
        <v>15005337</v>
      </c>
      <c r="AH107" s="16">
        <f ca="1">AG107/AG$116</f>
        <v>0.47454063647989769</v>
      </c>
      <c r="AI107" s="62">
        <f ca="1">SUM(U107,Y107,AA107,AC107,AE107,AG107,W107)</f>
        <v>667519804</v>
      </c>
    </row>
    <row r="108" spans="2:35" x14ac:dyDescent="0.4">
      <c r="B108" s="18" t="s">
        <v>17</v>
      </c>
      <c r="C108" s="19">
        <f ca="1">+SUM(C106:C107)</f>
        <v>7013</v>
      </c>
      <c r="D108" s="20">
        <f ca="1">+C108/$C$116</f>
        <v>0.67129319421843592</v>
      </c>
      <c r="E108" s="19">
        <f ca="1">+SUM(E106:E107)</f>
        <v>5524</v>
      </c>
      <c r="F108" s="20">
        <f ca="1">+E108/$E$116</f>
        <v>0.67431640625</v>
      </c>
      <c r="G108" s="19">
        <f ca="1">+SUM(G106:G107)</f>
        <v>1086</v>
      </c>
      <c r="H108" s="20">
        <f ca="1">+G108/$G$116</f>
        <v>0.98817106460418558</v>
      </c>
      <c r="I108" s="19">
        <f ca="1">+SUM(I106:I107)</f>
        <v>2072</v>
      </c>
      <c r="J108" s="20">
        <f ca="1">+I108/$I$116</f>
        <v>0.97874350495984885</v>
      </c>
      <c r="K108" s="19">
        <f ca="1">+SUM(K106:K107)</f>
        <v>392</v>
      </c>
      <c r="L108" s="20">
        <f ca="1">+K108/$K$116</f>
        <v>0.87695749440715887</v>
      </c>
      <c r="M108" s="19">
        <f ca="1">+SUM(M106:M107)</f>
        <v>75</v>
      </c>
      <c r="N108" s="20">
        <f ca="1">+M108/$M$116</f>
        <v>0.6097560975609756</v>
      </c>
      <c r="O108" s="19">
        <f ca="1">+SUM(O106:O107)</f>
        <v>87</v>
      </c>
      <c r="P108" s="20">
        <f ca="1">+O108/$O$116</f>
        <v>0.71900826446280997</v>
      </c>
      <c r="Q108" s="21">
        <f ca="1">+SUM(Q106:Q107)</f>
        <v>16249</v>
      </c>
      <c r="T108" s="18" t="s">
        <v>17</v>
      </c>
      <c r="U108" s="19">
        <f ca="1">+SUM(U106:U107)</f>
        <v>876944084</v>
      </c>
      <c r="V108" s="20">
        <f ca="1">+U108/$U$116</f>
        <v>0.78854705754043097</v>
      </c>
      <c r="W108" s="19">
        <f ca="1">+SUM(W106:W107)</f>
        <v>683309788</v>
      </c>
      <c r="X108" s="20">
        <f ca="1">W108/W$116</f>
        <v>0.77491907249782577</v>
      </c>
      <c r="Y108" s="19">
        <f ca="1">+SUM(Y106:Y107)</f>
        <v>284198166</v>
      </c>
      <c r="Z108" s="20">
        <f ca="1">Y108/Y$116</f>
        <v>0.9845997591567528</v>
      </c>
      <c r="AA108" s="19">
        <f ca="1">+SUM(AA106:AA107)</f>
        <v>209031437</v>
      </c>
      <c r="AB108" s="20">
        <f ca="1">AA108/AA$116</f>
        <v>0.98859961832740517</v>
      </c>
      <c r="AC108" s="19">
        <f ca="1">+SUM(AC106:AC107)</f>
        <v>15825925</v>
      </c>
      <c r="AD108" s="20">
        <f ca="1">AC108/AC$116</f>
        <v>0.86363746001851482</v>
      </c>
      <c r="AE108" s="19">
        <f ca="1">+SUM(AE106:AE107)</f>
        <v>2071040</v>
      </c>
      <c r="AF108" s="20">
        <f ca="1">AE108/AE$116</f>
        <v>0.58218617791333438</v>
      </c>
      <c r="AG108" s="19">
        <f ca="1">+SUM(AG106:AG107)</f>
        <v>25302136</v>
      </c>
      <c r="AH108" s="20">
        <f ca="1">AG108/AG$116</f>
        <v>0.80017474594145621</v>
      </c>
      <c r="AI108" s="21">
        <f ca="1">+SUM(AI106:AI107)</f>
        <v>2096682576</v>
      </c>
    </row>
    <row r="109" spans="2:35" x14ac:dyDescent="0.4">
      <c r="B109" s="22" t="s">
        <v>18</v>
      </c>
      <c r="C109" s="15">
        <v>947</v>
      </c>
      <c r="D109" s="16">
        <f t="shared" ref="D109:D116" ca="1" si="129">C109/C$116</f>
        <v>9.064803292811334E-2</v>
      </c>
      <c r="E109" s="15">
        <v>755</v>
      </c>
      <c r="F109" s="16">
        <f t="shared" ref="F109:F116" ca="1" si="130">E109/E$116</f>
        <v>9.21630859375E-2</v>
      </c>
      <c r="G109" s="15">
        <v>6</v>
      </c>
      <c r="H109" s="16">
        <f t="shared" ref="H109:H116" ca="1" si="131">G109/G$116</f>
        <v>5.4595086442220204E-3</v>
      </c>
      <c r="I109" s="15">
        <v>18</v>
      </c>
      <c r="J109" s="16">
        <f t="shared" ref="J109:J116" ca="1" si="132">I109/I$116</f>
        <v>8.5025980160604621E-3</v>
      </c>
      <c r="K109" s="15">
        <v>36</v>
      </c>
      <c r="L109" s="16">
        <f t="shared" ref="L109:L116" ca="1" si="133">K109/K$116</f>
        <v>8.0536912751677847E-2</v>
      </c>
      <c r="M109" s="15">
        <v>11</v>
      </c>
      <c r="N109" s="16">
        <f t="shared" ref="N109:N116" ca="1" si="134">M109/M$116</f>
        <v>8.943089430894309E-2</v>
      </c>
      <c r="O109" s="15">
        <v>9</v>
      </c>
      <c r="P109" s="16">
        <f t="shared" ref="P109:P116" ca="1" si="135">O109/O$116</f>
        <v>7.43801652892562E-2</v>
      </c>
      <c r="Q109" s="62">
        <f t="shared" ca="1" si="128"/>
        <v>1782</v>
      </c>
      <c r="T109" s="22" t="s">
        <v>18</v>
      </c>
      <c r="U109" s="15">
        <v>86297324</v>
      </c>
      <c r="V109" s="16">
        <f t="shared" ref="V109:V116" ca="1" si="136">U109/U$116</f>
        <v>7.7598449154727647E-2</v>
      </c>
      <c r="W109" s="15">
        <v>67476491</v>
      </c>
      <c r="X109" s="16">
        <f t="shared" ref="X109:X116" ca="1" si="137">W109/W$116</f>
        <v>7.6522860844966983E-2</v>
      </c>
      <c r="Y109" s="15">
        <v>2343523</v>
      </c>
      <c r="Z109" s="16">
        <f t="shared" ref="Z109:Z116" ca="1" si="138">Y109/Y$116</f>
        <v>8.1190959598884636E-3</v>
      </c>
      <c r="AA109" s="15">
        <v>1182916</v>
      </c>
      <c r="AB109" s="16">
        <f t="shared" ref="AB109:AB116" ca="1" si="139">AA109/AA$116</f>
        <v>5.5945188096916771E-3</v>
      </c>
      <c r="AC109" s="15">
        <v>1563628</v>
      </c>
      <c r="AD109" s="16">
        <f t="shared" ref="AD109:AD116" ca="1" si="140">AC109/AC$116</f>
        <v>8.5328833185664046E-2</v>
      </c>
      <c r="AE109" s="15">
        <v>249010</v>
      </c>
      <c r="AF109" s="16">
        <f t="shared" ref="AF109:AF116" ca="1" si="141">AE109/AE$116</f>
        <v>6.9998735013422908E-2</v>
      </c>
      <c r="AG109" s="15">
        <v>1283105</v>
      </c>
      <c r="AH109" s="16">
        <f t="shared" ref="AH109:AH116" ca="1" si="142">AG109/AG$116</f>
        <v>4.0577926598418891E-2</v>
      </c>
      <c r="AI109" s="62">
        <f t="shared" ref="AI109:AI116" ca="1" si="143">SUM(U109,Y109,AA109,AC109,AE109,AG109,W109)</f>
        <v>160395997</v>
      </c>
    </row>
    <row r="110" spans="2:35" x14ac:dyDescent="0.4">
      <c r="B110" s="22" t="s">
        <v>19</v>
      </c>
      <c r="C110" s="15">
        <v>1125</v>
      </c>
      <c r="D110" s="16">
        <f t="shared" ca="1" si="129"/>
        <v>0.10768641715324974</v>
      </c>
      <c r="E110" s="15">
        <v>835</v>
      </c>
      <c r="F110" s="16">
        <f t="shared" ca="1" si="130"/>
        <v>0.1019287109375</v>
      </c>
      <c r="G110" s="15">
        <v>1</v>
      </c>
      <c r="H110" s="16">
        <f t="shared" ca="1" si="131"/>
        <v>9.099181073703367E-4</v>
      </c>
      <c r="I110" s="15">
        <v>12</v>
      </c>
      <c r="J110" s="16">
        <f t="shared" ca="1" si="132"/>
        <v>5.6683986773736423E-3</v>
      </c>
      <c r="K110" s="15">
        <v>10</v>
      </c>
      <c r="L110" s="16">
        <f t="shared" ca="1" si="133"/>
        <v>2.2371364653243849E-2</v>
      </c>
      <c r="M110" s="15">
        <v>9</v>
      </c>
      <c r="N110" s="16">
        <f t="shared" ca="1" si="134"/>
        <v>7.3170731707317069E-2</v>
      </c>
      <c r="O110" s="15">
        <v>15</v>
      </c>
      <c r="P110" s="16">
        <f t="shared" ca="1" si="135"/>
        <v>0.12396694214876033</v>
      </c>
      <c r="Q110" s="62">
        <f t="shared" ca="1" si="128"/>
        <v>2007</v>
      </c>
      <c r="T110" s="22" t="s">
        <v>19</v>
      </c>
      <c r="U110" s="15">
        <v>92442231</v>
      </c>
      <c r="V110" s="16">
        <f t="shared" ca="1" si="136"/>
        <v>8.3123942081947844E-2</v>
      </c>
      <c r="W110" s="15">
        <v>81577269</v>
      </c>
      <c r="X110" s="16">
        <f t="shared" ca="1" si="137"/>
        <v>9.2514087666465031E-2</v>
      </c>
      <c r="Y110" s="15">
        <v>237072</v>
      </c>
      <c r="Z110" s="16">
        <f t="shared" ca="1" si="138"/>
        <v>8.2133195082902013E-4</v>
      </c>
      <c r="AA110" s="15">
        <v>895593</v>
      </c>
      <c r="AB110" s="16">
        <f t="shared" ca="1" si="139"/>
        <v>4.2356446986330379E-3</v>
      </c>
      <c r="AC110" s="15">
        <v>484471</v>
      </c>
      <c r="AD110" s="16">
        <f t="shared" ca="1" si="140"/>
        <v>2.6438094701739703E-2</v>
      </c>
      <c r="AE110" s="15">
        <v>172190</v>
      </c>
      <c r="AF110" s="16">
        <f t="shared" ca="1" si="141"/>
        <v>4.8404008601908723E-2</v>
      </c>
      <c r="AG110" s="15">
        <v>3975525</v>
      </c>
      <c r="AH110" s="16">
        <f t="shared" ca="1" si="142"/>
        <v>0.12572514458300707</v>
      </c>
      <c r="AI110" s="62">
        <f t="shared" ca="1" si="143"/>
        <v>179784351</v>
      </c>
    </row>
    <row r="111" spans="2:35" x14ac:dyDescent="0.4">
      <c r="B111" s="22" t="s">
        <v>20</v>
      </c>
      <c r="C111" s="15">
        <v>400</v>
      </c>
      <c r="D111" s="16">
        <f t="shared" ca="1" si="129"/>
        <v>3.8288503876711018E-2</v>
      </c>
      <c r="E111" s="15">
        <v>332</v>
      </c>
      <c r="F111" s="16">
        <f t="shared" ca="1" si="130"/>
        <v>4.052734375E-2</v>
      </c>
      <c r="G111" s="15">
        <v>5</v>
      </c>
      <c r="H111" s="16">
        <f t="shared" ca="1" si="131"/>
        <v>4.549590536851683E-3</v>
      </c>
      <c r="I111" s="15">
        <v>4</v>
      </c>
      <c r="J111" s="16">
        <f t="shared" ca="1" si="132"/>
        <v>1.8894662257912141E-3</v>
      </c>
      <c r="K111" s="15">
        <v>5</v>
      </c>
      <c r="L111" s="16">
        <f t="shared" ca="1" si="133"/>
        <v>1.1185682326621925E-2</v>
      </c>
      <c r="M111" s="15">
        <v>7</v>
      </c>
      <c r="N111" s="16">
        <f t="shared" ca="1" si="134"/>
        <v>5.6910569105691054E-2</v>
      </c>
      <c r="O111" s="15">
        <v>4</v>
      </c>
      <c r="P111" s="16">
        <f t="shared" ca="1" si="135"/>
        <v>3.3057851239669422E-2</v>
      </c>
      <c r="Q111" s="62">
        <f t="shared" ca="1" si="128"/>
        <v>757</v>
      </c>
      <c r="T111" s="22" t="s">
        <v>20</v>
      </c>
      <c r="U111" s="15">
        <v>25645644</v>
      </c>
      <c r="V111" s="16">
        <f t="shared" ca="1" si="136"/>
        <v>2.3060532004147035E-2</v>
      </c>
      <c r="W111" s="15">
        <v>19583800</v>
      </c>
      <c r="X111" s="16">
        <f t="shared" ca="1" si="137"/>
        <v>2.220934106095802E-2</v>
      </c>
      <c r="Y111" s="15">
        <v>1863582</v>
      </c>
      <c r="Z111" s="16">
        <f t="shared" ca="1" si="138"/>
        <v>6.4563484493733846E-3</v>
      </c>
      <c r="AA111" s="15">
        <v>186000</v>
      </c>
      <c r="AB111" s="16">
        <f t="shared" ca="1" si="139"/>
        <v>8.7967404160790115E-4</v>
      </c>
      <c r="AC111" s="15">
        <v>320708</v>
      </c>
      <c r="AD111" s="16">
        <f t="shared" ca="1" si="140"/>
        <v>1.7501374644933416E-2</v>
      </c>
      <c r="AE111" s="15">
        <v>82200</v>
      </c>
      <c r="AF111" s="16">
        <f t="shared" ca="1" si="141"/>
        <v>2.3107088141453611E-2</v>
      </c>
      <c r="AG111" s="15">
        <v>618659</v>
      </c>
      <c r="AH111" s="16">
        <f t="shared" ca="1" si="142"/>
        <v>1.9564961161753117E-2</v>
      </c>
      <c r="AI111" s="62">
        <f t="shared" ca="1" si="143"/>
        <v>48300593</v>
      </c>
    </row>
    <row r="112" spans="2:35" x14ac:dyDescent="0.4">
      <c r="B112" s="22" t="s">
        <v>21</v>
      </c>
      <c r="C112" s="15">
        <v>230</v>
      </c>
      <c r="D112" s="16">
        <f t="shared" ca="1" si="129"/>
        <v>2.2015889729108836E-2</v>
      </c>
      <c r="E112" s="15">
        <v>177</v>
      </c>
      <c r="F112" s="16">
        <f t="shared" ca="1" si="130"/>
        <v>2.16064453125E-2</v>
      </c>
      <c r="G112" s="15">
        <v>0</v>
      </c>
      <c r="H112" s="16">
        <f t="shared" ca="1" si="131"/>
        <v>0</v>
      </c>
      <c r="I112" s="15">
        <v>2</v>
      </c>
      <c r="J112" s="16">
        <f t="shared" ca="1" si="132"/>
        <v>9.4473311289560704E-4</v>
      </c>
      <c r="K112" s="15">
        <v>1</v>
      </c>
      <c r="L112" s="16">
        <f t="shared" ca="1" si="133"/>
        <v>2.2371364653243847E-3</v>
      </c>
      <c r="M112" s="15">
        <v>7</v>
      </c>
      <c r="N112" s="16">
        <f t="shared" ca="1" si="134"/>
        <v>5.6910569105691054E-2</v>
      </c>
      <c r="O112" s="15">
        <v>0</v>
      </c>
      <c r="P112" s="16">
        <f t="shared" ca="1" si="135"/>
        <v>0</v>
      </c>
      <c r="Q112" s="62">
        <f t="shared" ca="1" si="128"/>
        <v>417</v>
      </c>
      <c r="T112" s="22" t="s">
        <v>21</v>
      </c>
      <c r="U112" s="15">
        <v>11458729</v>
      </c>
      <c r="V112" s="16">
        <f t="shared" ca="1" si="136"/>
        <v>1.0303675229654899E-2</v>
      </c>
      <c r="W112" s="15">
        <v>10708108</v>
      </c>
      <c r="X112" s="16">
        <f t="shared" ca="1" si="137"/>
        <v>1.2143711776548631E-2</v>
      </c>
      <c r="Y112" s="15">
        <v>0</v>
      </c>
      <c r="Z112" s="16">
        <f t="shared" ca="1" si="138"/>
        <v>0</v>
      </c>
      <c r="AA112" s="15">
        <v>2000</v>
      </c>
      <c r="AB112" s="16">
        <f t="shared" ca="1" si="139"/>
        <v>9.4588606624505504E-6</v>
      </c>
      <c r="AC112" s="15">
        <v>12000</v>
      </c>
      <c r="AD112" s="16">
        <f t="shared" ca="1" si="140"/>
        <v>6.5485268761365789E-4</v>
      </c>
      <c r="AE112" s="15">
        <v>164910</v>
      </c>
      <c r="AF112" s="16">
        <f t="shared" ca="1" si="141"/>
        <v>4.6357541428310396E-2</v>
      </c>
      <c r="AG112" s="15">
        <v>0</v>
      </c>
      <c r="AH112" s="16">
        <f t="shared" ca="1" si="142"/>
        <v>0</v>
      </c>
      <c r="AI112" s="62">
        <f t="shared" ca="1" si="143"/>
        <v>22345747</v>
      </c>
    </row>
    <row r="113" spans="2:70" x14ac:dyDescent="0.4">
      <c r="B113" s="22" t="s">
        <v>22</v>
      </c>
      <c r="C113" s="15">
        <v>168</v>
      </c>
      <c r="D113" s="16">
        <f t="shared" ca="1" si="129"/>
        <v>1.6081171628218628E-2</v>
      </c>
      <c r="E113" s="15">
        <v>131</v>
      </c>
      <c r="F113" s="16">
        <f t="shared" ca="1" si="130"/>
        <v>1.59912109375E-2</v>
      </c>
      <c r="G113" s="15">
        <v>1</v>
      </c>
      <c r="H113" s="16">
        <f t="shared" ca="1" si="131"/>
        <v>9.099181073703367E-4</v>
      </c>
      <c r="I113" s="15">
        <v>3</v>
      </c>
      <c r="J113" s="16">
        <f t="shared" ca="1" si="132"/>
        <v>1.4170996693434106E-3</v>
      </c>
      <c r="K113" s="15">
        <v>0</v>
      </c>
      <c r="L113" s="16">
        <f t="shared" ca="1" si="133"/>
        <v>0</v>
      </c>
      <c r="M113" s="15">
        <v>3</v>
      </c>
      <c r="N113" s="16">
        <f t="shared" ca="1" si="134"/>
        <v>2.4390243902439025E-2</v>
      </c>
      <c r="O113" s="15">
        <v>1</v>
      </c>
      <c r="P113" s="16">
        <f t="shared" ca="1" si="135"/>
        <v>8.2644628099173556E-3</v>
      </c>
      <c r="Q113" s="62">
        <f t="shared" ca="1" si="128"/>
        <v>307</v>
      </c>
      <c r="T113" s="22" t="s">
        <v>22</v>
      </c>
      <c r="U113" s="15">
        <v>5368691</v>
      </c>
      <c r="V113" s="16">
        <f t="shared" ca="1" si="136"/>
        <v>4.8275204407374666E-3</v>
      </c>
      <c r="W113" s="15">
        <v>6683952</v>
      </c>
      <c r="X113" s="16">
        <f t="shared" ca="1" si="137"/>
        <v>7.580049306215979E-3</v>
      </c>
      <c r="Y113" s="15">
        <v>1000</v>
      </c>
      <c r="Z113" s="16">
        <f t="shared" ca="1" si="138"/>
        <v>3.4644831562943752E-6</v>
      </c>
      <c r="AA113" s="15">
        <v>135010</v>
      </c>
      <c r="AB113" s="16">
        <f t="shared" ca="1" si="139"/>
        <v>6.3852038901872441E-4</v>
      </c>
      <c r="AC113" s="15">
        <v>0</v>
      </c>
      <c r="AD113" s="16">
        <f t="shared" ca="1" si="140"/>
        <v>0</v>
      </c>
      <c r="AE113" s="15">
        <v>3000</v>
      </c>
      <c r="AF113" s="16">
        <f t="shared" ca="1" si="141"/>
        <v>8.4332438472458434E-4</v>
      </c>
      <c r="AG113" s="15">
        <v>163000</v>
      </c>
      <c r="AH113" s="16">
        <f t="shared" ca="1" si="142"/>
        <v>5.1548408240496913E-3</v>
      </c>
      <c r="AI113" s="62">
        <f t="shared" ca="1" si="143"/>
        <v>12354653</v>
      </c>
    </row>
    <row r="114" spans="2:70" x14ac:dyDescent="0.4">
      <c r="B114" s="22" t="s">
        <v>23</v>
      </c>
      <c r="C114" s="15">
        <v>125</v>
      </c>
      <c r="D114" s="16">
        <f t="shared" ca="1" si="129"/>
        <v>1.1965157461472193E-2</v>
      </c>
      <c r="E114" s="15">
        <v>107</v>
      </c>
      <c r="F114" s="16">
        <f t="shared" ca="1" si="130"/>
        <v>1.30615234375E-2</v>
      </c>
      <c r="G114" s="15">
        <v>0</v>
      </c>
      <c r="H114" s="16">
        <f t="shared" ca="1" si="131"/>
        <v>0</v>
      </c>
      <c r="I114" s="15">
        <v>1</v>
      </c>
      <c r="J114" s="16">
        <f t="shared" ca="1" si="132"/>
        <v>4.7236655644780352E-4</v>
      </c>
      <c r="K114" s="15">
        <v>1</v>
      </c>
      <c r="L114" s="16">
        <f t="shared" ca="1" si="133"/>
        <v>2.2371364653243847E-3</v>
      </c>
      <c r="M114" s="15">
        <v>2</v>
      </c>
      <c r="N114" s="16">
        <f t="shared" ca="1" si="134"/>
        <v>1.6260162601626018E-2</v>
      </c>
      <c r="O114" s="15">
        <v>2</v>
      </c>
      <c r="P114" s="16">
        <f t="shared" ca="1" si="135"/>
        <v>1.6528925619834711E-2</v>
      </c>
      <c r="Q114" s="62">
        <f t="shared" ca="1" si="128"/>
        <v>238</v>
      </c>
      <c r="T114" s="22" t="s">
        <v>23</v>
      </c>
      <c r="U114" s="15">
        <v>3062269</v>
      </c>
      <c r="V114" s="16">
        <f t="shared" ca="1" si="136"/>
        <v>2.7535885735529724E-3</v>
      </c>
      <c r="W114" s="15">
        <v>3982612</v>
      </c>
      <c r="X114" s="16">
        <f t="shared" ca="1" si="137"/>
        <v>4.5165487914227143E-3</v>
      </c>
      <c r="Y114" s="15">
        <v>0</v>
      </c>
      <c r="Z114" s="16">
        <f t="shared" ca="1" si="138"/>
        <v>0</v>
      </c>
      <c r="AA114" s="15">
        <v>1000</v>
      </c>
      <c r="AB114" s="16">
        <f t="shared" ca="1" si="139"/>
        <v>4.7294303312252752E-6</v>
      </c>
      <c r="AC114" s="15">
        <v>30000</v>
      </c>
      <c r="AD114" s="16">
        <f t="shared" ca="1" si="140"/>
        <v>1.6371317190341447E-3</v>
      </c>
      <c r="AE114" s="15">
        <v>11000</v>
      </c>
      <c r="AF114" s="16">
        <f t="shared" ca="1" si="141"/>
        <v>3.0921894106568093E-3</v>
      </c>
      <c r="AG114" s="15">
        <v>79061</v>
      </c>
      <c r="AH114" s="16">
        <f t="shared" ca="1" si="142"/>
        <v>2.50028754840609E-3</v>
      </c>
      <c r="AI114" s="62">
        <f t="shared" ca="1" si="143"/>
        <v>7165942</v>
      </c>
    </row>
    <row r="115" spans="2:70" x14ac:dyDescent="0.4">
      <c r="B115" s="23" t="s">
        <v>24</v>
      </c>
      <c r="C115" s="24">
        <v>439</v>
      </c>
      <c r="D115" s="25">
        <f t="shared" ca="1" si="129"/>
        <v>4.2021633004690341E-2</v>
      </c>
      <c r="E115" s="24">
        <v>331</v>
      </c>
      <c r="F115" s="25">
        <f t="shared" ca="1" si="130"/>
        <v>4.04052734375E-2</v>
      </c>
      <c r="G115" s="24">
        <v>0</v>
      </c>
      <c r="H115" s="25">
        <f t="shared" ca="1" si="131"/>
        <v>0</v>
      </c>
      <c r="I115" s="24">
        <v>5</v>
      </c>
      <c r="J115" s="25">
        <f t="shared" ca="1" si="132"/>
        <v>2.3618327822390174E-3</v>
      </c>
      <c r="K115" s="24">
        <v>2</v>
      </c>
      <c r="L115" s="25">
        <f t="shared" ca="1" si="133"/>
        <v>4.4742729306487695E-3</v>
      </c>
      <c r="M115" s="24">
        <v>9</v>
      </c>
      <c r="N115" s="25">
        <f t="shared" ca="1" si="134"/>
        <v>7.3170731707317069E-2</v>
      </c>
      <c r="O115" s="24">
        <v>3</v>
      </c>
      <c r="P115" s="25">
        <f t="shared" ca="1" si="135"/>
        <v>2.4793388429752067E-2</v>
      </c>
      <c r="Q115" s="64">
        <f t="shared" ca="1" si="128"/>
        <v>789</v>
      </c>
      <c r="T115" s="23" t="s">
        <v>24</v>
      </c>
      <c r="U115" s="24">
        <v>10882171</v>
      </c>
      <c r="V115" s="25">
        <f t="shared" ca="1" si="136"/>
        <v>9.7852349748012088E-3</v>
      </c>
      <c r="W115" s="24">
        <v>8460107</v>
      </c>
      <c r="X115" s="25">
        <f t="shared" ca="1" si="137"/>
        <v>9.5943280555968909E-3</v>
      </c>
      <c r="Y115" s="24">
        <v>0</v>
      </c>
      <c r="Z115" s="25">
        <f t="shared" ca="1" si="138"/>
        <v>0</v>
      </c>
      <c r="AA115" s="24">
        <v>8000</v>
      </c>
      <c r="AB115" s="25">
        <f t="shared" ca="1" si="139"/>
        <v>3.7835442649802202E-5</v>
      </c>
      <c r="AC115" s="24">
        <v>88000</v>
      </c>
      <c r="AD115" s="25">
        <f t="shared" ca="1" si="140"/>
        <v>4.8022530425001573E-3</v>
      </c>
      <c r="AE115" s="24">
        <v>804000</v>
      </c>
      <c r="AF115" s="25">
        <f t="shared" ca="1" si="141"/>
        <v>0.22601093510618858</v>
      </c>
      <c r="AG115" s="24">
        <v>199277</v>
      </c>
      <c r="AH115" s="25">
        <f t="shared" ca="1" si="142"/>
        <v>6.3020933429088983E-3</v>
      </c>
      <c r="AI115" s="64">
        <f t="shared" ca="1" si="143"/>
        <v>20441555</v>
      </c>
    </row>
    <row r="116" spans="2:70" x14ac:dyDescent="0.4">
      <c r="B116" s="27" t="s">
        <v>25</v>
      </c>
      <c r="C116" s="28">
        <f ca="1">SUM(C108:C115)</f>
        <v>10447</v>
      </c>
      <c r="D116" s="29">
        <f t="shared" ca="1" si="129"/>
        <v>1</v>
      </c>
      <c r="E116" s="28">
        <f ca="1">SUM(E108:E115)</f>
        <v>8192</v>
      </c>
      <c r="F116" s="30">
        <f t="shared" ca="1" si="130"/>
        <v>1</v>
      </c>
      <c r="G116" s="28">
        <f ca="1">SUM(G108:G115)</f>
        <v>1099</v>
      </c>
      <c r="H116" s="29">
        <f t="shared" ca="1" si="131"/>
        <v>1</v>
      </c>
      <c r="I116" s="28">
        <f ca="1">SUM(I108:I115)</f>
        <v>2117</v>
      </c>
      <c r="J116" s="29">
        <f t="shared" ca="1" si="132"/>
        <v>1</v>
      </c>
      <c r="K116" s="28">
        <f ca="1">SUM(K108:K115)</f>
        <v>447</v>
      </c>
      <c r="L116" s="29">
        <f t="shared" ca="1" si="133"/>
        <v>1</v>
      </c>
      <c r="M116" s="28">
        <f ca="1">SUM(M108:M115)</f>
        <v>123</v>
      </c>
      <c r="N116" s="29">
        <f t="shared" ca="1" si="134"/>
        <v>1</v>
      </c>
      <c r="O116" s="28">
        <f ca="1">SUM(O108:O115)</f>
        <v>121</v>
      </c>
      <c r="P116" s="29">
        <f t="shared" ca="1" si="135"/>
        <v>1</v>
      </c>
      <c r="Q116" s="31">
        <f t="shared" ca="1" si="128"/>
        <v>22546</v>
      </c>
      <c r="T116" s="27" t="s">
        <v>25</v>
      </c>
      <c r="U116" s="28">
        <f ca="1">SUM(U108:U115)</f>
        <v>1112101143</v>
      </c>
      <c r="V116" s="29">
        <f t="shared" ca="1" si="136"/>
        <v>1</v>
      </c>
      <c r="W116" s="28">
        <f ca="1">SUM(W108:W115)</f>
        <v>881782127</v>
      </c>
      <c r="X116" s="30">
        <f t="shared" ca="1" si="137"/>
        <v>1</v>
      </c>
      <c r="Y116" s="28">
        <f ca="1">SUM(Y108:Y115)</f>
        <v>288643343</v>
      </c>
      <c r="Z116" s="29">
        <f t="shared" ca="1" si="138"/>
        <v>1</v>
      </c>
      <c r="AA116" s="28">
        <f ca="1">SUM(AA108:AA115)</f>
        <v>211441956</v>
      </c>
      <c r="AB116" s="29">
        <f t="shared" ca="1" si="139"/>
        <v>1</v>
      </c>
      <c r="AC116" s="28">
        <f ca="1">SUM(AC108:AC115)</f>
        <v>18324732</v>
      </c>
      <c r="AD116" s="29">
        <f t="shared" ca="1" si="140"/>
        <v>1</v>
      </c>
      <c r="AE116" s="28">
        <f ca="1">SUM(AE108:AE115)</f>
        <v>3557350</v>
      </c>
      <c r="AF116" s="29">
        <f t="shared" ca="1" si="141"/>
        <v>1</v>
      </c>
      <c r="AG116" s="28">
        <f ca="1">SUM(AG108:AG115)</f>
        <v>31620763</v>
      </c>
      <c r="AH116" s="29">
        <f t="shared" ca="1" si="142"/>
        <v>1</v>
      </c>
      <c r="AI116" s="31">
        <f t="shared" ca="1" si="143"/>
        <v>2547471414</v>
      </c>
    </row>
    <row r="117" spans="2:70" x14ac:dyDescent="0.4">
      <c r="B117" s="32" t="s">
        <v>26</v>
      </c>
      <c r="C117" s="33">
        <f ca="1">C116/$Q$116</f>
        <v>0.46336378958573582</v>
      </c>
      <c r="D117" s="33"/>
      <c r="E117" s="33">
        <f ca="1">E116/$Q$116</f>
        <v>0.36334604807948195</v>
      </c>
      <c r="F117" s="33"/>
      <c r="G117" s="33">
        <f ca="1">G116/$Q$116</f>
        <v>4.8744788432537919E-2</v>
      </c>
      <c r="H117" s="33"/>
      <c r="I117" s="33">
        <f ca="1">I116/$Q$116</f>
        <v>9.3896921848664952E-2</v>
      </c>
      <c r="J117" s="33"/>
      <c r="K117" s="33">
        <f ca="1">K116/$Q$116</f>
        <v>1.9826133238711966E-2</v>
      </c>
      <c r="L117" s="33"/>
      <c r="M117" s="33">
        <f ca="1">M116/$Q$116</f>
        <v>5.4555131730683933E-3</v>
      </c>
      <c r="N117" s="33"/>
      <c r="O117" s="33">
        <f ca="1">O116/$Q$116</f>
        <v>5.3668056417989886E-3</v>
      </c>
      <c r="P117" s="33"/>
      <c r="Q117" s="34">
        <f ca="1">Q116/$Q$116</f>
        <v>1</v>
      </c>
      <c r="T117" s="32" t="s">
        <v>26</v>
      </c>
      <c r="U117" s="33">
        <f ca="1">U116/$AI$116</f>
        <v>0.43655098027333544</v>
      </c>
      <c r="V117" s="33"/>
      <c r="W117" s="33">
        <f ca="1">W116/$AI$116</f>
        <v>0.34614014593217335</v>
      </c>
      <c r="X117" s="33"/>
      <c r="Y117" s="33">
        <f ca="1">Y116/$AI$116</f>
        <v>0.11330582216299602</v>
      </c>
      <c r="Z117" s="33"/>
      <c r="AA117" s="33">
        <f ca="1">AA116/$AI$116</f>
        <v>8.3000717824737877E-2</v>
      </c>
      <c r="AB117" s="33"/>
      <c r="AC117" s="33">
        <f ca="1">AC116/$AI$116</f>
        <v>7.1933023072579998E-3</v>
      </c>
      <c r="AD117" s="33"/>
      <c r="AE117" s="33">
        <f ca="1">AE116/$AI$116</f>
        <v>1.3964239129240334E-3</v>
      </c>
      <c r="AF117" s="33"/>
      <c r="AG117" s="33">
        <f ca="1">AG116/$AI$116</f>
        <v>1.2412607586575258E-2</v>
      </c>
      <c r="AH117" s="33"/>
      <c r="AI117" s="34">
        <f ca="1">AI116/$AI$116</f>
        <v>1</v>
      </c>
    </row>
    <row r="119" spans="2:70" x14ac:dyDescent="0.4">
      <c r="B119" s="4" t="s">
        <v>27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T119" s="4" t="s">
        <v>27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L119" s="4" t="s">
        <v>28</v>
      </c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C119" s="4" t="s">
        <v>28</v>
      </c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</row>
    <row r="120" spans="2:70" x14ac:dyDescent="0.4">
      <c r="B120" s="5"/>
      <c r="C120" s="6" t="s">
        <v>3</v>
      </c>
      <c r="D120" s="6"/>
      <c r="E120" s="6" t="s">
        <v>4</v>
      </c>
      <c r="F120" s="6"/>
      <c r="G120" s="6" t="s">
        <v>5</v>
      </c>
      <c r="H120" s="6"/>
      <c r="I120" s="6" t="s">
        <v>6</v>
      </c>
      <c r="J120" s="6"/>
      <c r="K120" s="6" t="s">
        <v>7</v>
      </c>
      <c r="L120" s="6"/>
      <c r="M120" s="6" t="s">
        <v>8</v>
      </c>
      <c r="N120" s="6"/>
      <c r="O120" s="6" t="s">
        <v>9</v>
      </c>
      <c r="P120" s="6"/>
      <c r="Q120" s="7" t="s">
        <v>10</v>
      </c>
      <c r="T120" s="5"/>
      <c r="U120" s="6" t="s">
        <v>3</v>
      </c>
      <c r="V120" s="6"/>
      <c r="W120" s="6" t="s">
        <v>4</v>
      </c>
      <c r="X120" s="6"/>
      <c r="Y120" s="6" t="s">
        <v>5</v>
      </c>
      <c r="Z120" s="6"/>
      <c r="AA120" s="6" t="s">
        <v>6</v>
      </c>
      <c r="AB120" s="6"/>
      <c r="AC120" s="6" t="s">
        <v>7</v>
      </c>
      <c r="AD120" s="6"/>
      <c r="AE120" s="6" t="s">
        <v>8</v>
      </c>
      <c r="AF120" s="6"/>
      <c r="AG120" s="6" t="s">
        <v>9</v>
      </c>
      <c r="AH120" s="6"/>
      <c r="AI120" s="7" t="s">
        <v>10</v>
      </c>
      <c r="AL120" s="5"/>
      <c r="AM120" s="6" t="s">
        <v>3</v>
      </c>
      <c r="AN120" s="6"/>
      <c r="AO120" s="6" t="s">
        <v>4</v>
      </c>
      <c r="AP120" s="6"/>
      <c r="AQ120" s="6" t="s">
        <v>5</v>
      </c>
      <c r="AR120" s="6"/>
      <c r="AS120" s="6" t="s">
        <v>6</v>
      </c>
      <c r="AT120" s="6"/>
      <c r="AU120" s="6" t="s">
        <v>7</v>
      </c>
      <c r="AV120" s="6"/>
      <c r="AW120" s="6" t="s">
        <v>8</v>
      </c>
      <c r="AX120" s="6"/>
      <c r="AY120" s="6" t="s">
        <v>9</v>
      </c>
      <c r="AZ120" s="6"/>
      <c r="BA120" s="7" t="s">
        <v>10</v>
      </c>
      <c r="BC120" s="5"/>
      <c r="BD120" s="6" t="s">
        <v>3</v>
      </c>
      <c r="BE120" s="6"/>
      <c r="BF120" s="6" t="s">
        <v>4</v>
      </c>
      <c r="BG120" s="6"/>
      <c r="BH120" s="6" t="s">
        <v>5</v>
      </c>
      <c r="BI120" s="6"/>
      <c r="BJ120" s="6" t="s">
        <v>6</v>
      </c>
      <c r="BK120" s="6"/>
      <c r="BL120" s="6" t="s">
        <v>7</v>
      </c>
      <c r="BM120" s="6"/>
      <c r="BN120" s="6" t="s">
        <v>8</v>
      </c>
      <c r="BO120" s="6"/>
      <c r="BP120" s="6" t="s">
        <v>9</v>
      </c>
      <c r="BQ120" s="6"/>
      <c r="BR120" s="7" t="s">
        <v>10</v>
      </c>
    </row>
    <row r="121" spans="2:70" x14ac:dyDescent="0.4">
      <c r="B121" s="8" t="s">
        <v>11</v>
      </c>
      <c r="C121" s="8" t="s">
        <v>12</v>
      </c>
      <c r="D121" s="8" t="s">
        <v>13</v>
      </c>
      <c r="E121" s="8" t="s">
        <v>12</v>
      </c>
      <c r="F121" s="8" t="s">
        <v>13</v>
      </c>
      <c r="G121" s="8" t="s">
        <v>12</v>
      </c>
      <c r="H121" s="8" t="s">
        <v>13</v>
      </c>
      <c r="I121" s="8" t="s">
        <v>12</v>
      </c>
      <c r="J121" s="8" t="s">
        <v>13</v>
      </c>
      <c r="K121" s="8" t="s">
        <v>12</v>
      </c>
      <c r="L121" s="8" t="s">
        <v>13</v>
      </c>
      <c r="M121" s="8" t="s">
        <v>12</v>
      </c>
      <c r="N121" s="8" t="s">
        <v>13</v>
      </c>
      <c r="O121" s="8" t="s">
        <v>12</v>
      </c>
      <c r="P121" s="8" t="s">
        <v>13</v>
      </c>
      <c r="Q121" s="7"/>
      <c r="T121" s="8" t="s">
        <v>11</v>
      </c>
      <c r="U121" s="8" t="s">
        <v>14</v>
      </c>
      <c r="V121" s="8" t="s">
        <v>13</v>
      </c>
      <c r="W121" s="8" t="s">
        <v>14</v>
      </c>
      <c r="X121" s="8" t="s">
        <v>13</v>
      </c>
      <c r="Y121" s="8" t="s">
        <v>14</v>
      </c>
      <c r="Z121" s="8" t="s">
        <v>13</v>
      </c>
      <c r="AA121" s="8" t="s">
        <v>14</v>
      </c>
      <c r="AB121" s="8" t="s">
        <v>13</v>
      </c>
      <c r="AC121" s="8" t="s">
        <v>14</v>
      </c>
      <c r="AD121" s="8" t="s">
        <v>13</v>
      </c>
      <c r="AE121" s="8" t="s">
        <v>14</v>
      </c>
      <c r="AF121" s="8" t="s">
        <v>13</v>
      </c>
      <c r="AG121" s="8" t="s">
        <v>14</v>
      </c>
      <c r="AH121" s="8" t="s">
        <v>13</v>
      </c>
      <c r="AI121" s="7"/>
      <c r="AL121" s="8" t="s">
        <v>11</v>
      </c>
      <c r="AM121" s="8" t="s">
        <v>12</v>
      </c>
      <c r="AN121" s="8" t="s">
        <v>13</v>
      </c>
      <c r="AO121" s="8" t="s">
        <v>12</v>
      </c>
      <c r="AP121" s="8" t="s">
        <v>13</v>
      </c>
      <c r="AQ121" s="8" t="s">
        <v>12</v>
      </c>
      <c r="AR121" s="8" t="s">
        <v>13</v>
      </c>
      <c r="AS121" s="8" t="s">
        <v>12</v>
      </c>
      <c r="AT121" s="8" t="s">
        <v>13</v>
      </c>
      <c r="AU121" s="8" t="s">
        <v>12</v>
      </c>
      <c r="AV121" s="8" t="s">
        <v>13</v>
      </c>
      <c r="AW121" s="8" t="s">
        <v>12</v>
      </c>
      <c r="AX121" s="8" t="s">
        <v>13</v>
      </c>
      <c r="AY121" s="8" t="s">
        <v>12</v>
      </c>
      <c r="AZ121" s="8" t="s">
        <v>13</v>
      </c>
      <c r="BA121" s="7"/>
      <c r="BC121" s="8" t="s">
        <v>11</v>
      </c>
      <c r="BD121" s="8" t="s">
        <v>14</v>
      </c>
      <c r="BE121" s="8" t="s">
        <v>13</v>
      </c>
      <c r="BF121" s="8" t="s">
        <v>14</v>
      </c>
      <c r="BG121" s="8" t="s">
        <v>13</v>
      </c>
      <c r="BH121" s="8" t="s">
        <v>14</v>
      </c>
      <c r="BI121" s="8" t="s">
        <v>13</v>
      </c>
      <c r="BJ121" s="8" t="s">
        <v>14</v>
      </c>
      <c r="BK121" s="8" t="s">
        <v>13</v>
      </c>
      <c r="BL121" s="8" t="s">
        <v>14</v>
      </c>
      <c r="BM121" s="8" t="s">
        <v>13</v>
      </c>
      <c r="BN121" s="8" t="s">
        <v>14</v>
      </c>
      <c r="BO121" s="8" t="s">
        <v>13</v>
      </c>
      <c r="BP121" s="8" t="s">
        <v>14</v>
      </c>
      <c r="BQ121" s="8" t="s">
        <v>13</v>
      </c>
      <c r="BR121" s="7"/>
    </row>
    <row r="122" spans="2:70" x14ac:dyDescent="0.4">
      <c r="B122" s="9" t="s">
        <v>15</v>
      </c>
      <c r="C122" s="10">
        <v>156</v>
      </c>
      <c r="D122" s="11">
        <f ca="1">C122/C$132</f>
        <v>0.55913978494623651</v>
      </c>
      <c r="E122" s="10">
        <v>154</v>
      </c>
      <c r="F122" s="11">
        <f ca="1">E122/E$132</f>
        <v>0.68444444444444441</v>
      </c>
      <c r="G122" s="10">
        <v>19</v>
      </c>
      <c r="H122" s="11">
        <f ca="1">IFERROR((G122/G$132),0)</f>
        <v>1</v>
      </c>
      <c r="I122" s="10">
        <v>79</v>
      </c>
      <c r="J122" s="11">
        <f t="shared" ref="J122:J131" ca="1" si="144">I122/I$132</f>
        <v>0.98750000000000004</v>
      </c>
      <c r="K122" s="10">
        <v>7</v>
      </c>
      <c r="L122" s="11">
        <f ca="1">IFERROR((K122/K$132),0)</f>
        <v>0.875</v>
      </c>
      <c r="M122" s="10">
        <v>0</v>
      </c>
      <c r="N122" s="11">
        <f ca="1">IFERROR((M122/M$132),0)</f>
        <v>0</v>
      </c>
      <c r="O122" s="10">
        <v>0</v>
      </c>
      <c r="P122" s="11">
        <f t="shared" ref="P122:P131" ca="1" si="145">O122/O$132</f>
        <v>0</v>
      </c>
      <c r="Q122" s="60">
        <f t="shared" ref="Q122:Q132" ca="1" si="146">SUM(C122,G122,I122,K122,M122,O122,E122)</f>
        <v>415</v>
      </c>
      <c r="T122" s="9" t="s">
        <v>15</v>
      </c>
      <c r="U122" s="10">
        <v>13932321</v>
      </c>
      <c r="V122" s="11">
        <f ca="1">U122/U$132</f>
        <v>0.54162821539636419</v>
      </c>
      <c r="W122" s="10">
        <v>21621930</v>
      </c>
      <c r="X122" s="11">
        <f ca="1">W122/W$132</f>
        <v>0.76253405749028857</v>
      </c>
      <c r="Y122" s="10">
        <v>4170377</v>
      </c>
      <c r="Z122" s="11">
        <f ca="1">IFERROR((Y122/Y$132),0)</f>
        <v>1</v>
      </c>
      <c r="AA122" s="10">
        <v>14988417</v>
      </c>
      <c r="AB122" s="11">
        <f t="shared" ref="AB122:AB131" ca="1" si="147">AA122/AA$132</f>
        <v>1</v>
      </c>
      <c r="AC122" s="10">
        <v>154632</v>
      </c>
      <c r="AD122" s="11">
        <f ca="1">IFERROR((AC122/AC$132),0)</f>
        <v>0.61943981540828097</v>
      </c>
      <c r="AE122" s="10">
        <v>0</v>
      </c>
      <c r="AF122" s="11">
        <f ca="1">IFERROR((AE122/AE$132),0)</f>
        <v>0</v>
      </c>
      <c r="AG122" s="10">
        <v>0</v>
      </c>
      <c r="AH122" s="11">
        <f t="shared" ref="AH122:AH131" ca="1" si="148">AG122/AG$132</f>
        <v>0</v>
      </c>
      <c r="AI122" s="60">
        <f ca="1">SUM(U122,Y122,AA122,AC122,AE122,AG122,W122)</f>
        <v>54867677</v>
      </c>
      <c r="AL122" s="35" t="s">
        <v>15</v>
      </c>
      <c r="AM122" s="36">
        <v>156</v>
      </c>
      <c r="AN122" s="37">
        <f ca="1">AM122/AM$132</f>
        <v>0.55913978494623651</v>
      </c>
      <c r="AO122" s="36">
        <v>154</v>
      </c>
      <c r="AP122" s="37">
        <f t="shared" ref="AP122:AP131" ca="1" si="149">AO122/AO$132</f>
        <v>0.68444444444444441</v>
      </c>
      <c r="AQ122" s="36">
        <v>19</v>
      </c>
      <c r="AR122" s="37">
        <f ca="1">IFERROR((AQ122/AQ$132),0)</f>
        <v>1</v>
      </c>
      <c r="AS122" s="36">
        <v>79</v>
      </c>
      <c r="AT122" s="37">
        <f t="shared" ref="AT122:AT131" ca="1" si="150">AS122/AS$132</f>
        <v>0.98750000000000004</v>
      </c>
      <c r="AU122" s="36">
        <v>7</v>
      </c>
      <c r="AV122" s="37">
        <f ca="1">IFERROR((AU122/AU$132),0)</f>
        <v>0.875</v>
      </c>
      <c r="AW122" s="36">
        <v>0</v>
      </c>
      <c r="AX122" s="37">
        <f ca="1">IFERROR((AW122/AW$132),0)</f>
        <v>0</v>
      </c>
      <c r="AY122" s="36">
        <v>0</v>
      </c>
      <c r="AZ122" s="37">
        <f t="shared" ref="AZ122:AZ131" ca="1" si="151">AY122/AY$132</f>
        <v>0</v>
      </c>
      <c r="BA122" s="61">
        <f ca="1">SUM(AM122,AQ122,AS122,AU122,AW122,AY122,AO122)</f>
        <v>415</v>
      </c>
      <c r="BC122" s="35" t="s">
        <v>15</v>
      </c>
      <c r="BD122" s="36">
        <v>13932321</v>
      </c>
      <c r="BE122" s="37">
        <f ca="1">BD122/BD$132</f>
        <v>0.54162821539636419</v>
      </c>
      <c r="BF122" s="36">
        <v>21621930</v>
      </c>
      <c r="BG122" s="37">
        <f ca="1">BF122/BF$132</f>
        <v>0.76253405749028857</v>
      </c>
      <c r="BH122" s="36">
        <v>4170377</v>
      </c>
      <c r="BI122" s="37">
        <f ca="1">IFERROR((BH122/BH$132),0)</f>
        <v>1</v>
      </c>
      <c r="BJ122" s="36">
        <v>14988417</v>
      </c>
      <c r="BK122" s="37">
        <f t="shared" ref="BK122:BK131" ca="1" si="152">BJ122/BJ$132</f>
        <v>1</v>
      </c>
      <c r="BL122" s="36">
        <v>154632</v>
      </c>
      <c r="BM122" s="37">
        <f ca="1">IFERROR((BL122/BL$132),0)</f>
        <v>0.61943981540828097</v>
      </c>
      <c r="BN122" s="36">
        <v>0</v>
      </c>
      <c r="BO122" s="37">
        <f ca="1">IFERROR((BN122/BN$132),0)</f>
        <v>0</v>
      </c>
      <c r="BP122" s="36">
        <v>0</v>
      </c>
      <c r="BQ122" s="37">
        <f t="shared" ref="BQ122:BQ131" ca="1" si="153">BP122/BP$132</f>
        <v>0</v>
      </c>
      <c r="BR122" s="61">
        <f ca="1">SUM(BD122,BH122,BJ122,BL122,BN122,BP122,BF122)</f>
        <v>54867677</v>
      </c>
    </row>
    <row r="123" spans="2:70" x14ac:dyDescent="0.4">
      <c r="B123" s="14" t="s">
        <v>16</v>
      </c>
      <c r="C123" s="15">
        <v>88</v>
      </c>
      <c r="D123" s="16">
        <f ca="1">C123/C$132</f>
        <v>0.31541218637992829</v>
      </c>
      <c r="E123" s="15">
        <v>52</v>
      </c>
      <c r="F123" s="16">
        <f t="shared" ref="F123:F131" ca="1" si="154">E123/E$132</f>
        <v>0.2311111111111111</v>
      </c>
      <c r="G123" s="15">
        <v>0</v>
      </c>
      <c r="H123" s="16">
        <f t="shared" ref="H123:H132" ca="1" si="155">IFERROR((G123/G$132),0)</f>
        <v>0</v>
      </c>
      <c r="I123" s="15">
        <v>1</v>
      </c>
      <c r="J123" s="16">
        <f t="shared" ca="1" si="144"/>
        <v>1.2500000000000001E-2</v>
      </c>
      <c r="K123" s="15">
        <v>1</v>
      </c>
      <c r="L123" s="16">
        <f t="shared" ref="L123:L131" ca="1" si="156">IFERROR((K123/K$132),0)</f>
        <v>0.125</v>
      </c>
      <c r="M123" s="15">
        <v>0</v>
      </c>
      <c r="N123" s="16">
        <f t="shared" ref="N123:N131" ca="1" si="157">IFERROR((M123/M$132),0)</f>
        <v>0</v>
      </c>
      <c r="O123" s="15">
        <v>2</v>
      </c>
      <c r="P123" s="16">
        <f t="shared" ca="1" si="145"/>
        <v>1</v>
      </c>
      <c r="Q123" s="62">
        <f t="shared" ca="1" si="146"/>
        <v>144</v>
      </c>
      <c r="T123" s="14" t="s">
        <v>16</v>
      </c>
      <c r="U123" s="15">
        <v>8892768</v>
      </c>
      <c r="V123" s="16">
        <f t="shared" ref="V123:X131" ca="1" si="158">U123/U$132</f>
        <v>0.34571225151745322</v>
      </c>
      <c r="W123" s="15">
        <v>5016764</v>
      </c>
      <c r="X123" s="16">
        <f t="shared" ca="1" si="158"/>
        <v>0.17692469674960606</v>
      </c>
      <c r="Y123" s="15">
        <v>0</v>
      </c>
      <c r="Z123" s="16">
        <f t="shared" ref="Z123:Z132" ca="1" si="159">IFERROR((Y123/Y$132),0)</f>
        <v>0</v>
      </c>
      <c r="AA123" s="15">
        <v>0</v>
      </c>
      <c r="AB123" s="16">
        <f t="shared" ca="1" si="147"/>
        <v>0</v>
      </c>
      <c r="AC123" s="15">
        <v>95000</v>
      </c>
      <c r="AD123" s="16">
        <f t="shared" ref="AD123:AD131" ca="1" si="160">IFERROR((AC123/AC$132),0)</f>
        <v>0.38056018459171903</v>
      </c>
      <c r="AE123" s="15">
        <v>0</v>
      </c>
      <c r="AF123" s="16">
        <f t="shared" ref="AF123:AF131" ca="1" si="161">IFERROR((AE123/AE$132),0)</f>
        <v>0</v>
      </c>
      <c r="AG123" s="15">
        <v>323781</v>
      </c>
      <c r="AH123" s="16">
        <f t="shared" ca="1" si="148"/>
        <v>1</v>
      </c>
      <c r="AI123" s="62">
        <f ca="1">SUM(U123,Y123,AA123,AC123,AE123,AG123,W123)</f>
        <v>14328313</v>
      </c>
      <c r="AL123" s="39" t="s">
        <v>16</v>
      </c>
      <c r="AM123" s="40">
        <v>88</v>
      </c>
      <c r="AN123" s="41">
        <f t="shared" ref="AN123:AN131" ca="1" si="162">AM123/AM$132</f>
        <v>0.31541218637992829</v>
      </c>
      <c r="AO123" s="40">
        <v>52</v>
      </c>
      <c r="AP123" s="41">
        <f t="shared" ca="1" si="149"/>
        <v>0.2311111111111111</v>
      </c>
      <c r="AQ123" s="40">
        <v>0</v>
      </c>
      <c r="AR123" s="41">
        <f t="shared" ref="AR123:AR132" ca="1" si="163">IFERROR((AQ123/AQ$132),0)</f>
        <v>0</v>
      </c>
      <c r="AS123" s="40">
        <v>1</v>
      </c>
      <c r="AT123" s="41">
        <f t="shared" ca="1" si="150"/>
        <v>1.2500000000000001E-2</v>
      </c>
      <c r="AU123" s="40">
        <v>1</v>
      </c>
      <c r="AV123" s="41">
        <f t="shared" ref="AV123:AV131" ca="1" si="164">IFERROR((AU123/AU$132),0)</f>
        <v>0.125</v>
      </c>
      <c r="AW123" s="40">
        <v>0</v>
      </c>
      <c r="AX123" s="41">
        <f t="shared" ref="AX123:AX131" ca="1" si="165">IFERROR((AW123/AW$132),0)</f>
        <v>0</v>
      </c>
      <c r="AY123" s="40">
        <v>2</v>
      </c>
      <c r="AZ123" s="41">
        <f t="shared" ca="1" si="151"/>
        <v>1</v>
      </c>
      <c r="BA123" s="63">
        <f ca="1">SUM(AM123,AQ123,AS123,AU123,AW123,AY123,AO123)</f>
        <v>144</v>
      </c>
      <c r="BC123" s="39" t="s">
        <v>16</v>
      </c>
      <c r="BD123" s="40">
        <v>8892768</v>
      </c>
      <c r="BE123" s="41">
        <f t="shared" ref="BE123:BE131" ca="1" si="166">BD123/BD$132</f>
        <v>0.34571225151745322</v>
      </c>
      <c r="BF123" s="40">
        <v>5016764</v>
      </c>
      <c r="BG123" s="41">
        <f t="shared" ref="BG123:BG131" ca="1" si="167">BF123/BF$132</f>
        <v>0.17692469674960606</v>
      </c>
      <c r="BH123" s="40">
        <v>0</v>
      </c>
      <c r="BI123" s="41">
        <f t="shared" ref="BI123:BI132" ca="1" si="168">IFERROR((BH123/BH$132),0)</f>
        <v>0</v>
      </c>
      <c r="BJ123" s="40">
        <v>0</v>
      </c>
      <c r="BK123" s="41">
        <f t="shared" ca="1" si="152"/>
        <v>0</v>
      </c>
      <c r="BL123" s="40">
        <v>95000</v>
      </c>
      <c r="BM123" s="41">
        <f t="shared" ref="BM123:BM132" ca="1" si="169">IFERROR((BL123/BL$132),0)</f>
        <v>0.38056018459171903</v>
      </c>
      <c r="BN123" s="40">
        <v>0</v>
      </c>
      <c r="BO123" s="41">
        <f t="shared" ref="BO123:BO132" ca="1" si="170">IFERROR((BN123/BN$132),0)</f>
        <v>0</v>
      </c>
      <c r="BP123" s="40">
        <v>323781</v>
      </c>
      <c r="BQ123" s="41">
        <f t="shared" ca="1" si="153"/>
        <v>1</v>
      </c>
      <c r="BR123" s="63">
        <f ca="1">SUM(BD123,BH123,BJ123,BL123,BN123,BP123,BF123)</f>
        <v>14328313</v>
      </c>
    </row>
    <row r="124" spans="2:70" x14ac:dyDescent="0.4">
      <c r="B124" s="18" t="s">
        <v>17</v>
      </c>
      <c r="C124" s="19">
        <f ca="1">+SUM(C122:C123)</f>
        <v>244</v>
      </c>
      <c r="D124" s="20">
        <f t="shared" ref="D124:D131" ca="1" si="171">C124/C$132</f>
        <v>0.87455197132616491</v>
      </c>
      <c r="E124" s="19">
        <f ca="1">+SUM(E122:E123)</f>
        <v>206</v>
      </c>
      <c r="F124" s="20">
        <f t="shared" ca="1" si="154"/>
        <v>0.91555555555555557</v>
      </c>
      <c r="G124" s="19">
        <f ca="1">+SUM(G122:G123)</f>
        <v>19</v>
      </c>
      <c r="H124" s="20">
        <f t="shared" ca="1" si="155"/>
        <v>1</v>
      </c>
      <c r="I124" s="19">
        <f ca="1">+SUM(I122:I123)</f>
        <v>80</v>
      </c>
      <c r="J124" s="20">
        <f t="shared" ca="1" si="144"/>
        <v>1</v>
      </c>
      <c r="K124" s="19">
        <f ca="1">+SUM(K122:K123)</f>
        <v>8</v>
      </c>
      <c r="L124" s="20">
        <f t="shared" ca="1" si="156"/>
        <v>1</v>
      </c>
      <c r="M124" s="19">
        <f ca="1">+SUM(M122:M123)</f>
        <v>0</v>
      </c>
      <c r="N124" s="20">
        <f t="shared" ca="1" si="157"/>
        <v>0</v>
      </c>
      <c r="O124" s="19">
        <f ca="1">+SUM(O122:O123)</f>
        <v>2</v>
      </c>
      <c r="P124" s="20">
        <f t="shared" ca="1" si="145"/>
        <v>1</v>
      </c>
      <c r="Q124" s="21">
        <f ca="1">+SUM(Q122:Q123)</f>
        <v>559</v>
      </c>
      <c r="T124" s="18" t="s">
        <v>17</v>
      </c>
      <c r="U124" s="19">
        <f ca="1">+SUM(U122:U123)</f>
        <v>22825089</v>
      </c>
      <c r="V124" s="20">
        <f t="shared" ca="1" si="158"/>
        <v>0.88734046691381741</v>
      </c>
      <c r="W124" s="19">
        <f ca="1">+SUM(W122:W123)</f>
        <v>26638694</v>
      </c>
      <c r="X124" s="20">
        <f t="shared" ca="1" si="158"/>
        <v>0.93945875423989456</v>
      </c>
      <c r="Y124" s="19">
        <f ca="1">+SUM(Y122:Y123)</f>
        <v>4170377</v>
      </c>
      <c r="Z124" s="20">
        <f t="shared" ca="1" si="159"/>
        <v>1</v>
      </c>
      <c r="AA124" s="19">
        <f ca="1">+SUM(AA122:AA123)</f>
        <v>14988417</v>
      </c>
      <c r="AB124" s="20">
        <f t="shared" ca="1" si="147"/>
        <v>1</v>
      </c>
      <c r="AC124" s="19">
        <f ca="1">+SUM(AC122:AC123)</f>
        <v>249632</v>
      </c>
      <c r="AD124" s="20">
        <f t="shared" ca="1" si="160"/>
        <v>1</v>
      </c>
      <c r="AE124" s="19">
        <f ca="1">+SUM(AE122:AE123)</f>
        <v>0</v>
      </c>
      <c r="AF124" s="20">
        <f t="shared" ca="1" si="161"/>
        <v>0</v>
      </c>
      <c r="AG124" s="19">
        <f ca="1">+SUM(AG122:AG123)</f>
        <v>323781</v>
      </c>
      <c r="AH124" s="20">
        <f t="shared" ca="1" si="148"/>
        <v>1</v>
      </c>
      <c r="AI124" s="21">
        <f ca="1">+SUM(AI122:AI123)</f>
        <v>69195990</v>
      </c>
      <c r="AL124" s="43" t="s">
        <v>17</v>
      </c>
      <c r="AM124" s="44">
        <f ca="1">+SUM(AM122:AM123)</f>
        <v>244</v>
      </c>
      <c r="AN124" s="45">
        <f t="shared" ca="1" si="162"/>
        <v>0.87455197132616491</v>
      </c>
      <c r="AO124" s="44">
        <f ca="1">+SUM(AO122:AO123)</f>
        <v>206</v>
      </c>
      <c r="AP124" s="45">
        <f t="shared" ca="1" si="149"/>
        <v>0.91555555555555557</v>
      </c>
      <c r="AQ124" s="44">
        <f ca="1">+SUM(AQ122:AQ123)</f>
        <v>19</v>
      </c>
      <c r="AR124" s="45">
        <f t="shared" ca="1" si="163"/>
        <v>1</v>
      </c>
      <c r="AS124" s="44">
        <f ca="1">+SUM(AS122:AS123)</f>
        <v>80</v>
      </c>
      <c r="AT124" s="45">
        <f t="shared" ca="1" si="150"/>
        <v>1</v>
      </c>
      <c r="AU124" s="44">
        <f ca="1">+SUM(AU122:AU123)</f>
        <v>8</v>
      </c>
      <c r="AV124" s="45">
        <f t="shared" ca="1" si="164"/>
        <v>1</v>
      </c>
      <c r="AW124" s="44">
        <f ca="1">+SUM(AW122:AW123)</f>
        <v>0</v>
      </c>
      <c r="AX124" s="45">
        <f t="shared" ca="1" si="165"/>
        <v>0</v>
      </c>
      <c r="AY124" s="44">
        <f ca="1">+SUM(AY122:AY123)</f>
        <v>2</v>
      </c>
      <c r="AZ124" s="45">
        <f t="shared" ca="1" si="151"/>
        <v>1</v>
      </c>
      <c r="BA124" s="46">
        <f ca="1">+SUM(BA122:BA123)</f>
        <v>559</v>
      </c>
      <c r="BC124" s="43" t="s">
        <v>17</v>
      </c>
      <c r="BD124" s="44">
        <f ca="1">+SUM(BD122:BD123)</f>
        <v>22825089</v>
      </c>
      <c r="BE124" s="45">
        <f t="shared" ca="1" si="166"/>
        <v>0.88734046691381741</v>
      </c>
      <c r="BF124" s="44">
        <f ca="1">+SUM(BF122:BF123)</f>
        <v>26638694</v>
      </c>
      <c r="BG124" s="45">
        <f t="shared" ca="1" si="167"/>
        <v>0.93945875423989456</v>
      </c>
      <c r="BH124" s="44">
        <f ca="1">+SUM(BH122:BH123)</f>
        <v>4170377</v>
      </c>
      <c r="BI124" s="45">
        <f t="shared" ca="1" si="168"/>
        <v>1</v>
      </c>
      <c r="BJ124" s="44">
        <f ca="1">+SUM(BJ122:BJ123)</f>
        <v>14988417</v>
      </c>
      <c r="BK124" s="45">
        <f t="shared" ca="1" si="152"/>
        <v>1</v>
      </c>
      <c r="BL124" s="44">
        <f ca="1">+SUM(BL122:BL123)</f>
        <v>249632</v>
      </c>
      <c r="BM124" s="45">
        <f t="shared" ca="1" si="169"/>
        <v>1</v>
      </c>
      <c r="BN124" s="44">
        <f ca="1">+SUM(BN122:BN123)</f>
        <v>0</v>
      </c>
      <c r="BO124" s="45">
        <f t="shared" ca="1" si="170"/>
        <v>0</v>
      </c>
      <c r="BP124" s="44">
        <f ca="1">+SUM(BP122:BP123)</f>
        <v>323781</v>
      </c>
      <c r="BQ124" s="45">
        <f t="shared" ca="1" si="153"/>
        <v>1</v>
      </c>
      <c r="BR124" s="46">
        <f ca="1">+SUM(BR122:BR123)</f>
        <v>69195990</v>
      </c>
    </row>
    <row r="125" spans="2:70" x14ac:dyDescent="0.4">
      <c r="B125" s="22" t="s">
        <v>18</v>
      </c>
      <c r="C125" s="15">
        <v>30</v>
      </c>
      <c r="D125" s="16">
        <f t="shared" ca="1" si="171"/>
        <v>0.10752688172043011</v>
      </c>
      <c r="E125" s="15">
        <v>14</v>
      </c>
      <c r="F125" s="16">
        <f t="shared" ca="1" si="154"/>
        <v>6.222222222222222E-2</v>
      </c>
      <c r="G125" s="15">
        <v>0</v>
      </c>
      <c r="H125" s="16">
        <f t="shared" ca="1" si="155"/>
        <v>0</v>
      </c>
      <c r="I125" s="15">
        <v>0</v>
      </c>
      <c r="J125" s="16">
        <f t="shared" ca="1" si="144"/>
        <v>0</v>
      </c>
      <c r="K125" s="15">
        <v>0</v>
      </c>
      <c r="L125" s="16">
        <f t="shared" ca="1" si="156"/>
        <v>0</v>
      </c>
      <c r="M125" s="15">
        <v>0</v>
      </c>
      <c r="N125" s="16">
        <f t="shared" ca="1" si="157"/>
        <v>0</v>
      </c>
      <c r="O125" s="15">
        <v>0</v>
      </c>
      <c r="P125" s="16">
        <f t="shared" ca="1" si="145"/>
        <v>0</v>
      </c>
      <c r="Q125" s="62">
        <f t="shared" ca="1" si="146"/>
        <v>44</v>
      </c>
      <c r="T125" s="22" t="s">
        <v>18</v>
      </c>
      <c r="U125" s="15">
        <v>2310238</v>
      </c>
      <c r="V125" s="16">
        <f t="shared" ca="1" si="158"/>
        <v>8.9812033837066027E-2</v>
      </c>
      <c r="W125" s="15">
        <v>961434</v>
      </c>
      <c r="X125" s="16">
        <f t="shared" ca="1" si="158"/>
        <v>3.3906601724689608E-2</v>
      </c>
      <c r="Y125" s="15">
        <v>0</v>
      </c>
      <c r="Z125" s="16">
        <f t="shared" ca="1" si="159"/>
        <v>0</v>
      </c>
      <c r="AA125" s="15">
        <v>0</v>
      </c>
      <c r="AB125" s="16">
        <f t="shared" ca="1" si="147"/>
        <v>0</v>
      </c>
      <c r="AC125" s="15">
        <v>0</v>
      </c>
      <c r="AD125" s="16">
        <f t="shared" ca="1" si="160"/>
        <v>0</v>
      </c>
      <c r="AE125" s="15">
        <v>0</v>
      </c>
      <c r="AF125" s="16">
        <f t="shared" ca="1" si="161"/>
        <v>0</v>
      </c>
      <c r="AG125" s="15">
        <v>0</v>
      </c>
      <c r="AH125" s="16">
        <f t="shared" ca="1" si="148"/>
        <v>0</v>
      </c>
      <c r="AI125" s="62">
        <f t="shared" ref="AI125:AI132" ca="1" si="172">SUM(U125,Y125,AA125,AC125,AE125,AG125,W125)</f>
        <v>3271672</v>
      </c>
      <c r="AL125" s="47" t="s">
        <v>18</v>
      </c>
      <c r="AM125" s="40">
        <v>30</v>
      </c>
      <c r="AN125" s="41">
        <f t="shared" ca="1" si="162"/>
        <v>0.10752688172043011</v>
      </c>
      <c r="AO125" s="40">
        <v>14</v>
      </c>
      <c r="AP125" s="41">
        <f t="shared" ca="1" si="149"/>
        <v>6.222222222222222E-2</v>
      </c>
      <c r="AQ125" s="40">
        <v>0</v>
      </c>
      <c r="AR125" s="41">
        <f t="shared" ca="1" si="163"/>
        <v>0</v>
      </c>
      <c r="AS125" s="40">
        <v>0</v>
      </c>
      <c r="AT125" s="41">
        <f t="shared" ca="1" si="150"/>
        <v>0</v>
      </c>
      <c r="AU125" s="40">
        <v>0</v>
      </c>
      <c r="AV125" s="41">
        <f t="shared" ca="1" si="164"/>
        <v>0</v>
      </c>
      <c r="AW125" s="40">
        <v>0</v>
      </c>
      <c r="AX125" s="41">
        <f t="shared" ca="1" si="165"/>
        <v>0</v>
      </c>
      <c r="AY125" s="40">
        <v>0</v>
      </c>
      <c r="AZ125" s="41">
        <f t="shared" ca="1" si="151"/>
        <v>0</v>
      </c>
      <c r="BA125" s="63">
        <f t="shared" ref="BA125:BA132" ca="1" si="173">SUM(AM125,AQ125,AS125,AU125,AW125,AY125,AO125)</f>
        <v>44</v>
      </c>
      <c r="BC125" s="47" t="s">
        <v>18</v>
      </c>
      <c r="BD125" s="40">
        <v>2310238</v>
      </c>
      <c r="BE125" s="41">
        <f t="shared" ca="1" si="166"/>
        <v>8.9812033837066027E-2</v>
      </c>
      <c r="BF125" s="40">
        <v>961434</v>
      </c>
      <c r="BG125" s="41">
        <f t="shared" ca="1" si="167"/>
        <v>3.3906601724689608E-2</v>
      </c>
      <c r="BH125" s="40">
        <v>0</v>
      </c>
      <c r="BI125" s="41">
        <f t="shared" ca="1" si="168"/>
        <v>0</v>
      </c>
      <c r="BJ125" s="40">
        <v>0</v>
      </c>
      <c r="BK125" s="41">
        <f t="shared" ca="1" si="152"/>
        <v>0</v>
      </c>
      <c r="BL125" s="40">
        <v>0</v>
      </c>
      <c r="BM125" s="41">
        <f t="shared" ca="1" si="169"/>
        <v>0</v>
      </c>
      <c r="BN125" s="40">
        <v>0</v>
      </c>
      <c r="BO125" s="41">
        <f t="shared" ca="1" si="170"/>
        <v>0</v>
      </c>
      <c r="BP125" s="40">
        <v>0</v>
      </c>
      <c r="BQ125" s="41">
        <f t="shared" ca="1" si="153"/>
        <v>0</v>
      </c>
      <c r="BR125" s="63">
        <f t="shared" ref="BR125:BR132" ca="1" si="174">SUM(BD125,BH125,BJ125,BL125,BN125,BP125,BF125)</f>
        <v>3271672</v>
      </c>
    </row>
    <row r="126" spans="2:70" x14ac:dyDescent="0.4">
      <c r="B126" s="22" t="s">
        <v>19</v>
      </c>
      <c r="C126" s="15">
        <v>5</v>
      </c>
      <c r="D126" s="16">
        <f t="shared" ca="1" si="171"/>
        <v>1.7921146953405017E-2</v>
      </c>
      <c r="E126" s="15">
        <v>5</v>
      </c>
      <c r="F126" s="16">
        <f t="shared" ca="1" si="154"/>
        <v>2.2222222222222223E-2</v>
      </c>
      <c r="G126" s="15">
        <v>0</v>
      </c>
      <c r="H126" s="16">
        <f t="shared" ca="1" si="155"/>
        <v>0</v>
      </c>
      <c r="I126" s="15">
        <v>0</v>
      </c>
      <c r="J126" s="16">
        <f t="shared" ca="1" si="144"/>
        <v>0</v>
      </c>
      <c r="K126" s="15">
        <v>0</v>
      </c>
      <c r="L126" s="16">
        <f t="shared" ca="1" si="156"/>
        <v>0</v>
      </c>
      <c r="M126" s="15">
        <v>0</v>
      </c>
      <c r="N126" s="16">
        <f t="shared" ca="1" si="157"/>
        <v>0</v>
      </c>
      <c r="O126" s="15">
        <v>0</v>
      </c>
      <c r="P126" s="16">
        <f t="shared" ca="1" si="145"/>
        <v>0</v>
      </c>
      <c r="Q126" s="62">
        <f t="shared" ca="1" si="146"/>
        <v>10</v>
      </c>
      <c r="T126" s="22" t="s">
        <v>19</v>
      </c>
      <c r="U126" s="15">
        <v>587707</v>
      </c>
      <c r="V126" s="16">
        <f t="shared" ca="1" si="158"/>
        <v>2.2847499249116571E-2</v>
      </c>
      <c r="W126" s="15">
        <v>755235</v>
      </c>
      <c r="X126" s="16">
        <f t="shared" ca="1" si="158"/>
        <v>2.6634644035415805E-2</v>
      </c>
      <c r="Y126" s="15">
        <v>0</v>
      </c>
      <c r="Z126" s="16">
        <f t="shared" ca="1" si="159"/>
        <v>0</v>
      </c>
      <c r="AA126" s="15">
        <v>0</v>
      </c>
      <c r="AB126" s="16">
        <f t="shared" ca="1" si="147"/>
        <v>0</v>
      </c>
      <c r="AC126" s="15">
        <v>0</v>
      </c>
      <c r="AD126" s="16">
        <f t="shared" ca="1" si="160"/>
        <v>0</v>
      </c>
      <c r="AE126" s="15">
        <v>0</v>
      </c>
      <c r="AF126" s="16">
        <f t="shared" ca="1" si="161"/>
        <v>0</v>
      </c>
      <c r="AG126" s="15">
        <v>0</v>
      </c>
      <c r="AH126" s="16">
        <f t="shared" ca="1" si="148"/>
        <v>0</v>
      </c>
      <c r="AI126" s="62">
        <f t="shared" ca="1" si="172"/>
        <v>1342942</v>
      </c>
      <c r="AL126" s="47" t="s">
        <v>19</v>
      </c>
      <c r="AM126" s="40">
        <v>5</v>
      </c>
      <c r="AN126" s="41">
        <f t="shared" ca="1" si="162"/>
        <v>1.7921146953405017E-2</v>
      </c>
      <c r="AO126" s="40">
        <v>5</v>
      </c>
      <c r="AP126" s="41">
        <f t="shared" ca="1" si="149"/>
        <v>2.2222222222222223E-2</v>
      </c>
      <c r="AQ126" s="40">
        <v>0</v>
      </c>
      <c r="AR126" s="41">
        <f t="shared" ca="1" si="163"/>
        <v>0</v>
      </c>
      <c r="AS126" s="40">
        <v>0</v>
      </c>
      <c r="AT126" s="41">
        <f t="shared" ca="1" si="150"/>
        <v>0</v>
      </c>
      <c r="AU126" s="40">
        <v>0</v>
      </c>
      <c r="AV126" s="41">
        <f t="shared" ca="1" si="164"/>
        <v>0</v>
      </c>
      <c r="AW126" s="40">
        <v>0</v>
      </c>
      <c r="AX126" s="41">
        <f t="shared" ca="1" si="165"/>
        <v>0</v>
      </c>
      <c r="AY126" s="40">
        <v>0</v>
      </c>
      <c r="AZ126" s="41">
        <f t="shared" ca="1" si="151"/>
        <v>0</v>
      </c>
      <c r="BA126" s="63">
        <f t="shared" ca="1" si="173"/>
        <v>10</v>
      </c>
      <c r="BC126" s="47" t="s">
        <v>19</v>
      </c>
      <c r="BD126" s="40">
        <v>587707</v>
      </c>
      <c r="BE126" s="41">
        <f t="shared" ca="1" si="166"/>
        <v>2.2847499249116571E-2</v>
      </c>
      <c r="BF126" s="40">
        <v>755235</v>
      </c>
      <c r="BG126" s="41">
        <f t="shared" ca="1" si="167"/>
        <v>2.6634644035415805E-2</v>
      </c>
      <c r="BH126" s="40">
        <v>0</v>
      </c>
      <c r="BI126" s="41">
        <f t="shared" ca="1" si="168"/>
        <v>0</v>
      </c>
      <c r="BJ126" s="40">
        <v>0</v>
      </c>
      <c r="BK126" s="41">
        <f t="shared" ca="1" si="152"/>
        <v>0</v>
      </c>
      <c r="BL126" s="40">
        <v>0</v>
      </c>
      <c r="BM126" s="41">
        <f t="shared" ca="1" si="169"/>
        <v>0</v>
      </c>
      <c r="BN126" s="40">
        <v>0</v>
      </c>
      <c r="BO126" s="41">
        <f t="shared" ca="1" si="170"/>
        <v>0</v>
      </c>
      <c r="BP126" s="40">
        <v>0</v>
      </c>
      <c r="BQ126" s="41">
        <f t="shared" ca="1" si="153"/>
        <v>0</v>
      </c>
      <c r="BR126" s="63">
        <f t="shared" ca="1" si="174"/>
        <v>1342942</v>
      </c>
    </row>
    <row r="127" spans="2:70" x14ac:dyDescent="0.4">
      <c r="B127" s="22" t="s">
        <v>20</v>
      </c>
      <c r="C127" s="15">
        <v>0</v>
      </c>
      <c r="D127" s="16">
        <f t="shared" ca="1" si="171"/>
        <v>0</v>
      </c>
      <c r="E127" s="15">
        <v>0</v>
      </c>
      <c r="F127" s="16">
        <f t="shared" ca="1" si="154"/>
        <v>0</v>
      </c>
      <c r="G127" s="15">
        <v>0</v>
      </c>
      <c r="H127" s="16">
        <f t="shared" ca="1" si="155"/>
        <v>0</v>
      </c>
      <c r="I127" s="15">
        <v>0</v>
      </c>
      <c r="J127" s="16">
        <f t="shared" ca="1" si="144"/>
        <v>0</v>
      </c>
      <c r="K127" s="15">
        <v>0</v>
      </c>
      <c r="L127" s="16">
        <f t="shared" ca="1" si="156"/>
        <v>0</v>
      </c>
      <c r="M127" s="15">
        <v>0</v>
      </c>
      <c r="N127" s="16">
        <f t="shared" ca="1" si="157"/>
        <v>0</v>
      </c>
      <c r="O127" s="15">
        <v>0</v>
      </c>
      <c r="P127" s="16">
        <f t="shared" ca="1" si="145"/>
        <v>0</v>
      </c>
      <c r="Q127" s="62">
        <f t="shared" ca="1" si="146"/>
        <v>0</v>
      </c>
      <c r="T127" s="22" t="s">
        <v>20</v>
      </c>
      <c r="U127" s="15">
        <v>0</v>
      </c>
      <c r="V127" s="16">
        <f t="shared" ca="1" si="158"/>
        <v>0</v>
      </c>
      <c r="W127" s="15">
        <v>0</v>
      </c>
      <c r="X127" s="16">
        <f t="shared" ca="1" si="158"/>
        <v>0</v>
      </c>
      <c r="Y127" s="15">
        <v>0</v>
      </c>
      <c r="Z127" s="16">
        <f t="shared" ca="1" si="159"/>
        <v>0</v>
      </c>
      <c r="AA127" s="15">
        <v>0</v>
      </c>
      <c r="AB127" s="16">
        <f t="shared" ca="1" si="147"/>
        <v>0</v>
      </c>
      <c r="AC127" s="15">
        <v>0</v>
      </c>
      <c r="AD127" s="16">
        <f t="shared" ca="1" si="160"/>
        <v>0</v>
      </c>
      <c r="AE127" s="15">
        <v>0</v>
      </c>
      <c r="AF127" s="16">
        <f t="shared" ca="1" si="161"/>
        <v>0</v>
      </c>
      <c r="AG127" s="15">
        <v>0</v>
      </c>
      <c r="AH127" s="16">
        <f t="shared" ca="1" si="148"/>
        <v>0</v>
      </c>
      <c r="AI127" s="62">
        <f t="shared" ca="1" si="172"/>
        <v>0</v>
      </c>
      <c r="AL127" s="47" t="s">
        <v>20</v>
      </c>
      <c r="AM127" s="40">
        <v>0</v>
      </c>
      <c r="AN127" s="41">
        <f t="shared" ca="1" si="162"/>
        <v>0</v>
      </c>
      <c r="AO127" s="40">
        <v>0</v>
      </c>
      <c r="AP127" s="41">
        <f t="shared" ca="1" si="149"/>
        <v>0</v>
      </c>
      <c r="AQ127" s="40">
        <v>0</v>
      </c>
      <c r="AR127" s="41">
        <f t="shared" ca="1" si="163"/>
        <v>0</v>
      </c>
      <c r="AS127" s="40">
        <v>0</v>
      </c>
      <c r="AT127" s="41">
        <f t="shared" ca="1" si="150"/>
        <v>0</v>
      </c>
      <c r="AU127" s="40">
        <v>0</v>
      </c>
      <c r="AV127" s="41">
        <f t="shared" ca="1" si="164"/>
        <v>0</v>
      </c>
      <c r="AW127" s="40">
        <v>0</v>
      </c>
      <c r="AX127" s="41">
        <f t="shared" ca="1" si="165"/>
        <v>0</v>
      </c>
      <c r="AY127" s="40">
        <v>0</v>
      </c>
      <c r="AZ127" s="41">
        <f t="shared" ca="1" si="151"/>
        <v>0</v>
      </c>
      <c r="BA127" s="63">
        <f t="shared" ca="1" si="173"/>
        <v>0</v>
      </c>
      <c r="BC127" s="47" t="s">
        <v>20</v>
      </c>
      <c r="BD127" s="40">
        <v>0</v>
      </c>
      <c r="BE127" s="41">
        <f t="shared" ca="1" si="166"/>
        <v>0</v>
      </c>
      <c r="BF127" s="40">
        <v>0</v>
      </c>
      <c r="BG127" s="41">
        <f t="shared" ca="1" si="167"/>
        <v>0</v>
      </c>
      <c r="BH127" s="40">
        <v>0</v>
      </c>
      <c r="BI127" s="41">
        <f t="shared" ca="1" si="168"/>
        <v>0</v>
      </c>
      <c r="BJ127" s="40">
        <v>0</v>
      </c>
      <c r="BK127" s="41">
        <f t="shared" ca="1" si="152"/>
        <v>0</v>
      </c>
      <c r="BL127" s="40">
        <v>0</v>
      </c>
      <c r="BM127" s="41">
        <f t="shared" ca="1" si="169"/>
        <v>0</v>
      </c>
      <c r="BN127" s="40">
        <v>0</v>
      </c>
      <c r="BO127" s="41">
        <f t="shared" ca="1" si="170"/>
        <v>0</v>
      </c>
      <c r="BP127" s="40">
        <v>0</v>
      </c>
      <c r="BQ127" s="41">
        <f t="shared" ca="1" si="153"/>
        <v>0</v>
      </c>
      <c r="BR127" s="63">
        <f t="shared" ca="1" si="174"/>
        <v>0</v>
      </c>
    </row>
    <row r="128" spans="2:70" x14ac:dyDescent="0.4">
      <c r="B128" s="22" t="s">
        <v>21</v>
      </c>
      <c r="C128" s="15">
        <v>0</v>
      </c>
      <c r="D128" s="16">
        <f t="shared" ca="1" si="171"/>
        <v>0</v>
      </c>
      <c r="E128" s="15">
        <v>0</v>
      </c>
      <c r="F128" s="16">
        <f t="shared" ca="1" si="154"/>
        <v>0</v>
      </c>
      <c r="G128" s="15">
        <v>0</v>
      </c>
      <c r="H128" s="16">
        <f t="shared" ca="1" si="155"/>
        <v>0</v>
      </c>
      <c r="I128" s="15">
        <v>0</v>
      </c>
      <c r="J128" s="16">
        <f t="shared" ca="1" si="144"/>
        <v>0</v>
      </c>
      <c r="K128" s="15">
        <v>0</v>
      </c>
      <c r="L128" s="16">
        <f t="shared" ca="1" si="156"/>
        <v>0</v>
      </c>
      <c r="M128" s="15">
        <v>0</v>
      </c>
      <c r="N128" s="16">
        <f t="shared" ca="1" si="157"/>
        <v>0</v>
      </c>
      <c r="O128" s="15">
        <v>0</v>
      </c>
      <c r="P128" s="16">
        <f t="shared" ca="1" si="145"/>
        <v>0</v>
      </c>
      <c r="Q128" s="62">
        <f t="shared" ca="1" si="146"/>
        <v>0</v>
      </c>
      <c r="T128" s="22" t="s">
        <v>21</v>
      </c>
      <c r="U128" s="15">
        <v>0</v>
      </c>
      <c r="V128" s="16">
        <f t="shared" ca="1" si="158"/>
        <v>0</v>
      </c>
      <c r="W128" s="15">
        <v>0</v>
      </c>
      <c r="X128" s="16">
        <f t="shared" ca="1" si="158"/>
        <v>0</v>
      </c>
      <c r="Y128" s="15">
        <v>0</v>
      </c>
      <c r="Z128" s="16">
        <f t="shared" ca="1" si="159"/>
        <v>0</v>
      </c>
      <c r="AA128" s="15">
        <v>0</v>
      </c>
      <c r="AB128" s="16">
        <f t="shared" ca="1" si="147"/>
        <v>0</v>
      </c>
      <c r="AC128" s="15">
        <v>0</v>
      </c>
      <c r="AD128" s="16">
        <f t="shared" ca="1" si="160"/>
        <v>0</v>
      </c>
      <c r="AE128" s="15">
        <v>0</v>
      </c>
      <c r="AF128" s="16">
        <f t="shared" ca="1" si="161"/>
        <v>0</v>
      </c>
      <c r="AG128" s="15">
        <v>0</v>
      </c>
      <c r="AH128" s="16">
        <f t="shared" ca="1" si="148"/>
        <v>0</v>
      </c>
      <c r="AI128" s="62">
        <f t="shared" ca="1" si="172"/>
        <v>0</v>
      </c>
      <c r="AL128" s="47" t="s">
        <v>21</v>
      </c>
      <c r="AM128" s="40">
        <v>0</v>
      </c>
      <c r="AN128" s="41">
        <f t="shared" ca="1" si="162"/>
        <v>0</v>
      </c>
      <c r="AO128" s="40">
        <v>0</v>
      </c>
      <c r="AP128" s="41">
        <f t="shared" ca="1" si="149"/>
        <v>0</v>
      </c>
      <c r="AQ128" s="40">
        <v>0</v>
      </c>
      <c r="AR128" s="41">
        <f t="shared" ca="1" si="163"/>
        <v>0</v>
      </c>
      <c r="AS128" s="40">
        <v>0</v>
      </c>
      <c r="AT128" s="41">
        <f t="shared" ca="1" si="150"/>
        <v>0</v>
      </c>
      <c r="AU128" s="40">
        <v>0</v>
      </c>
      <c r="AV128" s="41">
        <f t="shared" ca="1" si="164"/>
        <v>0</v>
      </c>
      <c r="AW128" s="40">
        <v>0</v>
      </c>
      <c r="AX128" s="41">
        <f t="shared" ca="1" si="165"/>
        <v>0</v>
      </c>
      <c r="AY128" s="40">
        <v>0</v>
      </c>
      <c r="AZ128" s="41">
        <f t="shared" ca="1" si="151"/>
        <v>0</v>
      </c>
      <c r="BA128" s="63">
        <f t="shared" ca="1" si="173"/>
        <v>0</v>
      </c>
      <c r="BC128" s="47" t="s">
        <v>21</v>
      </c>
      <c r="BD128" s="40">
        <v>0</v>
      </c>
      <c r="BE128" s="41">
        <f t="shared" ca="1" si="166"/>
        <v>0</v>
      </c>
      <c r="BF128" s="40">
        <v>0</v>
      </c>
      <c r="BG128" s="41">
        <f t="shared" ca="1" si="167"/>
        <v>0</v>
      </c>
      <c r="BH128" s="40">
        <v>0</v>
      </c>
      <c r="BI128" s="41">
        <f t="shared" ca="1" si="168"/>
        <v>0</v>
      </c>
      <c r="BJ128" s="40">
        <v>0</v>
      </c>
      <c r="BK128" s="41">
        <f t="shared" ca="1" si="152"/>
        <v>0</v>
      </c>
      <c r="BL128" s="40">
        <v>0</v>
      </c>
      <c r="BM128" s="41">
        <f t="shared" ca="1" si="169"/>
        <v>0</v>
      </c>
      <c r="BN128" s="40">
        <v>0</v>
      </c>
      <c r="BO128" s="41">
        <f t="shared" ca="1" si="170"/>
        <v>0</v>
      </c>
      <c r="BP128" s="40">
        <v>0</v>
      </c>
      <c r="BQ128" s="41">
        <f t="shared" ca="1" si="153"/>
        <v>0</v>
      </c>
      <c r="BR128" s="63">
        <f t="shared" ca="1" si="174"/>
        <v>0</v>
      </c>
    </row>
    <row r="129" spans="2:70" x14ac:dyDescent="0.4">
      <c r="B129" s="22" t="s">
        <v>22</v>
      </c>
      <c r="C129" s="15">
        <v>0</v>
      </c>
      <c r="D129" s="16">
        <f t="shared" ca="1" si="171"/>
        <v>0</v>
      </c>
      <c r="E129" s="15">
        <v>0</v>
      </c>
      <c r="F129" s="16">
        <f t="shared" ca="1" si="154"/>
        <v>0</v>
      </c>
      <c r="G129" s="15">
        <v>0</v>
      </c>
      <c r="H129" s="16">
        <f t="shared" ca="1" si="155"/>
        <v>0</v>
      </c>
      <c r="I129" s="15">
        <v>0</v>
      </c>
      <c r="J129" s="16">
        <f t="shared" ca="1" si="144"/>
        <v>0</v>
      </c>
      <c r="K129" s="15">
        <v>0</v>
      </c>
      <c r="L129" s="16">
        <f t="shared" ca="1" si="156"/>
        <v>0</v>
      </c>
      <c r="M129" s="15">
        <v>0</v>
      </c>
      <c r="N129" s="16">
        <f t="shared" ca="1" si="157"/>
        <v>0</v>
      </c>
      <c r="O129" s="15">
        <v>0</v>
      </c>
      <c r="P129" s="16">
        <f t="shared" ca="1" si="145"/>
        <v>0</v>
      </c>
      <c r="Q129" s="62">
        <f t="shared" ca="1" si="146"/>
        <v>0</v>
      </c>
      <c r="T129" s="22" t="s">
        <v>22</v>
      </c>
      <c r="U129" s="15">
        <v>0</v>
      </c>
      <c r="V129" s="16">
        <f t="shared" ca="1" si="158"/>
        <v>0</v>
      </c>
      <c r="W129" s="15">
        <v>0</v>
      </c>
      <c r="X129" s="16">
        <f t="shared" ca="1" si="158"/>
        <v>0</v>
      </c>
      <c r="Y129" s="15">
        <v>0</v>
      </c>
      <c r="Z129" s="16">
        <f t="shared" ca="1" si="159"/>
        <v>0</v>
      </c>
      <c r="AA129" s="15">
        <v>0</v>
      </c>
      <c r="AB129" s="16">
        <f t="shared" ca="1" si="147"/>
        <v>0</v>
      </c>
      <c r="AC129" s="15">
        <v>0</v>
      </c>
      <c r="AD129" s="16">
        <f t="shared" ca="1" si="160"/>
        <v>0</v>
      </c>
      <c r="AE129" s="15">
        <v>0</v>
      </c>
      <c r="AF129" s="16">
        <f t="shared" ca="1" si="161"/>
        <v>0</v>
      </c>
      <c r="AG129" s="15">
        <v>0</v>
      </c>
      <c r="AH129" s="16">
        <f t="shared" ca="1" si="148"/>
        <v>0</v>
      </c>
      <c r="AI129" s="62">
        <f t="shared" ca="1" si="172"/>
        <v>0</v>
      </c>
      <c r="AL129" s="47" t="s">
        <v>22</v>
      </c>
      <c r="AM129" s="40">
        <v>0</v>
      </c>
      <c r="AN129" s="41">
        <f t="shared" ca="1" si="162"/>
        <v>0</v>
      </c>
      <c r="AO129" s="40">
        <v>0</v>
      </c>
      <c r="AP129" s="41">
        <f t="shared" ca="1" si="149"/>
        <v>0</v>
      </c>
      <c r="AQ129" s="40">
        <v>0</v>
      </c>
      <c r="AR129" s="41">
        <f t="shared" ca="1" si="163"/>
        <v>0</v>
      </c>
      <c r="AS129" s="40">
        <v>0</v>
      </c>
      <c r="AT129" s="41">
        <f t="shared" ca="1" si="150"/>
        <v>0</v>
      </c>
      <c r="AU129" s="40">
        <v>0</v>
      </c>
      <c r="AV129" s="41">
        <f t="shared" ca="1" si="164"/>
        <v>0</v>
      </c>
      <c r="AW129" s="40">
        <v>0</v>
      </c>
      <c r="AX129" s="41">
        <f t="shared" ca="1" si="165"/>
        <v>0</v>
      </c>
      <c r="AY129" s="40">
        <v>0</v>
      </c>
      <c r="AZ129" s="41">
        <f t="shared" ca="1" si="151"/>
        <v>0</v>
      </c>
      <c r="BA129" s="63">
        <f t="shared" ca="1" si="173"/>
        <v>0</v>
      </c>
      <c r="BC129" s="47" t="s">
        <v>22</v>
      </c>
      <c r="BD129" s="40">
        <v>0</v>
      </c>
      <c r="BE129" s="41">
        <f t="shared" ca="1" si="166"/>
        <v>0</v>
      </c>
      <c r="BF129" s="40">
        <v>0</v>
      </c>
      <c r="BG129" s="41">
        <f t="shared" ca="1" si="167"/>
        <v>0</v>
      </c>
      <c r="BH129" s="40">
        <v>0</v>
      </c>
      <c r="BI129" s="41">
        <f t="shared" ca="1" si="168"/>
        <v>0</v>
      </c>
      <c r="BJ129" s="40">
        <v>0</v>
      </c>
      <c r="BK129" s="41">
        <f t="shared" ca="1" si="152"/>
        <v>0</v>
      </c>
      <c r="BL129" s="40">
        <v>0</v>
      </c>
      <c r="BM129" s="41">
        <f t="shared" ca="1" si="169"/>
        <v>0</v>
      </c>
      <c r="BN129" s="40">
        <v>0</v>
      </c>
      <c r="BO129" s="41">
        <f t="shared" ca="1" si="170"/>
        <v>0</v>
      </c>
      <c r="BP129" s="40">
        <v>0</v>
      </c>
      <c r="BQ129" s="41">
        <f t="shared" ca="1" si="153"/>
        <v>0</v>
      </c>
      <c r="BR129" s="63">
        <f t="shared" ca="1" si="174"/>
        <v>0</v>
      </c>
    </row>
    <row r="130" spans="2:70" x14ac:dyDescent="0.4">
      <c r="B130" s="22" t="s">
        <v>23</v>
      </c>
      <c r="C130" s="15">
        <v>0</v>
      </c>
      <c r="D130" s="16">
        <f t="shared" ca="1" si="171"/>
        <v>0</v>
      </c>
      <c r="E130" s="15">
        <v>0</v>
      </c>
      <c r="F130" s="16">
        <f t="shared" ca="1" si="154"/>
        <v>0</v>
      </c>
      <c r="G130" s="15">
        <v>0</v>
      </c>
      <c r="H130" s="16">
        <f t="shared" ca="1" si="155"/>
        <v>0</v>
      </c>
      <c r="I130" s="15">
        <v>0</v>
      </c>
      <c r="J130" s="16">
        <f t="shared" ca="1" si="144"/>
        <v>0</v>
      </c>
      <c r="K130" s="15">
        <v>0</v>
      </c>
      <c r="L130" s="16">
        <f t="shared" ca="1" si="156"/>
        <v>0</v>
      </c>
      <c r="M130" s="15">
        <v>0</v>
      </c>
      <c r="N130" s="16">
        <f t="shared" ca="1" si="157"/>
        <v>0</v>
      </c>
      <c r="O130" s="15">
        <v>0</v>
      </c>
      <c r="P130" s="16">
        <f t="shared" ca="1" si="145"/>
        <v>0</v>
      </c>
      <c r="Q130" s="62">
        <f t="shared" ca="1" si="146"/>
        <v>0</v>
      </c>
      <c r="T130" s="22" t="s">
        <v>23</v>
      </c>
      <c r="U130" s="15">
        <v>0</v>
      </c>
      <c r="V130" s="16">
        <f t="shared" ca="1" si="158"/>
        <v>0</v>
      </c>
      <c r="W130" s="15">
        <v>0</v>
      </c>
      <c r="X130" s="16">
        <f t="shared" ca="1" si="158"/>
        <v>0</v>
      </c>
      <c r="Y130" s="15">
        <v>0</v>
      </c>
      <c r="Z130" s="16">
        <f t="shared" ca="1" si="159"/>
        <v>0</v>
      </c>
      <c r="AA130" s="15">
        <v>0</v>
      </c>
      <c r="AB130" s="16">
        <f t="shared" ca="1" si="147"/>
        <v>0</v>
      </c>
      <c r="AC130" s="15">
        <v>0</v>
      </c>
      <c r="AD130" s="16">
        <f t="shared" ca="1" si="160"/>
        <v>0</v>
      </c>
      <c r="AE130" s="15">
        <v>0</v>
      </c>
      <c r="AF130" s="16">
        <f t="shared" ca="1" si="161"/>
        <v>0</v>
      </c>
      <c r="AG130" s="15">
        <v>0</v>
      </c>
      <c r="AH130" s="16">
        <f t="shared" ca="1" si="148"/>
        <v>0</v>
      </c>
      <c r="AI130" s="62">
        <f t="shared" ca="1" si="172"/>
        <v>0</v>
      </c>
      <c r="AL130" s="47" t="s">
        <v>23</v>
      </c>
      <c r="AM130" s="40">
        <v>0</v>
      </c>
      <c r="AN130" s="41">
        <f t="shared" ca="1" si="162"/>
        <v>0</v>
      </c>
      <c r="AO130" s="40">
        <v>0</v>
      </c>
      <c r="AP130" s="41">
        <f t="shared" ca="1" si="149"/>
        <v>0</v>
      </c>
      <c r="AQ130" s="40">
        <v>0</v>
      </c>
      <c r="AR130" s="41">
        <f t="shared" ca="1" si="163"/>
        <v>0</v>
      </c>
      <c r="AS130" s="40">
        <v>0</v>
      </c>
      <c r="AT130" s="41">
        <f t="shared" ca="1" si="150"/>
        <v>0</v>
      </c>
      <c r="AU130" s="40">
        <v>0</v>
      </c>
      <c r="AV130" s="41">
        <f t="shared" ca="1" si="164"/>
        <v>0</v>
      </c>
      <c r="AW130" s="40">
        <v>0</v>
      </c>
      <c r="AX130" s="41">
        <f t="shared" ca="1" si="165"/>
        <v>0</v>
      </c>
      <c r="AY130" s="40">
        <v>0</v>
      </c>
      <c r="AZ130" s="41">
        <f t="shared" ca="1" si="151"/>
        <v>0</v>
      </c>
      <c r="BA130" s="63">
        <f t="shared" ca="1" si="173"/>
        <v>0</v>
      </c>
      <c r="BC130" s="47" t="s">
        <v>23</v>
      </c>
      <c r="BD130" s="40">
        <v>0</v>
      </c>
      <c r="BE130" s="41">
        <f t="shared" ca="1" si="166"/>
        <v>0</v>
      </c>
      <c r="BF130" s="40">
        <v>0</v>
      </c>
      <c r="BG130" s="41">
        <f t="shared" ca="1" si="167"/>
        <v>0</v>
      </c>
      <c r="BH130" s="40">
        <v>0</v>
      </c>
      <c r="BI130" s="41">
        <f t="shared" ca="1" si="168"/>
        <v>0</v>
      </c>
      <c r="BJ130" s="40">
        <v>0</v>
      </c>
      <c r="BK130" s="41">
        <f t="shared" ca="1" si="152"/>
        <v>0</v>
      </c>
      <c r="BL130" s="40">
        <v>0</v>
      </c>
      <c r="BM130" s="41">
        <f t="shared" ca="1" si="169"/>
        <v>0</v>
      </c>
      <c r="BN130" s="40">
        <v>0</v>
      </c>
      <c r="BO130" s="41">
        <f t="shared" ca="1" si="170"/>
        <v>0</v>
      </c>
      <c r="BP130" s="40">
        <v>0</v>
      </c>
      <c r="BQ130" s="41">
        <f t="shared" ca="1" si="153"/>
        <v>0</v>
      </c>
      <c r="BR130" s="63">
        <f t="shared" ca="1" si="174"/>
        <v>0</v>
      </c>
    </row>
    <row r="131" spans="2:70" x14ac:dyDescent="0.4">
      <c r="B131" s="23" t="s">
        <v>24</v>
      </c>
      <c r="C131" s="24">
        <v>0</v>
      </c>
      <c r="D131" s="25">
        <f t="shared" ca="1" si="171"/>
        <v>0</v>
      </c>
      <c r="E131" s="24">
        <v>0</v>
      </c>
      <c r="F131" s="25">
        <f t="shared" ca="1" si="154"/>
        <v>0</v>
      </c>
      <c r="G131" s="24">
        <v>0</v>
      </c>
      <c r="H131" s="25">
        <f t="shared" ca="1" si="155"/>
        <v>0</v>
      </c>
      <c r="I131" s="24">
        <v>0</v>
      </c>
      <c r="J131" s="25">
        <f t="shared" ca="1" si="144"/>
        <v>0</v>
      </c>
      <c r="K131" s="24">
        <v>0</v>
      </c>
      <c r="L131" s="25">
        <f t="shared" ca="1" si="156"/>
        <v>0</v>
      </c>
      <c r="M131" s="24">
        <v>0</v>
      </c>
      <c r="N131" s="25">
        <f t="shared" ca="1" si="157"/>
        <v>0</v>
      </c>
      <c r="O131" s="24">
        <v>0</v>
      </c>
      <c r="P131" s="25">
        <f t="shared" ca="1" si="145"/>
        <v>0</v>
      </c>
      <c r="Q131" s="64">
        <f t="shared" ca="1" si="146"/>
        <v>0</v>
      </c>
      <c r="T131" s="23" t="s">
        <v>24</v>
      </c>
      <c r="U131" s="24">
        <v>0</v>
      </c>
      <c r="V131" s="25">
        <f t="shared" ca="1" si="158"/>
        <v>0</v>
      </c>
      <c r="W131" s="24">
        <v>0</v>
      </c>
      <c r="X131" s="25">
        <f t="shared" ca="1" si="158"/>
        <v>0</v>
      </c>
      <c r="Y131" s="24">
        <v>0</v>
      </c>
      <c r="Z131" s="25">
        <f t="shared" ca="1" si="159"/>
        <v>0</v>
      </c>
      <c r="AA131" s="24">
        <v>0</v>
      </c>
      <c r="AB131" s="25">
        <f t="shared" ca="1" si="147"/>
        <v>0</v>
      </c>
      <c r="AC131" s="24">
        <v>0</v>
      </c>
      <c r="AD131" s="25">
        <f t="shared" ca="1" si="160"/>
        <v>0</v>
      </c>
      <c r="AE131" s="24">
        <v>0</v>
      </c>
      <c r="AF131" s="25">
        <f t="shared" ca="1" si="161"/>
        <v>0</v>
      </c>
      <c r="AG131" s="24">
        <v>0</v>
      </c>
      <c r="AH131" s="25">
        <f t="shared" ca="1" si="148"/>
        <v>0</v>
      </c>
      <c r="AI131" s="64">
        <f t="shared" ca="1" si="172"/>
        <v>0</v>
      </c>
      <c r="AL131" s="48" t="s">
        <v>24</v>
      </c>
      <c r="AM131" s="49">
        <v>0</v>
      </c>
      <c r="AN131" s="50">
        <f t="shared" ca="1" si="162"/>
        <v>0</v>
      </c>
      <c r="AO131" s="49">
        <v>0</v>
      </c>
      <c r="AP131" s="50">
        <f t="shared" ca="1" si="149"/>
        <v>0</v>
      </c>
      <c r="AQ131" s="49">
        <v>0</v>
      </c>
      <c r="AR131" s="50">
        <f t="shared" ca="1" si="163"/>
        <v>0</v>
      </c>
      <c r="AS131" s="49">
        <v>0</v>
      </c>
      <c r="AT131" s="50">
        <f t="shared" ca="1" si="150"/>
        <v>0</v>
      </c>
      <c r="AU131" s="49">
        <v>0</v>
      </c>
      <c r="AV131" s="50">
        <f t="shared" ca="1" si="164"/>
        <v>0</v>
      </c>
      <c r="AW131" s="49">
        <v>0</v>
      </c>
      <c r="AX131" s="50">
        <f t="shared" ca="1" si="165"/>
        <v>0</v>
      </c>
      <c r="AY131" s="49">
        <v>0</v>
      </c>
      <c r="AZ131" s="50">
        <f t="shared" ca="1" si="151"/>
        <v>0</v>
      </c>
      <c r="BA131" s="65">
        <f t="shared" ca="1" si="173"/>
        <v>0</v>
      </c>
      <c r="BC131" s="48" t="s">
        <v>24</v>
      </c>
      <c r="BD131" s="49">
        <v>0</v>
      </c>
      <c r="BE131" s="50">
        <f t="shared" ca="1" si="166"/>
        <v>0</v>
      </c>
      <c r="BF131" s="49">
        <v>0</v>
      </c>
      <c r="BG131" s="50">
        <f t="shared" ca="1" si="167"/>
        <v>0</v>
      </c>
      <c r="BH131" s="49">
        <v>0</v>
      </c>
      <c r="BI131" s="50">
        <f t="shared" ca="1" si="168"/>
        <v>0</v>
      </c>
      <c r="BJ131" s="49">
        <v>0</v>
      </c>
      <c r="BK131" s="50">
        <f t="shared" ca="1" si="152"/>
        <v>0</v>
      </c>
      <c r="BL131" s="49">
        <v>0</v>
      </c>
      <c r="BM131" s="50">
        <f t="shared" ca="1" si="169"/>
        <v>0</v>
      </c>
      <c r="BN131" s="49">
        <v>0</v>
      </c>
      <c r="BO131" s="50">
        <f t="shared" ca="1" si="170"/>
        <v>0</v>
      </c>
      <c r="BP131" s="49">
        <v>0</v>
      </c>
      <c r="BQ131" s="50">
        <f t="shared" ca="1" si="153"/>
        <v>0</v>
      </c>
      <c r="BR131" s="65">
        <f t="shared" ca="1" si="174"/>
        <v>0</v>
      </c>
    </row>
    <row r="132" spans="2:70" x14ac:dyDescent="0.4">
      <c r="B132" s="27" t="s">
        <v>25</v>
      </c>
      <c r="C132" s="28">
        <f ca="1">SUM(C124:C131)</f>
        <v>279</v>
      </c>
      <c r="D132" s="29">
        <f ca="1">C132/C$82</f>
        <v>0.42857142857142855</v>
      </c>
      <c r="E132" s="28">
        <f ca="1">SUM(E124:E131)</f>
        <v>225</v>
      </c>
      <c r="F132" s="30">
        <f ca="1">E132/E$82</f>
        <v>0.18625827814569537</v>
      </c>
      <c r="G132" s="28">
        <f ca="1">SUM(G124:G131)</f>
        <v>19</v>
      </c>
      <c r="H132" s="29">
        <f t="shared" ca="1" si="155"/>
        <v>1</v>
      </c>
      <c r="I132" s="28">
        <f ca="1">SUM(I124:I131)</f>
        <v>80</v>
      </c>
      <c r="J132" s="29">
        <f ca="1">I132/I$82</f>
        <v>0.23391812865497075</v>
      </c>
      <c r="K132" s="28">
        <f ca="1">SUM(K124:K131)</f>
        <v>8</v>
      </c>
      <c r="L132" s="29">
        <f ca="1">K132/K$82</f>
        <v>0.17777777777777778</v>
      </c>
      <c r="M132" s="28">
        <f ca="1">SUM(M124:M131)</f>
        <v>0</v>
      </c>
      <c r="N132" s="29">
        <f ca="1">M132/M$82</f>
        <v>0</v>
      </c>
      <c r="O132" s="28">
        <f ca="1">SUM(O124:O131)</f>
        <v>2</v>
      </c>
      <c r="P132" s="29">
        <f ca="1">O132/O$82</f>
        <v>5.4054054054054057E-2</v>
      </c>
      <c r="Q132" s="31">
        <f t="shared" ca="1" si="146"/>
        <v>613</v>
      </c>
      <c r="T132" s="27" t="s">
        <v>25</v>
      </c>
      <c r="U132" s="28">
        <f ca="1">SUM(U124:U131)</f>
        <v>25723034</v>
      </c>
      <c r="V132" s="29">
        <f ca="1">U132/U$82</f>
        <v>0.24991059851930472</v>
      </c>
      <c r="W132" s="28">
        <f ca="1">SUM(W124:W131)</f>
        <v>28355363</v>
      </c>
      <c r="X132" s="30">
        <f ca="1">W132/W$82</f>
        <v>0.13032705955495325</v>
      </c>
      <c r="Y132" s="28">
        <f ca="1">SUM(Y124:Y131)</f>
        <v>4170377</v>
      </c>
      <c r="Z132" s="29">
        <f t="shared" ca="1" si="159"/>
        <v>1</v>
      </c>
      <c r="AA132" s="28">
        <f ca="1">SUM(AA124:AA131)</f>
        <v>14988417</v>
      </c>
      <c r="AB132" s="29">
        <f ca="1">AA132/AA$82</f>
        <v>0.11371850995173539</v>
      </c>
      <c r="AC132" s="28">
        <f ca="1">SUM(AC124:AC131)</f>
        <v>249632</v>
      </c>
      <c r="AD132" s="29">
        <f ca="1">AC132/AC$82</f>
        <v>0.19824304213236427</v>
      </c>
      <c r="AE132" s="28">
        <f ca="1">SUM(AE124:AE131)</f>
        <v>0</v>
      </c>
      <c r="AF132" s="29">
        <f ca="1">AE132/AE$82</f>
        <v>0</v>
      </c>
      <c r="AG132" s="28">
        <f ca="1">SUM(AG124:AG131)</f>
        <v>323781</v>
      </c>
      <c r="AH132" s="29">
        <f ca="1">AG132/AG$82</f>
        <v>2.6791603293525028E-2</v>
      </c>
      <c r="AI132" s="31">
        <f t="shared" ca="1" si="172"/>
        <v>73810604</v>
      </c>
      <c r="AL132" s="52" t="s">
        <v>25</v>
      </c>
      <c r="AM132" s="53">
        <f ca="1">SUM(AM124:AM131)</f>
        <v>279</v>
      </c>
      <c r="AN132" s="54">
        <f ca="1">AM132/AM$132</f>
        <v>1</v>
      </c>
      <c r="AO132" s="53">
        <f ca="1">SUM(AO124:AO131)</f>
        <v>225</v>
      </c>
      <c r="AP132" s="55">
        <f ca="1">AO132/AO$132</f>
        <v>1</v>
      </c>
      <c r="AQ132" s="53">
        <f ca="1">SUM(AQ124:AQ131)</f>
        <v>19</v>
      </c>
      <c r="AR132" s="54">
        <f t="shared" ca="1" si="163"/>
        <v>1</v>
      </c>
      <c r="AS132" s="53">
        <f ca="1">SUM(AS124:AS131)</f>
        <v>80</v>
      </c>
      <c r="AT132" s="54">
        <f ca="1">AS132/AS$132</f>
        <v>1</v>
      </c>
      <c r="AU132" s="53">
        <f ca="1">SUM(AU124:AU131)</f>
        <v>8</v>
      </c>
      <c r="AV132" s="54">
        <f ca="1">AU132/AU$132</f>
        <v>1</v>
      </c>
      <c r="AW132" s="53">
        <f ca="1">SUM(AW124:AW131)</f>
        <v>0</v>
      </c>
      <c r="AX132" s="54" t="e">
        <f ca="1">AW132/AW$132</f>
        <v>#DIV/0!</v>
      </c>
      <c r="AY132" s="53">
        <f ca="1">SUM(AY124:AY131)</f>
        <v>2</v>
      </c>
      <c r="AZ132" s="54">
        <f ca="1">AY132/AY$132</f>
        <v>1</v>
      </c>
      <c r="BA132" s="56">
        <f t="shared" ca="1" si="173"/>
        <v>613</v>
      </c>
      <c r="BC132" s="52" t="s">
        <v>25</v>
      </c>
      <c r="BD132" s="53">
        <f ca="1">SUM(BD124:BD131)</f>
        <v>25723034</v>
      </c>
      <c r="BE132" s="54">
        <f ca="1">BD132/BD$132</f>
        <v>1</v>
      </c>
      <c r="BF132" s="53">
        <f ca="1">SUM(BF124:BF131)</f>
        <v>28355363</v>
      </c>
      <c r="BG132" s="55">
        <f ca="1">BF132/BF$132</f>
        <v>1</v>
      </c>
      <c r="BH132" s="53">
        <f ca="1">SUM(BH124:BH131)</f>
        <v>4170377</v>
      </c>
      <c r="BI132" s="54">
        <f t="shared" ca="1" si="168"/>
        <v>1</v>
      </c>
      <c r="BJ132" s="53">
        <f ca="1">SUM(BJ124:BJ131)</f>
        <v>14988417</v>
      </c>
      <c r="BK132" s="54">
        <f ca="1">BJ132/BJ$132</f>
        <v>1</v>
      </c>
      <c r="BL132" s="53">
        <f ca="1">SUM(BL124:BL131)</f>
        <v>249632</v>
      </c>
      <c r="BM132" s="54">
        <f t="shared" ca="1" si="169"/>
        <v>1</v>
      </c>
      <c r="BN132" s="53">
        <f ca="1">SUM(BN124:BN131)</f>
        <v>0</v>
      </c>
      <c r="BO132" s="54">
        <f t="shared" ca="1" si="170"/>
        <v>0</v>
      </c>
      <c r="BP132" s="53">
        <f ca="1">SUM(BP124:BP131)</f>
        <v>323781</v>
      </c>
      <c r="BQ132" s="54">
        <f ca="1">BP132/BP$132</f>
        <v>1</v>
      </c>
      <c r="BR132" s="56">
        <f t="shared" ca="1" si="174"/>
        <v>73810604</v>
      </c>
    </row>
    <row r="133" spans="2:70" x14ac:dyDescent="0.4">
      <c r="B133" s="32" t="s">
        <v>26</v>
      </c>
      <c r="C133" s="33">
        <f ca="1">C132/$Q$82</f>
        <v>0.10398807305255311</v>
      </c>
      <c r="D133" s="33"/>
      <c r="E133" s="33">
        <f ca="1">E132/$Q$82</f>
        <v>8.386134923592993E-2</v>
      </c>
      <c r="F133" s="33"/>
      <c r="G133" s="33">
        <f ca="1">G132/$Q$82</f>
        <v>7.0816250465896386E-3</v>
      </c>
      <c r="H133" s="33"/>
      <c r="I133" s="33">
        <f ca="1">I132/$Q$82</f>
        <v>2.9817368617219529E-2</v>
      </c>
      <c r="J133" s="33"/>
      <c r="K133" s="33">
        <f ca="1">K132/$Q$82</f>
        <v>2.9817368617219529E-3</v>
      </c>
      <c r="L133" s="33"/>
      <c r="M133" s="33">
        <f ca="1">M132/$Q$82</f>
        <v>0</v>
      </c>
      <c r="N133" s="33"/>
      <c r="O133" s="33">
        <f ca="1">O132/$Q$82</f>
        <v>7.4543421543048823E-4</v>
      </c>
      <c r="P133" s="33"/>
      <c r="Q133" s="34">
        <f ca="1">Q132/$Q$82</f>
        <v>0.22847558702944465</v>
      </c>
      <c r="T133" s="32" t="s">
        <v>26</v>
      </c>
      <c r="U133" s="33">
        <f ca="1">U132/$AI$132</f>
        <v>0.34850052168655876</v>
      </c>
      <c r="V133" s="33"/>
      <c r="W133" s="33">
        <f ca="1">W132/$AI$132</f>
        <v>0.38416381201812139</v>
      </c>
      <c r="X133" s="33"/>
      <c r="Y133" s="33">
        <f ca="1">Y132/$AI$132</f>
        <v>5.6501055051656264E-2</v>
      </c>
      <c r="Z133" s="33"/>
      <c r="AA133" s="33">
        <f ca="1">AA132/$AI$132</f>
        <v>0.20306590364712365</v>
      </c>
      <c r="AB133" s="33"/>
      <c r="AC133" s="33">
        <f ca="1">AC132/$AI$132</f>
        <v>3.3820614718177893E-3</v>
      </c>
      <c r="AD133" s="33"/>
      <c r="AE133" s="33">
        <f ca="1">AE132/$AI$132</f>
        <v>0</v>
      </c>
      <c r="AF133" s="33"/>
      <c r="AG133" s="33">
        <f ca="1">AG132/$AI$132</f>
        <v>4.3866461247221338E-3</v>
      </c>
      <c r="AH133" s="33"/>
      <c r="AI133" s="34">
        <f ca="1">AI132/$AI$132</f>
        <v>1</v>
      </c>
      <c r="AL133" s="57" t="s">
        <v>26</v>
      </c>
      <c r="AM133" s="58">
        <f ca="1">AM132/$BA$132</f>
        <v>0.45513866231647637</v>
      </c>
      <c r="AN133" s="58"/>
      <c r="AO133" s="58">
        <f ca="1">AO132/$BA$132</f>
        <v>0.36704730831973897</v>
      </c>
      <c r="AP133" s="58"/>
      <c r="AQ133" s="58">
        <f ca="1">AQ132/$BA$132</f>
        <v>3.0995106035889071E-2</v>
      </c>
      <c r="AR133" s="58"/>
      <c r="AS133" s="58">
        <f ca="1">AS132/$BA$132</f>
        <v>0.13050570962479607</v>
      </c>
      <c r="AT133" s="58"/>
      <c r="AU133" s="58">
        <f ca="1">AU132/$BA$132</f>
        <v>1.3050570962479609E-2</v>
      </c>
      <c r="AV133" s="58"/>
      <c r="AW133" s="58">
        <f ca="1">AW132/$BA$132</f>
        <v>0</v>
      </c>
      <c r="AX133" s="58"/>
      <c r="AY133" s="58">
        <f ca="1">AY132/$Q$82</f>
        <v>7.4543421543048823E-4</v>
      </c>
      <c r="AZ133" s="58"/>
      <c r="BA133" s="59">
        <f ca="1">BA132/$BA$132</f>
        <v>1</v>
      </c>
      <c r="BC133" s="57" t="s">
        <v>26</v>
      </c>
      <c r="BD133" s="58">
        <f ca="1">BD132/$BR$132</f>
        <v>0.34850052168655876</v>
      </c>
      <c r="BE133" s="58"/>
      <c r="BF133" s="58">
        <f ca="1">BF132/$BR$132</f>
        <v>0.38416381201812139</v>
      </c>
      <c r="BG133" s="58"/>
      <c r="BH133" s="58">
        <f ca="1">BH132/$BR$132</f>
        <v>5.6501055051656264E-2</v>
      </c>
      <c r="BI133" s="58"/>
      <c r="BJ133" s="58">
        <f ca="1">BJ132/$BR$132</f>
        <v>0.20306590364712365</v>
      </c>
      <c r="BK133" s="58"/>
      <c r="BL133" s="58">
        <f ca="1">BL132/$BR$132</f>
        <v>3.3820614718177893E-3</v>
      </c>
      <c r="BM133" s="58"/>
      <c r="BN133" s="58">
        <f ca="1">BN132/$BR$132</f>
        <v>0</v>
      </c>
      <c r="BO133" s="58"/>
      <c r="BP133" s="58">
        <f ca="1">BP132/$BR$132</f>
        <v>4.3866461247221338E-3</v>
      </c>
      <c r="BQ133" s="58"/>
      <c r="BR133" s="59">
        <f ca="1">BR132/$BR$132</f>
        <v>1</v>
      </c>
    </row>
    <row r="135" spans="2:70" x14ac:dyDescent="0.4">
      <c r="B135" s="4" t="s">
        <v>29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T135" s="4" t="s">
        <v>29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2:70" x14ac:dyDescent="0.4">
      <c r="B136" s="5"/>
      <c r="C136" s="6" t="s">
        <v>3</v>
      </c>
      <c r="D136" s="6"/>
      <c r="E136" s="6" t="s">
        <v>4</v>
      </c>
      <c r="F136" s="6"/>
      <c r="G136" s="6" t="s">
        <v>5</v>
      </c>
      <c r="H136" s="6"/>
      <c r="I136" s="6" t="s">
        <v>6</v>
      </c>
      <c r="J136" s="6"/>
      <c r="K136" s="6" t="s">
        <v>7</v>
      </c>
      <c r="L136" s="6"/>
      <c r="M136" s="6" t="s">
        <v>8</v>
      </c>
      <c r="N136" s="6"/>
      <c r="O136" s="6" t="s">
        <v>9</v>
      </c>
      <c r="P136" s="6"/>
      <c r="Q136" s="7" t="s">
        <v>10</v>
      </c>
      <c r="T136" s="5"/>
      <c r="U136" s="6" t="s">
        <v>3</v>
      </c>
      <c r="V136" s="6"/>
      <c r="W136" s="6" t="s">
        <v>4</v>
      </c>
      <c r="X136" s="6"/>
      <c r="Y136" s="6" t="s">
        <v>5</v>
      </c>
      <c r="Z136" s="6"/>
      <c r="AA136" s="6" t="s">
        <v>6</v>
      </c>
      <c r="AB136" s="6"/>
      <c r="AC136" s="6" t="s">
        <v>7</v>
      </c>
      <c r="AD136" s="6"/>
      <c r="AE136" s="6" t="s">
        <v>8</v>
      </c>
      <c r="AF136" s="6"/>
      <c r="AG136" s="6" t="s">
        <v>9</v>
      </c>
      <c r="AH136" s="6"/>
      <c r="AI136" s="7" t="s">
        <v>10</v>
      </c>
    </row>
    <row r="137" spans="2:70" x14ac:dyDescent="0.4">
      <c r="B137" s="8" t="s">
        <v>11</v>
      </c>
      <c r="C137" s="8" t="s">
        <v>12</v>
      </c>
      <c r="D137" s="8" t="s">
        <v>13</v>
      </c>
      <c r="E137" s="8" t="s">
        <v>12</v>
      </c>
      <c r="F137" s="8" t="s">
        <v>13</v>
      </c>
      <c r="G137" s="8" t="s">
        <v>12</v>
      </c>
      <c r="H137" s="8" t="s">
        <v>13</v>
      </c>
      <c r="I137" s="8" t="s">
        <v>12</v>
      </c>
      <c r="J137" s="8" t="s">
        <v>13</v>
      </c>
      <c r="K137" s="8" t="s">
        <v>12</v>
      </c>
      <c r="L137" s="8" t="s">
        <v>13</v>
      </c>
      <c r="M137" s="8" t="s">
        <v>12</v>
      </c>
      <c r="N137" s="8" t="s">
        <v>13</v>
      </c>
      <c r="O137" s="8" t="s">
        <v>12</v>
      </c>
      <c r="P137" s="8" t="s">
        <v>13</v>
      </c>
      <c r="Q137" s="7"/>
      <c r="T137" s="8" t="s">
        <v>11</v>
      </c>
      <c r="U137" s="8" t="s">
        <v>14</v>
      </c>
      <c r="V137" s="8" t="s">
        <v>13</v>
      </c>
      <c r="W137" s="8" t="s">
        <v>14</v>
      </c>
      <c r="X137" s="8" t="s">
        <v>13</v>
      </c>
      <c r="Y137" s="8" t="s">
        <v>14</v>
      </c>
      <c r="Z137" s="8" t="s">
        <v>13</v>
      </c>
      <c r="AA137" s="8" t="s">
        <v>14</v>
      </c>
      <c r="AB137" s="8" t="s">
        <v>13</v>
      </c>
      <c r="AC137" s="8" t="s">
        <v>14</v>
      </c>
      <c r="AD137" s="8" t="s">
        <v>13</v>
      </c>
      <c r="AE137" s="8" t="s">
        <v>14</v>
      </c>
      <c r="AF137" s="8" t="s">
        <v>13</v>
      </c>
      <c r="AG137" s="8" t="s">
        <v>14</v>
      </c>
      <c r="AH137" s="8" t="s">
        <v>13</v>
      </c>
      <c r="AI137" s="7"/>
    </row>
    <row r="138" spans="2:70" x14ac:dyDescent="0.4">
      <c r="B138" s="9" t="s">
        <v>15</v>
      </c>
      <c r="C138" s="10">
        <v>88</v>
      </c>
      <c r="D138" s="11">
        <f ca="1">C138/C$148</f>
        <v>0.34920634920634919</v>
      </c>
      <c r="E138" s="10">
        <v>200</v>
      </c>
      <c r="F138" s="11">
        <f t="shared" ref="F138:F147" ca="1" si="175">E138/E$148</f>
        <v>0.45662100456621002</v>
      </c>
      <c r="G138" s="10">
        <v>64</v>
      </c>
      <c r="H138" s="11">
        <f t="shared" ref="H138:H147" ca="1" si="176">G138/G$148</f>
        <v>0.53333333333333333</v>
      </c>
      <c r="I138" s="10">
        <v>112</v>
      </c>
      <c r="J138" s="11">
        <f t="shared" ref="J138:L147" ca="1" si="177">I138/I$148</f>
        <v>0.88888888888888884</v>
      </c>
      <c r="K138" s="10">
        <v>2</v>
      </c>
      <c r="L138" s="11">
        <f t="shared" ca="1" si="177"/>
        <v>0.2857142857142857</v>
      </c>
      <c r="M138" s="10">
        <v>14</v>
      </c>
      <c r="N138" s="11">
        <f t="shared" ref="N138:N147" ca="1" si="178">M138/M$148</f>
        <v>0.2153846153846154</v>
      </c>
      <c r="O138" s="10">
        <v>4</v>
      </c>
      <c r="P138" s="11">
        <f ca="1">IFERROR((O138/O$148),0)</f>
        <v>0.15384615384615385</v>
      </c>
      <c r="Q138" s="60">
        <f t="shared" ref="Q138:Q148" ca="1" si="179">SUM(C138,G138,I138,K138,M138,O138,E138)</f>
        <v>484</v>
      </c>
      <c r="T138" s="9" t="s">
        <v>15</v>
      </c>
      <c r="U138" s="10">
        <v>15959285</v>
      </c>
      <c r="V138" s="11">
        <f ca="1">U138/U$148</f>
        <v>0.45091470422159552</v>
      </c>
      <c r="W138" s="10">
        <v>42692772</v>
      </c>
      <c r="X138" s="11">
        <f ca="1">W138/W$148</f>
        <v>0.53102152180413897</v>
      </c>
      <c r="Y138" s="10">
        <v>18666241</v>
      </c>
      <c r="Z138" s="11">
        <f t="shared" ref="Z138:Z147" ca="1" si="180">Y138/Y$148</f>
        <v>0.79389459303347565</v>
      </c>
      <c r="AA138" s="10">
        <v>33612391</v>
      </c>
      <c r="AB138" s="11">
        <f t="shared" ref="AB138:AB147" ca="1" si="181">AA138/AA$148</f>
        <v>0.96848342308287638</v>
      </c>
      <c r="AC138" s="10">
        <v>50000</v>
      </c>
      <c r="AD138" s="11">
        <f t="shared" ref="AD138:AD147" ca="1" si="182">AC138/AC$148</f>
        <v>0.30090934804980651</v>
      </c>
      <c r="AE138" s="10">
        <v>592510</v>
      </c>
      <c r="AF138" s="11">
        <f t="shared" ref="AF138:AF147" ca="1" si="183">AE138/AE$148</f>
        <v>0.2129814017354546</v>
      </c>
      <c r="AG138" s="10">
        <v>3595967</v>
      </c>
      <c r="AH138" s="11">
        <f ca="1">IFERROR((AG138/AG$148),0)</f>
        <v>0.40398585811832538</v>
      </c>
      <c r="AI138" s="60">
        <f ca="1">SUM(U138,Y138,AA138,AC138,AE138,AG138,W138)</f>
        <v>115169166</v>
      </c>
    </row>
    <row r="139" spans="2:70" x14ac:dyDescent="0.4">
      <c r="B139" s="14" t="s">
        <v>16</v>
      </c>
      <c r="C139" s="15">
        <v>95</v>
      </c>
      <c r="D139" s="16">
        <f t="shared" ref="D139:D147" ca="1" si="184">C139/C$148</f>
        <v>0.37698412698412698</v>
      </c>
      <c r="E139" s="15">
        <v>138</v>
      </c>
      <c r="F139" s="16">
        <f t="shared" ca="1" si="175"/>
        <v>0.31506849315068491</v>
      </c>
      <c r="G139" s="15">
        <v>24</v>
      </c>
      <c r="H139" s="16">
        <f t="shared" ca="1" si="176"/>
        <v>0.2</v>
      </c>
      <c r="I139" s="15">
        <v>6</v>
      </c>
      <c r="J139" s="16">
        <f t="shared" ca="1" si="177"/>
        <v>4.7619047619047616E-2</v>
      </c>
      <c r="K139" s="15">
        <v>4</v>
      </c>
      <c r="L139" s="16">
        <f t="shared" ca="1" si="177"/>
        <v>0.5714285714285714</v>
      </c>
      <c r="M139" s="15">
        <v>19</v>
      </c>
      <c r="N139" s="16">
        <f t="shared" ca="1" si="178"/>
        <v>0.29230769230769232</v>
      </c>
      <c r="O139" s="15">
        <v>9</v>
      </c>
      <c r="P139" s="16">
        <f t="shared" ref="P139:P147" ca="1" si="185">IFERROR((O139/O$148),0)</f>
        <v>0.34615384615384615</v>
      </c>
      <c r="Q139" s="62">
        <f t="shared" ca="1" si="179"/>
        <v>295</v>
      </c>
      <c r="T139" s="14" t="s">
        <v>16</v>
      </c>
      <c r="U139" s="15">
        <v>12991860</v>
      </c>
      <c r="V139" s="16">
        <f t="shared" ref="V139:X147" ca="1" si="186">U139/U$148</f>
        <v>0.36707288009383743</v>
      </c>
      <c r="W139" s="15">
        <v>24804992</v>
      </c>
      <c r="X139" s="16">
        <f t="shared" ca="1" si="186"/>
        <v>0.30852961714876453</v>
      </c>
      <c r="Y139" s="15">
        <v>1741000</v>
      </c>
      <c r="Z139" s="16">
        <f t="shared" ca="1" si="180"/>
        <v>7.4046536015005965E-2</v>
      </c>
      <c r="AA139" s="15">
        <v>715000</v>
      </c>
      <c r="AB139" s="16">
        <f t="shared" ca="1" si="181"/>
        <v>2.0601499235929292E-2</v>
      </c>
      <c r="AC139" s="15">
        <v>26163</v>
      </c>
      <c r="AD139" s="16">
        <f t="shared" ca="1" si="182"/>
        <v>0.15745382546054176</v>
      </c>
      <c r="AE139" s="15">
        <v>601000</v>
      </c>
      <c r="AF139" s="16">
        <f t="shared" ca="1" si="183"/>
        <v>0.21603318499773544</v>
      </c>
      <c r="AG139" s="15">
        <v>1423846</v>
      </c>
      <c r="AH139" s="16">
        <f t="shared" ref="AH139:AH147" ca="1" si="187">IFERROR((AG139/AG$148),0)</f>
        <v>0.15996076942261847</v>
      </c>
      <c r="AI139" s="62">
        <f ca="1">SUM(U139,Y139,AA139,AC139,AE139,AG139,W139)</f>
        <v>42303861</v>
      </c>
    </row>
    <row r="140" spans="2:70" x14ac:dyDescent="0.4">
      <c r="B140" s="18" t="s">
        <v>17</v>
      </c>
      <c r="C140" s="19">
        <f ca="1">+SUM(C138:C139)</f>
        <v>183</v>
      </c>
      <c r="D140" s="20">
        <f t="shared" ca="1" si="184"/>
        <v>0.72619047619047616</v>
      </c>
      <c r="E140" s="19">
        <f ca="1">+SUM(E138:E139)</f>
        <v>338</v>
      </c>
      <c r="F140" s="20">
        <f t="shared" ca="1" si="175"/>
        <v>0.77168949771689499</v>
      </c>
      <c r="G140" s="19">
        <f ca="1">+SUM(G138:G139)</f>
        <v>88</v>
      </c>
      <c r="H140" s="20">
        <f t="shared" ca="1" si="176"/>
        <v>0.73333333333333328</v>
      </c>
      <c r="I140" s="19">
        <f ca="1">+SUM(I138:I139)</f>
        <v>118</v>
      </c>
      <c r="J140" s="20">
        <f t="shared" ca="1" si="177"/>
        <v>0.93650793650793651</v>
      </c>
      <c r="K140" s="19">
        <f ca="1">+SUM(K138:K139)</f>
        <v>6</v>
      </c>
      <c r="L140" s="20">
        <f t="shared" ca="1" si="177"/>
        <v>0.8571428571428571</v>
      </c>
      <c r="M140" s="19">
        <f ca="1">+SUM(M138:M139)</f>
        <v>33</v>
      </c>
      <c r="N140" s="20">
        <f t="shared" ca="1" si="178"/>
        <v>0.50769230769230766</v>
      </c>
      <c r="O140" s="19">
        <f ca="1">+SUM(O138:O139)</f>
        <v>13</v>
      </c>
      <c r="P140" s="20">
        <f t="shared" ca="1" si="185"/>
        <v>0.5</v>
      </c>
      <c r="Q140" s="21">
        <f ca="1">+SUM(Q138:Q139)</f>
        <v>779</v>
      </c>
      <c r="T140" s="18" t="s">
        <v>17</v>
      </c>
      <c r="U140" s="19">
        <f ca="1">+SUM(U138:U139)</f>
        <v>28951145</v>
      </c>
      <c r="V140" s="20">
        <f t="shared" ca="1" si="186"/>
        <v>0.81798758431543295</v>
      </c>
      <c r="W140" s="19">
        <f ca="1">+SUM(W138:W139)</f>
        <v>67497764</v>
      </c>
      <c r="X140" s="20">
        <f t="shared" ca="1" si="186"/>
        <v>0.83955113895290345</v>
      </c>
      <c r="Y140" s="19">
        <f ca="1">+SUM(Y138:Y139)</f>
        <v>20407241</v>
      </c>
      <c r="Z140" s="20">
        <f t="shared" ca="1" si="180"/>
        <v>0.86794112904848164</v>
      </c>
      <c r="AA140" s="19">
        <f ca="1">+SUM(AA138:AA139)</f>
        <v>34327391</v>
      </c>
      <c r="AB140" s="20">
        <f t="shared" ca="1" si="181"/>
        <v>0.98908492231880563</v>
      </c>
      <c r="AC140" s="19">
        <f ca="1">+SUM(AC138:AC139)</f>
        <v>76163</v>
      </c>
      <c r="AD140" s="20">
        <f t="shared" ca="1" si="182"/>
        <v>0.45836317351034828</v>
      </c>
      <c r="AE140" s="19">
        <f ca="1">+SUM(AE138:AE139)</f>
        <v>1193510</v>
      </c>
      <c r="AF140" s="20">
        <f t="shared" ca="1" si="183"/>
        <v>0.42901458673319004</v>
      </c>
      <c r="AG140" s="19">
        <f ca="1">+SUM(AG138:AG139)</f>
        <v>5019813</v>
      </c>
      <c r="AH140" s="20">
        <f t="shared" ca="1" si="187"/>
        <v>0.56394662754094382</v>
      </c>
      <c r="AI140" s="21">
        <f ca="1">+SUM(AI138:AI139)</f>
        <v>157473027</v>
      </c>
    </row>
    <row r="141" spans="2:70" x14ac:dyDescent="0.4">
      <c r="B141" s="22" t="s">
        <v>18</v>
      </c>
      <c r="C141" s="15">
        <v>23</v>
      </c>
      <c r="D141" s="16">
        <f t="shared" ca="1" si="184"/>
        <v>9.1269841269841265E-2</v>
      </c>
      <c r="E141" s="15">
        <v>35</v>
      </c>
      <c r="F141" s="16">
        <f t="shared" ca="1" si="175"/>
        <v>7.9908675799086754E-2</v>
      </c>
      <c r="G141" s="15">
        <v>32</v>
      </c>
      <c r="H141" s="16">
        <f t="shared" ca="1" si="176"/>
        <v>0.26666666666666666</v>
      </c>
      <c r="I141" s="15">
        <v>2</v>
      </c>
      <c r="J141" s="16">
        <f t="shared" ca="1" si="177"/>
        <v>1.5873015873015872E-2</v>
      </c>
      <c r="K141" s="15">
        <v>0</v>
      </c>
      <c r="L141" s="16">
        <f t="shared" ca="1" si="177"/>
        <v>0</v>
      </c>
      <c r="M141" s="15">
        <v>7</v>
      </c>
      <c r="N141" s="16">
        <f t="shared" ca="1" si="178"/>
        <v>0.1076923076923077</v>
      </c>
      <c r="O141" s="15">
        <v>11</v>
      </c>
      <c r="P141" s="16">
        <f t="shared" ca="1" si="185"/>
        <v>0.42307692307692307</v>
      </c>
      <c r="Q141" s="62">
        <f t="shared" ca="1" si="179"/>
        <v>110</v>
      </c>
      <c r="T141" s="22" t="s">
        <v>18</v>
      </c>
      <c r="U141" s="15">
        <v>2419444</v>
      </c>
      <c r="V141" s="16">
        <f t="shared" ca="1" si="186"/>
        <v>6.8359132357164745E-2</v>
      </c>
      <c r="W141" s="15">
        <v>4218648</v>
      </c>
      <c r="X141" s="16">
        <f t="shared" ca="1" si="186"/>
        <v>5.2472415726858575E-2</v>
      </c>
      <c r="Y141" s="15">
        <v>3105000</v>
      </c>
      <c r="Z141" s="16">
        <f t="shared" ca="1" si="180"/>
        <v>0.13205887095151841</v>
      </c>
      <c r="AA141" s="15">
        <v>170000</v>
      </c>
      <c r="AB141" s="16">
        <f t="shared" ca="1" si="181"/>
        <v>4.8982585595915796E-3</v>
      </c>
      <c r="AC141" s="15">
        <v>0</v>
      </c>
      <c r="AD141" s="16">
        <f t="shared" ca="1" si="182"/>
        <v>0</v>
      </c>
      <c r="AE141" s="15">
        <v>393710</v>
      </c>
      <c r="AF141" s="16">
        <f t="shared" ca="1" si="183"/>
        <v>0.14152150626532181</v>
      </c>
      <c r="AG141" s="15">
        <v>2947290</v>
      </c>
      <c r="AH141" s="16">
        <f t="shared" ca="1" si="187"/>
        <v>0.33111079155441614</v>
      </c>
      <c r="AI141" s="62">
        <f t="shared" ref="AI141:AI148" ca="1" si="188">SUM(U141,Y141,AA141,AC141,AE141,AG141,W141)</f>
        <v>13254092</v>
      </c>
    </row>
    <row r="142" spans="2:70" x14ac:dyDescent="0.4">
      <c r="B142" s="22" t="s">
        <v>19</v>
      </c>
      <c r="C142" s="15">
        <v>9</v>
      </c>
      <c r="D142" s="16">
        <f t="shared" ca="1" si="184"/>
        <v>3.5714285714285712E-2</v>
      </c>
      <c r="E142" s="15">
        <v>23</v>
      </c>
      <c r="F142" s="16">
        <f t="shared" ca="1" si="175"/>
        <v>5.2511415525114152E-2</v>
      </c>
      <c r="G142" s="15">
        <v>0</v>
      </c>
      <c r="H142" s="16">
        <f t="shared" ca="1" si="176"/>
        <v>0</v>
      </c>
      <c r="I142" s="15">
        <v>0</v>
      </c>
      <c r="J142" s="16">
        <f t="shared" ca="1" si="177"/>
        <v>0</v>
      </c>
      <c r="K142" s="15">
        <v>0</v>
      </c>
      <c r="L142" s="16">
        <f t="shared" ca="1" si="177"/>
        <v>0</v>
      </c>
      <c r="M142" s="15">
        <v>8</v>
      </c>
      <c r="N142" s="16">
        <f t="shared" ca="1" si="178"/>
        <v>0.12307692307692308</v>
      </c>
      <c r="O142" s="15">
        <v>2</v>
      </c>
      <c r="P142" s="16">
        <f t="shared" ca="1" si="185"/>
        <v>7.6923076923076927E-2</v>
      </c>
      <c r="Q142" s="62">
        <f t="shared" ca="1" si="179"/>
        <v>42</v>
      </c>
      <c r="T142" s="22" t="s">
        <v>19</v>
      </c>
      <c r="U142" s="15">
        <v>1062565</v>
      </c>
      <c r="V142" s="16">
        <f t="shared" ca="1" si="186"/>
        <v>3.0021782472787448E-2</v>
      </c>
      <c r="W142" s="15">
        <v>2815883</v>
      </c>
      <c r="X142" s="16">
        <f t="shared" ca="1" si="186"/>
        <v>3.5024534735819082E-2</v>
      </c>
      <c r="Y142" s="15">
        <v>0</v>
      </c>
      <c r="Z142" s="16">
        <f t="shared" ca="1" si="180"/>
        <v>0</v>
      </c>
      <c r="AA142" s="15">
        <v>0</v>
      </c>
      <c r="AB142" s="16">
        <f t="shared" ca="1" si="181"/>
        <v>0</v>
      </c>
      <c r="AC142" s="15">
        <v>0</v>
      </c>
      <c r="AD142" s="16">
        <f t="shared" ca="1" si="182"/>
        <v>0</v>
      </c>
      <c r="AE142" s="15">
        <v>706080</v>
      </c>
      <c r="AF142" s="16">
        <f t="shared" ca="1" si="183"/>
        <v>0.25380484403194847</v>
      </c>
      <c r="AG142" s="15">
        <v>934117</v>
      </c>
      <c r="AH142" s="16">
        <f t="shared" ca="1" si="187"/>
        <v>0.10494258090464004</v>
      </c>
      <c r="AI142" s="62">
        <f t="shared" ca="1" si="188"/>
        <v>5518645</v>
      </c>
    </row>
    <row r="143" spans="2:70" x14ac:dyDescent="0.4">
      <c r="B143" s="22" t="s">
        <v>20</v>
      </c>
      <c r="C143" s="15">
        <v>6</v>
      </c>
      <c r="D143" s="16">
        <f t="shared" ca="1" si="184"/>
        <v>2.3809523809523808E-2</v>
      </c>
      <c r="E143" s="15">
        <v>10</v>
      </c>
      <c r="F143" s="16">
        <f t="shared" ca="1" si="175"/>
        <v>2.2831050228310501E-2</v>
      </c>
      <c r="G143" s="15">
        <v>0</v>
      </c>
      <c r="H143" s="16">
        <f t="shared" ca="1" si="176"/>
        <v>0</v>
      </c>
      <c r="I143" s="15">
        <v>0</v>
      </c>
      <c r="J143" s="16">
        <f t="shared" ca="1" si="177"/>
        <v>0</v>
      </c>
      <c r="K143" s="15">
        <v>1</v>
      </c>
      <c r="L143" s="16">
        <f t="shared" ca="1" si="177"/>
        <v>0.14285714285714285</v>
      </c>
      <c r="M143" s="15">
        <v>6</v>
      </c>
      <c r="N143" s="16">
        <f t="shared" ca="1" si="178"/>
        <v>9.2307692307692313E-2</v>
      </c>
      <c r="O143" s="15">
        <v>0</v>
      </c>
      <c r="P143" s="16">
        <f t="shared" ca="1" si="185"/>
        <v>0</v>
      </c>
      <c r="Q143" s="62">
        <f t="shared" ca="1" si="179"/>
        <v>23</v>
      </c>
      <c r="T143" s="22" t="s">
        <v>20</v>
      </c>
      <c r="U143" s="15">
        <v>294351</v>
      </c>
      <c r="V143" s="16">
        <f t="shared" ca="1" si="186"/>
        <v>8.3166128120608692E-3</v>
      </c>
      <c r="W143" s="15">
        <v>826508</v>
      </c>
      <c r="X143" s="16">
        <f t="shared" ca="1" si="186"/>
        <v>1.0280277325241269E-2</v>
      </c>
      <c r="Y143" s="15">
        <v>0</v>
      </c>
      <c r="Z143" s="16">
        <f t="shared" ca="1" si="180"/>
        <v>0</v>
      </c>
      <c r="AA143" s="15">
        <v>0</v>
      </c>
      <c r="AB143" s="16">
        <f t="shared" ca="1" si="181"/>
        <v>0</v>
      </c>
      <c r="AC143" s="15">
        <v>90000</v>
      </c>
      <c r="AD143" s="16">
        <f t="shared" ca="1" si="182"/>
        <v>0.54163682648965172</v>
      </c>
      <c r="AE143" s="15">
        <v>93850</v>
      </c>
      <c r="AF143" s="16">
        <f t="shared" ca="1" si="183"/>
        <v>3.3734965743822745E-2</v>
      </c>
      <c r="AG143" s="15">
        <v>0</v>
      </c>
      <c r="AH143" s="16">
        <f t="shared" ca="1" si="187"/>
        <v>0</v>
      </c>
      <c r="AI143" s="62">
        <f t="shared" ca="1" si="188"/>
        <v>1304709</v>
      </c>
    </row>
    <row r="144" spans="2:70" x14ac:dyDescent="0.4">
      <c r="B144" s="22" t="s">
        <v>21</v>
      </c>
      <c r="C144" s="15">
        <v>3</v>
      </c>
      <c r="D144" s="16">
        <f t="shared" ca="1" si="184"/>
        <v>1.1904761904761904E-2</v>
      </c>
      <c r="E144" s="15">
        <v>7</v>
      </c>
      <c r="F144" s="16">
        <f t="shared" ca="1" si="175"/>
        <v>1.5981735159817351E-2</v>
      </c>
      <c r="G144" s="15">
        <v>0</v>
      </c>
      <c r="H144" s="16">
        <f t="shared" ca="1" si="176"/>
        <v>0</v>
      </c>
      <c r="I144" s="15">
        <v>0</v>
      </c>
      <c r="J144" s="16">
        <f t="shared" ca="1" si="177"/>
        <v>0</v>
      </c>
      <c r="K144" s="15">
        <v>0</v>
      </c>
      <c r="L144" s="16">
        <f t="shared" ca="1" si="177"/>
        <v>0</v>
      </c>
      <c r="M144" s="15">
        <v>1</v>
      </c>
      <c r="N144" s="16">
        <f t="shared" ca="1" si="178"/>
        <v>1.5384615384615385E-2</v>
      </c>
      <c r="O144" s="15">
        <v>0</v>
      </c>
      <c r="P144" s="16">
        <f t="shared" ca="1" si="185"/>
        <v>0</v>
      </c>
      <c r="Q144" s="62">
        <f t="shared" ca="1" si="179"/>
        <v>11</v>
      </c>
      <c r="T144" s="22" t="s">
        <v>21</v>
      </c>
      <c r="U144" s="15">
        <v>277608</v>
      </c>
      <c r="V144" s="16">
        <f t="shared" ca="1" si="186"/>
        <v>7.8435549718893233E-3</v>
      </c>
      <c r="W144" s="15">
        <v>1065911</v>
      </c>
      <c r="X144" s="16">
        <f t="shared" ca="1" si="186"/>
        <v>1.3258021318638472E-2</v>
      </c>
      <c r="Y144" s="15">
        <v>0</v>
      </c>
      <c r="Z144" s="16">
        <f t="shared" ca="1" si="180"/>
        <v>0</v>
      </c>
      <c r="AA144" s="15">
        <v>0</v>
      </c>
      <c r="AB144" s="16">
        <f t="shared" ca="1" si="181"/>
        <v>0</v>
      </c>
      <c r="AC144" s="15">
        <v>0</v>
      </c>
      <c r="AD144" s="16">
        <f t="shared" ca="1" si="182"/>
        <v>0</v>
      </c>
      <c r="AE144" s="15">
        <v>35000</v>
      </c>
      <c r="AF144" s="16">
        <f t="shared" ca="1" si="183"/>
        <v>1.2580967512347321E-2</v>
      </c>
      <c r="AG144" s="15">
        <v>0</v>
      </c>
      <c r="AH144" s="16">
        <f t="shared" ca="1" si="187"/>
        <v>0</v>
      </c>
      <c r="AI144" s="62">
        <f t="shared" ca="1" si="188"/>
        <v>1378519</v>
      </c>
    </row>
    <row r="145" spans="2:35" x14ac:dyDescent="0.4">
      <c r="B145" s="22" t="s">
        <v>22</v>
      </c>
      <c r="C145" s="15">
        <v>4</v>
      </c>
      <c r="D145" s="16">
        <f t="shared" ca="1" si="184"/>
        <v>1.5873015873015872E-2</v>
      </c>
      <c r="E145" s="15">
        <v>3</v>
      </c>
      <c r="F145" s="16">
        <f t="shared" ca="1" si="175"/>
        <v>6.8493150684931503E-3</v>
      </c>
      <c r="G145" s="15">
        <v>0</v>
      </c>
      <c r="H145" s="16">
        <f t="shared" ca="1" si="176"/>
        <v>0</v>
      </c>
      <c r="I145" s="15">
        <v>0</v>
      </c>
      <c r="J145" s="16">
        <f t="shared" ca="1" si="177"/>
        <v>0</v>
      </c>
      <c r="K145" s="15">
        <v>0</v>
      </c>
      <c r="L145" s="16">
        <f t="shared" ca="1" si="177"/>
        <v>0</v>
      </c>
      <c r="M145" s="15">
        <v>4</v>
      </c>
      <c r="N145" s="16">
        <f t="shared" ca="1" si="178"/>
        <v>6.1538461538461542E-2</v>
      </c>
      <c r="O145" s="15">
        <v>0</v>
      </c>
      <c r="P145" s="16">
        <f t="shared" ca="1" si="185"/>
        <v>0</v>
      </c>
      <c r="Q145" s="62">
        <f t="shared" ca="1" si="179"/>
        <v>11</v>
      </c>
      <c r="T145" s="22" t="s">
        <v>22</v>
      </c>
      <c r="U145" s="15">
        <v>489210</v>
      </c>
      <c r="V145" s="16">
        <f t="shared" ca="1" si="186"/>
        <v>1.3822172011606206E-2</v>
      </c>
      <c r="W145" s="15">
        <v>307276</v>
      </c>
      <c r="X145" s="16">
        <f t="shared" ca="1" si="186"/>
        <v>3.8219623952712328E-3</v>
      </c>
      <c r="Y145" s="15">
        <v>0</v>
      </c>
      <c r="Z145" s="16">
        <f t="shared" ca="1" si="180"/>
        <v>0</v>
      </c>
      <c r="AA145" s="15">
        <v>0</v>
      </c>
      <c r="AB145" s="16">
        <f t="shared" ca="1" si="181"/>
        <v>0</v>
      </c>
      <c r="AC145" s="15">
        <v>0</v>
      </c>
      <c r="AD145" s="16">
        <f t="shared" ca="1" si="182"/>
        <v>0</v>
      </c>
      <c r="AE145" s="15">
        <v>42630</v>
      </c>
      <c r="AF145" s="16">
        <f t="shared" ca="1" si="183"/>
        <v>1.5323618430039036E-2</v>
      </c>
      <c r="AG145" s="15">
        <v>0</v>
      </c>
      <c r="AH145" s="16">
        <f t="shared" ca="1" si="187"/>
        <v>0</v>
      </c>
      <c r="AI145" s="62">
        <f t="shared" ca="1" si="188"/>
        <v>839116</v>
      </c>
    </row>
    <row r="146" spans="2:35" x14ac:dyDescent="0.4">
      <c r="B146" s="22" t="s">
        <v>23</v>
      </c>
      <c r="C146" s="15">
        <v>3</v>
      </c>
      <c r="D146" s="16">
        <f t="shared" ca="1" si="184"/>
        <v>1.1904761904761904E-2</v>
      </c>
      <c r="E146" s="15">
        <v>6</v>
      </c>
      <c r="F146" s="16">
        <f t="shared" ca="1" si="175"/>
        <v>1.3698630136986301E-2</v>
      </c>
      <c r="G146" s="15">
        <v>0</v>
      </c>
      <c r="H146" s="16">
        <f t="shared" ca="1" si="176"/>
        <v>0</v>
      </c>
      <c r="I146" s="15">
        <v>0</v>
      </c>
      <c r="J146" s="16">
        <f t="shared" ca="1" si="177"/>
        <v>0</v>
      </c>
      <c r="K146" s="15">
        <v>0</v>
      </c>
      <c r="L146" s="16">
        <f t="shared" ca="1" si="177"/>
        <v>0</v>
      </c>
      <c r="M146" s="15">
        <v>2</v>
      </c>
      <c r="N146" s="16">
        <f t="shared" ca="1" si="178"/>
        <v>3.0769230769230771E-2</v>
      </c>
      <c r="O146" s="15">
        <v>0</v>
      </c>
      <c r="P146" s="16">
        <f t="shared" ca="1" si="185"/>
        <v>0</v>
      </c>
      <c r="Q146" s="62">
        <f t="shared" ca="1" si="179"/>
        <v>11</v>
      </c>
      <c r="T146" s="22" t="s">
        <v>23</v>
      </c>
      <c r="U146" s="15">
        <v>265248</v>
      </c>
      <c r="V146" s="16">
        <f t="shared" ca="1" si="186"/>
        <v>7.4943347064338889E-3</v>
      </c>
      <c r="W146" s="15">
        <v>1428136</v>
      </c>
      <c r="X146" s="16">
        <f t="shared" ca="1" si="186"/>
        <v>1.7763450732673807E-2</v>
      </c>
      <c r="Y146" s="15">
        <v>0</v>
      </c>
      <c r="Z146" s="16">
        <f t="shared" ca="1" si="180"/>
        <v>0</v>
      </c>
      <c r="AA146" s="15">
        <v>0</v>
      </c>
      <c r="AB146" s="16">
        <f t="shared" ca="1" si="181"/>
        <v>0</v>
      </c>
      <c r="AC146" s="15">
        <v>0</v>
      </c>
      <c r="AD146" s="16">
        <f t="shared" ca="1" si="182"/>
        <v>0</v>
      </c>
      <c r="AE146" s="15">
        <v>199000</v>
      </c>
      <c r="AF146" s="16">
        <f t="shared" ca="1" si="183"/>
        <v>7.1531786713060486E-2</v>
      </c>
      <c r="AG146" s="15">
        <v>0</v>
      </c>
      <c r="AH146" s="16">
        <f t="shared" ca="1" si="187"/>
        <v>0</v>
      </c>
      <c r="AI146" s="62">
        <f t="shared" ca="1" si="188"/>
        <v>1892384</v>
      </c>
    </row>
    <row r="147" spans="2:35" x14ac:dyDescent="0.4">
      <c r="B147" s="23" t="s">
        <v>24</v>
      </c>
      <c r="C147" s="24">
        <v>21</v>
      </c>
      <c r="D147" s="25">
        <f t="shared" ca="1" si="184"/>
        <v>8.3333333333333329E-2</v>
      </c>
      <c r="E147" s="24">
        <v>16</v>
      </c>
      <c r="F147" s="25">
        <f t="shared" ca="1" si="175"/>
        <v>3.6529680365296802E-2</v>
      </c>
      <c r="G147" s="24">
        <v>0</v>
      </c>
      <c r="H147" s="25">
        <f t="shared" ca="1" si="176"/>
        <v>0</v>
      </c>
      <c r="I147" s="24">
        <v>6</v>
      </c>
      <c r="J147" s="25">
        <f t="shared" ca="1" si="177"/>
        <v>4.7619047619047616E-2</v>
      </c>
      <c r="K147" s="24">
        <v>0</v>
      </c>
      <c r="L147" s="25">
        <f t="shared" ca="1" si="177"/>
        <v>0</v>
      </c>
      <c r="M147" s="24">
        <v>4</v>
      </c>
      <c r="N147" s="25">
        <f t="shared" ca="1" si="178"/>
        <v>6.1538461538461542E-2</v>
      </c>
      <c r="O147" s="24">
        <v>0</v>
      </c>
      <c r="P147" s="25">
        <f t="shared" ca="1" si="185"/>
        <v>0</v>
      </c>
      <c r="Q147" s="64">
        <f t="shared" ca="1" si="179"/>
        <v>47</v>
      </c>
      <c r="T147" s="23" t="s">
        <v>24</v>
      </c>
      <c r="U147" s="24">
        <v>1633564</v>
      </c>
      <c r="V147" s="25">
        <f t="shared" ca="1" si="186"/>
        <v>4.6154826352624599E-2</v>
      </c>
      <c r="W147" s="24">
        <v>2237316</v>
      </c>
      <c r="X147" s="25">
        <f t="shared" ca="1" si="186"/>
        <v>2.7828198812594063E-2</v>
      </c>
      <c r="Y147" s="24">
        <v>0</v>
      </c>
      <c r="Z147" s="25">
        <f t="shared" ca="1" si="180"/>
        <v>0</v>
      </c>
      <c r="AA147" s="24">
        <v>208821</v>
      </c>
      <c r="AB147" s="25">
        <f t="shared" ca="1" si="181"/>
        <v>6.0168191216027839E-3</v>
      </c>
      <c r="AC147" s="24">
        <v>0</v>
      </c>
      <c r="AD147" s="25">
        <f t="shared" ca="1" si="182"/>
        <v>0</v>
      </c>
      <c r="AE147" s="24">
        <v>118200</v>
      </c>
      <c r="AF147" s="25">
        <f t="shared" ca="1" si="183"/>
        <v>4.2487724570270093E-2</v>
      </c>
      <c r="AG147" s="24">
        <v>0</v>
      </c>
      <c r="AH147" s="25">
        <f t="shared" ca="1" si="187"/>
        <v>0</v>
      </c>
      <c r="AI147" s="64">
        <f t="shared" ca="1" si="188"/>
        <v>4197901</v>
      </c>
    </row>
    <row r="148" spans="2:35" x14ac:dyDescent="0.4">
      <c r="B148" s="27" t="s">
        <v>25</v>
      </c>
      <c r="C148" s="28">
        <f ca="1">SUM(C140:C147)</f>
        <v>252</v>
      </c>
      <c r="D148" s="29">
        <f ca="1">C148/C$98</f>
        <v>1</v>
      </c>
      <c r="E148" s="28">
        <f ca="1">SUM(E140:E147)</f>
        <v>438</v>
      </c>
      <c r="F148" s="30">
        <f ca="1">E148/E$98</f>
        <v>1</v>
      </c>
      <c r="G148" s="28">
        <f ca="1">SUM(G140:G147)</f>
        <v>120</v>
      </c>
      <c r="H148" s="29">
        <f ca="1">G148/G$98</f>
        <v>1</v>
      </c>
      <c r="I148" s="28">
        <f ca="1">SUM(I140:I147)</f>
        <v>126</v>
      </c>
      <c r="J148" s="29">
        <f ca="1">I148/I$98</f>
        <v>1</v>
      </c>
      <c r="K148" s="28">
        <f ca="1">SUM(K140:K147)</f>
        <v>7</v>
      </c>
      <c r="L148" s="29">
        <f ca="1">K148/K$98</f>
        <v>1</v>
      </c>
      <c r="M148" s="28">
        <f ca="1">SUM(M140:M147)</f>
        <v>65</v>
      </c>
      <c r="N148" s="29">
        <f ca="1">M148/M$98</f>
        <v>1</v>
      </c>
      <c r="O148" s="28">
        <f ca="1">SUM(O140:O147)</f>
        <v>26</v>
      </c>
      <c r="P148" s="29">
        <f ca="1">IFERROR((O148/O$98),0)</f>
        <v>1</v>
      </c>
      <c r="Q148" s="31">
        <f t="shared" ca="1" si="179"/>
        <v>1034</v>
      </c>
      <c r="T148" s="27" t="s">
        <v>25</v>
      </c>
      <c r="U148" s="28">
        <f ca="1">SUM(U140:U147)</f>
        <v>35393135</v>
      </c>
      <c r="V148" s="29">
        <f ca="1">U148/U$98</f>
        <v>1</v>
      </c>
      <c r="W148" s="28">
        <f ca="1">SUM(W140:W147)</f>
        <v>80397442</v>
      </c>
      <c r="X148" s="30">
        <f t="shared" ref="X148:AF148" ca="1" si="189">W148/W$98</f>
        <v>1</v>
      </c>
      <c r="Y148" s="28">
        <f ca="1">SUM(Y140:Y147)</f>
        <v>23512241</v>
      </c>
      <c r="Z148" s="29">
        <f t="shared" ca="1" si="189"/>
        <v>1</v>
      </c>
      <c r="AA148" s="28">
        <f ca="1">SUM(AA140:AA147)</f>
        <v>34706212</v>
      </c>
      <c r="AB148" s="29">
        <f t="shared" ca="1" si="189"/>
        <v>1</v>
      </c>
      <c r="AC148" s="28">
        <f ca="1">SUM(AC140:AC147)</f>
        <v>166163</v>
      </c>
      <c r="AD148" s="29">
        <f t="shared" ca="1" si="189"/>
        <v>1</v>
      </c>
      <c r="AE148" s="28">
        <f ca="1">SUM(AE140:AE147)</f>
        <v>2781980</v>
      </c>
      <c r="AF148" s="29">
        <f t="shared" ca="1" si="189"/>
        <v>1</v>
      </c>
      <c r="AG148" s="28">
        <f ca="1">SUM(AG140:AG147)</f>
        <v>8901220</v>
      </c>
      <c r="AH148" s="29">
        <f ca="1">IFERROR((AG148/AG$98),0)</f>
        <v>1</v>
      </c>
      <c r="AI148" s="31">
        <f t="shared" ca="1" si="188"/>
        <v>185858393</v>
      </c>
    </row>
    <row r="149" spans="2:35" x14ac:dyDescent="0.4">
      <c r="B149" s="32" t="s">
        <v>26</v>
      </c>
      <c r="C149" s="33">
        <f ca="1">C148/$Q$98</f>
        <v>0.2437137330754352</v>
      </c>
      <c r="D149" s="33"/>
      <c r="E149" s="33">
        <f ca="1">E148/$Q$98</f>
        <v>0.42359767891682787</v>
      </c>
      <c r="F149" s="33"/>
      <c r="G149" s="33">
        <f ca="1">G148/$Q$98</f>
        <v>0.11605415860735009</v>
      </c>
      <c r="H149" s="33"/>
      <c r="I149" s="33">
        <f ca="1">I148/$Q$98</f>
        <v>0.1218568665377176</v>
      </c>
      <c r="J149" s="33"/>
      <c r="K149" s="33">
        <f ca="1">K148/$Q$98</f>
        <v>6.7698259187620891E-3</v>
      </c>
      <c r="L149" s="33"/>
      <c r="M149" s="33">
        <f ca="1">M148/$Q$98</f>
        <v>6.286266924564797E-2</v>
      </c>
      <c r="N149" s="33"/>
      <c r="O149" s="33">
        <f ca="1">O148/$Q$98</f>
        <v>2.5145067698259187E-2</v>
      </c>
      <c r="P149" s="33"/>
      <c r="Q149" s="34">
        <f ca="1">Q148/$Q$98</f>
        <v>1</v>
      </c>
      <c r="T149" s="32" t="s">
        <v>26</v>
      </c>
      <c r="U149" s="33">
        <f ca="1">U148/$AI$148</f>
        <v>0.19043065222241537</v>
      </c>
      <c r="V149" s="33"/>
      <c r="W149" s="33">
        <f ca="1">W148/$AI$148</f>
        <v>0.43257364223524736</v>
      </c>
      <c r="X149" s="33"/>
      <c r="Y149" s="33">
        <f ca="1">Y148/$AI$148</f>
        <v>0.12650621056429773</v>
      </c>
      <c r="Z149" s="33"/>
      <c r="AA149" s="33">
        <f ca="1">AA148/$AI$148</f>
        <v>0.18673470398509256</v>
      </c>
      <c r="AB149" s="33"/>
      <c r="AC149" s="33">
        <f ca="1">AC148/$AI$148</f>
        <v>8.9403011248461622E-4</v>
      </c>
      <c r="AD149" s="33"/>
      <c r="AE149" s="33">
        <f ca="1">AE148/$AI$148</f>
        <v>1.4968277488550114E-2</v>
      </c>
      <c r="AF149" s="33"/>
      <c r="AG149" s="33">
        <f ca="1">AG148/$AI$148</f>
        <v>4.7892483391912252E-2</v>
      </c>
      <c r="AH149" s="33"/>
      <c r="AI149" s="34">
        <f ca="1">AI148/$AI$148</f>
        <v>1</v>
      </c>
    </row>
    <row r="151" spans="2:35" x14ac:dyDescent="0.4">
      <c r="E151" s="2" t="s">
        <v>34</v>
      </c>
      <c r="F151" s="2"/>
      <c r="G151" s="2"/>
      <c r="H151" s="2"/>
      <c r="I151" s="2"/>
      <c r="J151" s="2"/>
      <c r="K151" s="2"/>
      <c r="L151" s="2"/>
      <c r="M151" s="2"/>
      <c r="N151" s="2"/>
      <c r="W151" s="2" t="s">
        <v>34</v>
      </c>
      <c r="X151" s="2"/>
      <c r="Y151" s="2"/>
      <c r="Z151" s="2"/>
      <c r="AA151" s="2"/>
      <c r="AB151" s="2"/>
      <c r="AC151" s="2"/>
      <c r="AD151" s="2"/>
      <c r="AE151" s="2"/>
      <c r="AF151" s="2"/>
    </row>
    <row r="152" spans="2:35" x14ac:dyDescent="0.4"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</row>
    <row r="153" spans="2:35" x14ac:dyDescent="0.4">
      <c r="E153" s="67" t="s">
        <v>35</v>
      </c>
      <c r="F153" s="68"/>
      <c r="G153" s="68"/>
      <c r="H153" s="68"/>
      <c r="I153" s="68"/>
      <c r="J153" s="68"/>
      <c r="K153" s="68"/>
      <c r="L153" s="68"/>
      <c r="M153" s="68"/>
      <c r="N153" s="69"/>
      <c r="W153" s="67" t="s">
        <v>35</v>
      </c>
      <c r="X153" s="68"/>
      <c r="Y153" s="68"/>
      <c r="Z153" s="68"/>
      <c r="AA153" s="68"/>
      <c r="AB153" s="68"/>
      <c r="AC153" s="68"/>
      <c r="AD153" s="68"/>
      <c r="AE153" s="68"/>
      <c r="AF153" s="69"/>
    </row>
    <row r="154" spans="2:35" ht="21" customHeight="1" x14ac:dyDescent="0.4">
      <c r="E154" s="70"/>
      <c r="F154" s="71" t="s">
        <v>36</v>
      </c>
      <c r="G154" s="71"/>
      <c r="H154" s="71" t="s">
        <v>37</v>
      </c>
      <c r="I154" s="71"/>
      <c r="J154" s="71" t="s">
        <v>38</v>
      </c>
      <c r="K154" s="71"/>
      <c r="L154" s="71" t="s">
        <v>39</v>
      </c>
      <c r="M154" s="71"/>
      <c r="N154" s="7" t="s">
        <v>10</v>
      </c>
      <c r="W154" s="70"/>
      <c r="X154" s="71" t="s">
        <v>36</v>
      </c>
      <c r="Y154" s="71"/>
      <c r="Z154" s="71" t="s">
        <v>37</v>
      </c>
      <c r="AA154" s="71"/>
      <c r="AB154" s="71" t="s">
        <v>38</v>
      </c>
      <c r="AC154" s="71"/>
      <c r="AD154" s="71" t="s">
        <v>39</v>
      </c>
      <c r="AE154" s="71"/>
      <c r="AF154" s="7" t="s">
        <v>10</v>
      </c>
    </row>
    <row r="155" spans="2:35" x14ac:dyDescent="0.4">
      <c r="E155" s="8" t="s">
        <v>11</v>
      </c>
      <c r="F155" s="8" t="s">
        <v>12</v>
      </c>
      <c r="G155" s="8" t="s">
        <v>13</v>
      </c>
      <c r="H155" s="8" t="s">
        <v>12</v>
      </c>
      <c r="I155" s="8" t="s">
        <v>13</v>
      </c>
      <c r="J155" s="8" t="s">
        <v>12</v>
      </c>
      <c r="K155" s="8" t="s">
        <v>13</v>
      </c>
      <c r="L155" s="8" t="s">
        <v>12</v>
      </c>
      <c r="M155" s="8" t="s">
        <v>13</v>
      </c>
      <c r="N155" s="7"/>
      <c r="W155" s="8" t="s">
        <v>11</v>
      </c>
      <c r="X155" s="8" t="s">
        <v>14</v>
      </c>
      <c r="Y155" s="8" t="s">
        <v>13</v>
      </c>
      <c r="Z155" s="8" t="s">
        <v>14</v>
      </c>
      <c r="AA155" s="8" t="s">
        <v>13</v>
      </c>
      <c r="AB155" s="8" t="s">
        <v>14</v>
      </c>
      <c r="AC155" s="8" t="s">
        <v>13</v>
      </c>
      <c r="AD155" s="8" t="s">
        <v>14</v>
      </c>
      <c r="AE155" s="8" t="s">
        <v>13</v>
      </c>
      <c r="AF155" s="7"/>
    </row>
    <row r="156" spans="2:35" x14ac:dyDescent="0.4">
      <c r="E156" s="9" t="s">
        <v>15</v>
      </c>
      <c r="F156" s="72">
        <v>15144</v>
      </c>
      <c r="G156" s="73">
        <f ca="1">F156/$F$166</f>
        <v>0.60719297542199591</v>
      </c>
      <c r="H156" s="72">
        <v>24115</v>
      </c>
      <c r="I156" s="73">
        <f ca="1">H156/$H$166</f>
        <v>0.40576466827076779</v>
      </c>
      <c r="J156" s="72">
        <v>6685</v>
      </c>
      <c r="K156" s="73">
        <f ca="1">J156/$J$166</f>
        <v>0.42691104157353599</v>
      </c>
      <c r="L156" s="72">
        <v>9077</v>
      </c>
      <c r="M156" s="73">
        <f ca="1">L156/$L$166</f>
        <v>0.47449032932566648</v>
      </c>
      <c r="N156" s="60">
        <f ca="1">SUM(F156,H156,J156,L156)</f>
        <v>55021</v>
      </c>
      <c r="W156" s="9" t="s">
        <v>15</v>
      </c>
      <c r="X156" s="72">
        <v>2324314164</v>
      </c>
      <c r="Y156" s="73">
        <f ca="1">X156/$X$166</f>
        <v>0.66052533506227229</v>
      </c>
      <c r="Z156" s="72">
        <v>5451923375.5600061</v>
      </c>
      <c r="AA156" s="73">
        <f ca="1">Z156/$Z$166</f>
        <v>0.51271153861632301</v>
      </c>
      <c r="AB156" s="72">
        <v>2416554850.2699943</v>
      </c>
      <c r="AC156" s="73">
        <f ca="1">AB156/$AB$166</f>
        <v>0.64045842408748688</v>
      </c>
      <c r="AD156" s="72">
        <v>536633679</v>
      </c>
      <c r="AE156" s="73">
        <f ca="1">AD156/$AD$166</f>
        <v>0.63495131535913485</v>
      </c>
      <c r="AF156" s="60">
        <f ca="1">SUM(X156,Z156,AB156,AD156)</f>
        <v>10729426068.83</v>
      </c>
    </row>
    <row r="157" spans="2:35" x14ac:dyDescent="0.4">
      <c r="E157" s="14" t="s">
        <v>16</v>
      </c>
      <c r="F157" s="74">
        <v>5957</v>
      </c>
      <c r="G157" s="75">
        <f ca="1">F157/$F$166</f>
        <v>0.23884367106371035</v>
      </c>
      <c r="H157" s="74">
        <v>16706</v>
      </c>
      <c r="I157" s="75">
        <f ca="1">H157/$H$166</f>
        <v>0.28109908970066128</v>
      </c>
      <c r="J157" s="74">
        <v>4268</v>
      </c>
      <c r="K157" s="75">
        <f ca="1">J157/$J$166</f>
        <v>0.27255891180790598</v>
      </c>
      <c r="L157" s="74">
        <v>4090</v>
      </c>
      <c r="M157" s="75">
        <f ca="1">L157/$L$166</f>
        <v>0.21380031364349189</v>
      </c>
      <c r="N157" s="76">
        <f t="shared" ref="N157:N166" ca="1" si="190">SUM(F157,H157,J157,L157)</f>
        <v>31021</v>
      </c>
      <c r="W157" s="14" t="s">
        <v>16</v>
      </c>
      <c r="X157" s="74">
        <v>784803043</v>
      </c>
      <c r="Y157" s="75">
        <f t="shared" ref="Y157:Y166" ca="1" si="191">X157/$X$166</f>
        <v>0.22302591489756371</v>
      </c>
      <c r="Z157" s="74">
        <v>2757221871.6700101</v>
      </c>
      <c r="AA157" s="75">
        <f t="shared" ref="AA157:AA165" ca="1" si="192">Z157/$Z$166</f>
        <v>0.25929554961606582</v>
      </c>
      <c r="AB157" s="74">
        <v>779522085.17999935</v>
      </c>
      <c r="AC157" s="75">
        <f t="shared" ref="AC157:AC165" ca="1" si="193">AB157/$AB$166</f>
        <v>0.20659638086012999</v>
      </c>
      <c r="AD157" s="74">
        <v>161072026</v>
      </c>
      <c r="AE157" s="75">
        <f t="shared" ref="AE157:AE165" ca="1" si="194">AD157/$AD$166</f>
        <v>0.19058232604193442</v>
      </c>
      <c r="AF157" s="76">
        <f t="shared" ref="AF157:AF166" ca="1" si="195">SUM(X157,Z157,AB157,AD157)</f>
        <v>4482619025.8500099</v>
      </c>
    </row>
    <row r="158" spans="2:35" x14ac:dyDescent="0.4">
      <c r="E158" s="18" t="s">
        <v>17</v>
      </c>
      <c r="F158" s="19">
        <f ca="1">+SUM(F156:F157)</f>
        <v>21101</v>
      </c>
      <c r="G158" s="20">
        <f ca="1">+F158/$F$166</f>
        <v>0.84603664648570631</v>
      </c>
      <c r="H158" s="19">
        <f ca="1">+SUM(H156:H157)</f>
        <v>40821</v>
      </c>
      <c r="I158" s="20">
        <f ca="1">+H158/$H$166</f>
        <v>0.68686375797142907</v>
      </c>
      <c r="J158" s="19">
        <f ca="1">+SUM(J156:J157)</f>
        <v>10953</v>
      </c>
      <c r="K158" s="20">
        <f ca="1">+J158/$J$166</f>
        <v>0.69946995338144202</v>
      </c>
      <c r="L158" s="19">
        <f ca="1">+SUM(L156:L157)</f>
        <v>13167</v>
      </c>
      <c r="M158" s="20">
        <f ca="1">+L158/$L$166</f>
        <v>0.68829064296915843</v>
      </c>
      <c r="N158" s="21">
        <f ca="1">SUM(F158,H158,J158,L158)</f>
        <v>86042</v>
      </c>
      <c r="W158" s="18" t="s">
        <v>17</v>
      </c>
      <c r="X158" s="19">
        <f ca="1">+SUM(X156:X157)</f>
        <v>3109117207</v>
      </c>
      <c r="Y158" s="20">
        <f t="shared" ca="1" si="191"/>
        <v>0.88355124995983603</v>
      </c>
      <c r="Z158" s="19">
        <f ca="1">+SUM(Z156:Z157)</f>
        <v>8209145247.2300167</v>
      </c>
      <c r="AA158" s="20">
        <f t="shared" ca="1" si="192"/>
        <v>0.77200708823238884</v>
      </c>
      <c r="AB158" s="19">
        <f ca="1">+SUM(AB156:AB157)</f>
        <v>3196076935.4499936</v>
      </c>
      <c r="AC158" s="20">
        <f t="shared" ca="1" si="193"/>
        <v>0.84705480494761687</v>
      </c>
      <c r="AD158" s="19">
        <f ca="1">+SUM(AD156:AD157)</f>
        <v>697705705</v>
      </c>
      <c r="AE158" s="20">
        <f t="shared" ca="1" si="194"/>
        <v>0.82553364140106933</v>
      </c>
      <c r="AF158" s="21">
        <f ca="1">SUM(X158,Z158,AB158,AD158)</f>
        <v>15212045094.68001</v>
      </c>
    </row>
    <row r="159" spans="2:35" x14ac:dyDescent="0.4">
      <c r="E159" s="22" t="s">
        <v>18</v>
      </c>
      <c r="F159" s="74">
        <v>1464</v>
      </c>
      <c r="G159" s="75">
        <f t="shared" ref="G159:G166" ca="1" si="196">F159/$F$166</f>
        <v>5.8698528527324483E-2</v>
      </c>
      <c r="H159" s="74">
        <v>5275</v>
      </c>
      <c r="I159" s="75">
        <f t="shared" ref="I159:I166" ca="1" si="197">H159/$H$166</f>
        <v>8.8758392084938839E-2</v>
      </c>
      <c r="J159" s="74">
        <v>1247</v>
      </c>
      <c r="K159" s="75">
        <f t="shared" ref="K159:K166" ca="1" si="198">J159/$J$166</f>
        <v>7.9634714860463626E-2</v>
      </c>
      <c r="L159" s="74">
        <v>1129</v>
      </c>
      <c r="M159" s="75">
        <f t="shared" ref="M159:M166" ca="1" si="199">L159/$L$166</f>
        <v>5.9017250392054361E-2</v>
      </c>
      <c r="N159" s="76">
        <f t="shared" ca="1" si="190"/>
        <v>9115</v>
      </c>
      <c r="W159" s="22" t="s">
        <v>18</v>
      </c>
      <c r="X159" s="74">
        <v>155154234</v>
      </c>
      <c r="Y159" s="75">
        <f t="shared" ca="1" si="191"/>
        <v>4.4091846096576216E-2</v>
      </c>
      <c r="Z159" s="74">
        <v>713638424.32999933</v>
      </c>
      <c r="AA159" s="75">
        <f t="shared" ca="1" si="192"/>
        <v>6.7112215148544541E-2</v>
      </c>
      <c r="AB159" s="74">
        <v>168669228.02000004</v>
      </c>
      <c r="AC159" s="75">
        <f t="shared" ca="1" si="193"/>
        <v>4.4702328175035153E-2</v>
      </c>
      <c r="AD159" s="74">
        <v>34212473</v>
      </c>
      <c r="AE159" s="75">
        <f t="shared" ca="1" si="194"/>
        <v>4.0480602659004723E-2</v>
      </c>
      <c r="AF159" s="76">
        <f t="shared" ca="1" si="195"/>
        <v>1071674359.3499994</v>
      </c>
    </row>
    <row r="160" spans="2:35" x14ac:dyDescent="0.4">
      <c r="E160" s="22" t="s">
        <v>19</v>
      </c>
      <c r="F160" s="74">
        <v>1118</v>
      </c>
      <c r="G160" s="75">
        <f t="shared" ca="1" si="196"/>
        <v>4.4825788861713643E-2</v>
      </c>
      <c r="H160" s="74">
        <v>6584</v>
      </c>
      <c r="I160" s="75">
        <f t="shared" ca="1" si="197"/>
        <v>0.11078393431037674</v>
      </c>
      <c r="J160" s="74">
        <v>1456</v>
      </c>
      <c r="K160" s="75">
        <f t="shared" ca="1" si="198"/>
        <v>9.2981671881984806E-2</v>
      </c>
      <c r="L160" s="74">
        <v>1399</v>
      </c>
      <c r="M160" s="75">
        <f t="shared" ca="1" si="199"/>
        <v>7.3131207527443801E-2</v>
      </c>
      <c r="N160" s="76">
        <f t="shared" ca="1" si="190"/>
        <v>10557</v>
      </c>
      <c r="W160" s="22" t="s">
        <v>19</v>
      </c>
      <c r="X160" s="74">
        <v>112198737</v>
      </c>
      <c r="Y160" s="75">
        <f t="shared" ca="1" si="191"/>
        <v>3.1884720877383414E-2</v>
      </c>
      <c r="Z160" s="74">
        <v>901839403.72999823</v>
      </c>
      <c r="AA160" s="75">
        <f t="shared" ca="1" si="192"/>
        <v>8.4811072427029469E-2</v>
      </c>
      <c r="AB160" s="74">
        <v>194512377.3000001</v>
      </c>
      <c r="AC160" s="75">
        <f t="shared" ca="1" si="193"/>
        <v>5.1551526180814856E-2</v>
      </c>
      <c r="AD160" s="74">
        <v>37238022</v>
      </c>
      <c r="AE160" s="75">
        <f t="shared" ca="1" si="194"/>
        <v>4.4060468016716488E-2</v>
      </c>
      <c r="AF160" s="76">
        <f t="shared" ca="1" si="195"/>
        <v>1245788540.0299983</v>
      </c>
    </row>
    <row r="161" spans="5:65" x14ac:dyDescent="0.4">
      <c r="E161" s="22" t="s">
        <v>20</v>
      </c>
      <c r="F161" s="74">
        <v>318</v>
      </c>
      <c r="G161" s="75">
        <f t="shared" ca="1" si="196"/>
        <v>1.275009021290245E-2</v>
      </c>
      <c r="H161" s="74">
        <v>2523</v>
      </c>
      <c r="I161" s="75">
        <f t="shared" ca="1" si="197"/>
        <v>4.2452592081573592E-2</v>
      </c>
      <c r="J161" s="74">
        <v>568</v>
      </c>
      <c r="K161" s="75">
        <f t="shared" ca="1" si="198"/>
        <v>3.6273069800114952E-2</v>
      </c>
      <c r="L161" s="74">
        <v>651</v>
      </c>
      <c r="M161" s="75">
        <f t="shared" ca="1" si="199"/>
        <v>3.4030318870883432E-2</v>
      </c>
      <c r="N161" s="76">
        <f t="shared" ca="1" si="190"/>
        <v>4060</v>
      </c>
      <c r="W161" s="22" t="s">
        <v>20</v>
      </c>
      <c r="X161" s="74">
        <v>28749871</v>
      </c>
      <c r="Y161" s="75">
        <f t="shared" ca="1" si="191"/>
        <v>8.1701598129021707E-3</v>
      </c>
      <c r="Z161" s="74">
        <v>321319588.03999943</v>
      </c>
      <c r="AA161" s="75">
        <f t="shared" ca="1" si="192"/>
        <v>3.0217640458791131E-2</v>
      </c>
      <c r="AB161" s="74">
        <v>68963634.719999999</v>
      </c>
      <c r="AC161" s="75">
        <f t="shared" ca="1" si="193"/>
        <v>1.8277400493177925E-2</v>
      </c>
      <c r="AD161" s="74">
        <v>15161293</v>
      </c>
      <c r="AE161" s="75">
        <f t="shared" ca="1" si="194"/>
        <v>1.7939021178906001E-2</v>
      </c>
      <c r="AF161" s="76">
        <f t="shared" ca="1" si="195"/>
        <v>434194386.75999939</v>
      </c>
    </row>
    <row r="162" spans="5:65" x14ac:dyDescent="0.4">
      <c r="E162" s="22" t="s">
        <v>21</v>
      </c>
      <c r="F162" s="74">
        <v>171</v>
      </c>
      <c r="G162" s="75">
        <f t="shared" ca="1" si="196"/>
        <v>6.8561805861833925E-3</v>
      </c>
      <c r="H162" s="74">
        <v>1210</v>
      </c>
      <c r="I162" s="75">
        <f t="shared" ca="1" si="197"/>
        <v>2.0359744914270329E-2</v>
      </c>
      <c r="J162" s="74">
        <v>293</v>
      </c>
      <c r="K162" s="75">
        <f t="shared" ca="1" si="198"/>
        <v>1.8711284245481831E-2</v>
      </c>
      <c r="L162" s="74">
        <v>412</v>
      </c>
      <c r="M162" s="75">
        <f t="shared" ca="1" si="199"/>
        <v>2.153685311029796E-2</v>
      </c>
      <c r="N162" s="76">
        <f t="shared" ca="1" si="190"/>
        <v>2086</v>
      </c>
      <c r="W162" s="22" t="s">
        <v>21</v>
      </c>
      <c r="X162" s="74">
        <v>19899188</v>
      </c>
      <c r="Y162" s="75">
        <f t="shared" ca="1" si="191"/>
        <v>5.6549661077430619E-3</v>
      </c>
      <c r="Z162" s="74">
        <v>159487331.54000014</v>
      </c>
      <c r="AA162" s="75">
        <f t="shared" ca="1" si="192"/>
        <v>1.4998559134240547E-2</v>
      </c>
      <c r="AB162" s="74">
        <v>32237496.170000006</v>
      </c>
      <c r="AC162" s="75">
        <f t="shared" ca="1" si="193"/>
        <v>8.5438888305215989E-3</v>
      </c>
      <c r="AD162" s="74">
        <v>8882756</v>
      </c>
      <c r="AE162" s="75">
        <f t="shared" ca="1" si="194"/>
        <v>1.0510181948931028E-2</v>
      </c>
      <c r="AF162" s="76">
        <f t="shared" ca="1" si="195"/>
        <v>220506771.71000016</v>
      </c>
    </row>
    <row r="163" spans="5:65" x14ac:dyDescent="0.4">
      <c r="E163" s="22" t="s">
        <v>22</v>
      </c>
      <c r="F163" s="74">
        <v>134</v>
      </c>
      <c r="G163" s="75">
        <f t="shared" ca="1" si="196"/>
        <v>5.3726795236758752E-3</v>
      </c>
      <c r="H163" s="74">
        <v>710</v>
      </c>
      <c r="I163" s="75">
        <f t="shared" ca="1" si="197"/>
        <v>1.1946627181100773E-2</v>
      </c>
      <c r="J163" s="74">
        <v>220</v>
      </c>
      <c r="K163" s="75">
        <f t="shared" ca="1" si="198"/>
        <v>1.4049428443706494E-2</v>
      </c>
      <c r="L163" s="74">
        <v>344</v>
      </c>
      <c r="M163" s="75">
        <f t="shared" ca="1" si="199"/>
        <v>1.7982226868792472E-2</v>
      </c>
      <c r="N163" s="76">
        <f t="shared" ca="1" si="190"/>
        <v>1408</v>
      </c>
      <c r="W163" s="22" t="s">
        <v>22</v>
      </c>
      <c r="X163" s="74">
        <v>17443810</v>
      </c>
      <c r="Y163" s="75">
        <f t="shared" ca="1" si="191"/>
        <v>4.9571949538800026E-3</v>
      </c>
      <c r="Z163" s="74">
        <v>82072432.13000004</v>
      </c>
      <c r="AA163" s="75">
        <f t="shared" ca="1" si="192"/>
        <v>7.7182821651512624E-3</v>
      </c>
      <c r="AB163" s="74">
        <v>24548694.670000002</v>
      </c>
      <c r="AC163" s="75">
        <f t="shared" ca="1" si="193"/>
        <v>6.5061292939394581E-3</v>
      </c>
      <c r="AD163" s="74">
        <v>5439002</v>
      </c>
      <c r="AE163" s="75">
        <f t="shared" ca="1" si="194"/>
        <v>6.4354914894205984E-3</v>
      </c>
      <c r="AF163" s="76">
        <f t="shared" ca="1" si="195"/>
        <v>129503938.80000004</v>
      </c>
    </row>
    <row r="164" spans="5:65" x14ac:dyDescent="0.4">
      <c r="E164" s="22" t="s">
        <v>23</v>
      </c>
      <c r="F164" s="74">
        <v>70</v>
      </c>
      <c r="G164" s="75">
        <f t="shared" ca="1" si="196"/>
        <v>2.8066236317709796E-3</v>
      </c>
      <c r="H164" s="74">
        <v>456</v>
      </c>
      <c r="I164" s="75">
        <f t="shared" ca="1" si="197"/>
        <v>7.6727633726506369E-3</v>
      </c>
      <c r="J164" s="74">
        <v>162</v>
      </c>
      <c r="K164" s="75">
        <f t="shared" ca="1" si="198"/>
        <v>1.0345488217638419E-2</v>
      </c>
      <c r="L164" s="74">
        <v>303</v>
      </c>
      <c r="M164" s="75">
        <f t="shared" ca="1" si="199"/>
        <v>1.5838996340825928E-2</v>
      </c>
      <c r="N164" s="76">
        <f t="shared" ca="1" si="190"/>
        <v>991</v>
      </c>
      <c r="W164" s="22" t="s">
        <v>23</v>
      </c>
      <c r="X164" s="74">
        <v>5926055</v>
      </c>
      <c r="Y164" s="75">
        <f t="shared" ca="1" si="191"/>
        <v>1.6840707358321007E-3</v>
      </c>
      <c r="Z164" s="74">
        <v>59643710.720000006</v>
      </c>
      <c r="AA164" s="75">
        <f t="shared" ca="1" si="192"/>
        <v>5.6090331036424343E-3</v>
      </c>
      <c r="AB164" s="74">
        <v>17799718.640000001</v>
      </c>
      <c r="AC164" s="75">
        <f t="shared" ca="1" si="193"/>
        <v>4.717451270804543E-3</v>
      </c>
      <c r="AD164" s="74">
        <v>4923660</v>
      </c>
      <c r="AE164" s="75">
        <f t="shared" ca="1" si="194"/>
        <v>5.8257327404550733E-3</v>
      </c>
      <c r="AF164" s="76">
        <f t="shared" ca="1" si="195"/>
        <v>88293144.360000014</v>
      </c>
    </row>
    <row r="165" spans="5:65" x14ac:dyDescent="0.4">
      <c r="E165" s="23" t="s">
        <v>24</v>
      </c>
      <c r="F165" s="77">
        <v>565</v>
      </c>
      <c r="G165" s="78">
        <f t="shared" ca="1" si="196"/>
        <v>2.2653462170722907E-2</v>
      </c>
      <c r="H165" s="77">
        <v>1852</v>
      </c>
      <c r="I165" s="78">
        <f t="shared" ca="1" si="197"/>
        <v>3.1162188083660041E-2</v>
      </c>
      <c r="J165" s="77">
        <v>760</v>
      </c>
      <c r="K165" s="78">
        <f t="shared" ca="1" si="198"/>
        <v>4.8534389169167892E-2</v>
      </c>
      <c r="L165" s="77">
        <v>1725</v>
      </c>
      <c r="M165" s="78">
        <f t="shared" ca="1" si="199"/>
        <v>9.0172503920543642E-2</v>
      </c>
      <c r="N165" s="79">
        <f t="shared" ca="1" si="190"/>
        <v>4902</v>
      </c>
      <c r="W165" s="23" t="s">
        <v>24</v>
      </c>
      <c r="X165" s="77">
        <v>70398124</v>
      </c>
      <c r="Y165" s="78">
        <f t="shared" ca="1" si="191"/>
        <v>2.0005791455847015E-2</v>
      </c>
      <c r="Z165" s="77">
        <v>186364062.33000007</v>
      </c>
      <c r="AA165" s="78">
        <f t="shared" ca="1" si="192"/>
        <v>1.7526109330211911E-2</v>
      </c>
      <c r="AB165" s="77">
        <v>70356197.650000006</v>
      </c>
      <c r="AC165" s="78">
        <f t="shared" ca="1" si="193"/>
        <v>1.864647080808959E-2</v>
      </c>
      <c r="AD165" s="77">
        <v>41594294</v>
      </c>
      <c r="AE165" s="78">
        <f t="shared" ca="1" si="194"/>
        <v>4.9214860565496808E-2</v>
      </c>
      <c r="AF165" s="79">
        <f t="shared" ca="1" si="195"/>
        <v>368712677.98000008</v>
      </c>
    </row>
    <row r="166" spans="5:65" x14ac:dyDescent="0.4">
      <c r="E166" s="27" t="s">
        <v>25</v>
      </c>
      <c r="F166" s="80">
        <f ca="1">SUM(F158:F165)</f>
        <v>24941</v>
      </c>
      <c r="G166" s="81">
        <f t="shared" ca="1" si="196"/>
        <v>1</v>
      </c>
      <c r="H166" s="80">
        <f ca="1">SUM(H158:H165)</f>
        <v>59431</v>
      </c>
      <c r="I166" s="81">
        <f t="shared" ca="1" si="197"/>
        <v>1</v>
      </c>
      <c r="J166" s="80">
        <f ca="1">SUM(J158:J165)</f>
        <v>15659</v>
      </c>
      <c r="K166" s="81">
        <f t="shared" ca="1" si="198"/>
        <v>1</v>
      </c>
      <c r="L166" s="80">
        <f ca="1">SUM(L158:L165)</f>
        <v>19130</v>
      </c>
      <c r="M166" s="81">
        <f t="shared" ca="1" si="199"/>
        <v>1</v>
      </c>
      <c r="N166" s="82">
        <f t="shared" ca="1" si="190"/>
        <v>119161</v>
      </c>
      <c r="W166" s="27" t="s">
        <v>25</v>
      </c>
      <c r="X166" s="80">
        <f ca="1">SUM(X158:X165)</f>
        <v>3518887226</v>
      </c>
      <c r="Y166" s="81">
        <f t="shared" ca="1" si="191"/>
        <v>1</v>
      </c>
      <c r="Z166" s="80">
        <f ca="1">SUM(Z158:Z165)</f>
        <v>10633510200.050013</v>
      </c>
      <c r="AA166" s="81">
        <f ca="1">Z166/$Z$166</f>
        <v>1</v>
      </c>
      <c r="AB166" s="80">
        <f ca="1">SUM(AB158:AB165)</f>
        <v>3773164282.6199937</v>
      </c>
      <c r="AC166" s="81">
        <f ca="1">AB166/$AB$166</f>
        <v>1</v>
      </c>
      <c r="AD166" s="80">
        <f ca="1">SUM(AD158:AD165)</f>
        <v>845157205</v>
      </c>
      <c r="AE166" s="81">
        <f ca="1">AD166/$AD$166</f>
        <v>1</v>
      </c>
      <c r="AF166" s="82">
        <f t="shared" ca="1" si="195"/>
        <v>18770718913.670006</v>
      </c>
    </row>
    <row r="167" spans="5:65" x14ac:dyDescent="0.4">
      <c r="E167" s="83" t="s">
        <v>26</v>
      </c>
      <c r="F167" s="33">
        <f ca="1">F166/$N$166</f>
        <v>0.20930505786289139</v>
      </c>
      <c r="G167" s="33"/>
      <c r="H167" s="33">
        <f ca="1">H166/$N$166</f>
        <v>0.49874539488591063</v>
      </c>
      <c r="I167" s="33"/>
      <c r="J167" s="33">
        <f ca="1">J166/$N$166</f>
        <v>0.1314104446924749</v>
      </c>
      <c r="K167" s="33"/>
      <c r="L167" s="33">
        <f ca="1">L166/$N$166</f>
        <v>0.16053910255872308</v>
      </c>
      <c r="M167" s="33"/>
      <c r="N167" s="84">
        <f ca="1">N166/N166</f>
        <v>1</v>
      </c>
      <c r="W167" s="83" t="s">
        <v>26</v>
      </c>
      <c r="X167" s="33">
        <f ca="1">X166/$AF$166</f>
        <v>0.18746683289990174</v>
      </c>
      <c r="Y167" s="33"/>
      <c r="Z167" s="33">
        <f ca="1">Z166/$AF$166</f>
        <v>0.5664945625660629</v>
      </c>
      <c r="AA167" s="33"/>
      <c r="AB167" s="33">
        <f ca="1">AB166/$AF$166</f>
        <v>0.20101330694756397</v>
      </c>
      <c r="AC167" s="33"/>
      <c r="AD167" s="33">
        <f ca="1">AD166/$AF$166</f>
        <v>4.5025297586471447E-2</v>
      </c>
      <c r="AE167" s="33"/>
      <c r="AF167" s="84">
        <f ca="1">AF166/AF166</f>
        <v>1</v>
      </c>
    </row>
    <row r="169" spans="5:65" x14ac:dyDescent="0.4">
      <c r="E169" s="67" t="s">
        <v>40</v>
      </c>
      <c r="F169" s="68"/>
      <c r="G169" s="68"/>
      <c r="H169" s="68"/>
      <c r="I169" s="68"/>
      <c r="J169" s="68"/>
      <c r="K169" s="68"/>
      <c r="L169" s="68"/>
      <c r="M169" s="68"/>
      <c r="N169" s="69"/>
      <c r="W169" s="67" t="s">
        <v>40</v>
      </c>
      <c r="X169" s="68"/>
      <c r="Y169" s="68"/>
      <c r="Z169" s="68"/>
      <c r="AA169" s="68"/>
      <c r="AB169" s="68"/>
      <c r="AC169" s="68"/>
      <c r="AD169" s="68"/>
      <c r="AE169" s="68"/>
      <c r="AF169" s="69"/>
      <c r="AM169" s="67" t="s">
        <v>41</v>
      </c>
      <c r="AN169" s="68"/>
      <c r="AO169" s="68"/>
      <c r="AP169" s="68"/>
      <c r="AQ169" s="68"/>
      <c r="AR169" s="68"/>
      <c r="AS169" s="68"/>
      <c r="AT169" s="68"/>
      <c r="AU169" s="68"/>
      <c r="AV169" s="69"/>
      <c r="BD169" s="67" t="s">
        <v>41</v>
      </c>
      <c r="BE169" s="68"/>
      <c r="BF169" s="68"/>
      <c r="BG169" s="68"/>
      <c r="BH169" s="68"/>
      <c r="BI169" s="68"/>
      <c r="BJ169" s="68"/>
      <c r="BK169" s="68"/>
      <c r="BL169" s="68"/>
      <c r="BM169" s="69"/>
    </row>
    <row r="170" spans="5:65" ht="21" customHeight="1" x14ac:dyDescent="0.4">
      <c r="E170" s="70"/>
      <c r="F170" s="71" t="s">
        <v>36</v>
      </c>
      <c r="G170" s="71"/>
      <c r="H170" s="71" t="s">
        <v>37</v>
      </c>
      <c r="I170" s="71"/>
      <c r="J170" s="71" t="s">
        <v>38</v>
      </c>
      <c r="K170" s="71"/>
      <c r="L170" s="71" t="s">
        <v>39</v>
      </c>
      <c r="M170" s="71"/>
      <c r="N170" s="7" t="s">
        <v>10</v>
      </c>
      <c r="W170" s="70"/>
      <c r="X170" s="71" t="s">
        <v>36</v>
      </c>
      <c r="Y170" s="71"/>
      <c r="Z170" s="71" t="s">
        <v>37</v>
      </c>
      <c r="AA170" s="71"/>
      <c r="AB170" s="71" t="s">
        <v>38</v>
      </c>
      <c r="AC170" s="71"/>
      <c r="AD170" s="71" t="s">
        <v>39</v>
      </c>
      <c r="AE170" s="71"/>
      <c r="AF170" s="7" t="s">
        <v>10</v>
      </c>
      <c r="AM170" s="70"/>
      <c r="AN170" s="71" t="s">
        <v>36</v>
      </c>
      <c r="AO170" s="71"/>
      <c r="AP170" s="71" t="s">
        <v>37</v>
      </c>
      <c r="AQ170" s="71"/>
      <c r="AR170" s="71" t="s">
        <v>38</v>
      </c>
      <c r="AS170" s="71"/>
      <c r="AT170" s="71" t="s">
        <v>39</v>
      </c>
      <c r="AU170" s="71"/>
      <c r="AV170" s="7" t="s">
        <v>10</v>
      </c>
      <c r="BD170" s="70"/>
      <c r="BE170" s="71" t="s">
        <v>36</v>
      </c>
      <c r="BF170" s="71"/>
      <c r="BG170" s="71" t="s">
        <v>37</v>
      </c>
      <c r="BH170" s="71"/>
      <c r="BI170" s="71" t="s">
        <v>38</v>
      </c>
      <c r="BJ170" s="71"/>
      <c r="BK170" s="71" t="s">
        <v>39</v>
      </c>
      <c r="BL170" s="71"/>
      <c r="BM170" s="7" t="s">
        <v>10</v>
      </c>
    </row>
    <row r="171" spans="5:65" x14ac:dyDescent="0.4">
      <c r="E171" s="8" t="s">
        <v>11</v>
      </c>
      <c r="F171" s="8" t="s">
        <v>12</v>
      </c>
      <c r="G171" s="8" t="s">
        <v>13</v>
      </c>
      <c r="H171" s="8" t="s">
        <v>12</v>
      </c>
      <c r="I171" s="8" t="s">
        <v>13</v>
      </c>
      <c r="J171" s="8" t="s">
        <v>12</v>
      </c>
      <c r="K171" s="8" t="s">
        <v>13</v>
      </c>
      <c r="L171" s="8" t="s">
        <v>12</v>
      </c>
      <c r="M171" s="8" t="s">
        <v>13</v>
      </c>
      <c r="N171" s="7"/>
      <c r="W171" s="8" t="s">
        <v>11</v>
      </c>
      <c r="X171" s="8" t="s">
        <v>14</v>
      </c>
      <c r="Y171" s="8" t="s">
        <v>13</v>
      </c>
      <c r="Z171" s="8" t="s">
        <v>14</v>
      </c>
      <c r="AA171" s="8" t="s">
        <v>13</v>
      </c>
      <c r="AB171" s="8" t="s">
        <v>14</v>
      </c>
      <c r="AC171" s="8" t="s">
        <v>13</v>
      </c>
      <c r="AD171" s="8" t="s">
        <v>14</v>
      </c>
      <c r="AE171" s="8" t="s">
        <v>13</v>
      </c>
      <c r="AF171" s="7"/>
      <c r="AM171" s="8" t="s">
        <v>11</v>
      </c>
      <c r="AN171" s="8" t="s">
        <v>12</v>
      </c>
      <c r="AO171" s="8" t="s">
        <v>13</v>
      </c>
      <c r="AP171" s="8" t="s">
        <v>12</v>
      </c>
      <c r="AQ171" s="8" t="s">
        <v>13</v>
      </c>
      <c r="AR171" s="8" t="s">
        <v>12</v>
      </c>
      <c r="AS171" s="8" t="s">
        <v>13</v>
      </c>
      <c r="AT171" s="8" t="s">
        <v>12</v>
      </c>
      <c r="AU171" s="8" t="s">
        <v>13</v>
      </c>
      <c r="AV171" s="7"/>
      <c r="BD171" s="8" t="s">
        <v>11</v>
      </c>
      <c r="BE171" s="8" t="s">
        <v>14</v>
      </c>
      <c r="BF171" s="8" t="s">
        <v>13</v>
      </c>
      <c r="BG171" s="8" t="s">
        <v>14</v>
      </c>
      <c r="BH171" s="8" t="s">
        <v>13</v>
      </c>
      <c r="BI171" s="8" t="s">
        <v>14</v>
      </c>
      <c r="BJ171" s="8" t="s">
        <v>13</v>
      </c>
      <c r="BK171" s="8" t="s">
        <v>14</v>
      </c>
      <c r="BL171" s="8" t="s">
        <v>13</v>
      </c>
      <c r="BM171" s="7"/>
    </row>
    <row r="172" spans="5:65" x14ac:dyDescent="0.4">
      <c r="E172" s="9" t="s">
        <v>15</v>
      </c>
      <c r="F172" s="72">
        <v>209</v>
      </c>
      <c r="G172" s="73">
        <f ca="1">F172/F$182</f>
        <v>0.57734806629834257</v>
      </c>
      <c r="H172" s="72">
        <v>1292</v>
      </c>
      <c r="I172" s="73">
        <f ca="1">H172/H$182</f>
        <v>0.62627241880756179</v>
      </c>
      <c r="J172" s="72">
        <v>301</v>
      </c>
      <c r="K172" s="73">
        <f ca="1">J172/J$182</f>
        <v>0.68721461187214616</v>
      </c>
      <c r="L172" s="72">
        <v>277</v>
      </c>
      <c r="M172" s="73">
        <f ca="1">L172/L$182</f>
        <v>0.63972286374133946</v>
      </c>
      <c r="N172" s="60">
        <f ca="1">SUM(F172,H172,J172,L172)</f>
        <v>2079</v>
      </c>
      <c r="W172" s="9" t="s">
        <v>15</v>
      </c>
      <c r="X172" s="72">
        <v>30617050</v>
      </c>
      <c r="Y172" s="73">
        <f ca="1">X172/X$182</f>
        <v>0.6833639898410454</v>
      </c>
      <c r="Z172" s="72">
        <v>298959989.36999995</v>
      </c>
      <c r="AA172" s="73">
        <f ca="1">Z172/Z$182</f>
        <v>0.7045043627480625</v>
      </c>
      <c r="AB172" s="72">
        <v>137621183.09999996</v>
      </c>
      <c r="AC172" s="73">
        <f t="shared" ref="AC172:AC182" ca="1" si="200">AB172/AB$182</f>
        <v>0.83853980345850321</v>
      </c>
      <c r="AD172" s="72">
        <v>6032445</v>
      </c>
      <c r="AE172" s="73">
        <f t="shared" ref="AE172:AE182" ca="1" si="201">AD172/AD$182</f>
        <v>0.67381413216416441</v>
      </c>
      <c r="AF172" s="60">
        <f ca="1">SUM(X172,Z172,AB172,AD172)</f>
        <v>473230667.46999991</v>
      </c>
      <c r="AM172" s="35" t="s">
        <v>15</v>
      </c>
      <c r="AN172" s="85">
        <v>209</v>
      </c>
      <c r="AO172" s="86">
        <f ca="1">AN172/AN$182</f>
        <v>0.57734806629834257</v>
      </c>
      <c r="AP172" s="85">
        <v>1292</v>
      </c>
      <c r="AQ172" s="86">
        <f ca="1">AP172/AP$182</f>
        <v>0.62627241880756179</v>
      </c>
      <c r="AR172" s="85">
        <v>301</v>
      </c>
      <c r="AS172" s="86">
        <f ca="1">AR172/AR$182</f>
        <v>0.68721461187214616</v>
      </c>
      <c r="AT172" s="85">
        <v>277</v>
      </c>
      <c r="AU172" s="86">
        <f ca="1">AT172/AT$182</f>
        <v>0.63972286374133946</v>
      </c>
      <c r="AV172" s="61">
        <f ca="1">SUM(AN172,AP172,AR172,AT172)</f>
        <v>2079</v>
      </c>
      <c r="BD172" s="35" t="s">
        <v>15</v>
      </c>
      <c r="BE172" s="85">
        <v>30617050</v>
      </c>
      <c r="BF172" s="86">
        <f ca="1">BE172/BE$182</f>
        <v>0.6833639898410454</v>
      </c>
      <c r="BG172" s="85">
        <v>298959989.36999995</v>
      </c>
      <c r="BH172" s="86">
        <f ca="1">BG172/BG$182</f>
        <v>0.7045043627480625</v>
      </c>
      <c r="BI172" s="85">
        <v>137621183.09999996</v>
      </c>
      <c r="BJ172" s="86">
        <f t="shared" ref="BJ172:BJ182" ca="1" si="202">BI172/BI$182</f>
        <v>0.83853980345850321</v>
      </c>
      <c r="BK172" s="85">
        <v>6034442</v>
      </c>
      <c r="BL172" s="86">
        <f t="shared" ref="BL172:BL182" ca="1" si="203">BK172/BK$182</f>
        <v>0.67419383094146501</v>
      </c>
      <c r="BM172" s="61">
        <f ca="1">SUM(BE172,BG172,BI172,BK172)</f>
        <v>473232664.46999991</v>
      </c>
    </row>
    <row r="173" spans="5:65" x14ac:dyDescent="0.4">
      <c r="E173" s="14" t="s">
        <v>16</v>
      </c>
      <c r="F173" s="74">
        <v>90</v>
      </c>
      <c r="G173" s="75">
        <f ca="1">F173/F$182</f>
        <v>0.24861878453038674</v>
      </c>
      <c r="H173" s="74">
        <v>614</v>
      </c>
      <c r="I173" s="75">
        <f ca="1">H173/H$182</f>
        <v>0.29762481822588466</v>
      </c>
      <c r="J173" s="74">
        <v>105</v>
      </c>
      <c r="K173" s="75">
        <f ca="1">J173/J$182</f>
        <v>0.23972602739726026</v>
      </c>
      <c r="L173" s="74">
        <v>127</v>
      </c>
      <c r="M173" s="75">
        <f ca="1">L173/L$182</f>
        <v>0.29330254041570436</v>
      </c>
      <c r="N173" s="76">
        <f t="shared" ref="N173:N182" ca="1" si="204">SUM(F173,H173,J173,L173)</f>
        <v>936</v>
      </c>
      <c r="W173" s="14" t="s">
        <v>16</v>
      </c>
      <c r="X173" s="74">
        <v>7814200</v>
      </c>
      <c r="Y173" s="75">
        <f ca="1">X173/X$182</f>
        <v>0.17441075771231707</v>
      </c>
      <c r="Z173" s="74">
        <v>104288354.15000001</v>
      </c>
      <c r="AA173" s="75">
        <f ca="1">Z173/Z$182</f>
        <v>0.24575730229759885</v>
      </c>
      <c r="AB173" s="74">
        <v>22899511.629999992</v>
      </c>
      <c r="AC173" s="75">
        <f t="shared" ca="1" si="200"/>
        <v>0.13952904305119221</v>
      </c>
      <c r="AD173" s="74">
        <v>2649317</v>
      </c>
      <c r="AE173" s="75">
        <f t="shared" ca="1" si="201"/>
        <v>0.29592432839135169</v>
      </c>
      <c r="AF173" s="76">
        <f t="shared" ref="AF173:AF182" ca="1" si="205">SUM(X173,Z173,AB173,AD173)</f>
        <v>137651382.78</v>
      </c>
      <c r="AM173" s="39" t="s">
        <v>16</v>
      </c>
      <c r="AN173" s="87">
        <v>90</v>
      </c>
      <c r="AO173" s="88">
        <f ca="1">AN173/AN$182</f>
        <v>0.24861878453038674</v>
      </c>
      <c r="AP173" s="87">
        <v>614</v>
      </c>
      <c r="AQ173" s="88">
        <f ca="1">AP173/AP$182</f>
        <v>0.29762481822588466</v>
      </c>
      <c r="AR173" s="87">
        <v>105</v>
      </c>
      <c r="AS173" s="88">
        <f ca="1">AR173/AR$182</f>
        <v>0.23972602739726026</v>
      </c>
      <c r="AT173" s="87">
        <v>127</v>
      </c>
      <c r="AU173" s="88">
        <f ca="1">AT173/AT$182</f>
        <v>0.29330254041570436</v>
      </c>
      <c r="AV173" s="89">
        <f t="shared" ref="AV173:AV182" ca="1" si="206">SUM(AN173,AP173,AR173,AT173)</f>
        <v>936</v>
      </c>
      <c r="BD173" s="39" t="s">
        <v>16</v>
      </c>
      <c r="BE173" s="87">
        <v>7814200</v>
      </c>
      <c r="BF173" s="88">
        <f ca="1">BE173/BE$182</f>
        <v>0.17441075771231707</v>
      </c>
      <c r="BG173" s="87">
        <v>104288354.15000001</v>
      </c>
      <c r="BH173" s="88">
        <f ca="1">BG173/BG$182</f>
        <v>0.24575730229759885</v>
      </c>
      <c r="BI173" s="87">
        <v>22899511.629999992</v>
      </c>
      <c r="BJ173" s="88">
        <f t="shared" ca="1" si="202"/>
        <v>0.13952904305119221</v>
      </c>
      <c r="BK173" s="87">
        <v>2645240</v>
      </c>
      <c r="BL173" s="88">
        <f t="shared" ca="1" si="203"/>
        <v>0.29553759723924777</v>
      </c>
      <c r="BM173" s="89">
        <f t="shared" ref="BM173:BM182" ca="1" si="207">SUM(BE173,BG173,BI173,BK173)</f>
        <v>137647305.78</v>
      </c>
    </row>
    <row r="174" spans="5:65" x14ac:dyDescent="0.4">
      <c r="E174" s="18" t="s">
        <v>17</v>
      </c>
      <c r="F174" s="19">
        <f ca="1">+SUM(F172:F173)</f>
        <v>299</v>
      </c>
      <c r="G174" s="20">
        <f ca="1">+F174/$F$182</f>
        <v>0.82596685082872923</v>
      </c>
      <c r="H174" s="19">
        <f ca="1">+SUM(H172:H173)</f>
        <v>1906</v>
      </c>
      <c r="I174" s="20">
        <f ca="1">+H174/$H$182</f>
        <v>0.92389723703344639</v>
      </c>
      <c r="J174" s="19">
        <f ca="1">+SUM(J172:J173)</f>
        <v>406</v>
      </c>
      <c r="K174" s="20">
        <f ca="1">+J174/$J$182</f>
        <v>0.9269406392694064</v>
      </c>
      <c r="L174" s="19">
        <f ca="1">+SUM(L172:L173)</f>
        <v>404</v>
      </c>
      <c r="M174" s="20">
        <f ca="1">+L174/$L$182</f>
        <v>0.93302540415704383</v>
      </c>
      <c r="N174" s="21">
        <f t="shared" ca="1" si="204"/>
        <v>3015</v>
      </c>
      <c r="W174" s="18" t="s">
        <v>17</v>
      </c>
      <c r="X174" s="19">
        <f ca="1">+SUM(X172:X173)</f>
        <v>38431250</v>
      </c>
      <c r="Y174" s="20">
        <f ca="1">X174/X$182</f>
        <v>0.85777474755336247</v>
      </c>
      <c r="Z174" s="19">
        <f ca="1">+SUM(Z172:Z173)</f>
        <v>403248343.51999998</v>
      </c>
      <c r="AA174" s="20">
        <f ca="1">Z174/Z$182</f>
        <v>0.95026166504566134</v>
      </c>
      <c r="AB174" s="19">
        <f ca="1">+SUM(AB172:AB173)</f>
        <v>160520694.72999996</v>
      </c>
      <c r="AC174" s="20">
        <f t="shared" ca="1" si="200"/>
        <v>0.9780688465096955</v>
      </c>
      <c r="AD174" s="19">
        <f ca="1">+SUM(AD172:AD173)</f>
        <v>8681762</v>
      </c>
      <c r="AE174" s="20">
        <f t="shared" ca="1" si="201"/>
        <v>0.96973846055551605</v>
      </c>
      <c r="AF174" s="21">
        <f t="shared" ca="1" si="205"/>
        <v>610882050.25</v>
      </c>
      <c r="AM174" s="43" t="s">
        <v>17</v>
      </c>
      <c r="AN174" s="44">
        <f ca="1">+SUM(AN172:AN173)</f>
        <v>299</v>
      </c>
      <c r="AO174" s="45">
        <f ca="1">AN174/AN$182</f>
        <v>0.82596685082872923</v>
      </c>
      <c r="AP174" s="44">
        <f ca="1">+SUM(AP172:AP173)</f>
        <v>1906</v>
      </c>
      <c r="AQ174" s="45">
        <f ca="1">AP174/AP$182</f>
        <v>0.92389723703344639</v>
      </c>
      <c r="AR174" s="44">
        <f ca="1">+SUM(AR172:AR173)</f>
        <v>406</v>
      </c>
      <c r="AS174" s="45">
        <f ca="1">AR174/AR$182</f>
        <v>0.9269406392694064</v>
      </c>
      <c r="AT174" s="44">
        <f ca="1">+SUM(AT172:AT173)</f>
        <v>404</v>
      </c>
      <c r="AU174" s="45">
        <f ca="1">AT174/AT$182</f>
        <v>0.93302540415704383</v>
      </c>
      <c r="AV174" s="46">
        <f t="shared" ca="1" si="206"/>
        <v>3015</v>
      </c>
      <c r="BD174" s="43" t="s">
        <v>17</v>
      </c>
      <c r="BE174" s="44">
        <f ca="1">+SUM(BE172:BE173)</f>
        <v>38431250</v>
      </c>
      <c r="BF174" s="45">
        <f ca="1">BE174/BE$182</f>
        <v>0.85777474755336247</v>
      </c>
      <c r="BG174" s="44">
        <f ca="1">+SUM(BG172:BG173)</f>
        <v>403248343.51999998</v>
      </c>
      <c r="BH174" s="45">
        <f ca="1">BG174/BG$182</f>
        <v>0.95026166504566134</v>
      </c>
      <c r="BI174" s="44">
        <f ca="1">+SUM(BI172:BI173)</f>
        <v>160520694.72999996</v>
      </c>
      <c r="BJ174" s="45">
        <f t="shared" ca="1" si="202"/>
        <v>0.9780688465096955</v>
      </c>
      <c r="BK174" s="44">
        <f ca="1">+SUM(BK172:BK173)</f>
        <v>8679682</v>
      </c>
      <c r="BL174" s="45">
        <f t="shared" ca="1" si="203"/>
        <v>0.96973142818071267</v>
      </c>
      <c r="BM174" s="46">
        <f t="shared" ca="1" si="207"/>
        <v>610879970.25</v>
      </c>
    </row>
    <row r="175" spans="5:65" x14ac:dyDescent="0.4">
      <c r="E175" s="22" t="s">
        <v>18</v>
      </c>
      <c r="F175" s="74">
        <v>62</v>
      </c>
      <c r="G175" s="75">
        <f t="shared" ref="G175:G182" ca="1" si="208">F175/F$182</f>
        <v>0.17127071823204421</v>
      </c>
      <c r="H175" s="74">
        <v>124</v>
      </c>
      <c r="I175" s="75">
        <f t="shared" ref="I175:I182" ca="1" si="209">H175/H$182</f>
        <v>6.0106640814348036E-2</v>
      </c>
      <c r="J175" s="74">
        <v>21</v>
      </c>
      <c r="K175" s="75">
        <f t="shared" ref="K175:K182" ca="1" si="210">J175/J$182</f>
        <v>4.7945205479452052E-2</v>
      </c>
      <c r="L175" s="74">
        <v>24</v>
      </c>
      <c r="M175" s="75">
        <f t="shared" ref="M175:M182" ca="1" si="211">L175/L$182</f>
        <v>5.5427251732101619E-2</v>
      </c>
      <c r="N175" s="76">
        <f t="shared" ca="1" si="204"/>
        <v>231</v>
      </c>
      <c r="W175" s="22" t="s">
        <v>18</v>
      </c>
      <c r="X175" s="74">
        <v>6322179</v>
      </c>
      <c r="Y175" s="75">
        <f t="shared" ref="Y175:AA182" ca="1" si="212">X175/X$182</f>
        <v>0.14110926643583463</v>
      </c>
      <c r="Z175" s="74">
        <v>16423022.669999998</v>
      </c>
      <c r="AA175" s="75">
        <f t="shared" ca="1" si="212"/>
        <v>3.8701135710190016E-2</v>
      </c>
      <c r="AB175" s="74">
        <v>2426275.1</v>
      </c>
      <c r="AC175" s="75">
        <f t="shared" ca="1" si="200"/>
        <v>1.4783539856737802E-2</v>
      </c>
      <c r="AD175" s="74">
        <v>247043</v>
      </c>
      <c r="AE175" s="75">
        <f t="shared" ca="1" si="201"/>
        <v>2.7594294627175494E-2</v>
      </c>
      <c r="AF175" s="76">
        <f t="shared" ca="1" si="205"/>
        <v>25418519.77</v>
      </c>
      <c r="AM175" s="47" t="s">
        <v>18</v>
      </c>
      <c r="AN175" s="87">
        <v>62</v>
      </c>
      <c r="AO175" s="88">
        <f t="shared" ref="AO175:AO182" ca="1" si="213">AN175/AN$182</f>
        <v>0.17127071823204421</v>
      </c>
      <c r="AP175" s="87">
        <v>124</v>
      </c>
      <c r="AQ175" s="88">
        <f t="shared" ref="AQ175:AQ182" ca="1" si="214">AP175/AP$182</f>
        <v>6.0106640814348036E-2</v>
      </c>
      <c r="AR175" s="87">
        <v>21</v>
      </c>
      <c r="AS175" s="88">
        <f t="shared" ref="AS175:AS182" ca="1" si="215">AR175/AR$182</f>
        <v>4.7945205479452052E-2</v>
      </c>
      <c r="AT175" s="87">
        <v>24</v>
      </c>
      <c r="AU175" s="88">
        <f t="shared" ref="AU175:AU182" ca="1" si="216">AT175/AT$182</f>
        <v>5.5427251732101619E-2</v>
      </c>
      <c r="AV175" s="89">
        <f t="shared" ca="1" si="206"/>
        <v>231</v>
      </c>
      <c r="BD175" s="47" t="s">
        <v>18</v>
      </c>
      <c r="BE175" s="87">
        <v>6322179</v>
      </c>
      <c r="BF175" s="88">
        <f t="shared" ref="BF175:BF182" ca="1" si="217">BE175/BE$182</f>
        <v>0.14110926643583463</v>
      </c>
      <c r="BG175" s="87">
        <v>16423022.669999998</v>
      </c>
      <c r="BH175" s="88">
        <f t="shared" ref="BH175:BH181" ca="1" si="218">BG175/BG$182</f>
        <v>3.8701135710190016E-2</v>
      </c>
      <c r="BI175" s="87">
        <v>2426275.1</v>
      </c>
      <c r="BJ175" s="88">
        <f t="shared" ca="1" si="202"/>
        <v>1.4783539856737802E-2</v>
      </c>
      <c r="BK175" s="87">
        <v>247043</v>
      </c>
      <c r="BL175" s="88">
        <f t="shared" ca="1" si="203"/>
        <v>2.7600707170152988E-2</v>
      </c>
      <c r="BM175" s="89">
        <f t="shared" ca="1" si="207"/>
        <v>25418519.77</v>
      </c>
    </row>
    <row r="176" spans="5:65" x14ac:dyDescent="0.4">
      <c r="E176" s="22" t="s">
        <v>19</v>
      </c>
      <c r="F176" s="74">
        <v>1</v>
      </c>
      <c r="G176" s="75">
        <f t="shared" ca="1" si="208"/>
        <v>2.7624309392265192E-3</v>
      </c>
      <c r="H176" s="74">
        <v>33</v>
      </c>
      <c r="I176" s="75">
        <f t="shared" ca="1" si="209"/>
        <v>1.5996122152205527E-2</v>
      </c>
      <c r="J176" s="74">
        <v>11</v>
      </c>
      <c r="K176" s="75">
        <f t="shared" ca="1" si="210"/>
        <v>2.5114155251141551E-2</v>
      </c>
      <c r="L176" s="74">
        <v>5</v>
      </c>
      <c r="M176" s="75">
        <f t="shared" ca="1" si="211"/>
        <v>1.1547344110854504E-2</v>
      </c>
      <c r="N176" s="76">
        <f t="shared" ca="1" si="204"/>
        <v>50</v>
      </c>
      <c r="W176" s="22" t="s">
        <v>19</v>
      </c>
      <c r="X176" s="74">
        <v>50000</v>
      </c>
      <c r="Y176" s="75">
        <f t="shared" ca="1" si="212"/>
        <v>1.1159860108028786E-3</v>
      </c>
      <c r="Z176" s="74">
        <v>4683691.3199999994</v>
      </c>
      <c r="AA176" s="75">
        <f t="shared" ca="1" si="212"/>
        <v>1.1037199244148581E-2</v>
      </c>
      <c r="AB176" s="74">
        <v>1173066.6100000001</v>
      </c>
      <c r="AC176" s="75">
        <f t="shared" ca="1" si="200"/>
        <v>7.1476136335666554E-3</v>
      </c>
      <c r="AD176" s="74">
        <v>23879</v>
      </c>
      <c r="AE176" s="75">
        <f t="shared" ca="1" si="201"/>
        <v>2.6672448173084185E-3</v>
      </c>
      <c r="AF176" s="76">
        <f t="shared" ca="1" si="205"/>
        <v>5930636.9299999997</v>
      </c>
      <c r="AM176" s="47" t="s">
        <v>19</v>
      </c>
      <c r="AN176" s="87">
        <v>1</v>
      </c>
      <c r="AO176" s="88">
        <f t="shared" ca="1" si="213"/>
        <v>2.7624309392265192E-3</v>
      </c>
      <c r="AP176" s="87">
        <v>33</v>
      </c>
      <c r="AQ176" s="88">
        <f t="shared" ca="1" si="214"/>
        <v>1.5996122152205527E-2</v>
      </c>
      <c r="AR176" s="87">
        <v>11</v>
      </c>
      <c r="AS176" s="88">
        <f t="shared" ca="1" si="215"/>
        <v>2.5114155251141551E-2</v>
      </c>
      <c r="AT176" s="87">
        <v>5</v>
      </c>
      <c r="AU176" s="88">
        <f t="shared" ca="1" si="216"/>
        <v>1.1547344110854504E-2</v>
      </c>
      <c r="AV176" s="89">
        <f t="shared" ca="1" si="206"/>
        <v>50</v>
      </c>
      <c r="BD176" s="47" t="s">
        <v>19</v>
      </c>
      <c r="BE176" s="87">
        <v>50000</v>
      </c>
      <c r="BF176" s="88">
        <f t="shared" ca="1" si="217"/>
        <v>1.1159860108028786E-3</v>
      </c>
      <c r="BG176" s="87">
        <v>4683691.3199999994</v>
      </c>
      <c r="BH176" s="88">
        <f t="shared" ca="1" si="218"/>
        <v>1.1037199244148581E-2</v>
      </c>
      <c r="BI176" s="87">
        <v>1173066.6100000001</v>
      </c>
      <c r="BJ176" s="88">
        <f t="shared" ca="1" si="202"/>
        <v>7.1476136335666554E-3</v>
      </c>
      <c r="BK176" s="87">
        <v>23879</v>
      </c>
      <c r="BL176" s="88">
        <f t="shared" ca="1" si="203"/>
        <v>2.667864649134293E-3</v>
      </c>
      <c r="BM176" s="89">
        <f t="shared" ca="1" si="207"/>
        <v>5930636.9299999997</v>
      </c>
    </row>
    <row r="177" spans="5:65" x14ac:dyDescent="0.4">
      <c r="E177" s="22" t="s">
        <v>20</v>
      </c>
      <c r="F177" s="74">
        <v>0</v>
      </c>
      <c r="G177" s="75">
        <f t="shared" ca="1" si="208"/>
        <v>0</v>
      </c>
      <c r="H177" s="74">
        <v>0</v>
      </c>
      <c r="I177" s="75">
        <f t="shared" ca="1" si="209"/>
        <v>0</v>
      </c>
      <c r="J177" s="74">
        <v>0</v>
      </c>
      <c r="K177" s="75">
        <f t="shared" ca="1" si="210"/>
        <v>0</v>
      </c>
      <c r="L177" s="74">
        <v>0</v>
      </c>
      <c r="M177" s="75">
        <f t="shared" ca="1" si="211"/>
        <v>0</v>
      </c>
      <c r="N177" s="76">
        <f t="shared" ca="1" si="204"/>
        <v>0</v>
      </c>
      <c r="W177" s="22" t="s">
        <v>20</v>
      </c>
      <c r="X177" s="74">
        <v>0</v>
      </c>
      <c r="Y177" s="75">
        <f t="shared" ca="1" si="212"/>
        <v>0</v>
      </c>
      <c r="Z177" s="74">
        <v>0</v>
      </c>
      <c r="AA177" s="75">
        <f t="shared" ca="1" si="212"/>
        <v>0</v>
      </c>
      <c r="AB177" s="74">
        <v>0</v>
      </c>
      <c r="AC177" s="75">
        <f t="shared" ca="1" si="200"/>
        <v>0</v>
      </c>
      <c r="AD177" s="74">
        <v>0</v>
      </c>
      <c r="AE177" s="75">
        <f t="shared" ca="1" si="201"/>
        <v>0</v>
      </c>
      <c r="AF177" s="76">
        <f ca="1">SUM(X177,Z177,AB177,AD177)</f>
        <v>0</v>
      </c>
      <c r="AM177" s="47" t="s">
        <v>20</v>
      </c>
      <c r="AN177" s="87">
        <v>0</v>
      </c>
      <c r="AO177" s="88">
        <f t="shared" ca="1" si="213"/>
        <v>0</v>
      </c>
      <c r="AP177" s="87">
        <v>0</v>
      </c>
      <c r="AQ177" s="88">
        <f t="shared" ca="1" si="214"/>
        <v>0</v>
      </c>
      <c r="AR177" s="87">
        <v>0</v>
      </c>
      <c r="AS177" s="88">
        <f t="shared" ca="1" si="215"/>
        <v>0</v>
      </c>
      <c r="AT177" s="87">
        <v>0</v>
      </c>
      <c r="AU177" s="88">
        <f t="shared" ca="1" si="216"/>
        <v>0</v>
      </c>
      <c r="AV177" s="89">
        <f t="shared" ca="1" si="206"/>
        <v>0</v>
      </c>
      <c r="BD177" s="47" t="s">
        <v>20</v>
      </c>
      <c r="BE177" s="87">
        <v>0</v>
      </c>
      <c r="BF177" s="88">
        <f t="shared" ca="1" si="217"/>
        <v>0</v>
      </c>
      <c r="BG177" s="87">
        <v>0</v>
      </c>
      <c r="BH177" s="88">
        <f t="shared" ca="1" si="218"/>
        <v>0</v>
      </c>
      <c r="BI177" s="87">
        <v>0</v>
      </c>
      <c r="BJ177" s="88">
        <f t="shared" ca="1" si="202"/>
        <v>0</v>
      </c>
      <c r="BK177" s="87">
        <v>0</v>
      </c>
      <c r="BL177" s="88">
        <f t="shared" ca="1" si="203"/>
        <v>0</v>
      </c>
      <c r="BM177" s="89">
        <f t="shared" ca="1" si="207"/>
        <v>0</v>
      </c>
    </row>
    <row r="178" spans="5:65" x14ac:dyDescent="0.4">
      <c r="E178" s="22" t="s">
        <v>21</v>
      </c>
      <c r="F178" s="74">
        <v>0</v>
      </c>
      <c r="G178" s="75">
        <f t="shared" ca="1" si="208"/>
        <v>0</v>
      </c>
      <c r="H178" s="74">
        <v>0</v>
      </c>
      <c r="I178" s="75">
        <f t="shared" ca="1" si="209"/>
        <v>0</v>
      </c>
      <c r="J178" s="74">
        <v>0</v>
      </c>
      <c r="K178" s="75">
        <f t="shared" ca="1" si="210"/>
        <v>0</v>
      </c>
      <c r="L178" s="74">
        <v>0</v>
      </c>
      <c r="M178" s="75">
        <f t="shared" ca="1" si="211"/>
        <v>0</v>
      </c>
      <c r="N178" s="76">
        <f t="shared" ca="1" si="204"/>
        <v>0</v>
      </c>
      <c r="W178" s="22" t="s">
        <v>21</v>
      </c>
      <c r="X178" s="74">
        <v>0</v>
      </c>
      <c r="Y178" s="75">
        <f t="shared" ca="1" si="212"/>
        <v>0</v>
      </c>
      <c r="Z178" s="74">
        <v>0</v>
      </c>
      <c r="AA178" s="75">
        <f t="shared" ca="1" si="212"/>
        <v>0</v>
      </c>
      <c r="AB178" s="74">
        <v>0</v>
      </c>
      <c r="AC178" s="75">
        <f t="shared" ca="1" si="200"/>
        <v>0</v>
      </c>
      <c r="AD178" s="74">
        <v>0</v>
      </c>
      <c r="AE178" s="75">
        <f t="shared" ca="1" si="201"/>
        <v>0</v>
      </c>
      <c r="AF178" s="76">
        <f ca="1">SUM(X178,Z178,AB178,AD178)</f>
        <v>0</v>
      </c>
      <c r="AM178" s="47" t="s">
        <v>21</v>
      </c>
      <c r="AN178" s="87">
        <v>0</v>
      </c>
      <c r="AO178" s="88">
        <f t="shared" ca="1" si="213"/>
        <v>0</v>
      </c>
      <c r="AP178" s="87">
        <v>0</v>
      </c>
      <c r="AQ178" s="88">
        <f t="shared" ca="1" si="214"/>
        <v>0</v>
      </c>
      <c r="AR178" s="87">
        <v>0</v>
      </c>
      <c r="AS178" s="88">
        <f t="shared" ca="1" si="215"/>
        <v>0</v>
      </c>
      <c r="AT178" s="87">
        <v>0</v>
      </c>
      <c r="AU178" s="88">
        <f t="shared" ca="1" si="216"/>
        <v>0</v>
      </c>
      <c r="AV178" s="89">
        <f t="shared" ca="1" si="206"/>
        <v>0</v>
      </c>
      <c r="BD178" s="47" t="s">
        <v>21</v>
      </c>
      <c r="BE178" s="87">
        <v>0</v>
      </c>
      <c r="BF178" s="88">
        <f t="shared" ca="1" si="217"/>
        <v>0</v>
      </c>
      <c r="BG178" s="87">
        <v>0</v>
      </c>
      <c r="BH178" s="88">
        <f t="shared" ca="1" si="218"/>
        <v>0</v>
      </c>
      <c r="BI178" s="87">
        <v>0</v>
      </c>
      <c r="BJ178" s="88">
        <f t="shared" ca="1" si="202"/>
        <v>0</v>
      </c>
      <c r="BK178" s="87">
        <v>0</v>
      </c>
      <c r="BL178" s="88">
        <f t="shared" ca="1" si="203"/>
        <v>0</v>
      </c>
      <c r="BM178" s="89">
        <f t="shared" ca="1" si="207"/>
        <v>0</v>
      </c>
    </row>
    <row r="179" spans="5:65" x14ac:dyDescent="0.4">
      <c r="E179" s="22" t="s">
        <v>22</v>
      </c>
      <c r="F179" s="74">
        <v>0</v>
      </c>
      <c r="G179" s="75">
        <f t="shared" ca="1" si="208"/>
        <v>0</v>
      </c>
      <c r="H179" s="74">
        <v>0</v>
      </c>
      <c r="I179" s="75">
        <f t="shared" ca="1" si="209"/>
        <v>0</v>
      </c>
      <c r="J179" s="74">
        <v>0</v>
      </c>
      <c r="K179" s="75">
        <f t="shared" ca="1" si="210"/>
        <v>0</v>
      </c>
      <c r="L179" s="74">
        <v>0</v>
      </c>
      <c r="M179" s="75">
        <f t="shared" ca="1" si="211"/>
        <v>0</v>
      </c>
      <c r="N179" s="76">
        <f t="shared" ca="1" si="204"/>
        <v>0</v>
      </c>
      <c r="W179" s="22" t="s">
        <v>22</v>
      </c>
      <c r="X179" s="74">
        <v>0</v>
      </c>
      <c r="Y179" s="75">
        <f t="shared" ca="1" si="212"/>
        <v>0</v>
      </c>
      <c r="Z179" s="74">
        <v>0</v>
      </c>
      <c r="AA179" s="75">
        <f t="shared" ca="1" si="212"/>
        <v>0</v>
      </c>
      <c r="AB179" s="74">
        <v>0</v>
      </c>
      <c r="AC179" s="75">
        <f t="shared" ca="1" si="200"/>
        <v>0</v>
      </c>
      <c r="AD179" s="74">
        <v>0</v>
      </c>
      <c r="AE179" s="75">
        <f t="shared" ca="1" si="201"/>
        <v>0</v>
      </c>
      <c r="AF179" s="76">
        <f ca="1">SUM(X179,Z179,AB179,AD179)</f>
        <v>0</v>
      </c>
      <c r="AM179" s="47" t="s">
        <v>22</v>
      </c>
      <c r="AN179" s="87">
        <v>0</v>
      </c>
      <c r="AO179" s="88">
        <f t="shared" ca="1" si="213"/>
        <v>0</v>
      </c>
      <c r="AP179" s="87">
        <v>0</v>
      </c>
      <c r="AQ179" s="88">
        <f t="shared" ca="1" si="214"/>
        <v>0</v>
      </c>
      <c r="AR179" s="87">
        <v>0</v>
      </c>
      <c r="AS179" s="88">
        <f t="shared" ca="1" si="215"/>
        <v>0</v>
      </c>
      <c r="AT179" s="87">
        <v>0</v>
      </c>
      <c r="AU179" s="88">
        <f t="shared" ca="1" si="216"/>
        <v>0</v>
      </c>
      <c r="AV179" s="89">
        <f t="shared" ca="1" si="206"/>
        <v>0</v>
      </c>
      <c r="BD179" s="47" t="s">
        <v>22</v>
      </c>
      <c r="BE179" s="87">
        <v>0</v>
      </c>
      <c r="BF179" s="88">
        <f t="shared" ca="1" si="217"/>
        <v>0</v>
      </c>
      <c r="BG179" s="87">
        <v>0</v>
      </c>
      <c r="BH179" s="88">
        <f t="shared" ca="1" si="218"/>
        <v>0</v>
      </c>
      <c r="BI179" s="87">
        <v>0</v>
      </c>
      <c r="BJ179" s="88">
        <f t="shared" ca="1" si="202"/>
        <v>0</v>
      </c>
      <c r="BK179" s="87">
        <v>0</v>
      </c>
      <c r="BL179" s="88">
        <f t="shared" ca="1" si="203"/>
        <v>0</v>
      </c>
      <c r="BM179" s="89">
        <f t="shared" ca="1" si="207"/>
        <v>0</v>
      </c>
    </row>
    <row r="180" spans="5:65" x14ac:dyDescent="0.4">
      <c r="E180" s="22" t="s">
        <v>23</v>
      </c>
      <c r="F180" s="74">
        <v>0</v>
      </c>
      <c r="G180" s="75">
        <f t="shared" ca="1" si="208"/>
        <v>0</v>
      </c>
      <c r="H180" s="74">
        <v>0</v>
      </c>
      <c r="I180" s="75">
        <f t="shared" ca="1" si="209"/>
        <v>0</v>
      </c>
      <c r="J180" s="74">
        <v>0</v>
      </c>
      <c r="K180" s="75">
        <f t="shared" ca="1" si="210"/>
        <v>0</v>
      </c>
      <c r="L180" s="74">
        <v>0</v>
      </c>
      <c r="M180" s="75">
        <f t="shared" ca="1" si="211"/>
        <v>0</v>
      </c>
      <c r="N180" s="76">
        <f t="shared" ca="1" si="204"/>
        <v>0</v>
      </c>
      <c r="W180" s="22" t="s">
        <v>23</v>
      </c>
      <c r="X180" s="74">
        <v>0</v>
      </c>
      <c r="Y180" s="75">
        <f t="shared" ca="1" si="212"/>
        <v>0</v>
      </c>
      <c r="Z180" s="74">
        <v>0</v>
      </c>
      <c r="AA180" s="75">
        <f t="shared" ca="1" si="212"/>
        <v>0</v>
      </c>
      <c r="AB180" s="74">
        <v>0</v>
      </c>
      <c r="AC180" s="75">
        <f t="shared" ca="1" si="200"/>
        <v>0</v>
      </c>
      <c r="AD180" s="74">
        <v>0</v>
      </c>
      <c r="AE180" s="75">
        <f t="shared" ca="1" si="201"/>
        <v>0</v>
      </c>
      <c r="AF180" s="76">
        <f ca="1">SUM(X180,Z180,AB180,AD180)</f>
        <v>0</v>
      </c>
      <c r="AM180" s="47" t="s">
        <v>23</v>
      </c>
      <c r="AN180" s="87">
        <v>0</v>
      </c>
      <c r="AO180" s="88">
        <f t="shared" ca="1" si="213"/>
        <v>0</v>
      </c>
      <c r="AP180" s="87">
        <v>0</v>
      </c>
      <c r="AQ180" s="88">
        <f t="shared" ca="1" si="214"/>
        <v>0</v>
      </c>
      <c r="AR180" s="87">
        <v>0</v>
      </c>
      <c r="AS180" s="88">
        <f t="shared" ca="1" si="215"/>
        <v>0</v>
      </c>
      <c r="AT180" s="87">
        <v>0</v>
      </c>
      <c r="AU180" s="88">
        <f t="shared" ca="1" si="216"/>
        <v>0</v>
      </c>
      <c r="AV180" s="89">
        <f t="shared" ca="1" si="206"/>
        <v>0</v>
      </c>
      <c r="BD180" s="47" t="s">
        <v>23</v>
      </c>
      <c r="BE180" s="87">
        <v>0</v>
      </c>
      <c r="BF180" s="88">
        <f t="shared" ca="1" si="217"/>
        <v>0</v>
      </c>
      <c r="BG180" s="87">
        <v>0</v>
      </c>
      <c r="BH180" s="88">
        <f t="shared" ca="1" si="218"/>
        <v>0</v>
      </c>
      <c r="BI180" s="87">
        <v>0</v>
      </c>
      <c r="BJ180" s="88">
        <f t="shared" ca="1" si="202"/>
        <v>0</v>
      </c>
      <c r="BK180" s="87">
        <v>0</v>
      </c>
      <c r="BL180" s="88">
        <f t="shared" ca="1" si="203"/>
        <v>0</v>
      </c>
      <c r="BM180" s="89">
        <f t="shared" ca="1" si="207"/>
        <v>0</v>
      </c>
    </row>
    <row r="181" spans="5:65" x14ac:dyDescent="0.4">
      <c r="E181" s="23" t="s">
        <v>24</v>
      </c>
      <c r="F181" s="77">
        <v>0</v>
      </c>
      <c r="G181" s="78">
        <f t="shared" ca="1" si="208"/>
        <v>0</v>
      </c>
      <c r="H181" s="77">
        <v>0</v>
      </c>
      <c r="I181" s="78">
        <f t="shared" ca="1" si="209"/>
        <v>0</v>
      </c>
      <c r="J181" s="77">
        <v>0</v>
      </c>
      <c r="K181" s="78">
        <f t="shared" ca="1" si="210"/>
        <v>0</v>
      </c>
      <c r="L181" s="77">
        <v>0</v>
      </c>
      <c r="M181" s="78">
        <f t="shared" ca="1" si="211"/>
        <v>0</v>
      </c>
      <c r="N181" s="79">
        <f t="shared" ca="1" si="204"/>
        <v>0</v>
      </c>
      <c r="W181" s="23" t="s">
        <v>24</v>
      </c>
      <c r="X181" s="77">
        <v>0</v>
      </c>
      <c r="Y181" s="78">
        <f t="shared" ca="1" si="212"/>
        <v>0</v>
      </c>
      <c r="Z181" s="77">
        <v>0</v>
      </c>
      <c r="AA181" s="78">
        <f t="shared" ca="1" si="212"/>
        <v>0</v>
      </c>
      <c r="AB181" s="77">
        <v>0</v>
      </c>
      <c r="AC181" s="78">
        <f t="shared" ca="1" si="200"/>
        <v>0</v>
      </c>
      <c r="AD181" s="77">
        <v>0</v>
      </c>
      <c r="AE181" s="78">
        <f t="shared" ca="1" si="201"/>
        <v>0</v>
      </c>
      <c r="AF181" s="79">
        <f ca="1">SUM(X181,Z181,AB181,AD181)</f>
        <v>0</v>
      </c>
      <c r="AM181" s="48" t="s">
        <v>24</v>
      </c>
      <c r="AN181" s="90">
        <v>0</v>
      </c>
      <c r="AO181" s="91">
        <f t="shared" ca="1" si="213"/>
        <v>0</v>
      </c>
      <c r="AP181" s="90">
        <v>0</v>
      </c>
      <c r="AQ181" s="91">
        <f t="shared" ca="1" si="214"/>
        <v>0</v>
      </c>
      <c r="AR181" s="90">
        <v>0</v>
      </c>
      <c r="AS181" s="91">
        <f t="shared" ca="1" si="215"/>
        <v>0</v>
      </c>
      <c r="AT181" s="90">
        <v>0</v>
      </c>
      <c r="AU181" s="91">
        <f t="shared" ca="1" si="216"/>
        <v>0</v>
      </c>
      <c r="AV181" s="92">
        <f t="shared" ca="1" si="206"/>
        <v>0</v>
      </c>
      <c r="BD181" s="48" t="s">
        <v>24</v>
      </c>
      <c r="BE181" s="90">
        <v>0</v>
      </c>
      <c r="BF181" s="91">
        <f t="shared" ca="1" si="217"/>
        <v>0</v>
      </c>
      <c r="BG181" s="90">
        <v>0</v>
      </c>
      <c r="BH181" s="91">
        <f t="shared" ca="1" si="218"/>
        <v>0</v>
      </c>
      <c r="BI181" s="90">
        <v>0</v>
      </c>
      <c r="BJ181" s="91">
        <f t="shared" ca="1" si="202"/>
        <v>0</v>
      </c>
      <c r="BK181" s="90">
        <v>0</v>
      </c>
      <c r="BL181" s="91">
        <f t="shared" ca="1" si="203"/>
        <v>0</v>
      </c>
      <c r="BM181" s="92">
        <f t="shared" ca="1" si="207"/>
        <v>0</v>
      </c>
    </row>
    <row r="182" spans="5:65" x14ac:dyDescent="0.4">
      <c r="E182" s="27" t="s">
        <v>25</v>
      </c>
      <c r="F182" s="80">
        <f ca="1">SUM(F174:F181)</f>
        <v>362</v>
      </c>
      <c r="G182" s="81">
        <f t="shared" ca="1" si="208"/>
        <v>1</v>
      </c>
      <c r="H182" s="80">
        <f ca="1">SUM(H174:H181)</f>
        <v>2063</v>
      </c>
      <c r="I182" s="81">
        <f t="shared" ca="1" si="209"/>
        <v>1</v>
      </c>
      <c r="J182" s="80">
        <f ca="1">SUM(J174:J181)</f>
        <v>438</v>
      </c>
      <c r="K182" s="81">
        <f t="shared" ca="1" si="210"/>
        <v>1</v>
      </c>
      <c r="L182" s="80">
        <f ca="1">SUM(L174:L181)</f>
        <v>433</v>
      </c>
      <c r="M182" s="81">
        <f t="shared" ca="1" si="211"/>
        <v>1</v>
      </c>
      <c r="N182" s="82">
        <f t="shared" ca="1" si="204"/>
        <v>3296</v>
      </c>
      <c r="W182" s="27" t="s">
        <v>25</v>
      </c>
      <c r="X182" s="80">
        <f ca="1">SUM(X174:X181)</f>
        <v>44803429</v>
      </c>
      <c r="Y182" s="81">
        <f t="shared" ca="1" si="212"/>
        <v>1</v>
      </c>
      <c r="Z182" s="80">
        <f ca="1">SUM(Z174:Z181)</f>
        <v>424355057.50999999</v>
      </c>
      <c r="AA182" s="81">
        <f ca="1">Z182/Z$182</f>
        <v>1</v>
      </c>
      <c r="AB182" s="80">
        <f ca="1">SUM(AB174:AB181)</f>
        <v>164120036.43999997</v>
      </c>
      <c r="AC182" s="81">
        <f t="shared" ca="1" si="200"/>
        <v>1</v>
      </c>
      <c r="AD182" s="80">
        <f ca="1">SUM(AD174:AD181)</f>
        <v>8952684</v>
      </c>
      <c r="AE182" s="81">
        <f t="shared" ca="1" si="201"/>
        <v>1</v>
      </c>
      <c r="AF182" s="82">
        <f t="shared" ca="1" si="205"/>
        <v>642231206.94999993</v>
      </c>
      <c r="AM182" s="52" t="s">
        <v>25</v>
      </c>
      <c r="AN182" s="93">
        <f ca="1">SUM(AN174:AN181)</f>
        <v>362</v>
      </c>
      <c r="AO182" s="94">
        <f t="shared" ca="1" si="213"/>
        <v>1</v>
      </c>
      <c r="AP182" s="93">
        <f ca="1">SUM(AP174:AP181)</f>
        <v>2063</v>
      </c>
      <c r="AQ182" s="94">
        <f t="shared" ca="1" si="214"/>
        <v>1</v>
      </c>
      <c r="AR182" s="93">
        <f ca="1">SUM(AR174:AR181)</f>
        <v>438</v>
      </c>
      <c r="AS182" s="94">
        <f t="shared" ca="1" si="215"/>
        <v>1</v>
      </c>
      <c r="AT182" s="93">
        <f ca="1">SUM(AT174:AT181)</f>
        <v>433</v>
      </c>
      <c r="AU182" s="94">
        <f t="shared" ca="1" si="216"/>
        <v>1</v>
      </c>
      <c r="AV182" s="95">
        <f t="shared" ca="1" si="206"/>
        <v>3296</v>
      </c>
      <c r="BD182" s="52" t="s">
        <v>25</v>
      </c>
      <c r="BE182" s="93">
        <f ca="1">SUM(BE174:BE181)</f>
        <v>44803429</v>
      </c>
      <c r="BF182" s="94">
        <f t="shared" ca="1" si="217"/>
        <v>1</v>
      </c>
      <c r="BG182" s="93">
        <f ca="1">SUM(BG174:BG181)</f>
        <v>424355057.50999999</v>
      </c>
      <c r="BH182" s="94">
        <f ca="1">BG182/BG$182</f>
        <v>1</v>
      </c>
      <c r="BI182" s="93">
        <f ca="1">SUM(BI174:BI181)</f>
        <v>164120036.43999997</v>
      </c>
      <c r="BJ182" s="94">
        <f t="shared" ca="1" si="202"/>
        <v>1</v>
      </c>
      <c r="BK182" s="93">
        <f ca="1">SUM(BK174:BK181)</f>
        <v>8950604</v>
      </c>
      <c r="BL182" s="94">
        <f t="shared" ca="1" si="203"/>
        <v>1</v>
      </c>
      <c r="BM182" s="95">
        <f t="shared" ca="1" si="207"/>
        <v>642229126.94999993</v>
      </c>
    </row>
    <row r="183" spans="5:65" x14ac:dyDescent="0.4">
      <c r="E183" s="83" t="s">
        <v>26</v>
      </c>
      <c r="F183" s="33">
        <f ca="1">F182/$N$182</f>
        <v>0.10983009708737865</v>
      </c>
      <c r="G183" s="33"/>
      <c r="H183" s="33">
        <f ca="1">H182/$N$182</f>
        <v>0.62591019417475724</v>
      </c>
      <c r="I183" s="33"/>
      <c r="J183" s="33">
        <f ca="1">J182/$N$182</f>
        <v>0.1328883495145631</v>
      </c>
      <c r="K183" s="33"/>
      <c r="L183" s="33">
        <f ca="1">L182/$N$182</f>
        <v>0.13137135922330098</v>
      </c>
      <c r="M183" s="33"/>
      <c r="N183" s="84">
        <f ca="1">N182/N182</f>
        <v>1</v>
      </c>
      <c r="W183" s="83" t="s">
        <v>26</v>
      </c>
      <c r="X183" s="33">
        <f ca="1">X182/$AF$182</f>
        <v>6.9762148763798881E-2</v>
      </c>
      <c r="Y183" s="33"/>
      <c r="Z183" s="33">
        <f ca="1">Z182/$AF$182</f>
        <v>0.66075122622161464</v>
      </c>
      <c r="AA183" s="33"/>
      <c r="AB183" s="33">
        <f ca="1">AB182/$AF$182</f>
        <v>0.25554665463769238</v>
      </c>
      <c r="AC183" s="33"/>
      <c r="AD183" s="33">
        <f ca="1">AD182/$AF$182</f>
        <v>1.3939970376894189E-2</v>
      </c>
      <c r="AE183" s="33"/>
      <c r="AF183" s="84">
        <f ca="1">AF182/AF182</f>
        <v>1</v>
      </c>
      <c r="AM183" s="96" t="s">
        <v>26</v>
      </c>
      <c r="AN183" s="58">
        <f ca="1">AN182/$AV$182</f>
        <v>0.10983009708737865</v>
      </c>
      <c r="AO183" s="58"/>
      <c r="AP183" s="58">
        <f ca="1">AP182/$AV$182</f>
        <v>0.62591019417475724</v>
      </c>
      <c r="AQ183" s="58"/>
      <c r="AR183" s="58">
        <f ca="1">AR182/$AV$182</f>
        <v>0.1328883495145631</v>
      </c>
      <c r="AS183" s="58"/>
      <c r="AT183" s="58">
        <f ca="1">AT182/$AV$182</f>
        <v>0.13137135922330098</v>
      </c>
      <c r="AU183" s="58"/>
      <c r="AV183" s="97">
        <f ca="1">AV182/AV182</f>
        <v>1</v>
      </c>
      <c r="BD183" s="96" t="s">
        <v>26</v>
      </c>
      <c r="BE183" s="58">
        <f ca="1">BE182/$BM$182</f>
        <v>6.9762374703830773E-2</v>
      </c>
      <c r="BF183" s="58"/>
      <c r="BG183" s="58">
        <f ca="1">BG182/$BM$182</f>
        <v>0.66075336620949876</v>
      </c>
      <c r="BH183" s="58"/>
      <c r="BI183" s="58">
        <f ca="1">BI182/$BM$182</f>
        <v>0.2555474822816271</v>
      </c>
      <c r="BJ183" s="58"/>
      <c r="BK183" s="58">
        <f ca="1">BK182/$BM$182</f>
        <v>1.3936776805043349E-2</v>
      </c>
      <c r="BL183" s="58"/>
      <c r="BM183" s="97">
        <f ca="1">BM182/BM182</f>
        <v>1</v>
      </c>
    </row>
    <row r="185" spans="5:65" x14ac:dyDescent="0.4">
      <c r="E185" s="67" t="s">
        <v>42</v>
      </c>
      <c r="F185" s="68"/>
      <c r="G185" s="68"/>
      <c r="H185" s="68"/>
      <c r="I185" s="68"/>
      <c r="J185" s="68"/>
      <c r="K185" s="68"/>
      <c r="L185" s="68"/>
      <c r="M185" s="68"/>
      <c r="N185" s="69"/>
      <c r="W185" s="67" t="s">
        <v>42</v>
      </c>
      <c r="X185" s="68"/>
      <c r="Y185" s="68"/>
      <c r="Z185" s="68"/>
      <c r="AA185" s="68"/>
      <c r="AB185" s="68"/>
      <c r="AC185" s="68"/>
      <c r="AD185" s="68"/>
      <c r="AE185" s="68"/>
      <c r="AF185" s="69"/>
    </row>
    <row r="186" spans="5:65" ht="21" customHeight="1" x14ac:dyDescent="0.4">
      <c r="E186" s="70"/>
      <c r="F186" s="71" t="s">
        <v>36</v>
      </c>
      <c r="G186" s="71"/>
      <c r="H186" s="71" t="s">
        <v>37</v>
      </c>
      <c r="I186" s="71"/>
      <c r="J186" s="71" t="s">
        <v>38</v>
      </c>
      <c r="K186" s="71"/>
      <c r="L186" s="71" t="s">
        <v>39</v>
      </c>
      <c r="M186" s="71"/>
      <c r="N186" s="7" t="s">
        <v>10</v>
      </c>
      <c r="W186" s="70"/>
      <c r="X186" s="71" t="s">
        <v>36</v>
      </c>
      <c r="Y186" s="71"/>
      <c r="Z186" s="71" t="s">
        <v>37</v>
      </c>
      <c r="AA186" s="71"/>
      <c r="AB186" s="71" t="s">
        <v>38</v>
      </c>
      <c r="AC186" s="71"/>
      <c r="AD186" s="71" t="s">
        <v>39</v>
      </c>
      <c r="AE186" s="71"/>
      <c r="AF186" s="7" t="s">
        <v>10</v>
      </c>
    </row>
    <row r="187" spans="5:65" x14ac:dyDescent="0.4">
      <c r="E187" s="8" t="s">
        <v>11</v>
      </c>
      <c r="F187" s="8" t="s">
        <v>12</v>
      </c>
      <c r="G187" s="8" t="s">
        <v>13</v>
      </c>
      <c r="H187" s="8" t="s">
        <v>12</v>
      </c>
      <c r="I187" s="8" t="s">
        <v>13</v>
      </c>
      <c r="J187" s="8" t="s">
        <v>12</v>
      </c>
      <c r="K187" s="8" t="s">
        <v>13</v>
      </c>
      <c r="L187" s="8" t="s">
        <v>12</v>
      </c>
      <c r="M187" s="8" t="s">
        <v>13</v>
      </c>
      <c r="N187" s="7"/>
      <c r="W187" s="8" t="s">
        <v>11</v>
      </c>
      <c r="X187" s="8" t="s">
        <v>14</v>
      </c>
      <c r="Y187" s="8" t="s">
        <v>13</v>
      </c>
      <c r="Z187" s="8" t="s">
        <v>14</v>
      </c>
      <c r="AA187" s="8" t="s">
        <v>13</v>
      </c>
      <c r="AB187" s="8" t="s">
        <v>14</v>
      </c>
      <c r="AC187" s="8" t="s">
        <v>13</v>
      </c>
      <c r="AD187" s="8" t="s">
        <v>14</v>
      </c>
      <c r="AE187" s="8" t="s">
        <v>13</v>
      </c>
      <c r="AF187" s="7"/>
    </row>
    <row r="188" spans="5:65" x14ac:dyDescent="0.4">
      <c r="E188" s="9" t="s">
        <v>15</v>
      </c>
      <c r="F188" s="72">
        <v>90</v>
      </c>
      <c r="G188" s="73">
        <f ca="1">F188/F$198</f>
        <v>0.40358744394618834</v>
      </c>
      <c r="H188" s="72">
        <v>331</v>
      </c>
      <c r="I188" s="73">
        <f ca="1">IFERROR(H188/H$198,0)</f>
        <v>0.47150997150997154</v>
      </c>
      <c r="J188" s="72">
        <v>113</v>
      </c>
      <c r="K188" s="73">
        <f ca="1">IFERROR(J188/J$198,0)</f>
        <v>0.58549222797927458</v>
      </c>
      <c r="L188" s="72">
        <v>68</v>
      </c>
      <c r="M188" s="73">
        <f ca="1">IFERROR(L188/L$198,0)</f>
        <v>0.43037974683544306</v>
      </c>
      <c r="N188" s="60">
        <f ca="1">SUM(F188,H188,J188,L188)</f>
        <v>602</v>
      </c>
      <c r="W188" s="9" t="s">
        <v>15</v>
      </c>
      <c r="X188" s="72">
        <v>14915590</v>
      </c>
      <c r="Y188" s="73">
        <f ca="1">X188/X$198</f>
        <v>0.5286681142230979</v>
      </c>
      <c r="Z188" s="72">
        <v>69540201.49999997</v>
      </c>
      <c r="AA188" s="73">
        <f ca="1">Z188/Z$198</f>
        <v>0.57571009260457606</v>
      </c>
      <c r="AB188" s="72">
        <v>47906883.629999995</v>
      </c>
      <c r="AC188" s="73">
        <f t="shared" ref="AC188:AC197" ca="1" si="219">AB188/AB$198</f>
        <v>0.78343997984138469</v>
      </c>
      <c r="AD188" s="72">
        <v>1592481</v>
      </c>
      <c r="AE188" s="73">
        <f t="shared" ref="AE188:AE197" ca="1" si="220">AD188/AD$198</f>
        <v>0.50010206286318681</v>
      </c>
      <c r="AF188" s="60">
        <f ca="1">SUM(X188,Z188,AB188,AD188)</f>
        <v>133955156.12999997</v>
      </c>
    </row>
    <row r="189" spans="5:65" x14ac:dyDescent="0.4">
      <c r="E189" s="14" t="s">
        <v>16</v>
      </c>
      <c r="F189" s="74">
        <v>65</v>
      </c>
      <c r="G189" s="75">
        <f ca="1">F189/F$198</f>
        <v>0.2914798206278027</v>
      </c>
      <c r="H189" s="74">
        <v>209</v>
      </c>
      <c r="I189" s="75">
        <f ca="1">IFERROR(H189/H$198,0)</f>
        <v>0.29772079772079774</v>
      </c>
      <c r="J189" s="74">
        <v>36</v>
      </c>
      <c r="K189" s="75">
        <f ca="1">IFERROR(J189/J$198,0)</f>
        <v>0.18652849740932642</v>
      </c>
      <c r="L189" s="74">
        <v>34</v>
      </c>
      <c r="M189" s="75">
        <f ca="1">IFERROR(L189/L$198,0)</f>
        <v>0.21518987341772153</v>
      </c>
      <c r="N189" s="76">
        <f t="shared" ref="N189:N198" ca="1" si="221">SUM(F189,H189,J189,L189)</f>
        <v>344</v>
      </c>
      <c r="W189" s="14" t="s">
        <v>16</v>
      </c>
      <c r="X189" s="74">
        <v>5887146</v>
      </c>
      <c r="Y189" s="75">
        <f t="shared" ref="Y189:AA197" ca="1" si="222">X189/X$198</f>
        <v>0.20866398003538941</v>
      </c>
      <c r="Z189" s="74">
        <v>31810413.239999998</v>
      </c>
      <c r="AA189" s="75">
        <f t="shared" ca="1" si="222"/>
        <v>0.2633523567254869</v>
      </c>
      <c r="AB189" s="74">
        <v>8986698.2899999991</v>
      </c>
      <c r="AC189" s="75">
        <f t="shared" ca="1" si="219"/>
        <v>0.14696298723028015</v>
      </c>
      <c r="AD189" s="74">
        <v>1010221</v>
      </c>
      <c r="AE189" s="75">
        <f t="shared" ca="1" si="220"/>
        <v>0.31724937757355437</v>
      </c>
      <c r="AF189" s="76">
        <f t="shared" ref="AF189:AF198" ca="1" si="223">SUM(X189,Z189,AB189,AD189)</f>
        <v>47694478.529999994</v>
      </c>
    </row>
    <row r="190" spans="5:65" x14ac:dyDescent="0.4">
      <c r="E190" s="18" t="s">
        <v>17</v>
      </c>
      <c r="F190" s="19">
        <f ca="1">+SUM(F188:F189)</f>
        <v>155</v>
      </c>
      <c r="G190" s="20">
        <f ca="1">+F190/$F$198</f>
        <v>0.69506726457399104</v>
      </c>
      <c r="H190" s="19">
        <f ca="1">+SUM(H188:H189)</f>
        <v>540</v>
      </c>
      <c r="I190" s="20">
        <f ca="1">+H190/$H$198</f>
        <v>0.76923076923076927</v>
      </c>
      <c r="J190" s="19">
        <f ca="1">+SUM(J188:J189)</f>
        <v>149</v>
      </c>
      <c r="K190" s="20">
        <f ca="1">+J190/$J$198</f>
        <v>0.772020725388601</v>
      </c>
      <c r="L190" s="19">
        <f ca="1">+SUM(L188:L189)</f>
        <v>102</v>
      </c>
      <c r="M190" s="20">
        <f ca="1">+L190/$L$198</f>
        <v>0.64556962025316456</v>
      </c>
      <c r="N190" s="21">
        <f t="shared" ca="1" si="221"/>
        <v>946</v>
      </c>
      <c r="W190" s="18" t="s">
        <v>17</v>
      </c>
      <c r="X190" s="19">
        <f ca="1">+SUM(X188:X189)</f>
        <v>20802736</v>
      </c>
      <c r="Y190" s="20">
        <f t="shared" ca="1" si="222"/>
        <v>0.73733209425848734</v>
      </c>
      <c r="Z190" s="19">
        <f ca="1">+SUM(Z188:Z189)</f>
        <v>101350614.73999996</v>
      </c>
      <c r="AA190" s="20">
        <f t="shared" ca="1" si="222"/>
        <v>0.83906244933006291</v>
      </c>
      <c r="AB190" s="19">
        <f ca="1">+SUM(AB188:AB189)</f>
        <v>56893581.919999994</v>
      </c>
      <c r="AC190" s="20">
        <f t="shared" ca="1" si="219"/>
        <v>0.93040296707166492</v>
      </c>
      <c r="AD190" s="19">
        <f ca="1">+SUM(AD188:AD189)</f>
        <v>2602702</v>
      </c>
      <c r="AE190" s="20">
        <f t="shared" ca="1" si="220"/>
        <v>0.81735144043674113</v>
      </c>
      <c r="AF190" s="21">
        <f t="shared" ca="1" si="223"/>
        <v>181649634.65999997</v>
      </c>
    </row>
    <row r="191" spans="5:65" x14ac:dyDescent="0.4">
      <c r="E191" s="22" t="s">
        <v>18</v>
      </c>
      <c r="F191" s="74">
        <v>57</v>
      </c>
      <c r="G191" s="75">
        <f t="shared" ref="G191:G198" ca="1" si="224">F191/F$198</f>
        <v>0.2556053811659193</v>
      </c>
      <c r="H191" s="74">
        <v>50</v>
      </c>
      <c r="I191" s="75">
        <f t="shared" ref="I191:I198" ca="1" si="225">IFERROR(H191/H$198,0)</f>
        <v>7.1225071225071226E-2</v>
      </c>
      <c r="J191" s="74">
        <v>11</v>
      </c>
      <c r="K191" s="75">
        <f t="shared" ref="K191:K198" ca="1" si="226">IFERROR(J191/J$198,0)</f>
        <v>5.6994818652849742E-2</v>
      </c>
      <c r="L191" s="74">
        <v>14</v>
      </c>
      <c r="M191" s="75">
        <f t="shared" ref="M191:M198" ca="1" si="227">IFERROR(L191/L$198,0)</f>
        <v>8.8607594936708861E-2</v>
      </c>
      <c r="N191" s="76">
        <f t="shared" ca="1" si="221"/>
        <v>132</v>
      </c>
      <c r="W191" s="22" t="s">
        <v>18</v>
      </c>
      <c r="X191" s="74">
        <v>6182825</v>
      </c>
      <c r="Y191" s="75">
        <f t="shared" ca="1" si="222"/>
        <v>0.21914402536684272</v>
      </c>
      <c r="Z191" s="74">
        <v>7245140.1700000009</v>
      </c>
      <c r="AA191" s="75">
        <f t="shared" ca="1" si="222"/>
        <v>5.9981136497049635E-2</v>
      </c>
      <c r="AB191" s="74">
        <v>1022435.45</v>
      </c>
      <c r="AC191" s="75">
        <f t="shared" ca="1" si="219"/>
        <v>1.672028626457156E-2</v>
      </c>
      <c r="AD191" s="74">
        <v>75963</v>
      </c>
      <c r="AE191" s="75">
        <f t="shared" ca="1" si="220"/>
        <v>2.3855388542328767E-2</v>
      </c>
      <c r="AF191" s="76">
        <f t="shared" ca="1" si="223"/>
        <v>14526363.620000001</v>
      </c>
    </row>
    <row r="192" spans="5:65" x14ac:dyDescent="0.4">
      <c r="E192" s="22" t="s">
        <v>19</v>
      </c>
      <c r="F192" s="74">
        <v>2</v>
      </c>
      <c r="G192" s="75">
        <f t="shared" ca="1" si="224"/>
        <v>8.9686098654708519E-3</v>
      </c>
      <c r="H192" s="74">
        <v>38</v>
      </c>
      <c r="I192" s="75">
        <f t="shared" ca="1" si="225"/>
        <v>5.4131054131054131E-2</v>
      </c>
      <c r="J192" s="74">
        <v>11</v>
      </c>
      <c r="K192" s="75">
        <f t="shared" ca="1" si="226"/>
        <v>5.6994818652849742E-2</v>
      </c>
      <c r="L192" s="74">
        <v>7</v>
      </c>
      <c r="M192" s="75">
        <f t="shared" ca="1" si="227"/>
        <v>4.4303797468354431E-2</v>
      </c>
      <c r="N192" s="76">
        <f t="shared" ca="1" si="221"/>
        <v>58</v>
      </c>
      <c r="W192" s="22" t="s">
        <v>19</v>
      </c>
      <c r="X192" s="74">
        <v>101170</v>
      </c>
      <c r="Y192" s="75">
        <f t="shared" ca="1" si="222"/>
        <v>3.5858690883800652E-3</v>
      </c>
      <c r="Z192" s="74">
        <v>5791643.6699999999</v>
      </c>
      <c r="AA192" s="75">
        <f t="shared" ca="1" si="222"/>
        <v>4.7947915618110598E-2</v>
      </c>
      <c r="AB192" s="74">
        <v>1092068.8700000003</v>
      </c>
      <c r="AC192" s="75">
        <f t="shared" ca="1" si="219"/>
        <v>1.7859028779789659E-2</v>
      </c>
      <c r="AD192" s="74">
        <v>21427</v>
      </c>
      <c r="AE192" s="75">
        <f t="shared" ca="1" si="220"/>
        <v>6.7289260600091952E-3</v>
      </c>
      <c r="AF192" s="76">
        <f t="shared" ca="1" si="223"/>
        <v>7006309.54</v>
      </c>
    </row>
    <row r="193" spans="5:48" x14ac:dyDescent="0.4">
      <c r="E193" s="22" t="s">
        <v>20</v>
      </c>
      <c r="F193" s="74">
        <v>0</v>
      </c>
      <c r="G193" s="75">
        <f t="shared" ca="1" si="224"/>
        <v>0</v>
      </c>
      <c r="H193" s="74">
        <v>20</v>
      </c>
      <c r="I193" s="75">
        <f t="shared" ca="1" si="225"/>
        <v>2.8490028490028491E-2</v>
      </c>
      <c r="J193" s="74">
        <v>5</v>
      </c>
      <c r="K193" s="75">
        <f t="shared" ca="1" si="226"/>
        <v>2.5906735751295335E-2</v>
      </c>
      <c r="L193" s="74">
        <v>6</v>
      </c>
      <c r="M193" s="75">
        <f t="shared" ca="1" si="227"/>
        <v>3.7974683544303799E-2</v>
      </c>
      <c r="N193" s="76">
        <f t="shared" ca="1" si="221"/>
        <v>31</v>
      </c>
      <c r="W193" s="22" t="s">
        <v>20</v>
      </c>
      <c r="X193" s="74">
        <v>0</v>
      </c>
      <c r="Y193" s="75">
        <f t="shared" ca="1" si="222"/>
        <v>0</v>
      </c>
      <c r="Z193" s="74">
        <v>1230327.5499999998</v>
      </c>
      <c r="AA193" s="75">
        <f t="shared" ca="1" si="222"/>
        <v>1.0185647617723129E-2</v>
      </c>
      <c r="AB193" s="74">
        <v>162226</v>
      </c>
      <c r="AC193" s="75">
        <f t="shared" ca="1" si="219"/>
        <v>2.6529451414819254E-3</v>
      </c>
      <c r="AD193" s="74">
        <v>14168</v>
      </c>
      <c r="AE193" s="75">
        <f t="shared" ca="1" si="220"/>
        <v>4.4493127557852369E-3</v>
      </c>
      <c r="AF193" s="76">
        <f t="shared" ca="1" si="223"/>
        <v>1406721.5499999998</v>
      </c>
    </row>
    <row r="194" spans="5:48" x14ac:dyDescent="0.4">
      <c r="E194" s="22" t="s">
        <v>21</v>
      </c>
      <c r="F194" s="74">
        <v>0</v>
      </c>
      <c r="G194" s="75">
        <f t="shared" ca="1" si="224"/>
        <v>0</v>
      </c>
      <c r="H194" s="74">
        <v>10</v>
      </c>
      <c r="I194" s="75">
        <f t="shared" ca="1" si="225"/>
        <v>1.4245014245014245E-2</v>
      </c>
      <c r="J194" s="74">
        <v>3</v>
      </c>
      <c r="K194" s="75">
        <f t="shared" ca="1" si="226"/>
        <v>1.5544041450777202E-2</v>
      </c>
      <c r="L194" s="74">
        <v>5</v>
      </c>
      <c r="M194" s="75">
        <f t="shared" ca="1" si="227"/>
        <v>3.1645569620253167E-2</v>
      </c>
      <c r="N194" s="76">
        <f t="shared" ca="1" si="221"/>
        <v>18</v>
      </c>
      <c r="W194" s="22" t="s">
        <v>21</v>
      </c>
      <c r="X194" s="74">
        <v>0</v>
      </c>
      <c r="Y194" s="75">
        <f t="shared" ca="1" si="222"/>
        <v>0</v>
      </c>
      <c r="Z194" s="74">
        <v>1103042</v>
      </c>
      <c r="AA194" s="75">
        <f t="shared" ca="1" si="222"/>
        <v>9.1318747755819631E-3</v>
      </c>
      <c r="AB194" s="74">
        <v>398384.57000000007</v>
      </c>
      <c r="AC194" s="75">
        <f t="shared" ca="1" si="219"/>
        <v>6.5149384773271011E-3</v>
      </c>
      <c r="AD194" s="74">
        <v>4940</v>
      </c>
      <c r="AE194" s="75">
        <f t="shared" ca="1" si="220"/>
        <v>1.5513555204389521E-3</v>
      </c>
      <c r="AF194" s="76">
        <f t="shared" ca="1" si="223"/>
        <v>1506366.57</v>
      </c>
    </row>
    <row r="195" spans="5:48" x14ac:dyDescent="0.4">
      <c r="E195" s="22" t="s">
        <v>22</v>
      </c>
      <c r="F195" s="74">
        <v>2</v>
      </c>
      <c r="G195" s="75">
        <f t="shared" ca="1" si="224"/>
        <v>8.9686098654708519E-3</v>
      </c>
      <c r="H195" s="74">
        <v>11</v>
      </c>
      <c r="I195" s="75">
        <f t="shared" ca="1" si="225"/>
        <v>1.5669515669515671E-2</v>
      </c>
      <c r="J195" s="74">
        <v>1</v>
      </c>
      <c r="K195" s="75">
        <f t="shared" ca="1" si="226"/>
        <v>5.1813471502590676E-3</v>
      </c>
      <c r="L195" s="74">
        <v>2</v>
      </c>
      <c r="M195" s="75">
        <f t="shared" ca="1" si="227"/>
        <v>1.2658227848101266E-2</v>
      </c>
      <c r="N195" s="76">
        <f t="shared" ca="1" si="221"/>
        <v>16</v>
      </c>
      <c r="W195" s="22" t="s">
        <v>22</v>
      </c>
      <c r="X195" s="74">
        <v>150261</v>
      </c>
      <c r="Y195" s="75">
        <f t="shared" ca="1" si="222"/>
        <v>5.3258503023532371E-3</v>
      </c>
      <c r="Z195" s="74">
        <v>830647.69</v>
      </c>
      <c r="AA195" s="75">
        <f t="shared" ca="1" si="222"/>
        <v>6.8767741280082043E-3</v>
      </c>
      <c r="AB195" s="74">
        <v>120000</v>
      </c>
      <c r="AC195" s="75">
        <f t="shared" ca="1" si="219"/>
        <v>1.9624068705252616E-3</v>
      </c>
      <c r="AD195" s="74">
        <v>2007</v>
      </c>
      <c r="AE195" s="75">
        <f t="shared" ca="1" si="220"/>
        <v>6.3027743512570375E-4</v>
      </c>
      <c r="AF195" s="76">
        <f t="shared" ca="1" si="223"/>
        <v>1102915.69</v>
      </c>
    </row>
    <row r="196" spans="5:48" x14ac:dyDescent="0.4">
      <c r="E196" s="22" t="s">
        <v>23</v>
      </c>
      <c r="F196" s="74">
        <v>3</v>
      </c>
      <c r="G196" s="75">
        <f t="shared" ca="1" si="224"/>
        <v>1.3452914798206279E-2</v>
      </c>
      <c r="H196" s="74">
        <v>3</v>
      </c>
      <c r="I196" s="75">
        <f t="shared" ca="1" si="225"/>
        <v>4.2735042735042739E-3</v>
      </c>
      <c r="J196" s="74">
        <v>4</v>
      </c>
      <c r="K196" s="75">
        <f t="shared" ca="1" si="226"/>
        <v>2.072538860103627E-2</v>
      </c>
      <c r="L196" s="74">
        <v>2</v>
      </c>
      <c r="M196" s="75">
        <f t="shared" ca="1" si="227"/>
        <v>1.2658227848101266E-2</v>
      </c>
      <c r="N196" s="76">
        <f t="shared" ca="1" si="221"/>
        <v>12</v>
      </c>
      <c r="W196" s="22" t="s">
        <v>23</v>
      </c>
      <c r="X196" s="74">
        <v>650000</v>
      </c>
      <c r="Y196" s="75">
        <f t="shared" ca="1" si="222"/>
        <v>2.3038597483908692E-2</v>
      </c>
      <c r="Z196" s="74">
        <v>371234.87999999989</v>
      </c>
      <c r="AA196" s="75">
        <f t="shared" ca="1" si="222"/>
        <v>3.0733829142391639E-3</v>
      </c>
      <c r="AB196" s="74">
        <v>414245.6</v>
      </c>
      <c r="AC196" s="75">
        <f t="shared" ca="1" si="219"/>
        <v>6.7743200960404936E-3</v>
      </c>
      <c r="AD196" s="74">
        <v>331582</v>
      </c>
      <c r="AE196" s="75">
        <f t="shared" ca="1" si="220"/>
        <v>0.10412987169598958</v>
      </c>
      <c r="AF196" s="76">
        <f t="shared" ca="1" si="223"/>
        <v>1767062.48</v>
      </c>
    </row>
    <row r="197" spans="5:48" x14ac:dyDescent="0.4">
      <c r="E197" s="23" t="s">
        <v>24</v>
      </c>
      <c r="F197" s="77">
        <v>4</v>
      </c>
      <c r="G197" s="78">
        <f t="shared" ca="1" si="224"/>
        <v>1.7937219730941704E-2</v>
      </c>
      <c r="H197" s="77">
        <v>30</v>
      </c>
      <c r="I197" s="78">
        <f t="shared" ca="1" si="225"/>
        <v>4.2735042735042736E-2</v>
      </c>
      <c r="J197" s="77">
        <v>9</v>
      </c>
      <c r="K197" s="78">
        <f t="shared" ca="1" si="226"/>
        <v>4.6632124352331605E-2</v>
      </c>
      <c r="L197" s="77">
        <v>20</v>
      </c>
      <c r="M197" s="78">
        <f t="shared" ca="1" si="227"/>
        <v>0.12658227848101267</v>
      </c>
      <c r="N197" s="79">
        <f t="shared" ca="1" si="221"/>
        <v>63</v>
      </c>
      <c r="W197" s="23" t="s">
        <v>24</v>
      </c>
      <c r="X197" s="77">
        <v>326531</v>
      </c>
      <c r="Y197" s="78">
        <f t="shared" ca="1" si="222"/>
        <v>1.1573563500027983E-2</v>
      </c>
      <c r="Z197" s="77">
        <v>2867660.9399999995</v>
      </c>
      <c r="AA197" s="78">
        <f t="shared" ca="1" si="222"/>
        <v>2.3740819119224522E-2</v>
      </c>
      <c r="AB197" s="77">
        <v>1046456.2199999999</v>
      </c>
      <c r="AC197" s="78">
        <f t="shared" ca="1" si="219"/>
        <v>1.711310729859912E-2</v>
      </c>
      <c r="AD197" s="77">
        <v>131523</v>
      </c>
      <c r="AE197" s="78">
        <f t="shared" ca="1" si="220"/>
        <v>4.1303427553581434E-2</v>
      </c>
      <c r="AF197" s="79">
        <f t="shared" ca="1" si="223"/>
        <v>4372171.1599999992</v>
      </c>
    </row>
    <row r="198" spans="5:48" x14ac:dyDescent="0.4">
      <c r="E198" s="27" t="s">
        <v>25</v>
      </c>
      <c r="F198" s="80">
        <f ca="1">SUM(F190:F197)</f>
        <v>223</v>
      </c>
      <c r="G198" s="81">
        <f t="shared" ca="1" si="224"/>
        <v>1</v>
      </c>
      <c r="H198" s="80">
        <f ca="1">SUM(H190:H197)</f>
        <v>702</v>
      </c>
      <c r="I198" s="81">
        <f t="shared" ca="1" si="225"/>
        <v>1</v>
      </c>
      <c r="J198" s="80">
        <f ca="1">SUM(J190:J197)</f>
        <v>193</v>
      </c>
      <c r="K198" s="81">
        <f t="shared" ca="1" si="226"/>
        <v>1</v>
      </c>
      <c r="L198" s="80">
        <f ca="1">SUM(L190:L197)</f>
        <v>158</v>
      </c>
      <c r="M198" s="81">
        <f t="shared" ca="1" si="227"/>
        <v>1</v>
      </c>
      <c r="N198" s="82">
        <f t="shared" ca="1" si="221"/>
        <v>1276</v>
      </c>
      <c r="W198" s="27" t="s">
        <v>25</v>
      </c>
      <c r="X198" s="80">
        <f ca="1">SUM(X190:X197)</f>
        <v>28213523</v>
      </c>
      <c r="Y198" s="81">
        <f ca="1">X198/X$198</f>
        <v>1</v>
      </c>
      <c r="Z198" s="80">
        <f ca="1">SUM(Z190:Z197)</f>
        <v>120790311.63999996</v>
      </c>
      <c r="AA198" s="81">
        <f ca="1">IFERROR(Z198/Z$198,0)</f>
        <v>1</v>
      </c>
      <c r="AB198" s="80">
        <f ca="1">SUM(AB190:AB197)</f>
        <v>61149398.629999995</v>
      </c>
      <c r="AC198" s="81">
        <f ca="1">IFERROR(AB198/AB$198,0)</f>
        <v>1</v>
      </c>
      <c r="AD198" s="80">
        <f ca="1">SUM(AD190:AD197)</f>
        <v>3184312</v>
      </c>
      <c r="AE198" s="81">
        <f ca="1">IFERROR(AD198/AD$198,0)</f>
        <v>1</v>
      </c>
      <c r="AF198" s="82">
        <f t="shared" ca="1" si="223"/>
        <v>213337545.26999995</v>
      </c>
    </row>
    <row r="199" spans="5:48" x14ac:dyDescent="0.4">
      <c r="E199" s="83" t="s">
        <v>26</v>
      </c>
      <c r="F199" s="33">
        <f ca="1">F198/$N$198</f>
        <v>0.17476489028213166</v>
      </c>
      <c r="G199" s="33"/>
      <c r="H199" s="33">
        <f ca="1">H198/$N$198</f>
        <v>0.55015673981191227</v>
      </c>
      <c r="I199" s="33"/>
      <c r="J199" s="33">
        <f ca="1">J198/$N$198</f>
        <v>0.15125391849529782</v>
      </c>
      <c r="K199" s="33"/>
      <c r="L199" s="33">
        <f ca="1">L198/$N$198</f>
        <v>0.1238244514106583</v>
      </c>
      <c r="M199" s="33"/>
      <c r="N199" s="84">
        <f ca="1">N198/N198</f>
        <v>1</v>
      </c>
      <c r="W199" s="83" t="s">
        <v>26</v>
      </c>
      <c r="X199" s="33">
        <f ca="1">X198/$AF$198</f>
        <v>0.13224827802482197</v>
      </c>
      <c r="Y199" s="33"/>
      <c r="Z199" s="33">
        <f ca="1">Z198/$AF$198</f>
        <v>0.56619340719950517</v>
      </c>
      <c r="AA199" s="33"/>
      <c r="AB199" s="33">
        <f ca="1">AB198/$AF$198</f>
        <v>0.28663214696976724</v>
      </c>
      <c r="AC199" s="33"/>
      <c r="AD199" s="33">
        <f ca="1">AD198/$AF$198</f>
        <v>1.4926167805905591E-2</v>
      </c>
      <c r="AE199" s="33"/>
      <c r="AF199" s="84">
        <f ca="1">AF198/AF198</f>
        <v>1</v>
      </c>
    </row>
    <row r="201" spans="5:48" x14ac:dyDescent="0.4">
      <c r="E201" s="2" t="s">
        <v>43</v>
      </c>
      <c r="F201" s="2"/>
      <c r="G201" s="2"/>
      <c r="H201" s="2"/>
      <c r="I201" s="2"/>
      <c r="J201" s="2"/>
      <c r="K201" s="2"/>
      <c r="L201" s="2"/>
      <c r="M201" s="2"/>
      <c r="N201" s="2"/>
      <c r="W201" s="2" t="s">
        <v>43</v>
      </c>
      <c r="X201" s="2"/>
      <c r="Y201" s="2"/>
      <c r="Z201" s="2"/>
      <c r="AA201" s="2"/>
      <c r="AB201" s="2"/>
      <c r="AC201" s="2"/>
      <c r="AD201" s="2"/>
      <c r="AE201" s="2"/>
      <c r="AF201" s="2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</row>
    <row r="202" spans="5:48" x14ac:dyDescent="0.4"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</row>
    <row r="203" spans="5:48" x14ac:dyDescent="0.4">
      <c r="E203" s="67" t="s">
        <v>35</v>
      </c>
      <c r="F203" s="68"/>
      <c r="G203" s="68"/>
      <c r="H203" s="68"/>
      <c r="I203" s="68"/>
      <c r="J203" s="68"/>
      <c r="K203" s="68"/>
      <c r="L203" s="68"/>
      <c r="M203" s="68"/>
      <c r="N203" s="69"/>
      <c r="W203" s="67" t="s">
        <v>35</v>
      </c>
      <c r="X203" s="68"/>
      <c r="Y203" s="68"/>
      <c r="Z203" s="68"/>
      <c r="AA203" s="68"/>
      <c r="AB203" s="68"/>
      <c r="AC203" s="68"/>
      <c r="AD203" s="68"/>
      <c r="AE203" s="68"/>
      <c r="AF203" s="69"/>
    </row>
    <row r="204" spans="5:48" ht="21" customHeight="1" x14ac:dyDescent="0.4">
      <c r="E204" s="70"/>
      <c r="F204" s="71" t="s">
        <v>36</v>
      </c>
      <c r="G204" s="71"/>
      <c r="H204" s="71" t="s">
        <v>37</v>
      </c>
      <c r="I204" s="71"/>
      <c r="J204" s="71" t="s">
        <v>38</v>
      </c>
      <c r="K204" s="71"/>
      <c r="L204" s="71" t="s">
        <v>39</v>
      </c>
      <c r="M204" s="71"/>
      <c r="N204" s="7" t="s">
        <v>10</v>
      </c>
      <c r="W204" s="70"/>
      <c r="X204" s="71" t="s">
        <v>36</v>
      </c>
      <c r="Y204" s="71"/>
      <c r="Z204" s="71" t="s">
        <v>37</v>
      </c>
      <c r="AA204" s="71"/>
      <c r="AB204" s="71" t="s">
        <v>38</v>
      </c>
      <c r="AC204" s="71"/>
      <c r="AD204" s="71" t="s">
        <v>39</v>
      </c>
      <c r="AE204" s="71"/>
      <c r="AF204" s="7" t="s">
        <v>10</v>
      </c>
    </row>
    <row r="205" spans="5:48" x14ac:dyDescent="0.4">
      <c r="E205" s="8" t="s">
        <v>11</v>
      </c>
      <c r="F205" s="8" t="s">
        <v>12</v>
      </c>
      <c r="G205" s="8" t="s">
        <v>13</v>
      </c>
      <c r="H205" s="8" t="s">
        <v>12</v>
      </c>
      <c r="I205" s="8" t="s">
        <v>13</v>
      </c>
      <c r="J205" s="8" t="s">
        <v>12</v>
      </c>
      <c r="K205" s="8" t="s">
        <v>13</v>
      </c>
      <c r="L205" s="8" t="s">
        <v>12</v>
      </c>
      <c r="M205" s="8" t="s">
        <v>13</v>
      </c>
      <c r="N205" s="7"/>
      <c r="W205" s="8" t="s">
        <v>11</v>
      </c>
      <c r="X205" s="8" t="s">
        <v>14</v>
      </c>
      <c r="Y205" s="8" t="s">
        <v>13</v>
      </c>
      <c r="Z205" s="8" t="s">
        <v>14</v>
      </c>
      <c r="AA205" s="8" t="s">
        <v>13</v>
      </c>
      <c r="AB205" s="8" t="s">
        <v>14</v>
      </c>
      <c r="AC205" s="8" t="s">
        <v>13</v>
      </c>
      <c r="AD205" s="8" t="s">
        <v>14</v>
      </c>
      <c r="AE205" s="8" t="s">
        <v>13</v>
      </c>
      <c r="AF205" s="7"/>
    </row>
    <row r="206" spans="5:48" x14ac:dyDescent="0.4">
      <c r="E206" s="9" t="s">
        <v>15</v>
      </c>
      <c r="F206" s="72">
        <v>11354</v>
      </c>
      <c r="G206" s="73">
        <f ca="1">F206/F$216</f>
        <v>0.61911772724794156</v>
      </c>
      <c r="H206" s="72">
        <v>19288</v>
      </c>
      <c r="I206" s="73">
        <f ca="1">H206/H$216</f>
        <v>0.38924765902486275</v>
      </c>
      <c r="J206" s="72">
        <v>5929</v>
      </c>
      <c r="K206" s="73">
        <f ca="1">J206/J$216</f>
        <v>0.43346980552712383</v>
      </c>
      <c r="L206" s="72">
        <v>7879</v>
      </c>
      <c r="M206" s="73">
        <f ca="1">L206/L$216</f>
        <v>0.52411361670990486</v>
      </c>
      <c r="N206" s="60">
        <f ca="1">SUM(F206,H206,J206,L206)</f>
        <v>44450</v>
      </c>
      <c r="W206" s="9" t="s">
        <v>15</v>
      </c>
      <c r="X206" s="72">
        <v>1756705941</v>
      </c>
      <c r="Y206" s="73">
        <f ca="1">X206/X$216</f>
        <v>0.67006514137518602</v>
      </c>
      <c r="Z206" s="72">
        <v>4691085485.4599876</v>
      </c>
      <c r="AA206" s="73">
        <f ca="1">Z206/Z$216</f>
        <v>0.50889739199627892</v>
      </c>
      <c r="AB206" s="72">
        <v>2175034881.2999959</v>
      </c>
      <c r="AC206" s="73">
        <f t="shared" ref="AC206:AC216" ca="1" si="228">AB206/AB$216</f>
        <v>0.64957400072356053</v>
      </c>
      <c r="AD206" s="72">
        <v>535242666</v>
      </c>
      <c r="AE206" s="73">
        <f t="shared" ref="AE206:AE216" ca="1" si="229">AD206/AD$216</f>
        <v>0.63690812408797137</v>
      </c>
      <c r="AF206" s="60">
        <f ca="1">SUM(X206,Z206,AB206,AD206)</f>
        <v>9158068973.7599831</v>
      </c>
    </row>
    <row r="207" spans="5:48" x14ac:dyDescent="0.4">
      <c r="E207" s="14" t="s">
        <v>16</v>
      </c>
      <c r="F207" s="74">
        <v>4196</v>
      </c>
      <c r="G207" s="75">
        <f ca="1">F207/F$216</f>
        <v>0.22880200665248923</v>
      </c>
      <c r="H207" s="74">
        <v>14161</v>
      </c>
      <c r="I207" s="75">
        <f ca="1">H207/H$216</f>
        <v>0.28578059412334517</v>
      </c>
      <c r="J207" s="74">
        <v>3754</v>
      </c>
      <c r="K207" s="75">
        <f ca="1">J207/J$216</f>
        <v>0.27445532972656822</v>
      </c>
      <c r="L207" s="74">
        <v>3227</v>
      </c>
      <c r="M207" s="75">
        <f ca="1">L207/L$216</f>
        <v>0.21466107895962216</v>
      </c>
      <c r="N207" s="76">
        <f t="shared" ref="N207:N216" ca="1" si="230">SUM(F207,H207,J207,L207)</f>
        <v>25338</v>
      </c>
      <c r="W207" s="14" t="s">
        <v>16</v>
      </c>
      <c r="X207" s="74">
        <v>553554608</v>
      </c>
      <c r="Y207" s="75">
        <f ca="1">X207/X$216</f>
        <v>0.21114384485844104</v>
      </c>
      <c r="Z207" s="74">
        <v>2383610421.7000041</v>
      </c>
      <c r="AA207" s="75">
        <f ca="1">Z207/Z$216</f>
        <v>0.25857834629064319</v>
      </c>
      <c r="AB207" s="74">
        <v>678663016.60000002</v>
      </c>
      <c r="AC207" s="75">
        <f t="shared" ca="1" si="228"/>
        <v>0.20268265793167214</v>
      </c>
      <c r="AD207" s="74">
        <v>159910324</v>
      </c>
      <c r="AE207" s="75">
        <f t="shared" ca="1" si="229"/>
        <v>0.19028412895832131</v>
      </c>
      <c r="AF207" s="76">
        <f t="shared" ref="AF207:AF216" ca="1" si="231">SUM(X207,Z207,AB207,AD207)</f>
        <v>3775738370.300004</v>
      </c>
    </row>
    <row r="208" spans="5:48" x14ac:dyDescent="0.4">
      <c r="E208" s="18" t="s">
        <v>17</v>
      </c>
      <c r="F208" s="19">
        <f ca="1">+SUM(F206:F207)</f>
        <v>15550</v>
      </c>
      <c r="G208" s="20">
        <f ca="1">+F208/$F$216</f>
        <v>0.84791973390043074</v>
      </c>
      <c r="H208" s="19">
        <f ca="1">+SUM(H206:H207)</f>
        <v>33449</v>
      </c>
      <c r="I208" s="20">
        <f ca="1">+H208/$H$216</f>
        <v>0.67502825314820791</v>
      </c>
      <c r="J208" s="19">
        <f ca="1">+SUM(J206:J207)</f>
        <v>9683</v>
      </c>
      <c r="K208" s="20">
        <f ca="1">+J208/$J$216</f>
        <v>0.70792513525369205</v>
      </c>
      <c r="L208" s="19">
        <f ca="1">+SUM(L206:L207)</f>
        <v>11106</v>
      </c>
      <c r="M208" s="20">
        <f ca="1">+L208/$L$216</f>
        <v>0.73877469566952703</v>
      </c>
      <c r="N208" s="21">
        <f t="shared" ca="1" si="230"/>
        <v>69788</v>
      </c>
      <c r="W208" s="18" t="s">
        <v>17</v>
      </c>
      <c r="X208" s="19">
        <f ca="1">+SUM(X206:X207)</f>
        <v>2310260549</v>
      </c>
      <c r="Y208" s="20">
        <f t="shared" ref="Y208:AA215" ca="1" si="232">X208/X$216</f>
        <v>0.88120898623362709</v>
      </c>
      <c r="Z208" s="19">
        <f ca="1">+SUM(Z206:Z207)</f>
        <v>7074695907.1599922</v>
      </c>
      <c r="AA208" s="20">
        <f t="shared" ca="1" si="232"/>
        <v>0.76747573828692217</v>
      </c>
      <c r="AB208" s="19">
        <f ca="1">+SUM(AB206:AB207)</f>
        <v>2853697897.8999958</v>
      </c>
      <c r="AC208" s="20">
        <f t="shared" ca="1" si="228"/>
        <v>0.8522566586552327</v>
      </c>
      <c r="AD208" s="19">
        <f ca="1">+SUM(AD206:AD207)</f>
        <v>695152990</v>
      </c>
      <c r="AE208" s="20">
        <f t="shared" ca="1" si="229"/>
        <v>0.82719225304629262</v>
      </c>
      <c r="AF208" s="21">
        <f t="shared" ca="1" si="231"/>
        <v>12933807344.059988</v>
      </c>
    </row>
    <row r="209" spans="5:65" x14ac:dyDescent="0.4">
      <c r="E209" s="22" t="s">
        <v>18</v>
      </c>
      <c r="F209" s="74">
        <v>1010</v>
      </c>
      <c r="G209" s="75">
        <f t="shared" ref="G209:G216" ca="1" si="233">F209/F$216</f>
        <v>5.5073886253339879E-2</v>
      </c>
      <c r="H209" s="74">
        <v>4461</v>
      </c>
      <c r="I209" s="75">
        <f t="shared" ref="I209:I216" ca="1" si="234">H209/H$216</f>
        <v>9.0026638682596055E-2</v>
      </c>
      <c r="J209" s="74">
        <v>1067</v>
      </c>
      <c r="K209" s="75">
        <f t="shared" ref="K209:K216" ca="1" si="235">J209/J$216</f>
        <v>7.8008480772042699E-2</v>
      </c>
      <c r="L209" s="74">
        <v>794</v>
      </c>
      <c r="M209" s="75">
        <f t="shared" ref="M209:M216" ca="1" si="236">L209/L$216</f>
        <v>5.2817135634936473E-2</v>
      </c>
      <c r="N209" s="76">
        <f t="shared" ca="1" si="230"/>
        <v>7332</v>
      </c>
      <c r="W209" s="22" t="s">
        <v>18</v>
      </c>
      <c r="X209" s="74">
        <v>108061509</v>
      </c>
      <c r="Y209" s="75">
        <f t="shared" ca="1" si="232"/>
        <v>4.1218196293047626E-2</v>
      </c>
      <c r="Z209" s="74">
        <v>617561820.93999887</v>
      </c>
      <c r="AA209" s="75">
        <f t="shared" ca="1" si="232"/>
        <v>6.6994217233289646E-2</v>
      </c>
      <c r="AB209" s="74">
        <v>144491251.85000002</v>
      </c>
      <c r="AC209" s="75">
        <f t="shared" ca="1" si="228"/>
        <v>4.3152301299031248E-2</v>
      </c>
      <c r="AD209" s="74">
        <v>33825402</v>
      </c>
      <c r="AE209" s="75">
        <f t="shared" ca="1" si="229"/>
        <v>4.0250291508602411E-2</v>
      </c>
      <c r="AF209" s="76">
        <f t="shared" ca="1" si="231"/>
        <v>903939983.78999889</v>
      </c>
    </row>
    <row r="210" spans="5:65" x14ac:dyDescent="0.4">
      <c r="E210" s="22" t="s">
        <v>19</v>
      </c>
      <c r="F210" s="74">
        <v>766</v>
      </c>
      <c r="G210" s="75">
        <f t="shared" ca="1" si="233"/>
        <v>4.1768907792136975E-2</v>
      </c>
      <c r="H210" s="74">
        <v>5596</v>
      </c>
      <c r="I210" s="75">
        <f t="shared" ca="1" si="234"/>
        <v>0.11293186955117857</v>
      </c>
      <c r="J210" s="74">
        <v>1235</v>
      </c>
      <c r="K210" s="75">
        <f t="shared" ca="1" si="235"/>
        <v>9.0290978213189058E-2</v>
      </c>
      <c r="L210" s="74">
        <v>951</v>
      </c>
      <c r="M210" s="75">
        <f t="shared" ca="1" si="236"/>
        <v>6.3260826182398727E-2</v>
      </c>
      <c r="N210" s="76">
        <f t="shared" ca="1" si="230"/>
        <v>8548</v>
      </c>
      <c r="W210" s="22" t="s">
        <v>19</v>
      </c>
      <c r="X210" s="74">
        <v>80731012</v>
      </c>
      <c r="Y210" s="75">
        <f t="shared" ca="1" si="232"/>
        <v>3.0793450233536745E-2</v>
      </c>
      <c r="Z210" s="74">
        <v>781422811.62999856</v>
      </c>
      <c r="AA210" s="75">
        <f t="shared" ca="1" si="232"/>
        <v>8.4770152263791587E-2</v>
      </c>
      <c r="AB210" s="74">
        <v>165343794.67000014</v>
      </c>
      <c r="AC210" s="75">
        <f t="shared" ca="1" si="228"/>
        <v>4.9379911615216592E-2</v>
      </c>
      <c r="AD210" s="74">
        <v>36716594</v>
      </c>
      <c r="AE210" s="75">
        <f t="shared" ca="1" si="229"/>
        <v>4.3690644436480075E-2</v>
      </c>
      <c r="AF210" s="76">
        <f t="shared" ca="1" si="231"/>
        <v>1064214212.2999988</v>
      </c>
    </row>
    <row r="211" spans="5:65" x14ac:dyDescent="0.4">
      <c r="E211" s="22" t="s">
        <v>20</v>
      </c>
      <c r="F211" s="74">
        <v>231</v>
      </c>
      <c r="G211" s="75">
        <f t="shared" ca="1" si="233"/>
        <v>1.2596106657942091E-2</v>
      </c>
      <c r="H211" s="74">
        <v>2214</v>
      </c>
      <c r="I211" s="75">
        <f t="shared" ca="1" si="234"/>
        <v>4.4680335808847269E-2</v>
      </c>
      <c r="J211" s="74">
        <v>473</v>
      </c>
      <c r="K211" s="75">
        <f t="shared" ca="1" si="235"/>
        <v>3.4581079105132327E-2</v>
      </c>
      <c r="L211" s="74">
        <v>385</v>
      </c>
      <c r="M211" s="75">
        <f t="shared" ca="1" si="236"/>
        <v>2.5610323953967937E-2</v>
      </c>
      <c r="N211" s="76">
        <f t="shared" ca="1" si="230"/>
        <v>3303</v>
      </c>
      <c r="W211" s="22" t="s">
        <v>20</v>
      </c>
      <c r="X211" s="74">
        <v>21617416</v>
      </c>
      <c r="Y211" s="75">
        <f t="shared" ca="1" si="232"/>
        <v>8.2455899818729018E-3</v>
      </c>
      <c r="Z211" s="74">
        <v>289867083.67999977</v>
      </c>
      <c r="AA211" s="75">
        <f t="shared" ca="1" si="232"/>
        <v>3.1445302663431339E-2</v>
      </c>
      <c r="AB211" s="74">
        <v>58798830.31000001</v>
      </c>
      <c r="AC211" s="75">
        <f t="shared" ca="1" si="228"/>
        <v>1.7560266168928834E-2</v>
      </c>
      <c r="AD211" s="74">
        <v>14848465</v>
      </c>
      <c r="AE211" s="75">
        <f t="shared" ca="1" si="229"/>
        <v>1.7668823114216945E-2</v>
      </c>
      <c r="AF211" s="76">
        <f t="shared" ca="1" si="231"/>
        <v>385131794.98999977</v>
      </c>
    </row>
    <row r="212" spans="5:65" x14ac:dyDescent="0.4">
      <c r="E212" s="22" t="s">
        <v>21</v>
      </c>
      <c r="F212" s="74">
        <v>117</v>
      </c>
      <c r="G212" s="75">
        <f t="shared" ca="1" si="233"/>
        <v>6.3798462293472927E-3</v>
      </c>
      <c r="H212" s="74">
        <v>1060</v>
      </c>
      <c r="I212" s="75">
        <f t="shared" ca="1" si="234"/>
        <v>2.1391669357442685E-2</v>
      </c>
      <c r="J212" s="74">
        <v>244</v>
      </c>
      <c r="K212" s="75">
        <f t="shared" ca="1" si="235"/>
        <v>1.783886533118877E-2</v>
      </c>
      <c r="L212" s="74">
        <v>248</v>
      </c>
      <c r="M212" s="75">
        <f t="shared" ca="1" si="236"/>
        <v>1.6497039845672853E-2</v>
      </c>
      <c r="N212" s="76">
        <f t="shared" ca="1" si="230"/>
        <v>1669</v>
      </c>
      <c r="W212" s="22" t="s">
        <v>21</v>
      </c>
      <c r="X212" s="74">
        <v>16216218</v>
      </c>
      <c r="Y212" s="75">
        <f t="shared" ca="1" si="232"/>
        <v>6.1853962880978478E-3</v>
      </c>
      <c r="Z212" s="74">
        <v>145505037.70000011</v>
      </c>
      <c r="AA212" s="75">
        <f t="shared" ca="1" si="232"/>
        <v>1.5784648230640706E-2</v>
      </c>
      <c r="AB212" s="74">
        <v>27504253.900000006</v>
      </c>
      <c r="AC212" s="75">
        <f t="shared" ca="1" si="228"/>
        <v>8.2141433208010178E-3</v>
      </c>
      <c r="AD212" s="74">
        <v>8714050</v>
      </c>
      <c r="AE212" s="75">
        <f t="shared" ca="1" si="229"/>
        <v>1.0369220526057215E-2</v>
      </c>
      <c r="AF212" s="76">
        <f t="shared" ca="1" si="231"/>
        <v>197939559.60000011</v>
      </c>
    </row>
    <row r="213" spans="5:65" x14ac:dyDescent="0.4">
      <c r="E213" s="22" t="s">
        <v>22</v>
      </c>
      <c r="F213" s="74">
        <v>99</v>
      </c>
      <c r="G213" s="75">
        <f t="shared" ca="1" si="233"/>
        <v>5.3983314248323248E-3</v>
      </c>
      <c r="H213" s="74">
        <v>636</v>
      </c>
      <c r="I213" s="75">
        <f t="shared" ca="1" si="234"/>
        <v>1.2835001614465612E-2</v>
      </c>
      <c r="J213" s="74">
        <v>187</v>
      </c>
      <c r="K213" s="75">
        <f t="shared" ca="1" si="235"/>
        <v>1.3671589413656968E-2</v>
      </c>
      <c r="L213" s="74">
        <v>179</v>
      </c>
      <c r="M213" s="75">
        <f t="shared" ca="1" si="236"/>
        <v>1.1907137630546133E-2</v>
      </c>
      <c r="N213" s="76">
        <f t="shared" ca="1" si="230"/>
        <v>1101</v>
      </c>
      <c r="W213" s="22" t="s">
        <v>22</v>
      </c>
      <c r="X213" s="74">
        <v>14935557</v>
      </c>
      <c r="Y213" s="75">
        <f t="shared" ca="1" si="232"/>
        <v>5.6969102677624228E-3</v>
      </c>
      <c r="Z213" s="74">
        <v>75941208.410000026</v>
      </c>
      <c r="AA213" s="75">
        <f t="shared" ca="1" si="232"/>
        <v>8.2382388947460014E-3</v>
      </c>
      <c r="AB213" s="74">
        <v>21172123.610000003</v>
      </c>
      <c r="AC213" s="75">
        <f t="shared" ca="1" si="228"/>
        <v>6.3230530946434809E-3</v>
      </c>
      <c r="AD213" s="74">
        <v>5267683</v>
      </c>
      <c r="AE213" s="75">
        <f t="shared" ca="1" si="229"/>
        <v>6.2682411379740366E-3</v>
      </c>
      <c r="AF213" s="76">
        <f t="shared" ca="1" si="231"/>
        <v>117316572.02000003</v>
      </c>
    </row>
    <row r="214" spans="5:65" x14ac:dyDescent="0.4">
      <c r="E214" s="22" t="s">
        <v>23</v>
      </c>
      <c r="F214" s="74">
        <v>57</v>
      </c>
      <c r="G214" s="75">
        <f t="shared" ca="1" si="233"/>
        <v>3.108130214297399E-3</v>
      </c>
      <c r="H214" s="74">
        <v>411</v>
      </c>
      <c r="I214" s="75">
        <f t="shared" ca="1" si="234"/>
        <v>8.2943170810461739E-3</v>
      </c>
      <c r="J214" s="74">
        <v>130</v>
      </c>
      <c r="K214" s="75">
        <f t="shared" ca="1" si="235"/>
        <v>9.5043134961251639E-3</v>
      </c>
      <c r="L214" s="74">
        <v>155</v>
      </c>
      <c r="M214" s="75">
        <f t="shared" ca="1" si="236"/>
        <v>1.0310649903545533E-2</v>
      </c>
      <c r="N214" s="76">
        <f t="shared" ca="1" si="230"/>
        <v>753</v>
      </c>
      <c r="W214" s="22" t="s">
        <v>23</v>
      </c>
      <c r="X214" s="74">
        <v>4922839</v>
      </c>
      <c r="Y214" s="75">
        <f t="shared" ca="1" si="232"/>
        <v>1.8777319148955275E-3</v>
      </c>
      <c r="Z214" s="74">
        <v>55995375.649999999</v>
      </c>
      <c r="AA214" s="75">
        <f t="shared" ca="1" si="232"/>
        <v>6.0744790774885562E-3</v>
      </c>
      <c r="AB214" s="74">
        <v>15076828.030000001</v>
      </c>
      <c r="AC214" s="75">
        <f t="shared" ca="1" si="228"/>
        <v>4.5026935364892795E-3</v>
      </c>
      <c r="AD214" s="74">
        <v>4773642</v>
      </c>
      <c r="AE214" s="75">
        <f t="shared" ca="1" si="229"/>
        <v>5.6803606371834932E-3</v>
      </c>
      <c r="AF214" s="76">
        <f t="shared" ca="1" si="231"/>
        <v>80768684.680000007</v>
      </c>
    </row>
    <row r="215" spans="5:65" x14ac:dyDescent="0.4">
      <c r="E215" s="23" t="s">
        <v>24</v>
      </c>
      <c r="F215" s="77">
        <v>509</v>
      </c>
      <c r="G215" s="78">
        <f t="shared" ca="1" si="233"/>
        <v>2.7755057527673266E-2</v>
      </c>
      <c r="H215" s="77">
        <v>1725</v>
      </c>
      <c r="I215" s="78">
        <f t="shared" ca="1" si="234"/>
        <v>3.4811914756215694E-2</v>
      </c>
      <c r="J215" s="77">
        <v>659</v>
      </c>
      <c r="K215" s="78">
        <f t="shared" ca="1" si="235"/>
        <v>4.8179558414972949E-2</v>
      </c>
      <c r="L215" s="77">
        <v>1215</v>
      </c>
      <c r="M215" s="78">
        <f t="shared" ca="1" si="236"/>
        <v>8.0822191179405312E-2</v>
      </c>
      <c r="N215" s="79">
        <f t="shared" ca="1" si="230"/>
        <v>4108</v>
      </c>
      <c r="W215" s="23" t="s">
        <v>24</v>
      </c>
      <c r="X215" s="77">
        <v>64949169</v>
      </c>
      <c r="Y215" s="78">
        <f t="shared" ca="1" si="232"/>
        <v>2.4773738787159855E-2</v>
      </c>
      <c r="Z215" s="77">
        <v>177146982.76000005</v>
      </c>
      <c r="AA215" s="78">
        <f t="shared" ca="1" si="232"/>
        <v>1.921722334969006E-2</v>
      </c>
      <c r="AB215" s="77">
        <v>62317016.849999994</v>
      </c>
      <c r="AC215" s="78">
        <f t="shared" ca="1" si="228"/>
        <v>1.8610972309656866E-2</v>
      </c>
      <c r="AD215" s="77">
        <v>41077746</v>
      </c>
      <c r="AE215" s="78">
        <f t="shared" ca="1" si="229"/>
        <v>4.8880165593193144E-2</v>
      </c>
      <c r="AF215" s="79">
        <f t="shared" ca="1" si="231"/>
        <v>345490914.61000001</v>
      </c>
    </row>
    <row r="216" spans="5:65" x14ac:dyDescent="0.4">
      <c r="E216" s="27" t="s">
        <v>25</v>
      </c>
      <c r="F216" s="80">
        <f ca="1">SUM(F208:F215)</f>
        <v>18339</v>
      </c>
      <c r="G216" s="81">
        <f t="shared" ca="1" si="233"/>
        <v>1</v>
      </c>
      <c r="H216" s="80">
        <f ca="1">SUM(H208:H215)</f>
        <v>49552</v>
      </c>
      <c r="I216" s="81">
        <f t="shared" ca="1" si="234"/>
        <v>1</v>
      </c>
      <c r="J216" s="80">
        <f ca="1">SUM(J208:J215)</f>
        <v>13678</v>
      </c>
      <c r="K216" s="81">
        <f t="shared" ca="1" si="235"/>
        <v>1</v>
      </c>
      <c r="L216" s="80">
        <f ca="1">SUM(L208:L215)</f>
        <v>15033</v>
      </c>
      <c r="M216" s="81">
        <f t="shared" ca="1" si="236"/>
        <v>1</v>
      </c>
      <c r="N216" s="82">
        <f t="shared" ca="1" si="230"/>
        <v>96602</v>
      </c>
      <c r="W216" s="27" t="s">
        <v>25</v>
      </c>
      <c r="X216" s="80">
        <f ca="1">SUM(X208:X215)</f>
        <v>2621694269</v>
      </c>
      <c r="Y216" s="81">
        <f ca="1">X216/X$216</f>
        <v>1</v>
      </c>
      <c r="Z216" s="80">
        <f ca="1">SUM(Z208:Z215)</f>
        <v>9218136227.9299889</v>
      </c>
      <c r="AA216" s="81">
        <f ca="1">Z216/Z$216</f>
        <v>1</v>
      </c>
      <c r="AB216" s="80">
        <f ca="1">SUM(AB208:AB215)</f>
        <v>3348401997.1199961</v>
      </c>
      <c r="AC216" s="81">
        <f t="shared" ca="1" si="228"/>
        <v>1</v>
      </c>
      <c r="AD216" s="80">
        <f ca="1">SUM(AD208:AD215)</f>
        <v>840376572</v>
      </c>
      <c r="AE216" s="81">
        <f t="shared" ca="1" si="229"/>
        <v>1</v>
      </c>
      <c r="AF216" s="82">
        <f t="shared" ca="1" si="231"/>
        <v>16028609066.049984</v>
      </c>
    </row>
    <row r="217" spans="5:65" x14ac:dyDescent="0.4">
      <c r="E217" s="83" t="s">
        <v>26</v>
      </c>
      <c r="F217" s="33">
        <f ca="1">F216/$N$216</f>
        <v>0.18984079004575474</v>
      </c>
      <c r="G217" s="33"/>
      <c r="H217" s="33">
        <f ca="1">H216/$N$216</f>
        <v>0.51295004244218545</v>
      </c>
      <c r="I217" s="33"/>
      <c r="J217" s="33">
        <f ca="1">J216/$N$216</f>
        <v>0.14159127140224839</v>
      </c>
      <c r="K217" s="33"/>
      <c r="L217" s="33">
        <f ca="1">L216/$N$216</f>
        <v>0.15561789610981139</v>
      </c>
      <c r="M217" s="33"/>
      <c r="N217" s="84">
        <f ca="1">N216/N216</f>
        <v>1</v>
      </c>
      <c r="W217" s="83" t="s">
        <v>26</v>
      </c>
      <c r="X217" s="33">
        <f ca="1">X216/$AF$216</f>
        <v>0.16356342950262484</v>
      </c>
      <c r="Y217" s="33"/>
      <c r="Z217" s="33">
        <f ca="1">Z216/$AF$216</f>
        <v>0.57510518785156595</v>
      </c>
      <c r="AA217" s="33"/>
      <c r="AB217" s="33">
        <f ca="1">AB216/$AF$216</f>
        <v>0.20890159484968715</v>
      </c>
      <c r="AC217" s="33"/>
      <c r="AD217" s="33">
        <f ca="1">AD216/$AF$216</f>
        <v>5.2429787796122132E-2</v>
      </c>
      <c r="AE217" s="33"/>
      <c r="AF217" s="84">
        <f ca="1">AF216/AF216</f>
        <v>1</v>
      </c>
    </row>
    <row r="219" spans="5:65" x14ac:dyDescent="0.4">
      <c r="E219" s="67" t="s">
        <v>40</v>
      </c>
      <c r="F219" s="68"/>
      <c r="G219" s="68"/>
      <c r="H219" s="68"/>
      <c r="I219" s="68"/>
      <c r="J219" s="68"/>
      <c r="K219" s="68"/>
      <c r="L219" s="68"/>
      <c r="M219" s="68"/>
      <c r="N219" s="69"/>
      <c r="W219" s="67" t="s">
        <v>40</v>
      </c>
      <c r="X219" s="68"/>
      <c r="Y219" s="68"/>
      <c r="Z219" s="68"/>
      <c r="AA219" s="68"/>
      <c r="AB219" s="68"/>
      <c r="AC219" s="68"/>
      <c r="AD219" s="68"/>
      <c r="AE219" s="68"/>
      <c r="AF219" s="69"/>
      <c r="AM219" s="67" t="s">
        <v>44</v>
      </c>
      <c r="AN219" s="68"/>
      <c r="AO219" s="68"/>
      <c r="AP219" s="68"/>
      <c r="AQ219" s="68"/>
      <c r="AR219" s="68"/>
      <c r="AS219" s="68"/>
      <c r="AT219" s="68"/>
      <c r="AU219" s="68"/>
      <c r="AV219" s="69"/>
      <c r="BD219" s="67" t="s">
        <v>45</v>
      </c>
      <c r="BE219" s="68"/>
      <c r="BF219" s="68"/>
      <c r="BG219" s="68"/>
      <c r="BH219" s="68"/>
      <c r="BI219" s="68"/>
      <c r="BJ219" s="68"/>
      <c r="BK219" s="68"/>
      <c r="BL219" s="68"/>
      <c r="BM219" s="69"/>
    </row>
    <row r="220" spans="5:65" ht="21" customHeight="1" x14ac:dyDescent="0.4">
      <c r="E220" s="70"/>
      <c r="F220" s="71" t="s">
        <v>36</v>
      </c>
      <c r="G220" s="71"/>
      <c r="H220" s="71" t="s">
        <v>37</v>
      </c>
      <c r="I220" s="71"/>
      <c r="J220" s="71" t="s">
        <v>38</v>
      </c>
      <c r="K220" s="71"/>
      <c r="L220" s="71" t="s">
        <v>39</v>
      </c>
      <c r="M220" s="71"/>
      <c r="N220" s="7" t="s">
        <v>10</v>
      </c>
      <c r="W220" s="70"/>
      <c r="X220" s="71" t="s">
        <v>36</v>
      </c>
      <c r="Y220" s="71"/>
      <c r="Z220" s="71" t="s">
        <v>37</v>
      </c>
      <c r="AA220" s="71"/>
      <c r="AB220" s="71" t="s">
        <v>38</v>
      </c>
      <c r="AC220" s="71"/>
      <c r="AD220" s="71" t="s">
        <v>39</v>
      </c>
      <c r="AE220" s="71"/>
      <c r="AF220" s="7" t="s">
        <v>10</v>
      </c>
      <c r="AM220" s="70"/>
      <c r="AN220" s="71" t="s">
        <v>36</v>
      </c>
      <c r="AO220" s="71"/>
      <c r="AP220" s="71" t="s">
        <v>37</v>
      </c>
      <c r="AQ220" s="71"/>
      <c r="AR220" s="71" t="s">
        <v>38</v>
      </c>
      <c r="AS220" s="71"/>
      <c r="AT220" s="71" t="s">
        <v>39</v>
      </c>
      <c r="AU220" s="71"/>
      <c r="AV220" s="7" t="s">
        <v>10</v>
      </c>
      <c r="BD220" s="70"/>
      <c r="BE220" s="71" t="s">
        <v>36</v>
      </c>
      <c r="BF220" s="71"/>
      <c r="BG220" s="71" t="s">
        <v>37</v>
      </c>
      <c r="BH220" s="71"/>
      <c r="BI220" s="71" t="s">
        <v>38</v>
      </c>
      <c r="BJ220" s="71"/>
      <c r="BK220" s="71" t="s">
        <v>39</v>
      </c>
      <c r="BL220" s="71"/>
      <c r="BM220" s="7" t="s">
        <v>10</v>
      </c>
    </row>
    <row r="221" spans="5:65" x14ac:dyDescent="0.4">
      <c r="E221" s="8" t="s">
        <v>11</v>
      </c>
      <c r="F221" s="8" t="s">
        <v>12</v>
      </c>
      <c r="G221" s="8" t="s">
        <v>13</v>
      </c>
      <c r="H221" s="8" t="s">
        <v>12</v>
      </c>
      <c r="I221" s="8" t="s">
        <v>13</v>
      </c>
      <c r="J221" s="8" t="s">
        <v>12</v>
      </c>
      <c r="K221" s="8" t="s">
        <v>13</v>
      </c>
      <c r="L221" s="8" t="s">
        <v>12</v>
      </c>
      <c r="M221" s="8" t="s">
        <v>13</v>
      </c>
      <c r="N221" s="7"/>
      <c r="W221" s="8" t="s">
        <v>11</v>
      </c>
      <c r="X221" s="8" t="s">
        <v>14</v>
      </c>
      <c r="Y221" s="8" t="s">
        <v>13</v>
      </c>
      <c r="Z221" s="8" t="s">
        <v>14</v>
      </c>
      <c r="AA221" s="8" t="s">
        <v>13</v>
      </c>
      <c r="AB221" s="8" t="s">
        <v>14</v>
      </c>
      <c r="AC221" s="8" t="s">
        <v>13</v>
      </c>
      <c r="AD221" s="8" t="s">
        <v>14</v>
      </c>
      <c r="AE221" s="8" t="s">
        <v>13</v>
      </c>
      <c r="AF221" s="7"/>
      <c r="AM221" s="8" t="s">
        <v>11</v>
      </c>
      <c r="AN221" s="8" t="s">
        <v>12</v>
      </c>
      <c r="AO221" s="8" t="s">
        <v>13</v>
      </c>
      <c r="AP221" s="8" t="s">
        <v>12</v>
      </c>
      <c r="AQ221" s="8" t="s">
        <v>13</v>
      </c>
      <c r="AR221" s="8" t="s">
        <v>12</v>
      </c>
      <c r="AS221" s="8" t="s">
        <v>13</v>
      </c>
      <c r="AT221" s="8" t="s">
        <v>12</v>
      </c>
      <c r="AU221" s="8" t="s">
        <v>13</v>
      </c>
      <c r="AV221" s="7"/>
      <c r="BD221" s="8" t="s">
        <v>11</v>
      </c>
      <c r="BE221" s="8" t="s">
        <v>14</v>
      </c>
      <c r="BF221" s="8" t="s">
        <v>13</v>
      </c>
      <c r="BG221" s="8" t="s">
        <v>14</v>
      </c>
      <c r="BH221" s="8" t="s">
        <v>13</v>
      </c>
      <c r="BI221" s="8" t="s">
        <v>14</v>
      </c>
      <c r="BJ221" s="8" t="s">
        <v>13</v>
      </c>
      <c r="BK221" s="8" t="s">
        <v>14</v>
      </c>
      <c r="BL221" s="8" t="s">
        <v>13</v>
      </c>
      <c r="BM221" s="7"/>
    </row>
    <row r="222" spans="5:65" x14ac:dyDescent="0.4">
      <c r="E222" s="9" t="s">
        <v>15</v>
      </c>
      <c r="F222" s="72">
        <v>179</v>
      </c>
      <c r="G222" s="73">
        <f ca="1">F222/F$232</f>
        <v>0.55763239875389403</v>
      </c>
      <c r="H222" s="72">
        <v>992</v>
      </c>
      <c r="I222" s="73">
        <f ca="1">H222/H$232</f>
        <v>0.61386138613861385</v>
      </c>
      <c r="J222" s="72">
        <v>258</v>
      </c>
      <c r="K222" s="73">
        <f t="shared" ref="K222:K232" ca="1" si="237">J222/J$232</f>
        <v>0.69729729729729728</v>
      </c>
      <c r="L222" s="72">
        <v>235</v>
      </c>
      <c r="M222" s="73">
        <f t="shared" ref="M222:M232" ca="1" si="238">L222/L$232</f>
        <v>0.625</v>
      </c>
      <c r="N222" s="60">
        <f ca="1">SUM(F222,H222,J222,L222)</f>
        <v>1664</v>
      </c>
      <c r="W222" s="9" t="s">
        <v>15</v>
      </c>
      <c r="X222" s="72">
        <v>28248005</v>
      </c>
      <c r="Y222" s="73">
        <f ca="1">X222/X$232</f>
        <v>0.67849547546064026</v>
      </c>
      <c r="Z222" s="72">
        <v>248958259.42999995</v>
      </c>
      <c r="AA222" s="73">
        <f ca="1">Z222/Z$232</f>
        <v>0.69555658867323034</v>
      </c>
      <c r="AB222" s="72">
        <v>120833566.22999997</v>
      </c>
      <c r="AC222" s="73">
        <f t="shared" ref="AC222:AC231" ca="1" si="239">AB222/AB$232</f>
        <v>0.84473190449521052</v>
      </c>
      <c r="AD222" s="72">
        <v>5974432</v>
      </c>
      <c r="AE222" s="73">
        <f t="shared" ref="AE222:AE231" ca="1" si="240">AD222/AD$232</f>
        <v>0.67464787937165394</v>
      </c>
      <c r="AF222" s="60">
        <f ca="1">SUM(X222,Z222,AB222,AD222)</f>
        <v>404014262.65999991</v>
      </c>
      <c r="AM222" s="35" t="s">
        <v>15</v>
      </c>
      <c r="AN222" s="85">
        <v>179</v>
      </c>
      <c r="AO222" s="86">
        <f ca="1">AN222/AN$232</f>
        <v>0.55763239875389403</v>
      </c>
      <c r="AP222" s="85">
        <v>992</v>
      </c>
      <c r="AQ222" s="86">
        <f ca="1">AP222/AP$232</f>
        <v>0.61386138613861385</v>
      </c>
      <c r="AR222" s="85">
        <v>258</v>
      </c>
      <c r="AS222" s="86">
        <f t="shared" ref="AS222:AS232" ca="1" si="241">AR222/AR$232</f>
        <v>0.69729729729729728</v>
      </c>
      <c r="AT222" s="85">
        <v>235</v>
      </c>
      <c r="AU222" s="86">
        <f t="shared" ref="AU222:AU232" ca="1" si="242">AT222/AT$232</f>
        <v>0.625</v>
      </c>
      <c r="AV222" s="61">
        <f ca="1">SUM(AN222,AP222,AR222,AT222)</f>
        <v>1664</v>
      </c>
      <c r="BD222" s="35" t="s">
        <v>15</v>
      </c>
      <c r="BE222" s="85">
        <v>28248005</v>
      </c>
      <c r="BF222" s="86">
        <f ca="1">BE222/BE$232</f>
        <v>0.67849547546064026</v>
      </c>
      <c r="BG222" s="85">
        <v>248958259.42999995</v>
      </c>
      <c r="BH222" s="86">
        <f ca="1">BG222/BG$232</f>
        <v>0.69555658867323034</v>
      </c>
      <c r="BI222" s="85">
        <v>120833566.22999997</v>
      </c>
      <c r="BJ222" s="86">
        <f t="shared" ref="BJ222:BJ231" ca="1" si="243">BI222/BI$232</f>
        <v>0.84473190449521052</v>
      </c>
      <c r="BK222" s="85">
        <v>5984401</v>
      </c>
      <c r="BL222" s="86">
        <f t="shared" ref="BL222:BL231" ca="1" si="244">BK222/BK$232</f>
        <v>0.67501387667406942</v>
      </c>
      <c r="BM222" s="61">
        <f ca="1">SUM(BE222,BG222,BI222,BK222)</f>
        <v>404024231.65999991</v>
      </c>
    </row>
    <row r="223" spans="5:65" x14ac:dyDescent="0.4">
      <c r="E223" s="14" t="s">
        <v>16</v>
      </c>
      <c r="F223" s="74">
        <v>79</v>
      </c>
      <c r="G223" s="75">
        <f t="shared" ref="G223:I232" ca="1" si="245">F223/F$232</f>
        <v>0.24610591900311526</v>
      </c>
      <c r="H223" s="74">
        <v>506</v>
      </c>
      <c r="I223" s="75">
        <f t="shared" ca="1" si="245"/>
        <v>0.31311881188118812</v>
      </c>
      <c r="J223" s="74">
        <v>90</v>
      </c>
      <c r="K223" s="75">
        <f t="shared" ca="1" si="237"/>
        <v>0.24324324324324326</v>
      </c>
      <c r="L223" s="74">
        <v>117</v>
      </c>
      <c r="M223" s="75">
        <f t="shared" ca="1" si="238"/>
        <v>0.31117021276595747</v>
      </c>
      <c r="N223" s="76">
        <f t="shared" ref="N223:N232" ca="1" si="246">SUM(F223,H223,J223,L223)</f>
        <v>792</v>
      </c>
      <c r="W223" s="14" t="s">
        <v>16</v>
      </c>
      <c r="X223" s="74">
        <v>7013115</v>
      </c>
      <c r="Y223" s="75">
        <f t="shared" ref="Y223:AA231" ca="1" si="247">X223/X$232</f>
        <v>0.1684496585293421</v>
      </c>
      <c r="Z223" s="74">
        <v>91662250.179999992</v>
      </c>
      <c r="AA223" s="75">
        <f t="shared" ca="1" si="247"/>
        <v>0.25609225494781973</v>
      </c>
      <c r="AB223" s="74">
        <v>19686572.449999992</v>
      </c>
      <c r="AC223" s="75">
        <f t="shared" ca="1" si="239"/>
        <v>0.13762629340110175</v>
      </c>
      <c r="AD223" s="74">
        <v>2618646</v>
      </c>
      <c r="AE223" s="75">
        <f t="shared" ca="1" si="240"/>
        <v>0.29570408881129856</v>
      </c>
      <c r="AF223" s="76">
        <f t="shared" ref="AF223:AF232" ca="1" si="248">SUM(X223,Z223,AB223,AD223)</f>
        <v>120980583.62999998</v>
      </c>
      <c r="AM223" s="39" t="s">
        <v>16</v>
      </c>
      <c r="AN223" s="87">
        <v>79</v>
      </c>
      <c r="AO223" s="88">
        <f t="shared" ref="AO223:AQ231" ca="1" si="249">AN223/AN$232</f>
        <v>0.24610591900311526</v>
      </c>
      <c r="AP223" s="87">
        <v>506</v>
      </c>
      <c r="AQ223" s="88">
        <f t="shared" ca="1" si="249"/>
        <v>0.31311881188118812</v>
      </c>
      <c r="AR223" s="87">
        <v>90</v>
      </c>
      <c r="AS223" s="88">
        <f t="shared" ca="1" si="241"/>
        <v>0.24324324324324326</v>
      </c>
      <c r="AT223" s="87">
        <v>117</v>
      </c>
      <c r="AU223" s="88">
        <f t="shared" ca="1" si="242"/>
        <v>0.31117021276595747</v>
      </c>
      <c r="AV223" s="89">
        <f t="shared" ref="AV223:AV232" ca="1" si="250">SUM(AN223,AP223,AR223,AT223)</f>
        <v>792</v>
      </c>
      <c r="BD223" s="39" t="s">
        <v>16</v>
      </c>
      <c r="BE223" s="87">
        <v>7013115</v>
      </c>
      <c r="BF223" s="88">
        <f t="shared" ref="BF223:BF231" ca="1" si="251">BE223/BE$232</f>
        <v>0.1684496585293421</v>
      </c>
      <c r="BG223" s="87">
        <v>91662250.179999992</v>
      </c>
      <c r="BH223" s="88">
        <f t="shared" ref="BH223:BH231" ca="1" si="252">BG223/BG$232</f>
        <v>0.25609225494781973</v>
      </c>
      <c r="BI223" s="87">
        <v>19686572.449999992</v>
      </c>
      <c r="BJ223" s="88">
        <f t="shared" ca="1" si="243"/>
        <v>0.13762629340110175</v>
      </c>
      <c r="BK223" s="87">
        <v>2618644</v>
      </c>
      <c r="BL223" s="88">
        <f t="shared" ca="1" si="244"/>
        <v>0.29537142281563217</v>
      </c>
      <c r="BM223" s="89">
        <f t="shared" ref="BM223:BM232" ca="1" si="253">SUM(BE223,BG223,BI223,BK223)</f>
        <v>120980581.62999998</v>
      </c>
    </row>
    <row r="224" spans="5:65" x14ac:dyDescent="0.4">
      <c r="E224" s="18" t="s">
        <v>17</v>
      </c>
      <c r="F224" s="19">
        <f ca="1">+SUM(F222:F223)</f>
        <v>258</v>
      </c>
      <c r="G224" s="20">
        <f t="shared" ca="1" si="245"/>
        <v>0.80373831775700932</v>
      </c>
      <c r="H224" s="19">
        <f ca="1">+SUM(H222:H223)</f>
        <v>1498</v>
      </c>
      <c r="I224" s="20">
        <f t="shared" ca="1" si="245"/>
        <v>0.92698019801980203</v>
      </c>
      <c r="J224" s="19">
        <f ca="1">+SUM(J222:J223)</f>
        <v>348</v>
      </c>
      <c r="K224" s="20">
        <f t="shared" ca="1" si="237"/>
        <v>0.94054054054054059</v>
      </c>
      <c r="L224" s="19">
        <f ca="1">+SUM(L222:L223)</f>
        <v>352</v>
      </c>
      <c r="M224" s="20">
        <f t="shared" ca="1" si="238"/>
        <v>0.93617021276595747</v>
      </c>
      <c r="N224" s="99">
        <f t="shared" ca="1" si="246"/>
        <v>2456</v>
      </c>
      <c r="W224" s="18" t="s">
        <v>17</v>
      </c>
      <c r="X224" s="19">
        <f ca="1">+SUM(X222:X223)</f>
        <v>35261120</v>
      </c>
      <c r="Y224" s="20">
        <f t="shared" ca="1" si="247"/>
        <v>0.84694513398998239</v>
      </c>
      <c r="Z224" s="19">
        <f ca="1">+SUM(Z222:Z223)</f>
        <v>340620509.60999995</v>
      </c>
      <c r="AA224" s="20">
        <f t="shared" ca="1" si="247"/>
        <v>0.95164884362105007</v>
      </c>
      <c r="AB224" s="19">
        <f ca="1">+SUM(AB222:AB223)</f>
        <v>140520138.67999998</v>
      </c>
      <c r="AC224" s="20">
        <f t="shared" ca="1" si="239"/>
        <v>0.9823581978963124</v>
      </c>
      <c r="AD224" s="19">
        <f ca="1">+SUM(AD222:AD223)</f>
        <v>8593078</v>
      </c>
      <c r="AE224" s="20">
        <f t="shared" ca="1" si="240"/>
        <v>0.97035196818295255</v>
      </c>
      <c r="AF224" s="21">
        <f t="shared" ca="1" si="248"/>
        <v>524994846.28999996</v>
      </c>
      <c r="AM224" s="43" t="s">
        <v>17</v>
      </c>
      <c r="AN224" s="44">
        <f ca="1">+SUM(AN222:AN223)</f>
        <v>258</v>
      </c>
      <c r="AO224" s="45">
        <f t="shared" ca="1" si="249"/>
        <v>0.80373831775700932</v>
      </c>
      <c r="AP224" s="44">
        <f ca="1">+SUM(AP222:AP223)</f>
        <v>1498</v>
      </c>
      <c r="AQ224" s="45">
        <f t="shared" ca="1" si="249"/>
        <v>0.92698019801980203</v>
      </c>
      <c r="AR224" s="44">
        <f ca="1">+SUM(AR222:AR223)</f>
        <v>348</v>
      </c>
      <c r="AS224" s="45">
        <f t="shared" ca="1" si="241"/>
        <v>0.94054054054054059</v>
      </c>
      <c r="AT224" s="44">
        <f ca="1">+SUM(AT222:AT223)</f>
        <v>352</v>
      </c>
      <c r="AU224" s="45">
        <f t="shared" ca="1" si="242"/>
        <v>0.93617021276595747</v>
      </c>
      <c r="AV224" s="100">
        <f t="shared" ca="1" si="250"/>
        <v>2456</v>
      </c>
      <c r="BD224" s="43" t="s">
        <v>17</v>
      </c>
      <c r="BE224" s="44">
        <f ca="1">+SUM(BE222:BE223)</f>
        <v>35261120</v>
      </c>
      <c r="BF224" s="45">
        <f t="shared" ca="1" si="251"/>
        <v>0.84694513398998239</v>
      </c>
      <c r="BG224" s="44">
        <f ca="1">+SUM(BG222:BG223)</f>
        <v>340620509.60999995</v>
      </c>
      <c r="BH224" s="45">
        <f t="shared" ca="1" si="252"/>
        <v>0.95164884362105007</v>
      </c>
      <c r="BI224" s="44">
        <f ca="1">+SUM(BI222:BI223)</f>
        <v>140520138.67999998</v>
      </c>
      <c r="BJ224" s="45">
        <f t="shared" ca="1" si="243"/>
        <v>0.9823581978963124</v>
      </c>
      <c r="BK224" s="44">
        <f ca="1">+SUM(BK222:BK223)</f>
        <v>8603045</v>
      </c>
      <c r="BL224" s="45">
        <f t="shared" ca="1" si="244"/>
        <v>0.97038529948970165</v>
      </c>
      <c r="BM224" s="46">
        <f t="shared" ca="1" si="253"/>
        <v>525004813.28999996</v>
      </c>
    </row>
    <row r="225" spans="5:65" x14ac:dyDescent="0.4">
      <c r="E225" s="22" t="s">
        <v>18</v>
      </c>
      <c r="F225" s="74">
        <v>62</v>
      </c>
      <c r="G225" s="75">
        <f t="shared" ca="1" si="245"/>
        <v>0.19314641744548286</v>
      </c>
      <c r="H225" s="74">
        <v>94</v>
      </c>
      <c r="I225" s="75">
        <f t="shared" ca="1" si="245"/>
        <v>5.8168316831683171E-2</v>
      </c>
      <c r="J225" s="74">
        <v>12</v>
      </c>
      <c r="K225" s="75">
        <f t="shared" ca="1" si="237"/>
        <v>3.2432432432432434E-2</v>
      </c>
      <c r="L225" s="74">
        <v>19</v>
      </c>
      <c r="M225" s="75">
        <f t="shared" ca="1" si="238"/>
        <v>5.0531914893617018E-2</v>
      </c>
      <c r="N225" s="76">
        <f t="shared" ca="1" si="246"/>
        <v>187</v>
      </c>
      <c r="W225" s="22" t="s">
        <v>18</v>
      </c>
      <c r="X225" s="74">
        <v>6322179</v>
      </c>
      <c r="Y225" s="75">
        <f t="shared" ca="1" si="247"/>
        <v>0.15185390425101791</v>
      </c>
      <c r="Z225" s="74">
        <v>14016853.069999998</v>
      </c>
      <c r="AA225" s="75">
        <f t="shared" ca="1" si="247"/>
        <v>3.9161241437118834E-2</v>
      </c>
      <c r="AB225" s="74">
        <v>1386381.81</v>
      </c>
      <c r="AC225" s="75">
        <f t="shared" ca="1" si="239"/>
        <v>9.6920167405276578E-3</v>
      </c>
      <c r="AD225" s="74">
        <v>238673</v>
      </c>
      <c r="AE225" s="75">
        <f t="shared" ca="1" si="240"/>
        <v>2.6951555112397423E-2</v>
      </c>
      <c r="AF225" s="76">
        <f t="shared" ca="1" si="248"/>
        <v>21964086.879999999</v>
      </c>
      <c r="AM225" s="47" t="s">
        <v>18</v>
      </c>
      <c r="AN225" s="87">
        <v>62</v>
      </c>
      <c r="AO225" s="88">
        <f t="shared" ca="1" si="249"/>
        <v>0.19314641744548286</v>
      </c>
      <c r="AP225" s="87">
        <v>94</v>
      </c>
      <c r="AQ225" s="88">
        <f t="shared" ca="1" si="249"/>
        <v>5.8168316831683171E-2</v>
      </c>
      <c r="AR225" s="87">
        <v>12</v>
      </c>
      <c r="AS225" s="88">
        <f t="shared" ca="1" si="241"/>
        <v>3.2432432432432434E-2</v>
      </c>
      <c r="AT225" s="87">
        <v>19</v>
      </c>
      <c r="AU225" s="88">
        <f t="shared" ca="1" si="242"/>
        <v>5.0531914893617018E-2</v>
      </c>
      <c r="AV225" s="89">
        <f t="shared" ca="1" si="250"/>
        <v>187</v>
      </c>
      <c r="BD225" s="47" t="s">
        <v>18</v>
      </c>
      <c r="BE225" s="87">
        <v>6322179</v>
      </c>
      <c r="BF225" s="88">
        <f t="shared" ca="1" si="251"/>
        <v>0.15185390425101791</v>
      </c>
      <c r="BG225" s="87">
        <v>14016853.069999998</v>
      </c>
      <c r="BH225" s="88">
        <f t="shared" ca="1" si="252"/>
        <v>3.9161241437118834E-2</v>
      </c>
      <c r="BI225" s="87">
        <v>1386381.81</v>
      </c>
      <c r="BJ225" s="88">
        <f t="shared" ca="1" si="243"/>
        <v>9.6920167405276578E-3</v>
      </c>
      <c r="BK225" s="87">
        <v>238673</v>
      </c>
      <c r="BL225" s="88">
        <f t="shared" ca="1" si="244"/>
        <v>2.6921255274743483E-2</v>
      </c>
      <c r="BM225" s="89">
        <f t="shared" ca="1" si="253"/>
        <v>21964086.879999999</v>
      </c>
    </row>
    <row r="226" spans="5:65" x14ac:dyDescent="0.4">
      <c r="E226" s="22" t="s">
        <v>19</v>
      </c>
      <c r="F226" s="74">
        <v>1</v>
      </c>
      <c r="G226" s="75">
        <f t="shared" ca="1" si="245"/>
        <v>3.1152647975077881E-3</v>
      </c>
      <c r="H226" s="74">
        <v>24</v>
      </c>
      <c r="I226" s="75">
        <f t="shared" ca="1" si="245"/>
        <v>1.4851485148514851E-2</v>
      </c>
      <c r="J226" s="74">
        <v>10</v>
      </c>
      <c r="K226" s="75">
        <f t="shared" ca="1" si="237"/>
        <v>2.7027027027027029E-2</v>
      </c>
      <c r="L226" s="74">
        <v>5</v>
      </c>
      <c r="M226" s="75">
        <f t="shared" ca="1" si="238"/>
        <v>1.3297872340425532E-2</v>
      </c>
      <c r="N226" s="76">
        <f t="shared" ca="1" si="246"/>
        <v>40</v>
      </c>
      <c r="W226" s="22" t="s">
        <v>19</v>
      </c>
      <c r="X226" s="74">
        <v>50000</v>
      </c>
      <c r="Y226" s="75">
        <f t="shared" ca="1" si="247"/>
        <v>1.2009617589996892E-3</v>
      </c>
      <c r="Z226" s="74">
        <v>3289315.7299999995</v>
      </c>
      <c r="AA226" s="75">
        <f t="shared" ca="1" si="247"/>
        <v>9.1899149418310042E-3</v>
      </c>
      <c r="AB226" s="74">
        <v>1137166.6100000001</v>
      </c>
      <c r="AC226" s="75">
        <f t="shared" ca="1" si="239"/>
        <v>7.9497853631598694E-3</v>
      </c>
      <c r="AD226" s="74">
        <v>23879</v>
      </c>
      <c r="AE226" s="75">
        <f t="shared" ca="1" si="240"/>
        <v>2.6964767046500364E-3</v>
      </c>
      <c r="AF226" s="76">
        <f t="shared" ca="1" si="248"/>
        <v>4500361.34</v>
      </c>
      <c r="AM226" s="47" t="s">
        <v>19</v>
      </c>
      <c r="AN226" s="87">
        <v>1</v>
      </c>
      <c r="AO226" s="88">
        <f t="shared" ca="1" si="249"/>
        <v>3.1152647975077881E-3</v>
      </c>
      <c r="AP226" s="87">
        <v>24</v>
      </c>
      <c r="AQ226" s="88">
        <f t="shared" ca="1" si="249"/>
        <v>1.4851485148514851E-2</v>
      </c>
      <c r="AR226" s="87">
        <v>10</v>
      </c>
      <c r="AS226" s="88">
        <f t="shared" ca="1" si="241"/>
        <v>2.7027027027027029E-2</v>
      </c>
      <c r="AT226" s="87">
        <v>5</v>
      </c>
      <c r="AU226" s="88">
        <f t="shared" ca="1" si="242"/>
        <v>1.3297872340425532E-2</v>
      </c>
      <c r="AV226" s="89">
        <f t="shared" ca="1" si="250"/>
        <v>40</v>
      </c>
      <c r="BD226" s="47" t="s">
        <v>19</v>
      </c>
      <c r="BE226" s="87">
        <v>50000</v>
      </c>
      <c r="BF226" s="88">
        <f t="shared" ca="1" si="251"/>
        <v>1.2009617589996892E-3</v>
      </c>
      <c r="BG226" s="87">
        <v>3289315.7299999995</v>
      </c>
      <c r="BH226" s="88">
        <f t="shared" ca="1" si="252"/>
        <v>9.1899149418310042E-3</v>
      </c>
      <c r="BI226" s="87">
        <v>1137166.6100000001</v>
      </c>
      <c r="BJ226" s="88">
        <f t="shared" ca="1" si="243"/>
        <v>7.9497853631598694E-3</v>
      </c>
      <c r="BK226" s="87">
        <v>23879</v>
      </c>
      <c r="BL226" s="88">
        <f t="shared" ca="1" si="244"/>
        <v>2.6934452355549211E-3</v>
      </c>
      <c r="BM226" s="89">
        <f t="shared" ca="1" si="253"/>
        <v>4500361.34</v>
      </c>
    </row>
    <row r="227" spans="5:65" x14ac:dyDescent="0.4">
      <c r="E227" s="22" t="s">
        <v>20</v>
      </c>
      <c r="F227" s="74">
        <v>0</v>
      </c>
      <c r="G227" s="75">
        <f t="shared" ca="1" si="245"/>
        <v>0</v>
      </c>
      <c r="H227" s="74">
        <v>0</v>
      </c>
      <c r="I227" s="75">
        <f t="shared" ca="1" si="245"/>
        <v>0</v>
      </c>
      <c r="J227" s="74">
        <v>0</v>
      </c>
      <c r="K227" s="75">
        <f t="shared" ca="1" si="237"/>
        <v>0</v>
      </c>
      <c r="L227" s="74">
        <v>0</v>
      </c>
      <c r="M227" s="75">
        <f t="shared" ca="1" si="238"/>
        <v>0</v>
      </c>
      <c r="N227" s="76">
        <f t="shared" ca="1" si="246"/>
        <v>0</v>
      </c>
      <c r="W227" s="22" t="s">
        <v>20</v>
      </c>
      <c r="X227" s="74">
        <v>0</v>
      </c>
      <c r="Y227" s="75">
        <f t="shared" ca="1" si="247"/>
        <v>0</v>
      </c>
      <c r="Z227" s="74">
        <v>0</v>
      </c>
      <c r="AA227" s="75">
        <f t="shared" ca="1" si="247"/>
        <v>0</v>
      </c>
      <c r="AB227" s="74">
        <v>0</v>
      </c>
      <c r="AC227" s="75">
        <f t="shared" ca="1" si="239"/>
        <v>0</v>
      </c>
      <c r="AD227" s="74">
        <v>0</v>
      </c>
      <c r="AE227" s="75">
        <f t="shared" ca="1" si="240"/>
        <v>0</v>
      </c>
      <c r="AF227" s="76">
        <f t="shared" ca="1" si="248"/>
        <v>0</v>
      </c>
      <c r="AM227" s="47" t="s">
        <v>20</v>
      </c>
      <c r="AN227" s="87">
        <v>0</v>
      </c>
      <c r="AO227" s="88">
        <f t="shared" ca="1" si="249"/>
        <v>0</v>
      </c>
      <c r="AP227" s="87">
        <v>0</v>
      </c>
      <c r="AQ227" s="88">
        <f t="shared" ca="1" si="249"/>
        <v>0</v>
      </c>
      <c r="AR227" s="87">
        <v>0</v>
      </c>
      <c r="AS227" s="88">
        <f t="shared" ca="1" si="241"/>
        <v>0</v>
      </c>
      <c r="AT227" s="87">
        <v>0</v>
      </c>
      <c r="AU227" s="88">
        <f t="shared" ca="1" si="242"/>
        <v>0</v>
      </c>
      <c r="AV227" s="89">
        <f t="shared" ca="1" si="250"/>
        <v>0</v>
      </c>
      <c r="BD227" s="47" t="s">
        <v>20</v>
      </c>
      <c r="BE227" s="87">
        <v>0</v>
      </c>
      <c r="BF227" s="88">
        <f t="shared" ca="1" si="251"/>
        <v>0</v>
      </c>
      <c r="BG227" s="87">
        <v>0</v>
      </c>
      <c r="BH227" s="88">
        <f t="shared" ca="1" si="252"/>
        <v>0</v>
      </c>
      <c r="BI227" s="87">
        <v>0</v>
      </c>
      <c r="BJ227" s="88">
        <f t="shared" ca="1" si="243"/>
        <v>0</v>
      </c>
      <c r="BK227" s="87">
        <v>0</v>
      </c>
      <c r="BL227" s="88">
        <f t="shared" ca="1" si="244"/>
        <v>0</v>
      </c>
      <c r="BM227" s="89">
        <f t="shared" ca="1" si="253"/>
        <v>0</v>
      </c>
    </row>
    <row r="228" spans="5:65" x14ac:dyDescent="0.4">
      <c r="E228" s="22" t="s">
        <v>21</v>
      </c>
      <c r="F228" s="74">
        <v>0</v>
      </c>
      <c r="G228" s="75">
        <f t="shared" ca="1" si="245"/>
        <v>0</v>
      </c>
      <c r="H228" s="74">
        <v>0</v>
      </c>
      <c r="I228" s="75">
        <f t="shared" ca="1" si="245"/>
        <v>0</v>
      </c>
      <c r="J228" s="74">
        <v>0</v>
      </c>
      <c r="K228" s="75">
        <f t="shared" ca="1" si="237"/>
        <v>0</v>
      </c>
      <c r="L228" s="74">
        <v>0</v>
      </c>
      <c r="M228" s="75">
        <f t="shared" ca="1" si="238"/>
        <v>0</v>
      </c>
      <c r="N228" s="76">
        <f t="shared" ca="1" si="246"/>
        <v>0</v>
      </c>
      <c r="W228" s="22" t="s">
        <v>21</v>
      </c>
      <c r="X228" s="74">
        <v>0</v>
      </c>
      <c r="Y228" s="75">
        <f t="shared" ca="1" si="247"/>
        <v>0</v>
      </c>
      <c r="Z228" s="74">
        <v>0</v>
      </c>
      <c r="AA228" s="75">
        <f t="shared" ca="1" si="247"/>
        <v>0</v>
      </c>
      <c r="AB228" s="74">
        <v>0</v>
      </c>
      <c r="AC228" s="75">
        <f t="shared" ca="1" si="239"/>
        <v>0</v>
      </c>
      <c r="AD228" s="74">
        <v>0</v>
      </c>
      <c r="AE228" s="75">
        <f t="shared" ca="1" si="240"/>
        <v>0</v>
      </c>
      <c r="AF228" s="76">
        <f t="shared" ca="1" si="248"/>
        <v>0</v>
      </c>
      <c r="AM228" s="47" t="s">
        <v>21</v>
      </c>
      <c r="AN228" s="87">
        <v>0</v>
      </c>
      <c r="AO228" s="88">
        <f t="shared" ca="1" si="249"/>
        <v>0</v>
      </c>
      <c r="AP228" s="87">
        <v>0</v>
      </c>
      <c r="AQ228" s="88">
        <f t="shared" ca="1" si="249"/>
        <v>0</v>
      </c>
      <c r="AR228" s="87">
        <v>0</v>
      </c>
      <c r="AS228" s="88">
        <f t="shared" ca="1" si="241"/>
        <v>0</v>
      </c>
      <c r="AT228" s="87">
        <v>0</v>
      </c>
      <c r="AU228" s="88">
        <f t="shared" ca="1" si="242"/>
        <v>0</v>
      </c>
      <c r="AV228" s="89">
        <f t="shared" ca="1" si="250"/>
        <v>0</v>
      </c>
      <c r="BD228" s="47" t="s">
        <v>21</v>
      </c>
      <c r="BE228" s="87">
        <v>0</v>
      </c>
      <c r="BF228" s="88">
        <f t="shared" ca="1" si="251"/>
        <v>0</v>
      </c>
      <c r="BG228" s="87">
        <v>0</v>
      </c>
      <c r="BH228" s="88">
        <f t="shared" ca="1" si="252"/>
        <v>0</v>
      </c>
      <c r="BI228" s="87">
        <v>0</v>
      </c>
      <c r="BJ228" s="88">
        <f t="shared" ca="1" si="243"/>
        <v>0</v>
      </c>
      <c r="BK228" s="87">
        <v>0</v>
      </c>
      <c r="BL228" s="88">
        <f t="shared" ca="1" si="244"/>
        <v>0</v>
      </c>
      <c r="BM228" s="89">
        <f t="shared" ca="1" si="253"/>
        <v>0</v>
      </c>
    </row>
    <row r="229" spans="5:65" x14ac:dyDescent="0.4">
      <c r="E229" s="22" t="s">
        <v>22</v>
      </c>
      <c r="F229" s="74">
        <v>0</v>
      </c>
      <c r="G229" s="75">
        <f t="shared" ca="1" si="245"/>
        <v>0</v>
      </c>
      <c r="H229" s="74">
        <v>0</v>
      </c>
      <c r="I229" s="75">
        <f t="shared" ca="1" si="245"/>
        <v>0</v>
      </c>
      <c r="J229" s="74">
        <v>0</v>
      </c>
      <c r="K229" s="75">
        <f t="shared" ca="1" si="237"/>
        <v>0</v>
      </c>
      <c r="L229" s="74">
        <v>0</v>
      </c>
      <c r="M229" s="75">
        <f t="shared" ca="1" si="238"/>
        <v>0</v>
      </c>
      <c r="N229" s="76">
        <f t="shared" ca="1" si="246"/>
        <v>0</v>
      </c>
      <c r="W229" s="22" t="s">
        <v>22</v>
      </c>
      <c r="X229" s="74">
        <v>0</v>
      </c>
      <c r="Y229" s="75">
        <f t="shared" ca="1" si="247"/>
        <v>0</v>
      </c>
      <c r="Z229" s="74">
        <v>0</v>
      </c>
      <c r="AA229" s="75">
        <f t="shared" ca="1" si="247"/>
        <v>0</v>
      </c>
      <c r="AB229" s="74">
        <v>0</v>
      </c>
      <c r="AC229" s="75">
        <f t="shared" ca="1" si="239"/>
        <v>0</v>
      </c>
      <c r="AD229" s="74">
        <v>0</v>
      </c>
      <c r="AE229" s="75">
        <f t="shared" ca="1" si="240"/>
        <v>0</v>
      </c>
      <c r="AF229" s="76">
        <f t="shared" ca="1" si="248"/>
        <v>0</v>
      </c>
      <c r="AM229" s="47" t="s">
        <v>22</v>
      </c>
      <c r="AN229" s="87">
        <v>0</v>
      </c>
      <c r="AO229" s="88">
        <f t="shared" ca="1" si="249"/>
        <v>0</v>
      </c>
      <c r="AP229" s="87">
        <v>0</v>
      </c>
      <c r="AQ229" s="88">
        <f t="shared" ca="1" si="249"/>
        <v>0</v>
      </c>
      <c r="AR229" s="87">
        <v>0</v>
      </c>
      <c r="AS229" s="88">
        <f t="shared" ca="1" si="241"/>
        <v>0</v>
      </c>
      <c r="AT229" s="87">
        <v>0</v>
      </c>
      <c r="AU229" s="88">
        <f t="shared" ca="1" si="242"/>
        <v>0</v>
      </c>
      <c r="AV229" s="89">
        <f t="shared" ca="1" si="250"/>
        <v>0</v>
      </c>
      <c r="BD229" s="47" t="s">
        <v>22</v>
      </c>
      <c r="BE229" s="87">
        <v>0</v>
      </c>
      <c r="BF229" s="88">
        <f t="shared" ca="1" si="251"/>
        <v>0</v>
      </c>
      <c r="BG229" s="87">
        <v>0</v>
      </c>
      <c r="BH229" s="88">
        <f t="shared" ca="1" si="252"/>
        <v>0</v>
      </c>
      <c r="BI229" s="87">
        <v>0</v>
      </c>
      <c r="BJ229" s="88">
        <f t="shared" ca="1" si="243"/>
        <v>0</v>
      </c>
      <c r="BK229" s="87">
        <v>0</v>
      </c>
      <c r="BL229" s="88">
        <f t="shared" ca="1" si="244"/>
        <v>0</v>
      </c>
      <c r="BM229" s="89">
        <f t="shared" ca="1" si="253"/>
        <v>0</v>
      </c>
    </row>
    <row r="230" spans="5:65" x14ac:dyDescent="0.4">
      <c r="E230" s="22" t="s">
        <v>23</v>
      </c>
      <c r="F230" s="74">
        <v>0</v>
      </c>
      <c r="G230" s="75">
        <f t="shared" ca="1" si="245"/>
        <v>0</v>
      </c>
      <c r="H230" s="74">
        <v>0</v>
      </c>
      <c r="I230" s="75">
        <f t="shared" ca="1" si="245"/>
        <v>0</v>
      </c>
      <c r="J230" s="74">
        <v>0</v>
      </c>
      <c r="K230" s="75">
        <f t="shared" ca="1" si="237"/>
        <v>0</v>
      </c>
      <c r="L230" s="74">
        <v>0</v>
      </c>
      <c r="M230" s="75">
        <f t="shared" ca="1" si="238"/>
        <v>0</v>
      </c>
      <c r="N230" s="76">
        <f t="shared" ca="1" si="246"/>
        <v>0</v>
      </c>
      <c r="W230" s="22" t="s">
        <v>23</v>
      </c>
      <c r="X230" s="74">
        <v>0</v>
      </c>
      <c r="Y230" s="75">
        <f t="shared" ca="1" si="247"/>
        <v>0</v>
      </c>
      <c r="Z230" s="74">
        <v>0</v>
      </c>
      <c r="AA230" s="75">
        <f t="shared" ca="1" si="247"/>
        <v>0</v>
      </c>
      <c r="AB230" s="74">
        <v>0</v>
      </c>
      <c r="AC230" s="75">
        <f t="shared" ca="1" si="239"/>
        <v>0</v>
      </c>
      <c r="AD230" s="74">
        <v>0</v>
      </c>
      <c r="AE230" s="75">
        <f t="shared" ca="1" si="240"/>
        <v>0</v>
      </c>
      <c r="AF230" s="76">
        <f t="shared" ca="1" si="248"/>
        <v>0</v>
      </c>
      <c r="AM230" s="47" t="s">
        <v>23</v>
      </c>
      <c r="AN230" s="87">
        <v>0</v>
      </c>
      <c r="AO230" s="88">
        <f t="shared" ca="1" si="249"/>
        <v>0</v>
      </c>
      <c r="AP230" s="87">
        <v>0</v>
      </c>
      <c r="AQ230" s="88">
        <f t="shared" ca="1" si="249"/>
        <v>0</v>
      </c>
      <c r="AR230" s="87">
        <v>0</v>
      </c>
      <c r="AS230" s="88">
        <f t="shared" ca="1" si="241"/>
        <v>0</v>
      </c>
      <c r="AT230" s="87">
        <v>0</v>
      </c>
      <c r="AU230" s="88">
        <f t="shared" ca="1" si="242"/>
        <v>0</v>
      </c>
      <c r="AV230" s="89">
        <f t="shared" ca="1" si="250"/>
        <v>0</v>
      </c>
      <c r="BD230" s="47" t="s">
        <v>23</v>
      </c>
      <c r="BE230" s="87">
        <v>0</v>
      </c>
      <c r="BF230" s="88">
        <f t="shared" ca="1" si="251"/>
        <v>0</v>
      </c>
      <c r="BG230" s="87">
        <v>0</v>
      </c>
      <c r="BH230" s="88">
        <f t="shared" ca="1" si="252"/>
        <v>0</v>
      </c>
      <c r="BI230" s="87">
        <v>0</v>
      </c>
      <c r="BJ230" s="88">
        <f t="shared" ca="1" si="243"/>
        <v>0</v>
      </c>
      <c r="BK230" s="87">
        <v>0</v>
      </c>
      <c r="BL230" s="88">
        <f t="shared" ca="1" si="244"/>
        <v>0</v>
      </c>
      <c r="BM230" s="89">
        <f t="shared" ca="1" si="253"/>
        <v>0</v>
      </c>
    </row>
    <row r="231" spans="5:65" x14ac:dyDescent="0.4">
      <c r="E231" s="23" t="s">
        <v>24</v>
      </c>
      <c r="F231" s="77">
        <v>0</v>
      </c>
      <c r="G231" s="78">
        <f t="shared" ca="1" si="245"/>
        <v>0</v>
      </c>
      <c r="H231" s="77">
        <v>0</v>
      </c>
      <c r="I231" s="78">
        <f t="shared" ca="1" si="245"/>
        <v>0</v>
      </c>
      <c r="J231" s="77">
        <v>0</v>
      </c>
      <c r="K231" s="78">
        <f t="shared" ca="1" si="237"/>
        <v>0</v>
      </c>
      <c r="L231" s="77">
        <v>0</v>
      </c>
      <c r="M231" s="78">
        <f t="shared" ca="1" si="238"/>
        <v>0</v>
      </c>
      <c r="N231" s="79">
        <f t="shared" ca="1" si="246"/>
        <v>0</v>
      </c>
      <c r="W231" s="23" t="s">
        <v>24</v>
      </c>
      <c r="X231" s="77">
        <v>0</v>
      </c>
      <c r="Y231" s="78">
        <f t="shared" ca="1" si="247"/>
        <v>0</v>
      </c>
      <c r="Z231" s="77">
        <v>0</v>
      </c>
      <c r="AA231" s="78">
        <f t="shared" ca="1" si="247"/>
        <v>0</v>
      </c>
      <c r="AB231" s="77">
        <v>0</v>
      </c>
      <c r="AC231" s="78">
        <f t="shared" ca="1" si="239"/>
        <v>0</v>
      </c>
      <c r="AD231" s="77">
        <v>0</v>
      </c>
      <c r="AE231" s="78">
        <f t="shared" ca="1" si="240"/>
        <v>0</v>
      </c>
      <c r="AF231" s="79">
        <f t="shared" ca="1" si="248"/>
        <v>0</v>
      </c>
      <c r="AM231" s="48" t="s">
        <v>24</v>
      </c>
      <c r="AN231" s="90">
        <v>0</v>
      </c>
      <c r="AO231" s="91">
        <f t="shared" ca="1" si="249"/>
        <v>0</v>
      </c>
      <c r="AP231" s="90">
        <v>0</v>
      </c>
      <c r="AQ231" s="91">
        <f t="shared" ca="1" si="249"/>
        <v>0</v>
      </c>
      <c r="AR231" s="90">
        <v>0</v>
      </c>
      <c r="AS231" s="91">
        <f t="shared" ca="1" si="241"/>
        <v>0</v>
      </c>
      <c r="AT231" s="90">
        <v>0</v>
      </c>
      <c r="AU231" s="91">
        <f t="shared" ca="1" si="242"/>
        <v>0</v>
      </c>
      <c r="AV231" s="92">
        <f t="shared" ca="1" si="250"/>
        <v>0</v>
      </c>
      <c r="BD231" s="48" t="s">
        <v>24</v>
      </c>
      <c r="BE231" s="90">
        <v>0</v>
      </c>
      <c r="BF231" s="91">
        <f t="shared" ca="1" si="251"/>
        <v>0</v>
      </c>
      <c r="BG231" s="90">
        <v>0</v>
      </c>
      <c r="BH231" s="91">
        <f t="shared" ca="1" si="252"/>
        <v>0</v>
      </c>
      <c r="BI231" s="90">
        <v>0</v>
      </c>
      <c r="BJ231" s="91">
        <f t="shared" ca="1" si="243"/>
        <v>0</v>
      </c>
      <c r="BK231" s="90">
        <v>0</v>
      </c>
      <c r="BL231" s="91">
        <f t="shared" ca="1" si="244"/>
        <v>0</v>
      </c>
      <c r="BM231" s="92">
        <f t="shared" ca="1" si="253"/>
        <v>0</v>
      </c>
    </row>
    <row r="232" spans="5:65" x14ac:dyDescent="0.4">
      <c r="E232" s="27" t="s">
        <v>25</v>
      </c>
      <c r="F232" s="80">
        <f ca="1">SUM(F224:F231)</f>
        <v>321</v>
      </c>
      <c r="G232" s="81">
        <f t="shared" ca="1" si="245"/>
        <v>1</v>
      </c>
      <c r="H232" s="80">
        <f ca="1">SUM(H224:H231)</f>
        <v>1616</v>
      </c>
      <c r="I232" s="81">
        <f t="shared" ca="1" si="245"/>
        <v>1</v>
      </c>
      <c r="J232" s="80">
        <f ca="1">SUM(J224:J231)</f>
        <v>370</v>
      </c>
      <c r="K232" s="81">
        <f t="shared" ca="1" si="237"/>
        <v>1</v>
      </c>
      <c r="L232" s="80">
        <f ca="1">SUM(L224:L231)</f>
        <v>376</v>
      </c>
      <c r="M232" s="81">
        <f t="shared" ca="1" si="238"/>
        <v>1</v>
      </c>
      <c r="N232" s="82">
        <f t="shared" ca="1" si="246"/>
        <v>2683</v>
      </c>
      <c r="W232" s="27" t="s">
        <v>25</v>
      </c>
      <c r="X232" s="80">
        <f ca="1">SUM(X224:X231)</f>
        <v>41633299</v>
      </c>
      <c r="Y232" s="81">
        <f ca="1">X232/X$232</f>
        <v>1</v>
      </c>
      <c r="Z232" s="80">
        <f ca="1">SUM(Z224:Z231)</f>
        <v>357926678.40999997</v>
      </c>
      <c r="AA232" s="81">
        <f ca="1">Z232/Z$232</f>
        <v>1</v>
      </c>
      <c r="AB232" s="80">
        <f ca="1">SUM(AB224:AB231)</f>
        <v>143043687.09999999</v>
      </c>
      <c r="AC232" s="81">
        <f ca="1">AB232/AB$232</f>
        <v>1</v>
      </c>
      <c r="AD232" s="80">
        <f ca="1">SUM(AD224:AD231)</f>
        <v>8855630</v>
      </c>
      <c r="AE232" s="81">
        <f ca="1">AD232/AD$232</f>
        <v>1</v>
      </c>
      <c r="AF232" s="82">
        <f t="shared" ca="1" si="248"/>
        <v>551459294.50999999</v>
      </c>
      <c r="AM232" s="52" t="s">
        <v>25</v>
      </c>
      <c r="AN232" s="93">
        <f ca="1">SUM(AN224:AN231)</f>
        <v>321</v>
      </c>
      <c r="AO232" s="94">
        <f ca="1">AN232/AN$232</f>
        <v>1</v>
      </c>
      <c r="AP232" s="93">
        <f ca="1">SUM(AP224:AP231)</f>
        <v>1616</v>
      </c>
      <c r="AQ232" s="94">
        <f ca="1">AP232/AP$232</f>
        <v>1</v>
      </c>
      <c r="AR232" s="93">
        <f ca="1">SUM(AR224:AR231)</f>
        <v>370</v>
      </c>
      <c r="AS232" s="94">
        <f t="shared" ca="1" si="241"/>
        <v>1</v>
      </c>
      <c r="AT232" s="93">
        <f ca="1">SUM(AT224:AT231)</f>
        <v>376</v>
      </c>
      <c r="AU232" s="94">
        <f t="shared" ca="1" si="242"/>
        <v>1</v>
      </c>
      <c r="AV232" s="95">
        <f t="shared" ca="1" si="250"/>
        <v>2683</v>
      </c>
      <c r="BD232" s="52" t="s">
        <v>25</v>
      </c>
      <c r="BE232" s="93">
        <f ca="1">SUM(BE224:BE231)</f>
        <v>41633299</v>
      </c>
      <c r="BF232" s="94">
        <f ca="1">BE232/BE$232</f>
        <v>1</v>
      </c>
      <c r="BG232" s="93">
        <f ca="1">SUM(BG224:BG231)</f>
        <v>357926678.40999997</v>
      </c>
      <c r="BH232" s="94">
        <f ca="1">BG232/BG$232</f>
        <v>1</v>
      </c>
      <c r="BI232" s="93">
        <f ca="1">SUM(BI224:BI231)</f>
        <v>143043687.09999999</v>
      </c>
      <c r="BJ232" s="94">
        <f ca="1">BI232/BI$232</f>
        <v>1</v>
      </c>
      <c r="BK232" s="93">
        <f ca="1">SUM(BK224:BK231)</f>
        <v>8865597</v>
      </c>
      <c r="BL232" s="94">
        <f ca="1">BK232/BK$232</f>
        <v>1</v>
      </c>
      <c r="BM232" s="95">
        <f t="shared" ca="1" si="253"/>
        <v>551469261.50999999</v>
      </c>
    </row>
    <row r="233" spans="5:65" x14ac:dyDescent="0.4">
      <c r="E233" s="83" t="s">
        <v>26</v>
      </c>
      <c r="F233" s="33">
        <f ca="1">F232/$N$232</f>
        <v>0.11964219157659337</v>
      </c>
      <c r="G233" s="33"/>
      <c r="H233" s="33">
        <f ca="1">H232/$N$232</f>
        <v>0.60231084606783447</v>
      </c>
      <c r="I233" s="33"/>
      <c r="J233" s="33">
        <f ca="1">J232/$N$232</f>
        <v>0.13790532985464032</v>
      </c>
      <c r="K233" s="33"/>
      <c r="L233" s="33">
        <f ca="1">L232/$N$232</f>
        <v>0.14014163250093178</v>
      </c>
      <c r="M233" s="33"/>
      <c r="N233" s="84">
        <f ca="1">N232/N232</f>
        <v>1</v>
      </c>
      <c r="W233" s="83" t="s">
        <v>26</v>
      </c>
      <c r="X233" s="33">
        <f ca="1">X232/$AF$232</f>
        <v>7.5496594969885006E-2</v>
      </c>
      <c r="Y233" s="33"/>
      <c r="Z233" s="33">
        <f ca="1">Z232/$AF$232</f>
        <v>0.6490536690074945</v>
      </c>
      <c r="AA233" s="33"/>
      <c r="AB233" s="33">
        <f ca="1">AB232/$AF$232</f>
        <v>0.25939119808852201</v>
      </c>
      <c r="AC233" s="33"/>
      <c r="AD233" s="33">
        <f ca="1">AD232/$AF$232</f>
        <v>1.6058537934098442E-2</v>
      </c>
      <c r="AE233" s="33"/>
      <c r="AF233" s="84">
        <f ca="1">AF232/AF232</f>
        <v>1</v>
      </c>
      <c r="AM233" s="96" t="s">
        <v>26</v>
      </c>
      <c r="AN233" s="58">
        <f ca="1">AN232/$AV$232</f>
        <v>0.11964219157659337</v>
      </c>
      <c r="AO233" s="58"/>
      <c r="AP233" s="58">
        <f ca="1">AP232/$AV$232</f>
        <v>0.60231084606783447</v>
      </c>
      <c r="AQ233" s="58"/>
      <c r="AR233" s="58">
        <f ca="1">AR232/$AV$232</f>
        <v>0.13790532985464032</v>
      </c>
      <c r="AS233" s="58"/>
      <c r="AT233" s="58">
        <f ca="1">AT232/$AV$232</f>
        <v>0.14014163250093178</v>
      </c>
      <c r="AU233" s="58"/>
      <c r="AV233" s="97">
        <f ca="1">AV232/AV232</f>
        <v>1</v>
      </c>
      <c r="BD233" s="96" t="s">
        <v>26</v>
      </c>
      <c r="BE233" s="58">
        <f ca="1">BE232/$BM$232</f>
        <v>7.549523047939645E-2</v>
      </c>
      <c r="BF233" s="58"/>
      <c r="BG233" s="58">
        <f ca="1">BG232/$BM$232</f>
        <v>0.6490419383121131</v>
      </c>
      <c r="BH233" s="58"/>
      <c r="BI233" s="58">
        <f ca="1">BI232/$BM$232</f>
        <v>0.25938650997215396</v>
      </c>
      <c r="BJ233" s="58"/>
      <c r="BK233" s="58">
        <f ca="1">BK232/$BM$232</f>
        <v>1.6076321236336465E-2</v>
      </c>
      <c r="BL233" s="58"/>
      <c r="BM233" s="97">
        <f ca="1">BM232/BM232</f>
        <v>1</v>
      </c>
    </row>
    <row r="235" spans="5:65" x14ac:dyDescent="0.4">
      <c r="E235" s="67" t="s">
        <v>42</v>
      </c>
      <c r="F235" s="68"/>
      <c r="G235" s="68"/>
      <c r="H235" s="68"/>
      <c r="I235" s="68"/>
      <c r="J235" s="68"/>
      <c r="K235" s="68"/>
      <c r="L235" s="68"/>
      <c r="M235" s="68"/>
      <c r="N235" s="69"/>
      <c r="W235" s="67" t="s">
        <v>42</v>
      </c>
      <c r="X235" s="68"/>
      <c r="Y235" s="68"/>
      <c r="Z235" s="68"/>
      <c r="AA235" s="68"/>
      <c r="AB235" s="68"/>
      <c r="AC235" s="68"/>
      <c r="AD235" s="68"/>
      <c r="AE235" s="68"/>
      <c r="AF235" s="69"/>
    </row>
    <row r="236" spans="5:65" ht="21" customHeight="1" x14ac:dyDescent="0.4">
      <c r="E236" s="70"/>
      <c r="F236" s="71" t="s">
        <v>36</v>
      </c>
      <c r="G236" s="71"/>
      <c r="H236" s="71" t="s">
        <v>37</v>
      </c>
      <c r="I236" s="71"/>
      <c r="J236" s="71" t="s">
        <v>38</v>
      </c>
      <c r="K236" s="71"/>
      <c r="L236" s="71" t="s">
        <v>39</v>
      </c>
      <c r="M236" s="71"/>
      <c r="N236" s="7" t="s">
        <v>10</v>
      </c>
      <c r="W236" s="70"/>
      <c r="X236" s="71" t="s">
        <v>36</v>
      </c>
      <c r="Y236" s="71"/>
      <c r="Z236" s="71" t="s">
        <v>37</v>
      </c>
      <c r="AA236" s="71"/>
      <c r="AB236" s="71" t="s">
        <v>38</v>
      </c>
      <c r="AC236" s="71"/>
      <c r="AD236" s="71" t="s">
        <v>39</v>
      </c>
      <c r="AE236" s="71"/>
      <c r="AF236" s="7" t="s">
        <v>10</v>
      </c>
    </row>
    <row r="237" spans="5:65" x14ac:dyDescent="0.4">
      <c r="E237" s="8" t="s">
        <v>11</v>
      </c>
      <c r="F237" s="8" t="s">
        <v>12</v>
      </c>
      <c r="G237" s="8" t="s">
        <v>13</v>
      </c>
      <c r="H237" s="8" t="s">
        <v>12</v>
      </c>
      <c r="I237" s="8" t="s">
        <v>13</v>
      </c>
      <c r="J237" s="8" t="s">
        <v>12</v>
      </c>
      <c r="K237" s="8" t="s">
        <v>13</v>
      </c>
      <c r="L237" s="8" t="s">
        <v>12</v>
      </c>
      <c r="M237" s="8" t="s">
        <v>13</v>
      </c>
      <c r="N237" s="7"/>
      <c r="W237" s="8" t="s">
        <v>11</v>
      </c>
      <c r="X237" s="8" t="s">
        <v>14</v>
      </c>
      <c r="Y237" s="8" t="s">
        <v>13</v>
      </c>
      <c r="Z237" s="8" t="s">
        <v>14</v>
      </c>
      <c r="AA237" s="8" t="s">
        <v>13</v>
      </c>
      <c r="AB237" s="8" t="s">
        <v>14</v>
      </c>
      <c r="AC237" s="8" t="s">
        <v>13</v>
      </c>
      <c r="AD237" s="8" t="s">
        <v>14</v>
      </c>
      <c r="AE237" s="8" t="s">
        <v>13</v>
      </c>
      <c r="AF237" s="7"/>
    </row>
    <row r="238" spans="5:65" x14ac:dyDescent="0.4">
      <c r="E238" s="9" t="s">
        <v>15</v>
      </c>
      <c r="F238" s="72">
        <v>90</v>
      </c>
      <c r="G238" s="73">
        <f ca="1">F238/F$248</f>
        <v>0.40358744394618834</v>
      </c>
      <c r="H238" s="72">
        <v>331</v>
      </c>
      <c r="I238" s="73">
        <f t="shared" ref="I238:I248" ca="1" si="254">H238/H$248</f>
        <v>0.47150997150997154</v>
      </c>
      <c r="J238" s="72">
        <v>113</v>
      </c>
      <c r="K238" s="73">
        <f t="shared" ref="K238:K248" ca="1" si="255">J238/J$248</f>
        <v>0.58549222797927458</v>
      </c>
      <c r="L238" s="72">
        <v>68</v>
      </c>
      <c r="M238" s="73">
        <f t="shared" ref="M238:M248" ca="1" si="256">L238/L$248</f>
        <v>0.43037974683544306</v>
      </c>
      <c r="N238" s="60">
        <f ca="1">SUM(F238,H238,J238,L238)</f>
        <v>602</v>
      </c>
      <c r="W238" s="9" t="s">
        <v>15</v>
      </c>
      <c r="X238" s="72">
        <v>14915590</v>
      </c>
      <c r="Y238" s="73">
        <f ca="1">X238/X$248</f>
        <v>0.5286681142230979</v>
      </c>
      <c r="Z238" s="72">
        <v>69540201.49999997</v>
      </c>
      <c r="AA238" s="73">
        <f ca="1">Z238/Z$248</f>
        <v>0.57571009260457606</v>
      </c>
      <c r="AB238" s="72">
        <v>47906883.629999995</v>
      </c>
      <c r="AC238" s="73">
        <f t="shared" ref="AC238:AC248" ca="1" si="257">AB238/AB$248</f>
        <v>0.78343997984138469</v>
      </c>
      <c r="AD238" s="72">
        <v>1592481</v>
      </c>
      <c r="AE238" s="73">
        <f t="shared" ref="AE238:AE248" ca="1" si="258">AD238/AD$248</f>
        <v>0.50010206286318681</v>
      </c>
      <c r="AF238" s="60">
        <f ca="1">SUM(X238,Z238,AB238,AD238)</f>
        <v>133955156.12999997</v>
      </c>
    </row>
    <row r="239" spans="5:65" x14ac:dyDescent="0.4">
      <c r="E239" s="14" t="s">
        <v>16</v>
      </c>
      <c r="F239" s="74">
        <v>65</v>
      </c>
      <c r="G239" s="75">
        <f t="shared" ref="G239:G248" ca="1" si="259">F239/F$248</f>
        <v>0.2914798206278027</v>
      </c>
      <c r="H239" s="74">
        <v>209</v>
      </c>
      <c r="I239" s="75">
        <f t="shared" ca="1" si="254"/>
        <v>0.29772079772079774</v>
      </c>
      <c r="J239" s="74">
        <v>36</v>
      </c>
      <c r="K239" s="75">
        <f t="shared" ca="1" si="255"/>
        <v>0.18652849740932642</v>
      </c>
      <c r="L239" s="74">
        <v>34</v>
      </c>
      <c r="M239" s="75">
        <f t="shared" ca="1" si="256"/>
        <v>0.21518987341772153</v>
      </c>
      <c r="N239" s="76">
        <f t="shared" ref="N239:N248" ca="1" si="260">SUM(F239,H239,J239,L239)</f>
        <v>344</v>
      </c>
      <c r="W239" s="14" t="s">
        <v>16</v>
      </c>
      <c r="X239" s="74">
        <v>5887146</v>
      </c>
      <c r="Y239" s="75">
        <f t="shared" ref="Y239:AA248" ca="1" si="261">X239/X$248</f>
        <v>0.20866398003538941</v>
      </c>
      <c r="Z239" s="74">
        <v>31810413.239999998</v>
      </c>
      <c r="AA239" s="75">
        <f t="shared" ca="1" si="261"/>
        <v>0.2633523567254869</v>
      </c>
      <c r="AB239" s="74">
        <v>8986698.2899999991</v>
      </c>
      <c r="AC239" s="75">
        <f t="shared" ca="1" si="257"/>
        <v>0.14696298723028015</v>
      </c>
      <c r="AD239" s="74">
        <v>1010221</v>
      </c>
      <c r="AE239" s="75">
        <f t="shared" ca="1" si="258"/>
        <v>0.31724937757355437</v>
      </c>
      <c r="AF239" s="76">
        <f t="shared" ref="AF239:AF248" ca="1" si="262">SUM(X239,Z239,AB239,AD239)</f>
        <v>47694478.529999994</v>
      </c>
    </row>
    <row r="240" spans="5:65" x14ac:dyDescent="0.4">
      <c r="E240" s="18" t="s">
        <v>17</v>
      </c>
      <c r="F240" s="19">
        <f ca="1">+SUM(F238:F239)</f>
        <v>155</v>
      </c>
      <c r="G240" s="20">
        <f t="shared" ca="1" si="259"/>
        <v>0.69506726457399104</v>
      </c>
      <c r="H240" s="19">
        <f ca="1">+SUM(H238:H239)</f>
        <v>540</v>
      </c>
      <c r="I240" s="20">
        <f t="shared" ca="1" si="254"/>
        <v>0.76923076923076927</v>
      </c>
      <c r="J240" s="19">
        <f ca="1">+SUM(J238:J239)</f>
        <v>149</v>
      </c>
      <c r="K240" s="20">
        <f t="shared" ca="1" si="255"/>
        <v>0.772020725388601</v>
      </c>
      <c r="L240" s="19">
        <f ca="1">+SUM(L238:L239)</f>
        <v>102</v>
      </c>
      <c r="M240" s="20">
        <f t="shared" ca="1" si="256"/>
        <v>0.64556962025316456</v>
      </c>
      <c r="N240" s="99">
        <f t="shared" ca="1" si="260"/>
        <v>946</v>
      </c>
      <c r="W240" s="18" t="s">
        <v>17</v>
      </c>
      <c r="X240" s="19">
        <f ca="1">+SUM(X238:X239)</f>
        <v>20802736</v>
      </c>
      <c r="Y240" s="20">
        <f t="shared" ca="1" si="261"/>
        <v>0.73733209425848734</v>
      </c>
      <c r="Z240" s="19">
        <f ca="1">+SUM(Z238:Z239)</f>
        <v>101350614.73999996</v>
      </c>
      <c r="AA240" s="20">
        <f t="shared" ca="1" si="261"/>
        <v>0.83906244933006291</v>
      </c>
      <c r="AB240" s="19">
        <f ca="1">+SUM(AB238:AB239)</f>
        <v>56893581.919999994</v>
      </c>
      <c r="AC240" s="20">
        <f t="shared" ca="1" si="257"/>
        <v>0.93040296707166492</v>
      </c>
      <c r="AD240" s="19">
        <f ca="1">+SUM(AD238:AD239)</f>
        <v>2602702</v>
      </c>
      <c r="AE240" s="20">
        <f t="shared" ca="1" si="258"/>
        <v>0.81735144043674113</v>
      </c>
      <c r="AF240" s="21">
        <f t="shared" ca="1" si="262"/>
        <v>181649634.65999997</v>
      </c>
    </row>
    <row r="241" spans="5:32" x14ac:dyDescent="0.4">
      <c r="E241" s="22" t="s">
        <v>18</v>
      </c>
      <c r="F241" s="74">
        <v>57</v>
      </c>
      <c r="G241" s="75">
        <f t="shared" ca="1" si="259"/>
        <v>0.2556053811659193</v>
      </c>
      <c r="H241" s="74">
        <v>50</v>
      </c>
      <c r="I241" s="75">
        <f t="shared" ca="1" si="254"/>
        <v>7.1225071225071226E-2</v>
      </c>
      <c r="J241" s="74">
        <v>11</v>
      </c>
      <c r="K241" s="75">
        <f t="shared" ca="1" si="255"/>
        <v>5.6994818652849742E-2</v>
      </c>
      <c r="L241" s="74">
        <v>14</v>
      </c>
      <c r="M241" s="75">
        <f t="shared" ca="1" si="256"/>
        <v>8.8607594936708861E-2</v>
      </c>
      <c r="N241" s="76">
        <f t="shared" ca="1" si="260"/>
        <v>132</v>
      </c>
      <c r="W241" s="22" t="s">
        <v>18</v>
      </c>
      <c r="X241" s="74">
        <v>6182825</v>
      </c>
      <c r="Y241" s="75">
        <f t="shared" ca="1" si="261"/>
        <v>0.21914402536684272</v>
      </c>
      <c r="Z241" s="74">
        <v>7245140.1700000009</v>
      </c>
      <c r="AA241" s="75">
        <f t="shared" ca="1" si="261"/>
        <v>5.9981136497049635E-2</v>
      </c>
      <c r="AB241" s="74">
        <v>1022435.45</v>
      </c>
      <c r="AC241" s="75">
        <f t="shared" ca="1" si="257"/>
        <v>1.672028626457156E-2</v>
      </c>
      <c r="AD241" s="74">
        <v>75963</v>
      </c>
      <c r="AE241" s="75">
        <f t="shared" ca="1" si="258"/>
        <v>2.3855388542328767E-2</v>
      </c>
      <c r="AF241" s="76">
        <f t="shared" ca="1" si="262"/>
        <v>14526363.620000001</v>
      </c>
    </row>
    <row r="242" spans="5:32" x14ac:dyDescent="0.4">
      <c r="E242" s="22" t="s">
        <v>19</v>
      </c>
      <c r="F242" s="74">
        <v>2</v>
      </c>
      <c r="G242" s="75">
        <f t="shared" ca="1" si="259"/>
        <v>8.9686098654708519E-3</v>
      </c>
      <c r="H242" s="74">
        <v>38</v>
      </c>
      <c r="I242" s="75">
        <f t="shared" ca="1" si="254"/>
        <v>5.4131054131054131E-2</v>
      </c>
      <c r="J242" s="74">
        <v>11</v>
      </c>
      <c r="K242" s="75">
        <f t="shared" ca="1" si="255"/>
        <v>5.6994818652849742E-2</v>
      </c>
      <c r="L242" s="74">
        <v>7</v>
      </c>
      <c r="M242" s="75">
        <f t="shared" ca="1" si="256"/>
        <v>4.4303797468354431E-2</v>
      </c>
      <c r="N242" s="76">
        <f t="shared" ca="1" si="260"/>
        <v>58</v>
      </c>
      <c r="W242" s="22" t="s">
        <v>19</v>
      </c>
      <c r="X242" s="74">
        <v>101170</v>
      </c>
      <c r="Y242" s="75">
        <f t="shared" ca="1" si="261"/>
        <v>3.5858690883800652E-3</v>
      </c>
      <c r="Z242" s="74">
        <v>5791643.6699999999</v>
      </c>
      <c r="AA242" s="75">
        <f t="shared" ca="1" si="261"/>
        <v>4.7947915618110598E-2</v>
      </c>
      <c r="AB242" s="74">
        <v>1092068.8700000003</v>
      </c>
      <c r="AC242" s="75">
        <f t="shared" ca="1" si="257"/>
        <v>1.7859028779789659E-2</v>
      </c>
      <c r="AD242" s="74">
        <v>21427</v>
      </c>
      <c r="AE242" s="75">
        <f t="shared" ca="1" si="258"/>
        <v>6.7289260600091952E-3</v>
      </c>
      <c r="AF242" s="76">
        <f t="shared" ca="1" si="262"/>
        <v>7006309.54</v>
      </c>
    </row>
    <row r="243" spans="5:32" x14ac:dyDescent="0.4">
      <c r="E243" s="22" t="s">
        <v>20</v>
      </c>
      <c r="F243" s="74">
        <v>0</v>
      </c>
      <c r="G243" s="75">
        <f t="shared" ca="1" si="259"/>
        <v>0</v>
      </c>
      <c r="H243" s="74">
        <v>20</v>
      </c>
      <c r="I243" s="75">
        <f t="shared" ca="1" si="254"/>
        <v>2.8490028490028491E-2</v>
      </c>
      <c r="J243" s="74">
        <v>5</v>
      </c>
      <c r="K243" s="75">
        <f t="shared" ca="1" si="255"/>
        <v>2.5906735751295335E-2</v>
      </c>
      <c r="L243" s="74">
        <v>6</v>
      </c>
      <c r="M243" s="75">
        <f t="shared" ca="1" si="256"/>
        <v>3.7974683544303799E-2</v>
      </c>
      <c r="N243" s="76">
        <f t="shared" ca="1" si="260"/>
        <v>31</v>
      </c>
      <c r="W243" s="22" t="s">
        <v>20</v>
      </c>
      <c r="X243" s="74">
        <v>0</v>
      </c>
      <c r="Y243" s="75">
        <f t="shared" ca="1" si="261"/>
        <v>0</v>
      </c>
      <c r="Z243" s="74">
        <v>1230327.5499999998</v>
      </c>
      <c r="AA243" s="75">
        <f t="shared" ca="1" si="261"/>
        <v>1.0185647617723129E-2</v>
      </c>
      <c r="AB243" s="74">
        <v>162226</v>
      </c>
      <c r="AC243" s="75">
        <f t="shared" ca="1" si="257"/>
        <v>2.6529451414819254E-3</v>
      </c>
      <c r="AD243" s="74">
        <v>14168</v>
      </c>
      <c r="AE243" s="75">
        <f t="shared" ca="1" si="258"/>
        <v>4.4493127557852369E-3</v>
      </c>
      <c r="AF243" s="76">
        <f t="shared" ca="1" si="262"/>
        <v>1406721.5499999998</v>
      </c>
    </row>
    <row r="244" spans="5:32" x14ac:dyDescent="0.4">
      <c r="E244" s="22" t="s">
        <v>21</v>
      </c>
      <c r="F244" s="74">
        <v>0</v>
      </c>
      <c r="G244" s="75">
        <f t="shared" ca="1" si="259"/>
        <v>0</v>
      </c>
      <c r="H244" s="74">
        <v>10</v>
      </c>
      <c r="I244" s="75">
        <f t="shared" ca="1" si="254"/>
        <v>1.4245014245014245E-2</v>
      </c>
      <c r="J244" s="74">
        <v>3</v>
      </c>
      <c r="K244" s="75">
        <f t="shared" ca="1" si="255"/>
        <v>1.5544041450777202E-2</v>
      </c>
      <c r="L244" s="74">
        <v>5</v>
      </c>
      <c r="M244" s="75">
        <f t="shared" ca="1" si="256"/>
        <v>3.1645569620253167E-2</v>
      </c>
      <c r="N244" s="76">
        <f t="shared" ca="1" si="260"/>
        <v>18</v>
      </c>
      <c r="W244" s="22" t="s">
        <v>21</v>
      </c>
      <c r="X244" s="74">
        <v>0</v>
      </c>
      <c r="Y244" s="75">
        <f t="shared" ca="1" si="261"/>
        <v>0</v>
      </c>
      <c r="Z244" s="74">
        <v>1103042</v>
      </c>
      <c r="AA244" s="75">
        <f t="shared" ca="1" si="261"/>
        <v>9.1318747755819631E-3</v>
      </c>
      <c r="AB244" s="74">
        <v>398384.57000000007</v>
      </c>
      <c r="AC244" s="75">
        <f t="shared" ca="1" si="257"/>
        <v>6.5149384773271011E-3</v>
      </c>
      <c r="AD244" s="74">
        <v>4940</v>
      </c>
      <c r="AE244" s="75">
        <f t="shared" ca="1" si="258"/>
        <v>1.5513555204389521E-3</v>
      </c>
      <c r="AF244" s="76">
        <f t="shared" ca="1" si="262"/>
        <v>1506366.57</v>
      </c>
    </row>
    <row r="245" spans="5:32" x14ac:dyDescent="0.4">
      <c r="E245" s="22" t="s">
        <v>22</v>
      </c>
      <c r="F245" s="74">
        <v>2</v>
      </c>
      <c r="G245" s="75">
        <f t="shared" ca="1" si="259"/>
        <v>8.9686098654708519E-3</v>
      </c>
      <c r="H245" s="74">
        <v>11</v>
      </c>
      <c r="I245" s="75">
        <f t="shared" ca="1" si="254"/>
        <v>1.5669515669515671E-2</v>
      </c>
      <c r="J245" s="74">
        <v>1</v>
      </c>
      <c r="K245" s="75">
        <f t="shared" ca="1" si="255"/>
        <v>5.1813471502590676E-3</v>
      </c>
      <c r="L245" s="74">
        <v>2</v>
      </c>
      <c r="M245" s="75">
        <f t="shared" ca="1" si="256"/>
        <v>1.2658227848101266E-2</v>
      </c>
      <c r="N245" s="76">
        <f t="shared" ca="1" si="260"/>
        <v>16</v>
      </c>
      <c r="W245" s="22" t="s">
        <v>22</v>
      </c>
      <c r="X245" s="74">
        <v>150261</v>
      </c>
      <c r="Y245" s="75">
        <f t="shared" ca="1" si="261"/>
        <v>5.3258503023532371E-3</v>
      </c>
      <c r="Z245" s="74">
        <v>830647.69</v>
      </c>
      <c r="AA245" s="75">
        <f t="shared" ca="1" si="261"/>
        <v>6.8767741280082043E-3</v>
      </c>
      <c r="AB245" s="74">
        <v>120000</v>
      </c>
      <c r="AC245" s="75">
        <f t="shared" ca="1" si="257"/>
        <v>1.9624068705252616E-3</v>
      </c>
      <c r="AD245" s="74">
        <v>2007</v>
      </c>
      <c r="AE245" s="75">
        <f t="shared" ca="1" si="258"/>
        <v>6.3027743512570375E-4</v>
      </c>
      <c r="AF245" s="76">
        <f t="shared" ca="1" si="262"/>
        <v>1102915.69</v>
      </c>
    </row>
    <row r="246" spans="5:32" x14ac:dyDescent="0.4">
      <c r="E246" s="22" t="s">
        <v>23</v>
      </c>
      <c r="F246" s="74">
        <v>3</v>
      </c>
      <c r="G246" s="75">
        <f t="shared" ca="1" si="259"/>
        <v>1.3452914798206279E-2</v>
      </c>
      <c r="H246" s="74">
        <v>3</v>
      </c>
      <c r="I246" s="75">
        <f t="shared" ca="1" si="254"/>
        <v>4.2735042735042739E-3</v>
      </c>
      <c r="J246" s="74">
        <v>4</v>
      </c>
      <c r="K246" s="75">
        <f t="shared" ca="1" si="255"/>
        <v>2.072538860103627E-2</v>
      </c>
      <c r="L246" s="74">
        <v>2</v>
      </c>
      <c r="M246" s="75">
        <f t="shared" ca="1" si="256"/>
        <v>1.2658227848101266E-2</v>
      </c>
      <c r="N246" s="76">
        <f t="shared" ca="1" si="260"/>
        <v>12</v>
      </c>
      <c r="W246" s="22" t="s">
        <v>23</v>
      </c>
      <c r="X246" s="74">
        <v>650000</v>
      </c>
      <c r="Y246" s="75">
        <f t="shared" ca="1" si="261"/>
        <v>2.3038597483908692E-2</v>
      </c>
      <c r="Z246" s="74">
        <v>371234.87999999989</v>
      </c>
      <c r="AA246" s="75">
        <f t="shared" ca="1" si="261"/>
        <v>3.0733829142391639E-3</v>
      </c>
      <c r="AB246" s="74">
        <v>414245.6</v>
      </c>
      <c r="AC246" s="75">
        <f t="shared" ca="1" si="257"/>
        <v>6.7743200960404936E-3</v>
      </c>
      <c r="AD246" s="74">
        <v>331582</v>
      </c>
      <c r="AE246" s="75">
        <f t="shared" ca="1" si="258"/>
        <v>0.10412987169598958</v>
      </c>
      <c r="AF246" s="76">
        <f t="shared" ca="1" si="262"/>
        <v>1767062.48</v>
      </c>
    </row>
    <row r="247" spans="5:32" x14ac:dyDescent="0.4">
      <c r="E247" s="23" t="s">
        <v>24</v>
      </c>
      <c r="F247" s="77">
        <v>4</v>
      </c>
      <c r="G247" s="78">
        <f t="shared" ca="1" si="259"/>
        <v>1.7937219730941704E-2</v>
      </c>
      <c r="H247" s="77">
        <v>30</v>
      </c>
      <c r="I247" s="78">
        <f t="shared" ca="1" si="254"/>
        <v>4.2735042735042736E-2</v>
      </c>
      <c r="J247" s="77">
        <v>9</v>
      </c>
      <c r="K247" s="78">
        <f t="shared" ca="1" si="255"/>
        <v>4.6632124352331605E-2</v>
      </c>
      <c r="L247" s="77">
        <v>20</v>
      </c>
      <c r="M247" s="78">
        <f t="shared" ca="1" si="256"/>
        <v>0.12658227848101267</v>
      </c>
      <c r="N247" s="79">
        <f t="shared" ca="1" si="260"/>
        <v>63</v>
      </c>
      <c r="W247" s="23" t="s">
        <v>24</v>
      </c>
      <c r="X247" s="77">
        <v>326531</v>
      </c>
      <c r="Y247" s="78">
        <f t="shared" ca="1" si="261"/>
        <v>1.1573563500027983E-2</v>
      </c>
      <c r="Z247" s="77">
        <v>2867660.9399999995</v>
      </c>
      <c r="AA247" s="78">
        <f t="shared" ca="1" si="261"/>
        <v>2.3740819119224522E-2</v>
      </c>
      <c r="AB247" s="77">
        <v>1046456.2199999999</v>
      </c>
      <c r="AC247" s="78">
        <f t="shared" ca="1" si="257"/>
        <v>1.711310729859912E-2</v>
      </c>
      <c r="AD247" s="77">
        <v>131523</v>
      </c>
      <c r="AE247" s="78">
        <f t="shared" ca="1" si="258"/>
        <v>4.1303427553581434E-2</v>
      </c>
      <c r="AF247" s="79">
        <f t="shared" ca="1" si="262"/>
        <v>4372171.1599999992</v>
      </c>
    </row>
    <row r="248" spans="5:32" x14ac:dyDescent="0.4">
      <c r="E248" s="27" t="s">
        <v>25</v>
      </c>
      <c r="F248" s="80">
        <f ca="1">SUM(F240:F247)</f>
        <v>223</v>
      </c>
      <c r="G248" s="81">
        <f t="shared" ca="1" si="259"/>
        <v>1</v>
      </c>
      <c r="H248" s="80">
        <f ca="1">SUM(H240:H247)</f>
        <v>702</v>
      </c>
      <c r="I248" s="81">
        <f t="shared" ca="1" si="254"/>
        <v>1</v>
      </c>
      <c r="J248" s="80">
        <f ca="1">SUM(J240:J247)</f>
        <v>193</v>
      </c>
      <c r="K248" s="81">
        <f t="shared" ca="1" si="255"/>
        <v>1</v>
      </c>
      <c r="L248" s="80">
        <f ca="1">SUM(L240:L247)</f>
        <v>158</v>
      </c>
      <c r="M248" s="81">
        <f t="shared" ca="1" si="256"/>
        <v>1</v>
      </c>
      <c r="N248" s="82">
        <f t="shared" ca="1" si="260"/>
        <v>1276</v>
      </c>
      <c r="W248" s="27" t="s">
        <v>25</v>
      </c>
      <c r="X248" s="80">
        <f ca="1">SUM(X240:X247)</f>
        <v>28213523</v>
      </c>
      <c r="Y248" s="81">
        <f t="shared" ca="1" si="261"/>
        <v>1</v>
      </c>
      <c r="Z248" s="80">
        <f ca="1">SUM(Z240:Z247)</f>
        <v>120790311.63999996</v>
      </c>
      <c r="AA248" s="81">
        <f t="shared" ca="1" si="261"/>
        <v>1</v>
      </c>
      <c r="AB248" s="80">
        <f ca="1">SUM(AB240:AB247)</f>
        <v>61149398.629999995</v>
      </c>
      <c r="AC248" s="81">
        <f t="shared" ca="1" si="257"/>
        <v>1</v>
      </c>
      <c r="AD248" s="80">
        <f ca="1">SUM(AD240:AD247)</f>
        <v>3184312</v>
      </c>
      <c r="AE248" s="81">
        <f t="shared" ca="1" si="258"/>
        <v>1</v>
      </c>
      <c r="AF248" s="82">
        <f t="shared" ca="1" si="262"/>
        <v>213337545.26999995</v>
      </c>
    </row>
    <row r="249" spans="5:32" x14ac:dyDescent="0.4">
      <c r="E249" s="83" t="s">
        <v>26</v>
      </c>
      <c r="F249" s="33">
        <f ca="1">F248/$N$248</f>
        <v>0.17476489028213166</v>
      </c>
      <c r="G249" s="33"/>
      <c r="H249" s="33">
        <f ca="1">H248/$N$248</f>
        <v>0.55015673981191227</v>
      </c>
      <c r="I249" s="33"/>
      <c r="J249" s="33">
        <f ca="1">J248/$N$248</f>
        <v>0.15125391849529782</v>
      </c>
      <c r="K249" s="33"/>
      <c r="L249" s="33">
        <f ca="1">L248/$N$248</f>
        <v>0.1238244514106583</v>
      </c>
      <c r="M249" s="33"/>
      <c r="N249" s="84">
        <f ca="1">N248/N248</f>
        <v>1</v>
      </c>
      <c r="W249" s="83" t="s">
        <v>26</v>
      </c>
      <c r="X249" s="33">
        <f ca="1">X248/$AF$248</f>
        <v>0.13224827802482197</v>
      </c>
      <c r="Y249" s="33"/>
      <c r="Z249" s="33">
        <f ca="1">Z248/$AF$248</f>
        <v>0.56619340719950517</v>
      </c>
      <c r="AA249" s="33"/>
      <c r="AB249" s="33">
        <f ca="1">AB248/$AF$248</f>
        <v>0.28663214696976724</v>
      </c>
      <c r="AC249" s="33"/>
      <c r="AD249" s="33">
        <f ca="1">AD248/$AF$248</f>
        <v>1.4926167805905591E-2</v>
      </c>
      <c r="AE249" s="33"/>
      <c r="AF249" s="84">
        <f ca="1">AF248/AF248</f>
        <v>1</v>
      </c>
    </row>
    <row r="251" spans="5:32" x14ac:dyDescent="0.4">
      <c r="E251" s="2" t="s">
        <v>46</v>
      </c>
      <c r="F251" s="2"/>
      <c r="G251" s="2"/>
      <c r="H251" s="2"/>
      <c r="I251" s="2"/>
      <c r="J251" s="2"/>
      <c r="K251" s="2"/>
      <c r="L251" s="2"/>
      <c r="M251" s="2"/>
      <c r="N251" s="2"/>
      <c r="W251" s="2" t="s">
        <v>46</v>
      </c>
      <c r="X251" s="2"/>
      <c r="Y251" s="2"/>
      <c r="Z251" s="2"/>
      <c r="AA251" s="2"/>
      <c r="AB251" s="2"/>
      <c r="AC251" s="2"/>
      <c r="AD251" s="2"/>
      <c r="AE251" s="2"/>
      <c r="AF251" s="2"/>
    </row>
    <row r="252" spans="5:32" x14ac:dyDescent="0.4"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</row>
    <row r="253" spans="5:32" x14ac:dyDescent="0.4">
      <c r="E253" s="67" t="s">
        <v>35</v>
      </c>
      <c r="F253" s="68"/>
      <c r="G253" s="68"/>
      <c r="H253" s="68"/>
      <c r="I253" s="68"/>
      <c r="J253" s="68"/>
      <c r="K253" s="68"/>
      <c r="L253" s="68"/>
      <c r="M253" s="68"/>
      <c r="N253" s="69"/>
      <c r="W253" s="67" t="s">
        <v>35</v>
      </c>
      <c r="X253" s="68"/>
      <c r="Y253" s="68"/>
      <c r="Z253" s="68"/>
      <c r="AA253" s="68"/>
      <c r="AB253" s="68"/>
      <c r="AC253" s="68"/>
      <c r="AD253" s="68"/>
      <c r="AE253" s="68"/>
      <c r="AF253" s="69"/>
    </row>
    <row r="254" spans="5:32" ht="21" customHeight="1" x14ac:dyDescent="0.4">
      <c r="E254" s="70"/>
      <c r="F254" s="71" t="s">
        <v>36</v>
      </c>
      <c r="G254" s="71"/>
      <c r="H254" s="71" t="s">
        <v>37</v>
      </c>
      <c r="I254" s="71"/>
      <c r="J254" s="71" t="s">
        <v>38</v>
      </c>
      <c r="K254" s="71"/>
      <c r="L254" s="71" t="s">
        <v>39</v>
      </c>
      <c r="M254" s="71"/>
      <c r="N254" s="7" t="s">
        <v>10</v>
      </c>
      <c r="W254" s="70"/>
      <c r="X254" s="71" t="s">
        <v>36</v>
      </c>
      <c r="Y254" s="71"/>
      <c r="Z254" s="71" t="s">
        <v>37</v>
      </c>
      <c r="AA254" s="71"/>
      <c r="AB254" s="71" t="s">
        <v>38</v>
      </c>
      <c r="AC254" s="71"/>
      <c r="AD254" s="71" t="s">
        <v>39</v>
      </c>
      <c r="AE254" s="71"/>
      <c r="AF254" s="7" t="s">
        <v>10</v>
      </c>
    </row>
    <row r="255" spans="5:32" x14ac:dyDescent="0.4">
      <c r="E255" s="8" t="s">
        <v>11</v>
      </c>
      <c r="F255" s="8" t="s">
        <v>12</v>
      </c>
      <c r="G255" s="8" t="s">
        <v>13</v>
      </c>
      <c r="H255" s="8" t="s">
        <v>12</v>
      </c>
      <c r="I255" s="8" t="s">
        <v>13</v>
      </c>
      <c r="J255" s="8" t="s">
        <v>12</v>
      </c>
      <c r="K255" s="8" t="s">
        <v>13</v>
      </c>
      <c r="L255" s="8" t="s">
        <v>12</v>
      </c>
      <c r="M255" s="8" t="s">
        <v>13</v>
      </c>
      <c r="N255" s="7"/>
      <c r="W255" s="8" t="s">
        <v>11</v>
      </c>
      <c r="X255" s="8" t="s">
        <v>14</v>
      </c>
      <c r="Y255" s="8" t="s">
        <v>13</v>
      </c>
      <c r="Z255" s="8" t="s">
        <v>14</v>
      </c>
      <c r="AA255" s="8" t="s">
        <v>13</v>
      </c>
      <c r="AB255" s="8" t="s">
        <v>14</v>
      </c>
      <c r="AC255" s="8" t="s">
        <v>13</v>
      </c>
      <c r="AD255" s="8" t="s">
        <v>14</v>
      </c>
      <c r="AE255" s="8" t="s">
        <v>13</v>
      </c>
      <c r="AF255" s="7"/>
    </row>
    <row r="256" spans="5:32" x14ac:dyDescent="0.4">
      <c r="E256" s="9" t="s">
        <v>15</v>
      </c>
      <c r="F256" s="72">
        <v>3790</v>
      </c>
      <c r="G256" s="73">
        <f ca="1">F256/F$266</f>
        <v>0.57415543099530375</v>
      </c>
      <c r="H256" s="72">
        <v>4824</v>
      </c>
      <c r="I256" s="73">
        <f ca="1">H256/H$266</f>
        <v>0.48865478119935168</v>
      </c>
      <c r="J256" s="72">
        <v>755</v>
      </c>
      <c r="K256" s="73">
        <f ca="1">J256/J$266</f>
        <v>0.3815058110156645</v>
      </c>
      <c r="L256" s="72">
        <v>1198</v>
      </c>
      <c r="M256" s="73">
        <f ca="1">L256/L$266</f>
        <v>0.29240907981449843</v>
      </c>
      <c r="N256" s="60">
        <f ca="1">SUM(F256,H256,J256,L256)</f>
        <v>10567</v>
      </c>
      <c r="W256" s="9" t="s">
        <v>15</v>
      </c>
      <c r="X256" s="72">
        <v>567608223</v>
      </c>
      <c r="Y256" s="73">
        <f ca="1">X256/X$266</f>
        <v>0.63285494370055251</v>
      </c>
      <c r="Z256" s="72">
        <v>760130790.6200006</v>
      </c>
      <c r="AA256" s="73">
        <f ca="1">Z256/Z$266</f>
        <v>0.53761475447643758</v>
      </c>
      <c r="AB256" s="72">
        <v>241486708.96999988</v>
      </c>
      <c r="AC256" s="73">
        <f ca="1">AB256/AB$266</f>
        <v>0.56875370003800541</v>
      </c>
      <c r="AD256" s="72">
        <v>1391013</v>
      </c>
      <c r="AE256" s="73">
        <f ca="1">AD256/AD$266</f>
        <v>0.29096837176164747</v>
      </c>
      <c r="AF256" s="60">
        <f ca="1">SUM(X256,Z256,AB256,AD256)</f>
        <v>1570616735.5900004</v>
      </c>
    </row>
    <row r="257" spans="5:65" x14ac:dyDescent="0.4">
      <c r="E257" s="14" t="s">
        <v>16</v>
      </c>
      <c r="F257" s="74">
        <v>1761</v>
      </c>
      <c r="G257" s="75">
        <f ca="1">F257/F$266</f>
        <v>0.2667777609453113</v>
      </c>
      <c r="H257" s="74">
        <v>2544</v>
      </c>
      <c r="I257" s="75">
        <f ca="1">H257/H$266</f>
        <v>0.25769854132901132</v>
      </c>
      <c r="J257" s="74">
        <v>514</v>
      </c>
      <c r="K257" s="75">
        <f ca="1">J257/J$266</f>
        <v>0.25972713491662458</v>
      </c>
      <c r="L257" s="74">
        <v>863</v>
      </c>
      <c r="M257" s="75">
        <f ca="1">L257/L$266</f>
        <v>0.21064193312179644</v>
      </c>
      <c r="N257" s="76">
        <f t="shared" ref="N257:N265" ca="1" si="263">SUM(F257,H257,J257,L257)</f>
        <v>5682</v>
      </c>
      <c r="W257" s="14" t="s">
        <v>16</v>
      </c>
      <c r="X257" s="74">
        <v>231248435</v>
      </c>
      <c r="Y257" s="75">
        <f ca="1">X257/X$266</f>
        <v>0.25783050594171159</v>
      </c>
      <c r="Z257" s="74">
        <v>373276322.17999959</v>
      </c>
      <c r="AA257" s="75">
        <f ca="1">Z257/Z$266</f>
        <v>0.26400569583161393</v>
      </c>
      <c r="AB257" s="74">
        <v>100859068.58000001</v>
      </c>
      <c r="AC257" s="75">
        <f ca="1">AB257/AB$266</f>
        <v>0.23754503376990541</v>
      </c>
      <c r="AD257" s="74">
        <v>1161702</v>
      </c>
      <c r="AE257" s="75">
        <f ca="1">AD257/AD$266</f>
        <v>0.24300171127965689</v>
      </c>
      <c r="AF257" s="76">
        <f t="shared" ref="AF257:AF265" ca="1" si="264">SUM(X257,Z257,AB257,AD257)</f>
        <v>706545527.75999963</v>
      </c>
    </row>
    <row r="258" spans="5:65" x14ac:dyDescent="0.4">
      <c r="E258" s="18" t="s">
        <v>17</v>
      </c>
      <c r="F258" s="19">
        <f ca="1">+SUM(F256:F257)</f>
        <v>5551</v>
      </c>
      <c r="G258" s="20">
        <f ca="1">+F258/$F$266</f>
        <v>0.84093319194061511</v>
      </c>
      <c r="H258" s="19">
        <f ca="1">+SUM(H256:H257)</f>
        <v>7368</v>
      </c>
      <c r="I258" s="20">
        <f ca="1">+H258/$H$266</f>
        <v>0.74635332252836306</v>
      </c>
      <c r="J258" s="19">
        <f ca="1">+SUM(J256:J257)</f>
        <v>1269</v>
      </c>
      <c r="K258" s="20">
        <f ca="1">+J258/$J$266</f>
        <v>0.64123294593228908</v>
      </c>
      <c r="L258" s="19">
        <f ca="1">+SUM(L256:L257)</f>
        <v>2061</v>
      </c>
      <c r="M258" s="20">
        <f ca="1">+L258/$L$266</f>
        <v>0.50305101293629484</v>
      </c>
      <c r="N258" s="99">
        <f t="shared" ca="1" si="263"/>
        <v>16249</v>
      </c>
      <c r="W258" s="18" t="s">
        <v>17</v>
      </c>
      <c r="X258" s="19">
        <f ca="1">+SUM(X256:X257)</f>
        <v>798856658</v>
      </c>
      <c r="Y258" s="20">
        <f ca="1">X258/X$266</f>
        <v>0.89068544964226404</v>
      </c>
      <c r="Z258" s="19">
        <f ca="1">+SUM(Z256:Z257)</f>
        <v>1133407112.8000002</v>
      </c>
      <c r="AA258" s="20">
        <f ca="1">Z258/Z$266</f>
        <v>0.80162045030805151</v>
      </c>
      <c r="AB258" s="19">
        <f ca="1">+SUM(AB256:AB257)</f>
        <v>342345777.54999989</v>
      </c>
      <c r="AC258" s="20">
        <f ca="1">AB258/AB$266</f>
        <v>0.80629873380791084</v>
      </c>
      <c r="AD258" s="19">
        <f ca="1">+SUM(AD256:AD257)</f>
        <v>2552715</v>
      </c>
      <c r="AE258" s="20">
        <f ca="1">AD258/AD$266</f>
        <v>0.53397008304130433</v>
      </c>
      <c r="AF258" s="21">
        <f t="shared" ca="1" si="264"/>
        <v>2277162263.3499999</v>
      </c>
    </row>
    <row r="259" spans="5:65" x14ac:dyDescent="0.4">
      <c r="E259" s="22" t="s">
        <v>18</v>
      </c>
      <c r="F259" s="74">
        <v>454</v>
      </c>
      <c r="G259" s="75">
        <f t="shared" ref="G259:G266" ca="1" si="265">F259/F$266</f>
        <v>6.8777457960915014E-2</v>
      </c>
      <c r="H259" s="74">
        <v>813</v>
      </c>
      <c r="I259" s="75">
        <f t="shared" ref="I259:I266" ca="1" si="266">H259/H$266</f>
        <v>8.2354132901134525E-2</v>
      </c>
      <c r="J259" s="74">
        <v>180</v>
      </c>
      <c r="K259" s="75">
        <f t="shared" ref="K259:K266" ca="1" si="267">J259/J$266</f>
        <v>9.0955027791814053E-2</v>
      </c>
      <c r="L259" s="74">
        <v>335</v>
      </c>
      <c r="M259" s="75">
        <f t="shared" ref="M259:M266" ca="1" si="268">L259/L$266</f>
        <v>8.1767146692701978E-2</v>
      </c>
      <c r="N259" s="76">
        <f t="shared" ca="1" si="263"/>
        <v>1782</v>
      </c>
      <c r="W259" s="22" t="s">
        <v>18</v>
      </c>
      <c r="X259" s="74">
        <v>47092725</v>
      </c>
      <c r="Y259" s="75">
        <f t="shared" ref="Y259:Y266" ca="1" si="269">X259/X$266</f>
        <v>5.2506046637348661E-2</v>
      </c>
      <c r="Z259" s="74">
        <v>95905315.389999971</v>
      </c>
      <c r="AA259" s="75">
        <f t="shared" ref="AA259:AA266" ca="1" si="270">Z259/Z$266</f>
        <v>6.7830580240441446E-2</v>
      </c>
      <c r="AB259" s="74">
        <v>24177976.170000006</v>
      </c>
      <c r="AC259" s="75">
        <f t="shared" ref="AC259:AC266" ca="1" si="271">AB259/AB$266</f>
        <v>5.6944390292827933E-2</v>
      </c>
      <c r="AD259" s="74">
        <v>387071</v>
      </c>
      <c r="AE259" s="75">
        <f t="shared" ref="AE259:AE266" ca="1" si="272">AD259/AD$266</f>
        <v>8.0966474523352872E-2</v>
      </c>
      <c r="AF259" s="76">
        <f t="shared" ca="1" si="264"/>
        <v>167563087.56</v>
      </c>
    </row>
    <row r="260" spans="5:65" x14ac:dyDescent="0.4">
      <c r="E260" s="22" t="s">
        <v>19</v>
      </c>
      <c r="F260" s="74">
        <v>352</v>
      </c>
      <c r="G260" s="75">
        <f t="shared" ca="1" si="265"/>
        <v>5.3325253749431901E-2</v>
      </c>
      <c r="H260" s="74">
        <v>988</v>
      </c>
      <c r="I260" s="75">
        <f t="shared" ca="1" si="266"/>
        <v>0.10008103727714748</v>
      </c>
      <c r="J260" s="74">
        <v>221</v>
      </c>
      <c r="K260" s="75">
        <f t="shared" ca="1" si="267"/>
        <v>0.11167256189994947</v>
      </c>
      <c r="L260" s="74">
        <v>448</v>
      </c>
      <c r="M260" s="75">
        <f t="shared" ca="1" si="268"/>
        <v>0.10934830363680742</v>
      </c>
      <c r="N260" s="76">
        <f t="shared" ca="1" si="263"/>
        <v>2009</v>
      </c>
      <c r="W260" s="22" t="s">
        <v>19</v>
      </c>
      <c r="X260" s="74">
        <v>31467725</v>
      </c>
      <c r="Y260" s="75">
        <f t="shared" ca="1" si="269"/>
        <v>3.5084948607693914E-2</v>
      </c>
      <c r="Z260" s="74">
        <v>120416592.09999999</v>
      </c>
      <c r="AA260" s="75">
        <f t="shared" ca="1" si="270"/>
        <v>8.5166575799314082E-2</v>
      </c>
      <c r="AB260" s="74">
        <v>29168582.630000003</v>
      </c>
      <c r="AC260" s="75">
        <f t="shared" ca="1" si="271"/>
        <v>6.8698353488836336E-2</v>
      </c>
      <c r="AD260" s="74">
        <v>521428</v>
      </c>
      <c r="AE260" s="75">
        <f t="shared" ca="1" si="272"/>
        <v>0.10907091173909396</v>
      </c>
      <c r="AF260" s="76">
        <f t="shared" ca="1" si="264"/>
        <v>181574327.72999999</v>
      </c>
    </row>
    <row r="261" spans="5:65" x14ac:dyDescent="0.4">
      <c r="E261" s="22" t="s">
        <v>20</v>
      </c>
      <c r="F261" s="74">
        <v>87</v>
      </c>
      <c r="G261" s="75">
        <f t="shared" ca="1" si="265"/>
        <v>1.317982123920618E-2</v>
      </c>
      <c r="H261" s="74">
        <v>309</v>
      </c>
      <c r="I261" s="75">
        <f t="shared" ca="1" si="266"/>
        <v>3.130064829821718E-2</v>
      </c>
      <c r="J261" s="74">
        <v>95</v>
      </c>
      <c r="K261" s="75">
        <f t="shared" ca="1" si="267"/>
        <v>4.8004042445679636E-2</v>
      </c>
      <c r="L261" s="74">
        <v>266</v>
      </c>
      <c r="M261" s="75">
        <f t="shared" ca="1" si="268"/>
        <v>6.4925555284354411E-2</v>
      </c>
      <c r="N261" s="76">
        <f t="shared" ca="1" si="263"/>
        <v>757</v>
      </c>
      <c r="W261" s="22" t="s">
        <v>20</v>
      </c>
      <c r="X261" s="74">
        <v>7132455</v>
      </c>
      <c r="Y261" s="75">
        <f t="shared" ca="1" si="269"/>
        <v>7.9523326558144734E-3</v>
      </c>
      <c r="Z261" s="74">
        <v>31452504.359999996</v>
      </c>
      <c r="AA261" s="75">
        <f t="shared" ca="1" si="270"/>
        <v>2.2245290702378188E-2</v>
      </c>
      <c r="AB261" s="74">
        <v>10164804.41</v>
      </c>
      <c r="AC261" s="75">
        <f t="shared" ca="1" si="271"/>
        <v>2.3940324264671423E-2</v>
      </c>
      <c r="AD261" s="74">
        <v>312828</v>
      </c>
      <c r="AE261" s="75">
        <f t="shared" ca="1" si="272"/>
        <v>6.5436522736633418E-2</v>
      </c>
      <c r="AF261" s="76">
        <f t="shared" ca="1" si="264"/>
        <v>49062591.769999996</v>
      </c>
    </row>
    <row r="262" spans="5:65" x14ac:dyDescent="0.4">
      <c r="E262" s="22" t="s">
        <v>21</v>
      </c>
      <c r="F262" s="74">
        <v>54</v>
      </c>
      <c r="G262" s="75">
        <f t="shared" ca="1" si="265"/>
        <v>8.1805787001969395E-3</v>
      </c>
      <c r="H262" s="74">
        <v>150</v>
      </c>
      <c r="I262" s="75">
        <f t="shared" ca="1" si="266"/>
        <v>1.5194489465153971E-2</v>
      </c>
      <c r="J262" s="74">
        <v>49</v>
      </c>
      <c r="K262" s="75">
        <f t="shared" ca="1" si="267"/>
        <v>2.4759979787771603E-2</v>
      </c>
      <c r="L262" s="74">
        <v>164</v>
      </c>
      <c r="M262" s="75">
        <f t="shared" ca="1" si="268"/>
        <v>4.0029289724188427E-2</v>
      </c>
      <c r="N262" s="76">
        <f t="shared" ca="1" si="263"/>
        <v>417</v>
      </c>
      <c r="W262" s="22" t="s">
        <v>21</v>
      </c>
      <c r="X262" s="74">
        <v>3682970</v>
      </c>
      <c r="Y262" s="75">
        <f t="shared" ca="1" si="269"/>
        <v>4.1063284102577629E-3</v>
      </c>
      <c r="Z262" s="74">
        <v>13982293.839999998</v>
      </c>
      <c r="AA262" s="75">
        <f t="shared" ca="1" si="270"/>
        <v>9.8892027037579839E-3</v>
      </c>
      <c r="AB262" s="74">
        <v>4733242.2699999996</v>
      </c>
      <c r="AC262" s="75">
        <f t="shared" ca="1" si="271"/>
        <v>1.1147814576301271E-2</v>
      </c>
      <c r="AD262" s="74">
        <v>168706</v>
      </c>
      <c r="AE262" s="75">
        <f t="shared" ca="1" si="272"/>
        <v>3.5289468988730151E-2</v>
      </c>
      <c r="AF262" s="76">
        <f t="shared" ca="1" si="264"/>
        <v>22567212.109999996</v>
      </c>
    </row>
    <row r="263" spans="5:65" x14ac:dyDescent="0.4">
      <c r="E263" s="22" t="s">
        <v>22</v>
      </c>
      <c r="F263" s="74">
        <v>35</v>
      </c>
      <c r="G263" s="75">
        <f t="shared" ca="1" si="265"/>
        <v>5.3022269353128317E-3</v>
      </c>
      <c r="H263" s="74">
        <v>74</v>
      </c>
      <c r="I263" s="75">
        <f t="shared" ca="1" si="266"/>
        <v>7.4959481361426255E-3</v>
      </c>
      <c r="J263" s="74">
        <v>33</v>
      </c>
      <c r="K263" s="75">
        <f t="shared" ca="1" si="267"/>
        <v>1.6675088428499241E-2</v>
      </c>
      <c r="L263" s="74">
        <v>165</v>
      </c>
      <c r="M263" s="75">
        <f t="shared" ca="1" si="268"/>
        <v>4.0273370759092021E-2</v>
      </c>
      <c r="N263" s="76">
        <f t="shared" ca="1" si="263"/>
        <v>307</v>
      </c>
      <c r="W263" s="22" t="s">
        <v>22</v>
      </c>
      <c r="X263" s="74">
        <v>2508253</v>
      </c>
      <c r="Y263" s="75">
        <f t="shared" ca="1" si="269"/>
        <v>2.7965773693552388E-3</v>
      </c>
      <c r="Z263" s="74">
        <v>6131223.7199999997</v>
      </c>
      <c r="AA263" s="75">
        <f t="shared" ca="1" si="270"/>
        <v>4.3364068072802775E-3</v>
      </c>
      <c r="AB263" s="74">
        <v>3376571.06</v>
      </c>
      <c r="AC263" s="75">
        <f t="shared" ca="1" si="271"/>
        <v>7.9525589296710643E-3</v>
      </c>
      <c r="AD263" s="74">
        <v>171319</v>
      </c>
      <c r="AE263" s="75">
        <f t="shared" ca="1" si="272"/>
        <v>3.5836049326522242E-2</v>
      </c>
      <c r="AF263" s="76">
        <f t="shared" ca="1" si="264"/>
        <v>12187366.779999999</v>
      </c>
    </row>
    <row r="264" spans="5:65" x14ac:dyDescent="0.4">
      <c r="E264" s="22" t="s">
        <v>23</v>
      </c>
      <c r="F264" s="74">
        <v>13</v>
      </c>
      <c r="G264" s="75">
        <f t="shared" ca="1" si="265"/>
        <v>1.9693985759733374E-3</v>
      </c>
      <c r="H264" s="74">
        <v>45</v>
      </c>
      <c r="I264" s="75">
        <f t="shared" ca="1" si="266"/>
        <v>4.5583468395461908E-3</v>
      </c>
      <c r="J264" s="74">
        <v>32</v>
      </c>
      <c r="K264" s="75">
        <f t="shared" ca="1" si="267"/>
        <v>1.6169782718544721E-2</v>
      </c>
      <c r="L264" s="74">
        <v>148</v>
      </c>
      <c r="M264" s="75">
        <f t="shared" ca="1" si="268"/>
        <v>3.6123993165731019E-2</v>
      </c>
      <c r="N264" s="76">
        <f t="shared" ca="1" si="263"/>
        <v>238</v>
      </c>
      <c r="W264" s="22" t="s">
        <v>23</v>
      </c>
      <c r="X264" s="74">
        <v>1003216</v>
      </c>
      <c r="Y264" s="75">
        <f t="shared" ca="1" si="269"/>
        <v>1.1185359539787594E-3</v>
      </c>
      <c r="Z264" s="74">
        <v>3648335.0700000008</v>
      </c>
      <c r="AA264" s="75">
        <f t="shared" ca="1" si="270"/>
        <v>2.5803437870290879E-3</v>
      </c>
      <c r="AB264" s="74">
        <v>2722890.6100000003</v>
      </c>
      <c r="AC264" s="75">
        <f t="shared" ca="1" si="271"/>
        <v>6.4129993565344937E-3</v>
      </c>
      <c r="AD264" s="74">
        <v>150018</v>
      </c>
      <c r="AE264" s="75">
        <f t="shared" ca="1" si="272"/>
        <v>3.1380363228049504E-2</v>
      </c>
      <c r="AF264" s="76">
        <f t="shared" ca="1" si="264"/>
        <v>7524459.6800000006</v>
      </c>
    </row>
    <row r="265" spans="5:65" x14ac:dyDescent="0.4">
      <c r="E265" s="23" t="s">
        <v>24</v>
      </c>
      <c r="F265" s="77">
        <v>55</v>
      </c>
      <c r="G265" s="78">
        <f t="shared" ca="1" si="265"/>
        <v>8.3320708983487344E-3</v>
      </c>
      <c r="H265" s="77">
        <v>125</v>
      </c>
      <c r="I265" s="78">
        <f t="shared" ca="1" si="266"/>
        <v>1.2662074554294975E-2</v>
      </c>
      <c r="J265" s="77">
        <v>100</v>
      </c>
      <c r="K265" s="78">
        <f t="shared" ca="1" si="267"/>
        <v>5.0530570995452245E-2</v>
      </c>
      <c r="L265" s="77">
        <v>510</v>
      </c>
      <c r="M265" s="78">
        <f t="shared" ca="1" si="268"/>
        <v>0.12448132780082988</v>
      </c>
      <c r="N265" s="79">
        <f t="shared" ca="1" si="263"/>
        <v>790</v>
      </c>
      <c r="W265" s="23" t="s">
        <v>24</v>
      </c>
      <c r="X265" s="77">
        <v>5156984</v>
      </c>
      <c r="Y265" s="78">
        <f t="shared" ca="1" si="269"/>
        <v>5.7497807232871076E-3</v>
      </c>
      <c r="Z265" s="77">
        <v>8951580.570000004</v>
      </c>
      <c r="AA265" s="78">
        <f t="shared" ca="1" si="270"/>
        <v>6.3311496517478062E-3</v>
      </c>
      <c r="AB265" s="77">
        <v>7899408.8800000008</v>
      </c>
      <c r="AC265" s="78">
        <f t="shared" ca="1" si="271"/>
        <v>1.860482528324664E-2</v>
      </c>
      <c r="AD265" s="77">
        <v>516548</v>
      </c>
      <c r="AE265" s="78">
        <f t="shared" ca="1" si="272"/>
        <v>0.10805012641631349</v>
      </c>
      <c r="AF265" s="79">
        <f t="shared" ca="1" si="264"/>
        <v>22524521.450000003</v>
      </c>
    </row>
    <row r="266" spans="5:65" x14ac:dyDescent="0.4">
      <c r="E266" s="27" t="s">
        <v>25</v>
      </c>
      <c r="F266" s="80">
        <f ca="1">SUM(F258:F265)</f>
        <v>6601</v>
      </c>
      <c r="G266" s="81">
        <f t="shared" ca="1" si="265"/>
        <v>1</v>
      </c>
      <c r="H266" s="80">
        <f ca="1">SUM(H258:H265)</f>
        <v>9872</v>
      </c>
      <c r="I266" s="81">
        <f t="shared" ca="1" si="266"/>
        <v>1</v>
      </c>
      <c r="J266" s="80">
        <f ca="1">SUM(J258:J265)</f>
        <v>1979</v>
      </c>
      <c r="K266" s="81">
        <f t="shared" ca="1" si="267"/>
        <v>1</v>
      </c>
      <c r="L266" s="80">
        <f ca="1">SUM(L258:L265)</f>
        <v>4097</v>
      </c>
      <c r="M266" s="81">
        <f t="shared" ca="1" si="268"/>
        <v>1</v>
      </c>
      <c r="N266" s="82">
        <f ca="1">SUM(F266,H266,J266,L266)</f>
        <v>22549</v>
      </c>
      <c r="W266" s="27" t="s">
        <v>25</v>
      </c>
      <c r="X266" s="80">
        <f ca="1">SUM(X258:X265)</f>
        <v>896900986</v>
      </c>
      <c r="Y266" s="81">
        <f t="shared" ca="1" si="269"/>
        <v>1</v>
      </c>
      <c r="Z266" s="80">
        <f ca="1">SUM(Z258:Z265)</f>
        <v>1413894957.8499997</v>
      </c>
      <c r="AA266" s="81">
        <f t="shared" ca="1" si="270"/>
        <v>1</v>
      </c>
      <c r="AB266" s="80">
        <f ca="1">SUM(AB258:AB265)</f>
        <v>424589253.57999992</v>
      </c>
      <c r="AC266" s="81">
        <f t="shared" ca="1" si="271"/>
        <v>1</v>
      </c>
      <c r="AD266" s="80">
        <f ca="1">SUM(AD258:AD265)</f>
        <v>4780633</v>
      </c>
      <c r="AE266" s="81">
        <f t="shared" ca="1" si="272"/>
        <v>1</v>
      </c>
      <c r="AF266" s="82">
        <f ca="1">SUM(X266,Z266,AB266,AD266)</f>
        <v>2740165830.4299994</v>
      </c>
    </row>
    <row r="267" spans="5:65" x14ac:dyDescent="0.4">
      <c r="E267" s="83" t="s">
        <v>26</v>
      </c>
      <c r="F267" s="33">
        <f ca="1">F266/$N$266</f>
        <v>0.29274025455674307</v>
      </c>
      <c r="G267" s="33"/>
      <c r="H267" s="33">
        <f ca="1">H266/$N$266</f>
        <v>0.43780211982793027</v>
      </c>
      <c r="I267" s="33"/>
      <c r="J267" s="33">
        <f ca="1">J266/$N$266</f>
        <v>8.7764424142977512E-2</v>
      </c>
      <c r="K267" s="33"/>
      <c r="L267" s="33">
        <f ca="1">L266/$N$266</f>
        <v>0.1816932014723491</v>
      </c>
      <c r="M267" s="33"/>
      <c r="N267" s="84">
        <f ca="1">N266/N266</f>
        <v>1</v>
      </c>
      <c r="W267" s="83" t="s">
        <v>26</v>
      </c>
      <c r="X267" s="33">
        <f ca="1">X266/$AF$266</f>
        <v>0.32731631642135112</v>
      </c>
      <c r="Y267" s="33"/>
      <c r="Z267" s="33">
        <f ca="1">Z266/$AF$266</f>
        <v>0.51598882890533848</v>
      </c>
      <c r="AA267" s="33"/>
      <c r="AB267" s="33">
        <f ca="1">AB266/$AF$266</f>
        <v>0.15495020369382953</v>
      </c>
      <c r="AC267" s="33"/>
      <c r="AD267" s="33">
        <f ca="1">AD266/$AF$266</f>
        <v>1.7446509794809759E-3</v>
      </c>
      <c r="AE267" s="33"/>
      <c r="AF267" s="84">
        <f ca="1">AF266/AF266</f>
        <v>1</v>
      </c>
    </row>
    <row r="269" spans="5:65" x14ac:dyDescent="0.4">
      <c r="E269" s="67" t="s">
        <v>40</v>
      </c>
      <c r="F269" s="68"/>
      <c r="G269" s="68"/>
      <c r="H269" s="68"/>
      <c r="I269" s="68"/>
      <c r="J269" s="68"/>
      <c r="K269" s="68"/>
      <c r="L269" s="68"/>
      <c r="M269" s="68"/>
      <c r="N269" s="69"/>
      <c r="W269" s="67" t="s">
        <v>40</v>
      </c>
      <c r="X269" s="68"/>
      <c r="Y269" s="68"/>
      <c r="Z269" s="68"/>
      <c r="AA269" s="68"/>
      <c r="AB269" s="68"/>
      <c r="AC269" s="68"/>
      <c r="AD269" s="68"/>
      <c r="AE269" s="68"/>
      <c r="AF269" s="69"/>
      <c r="AM269" s="67" t="s">
        <v>44</v>
      </c>
      <c r="AN269" s="68"/>
      <c r="AO269" s="68"/>
      <c r="AP269" s="68"/>
      <c r="AQ269" s="68"/>
      <c r="AR269" s="68"/>
      <c r="AS269" s="68"/>
      <c r="AT269" s="68"/>
      <c r="AU269" s="68"/>
      <c r="AV269" s="69"/>
      <c r="BD269" s="67" t="s">
        <v>44</v>
      </c>
      <c r="BE269" s="68"/>
      <c r="BF269" s="68"/>
      <c r="BG269" s="68"/>
      <c r="BH269" s="68"/>
      <c r="BI269" s="68"/>
      <c r="BJ269" s="68"/>
      <c r="BK269" s="68"/>
      <c r="BL269" s="68"/>
      <c r="BM269" s="69"/>
    </row>
    <row r="270" spans="5:65" ht="21" customHeight="1" x14ac:dyDescent="0.4">
      <c r="E270" s="70"/>
      <c r="F270" s="71" t="s">
        <v>36</v>
      </c>
      <c r="G270" s="71"/>
      <c r="H270" s="71" t="s">
        <v>37</v>
      </c>
      <c r="I270" s="71"/>
      <c r="J270" s="71" t="s">
        <v>38</v>
      </c>
      <c r="K270" s="71"/>
      <c r="L270" s="71" t="s">
        <v>39</v>
      </c>
      <c r="M270" s="71"/>
      <c r="N270" s="7" t="s">
        <v>10</v>
      </c>
      <c r="W270" s="70"/>
      <c r="X270" s="71" t="s">
        <v>36</v>
      </c>
      <c r="Y270" s="71"/>
      <c r="Z270" s="71" t="s">
        <v>37</v>
      </c>
      <c r="AA270" s="71"/>
      <c r="AB270" s="71" t="s">
        <v>38</v>
      </c>
      <c r="AC270" s="71"/>
      <c r="AD270" s="71" t="s">
        <v>39</v>
      </c>
      <c r="AE270" s="71"/>
      <c r="AF270" s="7" t="s">
        <v>10</v>
      </c>
      <c r="AM270" s="70"/>
      <c r="AN270" s="71" t="s">
        <v>36</v>
      </c>
      <c r="AO270" s="71"/>
      <c r="AP270" s="71" t="s">
        <v>37</v>
      </c>
      <c r="AQ270" s="71"/>
      <c r="AR270" s="71" t="s">
        <v>38</v>
      </c>
      <c r="AS270" s="71"/>
      <c r="AT270" s="71" t="s">
        <v>39</v>
      </c>
      <c r="AU270" s="71"/>
      <c r="AV270" s="7" t="s">
        <v>10</v>
      </c>
      <c r="BD270" s="70"/>
      <c r="BE270" s="71" t="s">
        <v>36</v>
      </c>
      <c r="BF270" s="71"/>
      <c r="BG270" s="71" t="s">
        <v>37</v>
      </c>
      <c r="BH270" s="71"/>
      <c r="BI270" s="71" t="s">
        <v>38</v>
      </c>
      <c r="BJ270" s="71"/>
      <c r="BK270" s="71" t="s">
        <v>39</v>
      </c>
      <c r="BL270" s="71"/>
      <c r="BM270" s="7" t="s">
        <v>10</v>
      </c>
    </row>
    <row r="271" spans="5:65" x14ac:dyDescent="0.4">
      <c r="E271" s="8" t="s">
        <v>11</v>
      </c>
      <c r="F271" s="8" t="s">
        <v>12</v>
      </c>
      <c r="G271" s="8" t="s">
        <v>13</v>
      </c>
      <c r="H271" s="8" t="s">
        <v>12</v>
      </c>
      <c r="I271" s="8" t="s">
        <v>13</v>
      </c>
      <c r="J271" s="8" t="s">
        <v>12</v>
      </c>
      <c r="K271" s="8" t="s">
        <v>13</v>
      </c>
      <c r="L271" s="8" t="s">
        <v>12</v>
      </c>
      <c r="M271" s="8" t="s">
        <v>13</v>
      </c>
      <c r="N271" s="7"/>
      <c r="W271" s="8" t="s">
        <v>11</v>
      </c>
      <c r="X271" s="8" t="s">
        <v>14</v>
      </c>
      <c r="Y271" s="8" t="s">
        <v>13</v>
      </c>
      <c r="Z271" s="8" t="s">
        <v>14</v>
      </c>
      <c r="AA271" s="8" t="s">
        <v>13</v>
      </c>
      <c r="AB271" s="8" t="s">
        <v>14</v>
      </c>
      <c r="AC271" s="8" t="s">
        <v>13</v>
      </c>
      <c r="AD271" s="8" t="s">
        <v>14</v>
      </c>
      <c r="AE271" s="8" t="s">
        <v>13</v>
      </c>
      <c r="AF271" s="7"/>
      <c r="AM271" s="8" t="s">
        <v>11</v>
      </c>
      <c r="AN271" s="8" t="s">
        <v>12</v>
      </c>
      <c r="AO271" s="8" t="s">
        <v>13</v>
      </c>
      <c r="AP271" s="8" t="s">
        <v>12</v>
      </c>
      <c r="AQ271" s="8" t="s">
        <v>13</v>
      </c>
      <c r="AR271" s="8" t="s">
        <v>12</v>
      </c>
      <c r="AS271" s="8" t="s">
        <v>13</v>
      </c>
      <c r="AT271" s="8" t="s">
        <v>12</v>
      </c>
      <c r="AU271" s="8" t="s">
        <v>13</v>
      </c>
      <c r="AV271" s="7"/>
      <c r="BD271" s="8" t="s">
        <v>11</v>
      </c>
      <c r="BE271" s="8" t="s">
        <v>14</v>
      </c>
      <c r="BF271" s="8" t="s">
        <v>13</v>
      </c>
      <c r="BG271" s="8" t="s">
        <v>14</v>
      </c>
      <c r="BH271" s="8" t="s">
        <v>13</v>
      </c>
      <c r="BI271" s="8" t="s">
        <v>14</v>
      </c>
      <c r="BJ271" s="8" t="s">
        <v>13</v>
      </c>
      <c r="BK271" s="8" t="s">
        <v>14</v>
      </c>
      <c r="BL271" s="8" t="s">
        <v>13</v>
      </c>
      <c r="BM271" s="7"/>
    </row>
    <row r="272" spans="5:65" x14ac:dyDescent="0.4">
      <c r="E272" s="9" t="s">
        <v>15</v>
      </c>
      <c r="F272" s="72">
        <v>30</v>
      </c>
      <c r="G272" s="73">
        <f ca="1">F272/F$282</f>
        <v>0.73170731707317072</v>
      </c>
      <c r="H272" s="72">
        <v>300</v>
      </c>
      <c r="I272" s="73">
        <f ca="1">H272/H$282</f>
        <v>0.67114093959731547</v>
      </c>
      <c r="J272" s="72">
        <v>43</v>
      </c>
      <c r="K272" s="73">
        <f ca="1">J272/J$282</f>
        <v>0.63235294117647056</v>
      </c>
      <c r="L272" s="72">
        <v>42</v>
      </c>
      <c r="M272" s="73">
        <f ca="1">L272/L$282</f>
        <v>0.73684210526315785</v>
      </c>
      <c r="N272" s="60">
        <f t="shared" ref="N272:N282" ca="1" si="273">SUM(F272,H272,J272,L272)</f>
        <v>415</v>
      </c>
      <c r="W272" s="9" t="s">
        <v>15</v>
      </c>
      <c r="X272" s="72">
        <v>2369045</v>
      </c>
      <c r="Y272" s="73">
        <f ca="1">X272/X$282</f>
        <v>0.74730216111011216</v>
      </c>
      <c r="Z272" s="72">
        <v>50001729.939999998</v>
      </c>
      <c r="AA272" s="73">
        <f ca="1">Z272/Z$282</f>
        <v>0.75271639346683983</v>
      </c>
      <c r="AB272" s="72">
        <v>16787616.869999997</v>
      </c>
      <c r="AC272" s="73">
        <f t="shared" ref="AC272:AC282" ca="1" si="274">AB272/AB$282</f>
        <v>0.79651445319989178</v>
      </c>
      <c r="AD272" s="72">
        <v>58013</v>
      </c>
      <c r="AE272" s="73">
        <f t="shared" ref="AE272:AE282" ca="1" si="275">AD272/AD$282</f>
        <v>0.59773940280668492</v>
      </c>
      <c r="AF272" s="60">
        <f t="shared" ref="AF272:AF282" ca="1" si="276">SUM(X272,Z272,AB272,AD272)</f>
        <v>69216404.810000002</v>
      </c>
      <c r="AM272" s="35" t="s">
        <v>15</v>
      </c>
      <c r="AN272" s="85">
        <v>30</v>
      </c>
      <c r="AO272" s="86">
        <f ca="1">AN272/AN$282</f>
        <v>0.73170731707317072</v>
      </c>
      <c r="AP272" s="85">
        <v>300</v>
      </c>
      <c r="AQ272" s="86">
        <f ca="1">AP272/AP$282</f>
        <v>0.67114093959731547</v>
      </c>
      <c r="AR272" s="85">
        <v>43</v>
      </c>
      <c r="AS272" s="86">
        <f ca="1">AR272/AR$282</f>
        <v>0.63235294117647056</v>
      </c>
      <c r="AT272" s="85">
        <v>42</v>
      </c>
      <c r="AU272" s="86">
        <f ca="1">AT272/AT$282</f>
        <v>0.73684210526315785</v>
      </c>
      <c r="AV272" s="61">
        <f t="shared" ref="AV272:AV282" ca="1" si="277">SUM(AN272,AP272,AR272,AT272)</f>
        <v>415</v>
      </c>
      <c r="BD272" s="35" t="s">
        <v>15</v>
      </c>
      <c r="BE272" s="85">
        <v>2369045</v>
      </c>
      <c r="BF272" s="86">
        <f ca="1">BE272/BE$282</f>
        <v>0.74730216111011216</v>
      </c>
      <c r="BG272" s="85">
        <v>50001729.939999998</v>
      </c>
      <c r="BH272" s="86">
        <f ca="1">BG272/BG$282</f>
        <v>0.75271639346683983</v>
      </c>
      <c r="BI272" s="85">
        <v>16787616.869999997</v>
      </c>
      <c r="BJ272" s="86">
        <f t="shared" ref="BJ272:BJ282" ca="1" si="278">BI272/BI$282</f>
        <v>0.79651445319989178</v>
      </c>
      <c r="BK272" s="85">
        <v>50041</v>
      </c>
      <c r="BL272" s="86">
        <f t="shared" ref="BL272:BL282" ca="1" si="279">BK272/BK$282</f>
        <v>0.58866916842142414</v>
      </c>
      <c r="BM272" s="61">
        <f t="shared" ref="BM272:BM282" ca="1" si="280">SUM(BE272,BG272,BI272,BK272)</f>
        <v>69208432.810000002</v>
      </c>
    </row>
    <row r="273" spans="5:65" x14ac:dyDescent="0.4">
      <c r="E273" s="14" t="s">
        <v>16</v>
      </c>
      <c r="F273" s="74">
        <v>11</v>
      </c>
      <c r="G273" s="75">
        <f ca="1">F273/F$282</f>
        <v>0.26829268292682928</v>
      </c>
      <c r="H273" s="74">
        <v>108</v>
      </c>
      <c r="I273" s="75">
        <f ca="1">H273/H$282</f>
        <v>0.24161073825503357</v>
      </c>
      <c r="J273" s="74">
        <v>15</v>
      </c>
      <c r="K273" s="75">
        <f ca="1">J273/J$282</f>
        <v>0.22058823529411764</v>
      </c>
      <c r="L273" s="74">
        <v>10</v>
      </c>
      <c r="M273" s="75">
        <f ca="1">L273/L$282</f>
        <v>0.17543859649122806</v>
      </c>
      <c r="N273" s="76">
        <f t="shared" ca="1" si="273"/>
        <v>144</v>
      </c>
      <c r="W273" s="14" t="s">
        <v>16</v>
      </c>
      <c r="X273" s="74">
        <v>801085</v>
      </c>
      <c r="Y273" s="75">
        <f t="shared" ref="Y273:AA281" ca="1" si="281">X273/X$282</f>
        <v>0.25269783888988778</v>
      </c>
      <c r="Z273" s="74">
        <v>12626103.969999999</v>
      </c>
      <c r="AA273" s="75">
        <f t="shared" ca="1" si="281"/>
        <v>0.19007093265053038</v>
      </c>
      <c r="AB273" s="74">
        <v>3212939.1799999997</v>
      </c>
      <c r="AC273" s="75">
        <f t="shared" ca="1" si="274"/>
        <v>0.15244286988080452</v>
      </c>
      <c r="AD273" s="74">
        <v>30671</v>
      </c>
      <c r="AE273" s="75">
        <f t="shared" ca="1" si="275"/>
        <v>0.31601994765800484</v>
      </c>
      <c r="AF273" s="76">
        <f t="shared" ca="1" si="276"/>
        <v>16670799.149999999</v>
      </c>
      <c r="AM273" s="39" t="s">
        <v>16</v>
      </c>
      <c r="AN273" s="87">
        <v>11</v>
      </c>
      <c r="AO273" s="88">
        <f t="shared" ref="AO273:AO281" ca="1" si="282">AN273/AN$282</f>
        <v>0.26829268292682928</v>
      </c>
      <c r="AP273" s="87">
        <v>108</v>
      </c>
      <c r="AQ273" s="88">
        <f ca="1">AP273/AP$282</f>
        <v>0.24161073825503357</v>
      </c>
      <c r="AR273" s="87">
        <v>15</v>
      </c>
      <c r="AS273" s="88">
        <f ca="1">AR273/AR$282</f>
        <v>0.22058823529411764</v>
      </c>
      <c r="AT273" s="87">
        <v>10</v>
      </c>
      <c r="AU273" s="88">
        <f ca="1">AT273/AT$282</f>
        <v>0.17543859649122806</v>
      </c>
      <c r="AV273" s="89">
        <f t="shared" ca="1" si="277"/>
        <v>144</v>
      </c>
      <c r="BD273" s="39" t="s">
        <v>16</v>
      </c>
      <c r="BE273" s="87">
        <v>801085</v>
      </c>
      <c r="BF273" s="88">
        <f t="shared" ref="BF273:BF281" ca="1" si="283">BE273/BE$282</f>
        <v>0.25269783888988778</v>
      </c>
      <c r="BG273" s="87">
        <v>12626103.969999999</v>
      </c>
      <c r="BH273" s="88">
        <f t="shared" ref="BH273:BH281" ca="1" si="284">BG273/BG$282</f>
        <v>0.19007093265053038</v>
      </c>
      <c r="BI273" s="87">
        <v>3212939.1799999997</v>
      </c>
      <c r="BJ273" s="88">
        <f t="shared" ca="1" si="278"/>
        <v>0.15244286988080452</v>
      </c>
      <c r="BK273" s="87">
        <v>26596</v>
      </c>
      <c r="BL273" s="88">
        <f t="shared" ca="1" si="279"/>
        <v>0.31286835201806912</v>
      </c>
      <c r="BM273" s="89">
        <f t="shared" ca="1" si="280"/>
        <v>16666724.149999999</v>
      </c>
    </row>
    <row r="274" spans="5:65" x14ac:dyDescent="0.4">
      <c r="E274" s="18" t="s">
        <v>17</v>
      </c>
      <c r="F274" s="19">
        <f ca="1">+SUM(F272:F273)</f>
        <v>41</v>
      </c>
      <c r="G274" s="20">
        <f ca="1">+F274/$F$282</f>
        <v>1</v>
      </c>
      <c r="H274" s="19">
        <f ca="1">+SUM(H272:H273)</f>
        <v>408</v>
      </c>
      <c r="I274" s="20">
        <f ca="1">+H274/$H$282</f>
        <v>0.91275167785234901</v>
      </c>
      <c r="J274" s="19">
        <f ca="1">+SUM(J272:J273)</f>
        <v>58</v>
      </c>
      <c r="K274" s="20">
        <f ca="1">+J274/$J$282</f>
        <v>0.8529411764705882</v>
      </c>
      <c r="L274" s="19">
        <f ca="1">+SUM(L272:L273)</f>
        <v>52</v>
      </c>
      <c r="M274" s="20">
        <f ca="1">+L274/$L$282</f>
        <v>0.91228070175438591</v>
      </c>
      <c r="N274" s="99">
        <f t="shared" ca="1" si="273"/>
        <v>559</v>
      </c>
      <c r="W274" s="18" t="s">
        <v>17</v>
      </c>
      <c r="X274" s="19">
        <f ca="1">+SUM(X272:X273)</f>
        <v>3170130</v>
      </c>
      <c r="Y274" s="20">
        <f t="shared" ca="1" si="281"/>
        <v>1</v>
      </c>
      <c r="Z274" s="19">
        <f ca="1">+SUM(Z272:Z273)</f>
        <v>62627833.909999996</v>
      </c>
      <c r="AA274" s="20">
        <f t="shared" ca="1" si="281"/>
        <v>0.94278732611737026</v>
      </c>
      <c r="AB274" s="19">
        <f ca="1">+SUM(AB272:AB273)</f>
        <v>20000556.049999997</v>
      </c>
      <c r="AC274" s="20">
        <f t="shared" ca="1" si="274"/>
        <v>0.94895732308069636</v>
      </c>
      <c r="AD274" s="19">
        <f ca="1">+SUM(AD272:AD273)</f>
        <v>88684</v>
      </c>
      <c r="AE274" s="20">
        <f t="shared" ca="1" si="275"/>
        <v>0.91375935046468981</v>
      </c>
      <c r="AF274" s="21">
        <f t="shared" ca="1" si="276"/>
        <v>85887203.959999993</v>
      </c>
      <c r="AM274" s="43" t="s">
        <v>17</v>
      </c>
      <c r="AN274" s="44">
        <f ca="1">+SUM(AN272:AN273)</f>
        <v>41</v>
      </c>
      <c r="AO274" s="45">
        <f t="shared" ca="1" si="282"/>
        <v>1</v>
      </c>
      <c r="AP274" s="44">
        <f ca="1">+SUM(AP272:AP273)</f>
        <v>408</v>
      </c>
      <c r="AQ274" s="45">
        <f ca="1">AP274/AP$282</f>
        <v>0.91275167785234901</v>
      </c>
      <c r="AR274" s="44">
        <f ca="1">+SUM(AR272:AR273)</f>
        <v>58</v>
      </c>
      <c r="AS274" s="45">
        <f ca="1">AR274/AR$282</f>
        <v>0.8529411764705882</v>
      </c>
      <c r="AT274" s="44">
        <f ca="1">+SUM(AT272:AT273)</f>
        <v>52</v>
      </c>
      <c r="AU274" s="45">
        <f ca="1">AT274/AT$282</f>
        <v>0.91228070175438591</v>
      </c>
      <c r="AV274" s="100">
        <f t="shared" ca="1" si="277"/>
        <v>559</v>
      </c>
      <c r="BD274" s="43" t="s">
        <v>17</v>
      </c>
      <c r="BE274" s="44">
        <f ca="1">+SUM(BE272:BE273)</f>
        <v>3170130</v>
      </c>
      <c r="BF274" s="45">
        <f t="shared" ca="1" si="283"/>
        <v>1</v>
      </c>
      <c r="BG274" s="44">
        <f ca="1">+SUM(BG272:BG273)</f>
        <v>62627833.909999996</v>
      </c>
      <c r="BH274" s="45">
        <f t="shared" ca="1" si="284"/>
        <v>0.94278732611737026</v>
      </c>
      <c r="BI274" s="44">
        <f ca="1">+SUM(BI272:BI273)</f>
        <v>20000556.049999997</v>
      </c>
      <c r="BJ274" s="45">
        <f t="shared" ca="1" si="278"/>
        <v>0.94895732308069636</v>
      </c>
      <c r="BK274" s="44">
        <f ca="1">+SUM(BK272:BK273)</f>
        <v>76637</v>
      </c>
      <c r="BL274" s="45">
        <f t="shared" ca="1" si="279"/>
        <v>0.9015375204394932</v>
      </c>
      <c r="BM274" s="46">
        <f t="shared" ca="1" si="280"/>
        <v>85875156.959999993</v>
      </c>
    </row>
    <row r="275" spans="5:65" x14ac:dyDescent="0.4">
      <c r="E275" s="22" t="s">
        <v>18</v>
      </c>
      <c r="F275" s="74">
        <v>0</v>
      </c>
      <c r="G275" s="75">
        <f t="shared" ref="G275:G282" ca="1" si="285">F275/F$282</f>
        <v>0</v>
      </c>
      <c r="H275" s="74">
        <v>30</v>
      </c>
      <c r="I275" s="75">
        <f t="shared" ref="I275:I282" ca="1" si="286">H275/H$282</f>
        <v>6.7114093959731544E-2</v>
      </c>
      <c r="J275" s="74">
        <v>9</v>
      </c>
      <c r="K275" s="75">
        <f t="shared" ref="K275:K282" ca="1" si="287">J275/J$282</f>
        <v>0.13235294117647059</v>
      </c>
      <c r="L275" s="74">
        <v>5</v>
      </c>
      <c r="M275" s="75">
        <f t="shared" ref="M275:M282" ca="1" si="288">L275/L$282</f>
        <v>8.771929824561403E-2</v>
      </c>
      <c r="N275" s="76">
        <f t="shared" ca="1" si="273"/>
        <v>44</v>
      </c>
      <c r="W275" s="22" t="s">
        <v>18</v>
      </c>
      <c r="X275" s="74">
        <v>0</v>
      </c>
      <c r="Y275" s="75">
        <f t="shared" ca="1" si="281"/>
        <v>0</v>
      </c>
      <c r="Z275" s="74">
        <v>2406169.6000000001</v>
      </c>
      <c r="AA275" s="75">
        <f t="shared" ca="1" si="281"/>
        <v>3.6222012829453497E-2</v>
      </c>
      <c r="AB275" s="74">
        <v>1039893.29</v>
      </c>
      <c r="AC275" s="75">
        <f t="shared" ca="1" si="274"/>
        <v>4.9339345881235057E-2</v>
      </c>
      <c r="AD275" s="74">
        <v>8370</v>
      </c>
      <c r="AE275" s="75">
        <f t="shared" ca="1" si="275"/>
        <v>8.6240649535310243E-2</v>
      </c>
      <c r="AF275" s="76">
        <f t="shared" ca="1" si="276"/>
        <v>3454432.89</v>
      </c>
      <c r="AM275" s="47" t="s">
        <v>18</v>
      </c>
      <c r="AN275" s="87">
        <v>0</v>
      </c>
      <c r="AO275" s="88">
        <f t="shared" ca="1" si="282"/>
        <v>0</v>
      </c>
      <c r="AP275" s="87">
        <v>30</v>
      </c>
      <c r="AQ275" s="88">
        <f t="shared" ref="AQ275:AQ282" ca="1" si="289">AP275/AP$282</f>
        <v>6.7114093959731544E-2</v>
      </c>
      <c r="AR275" s="87">
        <v>9</v>
      </c>
      <c r="AS275" s="88">
        <f t="shared" ref="AS275:AS282" ca="1" si="290">AR275/AR$282</f>
        <v>0.13235294117647059</v>
      </c>
      <c r="AT275" s="87">
        <v>5</v>
      </c>
      <c r="AU275" s="88">
        <f t="shared" ref="AU275:AU282" ca="1" si="291">AT275/AT$282</f>
        <v>8.771929824561403E-2</v>
      </c>
      <c r="AV275" s="89">
        <f t="shared" ca="1" si="277"/>
        <v>44</v>
      </c>
      <c r="BD275" s="47" t="s">
        <v>18</v>
      </c>
      <c r="BE275" s="87">
        <v>0</v>
      </c>
      <c r="BF275" s="88">
        <f t="shared" ca="1" si="283"/>
        <v>0</v>
      </c>
      <c r="BG275" s="87">
        <v>2406169.6000000001</v>
      </c>
      <c r="BH275" s="88">
        <f t="shared" ca="1" si="284"/>
        <v>3.6222012829453497E-2</v>
      </c>
      <c r="BI275" s="87">
        <v>1039893.29</v>
      </c>
      <c r="BJ275" s="88">
        <f t="shared" ca="1" si="278"/>
        <v>4.9339345881235057E-2</v>
      </c>
      <c r="BK275" s="87">
        <v>8370</v>
      </c>
      <c r="BL275" s="88">
        <f t="shared" ca="1" si="279"/>
        <v>9.8462479560506785E-2</v>
      </c>
      <c r="BM275" s="89">
        <f t="shared" ca="1" si="280"/>
        <v>3454432.89</v>
      </c>
    </row>
    <row r="276" spans="5:65" x14ac:dyDescent="0.4">
      <c r="E276" s="22" t="s">
        <v>19</v>
      </c>
      <c r="F276" s="74">
        <v>0</v>
      </c>
      <c r="G276" s="75">
        <f t="shared" ca="1" si="285"/>
        <v>0</v>
      </c>
      <c r="H276" s="74">
        <v>9</v>
      </c>
      <c r="I276" s="75">
        <f t="shared" ca="1" si="286"/>
        <v>2.0134228187919462E-2</v>
      </c>
      <c r="J276" s="74">
        <v>1</v>
      </c>
      <c r="K276" s="75">
        <f t="shared" ca="1" si="287"/>
        <v>1.4705882352941176E-2</v>
      </c>
      <c r="L276" s="74">
        <v>0</v>
      </c>
      <c r="M276" s="75">
        <f t="shared" ca="1" si="288"/>
        <v>0</v>
      </c>
      <c r="N276" s="76">
        <f t="shared" ca="1" si="273"/>
        <v>10</v>
      </c>
      <c r="W276" s="22" t="s">
        <v>19</v>
      </c>
      <c r="X276" s="74">
        <v>0</v>
      </c>
      <c r="Y276" s="75">
        <f t="shared" ca="1" si="281"/>
        <v>0</v>
      </c>
      <c r="Z276" s="74">
        <v>1394375.5899999999</v>
      </c>
      <c r="AA276" s="75">
        <f t="shared" ca="1" si="281"/>
        <v>2.099066105317629E-2</v>
      </c>
      <c r="AB276" s="74">
        <v>35900</v>
      </c>
      <c r="AC276" s="75">
        <f t="shared" ca="1" si="274"/>
        <v>1.7033310380686643E-3</v>
      </c>
      <c r="AD276" s="74">
        <v>0</v>
      </c>
      <c r="AE276" s="75">
        <f t="shared" ca="1" si="275"/>
        <v>0</v>
      </c>
      <c r="AF276" s="76">
        <f t="shared" ca="1" si="276"/>
        <v>1430275.5899999999</v>
      </c>
      <c r="AM276" s="47" t="s">
        <v>19</v>
      </c>
      <c r="AN276" s="87">
        <v>0</v>
      </c>
      <c r="AO276" s="88">
        <f t="shared" ca="1" si="282"/>
        <v>0</v>
      </c>
      <c r="AP276" s="87">
        <v>9</v>
      </c>
      <c r="AQ276" s="88">
        <f t="shared" ca="1" si="289"/>
        <v>2.0134228187919462E-2</v>
      </c>
      <c r="AR276" s="87">
        <v>1</v>
      </c>
      <c r="AS276" s="88">
        <f t="shared" ca="1" si="290"/>
        <v>1.4705882352941176E-2</v>
      </c>
      <c r="AT276" s="87">
        <v>0</v>
      </c>
      <c r="AU276" s="88">
        <f t="shared" ca="1" si="291"/>
        <v>0</v>
      </c>
      <c r="AV276" s="89">
        <f t="shared" ca="1" si="277"/>
        <v>10</v>
      </c>
      <c r="BD276" s="47" t="s">
        <v>19</v>
      </c>
      <c r="BE276" s="87">
        <v>0</v>
      </c>
      <c r="BF276" s="88">
        <f t="shared" ca="1" si="283"/>
        <v>0</v>
      </c>
      <c r="BG276" s="87">
        <v>1394375.5899999999</v>
      </c>
      <c r="BH276" s="88">
        <f t="shared" ca="1" si="284"/>
        <v>2.099066105317629E-2</v>
      </c>
      <c r="BI276" s="87">
        <v>35900</v>
      </c>
      <c r="BJ276" s="88">
        <f t="shared" ca="1" si="278"/>
        <v>1.7033310380686643E-3</v>
      </c>
      <c r="BK276" s="87">
        <v>0</v>
      </c>
      <c r="BL276" s="88">
        <f t="shared" ca="1" si="279"/>
        <v>0</v>
      </c>
      <c r="BM276" s="89">
        <f t="shared" ca="1" si="280"/>
        <v>1430275.5899999999</v>
      </c>
    </row>
    <row r="277" spans="5:65" x14ac:dyDescent="0.4">
      <c r="E277" s="22" t="s">
        <v>20</v>
      </c>
      <c r="F277" s="74">
        <v>0</v>
      </c>
      <c r="G277" s="75">
        <f t="shared" ca="1" si="285"/>
        <v>0</v>
      </c>
      <c r="H277" s="74">
        <v>0</v>
      </c>
      <c r="I277" s="75">
        <f t="shared" ca="1" si="286"/>
        <v>0</v>
      </c>
      <c r="J277" s="74">
        <v>0</v>
      </c>
      <c r="K277" s="75">
        <f t="shared" ca="1" si="287"/>
        <v>0</v>
      </c>
      <c r="L277" s="74">
        <v>0</v>
      </c>
      <c r="M277" s="75">
        <f t="shared" ca="1" si="288"/>
        <v>0</v>
      </c>
      <c r="N277" s="76">
        <f t="shared" ca="1" si="273"/>
        <v>0</v>
      </c>
      <c r="W277" s="22" t="s">
        <v>20</v>
      </c>
      <c r="X277" s="74">
        <v>0</v>
      </c>
      <c r="Y277" s="75">
        <f t="shared" ca="1" si="281"/>
        <v>0</v>
      </c>
      <c r="Z277" s="74">
        <v>0</v>
      </c>
      <c r="AA277" s="75">
        <f t="shared" ca="1" si="281"/>
        <v>0</v>
      </c>
      <c r="AB277" s="74">
        <v>0</v>
      </c>
      <c r="AC277" s="75">
        <f t="shared" ca="1" si="274"/>
        <v>0</v>
      </c>
      <c r="AD277" s="74">
        <v>0</v>
      </c>
      <c r="AE277" s="75">
        <f t="shared" ca="1" si="275"/>
        <v>0</v>
      </c>
      <c r="AF277" s="76">
        <f t="shared" ca="1" si="276"/>
        <v>0</v>
      </c>
      <c r="AM277" s="47" t="s">
        <v>20</v>
      </c>
      <c r="AN277" s="87">
        <v>0</v>
      </c>
      <c r="AO277" s="88">
        <f t="shared" ca="1" si="282"/>
        <v>0</v>
      </c>
      <c r="AP277" s="87">
        <v>0</v>
      </c>
      <c r="AQ277" s="88">
        <f t="shared" ca="1" si="289"/>
        <v>0</v>
      </c>
      <c r="AR277" s="87">
        <v>0</v>
      </c>
      <c r="AS277" s="88">
        <f t="shared" ca="1" si="290"/>
        <v>0</v>
      </c>
      <c r="AT277" s="87">
        <v>0</v>
      </c>
      <c r="AU277" s="88">
        <f t="shared" ca="1" si="291"/>
        <v>0</v>
      </c>
      <c r="AV277" s="89">
        <f t="shared" ca="1" si="277"/>
        <v>0</v>
      </c>
      <c r="BD277" s="47" t="s">
        <v>20</v>
      </c>
      <c r="BE277" s="87">
        <v>0</v>
      </c>
      <c r="BF277" s="88">
        <f t="shared" ca="1" si="283"/>
        <v>0</v>
      </c>
      <c r="BG277" s="87">
        <v>0</v>
      </c>
      <c r="BH277" s="88">
        <f t="shared" ca="1" si="284"/>
        <v>0</v>
      </c>
      <c r="BI277" s="87">
        <v>0</v>
      </c>
      <c r="BJ277" s="88">
        <f t="shared" ca="1" si="278"/>
        <v>0</v>
      </c>
      <c r="BK277" s="87">
        <v>0</v>
      </c>
      <c r="BL277" s="88">
        <f t="shared" ca="1" si="279"/>
        <v>0</v>
      </c>
      <c r="BM277" s="89">
        <f t="shared" ca="1" si="280"/>
        <v>0</v>
      </c>
    </row>
    <row r="278" spans="5:65" x14ac:dyDescent="0.4">
      <c r="E278" s="22" t="s">
        <v>21</v>
      </c>
      <c r="F278" s="74">
        <v>0</v>
      </c>
      <c r="G278" s="75">
        <f t="shared" ca="1" si="285"/>
        <v>0</v>
      </c>
      <c r="H278" s="74">
        <v>0</v>
      </c>
      <c r="I278" s="75">
        <f t="shared" ca="1" si="286"/>
        <v>0</v>
      </c>
      <c r="J278" s="74">
        <v>0</v>
      </c>
      <c r="K278" s="75">
        <f t="shared" ca="1" si="287"/>
        <v>0</v>
      </c>
      <c r="L278" s="74">
        <v>0</v>
      </c>
      <c r="M278" s="75">
        <f t="shared" ca="1" si="288"/>
        <v>0</v>
      </c>
      <c r="N278" s="76">
        <f t="shared" ca="1" si="273"/>
        <v>0</v>
      </c>
      <c r="W278" s="22" t="s">
        <v>21</v>
      </c>
      <c r="X278" s="74">
        <v>0</v>
      </c>
      <c r="Y278" s="75">
        <f t="shared" ca="1" si="281"/>
        <v>0</v>
      </c>
      <c r="Z278" s="74">
        <v>0</v>
      </c>
      <c r="AA278" s="75">
        <f t="shared" ca="1" si="281"/>
        <v>0</v>
      </c>
      <c r="AB278" s="74">
        <v>0</v>
      </c>
      <c r="AC278" s="75">
        <f t="shared" ca="1" si="274"/>
        <v>0</v>
      </c>
      <c r="AD278" s="74">
        <v>0</v>
      </c>
      <c r="AE278" s="75">
        <f t="shared" ca="1" si="275"/>
        <v>0</v>
      </c>
      <c r="AF278" s="76">
        <f t="shared" ca="1" si="276"/>
        <v>0</v>
      </c>
      <c r="AM278" s="47" t="s">
        <v>21</v>
      </c>
      <c r="AN278" s="87">
        <v>0</v>
      </c>
      <c r="AO278" s="88">
        <f t="shared" ca="1" si="282"/>
        <v>0</v>
      </c>
      <c r="AP278" s="87">
        <v>0</v>
      </c>
      <c r="AQ278" s="88">
        <f t="shared" ca="1" si="289"/>
        <v>0</v>
      </c>
      <c r="AR278" s="87">
        <v>0</v>
      </c>
      <c r="AS278" s="88">
        <f t="shared" ca="1" si="290"/>
        <v>0</v>
      </c>
      <c r="AT278" s="87">
        <v>0</v>
      </c>
      <c r="AU278" s="88">
        <f t="shared" ca="1" si="291"/>
        <v>0</v>
      </c>
      <c r="AV278" s="89">
        <f t="shared" ca="1" si="277"/>
        <v>0</v>
      </c>
      <c r="BD278" s="47" t="s">
        <v>21</v>
      </c>
      <c r="BE278" s="87">
        <v>0</v>
      </c>
      <c r="BF278" s="88">
        <f t="shared" ca="1" si="283"/>
        <v>0</v>
      </c>
      <c r="BG278" s="87">
        <v>0</v>
      </c>
      <c r="BH278" s="88">
        <f t="shared" ca="1" si="284"/>
        <v>0</v>
      </c>
      <c r="BI278" s="87">
        <v>0</v>
      </c>
      <c r="BJ278" s="88">
        <f t="shared" ca="1" si="278"/>
        <v>0</v>
      </c>
      <c r="BK278" s="87">
        <v>0</v>
      </c>
      <c r="BL278" s="88">
        <f t="shared" ca="1" si="279"/>
        <v>0</v>
      </c>
      <c r="BM278" s="89">
        <f t="shared" ca="1" si="280"/>
        <v>0</v>
      </c>
    </row>
    <row r="279" spans="5:65" x14ac:dyDescent="0.4">
      <c r="E279" s="22" t="s">
        <v>22</v>
      </c>
      <c r="F279" s="74">
        <v>0</v>
      </c>
      <c r="G279" s="75">
        <f t="shared" ca="1" si="285"/>
        <v>0</v>
      </c>
      <c r="H279" s="74">
        <v>0</v>
      </c>
      <c r="I279" s="75">
        <f t="shared" ca="1" si="286"/>
        <v>0</v>
      </c>
      <c r="J279" s="74">
        <v>0</v>
      </c>
      <c r="K279" s="75">
        <f t="shared" ca="1" si="287"/>
        <v>0</v>
      </c>
      <c r="L279" s="74">
        <v>0</v>
      </c>
      <c r="M279" s="75">
        <f t="shared" ca="1" si="288"/>
        <v>0</v>
      </c>
      <c r="N279" s="76">
        <f t="shared" ca="1" si="273"/>
        <v>0</v>
      </c>
      <c r="W279" s="22" t="s">
        <v>22</v>
      </c>
      <c r="X279" s="74">
        <v>0</v>
      </c>
      <c r="Y279" s="75">
        <f t="shared" ca="1" si="281"/>
        <v>0</v>
      </c>
      <c r="Z279" s="74">
        <v>0</v>
      </c>
      <c r="AA279" s="75">
        <f t="shared" ca="1" si="281"/>
        <v>0</v>
      </c>
      <c r="AB279" s="74">
        <v>0</v>
      </c>
      <c r="AC279" s="75">
        <f t="shared" ca="1" si="274"/>
        <v>0</v>
      </c>
      <c r="AD279" s="74">
        <v>0</v>
      </c>
      <c r="AE279" s="75">
        <f t="shared" ca="1" si="275"/>
        <v>0</v>
      </c>
      <c r="AF279" s="76">
        <f t="shared" ca="1" si="276"/>
        <v>0</v>
      </c>
      <c r="AM279" s="47" t="s">
        <v>22</v>
      </c>
      <c r="AN279" s="87">
        <v>0</v>
      </c>
      <c r="AO279" s="88">
        <f t="shared" ca="1" si="282"/>
        <v>0</v>
      </c>
      <c r="AP279" s="87">
        <v>0</v>
      </c>
      <c r="AQ279" s="88">
        <f t="shared" ca="1" si="289"/>
        <v>0</v>
      </c>
      <c r="AR279" s="87">
        <v>0</v>
      </c>
      <c r="AS279" s="88">
        <f t="shared" ca="1" si="290"/>
        <v>0</v>
      </c>
      <c r="AT279" s="87">
        <v>0</v>
      </c>
      <c r="AU279" s="88">
        <f t="shared" ca="1" si="291"/>
        <v>0</v>
      </c>
      <c r="AV279" s="89">
        <f t="shared" ca="1" si="277"/>
        <v>0</v>
      </c>
      <c r="BD279" s="47" t="s">
        <v>22</v>
      </c>
      <c r="BE279" s="87">
        <v>0</v>
      </c>
      <c r="BF279" s="88">
        <f t="shared" ca="1" si="283"/>
        <v>0</v>
      </c>
      <c r="BG279" s="87">
        <v>0</v>
      </c>
      <c r="BH279" s="88">
        <f t="shared" ca="1" si="284"/>
        <v>0</v>
      </c>
      <c r="BI279" s="87">
        <v>0</v>
      </c>
      <c r="BJ279" s="88">
        <f t="shared" ca="1" si="278"/>
        <v>0</v>
      </c>
      <c r="BK279" s="87">
        <v>0</v>
      </c>
      <c r="BL279" s="88">
        <f t="shared" ca="1" si="279"/>
        <v>0</v>
      </c>
      <c r="BM279" s="89">
        <f t="shared" ca="1" si="280"/>
        <v>0</v>
      </c>
    </row>
    <row r="280" spans="5:65" x14ac:dyDescent="0.4">
      <c r="E280" s="22" t="s">
        <v>23</v>
      </c>
      <c r="F280" s="74">
        <v>0</v>
      </c>
      <c r="G280" s="75">
        <f t="shared" ca="1" si="285"/>
        <v>0</v>
      </c>
      <c r="H280" s="74">
        <v>0</v>
      </c>
      <c r="I280" s="75">
        <f t="shared" ca="1" si="286"/>
        <v>0</v>
      </c>
      <c r="J280" s="74">
        <v>0</v>
      </c>
      <c r="K280" s="75">
        <f t="shared" ca="1" si="287"/>
        <v>0</v>
      </c>
      <c r="L280" s="74">
        <v>0</v>
      </c>
      <c r="M280" s="75">
        <f t="shared" ca="1" si="288"/>
        <v>0</v>
      </c>
      <c r="N280" s="76">
        <f t="shared" ca="1" si="273"/>
        <v>0</v>
      </c>
      <c r="W280" s="22" t="s">
        <v>23</v>
      </c>
      <c r="X280" s="74">
        <v>0</v>
      </c>
      <c r="Y280" s="75">
        <f t="shared" ca="1" si="281"/>
        <v>0</v>
      </c>
      <c r="Z280" s="74">
        <v>0</v>
      </c>
      <c r="AA280" s="75">
        <f t="shared" ca="1" si="281"/>
        <v>0</v>
      </c>
      <c r="AB280" s="74">
        <v>0</v>
      </c>
      <c r="AC280" s="75">
        <f t="shared" ca="1" si="274"/>
        <v>0</v>
      </c>
      <c r="AD280" s="74">
        <v>0</v>
      </c>
      <c r="AE280" s="75">
        <f t="shared" ca="1" si="275"/>
        <v>0</v>
      </c>
      <c r="AF280" s="76">
        <f t="shared" ca="1" si="276"/>
        <v>0</v>
      </c>
      <c r="AM280" s="47" t="s">
        <v>23</v>
      </c>
      <c r="AN280" s="87">
        <v>0</v>
      </c>
      <c r="AO280" s="88">
        <f t="shared" ca="1" si="282"/>
        <v>0</v>
      </c>
      <c r="AP280" s="87">
        <v>0</v>
      </c>
      <c r="AQ280" s="88">
        <f t="shared" ca="1" si="289"/>
        <v>0</v>
      </c>
      <c r="AR280" s="87">
        <v>0</v>
      </c>
      <c r="AS280" s="88">
        <f t="shared" ca="1" si="290"/>
        <v>0</v>
      </c>
      <c r="AT280" s="87">
        <v>0</v>
      </c>
      <c r="AU280" s="88">
        <f t="shared" ca="1" si="291"/>
        <v>0</v>
      </c>
      <c r="AV280" s="89">
        <f t="shared" ca="1" si="277"/>
        <v>0</v>
      </c>
      <c r="BD280" s="47" t="s">
        <v>23</v>
      </c>
      <c r="BE280" s="87">
        <v>0</v>
      </c>
      <c r="BF280" s="88">
        <f t="shared" ca="1" si="283"/>
        <v>0</v>
      </c>
      <c r="BG280" s="87">
        <v>0</v>
      </c>
      <c r="BH280" s="88">
        <f t="shared" ca="1" si="284"/>
        <v>0</v>
      </c>
      <c r="BI280" s="87">
        <v>0</v>
      </c>
      <c r="BJ280" s="88">
        <f t="shared" ca="1" si="278"/>
        <v>0</v>
      </c>
      <c r="BK280" s="87">
        <v>0</v>
      </c>
      <c r="BL280" s="88">
        <f t="shared" ca="1" si="279"/>
        <v>0</v>
      </c>
      <c r="BM280" s="89">
        <f t="shared" ca="1" si="280"/>
        <v>0</v>
      </c>
    </row>
    <row r="281" spans="5:65" x14ac:dyDescent="0.4">
      <c r="E281" s="23" t="s">
        <v>24</v>
      </c>
      <c r="F281" s="77">
        <v>0</v>
      </c>
      <c r="G281" s="78">
        <f t="shared" ca="1" si="285"/>
        <v>0</v>
      </c>
      <c r="H281" s="77">
        <v>0</v>
      </c>
      <c r="I281" s="78">
        <f t="shared" ca="1" si="286"/>
        <v>0</v>
      </c>
      <c r="J281" s="77">
        <v>0</v>
      </c>
      <c r="K281" s="78">
        <f t="shared" ca="1" si="287"/>
        <v>0</v>
      </c>
      <c r="L281" s="77">
        <v>0</v>
      </c>
      <c r="M281" s="78">
        <f t="shared" ca="1" si="288"/>
        <v>0</v>
      </c>
      <c r="N281" s="79">
        <f t="shared" ca="1" si="273"/>
        <v>0</v>
      </c>
      <c r="W281" s="23" t="s">
        <v>24</v>
      </c>
      <c r="X281" s="77">
        <v>0</v>
      </c>
      <c r="Y281" s="78">
        <f t="shared" ca="1" si="281"/>
        <v>0</v>
      </c>
      <c r="Z281" s="77">
        <v>0</v>
      </c>
      <c r="AA281" s="78">
        <f t="shared" ca="1" si="281"/>
        <v>0</v>
      </c>
      <c r="AB281" s="77">
        <v>0</v>
      </c>
      <c r="AC281" s="78">
        <f t="shared" ca="1" si="274"/>
        <v>0</v>
      </c>
      <c r="AD281" s="77">
        <v>0</v>
      </c>
      <c r="AE281" s="78">
        <f t="shared" ca="1" si="275"/>
        <v>0</v>
      </c>
      <c r="AF281" s="79">
        <f t="shared" ca="1" si="276"/>
        <v>0</v>
      </c>
      <c r="AM281" s="48" t="s">
        <v>24</v>
      </c>
      <c r="AN281" s="90">
        <v>0</v>
      </c>
      <c r="AO281" s="91">
        <f t="shared" ca="1" si="282"/>
        <v>0</v>
      </c>
      <c r="AP281" s="90">
        <v>0</v>
      </c>
      <c r="AQ281" s="91">
        <f t="shared" ca="1" si="289"/>
        <v>0</v>
      </c>
      <c r="AR281" s="90">
        <v>0</v>
      </c>
      <c r="AS281" s="91">
        <f t="shared" ca="1" si="290"/>
        <v>0</v>
      </c>
      <c r="AT281" s="90">
        <v>0</v>
      </c>
      <c r="AU281" s="91">
        <f t="shared" ca="1" si="291"/>
        <v>0</v>
      </c>
      <c r="AV281" s="92">
        <f t="shared" ca="1" si="277"/>
        <v>0</v>
      </c>
      <c r="BD281" s="48" t="s">
        <v>24</v>
      </c>
      <c r="BE281" s="90">
        <v>0</v>
      </c>
      <c r="BF281" s="91">
        <f t="shared" ca="1" si="283"/>
        <v>0</v>
      </c>
      <c r="BG281" s="90">
        <v>0</v>
      </c>
      <c r="BH281" s="91">
        <f t="shared" ca="1" si="284"/>
        <v>0</v>
      </c>
      <c r="BI281" s="90">
        <v>0</v>
      </c>
      <c r="BJ281" s="91">
        <f t="shared" ca="1" si="278"/>
        <v>0</v>
      </c>
      <c r="BK281" s="90">
        <v>0</v>
      </c>
      <c r="BL281" s="91">
        <f t="shared" ca="1" si="279"/>
        <v>0</v>
      </c>
      <c r="BM281" s="92">
        <f t="shared" ca="1" si="280"/>
        <v>0</v>
      </c>
    </row>
    <row r="282" spans="5:65" x14ac:dyDescent="0.4">
      <c r="E282" s="27" t="s">
        <v>25</v>
      </c>
      <c r="F282" s="80">
        <f ca="1">SUM(F274:F281)</f>
        <v>41</v>
      </c>
      <c r="G282" s="81">
        <f t="shared" ca="1" si="285"/>
        <v>1</v>
      </c>
      <c r="H282" s="80">
        <f ca="1">SUM(H274:H281)</f>
        <v>447</v>
      </c>
      <c r="I282" s="81">
        <f t="shared" ca="1" si="286"/>
        <v>1</v>
      </c>
      <c r="J282" s="80">
        <f ca="1">SUM(J274:J281)</f>
        <v>68</v>
      </c>
      <c r="K282" s="81">
        <f t="shared" ca="1" si="287"/>
        <v>1</v>
      </c>
      <c r="L282" s="80">
        <f ca="1">SUM(L274:L281)</f>
        <v>57</v>
      </c>
      <c r="M282" s="81">
        <f t="shared" ca="1" si="288"/>
        <v>1</v>
      </c>
      <c r="N282" s="82">
        <f t="shared" ca="1" si="273"/>
        <v>613</v>
      </c>
      <c r="W282" s="27" t="s">
        <v>25</v>
      </c>
      <c r="X282" s="80">
        <f ca="1">SUM(X274:X281)</f>
        <v>3170130</v>
      </c>
      <c r="Y282" s="81">
        <f ca="1">X282/X$282</f>
        <v>1</v>
      </c>
      <c r="Z282" s="80">
        <f ca="1">SUM(Z274:Z281)</f>
        <v>66428379.099999994</v>
      </c>
      <c r="AA282" s="81">
        <f ca="1">Z282/Z$282</f>
        <v>1</v>
      </c>
      <c r="AB282" s="80">
        <f ca="1">SUM(AB274:AB281)</f>
        <v>21076349.339999996</v>
      </c>
      <c r="AC282" s="81">
        <f t="shared" ca="1" si="274"/>
        <v>1</v>
      </c>
      <c r="AD282" s="80">
        <f ca="1">SUM(AD274:AD281)</f>
        <v>97054</v>
      </c>
      <c r="AE282" s="81">
        <f t="shared" ca="1" si="275"/>
        <v>1</v>
      </c>
      <c r="AF282" s="82">
        <f t="shared" ca="1" si="276"/>
        <v>90771912.439999998</v>
      </c>
      <c r="AM282" s="52" t="s">
        <v>25</v>
      </c>
      <c r="AN282" s="93">
        <f ca="1">SUM(AN274:AN281)</f>
        <v>41</v>
      </c>
      <c r="AO282" s="94">
        <f ca="1">AN282/AN$282</f>
        <v>1</v>
      </c>
      <c r="AP282" s="93">
        <f ca="1">SUM(AP274:AP281)</f>
        <v>447</v>
      </c>
      <c r="AQ282" s="94">
        <f t="shared" ca="1" si="289"/>
        <v>1</v>
      </c>
      <c r="AR282" s="93">
        <f ca="1">SUM(AR274:AR281)</f>
        <v>68</v>
      </c>
      <c r="AS282" s="94">
        <f t="shared" ca="1" si="290"/>
        <v>1</v>
      </c>
      <c r="AT282" s="93">
        <f ca="1">SUM(AT274:AT281)</f>
        <v>57</v>
      </c>
      <c r="AU282" s="94">
        <f t="shared" ca="1" si="291"/>
        <v>1</v>
      </c>
      <c r="AV282" s="95">
        <f t="shared" ca="1" si="277"/>
        <v>613</v>
      </c>
      <c r="BD282" s="52" t="s">
        <v>25</v>
      </c>
      <c r="BE282" s="93">
        <f ca="1">SUM(BE274:BE281)</f>
        <v>3170130</v>
      </c>
      <c r="BF282" s="94">
        <f ca="1">BE282/BE$282</f>
        <v>1</v>
      </c>
      <c r="BG282" s="93">
        <f ca="1">SUM(BG274:BG281)</f>
        <v>66428379.099999994</v>
      </c>
      <c r="BH282" s="94">
        <f ca="1">BG282/BG$282</f>
        <v>1</v>
      </c>
      <c r="BI282" s="93">
        <f ca="1">SUM(BI274:BI281)</f>
        <v>21076349.339999996</v>
      </c>
      <c r="BJ282" s="94">
        <f t="shared" ca="1" si="278"/>
        <v>1</v>
      </c>
      <c r="BK282" s="93">
        <f ca="1">SUM(BK274:BK281)</f>
        <v>85007</v>
      </c>
      <c r="BL282" s="94">
        <f t="shared" ca="1" si="279"/>
        <v>1</v>
      </c>
      <c r="BM282" s="95">
        <f t="shared" ca="1" si="280"/>
        <v>90759865.439999998</v>
      </c>
    </row>
    <row r="283" spans="5:65" x14ac:dyDescent="0.4">
      <c r="E283" s="83" t="s">
        <v>26</v>
      </c>
      <c r="F283" s="33">
        <f ca="1">F282/$N$282</f>
        <v>6.6884176182707991E-2</v>
      </c>
      <c r="G283" s="33"/>
      <c r="H283" s="33">
        <f ca="1">H282/$N$282</f>
        <v>0.72920065252854815</v>
      </c>
      <c r="I283" s="33"/>
      <c r="J283" s="33">
        <f ca="1">J282/$N$282</f>
        <v>0.11092985318107668</v>
      </c>
      <c r="K283" s="33"/>
      <c r="L283" s="33">
        <f ca="1">L282/$N$282</f>
        <v>9.2985318107667206E-2</v>
      </c>
      <c r="M283" s="33"/>
      <c r="N283" s="84">
        <f ca="1">N282/N282</f>
        <v>1</v>
      </c>
      <c r="W283" s="83" t="s">
        <v>26</v>
      </c>
      <c r="X283" s="33">
        <f ca="1">X282/$AF$282</f>
        <v>3.4924129224394689E-2</v>
      </c>
      <c r="Y283" s="33"/>
      <c r="Z283" s="33">
        <f ca="1">Z282/$AF$282</f>
        <v>0.73181645416922314</v>
      </c>
      <c r="AA283" s="33"/>
      <c r="AB283" s="33">
        <f ca="1">AB282/$AF$282</f>
        <v>0.23219020921181327</v>
      </c>
      <c r="AC283" s="33"/>
      <c r="AD283" s="33">
        <f ca="1">AD282/$AF$282</f>
        <v>1.069207394568804E-3</v>
      </c>
      <c r="AE283" s="33"/>
      <c r="AF283" s="84">
        <f ca="1">AF282/AF282</f>
        <v>1</v>
      </c>
      <c r="AM283" s="96" t="s">
        <v>26</v>
      </c>
      <c r="AN283" s="58">
        <f ca="1">AN282/$AV$282</f>
        <v>6.6884176182707991E-2</v>
      </c>
      <c r="AO283" s="58"/>
      <c r="AP283" s="58">
        <f ca="1">AP282/$AV$282</f>
        <v>0.72920065252854815</v>
      </c>
      <c r="AQ283" s="58"/>
      <c r="AR283" s="58">
        <f ca="1">AR282/$AV$282</f>
        <v>0.11092985318107668</v>
      </c>
      <c r="AS283" s="58"/>
      <c r="AT283" s="58">
        <f ca="1">AT282/$AV$282</f>
        <v>9.2985318107667206E-2</v>
      </c>
      <c r="AU283" s="58"/>
      <c r="AV283" s="97">
        <f ca="1">AV282/AV282</f>
        <v>1</v>
      </c>
      <c r="BD283" s="96" t="s">
        <v>26</v>
      </c>
      <c r="BE283" s="58">
        <f ca="1">BE282/$BM$282</f>
        <v>3.4928764874554888E-2</v>
      </c>
      <c r="BF283" s="58"/>
      <c r="BG283" s="58">
        <f ca="1">BG282/$BM$282</f>
        <v>0.73191359173967496</v>
      </c>
      <c r="BH283" s="58"/>
      <c r="BI283" s="58">
        <f ca="1">BI282/$BM$282</f>
        <v>0.23222102895175906</v>
      </c>
      <c r="BJ283" s="58"/>
      <c r="BK283" s="58">
        <f ca="1">BK282/$BM$282</f>
        <v>9.3661443401099869E-4</v>
      </c>
      <c r="BL283" s="58"/>
      <c r="BM283" s="97">
        <f ca="1">BM282/BM282</f>
        <v>1</v>
      </c>
    </row>
    <row r="285" spans="5:65" x14ac:dyDescent="0.4">
      <c r="E285" s="67" t="s">
        <v>42</v>
      </c>
      <c r="F285" s="68"/>
      <c r="G285" s="68"/>
      <c r="H285" s="68"/>
      <c r="I285" s="68"/>
      <c r="J285" s="68"/>
      <c r="K285" s="68"/>
      <c r="L285" s="68"/>
      <c r="M285" s="68"/>
      <c r="N285" s="69"/>
      <c r="W285" s="67" t="s">
        <v>42</v>
      </c>
      <c r="X285" s="68"/>
      <c r="Y285" s="68"/>
      <c r="Z285" s="68"/>
      <c r="AA285" s="68"/>
      <c r="AB285" s="68"/>
      <c r="AC285" s="68"/>
      <c r="AD285" s="68"/>
      <c r="AE285" s="68"/>
      <c r="AF285" s="69"/>
    </row>
    <row r="286" spans="5:65" ht="21" customHeight="1" x14ac:dyDescent="0.4">
      <c r="E286" s="70"/>
      <c r="F286" s="71" t="s">
        <v>36</v>
      </c>
      <c r="G286" s="71"/>
      <c r="H286" s="71" t="s">
        <v>37</v>
      </c>
      <c r="I286" s="71"/>
      <c r="J286" s="71" t="s">
        <v>38</v>
      </c>
      <c r="K286" s="71"/>
      <c r="L286" s="71" t="s">
        <v>39</v>
      </c>
      <c r="M286" s="71"/>
      <c r="N286" s="7" t="s">
        <v>10</v>
      </c>
      <c r="W286" s="70"/>
      <c r="X286" s="71" t="s">
        <v>36</v>
      </c>
      <c r="Y286" s="71"/>
      <c r="Z286" s="71" t="s">
        <v>37</v>
      </c>
      <c r="AA286" s="71"/>
      <c r="AB286" s="71" t="s">
        <v>38</v>
      </c>
      <c r="AC286" s="71"/>
      <c r="AD286" s="71" t="s">
        <v>39</v>
      </c>
      <c r="AE286" s="71"/>
      <c r="AF286" s="7" t="s">
        <v>10</v>
      </c>
    </row>
    <row r="287" spans="5:65" x14ac:dyDescent="0.4">
      <c r="E287" s="8" t="s">
        <v>11</v>
      </c>
      <c r="F287" s="8" t="s">
        <v>12</v>
      </c>
      <c r="G287" s="8" t="s">
        <v>13</v>
      </c>
      <c r="H287" s="8" t="s">
        <v>12</v>
      </c>
      <c r="I287" s="8" t="s">
        <v>13</v>
      </c>
      <c r="J287" s="8" t="s">
        <v>12</v>
      </c>
      <c r="K287" s="8" t="s">
        <v>13</v>
      </c>
      <c r="L287" s="8" t="s">
        <v>12</v>
      </c>
      <c r="M287" s="8" t="s">
        <v>13</v>
      </c>
      <c r="N287" s="7"/>
      <c r="W287" s="8" t="s">
        <v>11</v>
      </c>
      <c r="X287" s="8" t="s">
        <v>14</v>
      </c>
      <c r="Y287" s="8" t="s">
        <v>13</v>
      </c>
      <c r="Z287" s="8" t="s">
        <v>14</v>
      </c>
      <c r="AA287" s="8" t="s">
        <v>13</v>
      </c>
      <c r="AB287" s="8" t="s">
        <v>14</v>
      </c>
      <c r="AC287" s="8" t="s">
        <v>13</v>
      </c>
      <c r="AD287" s="8" t="s">
        <v>14</v>
      </c>
      <c r="AE287" s="8" t="s">
        <v>13</v>
      </c>
      <c r="AF287" s="7"/>
    </row>
    <row r="288" spans="5:65" x14ac:dyDescent="0.4">
      <c r="E288" s="9" t="s">
        <v>15</v>
      </c>
      <c r="F288" s="72">
        <v>7</v>
      </c>
      <c r="G288" s="73">
        <f ca="1">F288/F$298</f>
        <v>0.46666666666666667</v>
      </c>
      <c r="H288" s="72">
        <v>73</v>
      </c>
      <c r="I288" s="73">
        <f ca="1">H288/H$298</f>
        <v>0.53284671532846717</v>
      </c>
      <c r="J288" s="72">
        <v>19</v>
      </c>
      <c r="K288" s="73">
        <f ca="1">J288/J$298</f>
        <v>0.5757575757575758</v>
      </c>
      <c r="L288" s="72">
        <v>19</v>
      </c>
      <c r="M288" s="73">
        <f ca="1">L288/L$298</f>
        <v>0.33333333333333331</v>
      </c>
      <c r="N288" s="60">
        <f t="shared" ref="N288:N298" ca="1" si="292">SUM(F288,H288,J288,L288)</f>
        <v>118</v>
      </c>
      <c r="W288" s="9" t="s">
        <v>15</v>
      </c>
      <c r="X288" s="72">
        <v>550879</v>
      </c>
      <c r="Y288" s="73">
        <f ca="1">X288/X$298</f>
        <v>0.41889231494542178</v>
      </c>
      <c r="Z288" s="72">
        <v>14092060.1</v>
      </c>
      <c r="AA288" s="73">
        <f ca="1">Z288/Z$298</f>
        <v>0.66432979616185006</v>
      </c>
      <c r="AB288" s="72">
        <v>6706191.4000000004</v>
      </c>
      <c r="AC288" s="73">
        <f t="shared" ref="AC288:AC298" ca="1" si="293">AB288/AB$298</f>
        <v>0.82097253631680034</v>
      </c>
      <c r="AD288" s="72">
        <v>19166</v>
      </c>
      <c r="AE288" s="73">
        <f t="shared" ref="AE288:AE298" ca="1" si="294">AD288/AD$298</f>
        <v>0.31696627912745795</v>
      </c>
      <c r="AF288" s="60">
        <f t="shared" ref="AF288:AF298" ca="1" si="295">SUM(X288,Z288,AB288,AD288)</f>
        <v>21368296.5</v>
      </c>
    </row>
    <row r="289" spans="2:35" x14ac:dyDescent="0.4">
      <c r="E289" s="14" t="s">
        <v>16</v>
      </c>
      <c r="F289" s="74">
        <v>7</v>
      </c>
      <c r="G289" s="75">
        <f ca="1">F289/F$298</f>
        <v>0.46666666666666667</v>
      </c>
      <c r="H289" s="74">
        <v>34</v>
      </c>
      <c r="I289" s="75">
        <f ca="1">H289/H$298</f>
        <v>0.24817518248175183</v>
      </c>
      <c r="J289" s="74">
        <v>5</v>
      </c>
      <c r="K289" s="75">
        <f ca="1">J289/J$298</f>
        <v>0.15151515151515152</v>
      </c>
      <c r="L289" s="74">
        <v>3</v>
      </c>
      <c r="M289" s="75">
        <f ca="1">L289/L$298</f>
        <v>5.2631578947368418E-2</v>
      </c>
      <c r="N289" s="76">
        <f t="shared" ca="1" si="292"/>
        <v>49</v>
      </c>
      <c r="W289" s="14" t="s">
        <v>16</v>
      </c>
      <c r="X289" s="74">
        <v>543530</v>
      </c>
      <c r="Y289" s="75">
        <f t="shared" ref="Y289:AA297" ca="1" si="296">X289/X$298</f>
        <v>0.41330408300604143</v>
      </c>
      <c r="Z289" s="74">
        <v>4230400.3900000006</v>
      </c>
      <c r="AA289" s="75">
        <f t="shared" ca="1" si="296"/>
        <v>0.19943010523860252</v>
      </c>
      <c r="AB289" s="74">
        <v>850828.76</v>
      </c>
      <c r="AC289" s="75">
        <f t="shared" ca="1" si="293"/>
        <v>0.10415853103573486</v>
      </c>
      <c r="AD289" s="74">
        <v>2110</v>
      </c>
      <c r="AE289" s="75">
        <f t="shared" ca="1" si="294"/>
        <v>3.4895066730613392E-2</v>
      </c>
      <c r="AF289" s="76">
        <f t="shared" ca="1" si="295"/>
        <v>5626869.1500000004</v>
      </c>
    </row>
    <row r="290" spans="2:35" x14ac:dyDescent="0.4">
      <c r="E290" s="18" t="s">
        <v>17</v>
      </c>
      <c r="F290" s="19">
        <f ca="1">+SUM(F288:F289)</f>
        <v>14</v>
      </c>
      <c r="G290" s="20">
        <f ca="1">+F290/$F$298</f>
        <v>0.93333333333333335</v>
      </c>
      <c r="H290" s="19">
        <f ca="1">+SUM(H288:H289)</f>
        <v>107</v>
      </c>
      <c r="I290" s="20">
        <f ca="1">+H290/$H$298</f>
        <v>0.78102189781021902</v>
      </c>
      <c r="J290" s="19">
        <f ca="1">+SUM(J288:J289)</f>
        <v>24</v>
      </c>
      <c r="K290" s="20">
        <f ca="1">+J290/$J$298</f>
        <v>0.72727272727272729</v>
      </c>
      <c r="L290" s="19">
        <f ca="1">+SUM(L288:L289)</f>
        <v>22</v>
      </c>
      <c r="M290" s="20">
        <f ca="1">+L290/$L$298</f>
        <v>0.38596491228070173</v>
      </c>
      <c r="N290" s="99">
        <f t="shared" ca="1" si="292"/>
        <v>167</v>
      </c>
      <c r="W290" s="18" t="s">
        <v>17</v>
      </c>
      <c r="X290" s="19">
        <f ca="1">+SUM(X288:X289)</f>
        <v>1094409</v>
      </c>
      <c r="Y290" s="20">
        <f t="shared" ca="1" si="296"/>
        <v>0.83219639795146316</v>
      </c>
      <c r="Z290" s="19">
        <f ca="1">+SUM(Z288:Z289)</f>
        <v>18322460.490000002</v>
      </c>
      <c r="AA290" s="20">
        <f t="shared" ca="1" si="296"/>
        <v>0.86375990140045267</v>
      </c>
      <c r="AB290" s="19">
        <f ca="1">+SUM(AB288:AB289)</f>
        <v>7557020.1600000001</v>
      </c>
      <c r="AC290" s="20">
        <f t="shared" ca="1" si="293"/>
        <v>0.92513106735253514</v>
      </c>
      <c r="AD290" s="19">
        <f ca="1">+SUM(AD288:AD289)</f>
        <v>21276</v>
      </c>
      <c r="AE290" s="20">
        <f t="shared" ca="1" si="294"/>
        <v>0.35186134585807133</v>
      </c>
      <c r="AF290" s="21">
        <f t="shared" ca="1" si="295"/>
        <v>26995165.650000002</v>
      </c>
    </row>
    <row r="291" spans="2:35" x14ac:dyDescent="0.4">
      <c r="E291" s="22" t="s">
        <v>18</v>
      </c>
      <c r="F291" s="74">
        <v>0</v>
      </c>
      <c r="G291" s="75">
        <f t="shared" ref="G291:G298" ca="1" si="297">F291/F$298</f>
        <v>0</v>
      </c>
      <c r="H291" s="74">
        <v>13</v>
      </c>
      <c r="I291" s="75">
        <f t="shared" ref="I291:I298" ca="1" si="298">H291/H$298</f>
        <v>9.4890510948905105E-2</v>
      </c>
      <c r="J291" s="74">
        <v>4</v>
      </c>
      <c r="K291" s="75">
        <f t="shared" ref="K291:K298" ca="1" si="299">J291/J$298</f>
        <v>0.12121212121212122</v>
      </c>
      <c r="L291" s="74">
        <v>5</v>
      </c>
      <c r="M291" s="75">
        <f t="shared" ref="M291:M298" ca="1" si="300">L291/L$298</f>
        <v>8.771929824561403E-2</v>
      </c>
      <c r="N291" s="76">
        <f t="shared" ca="1" si="292"/>
        <v>22</v>
      </c>
      <c r="W291" s="22" t="s">
        <v>18</v>
      </c>
      <c r="X291" s="74">
        <v>0</v>
      </c>
      <c r="Y291" s="75">
        <f t="shared" ca="1" si="296"/>
        <v>0</v>
      </c>
      <c r="Z291" s="74">
        <v>1165204.1800000002</v>
      </c>
      <c r="AA291" s="75">
        <f t="shared" ca="1" si="296"/>
        <v>5.4930212466687944E-2</v>
      </c>
      <c r="AB291" s="74">
        <v>329908.47999999992</v>
      </c>
      <c r="AC291" s="75">
        <f t="shared" ca="1" si="293"/>
        <v>4.0387424906783952E-2</v>
      </c>
      <c r="AD291" s="74">
        <v>8370</v>
      </c>
      <c r="AE291" s="75">
        <f t="shared" ca="1" si="294"/>
        <v>0.13842261068020573</v>
      </c>
      <c r="AF291" s="76">
        <f t="shared" ca="1" si="295"/>
        <v>1503482.6600000001</v>
      </c>
    </row>
    <row r="292" spans="2:35" x14ac:dyDescent="0.4">
      <c r="E292" s="22" t="s">
        <v>19</v>
      </c>
      <c r="F292" s="74">
        <v>0</v>
      </c>
      <c r="G292" s="75">
        <f t="shared" ca="1" si="297"/>
        <v>0</v>
      </c>
      <c r="H292" s="74">
        <v>11</v>
      </c>
      <c r="I292" s="75">
        <f t="shared" ca="1" si="298"/>
        <v>8.0291970802919707E-2</v>
      </c>
      <c r="J292" s="74">
        <v>2</v>
      </c>
      <c r="K292" s="75">
        <f t="shared" ca="1" si="299"/>
        <v>6.0606060606060608E-2</v>
      </c>
      <c r="L292" s="74">
        <v>3</v>
      </c>
      <c r="M292" s="75">
        <f t="shared" ca="1" si="300"/>
        <v>5.2631578947368418E-2</v>
      </c>
      <c r="N292" s="76">
        <f t="shared" ca="1" si="292"/>
        <v>16</v>
      </c>
      <c r="W292" s="22" t="s">
        <v>19</v>
      </c>
      <c r="X292" s="74">
        <v>0</v>
      </c>
      <c r="Y292" s="75">
        <f t="shared" ca="1" si="296"/>
        <v>0</v>
      </c>
      <c r="Z292" s="74">
        <v>1434375.5899999999</v>
      </c>
      <c r="AA292" s="75">
        <f t="shared" ca="1" si="296"/>
        <v>6.7619527348186187E-2</v>
      </c>
      <c r="AB292" s="74">
        <v>89815.44</v>
      </c>
      <c r="AC292" s="75">
        <f t="shared" ca="1" si="293"/>
        <v>1.0995214001379292E-2</v>
      </c>
      <c r="AD292" s="74">
        <v>3160</v>
      </c>
      <c r="AE292" s="75">
        <f t="shared" ca="1" si="294"/>
        <v>5.2259910364330954E-2</v>
      </c>
      <c r="AF292" s="76">
        <f t="shared" ca="1" si="295"/>
        <v>1527351.0299999998</v>
      </c>
    </row>
    <row r="293" spans="2:35" x14ac:dyDescent="0.4">
      <c r="E293" s="22" t="s">
        <v>20</v>
      </c>
      <c r="F293" s="74">
        <v>0</v>
      </c>
      <c r="G293" s="75">
        <f t="shared" ca="1" si="297"/>
        <v>0</v>
      </c>
      <c r="H293" s="74">
        <v>2</v>
      </c>
      <c r="I293" s="75">
        <f t="shared" ca="1" si="298"/>
        <v>1.4598540145985401E-2</v>
      </c>
      <c r="J293" s="74">
        <v>2</v>
      </c>
      <c r="K293" s="75">
        <f t="shared" ca="1" si="299"/>
        <v>6.0606060606060608E-2</v>
      </c>
      <c r="L293" s="74">
        <v>4</v>
      </c>
      <c r="M293" s="75">
        <f t="shared" ca="1" si="300"/>
        <v>7.0175438596491224E-2</v>
      </c>
      <c r="N293" s="76">
        <f t="shared" ca="1" si="292"/>
        <v>8</v>
      </c>
      <c r="W293" s="22" t="s">
        <v>20</v>
      </c>
      <c r="X293" s="74">
        <v>0</v>
      </c>
      <c r="Y293" s="75">
        <f t="shared" ca="1" si="296"/>
        <v>0</v>
      </c>
      <c r="Z293" s="74">
        <v>25700</v>
      </c>
      <c r="AA293" s="75">
        <f t="shared" ca="1" si="296"/>
        <v>1.2115528631161279E-3</v>
      </c>
      <c r="AB293" s="74">
        <v>71850</v>
      </c>
      <c r="AC293" s="75">
        <f t="shared" ca="1" si="293"/>
        <v>8.7958832690582175E-3</v>
      </c>
      <c r="AD293" s="74">
        <v>4831</v>
      </c>
      <c r="AE293" s="75">
        <f t="shared" ca="1" si="294"/>
        <v>7.9894818661418621E-2</v>
      </c>
      <c r="AF293" s="76">
        <f t="shared" ca="1" si="295"/>
        <v>102381</v>
      </c>
    </row>
    <row r="294" spans="2:35" x14ac:dyDescent="0.4">
      <c r="E294" s="22" t="s">
        <v>21</v>
      </c>
      <c r="F294" s="74">
        <v>0</v>
      </c>
      <c r="G294" s="75">
        <f t="shared" ca="1" si="297"/>
        <v>0</v>
      </c>
      <c r="H294" s="74">
        <v>2</v>
      </c>
      <c r="I294" s="75">
        <f t="shared" ca="1" si="298"/>
        <v>1.4598540145985401E-2</v>
      </c>
      <c r="J294" s="74">
        <v>0</v>
      </c>
      <c r="K294" s="75">
        <f t="shared" ca="1" si="299"/>
        <v>0</v>
      </c>
      <c r="L294" s="74">
        <v>5</v>
      </c>
      <c r="M294" s="75">
        <f t="shared" ca="1" si="300"/>
        <v>8.771929824561403E-2</v>
      </c>
      <c r="N294" s="76">
        <f t="shared" ca="1" si="292"/>
        <v>7</v>
      </c>
      <c r="W294" s="22" t="s">
        <v>21</v>
      </c>
      <c r="X294" s="74">
        <v>0</v>
      </c>
      <c r="Y294" s="75">
        <f t="shared" ca="1" si="296"/>
        <v>0</v>
      </c>
      <c r="Z294" s="74">
        <v>122909</v>
      </c>
      <c r="AA294" s="75">
        <f t="shared" ca="1" si="296"/>
        <v>5.794192640184442E-3</v>
      </c>
      <c r="AB294" s="74">
        <v>0</v>
      </c>
      <c r="AC294" s="75">
        <f t="shared" ca="1" si="293"/>
        <v>0</v>
      </c>
      <c r="AD294" s="74">
        <v>4940</v>
      </c>
      <c r="AE294" s="75">
        <f t="shared" ca="1" si="294"/>
        <v>8.1697454810061687E-2</v>
      </c>
      <c r="AF294" s="76">
        <f t="shared" ca="1" si="295"/>
        <v>127849</v>
      </c>
    </row>
    <row r="295" spans="2:35" x14ac:dyDescent="0.4">
      <c r="E295" s="22" t="s">
        <v>22</v>
      </c>
      <c r="F295" s="74">
        <v>0</v>
      </c>
      <c r="G295" s="75">
        <f t="shared" ca="1" si="297"/>
        <v>0</v>
      </c>
      <c r="H295" s="74">
        <v>2</v>
      </c>
      <c r="I295" s="75">
        <f t="shared" ca="1" si="298"/>
        <v>1.4598540145985401E-2</v>
      </c>
      <c r="J295" s="74">
        <v>1</v>
      </c>
      <c r="K295" s="75">
        <f t="shared" ca="1" si="299"/>
        <v>3.0303030303030304E-2</v>
      </c>
      <c r="L295" s="74">
        <v>2</v>
      </c>
      <c r="M295" s="75">
        <f t="shared" ca="1" si="300"/>
        <v>3.5087719298245612E-2</v>
      </c>
      <c r="N295" s="76">
        <f t="shared" ca="1" si="292"/>
        <v>5</v>
      </c>
      <c r="W295" s="22" t="s">
        <v>22</v>
      </c>
      <c r="X295" s="74">
        <v>0</v>
      </c>
      <c r="Y295" s="75">
        <f t="shared" ca="1" si="296"/>
        <v>0</v>
      </c>
      <c r="Z295" s="74">
        <v>141797</v>
      </c>
      <c r="AA295" s="75">
        <f t="shared" ca="1" si="296"/>
        <v>6.6846132813726681E-3</v>
      </c>
      <c r="AB295" s="74">
        <v>120000</v>
      </c>
      <c r="AC295" s="75">
        <f t="shared" ca="1" si="293"/>
        <v>1.469041047024337E-2</v>
      </c>
      <c r="AD295" s="74">
        <v>2007</v>
      </c>
      <c r="AE295" s="75">
        <f t="shared" ca="1" si="294"/>
        <v>3.3191658259877285E-2</v>
      </c>
      <c r="AF295" s="76">
        <f t="shared" ca="1" si="295"/>
        <v>263804</v>
      </c>
    </row>
    <row r="296" spans="2:35" x14ac:dyDescent="0.4">
      <c r="E296" s="22" t="s">
        <v>23</v>
      </c>
      <c r="F296" s="74">
        <v>0</v>
      </c>
      <c r="G296" s="75">
        <f t="shared" ca="1" si="297"/>
        <v>0</v>
      </c>
      <c r="H296" s="74">
        <v>0</v>
      </c>
      <c r="I296" s="75">
        <f t="shared" ca="1" si="298"/>
        <v>0</v>
      </c>
      <c r="J296" s="74">
        <v>0</v>
      </c>
      <c r="K296" s="75">
        <f t="shared" ca="1" si="299"/>
        <v>0</v>
      </c>
      <c r="L296" s="74">
        <v>1</v>
      </c>
      <c r="M296" s="75">
        <f t="shared" ca="1" si="300"/>
        <v>1.7543859649122806E-2</v>
      </c>
      <c r="N296" s="76">
        <f t="shared" ca="1" si="292"/>
        <v>1</v>
      </c>
      <c r="W296" s="22" t="s">
        <v>23</v>
      </c>
      <c r="X296" s="74">
        <v>0</v>
      </c>
      <c r="Y296" s="75">
        <f t="shared" ca="1" si="296"/>
        <v>0</v>
      </c>
      <c r="Z296" s="74">
        <v>0</v>
      </c>
      <c r="AA296" s="75">
        <f t="shared" ca="1" si="296"/>
        <v>0</v>
      </c>
      <c r="AB296" s="74">
        <v>0</v>
      </c>
      <c r="AC296" s="75">
        <f t="shared" ca="1" si="293"/>
        <v>0</v>
      </c>
      <c r="AD296" s="74">
        <v>1000</v>
      </c>
      <c r="AE296" s="75">
        <f t="shared" ca="1" si="294"/>
        <v>1.6537946317826253E-2</v>
      </c>
      <c r="AF296" s="76">
        <f t="shared" ca="1" si="295"/>
        <v>1000</v>
      </c>
    </row>
    <row r="297" spans="2:35" x14ac:dyDescent="0.4">
      <c r="E297" s="23" t="s">
        <v>24</v>
      </c>
      <c r="F297" s="77">
        <v>1</v>
      </c>
      <c r="G297" s="78">
        <f t="shared" ca="1" si="297"/>
        <v>6.6666666666666666E-2</v>
      </c>
      <c r="H297" s="77">
        <v>0</v>
      </c>
      <c r="I297" s="78">
        <f t="shared" ca="1" si="298"/>
        <v>0</v>
      </c>
      <c r="J297" s="77">
        <v>0</v>
      </c>
      <c r="K297" s="78">
        <f t="shared" ca="1" si="299"/>
        <v>0</v>
      </c>
      <c r="L297" s="77">
        <v>15</v>
      </c>
      <c r="M297" s="78">
        <f t="shared" ca="1" si="300"/>
        <v>0.26315789473684209</v>
      </c>
      <c r="N297" s="79">
        <f t="shared" ca="1" si="292"/>
        <v>16</v>
      </c>
      <c r="W297" s="23" t="s">
        <v>24</v>
      </c>
      <c r="X297" s="77">
        <v>220676</v>
      </c>
      <c r="Y297" s="78">
        <f t="shared" ca="1" si="296"/>
        <v>0.16780360204853678</v>
      </c>
      <c r="Z297" s="77">
        <v>0</v>
      </c>
      <c r="AA297" s="78">
        <f t="shared" ca="1" si="296"/>
        <v>0</v>
      </c>
      <c r="AB297" s="77">
        <v>0</v>
      </c>
      <c r="AC297" s="78">
        <f t="shared" ca="1" si="293"/>
        <v>0</v>
      </c>
      <c r="AD297" s="77">
        <v>14883</v>
      </c>
      <c r="AE297" s="78">
        <f t="shared" ca="1" si="294"/>
        <v>0.2461342550482081</v>
      </c>
      <c r="AF297" s="79">
        <f t="shared" ca="1" si="295"/>
        <v>235559</v>
      </c>
    </row>
    <row r="298" spans="2:35" x14ac:dyDescent="0.4">
      <c r="E298" s="27" t="s">
        <v>25</v>
      </c>
      <c r="F298" s="80">
        <f ca="1">SUM(F290:F297)</f>
        <v>15</v>
      </c>
      <c r="G298" s="81">
        <f t="shared" ca="1" si="297"/>
        <v>1</v>
      </c>
      <c r="H298" s="80">
        <f ca="1">SUM(H290:H297)</f>
        <v>137</v>
      </c>
      <c r="I298" s="81">
        <f t="shared" ca="1" si="298"/>
        <v>1</v>
      </c>
      <c r="J298" s="80">
        <f ca="1">SUM(J290:J297)</f>
        <v>33</v>
      </c>
      <c r="K298" s="81">
        <f t="shared" ca="1" si="299"/>
        <v>1</v>
      </c>
      <c r="L298" s="80">
        <f ca="1">SUM(L290:L297)</f>
        <v>57</v>
      </c>
      <c r="M298" s="81">
        <f t="shared" ca="1" si="300"/>
        <v>1</v>
      </c>
      <c r="N298" s="82">
        <f t="shared" ca="1" si="292"/>
        <v>242</v>
      </c>
      <c r="W298" s="27" t="s">
        <v>25</v>
      </c>
      <c r="X298" s="80">
        <f ca="1">SUM(X290:X297)</f>
        <v>1315085</v>
      </c>
      <c r="Y298" s="81">
        <f ca="1">X298/X$298</f>
        <v>1</v>
      </c>
      <c r="Z298" s="80">
        <f ca="1">SUM(Z290:Z297)</f>
        <v>21212446.260000002</v>
      </c>
      <c r="AA298" s="81">
        <f ca="1">Z298/Z$298</f>
        <v>1</v>
      </c>
      <c r="AB298" s="80">
        <f ca="1">SUM(AB290:AB297)</f>
        <v>8168594.0800000001</v>
      </c>
      <c r="AC298" s="81">
        <f t="shared" ca="1" si="293"/>
        <v>1</v>
      </c>
      <c r="AD298" s="80">
        <f ca="1">SUM(AD290:AD297)</f>
        <v>60467</v>
      </c>
      <c r="AE298" s="81">
        <f t="shared" ca="1" si="294"/>
        <v>1</v>
      </c>
      <c r="AF298" s="82">
        <f t="shared" ca="1" si="295"/>
        <v>30756592.340000004</v>
      </c>
    </row>
    <row r="299" spans="2:35" x14ac:dyDescent="0.4">
      <c r="E299" s="83" t="s">
        <v>26</v>
      </c>
      <c r="F299" s="33">
        <f ca="1">F298/$N$298</f>
        <v>6.1983471074380167E-2</v>
      </c>
      <c r="G299" s="33"/>
      <c r="H299" s="33">
        <f ca="1">H298/$N$298</f>
        <v>0.56611570247933884</v>
      </c>
      <c r="I299" s="33"/>
      <c r="J299" s="33">
        <f ca="1">J298/$N$298</f>
        <v>0.13636363636363635</v>
      </c>
      <c r="K299" s="33"/>
      <c r="L299" s="33">
        <f ca="1">L298/$N$298</f>
        <v>0.23553719008264462</v>
      </c>
      <c r="M299" s="33"/>
      <c r="N299" s="84">
        <f ca="1">N298/N298</f>
        <v>1</v>
      </c>
      <c r="W299" s="83" t="s">
        <v>26</v>
      </c>
      <c r="X299" s="33">
        <f ca="1">X298/$AF$298</f>
        <v>4.2757825231818244E-2</v>
      </c>
      <c r="Y299" s="33"/>
      <c r="Z299" s="33">
        <f ca="1">Z298/$AF$298</f>
        <v>0.68968779198638619</v>
      </c>
      <c r="AA299" s="33"/>
      <c r="AB299" s="33">
        <f ca="1">AB298/$AF$298</f>
        <v>0.26558839775551024</v>
      </c>
      <c r="AC299" s="33"/>
      <c r="AD299" s="33">
        <f ca="1">AD298/$AF$298</f>
        <v>1.9659850262852621E-3</v>
      </c>
      <c r="AE299" s="33"/>
      <c r="AF299" s="84">
        <f ca="1">AF298/AF298</f>
        <v>1</v>
      </c>
    </row>
    <row r="301" spans="2:35" x14ac:dyDescent="0.4">
      <c r="E301" s="2" t="s">
        <v>47</v>
      </c>
      <c r="F301" s="2"/>
      <c r="G301" s="2"/>
      <c r="H301" s="2"/>
      <c r="I301" s="2"/>
      <c r="J301" s="2"/>
      <c r="K301" s="2"/>
      <c r="L301" s="2"/>
      <c r="M301" s="2"/>
      <c r="N301" s="2"/>
      <c r="W301" s="2" t="s">
        <v>47</v>
      </c>
      <c r="X301" s="2"/>
      <c r="Y301" s="2"/>
      <c r="Z301" s="2"/>
      <c r="AA301" s="2"/>
      <c r="AB301" s="2"/>
      <c r="AC301" s="2"/>
      <c r="AD301" s="2"/>
      <c r="AE301" s="2"/>
      <c r="AF301" s="2"/>
    </row>
    <row r="302" spans="2:35" x14ac:dyDescent="0.4">
      <c r="E302" s="3"/>
      <c r="F302" s="3"/>
      <c r="G302" s="3"/>
      <c r="H302" s="3"/>
      <c r="I302" s="3"/>
      <c r="J302" s="3"/>
      <c r="K302" s="3"/>
      <c r="L302" s="3"/>
      <c r="M302" s="3"/>
      <c r="N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2:35" x14ac:dyDescent="0.4">
      <c r="B303" s="4" t="s">
        <v>48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T303" s="4" t="s">
        <v>48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2:35" x14ac:dyDescent="0.4">
      <c r="B304" s="5"/>
      <c r="C304" s="6" t="s">
        <v>3</v>
      </c>
      <c r="D304" s="6"/>
      <c r="E304" s="6" t="s">
        <v>4</v>
      </c>
      <c r="F304" s="6"/>
      <c r="G304" s="6" t="s">
        <v>5</v>
      </c>
      <c r="H304" s="6"/>
      <c r="I304" s="6" t="s">
        <v>6</v>
      </c>
      <c r="J304" s="6"/>
      <c r="K304" s="6" t="s">
        <v>7</v>
      </c>
      <c r="L304" s="6"/>
      <c r="M304" s="6" t="s">
        <v>8</v>
      </c>
      <c r="N304" s="6"/>
      <c r="O304" s="6" t="s">
        <v>9</v>
      </c>
      <c r="P304" s="6"/>
      <c r="Q304" s="7" t="s">
        <v>10</v>
      </c>
      <c r="T304" s="5"/>
      <c r="U304" s="6" t="s">
        <v>3</v>
      </c>
      <c r="V304" s="6"/>
      <c r="W304" s="6" t="s">
        <v>4</v>
      </c>
      <c r="X304" s="6"/>
      <c r="Y304" s="6" t="s">
        <v>5</v>
      </c>
      <c r="Z304" s="6"/>
      <c r="AA304" s="6" t="s">
        <v>6</v>
      </c>
      <c r="AB304" s="6"/>
      <c r="AC304" s="6" t="s">
        <v>7</v>
      </c>
      <c r="AD304" s="6"/>
      <c r="AE304" s="6" t="s">
        <v>8</v>
      </c>
      <c r="AF304" s="6"/>
      <c r="AG304" s="6" t="s">
        <v>9</v>
      </c>
      <c r="AH304" s="6"/>
      <c r="AI304" s="7" t="s">
        <v>10</v>
      </c>
    </row>
    <row r="305" spans="2:35" x14ac:dyDescent="0.4">
      <c r="B305" s="8" t="s">
        <v>11</v>
      </c>
      <c r="C305" s="8" t="s">
        <v>12</v>
      </c>
      <c r="D305" s="8" t="s">
        <v>13</v>
      </c>
      <c r="E305" s="8" t="s">
        <v>12</v>
      </c>
      <c r="F305" s="8" t="s">
        <v>13</v>
      </c>
      <c r="G305" s="8" t="s">
        <v>12</v>
      </c>
      <c r="H305" s="8" t="s">
        <v>13</v>
      </c>
      <c r="I305" s="8" t="s">
        <v>12</v>
      </c>
      <c r="J305" s="8" t="s">
        <v>13</v>
      </c>
      <c r="K305" s="8" t="s">
        <v>12</v>
      </c>
      <c r="L305" s="8" t="s">
        <v>13</v>
      </c>
      <c r="M305" s="8" t="s">
        <v>12</v>
      </c>
      <c r="N305" s="8" t="s">
        <v>13</v>
      </c>
      <c r="O305" s="8" t="s">
        <v>12</v>
      </c>
      <c r="P305" s="8" t="s">
        <v>13</v>
      </c>
      <c r="Q305" s="7"/>
      <c r="T305" s="8" t="s">
        <v>11</v>
      </c>
      <c r="U305" s="8" t="s">
        <v>14</v>
      </c>
      <c r="V305" s="8" t="s">
        <v>13</v>
      </c>
      <c r="W305" s="8" t="s">
        <v>14</v>
      </c>
      <c r="X305" s="8" t="s">
        <v>13</v>
      </c>
      <c r="Y305" s="8" t="s">
        <v>14</v>
      </c>
      <c r="Z305" s="8" t="s">
        <v>13</v>
      </c>
      <c r="AA305" s="8" t="s">
        <v>14</v>
      </c>
      <c r="AB305" s="8" t="s">
        <v>13</v>
      </c>
      <c r="AC305" s="8" t="s">
        <v>14</v>
      </c>
      <c r="AD305" s="8" t="s">
        <v>13</v>
      </c>
      <c r="AE305" s="8" t="s">
        <v>14</v>
      </c>
      <c r="AF305" s="8" t="s">
        <v>13</v>
      </c>
      <c r="AG305" s="8" t="s">
        <v>14</v>
      </c>
      <c r="AH305" s="8" t="s">
        <v>13</v>
      </c>
      <c r="AI305" s="7"/>
    </row>
    <row r="306" spans="2:35" x14ac:dyDescent="0.4">
      <c r="B306" s="9" t="s">
        <v>15</v>
      </c>
      <c r="C306" s="10">
        <v>5295</v>
      </c>
      <c r="D306" s="11">
        <f ca="1">C306/$C$316</f>
        <v>0.29362834802861421</v>
      </c>
      <c r="E306" s="10">
        <v>9725</v>
      </c>
      <c r="F306" s="11">
        <f ca="1">E306/$E$316</f>
        <v>0.36517592279674066</v>
      </c>
      <c r="G306" s="10">
        <v>5873</v>
      </c>
      <c r="H306" s="11">
        <f ca="1">G306/$G$316</f>
        <v>0.90145817344589407</v>
      </c>
      <c r="I306" s="10">
        <v>206</v>
      </c>
      <c r="J306" s="11">
        <f ca="1">I306/$I$316</f>
        <v>0.74909090909090914</v>
      </c>
      <c r="K306" s="10">
        <v>876</v>
      </c>
      <c r="L306" s="11">
        <f ca="1">K306/$K$316</f>
        <v>0.72396694214876034</v>
      </c>
      <c r="M306" s="10">
        <v>2064</v>
      </c>
      <c r="N306" s="11">
        <f ca="1">M306/$M$316</f>
        <v>0.3270998415213946</v>
      </c>
      <c r="O306" s="10">
        <v>76</v>
      </c>
      <c r="P306" s="11">
        <f ca="1">O306/$O$316</f>
        <v>0.17040358744394618</v>
      </c>
      <c r="Q306" s="60">
        <f ca="1">SUM(C306,G306,I306,K306,M306,O306,E306)</f>
        <v>24115</v>
      </c>
      <c r="T306" s="9" t="s">
        <v>15</v>
      </c>
      <c r="U306" s="10">
        <v>951027811.38000166</v>
      </c>
      <c r="V306" s="11">
        <f ca="1">U306/$U$316</f>
        <v>0.31358579772594075</v>
      </c>
      <c r="W306" s="10">
        <v>1677739427.0700014</v>
      </c>
      <c r="X306" s="11">
        <f ca="1">W306/$W$316</f>
        <v>0.39667999252830111</v>
      </c>
      <c r="Y306" s="10">
        <v>2531443625.539999</v>
      </c>
      <c r="Z306" s="11">
        <f ca="1">Y306/$Y$316</f>
        <v>0.92706465942354555</v>
      </c>
      <c r="AA306" s="10">
        <v>98864130.520000041</v>
      </c>
      <c r="AB306" s="11">
        <f ca="1">AA306/$AA$316</f>
        <v>0.98120611645637223</v>
      </c>
      <c r="AC306" s="10">
        <v>58549571.169999987</v>
      </c>
      <c r="AD306" s="11">
        <f ca="1">AC306/$AC$316</f>
        <v>0.76706055567095055</v>
      </c>
      <c r="AE306" s="10">
        <v>108066715.85000005</v>
      </c>
      <c r="AF306" s="11">
        <f ca="1">AE306/$AE$316</f>
        <v>0.34817138447933155</v>
      </c>
      <c r="AG306" s="10">
        <v>26232094.030000001</v>
      </c>
      <c r="AH306" s="11">
        <f ca="1">AG306/$AG$316</f>
        <v>0.17220826043766141</v>
      </c>
      <c r="AI306" s="60">
        <f ca="1">SUM(U306,Y306,AA306,AC306,AE306,AG306,W306)</f>
        <v>5451923375.5600023</v>
      </c>
    </row>
    <row r="307" spans="2:35" x14ac:dyDescent="0.4">
      <c r="B307" s="14" t="s">
        <v>16</v>
      </c>
      <c r="C307" s="15">
        <v>5816</v>
      </c>
      <c r="D307" s="16">
        <f ca="1">C307/$C$316</f>
        <v>0.32251982476570734</v>
      </c>
      <c r="E307" s="15">
        <v>7902</v>
      </c>
      <c r="F307" s="16">
        <f ca="1">E307/$E$316</f>
        <v>0.29672186549509971</v>
      </c>
      <c r="G307" s="15">
        <v>522</v>
      </c>
      <c r="H307" s="16">
        <f ca="1">G307/$G$316</f>
        <v>8.0122793553338456E-2</v>
      </c>
      <c r="I307" s="15">
        <v>2</v>
      </c>
      <c r="J307" s="16">
        <f ca="1">I307/$I$316</f>
        <v>7.2727272727272727E-3</v>
      </c>
      <c r="K307" s="15">
        <v>188</v>
      </c>
      <c r="L307" s="16">
        <f ca="1">K307/$K$316</f>
        <v>0.15537190082644628</v>
      </c>
      <c r="M307" s="15">
        <v>2134</v>
      </c>
      <c r="N307" s="16">
        <f ca="1">M307/$M$316</f>
        <v>0.3381933438985737</v>
      </c>
      <c r="O307" s="15">
        <v>142</v>
      </c>
      <c r="P307" s="16">
        <f ca="1">O307/$O$316</f>
        <v>0.31838565022421522</v>
      </c>
      <c r="Q307" s="62">
        <f t="shared" ref="Q307:Q316" ca="1" si="301">SUM(C307,G307,I307,K307,M307,O307,E307)</f>
        <v>16706</v>
      </c>
      <c r="T307" s="14" t="s">
        <v>16</v>
      </c>
      <c r="U307" s="15">
        <v>1070379463.2799999</v>
      </c>
      <c r="V307" s="16">
        <f t="shared" ref="V307:V316" ca="1" si="302">U307/$U$316</f>
        <v>0.35294004428226466</v>
      </c>
      <c r="W307" s="15">
        <v>1356739286.7700024</v>
      </c>
      <c r="X307" s="16">
        <f t="shared" ref="X307:X316" ca="1" si="303">W307/$W$316</f>
        <v>0.32078362197082816</v>
      </c>
      <c r="Y307" s="15">
        <v>163493970.37</v>
      </c>
      <c r="Z307" s="16">
        <f t="shared" ref="Z307:Z316" ca="1" si="304">Y307/$Y$316</f>
        <v>5.9874721455246707E-2</v>
      </c>
      <c r="AA307" s="15">
        <v>5</v>
      </c>
      <c r="AB307" s="16">
        <f t="shared" ref="AB307:AB316" ca="1" si="305">AA307/$AA$316</f>
        <v>4.9623969345377289E-8</v>
      </c>
      <c r="AC307" s="15">
        <v>10872795.889999997</v>
      </c>
      <c r="AD307" s="16">
        <f t="shared" ref="AD307:AD316" ca="1" si="306">AC307/$AC$316</f>
        <v>0.1424449861957926</v>
      </c>
      <c r="AE307" s="15">
        <v>102899306.31999999</v>
      </c>
      <c r="AF307" s="16">
        <f t="shared" ref="AF307:AF316" ca="1" si="307">AE307/$AE$316</f>
        <v>0.33152292694011026</v>
      </c>
      <c r="AG307" s="15">
        <v>52837044.039999984</v>
      </c>
      <c r="AH307" s="16">
        <f t="shared" ref="AH307:AH316" ca="1" si="308">AG307/$AG$316</f>
        <v>0.34686424310581437</v>
      </c>
      <c r="AI307" s="62">
        <f ca="1">SUM(U307,Y307,AA307,AC307,AE307,AG307,W307)</f>
        <v>2757221871.670002</v>
      </c>
    </row>
    <row r="308" spans="2:35" x14ac:dyDescent="0.4">
      <c r="B308" s="18" t="s">
        <v>17</v>
      </c>
      <c r="C308" s="19">
        <f ca="1">+SUM(C306:C307)</f>
        <v>11111</v>
      </c>
      <c r="D308" s="20">
        <f ca="1">+C308/$C$316</f>
        <v>0.61614817279432155</v>
      </c>
      <c r="E308" s="19">
        <f ca="1">+SUM(E306:E307)</f>
        <v>17627</v>
      </c>
      <c r="F308" s="20">
        <f ca="1">+E308/$E$316</f>
        <v>0.66189778829184032</v>
      </c>
      <c r="G308" s="19">
        <f ca="1">+SUM(G306:G307)</f>
        <v>6395</v>
      </c>
      <c r="H308" s="20">
        <f ca="1">+G308/$G$316</f>
        <v>0.98158096699923258</v>
      </c>
      <c r="I308" s="19">
        <f ca="1">+SUM(I306:I307)</f>
        <v>208</v>
      </c>
      <c r="J308" s="20">
        <f ca="1">+I308/$I$316</f>
        <v>0.75636363636363635</v>
      </c>
      <c r="K308" s="19">
        <f ca="1">+SUM(K306:K307)</f>
        <v>1064</v>
      </c>
      <c r="L308" s="20">
        <f ca="1">+K308/$K$316</f>
        <v>0.87933884297520659</v>
      </c>
      <c r="M308" s="19">
        <f ca="1">+SUM(M306:M307)</f>
        <v>4198</v>
      </c>
      <c r="N308" s="20">
        <f ca="1">+M308/$M$316</f>
        <v>0.66529318541996829</v>
      </c>
      <c r="O308" s="19">
        <f ca="1">+SUM(O306:O307)</f>
        <v>218</v>
      </c>
      <c r="P308" s="20">
        <f ca="1">+O308/$O$316</f>
        <v>0.48878923766816146</v>
      </c>
      <c r="Q308" s="101">
        <f ca="1">+SUM(Q306:Q307)</f>
        <v>40821</v>
      </c>
      <c r="T308" s="18" t="s">
        <v>17</v>
      </c>
      <c r="U308" s="19">
        <f ca="1">+SUM(U306:U307)</f>
        <v>2021407274.6600015</v>
      </c>
      <c r="V308" s="20">
        <f t="shared" ca="1" si="302"/>
        <v>0.66652584200820542</v>
      </c>
      <c r="W308" s="19">
        <f ca="1">+SUM(W306:W307)</f>
        <v>3034478713.840004</v>
      </c>
      <c r="X308" s="20">
        <f t="shared" ca="1" si="303"/>
        <v>0.71746361449912932</v>
      </c>
      <c r="Y308" s="19">
        <f ca="1">+SUM(Y306:Y307)</f>
        <v>2694937595.9099989</v>
      </c>
      <c r="Z308" s="20">
        <f t="shared" ca="1" si="304"/>
        <v>0.98693938087879218</v>
      </c>
      <c r="AA308" s="19">
        <f ca="1">+SUM(AA306:AA307)</f>
        <v>98864135.520000041</v>
      </c>
      <c r="AB308" s="20">
        <f t="shared" ca="1" si="305"/>
        <v>0.98120616608034161</v>
      </c>
      <c r="AC308" s="19">
        <f ca="1">+SUM(AC306:AC307)</f>
        <v>69422367.059999987</v>
      </c>
      <c r="AD308" s="20">
        <f t="shared" ca="1" si="306"/>
        <v>0.90950554186674315</v>
      </c>
      <c r="AE308" s="19">
        <f ca="1">+SUM(AE306:AE307)</f>
        <v>210966022.17000005</v>
      </c>
      <c r="AF308" s="20">
        <f t="shared" ca="1" si="307"/>
        <v>0.67969431141944181</v>
      </c>
      <c r="AG308" s="19">
        <f ca="1">+SUM(AG306:AG307)</f>
        <v>79069138.069999993</v>
      </c>
      <c r="AH308" s="20">
        <f t="shared" ca="1" si="308"/>
        <v>0.51907250354347589</v>
      </c>
      <c r="AI308" s="21">
        <f ca="1">+SUM(AI306:AI307)</f>
        <v>8209145247.2300043</v>
      </c>
    </row>
    <row r="309" spans="2:35" x14ac:dyDescent="0.4">
      <c r="B309" s="22" t="s">
        <v>18</v>
      </c>
      <c r="C309" s="15">
        <v>2031</v>
      </c>
      <c r="D309" s="16">
        <f t="shared" ref="D309:D316" ca="1" si="309">C309/$C$316</f>
        <v>0.11262685077358177</v>
      </c>
      <c r="E309" s="15">
        <v>2425</v>
      </c>
      <c r="F309" s="16">
        <f t="shared" ref="F309:F316" ca="1" si="310">E309/$E$316</f>
        <v>9.1059291802786227E-2</v>
      </c>
      <c r="G309" s="15">
        <v>20</v>
      </c>
      <c r="H309" s="16">
        <f t="shared" ref="H309:H316" ca="1" si="311">G309/$G$316</f>
        <v>3.0698388334612432E-3</v>
      </c>
      <c r="I309" s="15">
        <v>1</v>
      </c>
      <c r="J309" s="16">
        <f t="shared" ref="J309:J316" ca="1" si="312">I309/$I$316</f>
        <v>3.6363636363636364E-3</v>
      </c>
      <c r="K309" s="15">
        <v>71</v>
      </c>
      <c r="L309" s="16">
        <f ca="1">K309/$K$316</f>
        <v>5.8677685950413221E-2</v>
      </c>
      <c r="M309" s="15">
        <v>676</v>
      </c>
      <c r="N309" s="16">
        <f t="shared" ref="N309:N316" ca="1" si="313">M309/$M$316</f>
        <v>0.10713153724247226</v>
      </c>
      <c r="O309" s="15">
        <v>51</v>
      </c>
      <c r="P309" s="16">
        <f t="shared" ref="P309:P316" ca="1" si="314">O309/$O$316</f>
        <v>0.11434977578475336</v>
      </c>
      <c r="Q309" s="62">
        <f t="shared" ca="1" si="301"/>
        <v>5275</v>
      </c>
      <c r="T309" s="22" t="s">
        <v>18</v>
      </c>
      <c r="U309" s="15">
        <v>309165144.59000015</v>
      </c>
      <c r="V309" s="16">
        <f t="shared" ca="1" si="302"/>
        <v>0.10194212759627996</v>
      </c>
      <c r="W309" s="15">
        <v>347588007.70000064</v>
      </c>
      <c r="X309" s="16">
        <f t="shared" ca="1" si="303"/>
        <v>8.2182731163538678E-2</v>
      </c>
      <c r="Y309" s="15">
        <v>7757718.7799999993</v>
      </c>
      <c r="Z309" s="16">
        <f t="shared" ca="1" si="304"/>
        <v>2.8410298558989985E-3</v>
      </c>
      <c r="AA309" s="15">
        <v>2</v>
      </c>
      <c r="AB309" s="16">
        <f t="shared" ca="1" si="305"/>
        <v>1.9849587738150915E-8</v>
      </c>
      <c r="AC309" s="15">
        <v>3636929.59</v>
      </c>
      <c r="AD309" s="16">
        <f t="shared" ca="1" si="306"/>
        <v>4.7647577539747209E-2</v>
      </c>
      <c r="AE309" s="15">
        <v>31166017.359999988</v>
      </c>
      <c r="AF309" s="16">
        <f t="shared" ca="1" si="307"/>
        <v>0.10041126287209247</v>
      </c>
      <c r="AG309" s="15">
        <v>14324604.309999999</v>
      </c>
      <c r="AH309" s="16">
        <f t="shared" ca="1" si="308"/>
        <v>9.4038058374668262E-2</v>
      </c>
      <c r="AI309" s="62">
        <f t="shared" ref="AI309:AI316" ca="1" si="315">SUM(U309,Y309,AA309,AC309,AE309,AG309,W309)</f>
        <v>713638424.33000076</v>
      </c>
    </row>
    <row r="310" spans="2:35" x14ac:dyDescent="0.4">
      <c r="B310" s="22" t="s">
        <v>19</v>
      </c>
      <c r="C310" s="15">
        <v>2549</v>
      </c>
      <c r="D310" s="16">
        <f t="shared" ca="1" si="309"/>
        <v>0.14135196584040371</v>
      </c>
      <c r="E310" s="15">
        <v>3186</v>
      </c>
      <c r="F310" s="16">
        <f t="shared" ca="1" si="310"/>
        <v>0.11963501182832038</v>
      </c>
      <c r="G310" s="15">
        <v>7</v>
      </c>
      <c r="H310" s="16">
        <f t="shared" ca="1" si="311"/>
        <v>1.0744435917114351E-3</v>
      </c>
      <c r="I310" s="15">
        <v>0</v>
      </c>
      <c r="J310" s="16">
        <f t="shared" ca="1" si="312"/>
        <v>0</v>
      </c>
      <c r="K310" s="15">
        <v>26</v>
      </c>
      <c r="L310" s="16">
        <f t="shared" ref="L310:L316" ca="1" si="316">K310/$K$316</f>
        <v>2.1487603305785124E-2</v>
      </c>
      <c r="M310" s="15">
        <v>707</v>
      </c>
      <c r="N310" s="16">
        <f t="shared" ca="1" si="313"/>
        <v>0.11204437400950872</v>
      </c>
      <c r="O310" s="15">
        <v>104</v>
      </c>
      <c r="P310" s="16">
        <f t="shared" ca="1" si="314"/>
        <v>0.23318385650224216</v>
      </c>
      <c r="Q310" s="62">
        <f t="shared" ca="1" si="301"/>
        <v>6579</v>
      </c>
      <c r="T310" s="22" t="s">
        <v>19</v>
      </c>
      <c r="U310" s="15">
        <v>392693737.88000011</v>
      </c>
      <c r="V310" s="16">
        <f t="shared" ca="1" si="302"/>
        <v>0.12948430906178521</v>
      </c>
      <c r="W310" s="15">
        <v>443885424.56999958</v>
      </c>
      <c r="X310" s="16">
        <f t="shared" ca="1" si="303"/>
        <v>0.10495102163114541</v>
      </c>
      <c r="Y310" s="15">
        <v>1938385</v>
      </c>
      <c r="Z310" s="16">
        <f t="shared" ca="1" si="304"/>
        <v>7.0987487602982961E-4</v>
      </c>
      <c r="AA310" s="15">
        <v>0</v>
      </c>
      <c r="AB310" s="16">
        <f t="shared" ca="1" si="305"/>
        <v>0</v>
      </c>
      <c r="AC310" s="15">
        <v>786410.6</v>
      </c>
      <c r="AD310" s="16">
        <f t="shared" ca="1" si="306"/>
        <v>1.0302800511895289E-2</v>
      </c>
      <c r="AE310" s="15">
        <v>33160001.07</v>
      </c>
      <c r="AF310" s="16">
        <f t="shared" ca="1" si="307"/>
        <v>0.10683551721793172</v>
      </c>
      <c r="AG310" s="15">
        <v>28555624.610000003</v>
      </c>
      <c r="AH310" s="16">
        <f t="shared" ca="1" si="308"/>
        <v>0.18746175711992802</v>
      </c>
      <c r="AI310" s="62">
        <f t="shared" ca="1" si="315"/>
        <v>901019583.72999978</v>
      </c>
    </row>
    <row r="311" spans="2:35" x14ac:dyDescent="0.4">
      <c r="B311" s="22" t="s">
        <v>20</v>
      </c>
      <c r="C311" s="15">
        <v>966</v>
      </c>
      <c r="D311" s="16">
        <f t="shared" ca="1" si="309"/>
        <v>5.3568457827316583E-2</v>
      </c>
      <c r="E311" s="15">
        <v>1204</v>
      </c>
      <c r="F311" s="16">
        <f t="shared" ca="1" si="310"/>
        <v>4.5210469002290567E-2</v>
      </c>
      <c r="G311" s="15">
        <v>7</v>
      </c>
      <c r="H311" s="16">
        <f t="shared" ca="1" si="311"/>
        <v>1.0744435917114351E-3</v>
      </c>
      <c r="I311" s="15">
        <v>2</v>
      </c>
      <c r="J311" s="16">
        <f t="shared" ca="1" si="312"/>
        <v>7.2727272727272727E-3</v>
      </c>
      <c r="K311" s="15">
        <v>21</v>
      </c>
      <c r="L311" s="16">
        <f t="shared" ca="1" si="316"/>
        <v>1.7355371900826446E-2</v>
      </c>
      <c r="M311" s="15">
        <v>291</v>
      </c>
      <c r="N311" s="16">
        <f t="shared" ca="1" si="313"/>
        <v>4.6117274167987318E-2</v>
      </c>
      <c r="O311" s="15">
        <v>32</v>
      </c>
      <c r="P311" s="16">
        <f t="shared" ca="1" si="314"/>
        <v>7.1748878923766815E-2</v>
      </c>
      <c r="Q311" s="62">
        <f t="shared" ca="1" si="301"/>
        <v>2523</v>
      </c>
      <c r="T311" s="22" t="s">
        <v>20</v>
      </c>
      <c r="U311" s="15">
        <v>135495701.60999998</v>
      </c>
      <c r="V311" s="16">
        <f t="shared" ca="1" si="302"/>
        <v>4.467748174067894E-2</v>
      </c>
      <c r="W311" s="15">
        <v>161501175.65000015</v>
      </c>
      <c r="X311" s="16">
        <f t="shared" ca="1" si="303"/>
        <v>3.818488384816441E-2</v>
      </c>
      <c r="Y311" s="15">
        <v>2181104.94</v>
      </c>
      <c r="Z311" s="16">
        <f t="shared" ca="1" si="304"/>
        <v>7.9876371251869419E-4</v>
      </c>
      <c r="AA311" s="15">
        <v>12</v>
      </c>
      <c r="AB311" s="16">
        <f t="shared" ca="1" si="305"/>
        <v>1.190975264289055E-7</v>
      </c>
      <c r="AC311" s="15">
        <v>1033074.43</v>
      </c>
      <c r="AD311" s="16">
        <f t="shared" ca="1" si="306"/>
        <v>1.3534354402432948E-2</v>
      </c>
      <c r="AE311" s="15">
        <v>13101522.199999999</v>
      </c>
      <c r="AF311" s="16">
        <f t="shared" ca="1" si="307"/>
        <v>4.2210731466035337E-2</v>
      </c>
      <c r="AG311" s="15">
        <v>8006997.209999999</v>
      </c>
      <c r="AH311" s="16">
        <f t="shared" ca="1" si="308"/>
        <v>5.2564277151735568E-2</v>
      </c>
      <c r="AI311" s="62">
        <f t="shared" ca="1" si="315"/>
        <v>321319588.04000014</v>
      </c>
    </row>
    <row r="312" spans="2:35" x14ac:dyDescent="0.4">
      <c r="B312" s="22" t="s">
        <v>21</v>
      </c>
      <c r="C312" s="15">
        <v>420</v>
      </c>
      <c r="D312" s="16">
        <f t="shared" ca="1" si="309"/>
        <v>2.3290633837963735E-2</v>
      </c>
      <c r="E312" s="15">
        <v>661</v>
      </c>
      <c r="F312" s="16">
        <f t="shared" ca="1" si="310"/>
        <v>2.4820697683151215E-2</v>
      </c>
      <c r="G312" s="15">
        <v>5</v>
      </c>
      <c r="H312" s="16">
        <f t="shared" ca="1" si="311"/>
        <v>7.6745970836531081E-4</v>
      </c>
      <c r="I312" s="15">
        <v>3</v>
      </c>
      <c r="J312" s="16">
        <f t="shared" ca="1" si="312"/>
        <v>1.090909090909091E-2</v>
      </c>
      <c r="K312" s="15">
        <v>6</v>
      </c>
      <c r="L312" s="16">
        <f t="shared" ca="1" si="316"/>
        <v>4.9586776859504135E-3</v>
      </c>
      <c r="M312" s="15">
        <v>108</v>
      </c>
      <c r="N312" s="16">
        <f t="shared" ca="1" si="313"/>
        <v>1.711568938193344E-2</v>
      </c>
      <c r="O312" s="15">
        <v>7</v>
      </c>
      <c r="P312" s="16">
        <f t="shared" ca="1" si="314"/>
        <v>1.5695067264573991E-2</v>
      </c>
      <c r="Q312" s="62">
        <f t="shared" ca="1" si="301"/>
        <v>1210</v>
      </c>
      <c r="T312" s="22" t="s">
        <v>21</v>
      </c>
      <c r="U312" s="15">
        <v>66954545.809999995</v>
      </c>
      <c r="V312" s="16">
        <f t="shared" ca="1" si="302"/>
        <v>2.2077161580312116E-2</v>
      </c>
      <c r="W312" s="15">
        <v>80150180.240000024</v>
      </c>
      <c r="X312" s="16">
        <f t="shared" ca="1" si="303"/>
        <v>1.8950483242961089E-2</v>
      </c>
      <c r="Y312" s="15">
        <v>2499862.41</v>
      </c>
      <c r="Z312" s="16">
        <f t="shared" ca="1" si="304"/>
        <v>9.1549899446724005E-4</v>
      </c>
      <c r="AA312" s="15">
        <v>3670</v>
      </c>
      <c r="AB312" s="16">
        <f t="shared" ca="1" si="305"/>
        <v>3.6423993499506933E-5</v>
      </c>
      <c r="AC312" s="15">
        <v>201525.8600000001</v>
      </c>
      <c r="AD312" s="16">
        <f t="shared" ca="1" si="306"/>
        <v>2.6401993228068639E-3</v>
      </c>
      <c r="AE312" s="15">
        <v>5776812.5800000001</v>
      </c>
      <c r="AF312" s="16">
        <f t="shared" ca="1" si="307"/>
        <v>1.8611843785907169E-2</v>
      </c>
      <c r="AG312" s="15">
        <v>3900734.6399999997</v>
      </c>
      <c r="AH312" s="16">
        <f t="shared" ca="1" si="308"/>
        <v>2.5607514444523638E-2</v>
      </c>
      <c r="AI312" s="62">
        <f t="shared" ca="1" si="315"/>
        <v>159487331.54000002</v>
      </c>
    </row>
    <row r="313" spans="2:35" x14ac:dyDescent="0.4">
      <c r="B313" s="22" t="s">
        <v>22</v>
      </c>
      <c r="C313" s="15">
        <v>212</v>
      </c>
      <c r="D313" s="16">
        <f t="shared" ca="1" si="309"/>
        <v>1.1756224699162647E-2</v>
      </c>
      <c r="E313" s="15">
        <v>395</v>
      </c>
      <c r="F313" s="16">
        <f t="shared" ca="1" si="310"/>
        <v>1.4832338252412602E-2</v>
      </c>
      <c r="G313" s="15">
        <v>1</v>
      </c>
      <c r="H313" s="16">
        <f t="shared" ca="1" si="311"/>
        <v>1.5349194167306216E-4</v>
      </c>
      <c r="I313" s="15">
        <v>1</v>
      </c>
      <c r="J313" s="16">
        <f t="shared" ca="1" si="312"/>
        <v>3.6363636363636364E-3</v>
      </c>
      <c r="K313" s="15">
        <v>5</v>
      </c>
      <c r="L313" s="16">
        <f t="shared" ca="1" si="316"/>
        <v>4.1322314049586778E-3</v>
      </c>
      <c r="M313" s="15">
        <v>92</v>
      </c>
      <c r="N313" s="16">
        <f t="shared" ca="1" si="313"/>
        <v>1.4580031695721078E-2</v>
      </c>
      <c r="O313" s="15">
        <v>2</v>
      </c>
      <c r="P313" s="16">
        <f t="shared" ca="1" si="314"/>
        <v>4.4843049327354259E-3</v>
      </c>
      <c r="Q313" s="62">
        <f t="shared" ca="1" si="301"/>
        <v>708</v>
      </c>
      <c r="T313" s="22" t="s">
        <v>22</v>
      </c>
      <c r="U313" s="15">
        <v>29339633.06000001</v>
      </c>
      <c r="V313" s="16">
        <f t="shared" ca="1" si="302"/>
        <v>9.6742620226384218E-3</v>
      </c>
      <c r="W313" s="15">
        <v>47826459.969999999</v>
      </c>
      <c r="X313" s="16">
        <f t="shared" ca="1" si="303"/>
        <v>1.130795371286409E-2</v>
      </c>
      <c r="Y313" s="15">
        <v>149385</v>
      </c>
      <c r="Z313" s="16">
        <f t="shared" ca="1" si="304"/>
        <v>5.4707737810453598E-5</v>
      </c>
      <c r="AA313" s="15">
        <v>30</v>
      </c>
      <c r="AB313" s="16">
        <f t="shared" ca="1" si="305"/>
        <v>2.9774381607226376E-7</v>
      </c>
      <c r="AC313" s="15">
        <v>288021.36000000004</v>
      </c>
      <c r="AD313" s="16">
        <f t="shared" ca="1" si="306"/>
        <v>3.7733807444161843E-3</v>
      </c>
      <c r="AE313" s="15">
        <v>3944317.5499999993</v>
      </c>
      <c r="AF313" s="16">
        <f t="shared" ca="1" si="307"/>
        <v>1.2707876716784893E-2</v>
      </c>
      <c r="AG313" s="15">
        <v>448585.18999999994</v>
      </c>
      <c r="AH313" s="16">
        <f t="shared" ca="1" si="308"/>
        <v>2.9448687984898097E-3</v>
      </c>
      <c r="AI313" s="62">
        <f t="shared" ca="1" si="315"/>
        <v>81996432.129999995</v>
      </c>
    </row>
    <row r="314" spans="2:35" x14ac:dyDescent="0.4">
      <c r="B314" s="22" t="s">
        <v>23</v>
      </c>
      <c r="C314" s="15">
        <v>150</v>
      </c>
      <c r="D314" s="16">
        <f t="shared" ca="1" si="309"/>
        <v>8.3180835135584757E-3</v>
      </c>
      <c r="E314" s="15">
        <v>254</v>
      </c>
      <c r="F314" s="16">
        <f t="shared" ca="1" si="310"/>
        <v>9.5377567496526608E-3</v>
      </c>
      <c r="G314" s="15">
        <v>2</v>
      </c>
      <c r="H314" s="16">
        <f t="shared" ca="1" si="311"/>
        <v>3.0698388334612431E-4</v>
      </c>
      <c r="I314" s="15">
        <v>1</v>
      </c>
      <c r="J314" s="16">
        <f t="shared" ca="1" si="312"/>
        <v>3.6363636363636364E-3</v>
      </c>
      <c r="K314" s="15">
        <v>2</v>
      </c>
      <c r="L314" s="16">
        <f t="shared" ca="1" si="316"/>
        <v>1.652892561983471E-3</v>
      </c>
      <c r="M314" s="15">
        <v>34</v>
      </c>
      <c r="N314" s="16">
        <f t="shared" ca="1" si="313"/>
        <v>5.388272583201268E-3</v>
      </c>
      <c r="O314" s="15">
        <v>13</v>
      </c>
      <c r="P314" s="16">
        <f t="shared" ca="1" si="314"/>
        <v>2.914798206278027E-2</v>
      </c>
      <c r="Q314" s="62">
        <f t="shared" ca="1" si="301"/>
        <v>456</v>
      </c>
      <c r="T314" s="22" t="s">
        <v>23</v>
      </c>
      <c r="U314" s="15">
        <v>16873293.259999994</v>
      </c>
      <c r="V314" s="16">
        <f t="shared" ca="1" si="302"/>
        <v>5.5636912652669264E-3</v>
      </c>
      <c r="W314" s="15">
        <v>28731777.090000007</v>
      </c>
      <c r="X314" s="16">
        <f t="shared" ca="1" si="303"/>
        <v>6.7932605847442354E-3</v>
      </c>
      <c r="Y314" s="15">
        <v>292607</v>
      </c>
      <c r="Z314" s="16">
        <f t="shared" ca="1" si="304"/>
        <v>1.0715846328281552E-4</v>
      </c>
      <c r="AA314" s="15">
        <v>5000</v>
      </c>
      <c r="AB314" s="16">
        <f t="shared" ca="1" si="305"/>
        <v>4.9623969345377291E-5</v>
      </c>
      <c r="AC314" s="15">
        <v>65112</v>
      </c>
      <c r="AD314" s="16">
        <f t="shared" ca="1" si="306"/>
        <v>8.5303522985387804E-4</v>
      </c>
      <c r="AE314" s="15">
        <v>1686736.37</v>
      </c>
      <c r="AF314" s="16">
        <f t="shared" ca="1" si="307"/>
        <v>5.434359067686443E-3</v>
      </c>
      <c r="AG314" s="15">
        <v>11989185</v>
      </c>
      <c r="AH314" s="16">
        <f t="shared" ca="1" si="308"/>
        <v>7.8706514644012335E-2</v>
      </c>
      <c r="AI314" s="62">
        <f t="shared" ca="1" si="315"/>
        <v>59643710.719999999</v>
      </c>
    </row>
    <row r="315" spans="2:35" x14ac:dyDescent="0.4">
      <c r="B315" s="23" t="s">
        <v>24</v>
      </c>
      <c r="C315" s="24">
        <v>594</v>
      </c>
      <c r="D315" s="25">
        <f t="shared" ca="1" si="309"/>
        <v>3.2939610713691565E-2</v>
      </c>
      <c r="E315" s="24">
        <v>879</v>
      </c>
      <c r="F315" s="25">
        <f t="shared" ca="1" si="310"/>
        <v>3.3006646389546021E-2</v>
      </c>
      <c r="G315" s="24">
        <v>78</v>
      </c>
      <c r="H315" s="25">
        <f t="shared" ca="1" si="311"/>
        <v>1.1972371450498849E-2</v>
      </c>
      <c r="I315" s="24">
        <v>59</v>
      </c>
      <c r="J315" s="25">
        <f t="shared" ca="1" si="312"/>
        <v>0.21454545454545454</v>
      </c>
      <c r="K315" s="24">
        <v>15</v>
      </c>
      <c r="L315" s="25">
        <f t="shared" ca="1" si="316"/>
        <v>1.2396694214876033E-2</v>
      </c>
      <c r="M315" s="24">
        <v>204</v>
      </c>
      <c r="N315" s="25">
        <f t="shared" ca="1" si="313"/>
        <v>3.2329635499207608E-2</v>
      </c>
      <c r="O315" s="24">
        <v>19</v>
      </c>
      <c r="P315" s="25">
        <f t="shared" ca="1" si="314"/>
        <v>4.2600896860986545E-2</v>
      </c>
      <c r="Q315" s="64">
        <f t="shared" ca="1" si="301"/>
        <v>1848</v>
      </c>
      <c r="T315" s="23" t="s">
        <v>24</v>
      </c>
      <c r="U315" s="24">
        <v>60822210.419999957</v>
      </c>
      <c r="V315" s="25">
        <f t="shared" ca="1" si="302"/>
        <v>2.0055124724832816E-2</v>
      </c>
      <c r="W315" s="24">
        <v>85291368.409999982</v>
      </c>
      <c r="X315" s="25">
        <f t="shared" ca="1" si="303"/>
        <v>2.0166051317452718E-2</v>
      </c>
      <c r="Y315" s="24">
        <v>20844275.650000002</v>
      </c>
      <c r="Z315" s="25">
        <f t="shared" ca="1" si="304"/>
        <v>7.6335854811997346E-3</v>
      </c>
      <c r="AA315" s="24">
        <v>1884910.61</v>
      </c>
      <c r="AB315" s="25">
        <f t="shared" ca="1" si="305"/>
        <v>1.8707349265883282E-2</v>
      </c>
      <c r="AC315" s="24">
        <v>896349.15</v>
      </c>
      <c r="AD315" s="25">
        <f t="shared" ca="1" si="306"/>
        <v>1.1743110382104347E-2</v>
      </c>
      <c r="AE315" s="24">
        <v>10582251.459999997</v>
      </c>
      <c r="AF315" s="25">
        <f t="shared" ca="1" si="307"/>
        <v>3.409409745412028E-2</v>
      </c>
      <c r="AG315" s="24">
        <v>6032864.6300000008</v>
      </c>
      <c r="AH315" s="25">
        <f t="shared" ca="1" si="308"/>
        <v>3.9604505923166514E-2</v>
      </c>
      <c r="AI315" s="64">
        <f t="shared" ca="1" si="315"/>
        <v>186354230.32999992</v>
      </c>
    </row>
    <row r="316" spans="2:35" x14ac:dyDescent="0.4">
      <c r="B316" s="27" t="s">
        <v>25</v>
      </c>
      <c r="C316" s="28">
        <f ca="1">SUM(C308:C315)</f>
        <v>18033</v>
      </c>
      <c r="D316" s="29">
        <f t="shared" ca="1" si="309"/>
        <v>1</v>
      </c>
      <c r="E316" s="28">
        <f ca="1">SUM(E308:E315)</f>
        <v>26631</v>
      </c>
      <c r="F316" s="29">
        <f t="shared" ca="1" si="310"/>
        <v>1</v>
      </c>
      <c r="G316" s="28">
        <f ca="1">SUM(G308:G315)</f>
        <v>6515</v>
      </c>
      <c r="H316" s="29">
        <f t="shared" ca="1" si="311"/>
        <v>1</v>
      </c>
      <c r="I316" s="28">
        <f ca="1">SUM(I308:I315)</f>
        <v>275</v>
      </c>
      <c r="J316" s="29">
        <f t="shared" ca="1" si="312"/>
        <v>1</v>
      </c>
      <c r="K316" s="28">
        <f ca="1">SUM(K308:K315)</f>
        <v>1210</v>
      </c>
      <c r="L316" s="29">
        <f t="shared" ca="1" si="316"/>
        <v>1</v>
      </c>
      <c r="M316" s="28">
        <f ca="1">SUM(M308:M315)</f>
        <v>6310</v>
      </c>
      <c r="N316" s="29">
        <f t="shared" ca="1" si="313"/>
        <v>1</v>
      </c>
      <c r="O316" s="28">
        <f ca="1">SUM(O308:O315)</f>
        <v>446</v>
      </c>
      <c r="P316" s="29">
        <f t="shared" ca="1" si="314"/>
        <v>1</v>
      </c>
      <c r="Q316" s="31">
        <f t="shared" ca="1" si="301"/>
        <v>59420</v>
      </c>
      <c r="T316" s="27" t="s">
        <v>25</v>
      </c>
      <c r="U316" s="28">
        <f ca="1">SUM(U308:U315)</f>
        <v>3032751541.2900023</v>
      </c>
      <c r="V316" s="29">
        <f t="shared" ca="1" si="302"/>
        <v>1</v>
      </c>
      <c r="W316" s="28">
        <f ca="1">SUM(W308:W315)</f>
        <v>4229453107.4700046</v>
      </c>
      <c r="X316" s="29">
        <f t="shared" ca="1" si="303"/>
        <v>1</v>
      </c>
      <c r="Y316" s="28">
        <f ca="1">SUM(Y308:Y315)</f>
        <v>2730600934.6899991</v>
      </c>
      <c r="Z316" s="29">
        <f t="shared" ca="1" si="304"/>
        <v>1</v>
      </c>
      <c r="AA316" s="28">
        <f ca="1">SUM(AA308:AA315)</f>
        <v>100757760.13000004</v>
      </c>
      <c r="AB316" s="29">
        <f t="shared" ca="1" si="305"/>
        <v>1</v>
      </c>
      <c r="AC316" s="28">
        <f ca="1">SUM(AC308:AC315)</f>
        <v>76329790.049999997</v>
      </c>
      <c r="AD316" s="29">
        <f t="shared" ca="1" si="306"/>
        <v>1</v>
      </c>
      <c r="AE316" s="28">
        <f ca="1">SUM(AE308:AE315)</f>
        <v>310383680.75999999</v>
      </c>
      <c r="AF316" s="29">
        <f t="shared" ca="1" si="307"/>
        <v>1</v>
      </c>
      <c r="AG316" s="28">
        <f ca="1">SUM(AG308:AG315)</f>
        <v>152327733.66</v>
      </c>
      <c r="AH316" s="29">
        <f t="shared" ca="1" si="308"/>
        <v>1</v>
      </c>
      <c r="AI316" s="31">
        <f t="shared" ca="1" si="315"/>
        <v>10632604548.050007</v>
      </c>
    </row>
    <row r="317" spans="2:35" x14ac:dyDescent="0.4">
      <c r="B317" s="32" t="s">
        <v>26</v>
      </c>
      <c r="C317" s="33">
        <f ca="1">C316/$Q$316</f>
        <v>0.30348367553012456</v>
      </c>
      <c r="D317" s="33"/>
      <c r="E317" s="33">
        <f ca="1">E316/$Q$316</f>
        <v>0.44818243015819592</v>
      </c>
      <c r="F317" s="33"/>
      <c r="G317" s="33">
        <f ca="1">G316/$Q$316</f>
        <v>0.109643217771794</v>
      </c>
      <c r="H317" s="33"/>
      <c r="I317" s="33">
        <f ca="1">I316/$Q$316</f>
        <v>4.6280713564456413E-3</v>
      </c>
      <c r="J317" s="33"/>
      <c r="K317" s="33">
        <f ca="1">K316/$Q$316</f>
        <v>2.0363513968360822E-2</v>
      </c>
      <c r="L317" s="33"/>
      <c r="M317" s="33">
        <f ca="1">M316/$Q$316</f>
        <v>0.10619320094244362</v>
      </c>
      <c r="N317" s="33"/>
      <c r="O317" s="33">
        <f ca="1">O316/$Q$316</f>
        <v>7.5058902726354761E-3</v>
      </c>
      <c r="P317" s="33"/>
      <c r="Q317" s="34">
        <f ca="1">Q316/$Q$316</f>
        <v>1</v>
      </c>
      <c r="T317" s="32" t="s">
        <v>26</v>
      </c>
      <c r="U317" s="33">
        <f ca="1">U316/$AI$316</f>
        <v>0.28523129282055371</v>
      </c>
      <c r="V317" s="33"/>
      <c r="W317" s="33">
        <f ca="1">W316/$AI$316</f>
        <v>0.39778147380132517</v>
      </c>
      <c r="X317" s="33"/>
      <c r="Y317" s="33">
        <f ca="1">Y316/$AI$316</f>
        <v>0.2568139276082439</v>
      </c>
      <c r="Z317" s="33"/>
      <c r="AA317" s="33">
        <f ca="1">AA316/$AI$316</f>
        <v>9.4763009077092741E-3</v>
      </c>
      <c r="AB317" s="33"/>
      <c r="AC317" s="33">
        <f ca="1">AC316/$AI$316</f>
        <v>7.178842183498557E-3</v>
      </c>
      <c r="AD317" s="33"/>
      <c r="AE317" s="33">
        <f ca="1">AE316/$AI$316</f>
        <v>2.919168857990901E-2</v>
      </c>
      <c r="AF317" s="33"/>
      <c r="AG317" s="33">
        <f ca="1">AG316/$AI$316</f>
        <v>1.4326474098760356E-2</v>
      </c>
      <c r="AH317" s="33"/>
      <c r="AI317" s="34">
        <f ca="1">AI316/$AI$316</f>
        <v>1</v>
      </c>
    </row>
    <row r="319" spans="2:35" x14ac:dyDescent="0.4">
      <c r="B319" s="4" t="s">
        <v>49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T319" s="4" t="s">
        <v>49</v>
      </c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2:35" ht="21" customHeight="1" x14ac:dyDescent="0.4">
      <c r="B320" s="5"/>
      <c r="C320" s="6" t="s">
        <v>3</v>
      </c>
      <c r="D320" s="6"/>
      <c r="E320" s="6" t="s">
        <v>4</v>
      </c>
      <c r="F320" s="6"/>
      <c r="G320" s="6" t="s">
        <v>5</v>
      </c>
      <c r="H320" s="6"/>
      <c r="I320" s="6" t="s">
        <v>6</v>
      </c>
      <c r="J320" s="6"/>
      <c r="K320" s="6" t="s">
        <v>7</v>
      </c>
      <c r="L320" s="6"/>
      <c r="M320" s="6" t="s">
        <v>8</v>
      </c>
      <c r="N320" s="6"/>
      <c r="O320" s="6" t="s">
        <v>9</v>
      </c>
      <c r="P320" s="6"/>
      <c r="Q320" s="7" t="s">
        <v>10</v>
      </c>
      <c r="T320" s="5"/>
      <c r="U320" s="6" t="s">
        <v>3</v>
      </c>
      <c r="V320" s="6"/>
      <c r="W320" s="6" t="s">
        <v>4</v>
      </c>
      <c r="X320" s="6"/>
      <c r="Y320" s="6" t="s">
        <v>5</v>
      </c>
      <c r="Z320" s="6"/>
      <c r="AA320" s="6" t="s">
        <v>6</v>
      </c>
      <c r="AB320" s="6"/>
      <c r="AC320" s="6" t="s">
        <v>7</v>
      </c>
      <c r="AD320" s="6"/>
      <c r="AE320" s="6" t="s">
        <v>8</v>
      </c>
      <c r="AF320" s="6"/>
      <c r="AG320" s="6" t="s">
        <v>9</v>
      </c>
      <c r="AH320" s="6"/>
      <c r="AI320" s="7" t="s">
        <v>10</v>
      </c>
    </row>
    <row r="321" spans="2:35" x14ac:dyDescent="0.4">
      <c r="B321" s="8" t="s">
        <v>11</v>
      </c>
      <c r="C321" s="8" t="s">
        <v>12</v>
      </c>
      <c r="D321" s="8" t="s">
        <v>13</v>
      </c>
      <c r="E321" s="8" t="s">
        <v>12</v>
      </c>
      <c r="F321" s="8" t="s">
        <v>13</v>
      </c>
      <c r="G321" s="8" t="s">
        <v>12</v>
      </c>
      <c r="H321" s="8" t="s">
        <v>13</v>
      </c>
      <c r="I321" s="8" t="s">
        <v>12</v>
      </c>
      <c r="J321" s="8" t="s">
        <v>13</v>
      </c>
      <c r="K321" s="8" t="s">
        <v>12</v>
      </c>
      <c r="L321" s="8" t="s">
        <v>13</v>
      </c>
      <c r="M321" s="8" t="s">
        <v>12</v>
      </c>
      <c r="N321" s="8" t="s">
        <v>13</v>
      </c>
      <c r="O321" s="8" t="s">
        <v>12</v>
      </c>
      <c r="P321" s="8" t="s">
        <v>13</v>
      </c>
      <c r="Q321" s="7"/>
      <c r="T321" s="8" t="s">
        <v>11</v>
      </c>
      <c r="U321" s="8" t="s">
        <v>14</v>
      </c>
      <c r="V321" s="8" t="s">
        <v>13</v>
      </c>
      <c r="W321" s="8" t="s">
        <v>14</v>
      </c>
      <c r="X321" s="8" t="s">
        <v>13</v>
      </c>
      <c r="Y321" s="8" t="s">
        <v>14</v>
      </c>
      <c r="Z321" s="8" t="s">
        <v>13</v>
      </c>
      <c r="AA321" s="8" t="s">
        <v>14</v>
      </c>
      <c r="AB321" s="8" t="s">
        <v>13</v>
      </c>
      <c r="AC321" s="8" t="s">
        <v>14</v>
      </c>
      <c r="AD321" s="8" t="s">
        <v>13</v>
      </c>
      <c r="AE321" s="8" t="s">
        <v>14</v>
      </c>
      <c r="AF321" s="8" t="s">
        <v>13</v>
      </c>
      <c r="AG321" s="8" t="s">
        <v>14</v>
      </c>
      <c r="AH321" s="8" t="s">
        <v>13</v>
      </c>
      <c r="AI321" s="7"/>
    </row>
    <row r="322" spans="2:35" x14ac:dyDescent="0.4">
      <c r="B322" s="9" t="s">
        <v>15</v>
      </c>
      <c r="C322" s="10">
        <v>333</v>
      </c>
      <c r="D322" s="11">
        <f ca="1">C322/$C$332</f>
        <v>0.52358490566037741</v>
      </c>
      <c r="E322" s="10">
        <v>553</v>
      </c>
      <c r="F322" s="11">
        <f ca="1">E322/$E$332</f>
        <v>0.5790575916230366</v>
      </c>
      <c r="G322" s="10">
        <v>168</v>
      </c>
      <c r="H322" s="11">
        <f ca="1">G322/$G$332</f>
        <v>0.99408284023668636</v>
      </c>
      <c r="I322" s="10">
        <v>163</v>
      </c>
      <c r="J322" s="11">
        <f ca="1">IFERROR((I322/$I$332),0)</f>
        <v>1</v>
      </c>
      <c r="K322" s="10">
        <v>30</v>
      </c>
      <c r="L322" s="11">
        <f ca="1">K322/$K$332</f>
        <v>0.90909090909090906</v>
      </c>
      <c r="M322" s="10">
        <v>40</v>
      </c>
      <c r="N322" s="11">
        <f ca="1">M322/$M$332</f>
        <v>0.42553191489361702</v>
      </c>
      <c r="O322" s="10">
        <v>5</v>
      </c>
      <c r="P322" s="11">
        <f ca="1">O322/$O$332</f>
        <v>0.38461538461538464</v>
      </c>
      <c r="Q322" s="60">
        <f t="shared" ref="Q322:Q331" ca="1" si="317">SUM(C322,G322,I322,K322,M322,O322,E322)</f>
        <v>1292</v>
      </c>
      <c r="T322" s="9" t="s">
        <v>15</v>
      </c>
      <c r="U322" s="10">
        <v>56838042.079999991</v>
      </c>
      <c r="V322" s="11">
        <f ca="1">U322/$U$332</f>
        <v>0.55402738632484627</v>
      </c>
      <c r="W322" s="10">
        <v>108875636.19000003</v>
      </c>
      <c r="X322" s="11">
        <f ca="1">W322/$W$332</f>
        <v>0.59547864747461843</v>
      </c>
      <c r="Y322" s="10">
        <v>63647607.00999999</v>
      </c>
      <c r="Z322" s="11">
        <f ca="1">Y322/$Y$332</f>
        <v>0.99551342066743642</v>
      </c>
      <c r="AA322" s="10">
        <v>65969546.519999988</v>
      </c>
      <c r="AB322" s="11">
        <f ca="1">IFERROR((AA322/$AA$332),0)</f>
        <v>1</v>
      </c>
      <c r="AC322" s="10">
        <v>1182418.02</v>
      </c>
      <c r="AD322" s="11">
        <f ca="1">AC322/$AC$332</f>
        <v>0.86055495836946883</v>
      </c>
      <c r="AE322" s="10">
        <v>1946050.5899999996</v>
      </c>
      <c r="AF322" s="11">
        <f ca="1">AE322/$AE$332</f>
        <v>0.44857997563199881</v>
      </c>
      <c r="AG322" s="10">
        <v>500688.95999999985</v>
      </c>
      <c r="AH322" s="11">
        <f ca="1">AG322/$AG$332</f>
        <v>0.15122257037839767</v>
      </c>
      <c r="AI322" s="60">
        <f ca="1">SUM(U322,Y322,AA322,AC322,AE322,AG322,W322)</f>
        <v>298959989.37</v>
      </c>
    </row>
    <row r="323" spans="2:35" x14ac:dyDescent="0.4">
      <c r="B323" s="14" t="s">
        <v>16</v>
      </c>
      <c r="C323" s="15">
        <v>238</v>
      </c>
      <c r="D323" s="16">
        <f ca="1">C323/$C$332</f>
        <v>0.37421383647798739</v>
      </c>
      <c r="E323" s="15">
        <v>325</v>
      </c>
      <c r="F323" s="16">
        <f ca="1">E323/$E$332</f>
        <v>0.34031413612565448</v>
      </c>
      <c r="G323" s="15">
        <v>1</v>
      </c>
      <c r="H323" s="16">
        <f ca="1">G323/$G$332</f>
        <v>5.9171597633136093E-3</v>
      </c>
      <c r="I323" s="15">
        <v>0</v>
      </c>
      <c r="J323" s="16">
        <f t="shared" ref="J323:J332" ca="1" si="318">IFERROR((I323/$I$332),0)</f>
        <v>0</v>
      </c>
      <c r="K323" s="15">
        <v>3</v>
      </c>
      <c r="L323" s="16">
        <f ca="1">K323/$K$332</f>
        <v>9.0909090909090912E-2</v>
      </c>
      <c r="M323" s="15">
        <v>42</v>
      </c>
      <c r="N323" s="16">
        <f ca="1">M323/$M$332</f>
        <v>0.44680851063829785</v>
      </c>
      <c r="O323" s="15">
        <v>5</v>
      </c>
      <c r="P323" s="16">
        <f ca="1">O323/$O$332</f>
        <v>0.38461538461538464</v>
      </c>
      <c r="Q323" s="62">
        <f t="shared" ca="1" si="317"/>
        <v>614</v>
      </c>
      <c r="T323" s="14" t="s">
        <v>16</v>
      </c>
      <c r="U323" s="15">
        <v>39259281.050000012</v>
      </c>
      <c r="V323" s="16">
        <f t="shared" ref="V323:V332" ca="1" si="319">U323/$U$332</f>
        <v>0.38267885509690441</v>
      </c>
      <c r="W323" s="15">
        <v>61441954.469999991</v>
      </c>
      <c r="X323" s="16">
        <f t="shared" ref="X323:X332" ca="1" si="320">W323/$W$332</f>
        <v>0.33604737686348551</v>
      </c>
      <c r="Y323" s="15">
        <v>286847</v>
      </c>
      <c r="Z323" s="16">
        <f t="shared" ref="Z323:Z332" ca="1" si="321">Y323/$Y$332</f>
        <v>4.4865793325635384E-3</v>
      </c>
      <c r="AA323" s="15">
        <v>0</v>
      </c>
      <c r="AB323" s="16">
        <f t="shared" ref="AB323:AB332" ca="1" si="322">IFERROR((AA323/$AA$332),0)</f>
        <v>0</v>
      </c>
      <c r="AC323" s="15">
        <v>191600</v>
      </c>
      <c r="AD323" s="16">
        <f t="shared" ref="AD323:AD332" ca="1" si="323">AC323/$AC$332</f>
        <v>0.13944504163053117</v>
      </c>
      <c r="AE323" s="15">
        <v>1701847.66</v>
      </c>
      <c r="AF323" s="16">
        <f t="shared" ref="AF323:AF332" ca="1" si="324">AE323/$AE$332</f>
        <v>0.3922892784879628</v>
      </c>
      <c r="AG323" s="15">
        <v>1406823.9699999997</v>
      </c>
      <c r="AH323" s="16">
        <f t="shared" ref="AH323:AH332" ca="1" si="325">AG323/$AG$332</f>
        <v>0.42490159322334942</v>
      </c>
      <c r="AI323" s="62">
        <f ca="1">SUM(U323,Y323,AA323,AC323,AE323,AG323,W323)</f>
        <v>104288354.15000001</v>
      </c>
    </row>
    <row r="324" spans="2:35" x14ac:dyDescent="0.4">
      <c r="B324" s="18" t="s">
        <v>17</v>
      </c>
      <c r="C324" s="19">
        <f ca="1">+SUM(C322:C323)</f>
        <v>571</v>
      </c>
      <c r="D324" s="20">
        <f ca="1">+C324/$C$332</f>
        <v>0.89779874213836475</v>
      </c>
      <c r="E324" s="19">
        <f ca="1">+SUM(E322:E323)</f>
        <v>878</v>
      </c>
      <c r="F324" s="20">
        <f ca="1">+E324/$E$332</f>
        <v>0.91937172774869114</v>
      </c>
      <c r="G324" s="19">
        <f ca="1">+SUM(G322:G323)</f>
        <v>169</v>
      </c>
      <c r="H324" s="20">
        <f ca="1">+G324/$G$332</f>
        <v>1</v>
      </c>
      <c r="I324" s="19">
        <f ca="1">+SUM(I322:I323)</f>
        <v>163</v>
      </c>
      <c r="J324" s="20">
        <f t="shared" ca="1" si="318"/>
        <v>1</v>
      </c>
      <c r="K324" s="19">
        <f ca="1">+SUM(K322:K323)</f>
        <v>33</v>
      </c>
      <c r="L324" s="20">
        <f ca="1">+K324/$K$332</f>
        <v>1</v>
      </c>
      <c r="M324" s="19">
        <f ca="1">+SUM(M322:M323)</f>
        <v>82</v>
      </c>
      <c r="N324" s="20">
        <f ca="1">+M324/$M$332</f>
        <v>0.87234042553191493</v>
      </c>
      <c r="O324" s="19">
        <f ca="1">+SUM(O322:O323)</f>
        <v>10</v>
      </c>
      <c r="P324" s="20">
        <f ca="1">+O324/$O$332</f>
        <v>0.76923076923076927</v>
      </c>
      <c r="Q324" s="101">
        <f ca="1">+SUM(Q322:Q323)</f>
        <v>1906</v>
      </c>
      <c r="T324" s="18" t="s">
        <v>17</v>
      </c>
      <c r="U324" s="19">
        <f ca="1">+SUM(U322:U323)</f>
        <v>96097323.129999995</v>
      </c>
      <c r="V324" s="20">
        <f t="shared" ca="1" si="319"/>
        <v>0.93670624142175063</v>
      </c>
      <c r="W324" s="19">
        <f ca="1">+SUM(W322:W323)</f>
        <v>170317590.66000003</v>
      </c>
      <c r="X324" s="20">
        <f t="shared" ca="1" si="320"/>
        <v>0.93152602433810394</v>
      </c>
      <c r="Y324" s="19">
        <f ca="1">+SUM(Y322:Y323)</f>
        <v>63934454.00999999</v>
      </c>
      <c r="Z324" s="20">
        <f t="shared" ca="1" si="321"/>
        <v>1</v>
      </c>
      <c r="AA324" s="19">
        <f ca="1">+SUM(AA322:AA323)</f>
        <v>65969546.519999988</v>
      </c>
      <c r="AB324" s="20">
        <f t="shared" ca="1" si="322"/>
        <v>1</v>
      </c>
      <c r="AC324" s="19">
        <f ca="1">+SUM(AC322:AC323)</f>
        <v>1374018.02</v>
      </c>
      <c r="AD324" s="20">
        <f t="shared" ca="1" si="323"/>
        <v>1</v>
      </c>
      <c r="AE324" s="19">
        <f ca="1">+SUM(AE322:AE323)</f>
        <v>3647898.2499999995</v>
      </c>
      <c r="AF324" s="20">
        <f ca="1">AE324/$AE$332</f>
        <v>0.84086925411996161</v>
      </c>
      <c r="AG324" s="19">
        <f ca="1">+SUM(AG322:AG323)</f>
        <v>1907512.9299999997</v>
      </c>
      <c r="AH324" s="20">
        <f t="shared" ca="1" si="325"/>
        <v>0.57612416360174712</v>
      </c>
      <c r="AI324" s="21">
        <f ca="1">+SUM(AI322:AI323)</f>
        <v>403248343.51999998</v>
      </c>
    </row>
    <row r="325" spans="2:35" x14ac:dyDescent="0.4">
      <c r="B325" s="22" t="s">
        <v>18</v>
      </c>
      <c r="C325" s="15">
        <v>55</v>
      </c>
      <c r="D325" s="16">
        <f t="shared" ref="D325:D332" ca="1" si="326">C325/$C$332</f>
        <v>8.6477987421383642E-2</v>
      </c>
      <c r="E325" s="15">
        <v>57</v>
      </c>
      <c r="F325" s="16">
        <f t="shared" ref="F325:F332" ca="1" si="327">E325/$E$332</f>
        <v>5.9685863874345553E-2</v>
      </c>
      <c r="G325" s="15">
        <v>0</v>
      </c>
      <c r="H325" s="16">
        <f t="shared" ref="H325:H332" ca="1" si="328">G325/$G$332</f>
        <v>0</v>
      </c>
      <c r="I325" s="15">
        <v>0</v>
      </c>
      <c r="J325" s="16">
        <f t="shared" ca="1" si="318"/>
        <v>0</v>
      </c>
      <c r="K325" s="15">
        <v>0</v>
      </c>
      <c r="L325" s="16">
        <f t="shared" ref="L325:L332" ca="1" si="329">K325/$K$332</f>
        <v>0</v>
      </c>
      <c r="M325" s="15">
        <v>10</v>
      </c>
      <c r="N325" s="16">
        <f t="shared" ref="N325:N332" ca="1" si="330">M325/$M$332</f>
        <v>0.10638297872340426</v>
      </c>
      <c r="O325" s="15">
        <v>2</v>
      </c>
      <c r="P325" s="16">
        <f t="shared" ref="P325:P332" ca="1" si="331">O325/$O$332</f>
        <v>0.15384615384615385</v>
      </c>
      <c r="Q325" s="62">
        <f t="shared" ca="1" si="317"/>
        <v>124</v>
      </c>
      <c r="T325" s="22" t="s">
        <v>18</v>
      </c>
      <c r="U325" s="15">
        <v>5197434.0900000008</v>
      </c>
      <c r="V325" s="16">
        <f t="shared" ca="1" si="319"/>
        <v>5.0661858134124466E-2</v>
      </c>
      <c r="W325" s="15">
        <v>9688312.7500000037</v>
      </c>
      <c r="X325" s="16">
        <f t="shared" ca="1" si="320"/>
        <v>5.298874545828821E-2</v>
      </c>
      <c r="Y325" s="15">
        <v>0</v>
      </c>
      <c r="Z325" s="16">
        <f t="shared" ca="1" si="321"/>
        <v>0</v>
      </c>
      <c r="AA325" s="15">
        <v>0</v>
      </c>
      <c r="AB325" s="16">
        <f t="shared" ca="1" si="322"/>
        <v>0</v>
      </c>
      <c r="AC325" s="15">
        <v>0</v>
      </c>
      <c r="AD325" s="16">
        <f t="shared" ca="1" si="323"/>
        <v>0</v>
      </c>
      <c r="AE325" s="15">
        <v>489986.02999999997</v>
      </c>
      <c r="AF325" s="16">
        <f t="shared" ca="1" si="324"/>
        <v>0.11294563590837578</v>
      </c>
      <c r="AG325" s="15">
        <v>1047289.7999999998</v>
      </c>
      <c r="AH325" s="16">
        <f t="shared" ca="1" si="325"/>
        <v>0.31631185853803939</v>
      </c>
      <c r="AI325" s="62">
        <f t="shared" ref="AI325:AI331" ca="1" si="332">SUM(U325,Y325,AA325,AC325,AE325,AG325,W325)</f>
        <v>16423022.670000006</v>
      </c>
    </row>
    <row r="326" spans="2:35" x14ac:dyDescent="0.4">
      <c r="B326" s="22" t="s">
        <v>19</v>
      </c>
      <c r="C326" s="15">
        <v>10</v>
      </c>
      <c r="D326" s="16">
        <f t="shared" ca="1" si="326"/>
        <v>1.5723270440251572E-2</v>
      </c>
      <c r="E326" s="15">
        <v>20</v>
      </c>
      <c r="F326" s="16">
        <f t="shared" ca="1" si="327"/>
        <v>2.0942408376963352E-2</v>
      </c>
      <c r="G326" s="15">
        <v>0</v>
      </c>
      <c r="H326" s="16">
        <f t="shared" ca="1" si="328"/>
        <v>0</v>
      </c>
      <c r="I326" s="15">
        <v>0</v>
      </c>
      <c r="J326" s="16">
        <f t="shared" ca="1" si="318"/>
        <v>0</v>
      </c>
      <c r="K326" s="15">
        <v>0</v>
      </c>
      <c r="L326" s="16">
        <f t="shared" ca="1" si="329"/>
        <v>0</v>
      </c>
      <c r="M326" s="15">
        <v>2</v>
      </c>
      <c r="N326" s="16">
        <f t="shared" ca="1" si="330"/>
        <v>2.1276595744680851E-2</v>
      </c>
      <c r="O326" s="15">
        <v>1</v>
      </c>
      <c r="P326" s="16">
        <f t="shared" ca="1" si="331"/>
        <v>7.6923076923076927E-2</v>
      </c>
      <c r="Q326" s="62">
        <f t="shared" ca="1" si="317"/>
        <v>33</v>
      </c>
      <c r="T326" s="22" t="s">
        <v>19</v>
      </c>
      <c r="U326" s="15">
        <v>1295915.1599999997</v>
      </c>
      <c r="V326" s="16">
        <f t="shared" ca="1" si="319"/>
        <v>1.2631900444124955E-2</v>
      </c>
      <c r="W326" s="15">
        <v>2831275.8099999996</v>
      </c>
      <c r="X326" s="16">
        <f t="shared" ca="1" si="320"/>
        <v>1.5485230203607816E-2</v>
      </c>
      <c r="Y326" s="15">
        <v>0</v>
      </c>
      <c r="Z326" s="16">
        <f t="shared" ca="1" si="321"/>
        <v>0</v>
      </c>
      <c r="AA326" s="15">
        <v>0</v>
      </c>
      <c r="AB326" s="16">
        <f t="shared" ca="1" si="322"/>
        <v>0</v>
      </c>
      <c r="AC326" s="15">
        <v>0</v>
      </c>
      <c r="AD326" s="16">
        <f t="shared" ca="1" si="323"/>
        <v>0</v>
      </c>
      <c r="AE326" s="15">
        <v>200362.39999999991</v>
      </c>
      <c r="AF326" s="16">
        <f t="shared" ca="1" si="324"/>
        <v>4.6185109971662544E-2</v>
      </c>
      <c r="AG326" s="15">
        <v>356137.95000000019</v>
      </c>
      <c r="AH326" s="16">
        <f t="shared" ca="1" si="325"/>
        <v>0.1075639778602135</v>
      </c>
      <c r="AI326" s="62">
        <f t="shared" ca="1" si="332"/>
        <v>4683691.3199999994</v>
      </c>
    </row>
    <row r="327" spans="2:35" x14ac:dyDescent="0.4">
      <c r="B327" s="22" t="s">
        <v>20</v>
      </c>
      <c r="C327" s="15">
        <v>0</v>
      </c>
      <c r="D327" s="16">
        <f t="shared" ca="1" si="326"/>
        <v>0</v>
      </c>
      <c r="E327" s="15">
        <v>0</v>
      </c>
      <c r="F327" s="16">
        <f t="shared" ca="1" si="327"/>
        <v>0</v>
      </c>
      <c r="G327" s="15">
        <v>0</v>
      </c>
      <c r="H327" s="16">
        <f t="shared" ca="1" si="328"/>
        <v>0</v>
      </c>
      <c r="I327" s="15">
        <v>0</v>
      </c>
      <c r="J327" s="16">
        <f t="shared" ca="1" si="318"/>
        <v>0</v>
      </c>
      <c r="K327" s="15">
        <v>0</v>
      </c>
      <c r="L327" s="16">
        <f t="shared" ca="1" si="329"/>
        <v>0</v>
      </c>
      <c r="M327" s="15">
        <v>0</v>
      </c>
      <c r="N327" s="16">
        <f t="shared" ca="1" si="330"/>
        <v>0</v>
      </c>
      <c r="O327" s="15">
        <v>0</v>
      </c>
      <c r="P327" s="16">
        <f t="shared" ca="1" si="331"/>
        <v>0</v>
      </c>
      <c r="Q327" s="62">
        <f t="shared" ca="1" si="317"/>
        <v>0</v>
      </c>
      <c r="T327" s="22" t="s">
        <v>20</v>
      </c>
      <c r="U327" s="15">
        <v>0</v>
      </c>
      <c r="V327" s="16">
        <f t="shared" ca="1" si="319"/>
        <v>0</v>
      </c>
      <c r="W327" s="15">
        <v>0</v>
      </c>
      <c r="X327" s="16">
        <f t="shared" ca="1" si="320"/>
        <v>0</v>
      </c>
      <c r="Y327" s="15">
        <v>0</v>
      </c>
      <c r="Z327" s="16">
        <f t="shared" ca="1" si="321"/>
        <v>0</v>
      </c>
      <c r="AA327" s="15">
        <v>0</v>
      </c>
      <c r="AB327" s="16">
        <f t="shared" ca="1" si="322"/>
        <v>0</v>
      </c>
      <c r="AC327" s="15">
        <v>0</v>
      </c>
      <c r="AD327" s="16">
        <f t="shared" ca="1" si="323"/>
        <v>0</v>
      </c>
      <c r="AE327" s="15">
        <v>0</v>
      </c>
      <c r="AF327" s="16">
        <f t="shared" ca="1" si="324"/>
        <v>0</v>
      </c>
      <c r="AG327" s="15">
        <v>0</v>
      </c>
      <c r="AH327" s="16">
        <f t="shared" ca="1" si="325"/>
        <v>0</v>
      </c>
      <c r="AI327" s="62">
        <f t="shared" ca="1" si="332"/>
        <v>0</v>
      </c>
    </row>
    <row r="328" spans="2:35" x14ac:dyDescent="0.4">
      <c r="B328" s="22" t="s">
        <v>21</v>
      </c>
      <c r="C328" s="15">
        <v>0</v>
      </c>
      <c r="D328" s="16">
        <f t="shared" ca="1" si="326"/>
        <v>0</v>
      </c>
      <c r="E328" s="15">
        <v>0</v>
      </c>
      <c r="F328" s="16">
        <f t="shared" ca="1" si="327"/>
        <v>0</v>
      </c>
      <c r="G328" s="15">
        <v>0</v>
      </c>
      <c r="H328" s="16">
        <f t="shared" ca="1" si="328"/>
        <v>0</v>
      </c>
      <c r="I328" s="15">
        <v>0</v>
      </c>
      <c r="J328" s="16">
        <f t="shared" ca="1" si="318"/>
        <v>0</v>
      </c>
      <c r="K328" s="15">
        <v>0</v>
      </c>
      <c r="L328" s="16">
        <f t="shared" ca="1" si="329"/>
        <v>0</v>
      </c>
      <c r="M328" s="15">
        <v>0</v>
      </c>
      <c r="N328" s="16">
        <f t="shared" ca="1" si="330"/>
        <v>0</v>
      </c>
      <c r="O328" s="15">
        <v>0</v>
      </c>
      <c r="P328" s="16">
        <f t="shared" ca="1" si="331"/>
        <v>0</v>
      </c>
      <c r="Q328" s="62">
        <f t="shared" ca="1" si="317"/>
        <v>0</v>
      </c>
      <c r="T328" s="22" t="s">
        <v>21</v>
      </c>
      <c r="U328" s="15">
        <v>0</v>
      </c>
      <c r="V328" s="16">
        <f t="shared" ca="1" si="319"/>
        <v>0</v>
      </c>
      <c r="W328" s="15">
        <v>0</v>
      </c>
      <c r="X328" s="16">
        <f t="shared" ca="1" si="320"/>
        <v>0</v>
      </c>
      <c r="Y328" s="15">
        <v>0</v>
      </c>
      <c r="Z328" s="16">
        <f t="shared" ca="1" si="321"/>
        <v>0</v>
      </c>
      <c r="AA328" s="15">
        <v>0</v>
      </c>
      <c r="AB328" s="16">
        <f t="shared" ca="1" si="322"/>
        <v>0</v>
      </c>
      <c r="AC328" s="15">
        <v>0</v>
      </c>
      <c r="AD328" s="16">
        <f t="shared" ca="1" si="323"/>
        <v>0</v>
      </c>
      <c r="AE328" s="15">
        <v>0</v>
      </c>
      <c r="AF328" s="16">
        <f t="shared" ca="1" si="324"/>
        <v>0</v>
      </c>
      <c r="AG328" s="15">
        <v>0</v>
      </c>
      <c r="AH328" s="16">
        <f t="shared" ca="1" si="325"/>
        <v>0</v>
      </c>
      <c r="AI328" s="62">
        <f t="shared" ca="1" si="332"/>
        <v>0</v>
      </c>
    </row>
    <row r="329" spans="2:35" x14ac:dyDescent="0.4">
      <c r="B329" s="22" t="s">
        <v>22</v>
      </c>
      <c r="C329" s="15">
        <v>0</v>
      </c>
      <c r="D329" s="16">
        <f t="shared" ca="1" si="326"/>
        <v>0</v>
      </c>
      <c r="E329" s="15">
        <v>0</v>
      </c>
      <c r="F329" s="16">
        <f t="shared" ca="1" si="327"/>
        <v>0</v>
      </c>
      <c r="G329" s="15">
        <v>0</v>
      </c>
      <c r="H329" s="16">
        <f t="shared" ca="1" si="328"/>
        <v>0</v>
      </c>
      <c r="I329" s="15">
        <v>0</v>
      </c>
      <c r="J329" s="16">
        <f t="shared" ca="1" si="318"/>
        <v>0</v>
      </c>
      <c r="K329" s="15">
        <v>0</v>
      </c>
      <c r="L329" s="16">
        <f t="shared" ca="1" si="329"/>
        <v>0</v>
      </c>
      <c r="M329" s="15">
        <v>0</v>
      </c>
      <c r="N329" s="16">
        <f t="shared" ca="1" si="330"/>
        <v>0</v>
      </c>
      <c r="O329" s="15">
        <v>0</v>
      </c>
      <c r="P329" s="16">
        <f t="shared" ca="1" si="331"/>
        <v>0</v>
      </c>
      <c r="Q329" s="62">
        <f t="shared" ca="1" si="317"/>
        <v>0</v>
      </c>
      <c r="T329" s="22" t="s">
        <v>22</v>
      </c>
      <c r="U329" s="15">
        <v>0</v>
      </c>
      <c r="V329" s="16">
        <f t="shared" ca="1" si="319"/>
        <v>0</v>
      </c>
      <c r="W329" s="15">
        <v>0</v>
      </c>
      <c r="X329" s="16">
        <f t="shared" ca="1" si="320"/>
        <v>0</v>
      </c>
      <c r="Y329" s="15">
        <v>0</v>
      </c>
      <c r="Z329" s="16">
        <f t="shared" ca="1" si="321"/>
        <v>0</v>
      </c>
      <c r="AA329" s="15">
        <v>0</v>
      </c>
      <c r="AB329" s="16">
        <f t="shared" ca="1" si="322"/>
        <v>0</v>
      </c>
      <c r="AC329" s="15">
        <v>0</v>
      </c>
      <c r="AD329" s="16">
        <f t="shared" ca="1" si="323"/>
        <v>0</v>
      </c>
      <c r="AE329" s="15">
        <v>0</v>
      </c>
      <c r="AF329" s="16">
        <f t="shared" ca="1" si="324"/>
        <v>0</v>
      </c>
      <c r="AG329" s="15">
        <v>0</v>
      </c>
      <c r="AH329" s="16">
        <f t="shared" ca="1" si="325"/>
        <v>0</v>
      </c>
      <c r="AI329" s="62">
        <f t="shared" ca="1" si="332"/>
        <v>0</v>
      </c>
    </row>
    <row r="330" spans="2:35" x14ac:dyDescent="0.4">
      <c r="B330" s="22" t="s">
        <v>23</v>
      </c>
      <c r="C330" s="15">
        <v>0</v>
      </c>
      <c r="D330" s="16">
        <f t="shared" ca="1" si="326"/>
        <v>0</v>
      </c>
      <c r="E330" s="15">
        <v>0</v>
      </c>
      <c r="F330" s="16">
        <f t="shared" ca="1" si="327"/>
        <v>0</v>
      </c>
      <c r="G330" s="15">
        <v>0</v>
      </c>
      <c r="H330" s="16">
        <f t="shared" ca="1" si="328"/>
        <v>0</v>
      </c>
      <c r="I330" s="15">
        <v>0</v>
      </c>
      <c r="J330" s="16">
        <f t="shared" ca="1" si="318"/>
        <v>0</v>
      </c>
      <c r="K330" s="15">
        <v>0</v>
      </c>
      <c r="L330" s="16">
        <f t="shared" ca="1" si="329"/>
        <v>0</v>
      </c>
      <c r="M330" s="15">
        <v>0</v>
      </c>
      <c r="N330" s="16">
        <f t="shared" ca="1" si="330"/>
        <v>0</v>
      </c>
      <c r="O330" s="15">
        <v>0</v>
      </c>
      <c r="P330" s="16">
        <f t="shared" ca="1" si="331"/>
        <v>0</v>
      </c>
      <c r="Q330" s="62">
        <f t="shared" ca="1" si="317"/>
        <v>0</v>
      </c>
      <c r="T330" s="22" t="s">
        <v>23</v>
      </c>
      <c r="U330" s="15">
        <v>0</v>
      </c>
      <c r="V330" s="16">
        <f t="shared" ca="1" si="319"/>
        <v>0</v>
      </c>
      <c r="W330" s="15">
        <v>0</v>
      </c>
      <c r="X330" s="16">
        <f t="shared" ca="1" si="320"/>
        <v>0</v>
      </c>
      <c r="Y330" s="15">
        <v>0</v>
      </c>
      <c r="Z330" s="16">
        <f t="shared" ca="1" si="321"/>
        <v>0</v>
      </c>
      <c r="AA330" s="15">
        <v>0</v>
      </c>
      <c r="AB330" s="16">
        <f t="shared" ca="1" si="322"/>
        <v>0</v>
      </c>
      <c r="AC330" s="15">
        <v>0</v>
      </c>
      <c r="AD330" s="16">
        <f t="shared" ca="1" si="323"/>
        <v>0</v>
      </c>
      <c r="AE330" s="15">
        <v>0</v>
      </c>
      <c r="AF330" s="16">
        <f t="shared" ca="1" si="324"/>
        <v>0</v>
      </c>
      <c r="AG330" s="15">
        <v>0</v>
      </c>
      <c r="AH330" s="16">
        <f t="shared" ca="1" si="325"/>
        <v>0</v>
      </c>
      <c r="AI330" s="62">
        <f t="shared" ca="1" si="332"/>
        <v>0</v>
      </c>
    </row>
    <row r="331" spans="2:35" x14ac:dyDescent="0.4">
      <c r="B331" s="23" t="s">
        <v>24</v>
      </c>
      <c r="C331" s="24">
        <v>0</v>
      </c>
      <c r="D331" s="25">
        <f t="shared" ca="1" si="326"/>
        <v>0</v>
      </c>
      <c r="E331" s="24">
        <v>0</v>
      </c>
      <c r="F331" s="25">
        <f t="shared" ca="1" si="327"/>
        <v>0</v>
      </c>
      <c r="G331" s="24">
        <v>0</v>
      </c>
      <c r="H331" s="25">
        <f t="shared" ca="1" si="328"/>
        <v>0</v>
      </c>
      <c r="I331" s="24">
        <v>0</v>
      </c>
      <c r="J331" s="25">
        <f t="shared" ca="1" si="318"/>
        <v>0</v>
      </c>
      <c r="K331" s="24">
        <v>0</v>
      </c>
      <c r="L331" s="25">
        <f t="shared" ca="1" si="329"/>
        <v>0</v>
      </c>
      <c r="M331" s="24">
        <v>0</v>
      </c>
      <c r="N331" s="25">
        <f t="shared" ca="1" si="330"/>
        <v>0</v>
      </c>
      <c r="O331" s="24">
        <v>0</v>
      </c>
      <c r="P331" s="25">
        <f t="shared" ca="1" si="331"/>
        <v>0</v>
      </c>
      <c r="Q331" s="64">
        <f t="shared" ca="1" si="317"/>
        <v>0</v>
      </c>
      <c r="T331" s="23" t="s">
        <v>24</v>
      </c>
      <c r="U331" s="24">
        <v>0</v>
      </c>
      <c r="V331" s="25">
        <f t="shared" ca="1" si="319"/>
        <v>0</v>
      </c>
      <c r="W331" s="24">
        <v>0</v>
      </c>
      <c r="X331" s="25">
        <f t="shared" ca="1" si="320"/>
        <v>0</v>
      </c>
      <c r="Y331" s="24">
        <v>0</v>
      </c>
      <c r="Z331" s="25">
        <f t="shared" ca="1" si="321"/>
        <v>0</v>
      </c>
      <c r="AA331" s="24">
        <v>0</v>
      </c>
      <c r="AB331" s="25">
        <f t="shared" ca="1" si="322"/>
        <v>0</v>
      </c>
      <c r="AC331" s="24">
        <v>0</v>
      </c>
      <c r="AD331" s="25">
        <f t="shared" ca="1" si="323"/>
        <v>0</v>
      </c>
      <c r="AE331" s="24">
        <v>0</v>
      </c>
      <c r="AF331" s="25">
        <f t="shared" ca="1" si="324"/>
        <v>0</v>
      </c>
      <c r="AG331" s="24">
        <v>0</v>
      </c>
      <c r="AH331" s="25">
        <f t="shared" ca="1" si="325"/>
        <v>0</v>
      </c>
      <c r="AI331" s="64">
        <f t="shared" ca="1" si="332"/>
        <v>0</v>
      </c>
    </row>
    <row r="332" spans="2:35" x14ac:dyDescent="0.4">
      <c r="B332" s="27" t="s">
        <v>25</v>
      </c>
      <c r="C332" s="28">
        <f ca="1">SUM(C324:C331)</f>
        <v>636</v>
      </c>
      <c r="D332" s="29">
        <f t="shared" ca="1" si="326"/>
        <v>1</v>
      </c>
      <c r="E332" s="28">
        <f ca="1">SUM(E324:E331)</f>
        <v>955</v>
      </c>
      <c r="F332" s="29">
        <f t="shared" ca="1" si="327"/>
        <v>1</v>
      </c>
      <c r="G332" s="28">
        <f ca="1">SUM(G324:G331)</f>
        <v>169</v>
      </c>
      <c r="H332" s="29">
        <f t="shared" ca="1" si="328"/>
        <v>1</v>
      </c>
      <c r="I332" s="28">
        <f ca="1">SUM(I324:I331)</f>
        <v>163</v>
      </c>
      <c r="J332" s="29">
        <f t="shared" ca="1" si="318"/>
        <v>1</v>
      </c>
      <c r="K332" s="28">
        <f ca="1">SUM(K324:K331)</f>
        <v>33</v>
      </c>
      <c r="L332" s="29">
        <f t="shared" ca="1" si="329"/>
        <v>1</v>
      </c>
      <c r="M332" s="28">
        <f ca="1">SUM(M324:M331)</f>
        <v>94</v>
      </c>
      <c r="N332" s="29">
        <f t="shared" ca="1" si="330"/>
        <v>1</v>
      </c>
      <c r="O332" s="28">
        <f ca="1">SUM(O324:O331)</f>
        <v>13</v>
      </c>
      <c r="P332" s="29">
        <f t="shared" ca="1" si="331"/>
        <v>1</v>
      </c>
      <c r="Q332" s="31">
        <f ca="1">SUM(C332,G332,I332,K332,M332,O332,E332)</f>
        <v>2063</v>
      </c>
      <c r="T332" s="27" t="s">
        <v>25</v>
      </c>
      <c r="U332" s="28">
        <f ca="1">SUM(U324:U331)</f>
        <v>102590672.38</v>
      </c>
      <c r="V332" s="29">
        <f t="shared" ca="1" si="319"/>
        <v>1</v>
      </c>
      <c r="W332" s="28">
        <f ca="1">SUM(W324:W331)</f>
        <v>182837179.22000003</v>
      </c>
      <c r="X332" s="29">
        <f t="shared" ca="1" si="320"/>
        <v>1</v>
      </c>
      <c r="Y332" s="28">
        <f ca="1">SUM(Y324:Y331)</f>
        <v>63934454.00999999</v>
      </c>
      <c r="Z332" s="29">
        <f t="shared" ca="1" si="321"/>
        <v>1</v>
      </c>
      <c r="AA332" s="28">
        <f ca="1">SUM(AA324:AA331)</f>
        <v>65969546.519999988</v>
      </c>
      <c r="AB332" s="29">
        <f t="shared" ca="1" si="322"/>
        <v>1</v>
      </c>
      <c r="AC332" s="28">
        <f ca="1">SUM(AC324:AC331)</f>
        <v>1374018.02</v>
      </c>
      <c r="AD332" s="29">
        <f t="shared" ca="1" si="323"/>
        <v>1</v>
      </c>
      <c r="AE332" s="28">
        <f ca="1">SUM(AE324:AE331)</f>
        <v>4338246.68</v>
      </c>
      <c r="AF332" s="29">
        <f t="shared" ca="1" si="324"/>
        <v>1</v>
      </c>
      <c r="AG332" s="28">
        <f ca="1">SUM(AG324:AG331)</f>
        <v>3310940.6799999997</v>
      </c>
      <c r="AH332" s="29">
        <f t="shared" ca="1" si="325"/>
        <v>1</v>
      </c>
      <c r="AI332" s="31">
        <f ca="1">SUM(U332,Y332,AA332,AC332,AE332,AG332,W332)</f>
        <v>424355057.50999999</v>
      </c>
    </row>
    <row r="333" spans="2:35" x14ac:dyDescent="0.4">
      <c r="B333" s="32" t="s">
        <v>26</v>
      </c>
      <c r="C333" s="33">
        <f ca="1">C332/$Q$332</f>
        <v>0.30828889966068834</v>
      </c>
      <c r="D333" s="33"/>
      <c r="E333" s="33">
        <f ca="1">E332/$Q$332</f>
        <v>0.46291808046534172</v>
      </c>
      <c r="F333" s="33"/>
      <c r="G333" s="33">
        <f ca="1">G332/$Q$332</f>
        <v>8.1919534658264667E-2</v>
      </c>
      <c r="H333" s="33"/>
      <c r="I333" s="33">
        <f ca="1">I332/$Q$332</f>
        <v>7.9011148812409115E-2</v>
      </c>
      <c r="J333" s="33"/>
      <c r="K333" s="33">
        <f ca="1">K332/$Q$332</f>
        <v>1.5996122152205527E-2</v>
      </c>
      <c r="L333" s="33"/>
      <c r="M333" s="33">
        <f ca="1">M332/$Q$332</f>
        <v>4.5564711585070285E-2</v>
      </c>
      <c r="N333" s="33"/>
      <c r="O333" s="33">
        <f ca="1">O332/$Q$332</f>
        <v>6.3015026660203583E-3</v>
      </c>
      <c r="P333" s="33"/>
      <c r="Q333" s="34">
        <f ca="1">Q332/$Q$332</f>
        <v>1</v>
      </c>
      <c r="T333" s="32" t="s">
        <v>26</v>
      </c>
      <c r="U333" s="33">
        <f ca="1">U332/$AI$332</f>
        <v>0.2417566859741796</v>
      </c>
      <c r="V333" s="33"/>
      <c r="W333" s="33">
        <f ca="1">W332/$AI$332</f>
        <v>0.43085896110874428</v>
      </c>
      <c r="X333" s="33"/>
      <c r="Y333" s="33">
        <f ca="1">Y332/$AI$332</f>
        <v>0.1506626417631263</v>
      </c>
      <c r="Z333" s="33"/>
      <c r="AA333" s="33">
        <f ca="1">AA332/$AI$332</f>
        <v>0.15545837230523735</v>
      </c>
      <c r="AB333" s="33"/>
      <c r="AC333" s="33">
        <f ca="1">AC332/$AI$332</f>
        <v>3.237897123372027E-3</v>
      </c>
      <c r="AD333" s="33"/>
      <c r="AE333" s="33">
        <f ca="1">AE332/$AI$332</f>
        <v>1.0223153001770853E-2</v>
      </c>
      <c r="AF333" s="33"/>
      <c r="AG333" s="33">
        <f ca="1">AG332/$AI$332</f>
        <v>7.8022887235695941E-3</v>
      </c>
      <c r="AH333" s="33"/>
      <c r="AI333" s="34">
        <f ca="1">AI332/$AI$332</f>
        <v>1</v>
      </c>
    </row>
    <row r="335" spans="2:35" x14ac:dyDescent="0.4">
      <c r="B335" s="4" t="s">
        <v>50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T335" s="4" t="s">
        <v>50</v>
      </c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2:35" x14ac:dyDescent="0.4">
      <c r="B336" s="5"/>
      <c r="C336" s="6" t="s">
        <v>3</v>
      </c>
      <c r="D336" s="6"/>
      <c r="E336" s="6" t="s">
        <v>4</v>
      </c>
      <c r="F336" s="6"/>
      <c r="G336" s="6" t="s">
        <v>5</v>
      </c>
      <c r="H336" s="6"/>
      <c r="I336" s="6" t="s">
        <v>6</v>
      </c>
      <c r="J336" s="6"/>
      <c r="K336" s="6" t="s">
        <v>7</v>
      </c>
      <c r="L336" s="6"/>
      <c r="M336" s="6" t="s">
        <v>8</v>
      </c>
      <c r="N336" s="6"/>
      <c r="O336" s="6" t="s">
        <v>9</v>
      </c>
      <c r="P336" s="6"/>
      <c r="Q336" s="7" t="s">
        <v>10</v>
      </c>
      <c r="T336" s="5"/>
      <c r="U336" s="6" t="s">
        <v>3</v>
      </c>
      <c r="V336" s="6"/>
      <c r="W336" s="6" t="s">
        <v>4</v>
      </c>
      <c r="X336" s="6"/>
      <c r="Y336" s="6" t="s">
        <v>5</v>
      </c>
      <c r="Z336" s="6"/>
      <c r="AA336" s="6" t="s">
        <v>6</v>
      </c>
      <c r="AB336" s="6"/>
      <c r="AC336" s="6" t="s">
        <v>7</v>
      </c>
      <c r="AD336" s="6"/>
      <c r="AE336" s="6" t="s">
        <v>8</v>
      </c>
      <c r="AF336" s="6"/>
      <c r="AG336" s="6" t="s">
        <v>9</v>
      </c>
      <c r="AH336" s="6"/>
      <c r="AI336" s="7" t="s">
        <v>10</v>
      </c>
    </row>
    <row r="337" spans="2:35" x14ac:dyDescent="0.4">
      <c r="B337" s="8" t="s">
        <v>11</v>
      </c>
      <c r="C337" s="8" t="s">
        <v>12</v>
      </c>
      <c r="D337" s="8" t="s">
        <v>13</v>
      </c>
      <c r="E337" s="8" t="s">
        <v>12</v>
      </c>
      <c r="F337" s="8" t="s">
        <v>13</v>
      </c>
      <c r="G337" s="8" t="s">
        <v>12</v>
      </c>
      <c r="H337" s="8" t="s">
        <v>13</v>
      </c>
      <c r="I337" s="8" t="s">
        <v>12</v>
      </c>
      <c r="J337" s="8" t="s">
        <v>13</v>
      </c>
      <c r="K337" s="8" t="s">
        <v>12</v>
      </c>
      <c r="L337" s="8" t="s">
        <v>13</v>
      </c>
      <c r="M337" s="8" t="s">
        <v>12</v>
      </c>
      <c r="N337" s="8" t="s">
        <v>13</v>
      </c>
      <c r="O337" s="8" t="s">
        <v>12</v>
      </c>
      <c r="P337" s="8" t="s">
        <v>13</v>
      </c>
      <c r="Q337" s="7"/>
      <c r="T337" s="8" t="s">
        <v>11</v>
      </c>
      <c r="U337" s="8" t="s">
        <v>14</v>
      </c>
      <c r="V337" s="8" t="s">
        <v>13</v>
      </c>
      <c r="W337" s="8" t="s">
        <v>14</v>
      </c>
      <c r="X337" s="8" t="s">
        <v>13</v>
      </c>
      <c r="Y337" s="8" t="s">
        <v>14</v>
      </c>
      <c r="Z337" s="8" t="s">
        <v>13</v>
      </c>
      <c r="AA337" s="8" t="s">
        <v>14</v>
      </c>
      <c r="AB337" s="8" t="s">
        <v>13</v>
      </c>
      <c r="AC337" s="8" t="s">
        <v>14</v>
      </c>
      <c r="AD337" s="8" t="s">
        <v>13</v>
      </c>
      <c r="AE337" s="8" t="s">
        <v>14</v>
      </c>
      <c r="AF337" s="8" t="s">
        <v>13</v>
      </c>
      <c r="AG337" s="8" t="s">
        <v>14</v>
      </c>
      <c r="AH337" s="8" t="s">
        <v>13</v>
      </c>
      <c r="AI337" s="7"/>
    </row>
    <row r="338" spans="2:35" x14ac:dyDescent="0.4">
      <c r="B338" s="9" t="s">
        <v>15</v>
      </c>
      <c r="C338" s="10">
        <v>88</v>
      </c>
      <c r="D338" s="11">
        <f ca="1">C338/C$348</f>
        <v>0.3963963963963964</v>
      </c>
      <c r="E338" s="10">
        <v>142</v>
      </c>
      <c r="F338" s="11">
        <f ca="1">E338/E$348</f>
        <v>0.4303030303030303</v>
      </c>
      <c r="G338" s="10">
        <v>37</v>
      </c>
      <c r="H338" s="11">
        <f ca="1">G338/G$348</f>
        <v>1</v>
      </c>
      <c r="I338" s="10">
        <v>48</v>
      </c>
      <c r="J338" s="11">
        <f ca="1">IFERROR(I338/I$348,0)</f>
        <v>0.96</v>
      </c>
      <c r="K338" s="10">
        <v>2</v>
      </c>
      <c r="L338" s="11">
        <f ca="1">IFERROR(K338/K$348,0)</f>
        <v>0.5</v>
      </c>
      <c r="M338" s="10">
        <v>13</v>
      </c>
      <c r="N338" s="11">
        <f ca="1">M338/M$348</f>
        <v>0.25490196078431371</v>
      </c>
      <c r="O338" s="10">
        <v>1</v>
      </c>
      <c r="P338" s="11">
        <f ca="1">IFERROR(O338/O$348,0)</f>
        <v>0.125</v>
      </c>
      <c r="Q338" s="60">
        <f t="shared" ref="Q338:Q347" ca="1" si="333">SUM(C338,G338,I338,K338,M338,O338,E338)</f>
        <v>331</v>
      </c>
      <c r="T338" s="9" t="s">
        <v>15</v>
      </c>
      <c r="U338" s="10">
        <v>15660476.709999999</v>
      </c>
      <c r="V338" s="11">
        <f ca="1">U338/U$348</f>
        <v>0.47894313958681201</v>
      </c>
      <c r="W338" s="10">
        <v>27507969.190000009</v>
      </c>
      <c r="X338" s="11">
        <f ca="1">W338/W$348</f>
        <v>0.47969332337238613</v>
      </c>
      <c r="Y338" s="10">
        <v>10336780.179999998</v>
      </c>
      <c r="Z338" s="11">
        <f ca="1">Y338/Y$348</f>
        <v>1</v>
      </c>
      <c r="AA338" s="10">
        <v>15301428.459999997</v>
      </c>
      <c r="AB338" s="11">
        <f ca="1">IFERROR(AA338/AA$348,0)</f>
        <v>0.99360889897888005</v>
      </c>
      <c r="AC338" s="10">
        <v>50000</v>
      </c>
      <c r="AD338" s="11">
        <f ca="1">IFERROR(AC338/AC$348,0)</f>
        <v>0.21276595744680851</v>
      </c>
      <c r="AE338" s="10">
        <v>538507</v>
      </c>
      <c r="AF338" s="11">
        <f ca="1">AE338/AE$348</f>
        <v>0.2726780430923435</v>
      </c>
      <c r="AG338" s="10">
        <v>145039.95999999985</v>
      </c>
      <c r="AH338" s="11">
        <f ca="1">IFERROR(AG338/AG$348,0)</f>
        <v>5.1783264158527957E-2</v>
      </c>
      <c r="AI338" s="60">
        <f ca="1">SUM(U338,Y338,AA338,AC338,AE338,AG338,W338)</f>
        <v>69540201.5</v>
      </c>
    </row>
    <row r="339" spans="2:35" x14ac:dyDescent="0.4">
      <c r="B339" s="14" t="s">
        <v>16</v>
      </c>
      <c r="C339" s="15">
        <v>77</v>
      </c>
      <c r="D339" s="16">
        <f ca="1">C339/C$348</f>
        <v>0.34684684684684686</v>
      </c>
      <c r="E339" s="15">
        <v>110</v>
      </c>
      <c r="F339" s="16">
        <f ca="1">E339/E$348</f>
        <v>0.33333333333333331</v>
      </c>
      <c r="G339" s="15">
        <v>0</v>
      </c>
      <c r="H339" s="16">
        <f ca="1">G339/G$348</f>
        <v>0</v>
      </c>
      <c r="I339" s="15">
        <v>0</v>
      </c>
      <c r="J339" s="16">
        <f ca="1">IFERROR(I339/I$348,0)</f>
        <v>0</v>
      </c>
      <c r="K339" s="15">
        <v>1</v>
      </c>
      <c r="L339" s="16">
        <f ca="1">IFERROR(K339/K$348,0)</f>
        <v>0.25</v>
      </c>
      <c r="M339" s="15">
        <v>18</v>
      </c>
      <c r="N339" s="16">
        <f ca="1">M339/M$348</f>
        <v>0.35294117647058826</v>
      </c>
      <c r="O339" s="15">
        <v>3</v>
      </c>
      <c r="P339" s="16">
        <f ca="1">IFERROR(O339/O$348,0)</f>
        <v>0.375</v>
      </c>
      <c r="Q339" s="62">
        <f t="shared" ca="1" si="333"/>
        <v>209</v>
      </c>
      <c r="T339" s="14" t="s">
        <v>16</v>
      </c>
      <c r="U339" s="15">
        <v>11860963.629999999</v>
      </c>
      <c r="V339" s="16">
        <f t="shared" ref="V339:V347" ca="1" si="334">U339/U$348</f>
        <v>0.36274292696656935</v>
      </c>
      <c r="W339" s="15">
        <v>18555880.789999995</v>
      </c>
      <c r="X339" s="16">
        <f ca="1">W339/W$348</f>
        <v>0.32358376086493329</v>
      </c>
      <c r="Y339" s="15">
        <v>0</v>
      </c>
      <c r="Z339" s="16">
        <f ca="1">Y339/Y$348</f>
        <v>0</v>
      </c>
      <c r="AA339" s="15">
        <v>0</v>
      </c>
      <c r="AB339" s="16">
        <f ca="1">IFERROR(AA339/AA$348,0)</f>
        <v>0</v>
      </c>
      <c r="AC339" s="15">
        <v>95000</v>
      </c>
      <c r="AD339" s="16">
        <f ca="1">IFERROR(AC339/AC$348,0)</f>
        <v>0.40425531914893614</v>
      </c>
      <c r="AE339" s="15">
        <v>596132.37000000011</v>
      </c>
      <c r="AF339" s="16">
        <f t="shared" ref="AF339:AF347" ca="1" si="335">AE339/AE$348</f>
        <v>0.30185718676934731</v>
      </c>
      <c r="AG339" s="15">
        <v>702436.44999999972</v>
      </c>
      <c r="AH339" s="16">
        <f ca="1">IFERROR(AG339/AG$348,0)</f>
        <v>0.2507891773062309</v>
      </c>
      <c r="AI339" s="62">
        <f ca="1">SUM(U339,Y339,AA339,AC339,AE339,AG339,W339)</f>
        <v>31810413.239999995</v>
      </c>
    </row>
    <row r="340" spans="2:35" x14ac:dyDescent="0.4">
      <c r="B340" s="18" t="s">
        <v>17</v>
      </c>
      <c r="C340" s="19">
        <f ca="1">+SUM(C338:C339)</f>
        <v>165</v>
      </c>
      <c r="D340" s="20">
        <f ca="1">+C340/$C$348</f>
        <v>0.7432432432432432</v>
      </c>
      <c r="E340" s="19">
        <f ca="1">+SUM(E338:E339)</f>
        <v>252</v>
      </c>
      <c r="F340" s="20">
        <f ca="1">+E340/$E$348</f>
        <v>0.76363636363636367</v>
      </c>
      <c r="G340" s="19">
        <f ca="1">+SUM(G338:G339)</f>
        <v>37</v>
      </c>
      <c r="H340" s="20">
        <f ca="1">+G340/$G$348</f>
        <v>1</v>
      </c>
      <c r="I340" s="19">
        <f ca="1">+SUM(I338:I339)</f>
        <v>48</v>
      </c>
      <c r="J340" s="20">
        <f ca="1">IFERROR(I340/I$348,0)</f>
        <v>0.96</v>
      </c>
      <c r="K340" s="19">
        <f ca="1">+SUM(K338:K339)</f>
        <v>3</v>
      </c>
      <c r="L340" s="20">
        <f ca="1">IFERROR(K340/K$348,0)</f>
        <v>0.75</v>
      </c>
      <c r="M340" s="19">
        <f ca="1">+SUM(M338:M339)</f>
        <v>31</v>
      </c>
      <c r="N340" s="20">
        <f ca="1">+M340/$M$348</f>
        <v>0.60784313725490191</v>
      </c>
      <c r="O340" s="19">
        <f ca="1">+SUM(O338:O339)</f>
        <v>4</v>
      </c>
      <c r="P340" s="20">
        <f ca="1">+O340/$O$348</f>
        <v>0.5</v>
      </c>
      <c r="Q340" s="101">
        <f ca="1">+SUM(Q338:Q339)</f>
        <v>540</v>
      </c>
      <c r="T340" s="18" t="s">
        <v>17</v>
      </c>
      <c r="U340" s="19">
        <f ca="1">+SUM(U338:U339)</f>
        <v>27521440.339999996</v>
      </c>
      <c r="V340" s="20">
        <f t="shared" ca="1" si="334"/>
        <v>0.8416860665533813</v>
      </c>
      <c r="W340" s="19">
        <f ca="1">+SUM(W338:W339)</f>
        <v>46063849.980000004</v>
      </c>
      <c r="X340" s="20">
        <f ca="1">W340/W$348</f>
        <v>0.80327708423731947</v>
      </c>
      <c r="Y340" s="19">
        <f ca="1">+SUM(Y338:Y339)</f>
        <v>10336780.179999998</v>
      </c>
      <c r="Z340" s="20">
        <f ca="1">Y340/Y$348</f>
        <v>1</v>
      </c>
      <c r="AA340" s="19">
        <f ca="1">+SUM(AA338:AA339)</f>
        <v>15301428.459999997</v>
      </c>
      <c r="AB340" s="20">
        <f ca="1">IFERROR(AA340/AA$348,0)</f>
        <v>0.99360889897888005</v>
      </c>
      <c r="AC340" s="19">
        <f ca="1">+SUM(AC338:AC339)</f>
        <v>145000</v>
      </c>
      <c r="AD340" s="20">
        <f ca="1">IFERROR(AC340/AC$348,0)</f>
        <v>0.61702127659574468</v>
      </c>
      <c r="AE340" s="19">
        <f ca="1">+SUM(AE338:AE339)</f>
        <v>1134639.3700000001</v>
      </c>
      <c r="AF340" s="20">
        <f t="shared" ca="1" si="335"/>
        <v>0.57453522986169081</v>
      </c>
      <c r="AG340" s="19">
        <f ca="1">+SUM(AG338:AG339)</f>
        <v>847476.40999999957</v>
      </c>
      <c r="AH340" s="20">
        <f ca="1">IFERROR(AG340/AG$348,0)</f>
        <v>0.30257244146475887</v>
      </c>
      <c r="AI340" s="101">
        <f ca="1">+SUM(AI338:AI339)</f>
        <v>101350614.73999999</v>
      </c>
    </row>
    <row r="341" spans="2:35" x14ac:dyDescent="0.4">
      <c r="B341" s="22" t="s">
        <v>18</v>
      </c>
      <c r="C341" s="15">
        <v>21</v>
      </c>
      <c r="D341" s="16">
        <f t="shared" ref="D341:D348" ca="1" si="336">C341/C$348</f>
        <v>9.45945945945946E-2</v>
      </c>
      <c r="E341" s="15">
        <v>23</v>
      </c>
      <c r="F341" s="16">
        <f t="shared" ref="F341:F348" ca="1" si="337">E341/E$348</f>
        <v>6.9696969696969702E-2</v>
      </c>
      <c r="G341" s="15">
        <v>0</v>
      </c>
      <c r="H341" s="16">
        <f t="shared" ref="H341:H348" ca="1" si="338">G341/G$348</f>
        <v>0</v>
      </c>
      <c r="I341" s="15">
        <v>0</v>
      </c>
      <c r="J341" s="16">
        <f t="shared" ref="J341:L348" ca="1" si="339">IFERROR(I341/I$348,0)</f>
        <v>0</v>
      </c>
      <c r="K341" s="15">
        <v>0</v>
      </c>
      <c r="L341" s="16">
        <f t="shared" ca="1" si="339"/>
        <v>0</v>
      </c>
      <c r="M341" s="15">
        <v>4</v>
      </c>
      <c r="N341" s="16">
        <f t="shared" ref="N341:N348" ca="1" si="340">M341/M$348</f>
        <v>7.8431372549019607E-2</v>
      </c>
      <c r="O341" s="15">
        <v>2</v>
      </c>
      <c r="P341" s="16">
        <f t="shared" ref="P341:P348" ca="1" si="341">IFERROR(O341/O$348,0)</f>
        <v>0.25</v>
      </c>
      <c r="Q341" s="62">
        <f t="shared" ca="1" si="333"/>
        <v>50</v>
      </c>
      <c r="T341" s="22" t="s">
        <v>18</v>
      </c>
      <c r="U341" s="15">
        <v>1942040.4400000004</v>
      </c>
      <c r="V341" s="16">
        <f t="shared" ca="1" si="334"/>
        <v>5.9393271530758789E-2</v>
      </c>
      <c r="W341" s="15">
        <v>4074423.8999999994</v>
      </c>
      <c r="X341" s="16">
        <f t="shared" ref="X341:X348" ca="1" si="342">W341/W$348</f>
        <v>7.1051189854080168E-2</v>
      </c>
      <c r="Y341" s="15">
        <v>0</v>
      </c>
      <c r="Z341" s="16">
        <f t="shared" ref="Z341:Z348" ca="1" si="343">Y341/Y$348</f>
        <v>0</v>
      </c>
      <c r="AA341" s="15">
        <v>0</v>
      </c>
      <c r="AB341" s="16">
        <f t="shared" ref="AB341:AD348" ca="1" si="344">IFERROR(AA341/AA$348,0)</f>
        <v>0</v>
      </c>
      <c r="AC341" s="15">
        <v>0</v>
      </c>
      <c r="AD341" s="16">
        <f t="shared" ca="1" si="344"/>
        <v>0</v>
      </c>
      <c r="AE341" s="15">
        <v>181386.02999999997</v>
      </c>
      <c r="AF341" s="16">
        <f t="shared" ca="1" si="335"/>
        <v>9.1846508410641098E-2</v>
      </c>
      <c r="AG341" s="15">
        <v>1047289.7999999998</v>
      </c>
      <c r="AH341" s="16">
        <f t="shared" ref="AH341:AH348" ca="1" si="345">IFERROR(AG341/AG$348,0)</f>
        <v>0.37391133011848571</v>
      </c>
      <c r="AI341" s="62">
        <f t="shared" ref="AI341:AI347" ca="1" si="346">SUM(U341,Y341,AA341,AC341,AE341,AG341,W341)</f>
        <v>7245140.1699999999</v>
      </c>
    </row>
    <row r="342" spans="2:35" x14ac:dyDescent="0.4">
      <c r="B342" s="22" t="s">
        <v>19</v>
      </c>
      <c r="C342" s="15">
        <v>8</v>
      </c>
      <c r="D342" s="16">
        <f t="shared" ca="1" si="336"/>
        <v>3.6036036036036036E-2</v>
      </c>
      <c r="E342" s="15">
        <v>24</v>
      </c>
      <c r="F342" s="16">
        <f t="shared" ca="1" si="337"/>
        <v>7.2727272727272724E-2</v>
      </c>
      <c r="G342" s="15">
        <v>0</v>
      </c>
      <c r="H342" s="16">
        <f t="shared" ca="1" si="338"/>
        <v>0</v>
      </c>
      <c r="I342" s="15">
        <v>0</v>
      </c>
      <c r="J342" s="16">
        <f t="shared" ca="1" si="339"/>
        <v>0</v>
      </c>
      <c r="K342" s="15">
        <v>0</v>
      </c>
      <c r="L342" s="16">
        <f t="shared" ca="1" si="339"/>
        <v>0</v>
      </c>
      <c r="M342" s="15">
        <v>4</v>
      </c>
      <c r="N342" s="16">
        <f t="shared" ca="1" si="340"/>
        <v>7.8431372549019607E-2</v>
      </c>
      <c r="O342" s="15">
        <v>2</v>
      </c>
      <c r="P342" s="16">
        <f t="shared" ca="1" si="341"/>
        <v>0.25</v>
      </c>
      <c r="Q342" s="62">
        <f t="shared" ca="1" si="333"/>
        <v>38</v>
      </c>
      <c r="T342" s="22" t="s">
        <v>19</v>
      </c>
      <c r="U342" s="15">
        <v>997832.1599999998</v>
      </c>
      <c r="V342" s="16">
        <f t="shared" ca="1" si="334"/>
        <v>3.05166232382903E-2</v>
      </c>
      <c r="W342" s="15">
        <v>3448243.7299999995</v>
      </c>
      <c r="X342" s="16">
        <f t="shared" ca="1" si="342"/>
        <v>6.0131647058955143E-2</v>
      </c>
      <c r="Y342" s="15">
        <v>0</v>
      </c>
      <c r="Z342" s="16">
        <f t="shared" ca="1" si="343"/>
        <v>0</v>
      </c>
      <c r="AA342" s="15">
        <v>0</v>
      </c>
      <c r="AB342" s="16">
        <f t="shared" ca="1" si="344"/>
        <v>0</v>
      </c>
      <c r="AC342" s="15">
        <v>0</v>
      </c>
      <c r="AD342" s="16">
        <f t="shared" ca="1" si="344"/>
        <v>0</v>
      </c>
      <c r="AE342" s="15">
        <v>439429.8299999999</v>
      </c>
      <c r="AF342" s="16">
        <f t="shared" ca="1" si="335"/>
        <v>0.22250939378838375</v>
      </c>
      <c r="AG342" s="15">
        <v>906137.95000000019</v>
      </c>
      <c r="AH342" s="16">
        <f t="shared" ca="1" si="345"/>
        <v>0.32351622841675537</v>
      </c>
      <c r="AI342" s="62">
        <f t="shared" ca="1" si="346"/>
        <v>5791643.6699999999</v>
      </c>
    </row>
    <row r="343" spans="2:35" x14ac:dyDescent="0.4">
      <c r="B343" s="22" t="s">
        <v>20</v>
      </c>
      <c r="C343" s="15">
        <v>5</v>
      </c>
      <c r="D343" s="16">
        <f t="shared" ca="1" si="336"/>
        <v>2.2522522522522521E-2</v>
      </c>
      <c r="E343" s="15">
        <v>8</v>
      </c>
      <c r="F343" s="16">
        <f t="shared" ca="1" si="337"/>
        <v>2.4242424242424242E-2</v>
      </c>
      <c r="G343" s="15">
        <v>0</v>
      </c>
      <c r="H343" s="16">
        <f t="shared" ca="1" si="338"/>
        <v>0</v>
      </c>
      <c r="I343" s="15">
        <v>0</v>
      </c>
      <c r="J343" s="16">
        <f t="shared" ca="1" si="339"/>
        <v>0</v>
      </c>
      <c r="K343" s="15">
        <v>1</v>
      </c>
      <c r="L343" s="16">
        <f t="shared" ca="1" si="339"/>
        <v>0.25</v>
      </c>
      <c r="M343" s="15">
        <v>6</v>
      </c>
      <c r="N343" s="16">
        <f t="shared" ca="1" si="340"/>
        <v>0.11764705882352941</v>
      </c>
      <c r="O343" s="15">
        <v>0</v>
      </c>
      <c r="P343" s="16">
        <f t="shared" ca="1" si="341"/>
        <v>0</v>
      </c>
      <c r="Q343" s="62">
        <f t="shared" ca="1" si="333"/>
        <v>20</v>
      </c>
      <c r="T343" s="22" t="s">
        <v>20</v>
      </c>
      <c r="U343" s="15">
        <v>242977.54999999981</v>
      </c>
      <c r="V343" s="16">
        <f t="shared" ca="1" si="334"/>
        <v>7.4309634886019701E-3</v>
      </c>
      <c r="W343" s="15">
        <v>803500</v>
      </c>
      <c r="X343" s="16">
        <f t="shared" ca="1" si="342"/>
        <v>1.4011706304725294E-2</v>
      </c>
      <c r="Y343" s="15">
        <v>0</v>
      </c>
      <c r="Z343" s="16">
        <f t="shared" ca="1" si="343"/>
        <v>0</v>
      </c>
      <c r="AA343" s="15">
        <v>0</v>
      </c>
      <c r="AB343" s="16">
        <f t="shared" ca="1" si="344"/>
        <v>0</v>
      </c>
      <c r="AC343" s="15">
        <v>90000</v>
      </c>
      <c r="AD343" s="16">
        <f t="shared" ca="1" si="344"/>
        <v>0.38297872340425532</v>
      </c>
      <c r="AE343" s="15">
        <v>93850</v>
      </c>
      <c r="AF343" s="16">
        <f t="shared" ca="1" si="335"/>
        <v>4.7521823011059165E-2</v>
      </c>
      <c r="AG343" s="15">
        <v>0</v>
      </c>
      <c r="AH343" s="16">
        <f t="shared" ca="1" si="345"/>
        <v>0</v>
      </c>
      <c r="AI343" s="62">
        <f t="shared" ca="1" si="346"/>
        <v>1230327.5499999998</v>
      </c>
    </row>
    <row r="344" spans="2:35" x14ac:dyDescent="0.4">
      <c r="B344" s="22" t="s">
        <v>21</v>
      </c>
      <c r="C344" s="15">
        <v>4</v>
      </c>
      <c r="D344" s="16">
        <f t="shared" ca="1" si="336"/>
        <v>1.8018018018018018E-2</v>
      </c>
      <c r="E344" s="15">
        <v>5</v>
      </c>
      <c r="F344" s="16">
        <f t="shared" ca="1" si="337"/>
        <v>1.5151515151515152E-2</v>
      </c>
      <c r="G344" s="15">
        <v>0</v>
      </c>
      <c r="H344" s="16">
        <f t="shared" ca="1" si="338"/>
        <v>0</v>
      </c>
      <c r="I344" s="15">
        <v>0</v>
      </c>
      <c r="J344" s="16">
        <f t="shared" ca="1" si="339"/>
        <v>0</v>
      </c>
      <c r="K344" s="15">
        <v>0</v>
      </c>
      <c r="L344" s="16">
        <f t="shared" ca="1" si="339"/>
        <v>0</v>
      </c>
      <c r="M344" s="15">
        <v>1</v>
      </c>
      <c r="N344" s="16">
        <f t="shared" ca="1" si="340"/>
        <v>1.9607843137254902E-2</v>
      </c>
      <c r="O344" s="15">
        <v>0</v>
      </c>
      <c r="P344" s="16">
        <f t="shared" ca="1" si="341"/>
        <v>0</v>
      </c>
      <c r="Q344" s="62">
        <f t="shared" ca="1" si="333"/>
        <v>10</v>
      </c>
      <c r="T344" s="22" t="s">
        <v>21</v>
      </c>
      <c r="U344" s="15">
        <v>349379</v>
      </c>
      <c r="V344" s="16">
        <f t="shared" ca="1" si="334"/>
        <v>1.068503074742613E-2</v>
      </c>
      <c r="W344" s="15">
        <v>718663</v>
      </c>
      <c r="X344" s="16">
        <f t="shared" ca="1" si="342"/>
        <v>1.2532289842032102E-2</v>
      </c>
      <c r="Y344" s="15">
        <v>0</v>
      </c>
      <c r="Z344" s="16">
        <f t="shared" ca="1" si="343"/>
        <v>0</v>
      </c>
      <c r="AA344" s="15">
        <v>0</v>
      </c>
      <c r="AB344" s="16">
        <f t="shared" ca="1" si="344"/>
        <v>0</v>
      </c>
      <c r="AC344" s="15">
        <v>0</v>
      </c>
      <c r="AD344" s="16">
        <f t="shared" ca="1" si="344"/>
        <v>0</v>
      </c>
      <c r="AE344" s="15">
        <v>35000</v>
      </c>
      <c r="AF344" s="16">
        <f t="shared" ca="1" si="335"/>
        <v>1.7722576509185625E-2</v>
      </c>
      <c r="AG344" s="15">
        <v>0</v>
      </c>
      <c r="AH344" s="16">
        <f t="shared" ca="1" si="345"/>
        <v>0</v>
      </c>
      <c r="AI344" s="62">
        <f t="shared" ca="1" si="346"/>
        <v>1103042</v>
      </c>
    </row>
    <row r="345" spans="2:35" x14ac:dyDescent="0.4">
      <c r="B345" s="22" t="s">
        <v>22</v>
      </c>
      <c r="C345" s="15">
        <v>3</v>
      </c>
      <c r="D345" s="16">
        <f t="shared" ca="1" si="336"/>
        <v>1.3513513513513514E-2</v>
      </c>
      <c r="E345" s="15">
        <v>4</v>
      </c>
      <c r="F345" s="16">
        <f t="shared" ca="1" si="337"/>
        <v>1.2121212121212121E-2</v>
      </c>
      <c r="G345" s="15">
        <v>0</v>
      </c>
      <c r="H345" s="16">
        <f t="shared" ca="1" si="338"/>
        <v>0</v>
      </c>
      <c r="I345" s="15">
        <v>0</v>
      </c>
      <c r="J345" s="16">
        <f t="shared" ca="1" si="339"/>
        <v>0</v>
      </c>
      <c r="K345" s="15">
        <v>0</v>
      </c>
      <c r="L345" s="16">
        <f t="shared" ca="1" si="339"/>
        <v>0</v>
      </c>
      <c r="M345" s="15">
        <v>4</v>
      </c>
      <c r="N345" s="16">
        <f t="shared" ca="1" si="340"/>
        <v>7.8431372549019607E-2</v>
      </c>
      <c r="O345" s="15">
        <v>0</v>
      </c>
      <c r="P345" s="16">
        <f t="shared" ca="1" si="341"/>
        <v>0</v>
      </c>
      <c r="Q345" s="62">
        <f t="shared" ca="1" si="333"/>
        <v>11</v>
      </c>
      <c r="T345" s="22" t="s">
        <v>22</v>
      </c>
      <c r="U345" s="15">
        <v>438950</v>
      </c>
      <c r="V345" s="16">
        <f t="shared" ca="1" si="334"/>
        <v>1.3424373664652711E-2</v>
      </c>
      <c r="W345" s="15">
        <v>349072.76999999996</v>
      </c>
      <c r="X345" s="16">
        <f t="shared" ca="1" si="342"/>
        <v>6.0872496978430892E-3</v>
      </c>
      <c r="Y345" s="15">
        <v>0</v>
      </c>
      <c r="Z345" s="16">
        <f t="shared" ca="1" si="343"/>
        <v>0</v>
      </c>
      <c r="AA345" s="15">
        <v>0</v>
      </c>
      <c r="AB345" s="16">
        <f t="shared" ca="1" si="344"/>
        <v>0</v>
      </c>
      <c r="AC345" s="15">
        <v>0</v>
      </c>
      <c r="AD345" s="16">
        <f t="shared" ca="1" si="344"/>
        <v>0</v>
      </c>
      <c r="AE345" s="15">
        <v>42624.920000000042</v>
      </c>
      <c r="AF345" s="16">
        <f t="shared" ca="1" si="335"/>
        <v>2.1583525882797636E-2</v>
      </c>
      <c r="AG345" s="15">
        <v>0</v>
      </c>
      <c r="AH345" s="16">
        <f t="shared" ca="1" si="345"/>
        <v>0</v>
      </c>
      <c r="AI345" s="62">
        <f t="shared" ca="1" si="346"/>
        <v>830647.69</v>
      </c>
    </row>
    <row r="346" spans="2:35" x14ac:dyDescent="0.4">
      <c r="B346" s="22" t="s">
        <v>23</v>
      </c>
      <c r="C346" s="15">
        <v>0</v>
      </c>
      <c r="D346" s="16">
        <f t="shared" ca="1" si="336"/>
        <v>0</v>
      </c>
      <c r="E346" s="15">
        <v>3</v>
      </c>
      <c r="F346" s="16">
        <f t="shared" ca="1" si="337"/>
        <v>9.0909090909090905E-3</v>
      </c>
      <c r="G346" s="15">
        <v>0</v>
      </c>
      <c r="H346" s="16">
        <f t="shared" ca="1" si="338"/>
        <v>0</v>
      </c>
      <c r="I346" s="15">
        <v>0</v>
      </c>
      <c r="J346" s="16">
        <f t="shared" ca="1" si="339"/>
        <v>0</v>
      </c>
      <c r="K346" s="15">
        <v>0</v>
      </c>
      <c r="L346" s="16">
        <f t="shared" ca="1" si="339"/>
        <v>0</v>
      </c>
      <c r="M346" s="15">
        <v>0</v>
      </c>
      <c r="N346" s="16">
        <f t="shared" ca="1" si="340"/>
        <v>0</v>
      </c>
      <c r="O346" s="15">
        <v>0</v>
      </c>
      <c r="P346" s="16">
        <f t="shared" ca="1" si="341"/>
        <v>0</v>
      </c>
      <c r="Q346" s="62">
        <f t="shared" ca="1" si="333"/>
        <v>3</v>
      </c>
      <c r="T346" s="22" t="s">
        <v>23</v>
      </c>
      <c r="U346" s="15">
        <v>0</v>
      </c>
      <c r="V346" s="16">
        <f t="shared" ca="1" si="334"/>
        <v>0</v>
      </c>
      <c r="W346" s="15">
        <v>371234.87999999989</v>
      </c>
      <c r="X346" s="16">
        <f t="shared" ca="1" si="342"/>
        <v>6.473720110304837E-3</v>
      </c>
      <c r="Y346" s="15">
        <v>0</v>
      </c>
      <c r="Z346" s="16">
        <f t="shared" ca="1" si="343"/>
        <v>0</v>
      </c>
      <c r="AA346" s="15">
        <v>0</v>
      </c>
      <c r="AB346" s="16">
        <f t="shared" ca="1" si="344"/>
        <v>0</v>
      </c>
      <c r="AC346" s="15">
        <v>0</v>
      </c>
      <c r="AD346" s="16">
        <f t="shared" ca="1" si="344"/>
        <v>0</v>
      </c>
      <c r="AE346" s="15">
        <v>0</v>
      </c>
      <c r="AF346" s="16">
        <f t="shared" ca="1" si="335"/>
        <v>0</v>
      </c>
      <c r="AG346" s="15">
        <v>0</v>
      </c>
      <c r="AH346" s="16">
        <f t="shared" ca="1" si="345"/>
        <v>0</v>
      </c>
      <c r="AI346" s="62">
        <f t="shared" ca="1" si="346"/>
        <v>371234.87999999989</v>
      </c>
    </row>
    <row r="347" spans="2:35" x14ac:dyDescent="0.4">
      <c r="B347" s="23" t="s">
        <v>24</v>
      </c>
      <c r="C347" s="24">
        <v>16</v>
      </c>
      <c r="D347" s="25">
        <f t="shared" ca="1" si="336"/>
        <v>7.2072072072072071E-2</v>
      </c>
      <c r="E347" s="24">
        <v>11</v>
      </c>
      <c r="F347" s="25">
        <f t="shared" ca="1" si="337"/>
        <v>3.3333333333333333E-2</v>
      </c>
      <c r="G347" s="24">
        <v>0</v>
      </c>
      <c r="H347" s="25">
        <f t="shared" ca="1" si="338"/>
        <v>0</v>
      </c>
      <c r="I347" s="24">
        <v>2</v>
      </c>
      <c r="J347" s="25">
        <f t="shared" ca="1" si="339"/>
        <v>0.04</v>
      </c>
      <c r="K347" s="24">
        <v>0</v>
      </c>
      <c r="L347" s="25">
        <f t="shared" ca="1" si="339"/>
        <v>0</v>
      </c>
      <c r="M347" s="24">
        <v>1</v>
      </c>
      <c r="N347" s="25">
        <f t="shared" ca="1" si="340"/>
        <v>1.9607843137254902E-2</v>
      </c>
      <c r="O347" s="24">
        <v>0</v>
      </c>
      <c r="P347" s="25">
        <f t="shared" ca="1" si="341"/>
        <v>0</v>
      </c>
      <c r="Q347" s="64">
        <f t="shared" ca="1" si="333"/>
        <v>30</v>
      </c>
      <c r="T347" s="23" t="s">
        <v>24</v>
      </c>
      <c r="U347" s="24">
        <v>1205367.8399999999</v>
      </c>
      <c r="V347" s="25">
        <f t="shared" ca="1" si="334"/>
        <v>3.6863670776888763E-2</v>
      </c>
      <c r="W347" s="24">
        <v>1515919.0999999999</v>
      </c>
      <c r="X347" s="25">
        <f t="shared" ca="1" si="342"/>
        <v>2.6435112894739876E-2</v>
      </c>
      <c r="Y347" s="24">
        <v>0</v>
      </c>
      <c r="Z347" s="25">
        <f t="shared" ca="1" si="343"/>
        <v>0</v>
      </c>
      <c r="AA347" s="24">
        <v>98422</v>
      </c>
      <c r="AB347" s="25">
        <f t="shared" ca="1" si="344"/>
        <v>6.3911010211199163E-3</v>
      </c>
      <c r="AC347" s="24">
        <v>0</v>
      </c>
      <c r="AD347" s="25">
        <f t="shared" ca="1" si="344"/>
        <v>0</v>
      </c>
      <c r="AE347" s="24">
        <v>47952</v>
      </c>
      <c r="AF347" s="25">
        <f t="shared" ca="1" si="335"/>
        <v>2.4280942536241974E-2</v>
      </c>
      <c r="AG347" s="24">
        <v>0</v>
      </c>
      <c r="AH347" s="25">
        <f t="shared" ca="1" si="345"/>
        <v>0</v>
      </c>
      <c r="AI347" s="64">
        <f t="shared" ca="1" si="346"/>
        <v>2867660.9399999995</v>
      </c>
    </row>
    <row r="348" spans="2:35" x14ac:dyDescent="0.4">
      <c r="B348" s="27" t="s">
        <v>25</v>
      </c>
      <c r="C348" s="28">
        <f ca="1">SUM(C340:C347)</f>
        <v>222</v>
      </c>
      <c r="D348" s="29">
        <f t="shared" ca="1" si="336"/>
        <v>1</v>
      </c>
      <c r="E348" s="28">
        <f ca="1">SUM(E340:E347)</f>
        <v>330</v>
      </c>
      <c r="F348" s="29">
        <f t="shared" ca="1" si="337"/>
        <v>1</v>
      </c>
      <c r="G348" s="28">
        <f ca="1">SUM(G340:G347)</f>
        <v>37</v>
      </c>
      <c r="H348" s="29">
        <f t="shared" ca="1" si="338"/>
        <v>1</v>
      </c>
      <c r="I348" s="28">
        <f ca="1">SUM(I340:I347)</f>
        <v>50</v>
      </c>
      <c r="J348" s="29">
        <f t="shared" ca="1" si="339"/>
        <v>1</v>
      </c>
      <c r="K348" s="28">
        <f ca="1">SUM(K340:K347)</f>
        <v>4</v>
      </c>
      <c r="L348" s="29">
        <f t="shared" ca="1" si="339"/>
        <v>1</v>
      </c>
      <c r="M348" s="28">
        <f ca="1">SUM(M340:M347)</f>
        <v>51</v>
      </c>
      <c r="N348" s="29">
        <f t="shared" ca="1" si="340"/>
        <v>1</v>
      </c>
      <c r="O348" s="28">
        <f ca="1">SUM(O340:O347)</f>
        <v>8</v>
      </c>
      <c r="P348" s="29">
        <f t="shared" ca="1" si="341"/>
        <v>1</v>
      </c>
      <c r="Q348" s="31">
        <f ca="1">SUM(C348,G348,I348,K348,M348,O348,E348)</f>
        <v>702</v>
      </c>
      <c r="T348" s="27" t="s">
        <v>25</v>
      </c>
      <c r="U348" s="28">
        <f ca="1">SUM(U340:U347)</f>
        <v>32697987.329999998</v>
      </c>
      <c r="V348" s="29">
        <f ca="1">U348/U$348</f>
        <v>1</v>
      </c>
      <c r="W348" s="28">
        <f ca="1">SUM(W340:W347)</f>
        <v>57344907.360000007</v>
      </c>
      <c r="X348" s="29">
        <f t="shared" ca="1" si="342"/>
        <v>1</v>
      </c>
      <c r="Y348" s="28">
        <f ca="1">SUM(Y340:Y347)</f>
        <v>10336780.179999998</v>
      </c>
      <c r="Z348" s="29">
        <f t="shared" ca="1" si="343"/>
        <v>1</v>
      </c>
      <c r="AA348" s="28">
        <f ca="1">SUM(AA340:AA347)</f>
        <v>15399850.459999997</v>
      </c>
      <c r="AB348" s="29">
        <f t="shared" ca="1" si="344"/>
        <v>1</v>
      </c>
      <c r="AC348" s="28">
        <f ca="1">SUM(AC340:AC347)</f>
        <v>235000</v>
      </c>
      <c r="AD348" s="29">
        <f t="shared" ca="1" si="344"/>
        <v>1</v>
      </c>
      <c r="AE348" s="28">
        <f ca="1">SUM(AE340:AE347)</f>
        <v>1974882.15</v>
      </c>
      <c r="AF348" s="29">
        <f ca="1">AE348/AE$348</f>
        <v>1</v>
      </c>
      <c r="AG348" s="28">
        <f ca="1">SUM(AG340:AG347)</f>
        <v>2800904.1599999997</v>
      </c>
      <c r="AH348" s="29">
        <f t="shared" ca="1" si="345"/>
        <v>1</v>
      </c>
      <c r="AI348" s="31">
        <f ca="1">SUM(U348,Y348,AA348,AC348,AE348,AG348,W348)</f>
        <v>120790311.64</v>
      </c>
    </row>
    <row r="349" spans="2:35" x14ac:dyDescent="0.4">
      <c r="B349" s="32" t="s">
        <v>26</v>
      </c>
      <c r="C349" s="33">
        <f ca="1">C348/$Q$348</f>
        <v>0.31623931623931623</v>
      </c>
      <c r="D349" s="33"/>
      <c r="E349" s="33">
        <f ca="1">E348/$Q$348</f>
        <v>0.47008547008547008</v>
      </c>
      <c r="F349" s="33"/>
      <c r="G349" s="33">
        <f ca="1">G348/$Q$348</f>
        <v>5.2706552706552709E-2</v>
      </c>
      <c r="H349" s="33"/>
      <c r="I349" s="33">
        <f ca="1">I348/$Q$348</f>
        <v>7.1225071225071226E-2</v>
      </c>
      <c r="J349" s="33"/>
      <c r="K349" s="33">
        <f ca="1">K348/$Q$348</f>
        <v>5.6980056980056983E-3</v>
      </c>
      <c r="L349" s="33"/>
      <c r="M349" s="33">
        <f ca="1">M348/$Q$348</f>
        <v>7.2649572649572655E-2</v>
      </c>
      <c r="N349" s="33"/>
      <c r="O349" s="33">
        <f ca="1">O348/$Q$348</f>
        <v>1.1396011396011397E-2</v>
      </c>
      <c r="P349" s="33"/>
      <c r="Q349" s="34">
        <f ca="1">Q348/$Q$348</f>
        <v>1</v>
      </c>
      <c r="T349" s="32" t="s">
        <v>26</v>
      </c>
      <c r="U349" s="33">
        <f ca="1">U348/$AI$348</f>
        <v>0.27070041368427084</v>
      </c>
      <c r="V349" s="33"/>
      <c r="W349" s="33">
        <f ca="1">W348/$AI$348</f>
        <v>0.47474757355465008</v>
      </c>
      <c r="X349" s="33"/>
      <c r="Y349" s="33">
        <f ca="1">Y348/$AI$348</f>
        <v>8.5576235706779552E-2</v>
      </c>
      <c r="Z349" s="33"/>
      <c r="AA349" s="33">
        <f ca="1">AA348/$AI$348</f>
        <v>0.12749243089874024</v>
      </c>
      <c r="AB349" s="33"/>
      <c r="AC349" s="33">
        <f ca="1">AC348/$AI$348</f>
        <v>1.9455202723574992E-3</v>
      </c>
      <c r="AD349" s="33"/>
      <c r="AE349" s="33">
        <f ca="1">AE348/$AI$348</f>
        <v>1.6349673439753035E-2</v>
      </c>
      <c r="AF349" s="33"/>
      <c r="AG349" s="33">
        <f ca="1">AG348/$AI$348</f>
        <v>2.3188152443448729E-2</v>
      </c>
      <c r="AH349" s="33"/>
      <c r="AI349" s="34">
        <f ca="1">AI348/$AI$348</f>
        <v>1</v>
      </c>
    </row>
    <row r="351" spans="2:35" x14ac:dyDescent="0.4">
      <c r="E351" s="2" t="s">
        <v>51</v>
      </c>
      <c r="F351" s="2"/>
      <c r="G351" s="2"/>
      <c r="H351" s="2"/>
      <c r="I351" s="2"/>
      <c r="J351" s="2"/>
      <c r="K351" s="2"/>
      <c r="L351" s="2"/>
      <c r="M351" s="2"/>
      <c r="N351" s="2"/>
      <c r="W351" s="2" t="s">
        <v>51</v>
      </c>
      <c r="X351" s="2"/>
      <c r="Y351" s="2"/>
      <c r="Z351" s="2"/>
      <c r="AA351" s="2"/>
      <c r="AB351" s="2"/>
      <c r="AC351" s="2"/>
      <c r="AD351" s="2"/>
      <c r="AE351" s="2"/>
      <c r="AF351" s="2"/>
    </row>
    <row r="352" spans="2:35" x14ac:dyDescent="0.4">
      <c r="E352" s="3"/>
      <c r="F352" s="3"/>
      <c r="G352" s="3"/>
      <c r="H352" s="3"/>
      <c r="I352" s="3"/>
      <c r="J352" s="3"/>
      <c r="K352" s="3"/>
      <c r="L352" s="3"/>
      <c r="M352" s="3"/>
      <c r="N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2:35" x14ac:dyDescent="0.4">
      <c r="B353" s="4" t="s">
        <v>48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T353" s="4" t="s">
        <v>48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spans="2:35" x14ac:dyDescent="0.4">
      <c r="B354" s="5"/>
      <c r="C354" s="6" t="s">
        <v>3</v>
      </c>
      <c r="D354" s="6"/>
      <c r="E354" s="6" t="s">
        <v>4</v>
      </c>
      <c r="F354" s="6"/>
      <c r="G354" s="6" t="s">
        <v>5</v>
      </c>
      <c r="H354" s="6"/>
      <c r="I354" s="6" t="s">
        <v>6</v>
      </c>
      <c r="J354" s="6"/>
      <c r="K354" s="6" t="s">
        <v>7</v>
      </c>
      <c r="L354" s="6"/>
      <c r="M354" s="6" t="s">
        <v>8</v>
      </c>
      <c r="N354" s="6"/>
      <c r="O354" s="6" t="s">
        <v>9</v>
      </c>
      <c r="P354" s="6"/>
      <c r="Q354" s="7" t="s">
        <v>10</v>
      </c>
      <c r="T354" s="5"/>
      <c r="U354" s="6" t="s">
        <v>3</v>
      </c>
      <c r="V354" s="6"/>
      <c r="W354" s="6" t="s">
        <v>4</v>
      </c>
      <c r="X354" s="6"/>
      <c r="Y354" s="6" t="s">
        <v>5</v>
      </c>
      <c r="Z354" s="6"/>
      <c r="AA354" s="6" t="s">
        <v>6</v>
      </c>
      <c r="AB354" s="6"/>
      <c r="AC354" s="6" t="s">
        <v>7</v>
      </c>
      <c r="AD354" s="6"/>
      <c r="AE354" s="6" t="s">
        <v>8</v>
      </c>
      <c r="AF354" s="6"/>
      <c r="AG354" s="6" t="s">
        <v>9</v>
      </c>
      <c r="AH354" s="6"/>
      <c r="AI354" s="7" t="s">
        <v>10</v>
      </c>
    </row>
    <row r="355" spans="2:35" x14ac:dyDescent="0.4">
      <c r="B355" s="8" t="s">
        <v>11</v>
      </c>
      <c r="C355" s="8" t="s">
        <v>12</v>
      </c>
      <c r="D355" s="8" t="s">
        <v>13</v>
      </c>
      <c r="E355" s="8" t="s">
        <v>12</v>
      </c>
      <c r="F355" s="8" t="s">
        <v>13</v>
      </c>
      <c r="G355" s="8" t="s">
        <v>12</v>
      </c>
      <c r="H355" s="8" t="s">
        <v>13</v>
      </c>
      <c r="I355" s="8" t="s">
        <v>12</v>
      </c>
      <c r="J355" s="8" t="s">
        <v>13</v>
      </c>
      <c r="K355" s="8" t="s">
        <v>12</v>
      </c>
      <c r="L355" s="8" t="s">
        <v>13</v>
      </c>
      <c r="M355" s="8" t="s">
        <v>12</v>
      </c>
      <c r="N355" s="8" t="s">
        <v>13</v>
      </c>
      <c r="O355" s="8" t="s">
        <v>12</v>
      </c>
      <c r="P355" s="8" t="s">
        <v>13</v>
      </c>
      <c r="Q355" s="7"/>
      <c r="T355" s="8" t="s">
        <v>11</v>
      </c>
      <c r="U355" s="8" t="s">
        <v>14</v>
      </c>
      <c r="V355" s="8" t="s">
        <v>13</v>
      </c>
      <c r="W355" s="8" t="s">
        <v>14</v>
      </c>
      <c r="X355" s="8" t="s">
        <v>13</v>
      </c>
      <c r="Y355" s="8" t="s">
        <v>14</v>
      </c>
      <c r="Z355" s="8" t="s">
        <v>13</v>
      </c>
      <c r="AA355" s="8" t="s">
        <v>14</v>
      </c>
      <c r="AB355" s="8" t="s">
        <v>13</v>
      </c>
      <c r="AC355" s="8" t="s">
        <v>14</v>
      </c>
      <c r="AD355" s="8" t="s">
        <v>13</v>
      </c>
      <c r="AE355" s="8" t="s">
        <v>14</v>
      </c>
      <c r="AF355" s="8" t="s">
        <v>13</v>
      </c>
      <c r="AG355" s="8" t="s">
        <v>14</v>
      </c>
      <c r="AH355" s="8" t="s">
        <v>13</v>
      </c>
      <c r="AI355" s="7"/>
    </row>
    <row r="356" spans="2:35" x14ac:dyDescent="0.4">
      <c r="B356" s="9" t="s">
        <v>15</v>
      </c>
      <c r="C356" s="10">
        <v>3311</v>
      </c>
      <c r="D356" s="11">
        <f ca="1">C356/C$366</f>
        <v>0.24404805778727795</v>
      </c>
      <c r="E356" s="10">
        <v>7691</v>
      </c>
      <c r="F356" s="11">
        <f ca="1">E356/E$366</f>
        <v>0.34603617385044544</v>
      </c>
      <c r="G356" s="10">
        <v>5239</v>
      </c>
      <c r="H356" s="11">
        <f ca="1">G356/G$366</f>
        <v>0.89862778730703263</v>
      </c>
      <c r="I356" s="10">
        <v>162</v>
      </c>
      <c r="J356" s="11">
        <f ca="1">I356/I$366</f>
        <v>0.71052631578947367</v>
      </c>
      <c r="K356" s="10">
        <v>773</v>
      </c>
      <c r="L356" s="11">
        <f ca="1">K356/K$366</f>
        <v>0.72108208955223885</v>
      </c>
      <c r="M356" s="10">
        <v>2045</v>
      </c>
      <c r="N356" s="11">
        <f ca="1">M356/M$366</f>
        <v>0.32730473751600514</v>
      </c>
      <c r="O356" s="10">
        <v>67</v>
      </c>
      <c r="P356" s="11">
        <f ca="1">O356/O$366</f>
        <v>0.18108108108108109</v>
      </c>
      <c r="Q356" s="60">
        <f t="shared" ref="Q356:Q366" ca="1" si="347">SUM(C356,G356,I356,K356,M356,O356,E356)</f>
        <v>19288</v>
      </c>
      <c r="T356" s="9" t="s">
        <v>15</v>
      </c>
      <c r="U356" s="10">
        <v>649988073.56000078</v>
      </c>
      <c r="V356" s="11">
        <f ca="1">U356/U$366</f>
        <v>0.26945867743151397</v>
      </c>
      <c r="W356" s="10">
        <v>1382127513.4600003</v>
      </c>
      <c r="X356" s="11">
        <f ca="1">W356/W$366</f>
        <v>0.3802054686307747</v>
      </c>
      <c r="Y356" s="10">
        <v>2393113208.8799977</v>
      </c>
      <c r="Z356" s="11">
        <f ca="1">Y356/Y$366</f>
        <v>0.92791259053394815</v>
      </c>
      <c r="AA356" s="10">
        <v>83229064.000000015</v>
      </c>
      <c r="AB356" s="11">
        <f ca="1">AA356/AA$366</f>
        <v>0.98082484587626972</v>
      </c>
      <c r="AC356" s="10">
        <v>53330532.929999985</v>
      </c>
      <c r="AD356" s="11">
        <f ca="1">AC356/AC$366</f>
        <v>0.76985823566614364</v>
      </c>
      <c r="AE356" s="10">
        <v>106884320.85000005</v>
      </c>
      <c r="AF356" s="11">
        <f ca="1">AE356/AE$366</f>
        <v>0.34856160590632118</v>
      </c>
      <c r="AG356" s="10">
        <v>22412771.779999997</v>
      </c>
      <c r="AH356" s="11">
        <f ca="1">AG356/AG$366</f>
        <v>0.17238343806525008</v>
      </c>
      <c r="AI356" s="60">
        <f ca="1">SUM(U356,Y356,AA356,AC356,AE356,AG356,W356)</f>
        <v>4691085485.4599991</v>
      </c>
    </row>
    <row r="357" spans="2:35" x14ac:dyDescent="0.4">
      <c r="B357" s="14" t="s">
        <v>16</v>
      </c>
      <c r="C357" s="15">
        <v>4573</v>
      </c>
      <c r="D357" s="16">
        <f ca="1">C357/C$366</f>
        <v>0.33706788530994325</v>
      </c>
      <c r="E357" s="15">
        <v>6730</v>
      </c>
      <c r="F357" s="16">
        <f ca="1">E357/E$366</f>
        <v>0.30279852425087733</v>
      </c>
      <c r="G357" s="15">
        <v>478</v>
      </c>
      <c r="H357" s="16">
        <f ca="1">G357/G$366</f>
        <v>8.1989708404802741E-2</v>
      </c>
      <c r="I357" s="15">
        <v>2</v>
      </c>
      <c r="J357" s="16">
        <f ca="1">I357/I$366</f>
        <v>8.771929824561403E-3</v>
      </c>
      <c r="K357" s="15">
        <v>171</v>
      </c>
      <c r="L357" s="16">
        <f ca="1">K357/K$366</f>
        <v>0.15951492537313433</v>
      </c>
      <c r="M357" s="15">
        <v>2110</v>
      </c>
      <c r="N357" s="16">
        <f ca="1">M357/M$366</f>
        <v>0.33770806658130603</v>
      </c>
      <c r="O357" s="15">
        <v>97</v>
      </c>
      <c r="P357" s="16">
        <f ca="1">O357/O$366</f>
        <v>0.26216216216216215</v>
      </c>
      <c r="Q357" s="62">
        <f t="shared" ca="1" si="347"/>
        <v>14161</v>
      </c>
      <c r="T357" s="14" t="s">
        <v>16</v>
      </c>
      <c r="U357" s="15">
        <v>890276192.6099993</v>
      </c>
      <c r="V357" s="16">
        <f t="shared" ref="V357:V366" ca="1" si="348">U357/U$366</f>
        <v>0.36907238019854155</v>
      </c>
      <c r="W357" s="15">
        <v>1189145370.4800007</v>
      </c>
      <c r="X357" s="16">
        <f ca="1">W357/W$366</f>
        <v>0.32711856789655719</v>
      </c>
      <c r="Y357" s="15">
        <v>153102931.77000004</v>
      </c>
      <c r="Z357" s="16">
        <f t="shared" ref="Z357:Z365" ca="1" si="349">Y357/Y$366</f>
        <v>5.9364570597782759E-2</v>
      </c>
      <c r="AA357" s="15">
        <v>5</v>
      </c>
      <c r="AB357" s="16">
        <f t="shared" ref="AB357:AB365" ca="1" si="350">AA357/AA$366</f>
        <v>5.8923217367689582E-8</v>
      </c>
      <c r="AC357" s="15">
        <v>10209558.389999999</v>
      </c>
      <c r="AD357" s="16">
        <f t="shared" ref="AD357:AD365" ca="1" si="351">AC357/AC$366</f>
        <v>0.14738110004211943</v>
      </c>
      <c r="AE357" s="15">
        <v>101739786.95999999</v>
      </c>
      <c r="AF357" s="16">
        <f t="shared" ref="AF357:AF365" ca="1" si="352">AE357/AE$366</f>
        <v>0.33178471122169806</v>
      </c>
      <c r="AG357" s="15">
        <v>39136576.489999987</v>
      </c>
      <c r="AH357" s="16">
        <f t="shared" ref="AH357:AH365" ca="1" si="353">AG357/AG$366</f>
        <v>0.30101130175563839</v>
      </c>
      <c r="AI357" s="62">
        <f ca="1">SUM(U357,Y357,AA357,AC357,AE357,AG357,W357)</f>
        <v>2383610421.6999998</v>
      </c>
    </row>
    <row r="358" spans="2:35" x14ac:dyDescent="0.4">
      <c r="B358" s="18" t="s">
        <v>17</v>
      </c>
      <c r="C358" s="19">
        <f ca="1">+SUM(C356:C357)</f>
        <v>7884</v>
      </c>
      <c r="D358" s="20">
        <f ca="1">+C358/$C$366</f>
        <v>0.58111594309722114</v>
      </c>
      <c r="E358" s="19">
        <f ca="1">+SUM(E356:E357)</f>
        <v>14421</v>
      </c>
      <c r="F358" s="20">
        <f ca="1">+E358/$E$366</f>
        <v>0.64883469810132277</v>
      </c>
      <c r="G358" s="19">
        <f ca="1">+SUM(G356:G357)</f>
        <v>5717</v>
      </c>
      <c r="H358" s="20">
        <f ca="1">+G358/$G$366</f>
        <v>0.98061749571183532</v>
      </c>
      <c r="I358" s="19">
        <f ca="1">+SUM(I356:I357)</f>
        <v>164</v>
      </c>
      <c r="J358" s="20">
        <f ca="1">+I358/$I$366</f>
        <v>0.7192982456140351</v>
      </c>
      <c r="K358" s="19">
        <f ca="1">+SUM(K356:K357)</f>
        <v>944</v>
      </c>
      <c r="L358" s="20">
        <f ca="1">+K358/$K$366</f>
        <v>0.88059701492537312</v>
      </c>
      <c r="M358" s="19">
        <f ca="1">+SUM(M356:M357)</f>
        <v>4155</v>
      </c>
      <c r="N358" s="20">
        <f ca="1">+M358/$M$366</f>
        <v>0.66501280409731112</v>
      </c>
      <c r="O358" s="19">
        <f ca="1">+SUM(O356:O357)</f>
        <v>164</v>
      </c>
      <c r="P358" s="20">
        <f ca="1">+O358/$O$366</f>
        <v>0.44324324324324327</v>
      </c>
      <c r="Q358" s="101">
        <f ca="1">+SUM(Q356:Q357)</f>
        <v>33449</v>
      </c>
      <c r="T358" s="18" t="s">
        <v>17</v>
      </c>
      <c r="U358" s="19">
        <f ca="1">+SUM(U356:U357)</f>
        <v>1540264266.1700001</v>
      </c>
      <c r="V358" s="20">
        <f t="shared" ca="1" si="348"/>
        <v>0.63853105763005547</v>
      </c>
      <c r="W358" s="19">
        <f ca="1">+SUM(W356:W357)</f>
        <v>2571272883.940001</v>
      </c>
      <c r="X358" s="20">
        <f t="shared" ref="X358:X365" ca="1" si="354">W358/W$366</f>
        <v>0.70732403652733189</v>
      </c>
      <c r="Y358" s="19">
        <f ca="1">+SUM(Y356:Y357)</f>
        <v>2546216140.6499977</v>
      </c>
      <c r="Z358" s="20">
        <f t="shared" ca="1" si="349"/>
        <v>0.98727716113173092</v>
      </c>
      <c r="AA358" s="19">
        <f ca="1">+SUM(AA356:AA357)</f>
        <v>83229069.000000015</v>
      </c>
      <c r="AB358" s="20">
        <f t="shared" ca="1" si="350"/>
        <v>0.98082490479948714</v>
      </c>
      <c r="AC358" s="19">
        <f ca="1">+SUM(AC356:AC357)</f>
        <v>63540091.319999985</v>
      </c>
      <c r="AD358" s="20">
        <f t="shared" ca="1" si="351"/>
        <v>0.9172393357082631</v>
      </c>
      <c r="AE358" s="19">
        <f ca="1">+SUM(AE356:AE357)</f>
        <v>208624107.81000006</v>
      </c>
      <c r="AF358" s="20">
        <f t="shared" ca="1" si="352"/>
        <v>0.6803463171280193</v>
      </c>
      <c r="AG358" s="19">
        <f ca="1">+SUM(AG356:AG357)</f>
        <v>61549348.269999981</v>
      </c>
      <c r="AH358" s="20">
        <f t="shared" ca="1" si="353"/>
        <v>0.47339473982088842</v>
      </c>
      <c r="AI358" s="101">
        <f ca="1">+SUM(AI356:AI357)</f>
        <v>7074695907.1599989</v>
      </c>
    </row>
    <row r="359" spans="2:35" x14ac:dyDescent="0.4">
      <c r="B359" s="22" t="s">
        <v>18</v>
      </c>
      <c r="C359" s="15">
        <v>1634</v>
      </c>
      <c r="D359" s="16">
        <f t="shared" ref="D359:D366" ca="1" si="355">C359/C$366</f>
        <v>0.12043930124566964</v>
      </c>
      <c r="E359" s="15">
        <v>2038</v>
      </c>
      <c r="F359" s="16">
        <f t="shared" ref="F359:F366" ca="1" si="356">E359/E$366</f>
        <v>9.169441194996851E-2</v>
      </c>
      <c r="G359" s="15">
        <v>14</v>
      </c>
      <c r="H359" s="16">
        <f t="shared" ref="H359:H366" ca="1" si="357">G359/G$366</f>
        <v>2.4013722126929675E-3</v>
      </c>
      <c r="I359" s="15">
        <v>1</v>
      </c>
      <c r="J359" s="16">
        <f t="shared" ref="J359:J366" ca="1" si="358">I359/I$366</f>
        <v>4.3859649122807015E-3</v>
      </c>
      <c r="K359" s="15">
        <v>59</v>
      </c>
      <c r="L359" s="16">
        <f t="shared" ref="L359:L366" ca="1" si="359">K359/K$366</f>
        <v>5.503731343283582E-2</v>
      </c>
      <c r="M359" s="15">
        <v>671</v>
      </c>
      <c r="N359" s="16">
        <f t="shared" ref="N359:N366" ca="1" si="360">M359/M$366</f>
        <v>0.10739436619718309</v>
      </c>
      <c r="O359" s="15">
        <v>44</v>
      </c>
      <c r="P359" s="16">
        <f t="shared" ref="P359:P366" ca="1" si="361">O359/O$366</f>
        <v>0.11891891891891893</v>
      </c>
      <c r="Q359" s="62">
        <f t="shared" ca="1" si="347"/>
        <v>4461</v>
      </c>
      <c r="T359" s="22" t="s">
        <v>18</v>
      </c>
      <c r="U359" s="15">
        <v>262071173.9799999</v>
      </c>
      <c r="V359" s="16">
        <f t="shared" ca="1" si="348"/>
        <v>0.10864407333937988</v>
      </c>
      <c r="W359" s="15">
        <v>303171351.57000041</v>
      </c>
      <c r="X359" s="16">
        <f t="shared" ca="1" si="354"/>
        <v>8.339853210109277E-2</v>
      </c>
      <c r="Y359" s="15">
        <v>5415069.6199999992</v>
      </c>
      <c r="Z359" s="16">
        <f t="shared" ca="1" si="349"/>
        <v>2.0996546508418213E-3</v>
      </c>
      <c r="AA359" s="15">
        <v>2</v>
      </c>
      <c r="AB359" s="16">
        <f t="shared" ca="1" si="350"/>
        <v>2.3569286947075833E-8</v>
      </c>
      <c r="AC359" s="15">
        <v>2872319.51</v>
      </c>
      <c r="AD359" s="16">
        <f t="shared" ca="1" si="351"/>
        <v>4.1463655222431367E-2</v>
      </c>
      <c r="AE359" s="15">
        <v>30945007.359999988</v>
      </c>
      <c r="AF359" s="16">
        <f t="shared" ca="1" si="352"/>
        <v>0.10091509563242472</v>
      </c>
      <c r="AG359" s="15">
        <v>13086896.899999999</v>
      </c>
      <c r="AH359" s="16">
        <f t="shared" ca="1" si="353"/>
        <v>0.10065530061929107</v>
      </c>
      <c r="AI359" s="62">
        <f t="shared" ref="AI359:AI366" ca="1" si="362">SUM(U359,Y359,AA359,AC359,AE359,AG359,W359)</f>
        <v>617561820.9400003</v>
      </c>
    </row>
    <row r="360" spans="2:35" x14ac:dyDescent="0.4">
      <c r="B360" s="22" t="s">
        <v>19</v>
      </c>
      <c r="C360" s="15">
        <v>2048</v>
      </c>
      <c r="D360" s="16">
        <f t="shared" ca="1" si="355"/>
        <v>0.15095452200191642</v>
      </c>
      <c r="E360" s="15">
        <v>2715</v>
      </c>
      <c r="F360" s="16">
        <f t="shared" ca="1" si="356"/>
        <v>0.12215423378025736</v>
      </c>
      <c r="G360" s="15">
        <v>7</v>
      </c>
      <c r="H360" s="16">
        <f t="shared" ca="1" si="357"/>
        <v>1.2006861063464838E-3</v>
      </c>
      <c r="I360" s="15">
        <v>0</v>
      </c>
      <c r="J360" s="16">
        <f t="shared" ca="1" si="358"/>
        <v>0</v>
      </c>
      <c r="K360" s="15">
        <v>23</v>
      </c>
      <c r="L360" s="16">
        <f t="shared" ca="1" si="359"/>
        <v>2.1455223880597014E-2</v>
      </c>
      <c r="M360" s="15">
        <v>704</v>
      </c>
      <c r="N360" s="16">
        <f t="shared" ca="1" si="360"/>
        <v>0.11267605633802817</v>
      </c>
      <c r="O360" s="15">
        <v>94</v>
      </c>
      <c r="P360" s="16">
        <f t="shared" ca="1" si="361"/>
        <v>0.25405405405405407</v>
      </c>
      <c r="Q360" s="62">
        <f t="shared" ca="1" si="347"/>
        <v>5591</v>
      </c>
      <c r="T360" s="22" t="s">
        <v>19</v>
      </c>
      <c r="U360" s="15">
        <v>331477141.88999987</v>
      </c>
      <c r="V360" s="16">
        <f t="shared" ca="1" si="348"/>
        <v>0.13741697099648789</v>
      </c>
      <c r="W360" s="15">
        <v>387734273.05999976</v>
      </c>
      <c r="X360" s="16">
        <f t="shared" ca="1" si="354"/>
        <v>0.1066607021113008</v>
      </c>
      <c r="Y360" s="15">
        <v>1938385</v>
      </c>
      <c r="Z360" s="16">
        <f t="shared" ca="1" si="349"/>
        <v>7.5159496848205319E-4</v>
      </c>
      <c r="AA360" s="15">
        <v>0</v>
      </c>
      <c r="AB360" s="16">
        <f t="shared" ca="1" si="350"/>
        <v>0</v>
      </c>
      <c r="AC360" s="15">
        <v>666400.6</v>
      </c>
      <c r="AD360" s="16">
        <f t="shared" ca="1" si="351"/>
        <v>9.6198924326567695E-3</v>
      </c>
      <c r="AE360" s="15">
        <v>33018237.460000001</v>
      </c>
      <c r="AF360" s="16">
        <f t="shared" ca="1" si="352"/>
        <v>0.10767612856337708</v>
      </c>
      <c r="AG360" s="15">
        <v>25768553.620000005</v>
      </c>
      <c r="AH360" s="16">
        <f t="shared" ca="1" si="353"/>
        <v>0.19819377587863643</v>
      </c>
      <c r="AI360" s="62">
        <f t="shared" ca="1" si="362"/>
        <v>780602991.62999964</v>
      </c>
    </row>
    <row r="361" spans="2:35" x14ac:dyDescent="0.4">
      <c r="B361" s="22" t="s">
        <v>20</v>
      </c>
      <c r="C361" s="15">
        <v>814</v>
      </c>
      <c r="D361" s="16">
        <f t="shared" ca="1" si="355"/>
        <v>5.9998525834746075E-2</v>
      </c>
      <c r="E361" s="15">
        <v>1056</v>
      </c>
      <c r="F361" s="16">
        <f t="shared" ca="1" si="356"/>
        <v>4.7511922973094575E-2</v>
      </c>
      <c r="G361" s="15">
        <v>6</v>
      </c>
      <c r="H361" s="16">
        <f t="shared" ca="1" si="357"/>
        <v>1.0291595197255575E-3</v>
      </c>
      <c r="I361" s="15">
        <v>2</v>
      </c>
      <c r="J361" s="16">
        <f t="shared" ca="1" si="358"/>
        <v>8.771929824561403E-3</v>
      </c>
      <c r="K361" s="15">
        <v>20</v>
      </c>
      <c r="L361" s="16">
        <f t="shared" ca="1" si="359"/>
        <v>1.8656716417910446E-2</v>
      </c>
      <c r="M361" s="15">
        <v>288</v>
      </c>
      <c r="N361" s="16">
        <f t="shared" ca="1" si="360"/>
        <v>4.6094750320102434E-2</v>
      </c>
      <c r="O361" s="15">
        <v>28</v>
      </c>
      <c r="P361" s="16">
        <f t="shared" ca="1" si="361"/>
        <v>7.567567567567568E-2</v>
      </c>
      <c r="Q361" s="62">
        <f t="shared" ca="1" si="347"/>
        <v>2214</v>
      </c>
      <c r="T361" s="22" t="s">
        <v>20</v>
      </c>
      <c r="U361" s="15">
        <v>119634456.94000003</v>
      </c>
      <c r="V361" s="16">
        <f t="shared" ca="1" si="348"/>
        <v>4.9595590832504775E-2</v>
      </c>
      <c r="W361" s="15">
        <v>147357455.09000009</v>
      </c>
      <c r="X361" s="16">
        <f t="shared" ca="1" si="354"/>
        <v>4.0536137022897961E-2</v>
      </c>
      <c r="Y361" s="15">
        <v>1672982</v>
      </c>
      <c r="Z361" s="16">
        <f t="shared" ca="1" si="349"/>
        <v>6.4868684681373533E-4</v>
      </c>
      <c r="AA361" s="15">
        <v>12</v>
      </c>
      <c r="AB361" s="16">
        <f t="shared" ca="1" si="350"/>
        <v>1.41415721682455E-7</v>
      </c>
      <c r="AC361" s="15">
        <v>785366.43</v>
      </c>
      <c r="AD361" s="16">
        <f t="shared" ca="1" si="351"/>
        <v>1.133723555593987E-2</v>
      </c>
      <c r="AE361" s="15">
        <v>13027427.27</v>
      </c>
      <c r="AF361" s="16">
        <f t="shared" ca="1" si="352"/>
        <v>4.2483882892717081E-2</v>
      </c>
      <c r="AG361" s="15">
        <v>7389383.9499999993</v>
      </c>
      <c r="AH361" s="16">
        <f t="shared" ca="1" si="353"/>
        <v>5.6833997284613323E-2</v>
      </c>
      <c r="AI361" s="62">
        <f t="shared" ca="1" si="362"/>
        <v>289867083.68000013</v>
      </c>
    </row>
    <row r="362" spans="2:35" x14ac:dyDescent="0.4">
      <c r="B362" s="22" t="s">
        <v>21</v>
      </c>
      <c r="C362" s="15">
        <v>354</v>
      </c>
      <c r="D362" s="16">
        <f t="shared" ca="1" si="355"/>
        <v>2.6092724994471881E-2</v>
      </c>
      <c r="E362" s="15">
        <v>581</v>
      </c>
      <c r="F362" s="16">
        <f t="shared" ca="1" si="356"/>
        <v>2.6140556105462072E-2</v>
      </c>
      <c r="G362" s="15">
        <v>5</v>
      </c>
      <c r="H362" s="16">
        <f t="shared" ca="1" si="357"/>
        <v>8.576329331046312E-4</v>
      </c>
      <c r="I362" s="15">
        <v>3</v>
      </c>
      <c r="J362" s="16">
        <f t="shared" ca="1" si="358"/>
        <v>1.3157894736842105E-2</v>
      </c>
      <c r="K362" s="15">
        <v>5</v>
      </c>
      <c r="L362" s="16">
        <f t="shared" ca="1" si="359"/>
        <v>4.6641791044776115E-3</v>
      </c>
      <c r="M362" s="15">
        <v>105</v>
      </c>
      <c r="N362" s="16">
        <f t="shared" ca="1" si="360"/>
        <v>1.6805377720870679E-2</v>
      </c>
      <c r="O362" s="15">
        <v>7</v>
      </c>
      <c r="P362" s="16">
        <f t="shared" ca="1" si="361"/>
        <v>1.891891891891892E-2</v>
      </c>
      <c r="Q362" s="62">
        <f t="shared" ca="1" si="347"/>
        <v>1060</v>
      </c>
      <c r="T362" s="22" t="s">
        <v>21</v>
      </c>
      <c r="U362" s="15">
        <v>60130766.409999989</v>
      </c>
      <c r="V362" s="16">
        <f t="shared" ca="1" si="348"/>
        <v>2.4927775522155356E-2</v>
      </c>
      <c r="W362" s="15">
        <v>73164575.799999997</v>
      </c>
      <c r="X362" s="16">
        <f t="shared" ca="1" si="354"/>
        <v>2.0126631991843273E-2</v>
      </c>
      <c r="Y362" s="15">
        <v>2499862.41</v>
      </c>
      <c r="Z362" s="16">
        <f t="shared" ca="1" si="349"/>
        <v>9.6930383244475161E-4</v>
      </c>
      <c r="AA362" s="15">
        <v>3670</v>
      </c>
      <c r="AB362" s="16">
        <f t="shared" ca="1" si="350"/>
        <v>4.3249641547884152E-5</v>
      </c>
      <c r="AC362" s="15">
        <v>189525.8600000001</v>
      </c>
      <c r="AD362" s="16">
        <f t="shared" ca="1" si="351"/>
        <v>2.7359194850766449E-3</v>
      </c>
      <c r="AE362" s="15">
        <v>5615902.5800000001</v>
      </c>
      <c r="AF362" s="16">
        <f t="shared" ca="1" si="352"/>
        <v>1.8314080178751038E-2</v>
      </c>
      <c r="AG362" s="15">
        <v>3900734.6399999997</v>
      </c>
      <c r="AH362" s="16">
        <f t="shared" ca="1" si="353"/>
        <v>3.0001735386582143E-2</v>
      </c>
      <c r="AI362" s="62">
        <f t="shared" ca="1" si="362"/>
        <v>145505037.69999999</v>
      </c>
    </row>
    <row r="363" spans="2:35" x14ac:dyDescent="0.4">
      <c r="B363" s="22" t="s">
        <v>22</v>
      </c>
      <c r="C363" s="15">
        <v>176</v>
      </c>
      <c r="D363" s="16">
        <f t="shared" ca="1" si="355"/>
        <v>1.2972654234539692E-2</v>
      </c>
      <c r="E363" s="15">
        <v>358</v>
      </c>
      <c r="F363" s="16">
        <f t="shared" ca="1" si="356"/>
        <v>1.6107261765499866E-2</v>
      </c>
      <c r="G363" s="15">
        <v>1</v>
      </c>
      <c r="H363" s="16">
        <f t="shared" ca="1" si="357"/>
        <v>1.7152658662092623E-4</v>
      </c>
      <c r="I363" s="15">
        <v>1</v>
      </c>
      <c r="J363" s="16">
        <f t="shared" ca="1" si="358"/>
        <v>4.3859649122807015E-3</v>
      </c>
      <c r="K363" s="15">
        <v>5</v>
      </c>
      <c r="L363" s="16">
        <f t="shared" ca="1" si="359"/>
        <v>4.6641791044776115E-3</v>
      </c>
      <c r="M363" s="15">
        <v>92</v>
      </c>
      <c r="N363" s="16">
        <f t="shared" ca="1" si="360"/>
        <v>1.47247119078105E-2</v>
      </c>
      <c r="O363" s="15">
        <v>1</v>
      </c>
      <c r="P363" s="16">
        <f t="shared" ca="1" si="361"/>
        <v>2.7027027027027029E-3</v>
      </c>
      <c r="Q363" s="62">
        <f t="shared" ca="1" si="347"/>
        <v>634</v>
      </c>
      <c r="T363" s="22" t="s">
        <v>22</v>
      </c>
      <c r="U363" s="15">
        <v>26872034.870000008</v>
      </c>
      <c r="V363" s="16">
        <f t="shared" ca="1" si="348"/>
        <v>1.1140055134096726E-2</v>
      </c>
      <c r="W363" s="15">
        <v>44311419.630000003</v>
      </c>
      <c r="X363" s="16">
        <f t="shared" ca="1" si="354"/>
        <v>1.2189500535984112E-2</v>
      </c>
      <c r="Y363" s="15">
        <v>149385</v>
      </c>
      <c r="Z363" s="16">
        <f t="shared" ca="1" si="349"/>
        <v>5.7922969052428449E-5</v>
      </c>
      <c r="AA363" s="15">
        <v>30</v>
      </c>
      <c r="AB363" s="16">
        <f t="shared" ca="1" si="350"/>
        <v>3.5353930420613748E-7</v>
      </c>
      <c r="AC363" s="15">
        <v>288021.36000000004</v>
      </c>
      <c r="AD363" s="16">
        <f t="shared" ca="1" si="351"/>
        <v>4.1577611147221531E-3</v>
      </c>
      <c r="AE363" s="15">
        <v>3944317.5499999993</v>
      </c>
      <c r="AF363" s="16">
        <f t="shared" ca="1" si="352"/>
        <v>1.2862856296405847E-2</v>
      </c>
      <c r="AG363" s="15">
        <v>300000</v>
      </c>
      <c r="AH363" s="16">
        <f t="shared" ca="1" si="353"/>
        <v>2.307391157470441E-3</v>
      </c>
      <c r="AI363" s="62">
        <f t="shared" ca="1" si="362"/>
        <v>75865208.410000011</v>
      </c>
    </row>
    <row r="364" spans="2:35" x14ac:dyDescent="0.4">
      <c r="B364" s="22" t="s">
        <v>23</v>
      </c>
      <c r="C364" s="15">
        <v>130</v>
      </c>
      <c r="D364" s="16">
        <f t="shared" ca="1" si="355"/>
        <v>9.5820741505122722E-3</v>
      </c>
      <c r="E364" s="15">
        <v>230</v>
      </c>
      <c r="F364" s="16">
        <f t="shared" ca="1" si="356"/>
        <v>1.0348240799064158E-2</v>
      </c>
      <c r="G364" s="15">
        <v>2</v>
      </c>
      <c r="H364" s="16">
        <f t="shared" ca="1" si="357"/>
        <v>3.4305317324185246E-4</v>
      </c>
      <c r="I364" s="15">
        <v>1</v>
      </c>
      <c r="J364" s="16">
        <f t="shared" ca="1" si="358"/>
        <v>4.3859649122807015E-3</v>
      </c>
      <c r="K364" s="15">
        <v>1</v>
      </c>
      <c r="L364" s="16">
        <f t="shared" ca="1" si="359"/>
        <v>9.3283582089552237E-4</v>
      </c>
      <c r="M364" s="15">
        <v>34</v>
      </c>
      <c r="N364" s="16">
        <f t="shared" ca="1" si="360"/>
        <v>5.441741357234315E-3</v>
      </c>
      <c r="O364" s="15">
        <v>13</v>
      </c>
      <c r="P364" s="16">
        <f t="shared" ca="1" si="361"/>
        <v>3.5135135135135137E-2</v>
      </c>
      <c r="Q364" s="62">
        <f t="shared" ca="1" si="347"/>
        <v>411</v>
      </c>
      <c r="T364" s="22" t="s">
        <v>23</v>
      </c>
      <c r="U364" s="15">
        <v>15359942.929999998</v>
      </c>
      <c r="V364" s="16">
        <f t="shared" ca="1" si="348"/>
        <v>6.3676090003815609E-3</v>
      </c>
      <c r="W364" s="15">
        <v>26626792.350000005</v>
      </c>
      <c r="X364" s="16">
        <f t="shared" ca="1" si="354"/>
        <v>7.3246874582668991E-3</v>
      </c>
      <c r="Y364" s="15">
        <v>292607</v>
      </c>
      <c r="Z364" s="16">
        <f t="shared" ca="1" si="349"/>
        <v>1.1345627877982349E-4</v>
      </c>
      <c r="AA364" s="15">
        <v>5000</v>
      </c>
      <c r="AB364" s="16">
        <f t="shared" ca="1" si="350"/>
        <v>5.8923217367689581E-5</v>
      </c>
      <c r="AC364" s="15">
        <v>35112</v>
      </c>
      <c r="AD364" s="16">
        <f t="shared" ca="1" si="351"/>
        <v>5.0686278358009357E-4</v>
      </c>
      <c r="AE364" s="15">
        <v>1686736.37</v>
      </c>
      <c r="AF364" s="16">
        <f t="shared" ca="1" si="352"/>
        <v>5.5006340798375245E-3</v>
      </c>
      <c r="AG364" s="15">
        <v>11989185</v>
      </c>
      <c r="AH364" s="16">
        <f t="shared" ca="1" si="353"/>
        <v>9.2212464847590825E-2</v>
      </c>
      <c r="AI364" s="62">
        <f t="shared" ca="1" si="362"/>
        <v>55995375.650000006</v>
      </c>
    </row>
    <row r="365" spans="2:35" x14ac:dyDescent="0.4">
      <c r="B365" s="23" t="s">
        <v>24</v>
      </c>
      <c r="C365" s="24">
        <v>527</v>
      </c>
      <c r="D365" s="25">
        <f t="shared" ca="1" si="355"/>
        <v>3.8844254440922828E-2</v>
      </c>
      <c r="E365" s="24">
        <v>827</v>
      </c>
      <c r="F365" s="25">
        <f t="shared" ca="1" si="356"/>
        <v>3.7208674525330693E-2</v>
      </c>
      <c r="G365" s="24">
        <v>78</v>
      </c>
      <c r="H365" s="25">
        <f t="shared" ca="1" si="357"/>
        <v>1.3379073756432247E-2</v>
      </c>
      <c r="I365" s="24">
        <v>56</v>
      </c>
      <c r="J365" s="25">
        <f t="shared" ca="1" si="358"/>
        <v>0.24561403508771928</v>
      </c>
      <c r="K365" s="24">
        <v>15</v>
      </c>
      <c r="L365" s="25">
        <f t="shared" ca="1" si="359"/>
        <v>1.3992537313432836E-2</v>
      </c>
      <c r="M365" s="24">
        <v>199</v>
      </c>
      <c r="N365" s="25">
        <f t="shared" ca="1" si="360"/>
        <v>3.185019206145967E-2</v>
      </c>
      <c r="O365" s="24">
        <v>19</v>
      </c>
      <c r="P365" s="25">
        <f t="shared" ca="1" si="361"/>
        <v>5.1351351351351354E-2</v>
      </c>
      <c r="Q365" s="64">
        <f t="shared" ca="1" si="347"/>
        <v>1721</v>
      </c>
      <c r="T365" s="23" t="s">
        <v>24</v>
      </c>
      <c r="U365" s="24">
        <v>56389667.039999969</v>
      </c>
      <c r="V365" s="25">
        <f t="shared" ca="1" si="348"/>
        <v>2.3376867544938416E-2</v>
      </c>
      <c r="W365" s="24">
        <v>81573331.219999984</v>
      </c>
      <c r="X365" s="25">
        <f t="shared" ca="1" si="354"/>
        <v>2.2439772251282287E-2</v>
      </c>
      <c r="Y365" s="24">
        <v>20844275.650000002</v>
      </c>
      <c r="Z365" s="25">
        <f t="shared" ca="1" si="349"/>
        <v>8.0822193218545238E-3</v>
      </c>
      <c r="AA365" s="24">
        <v>1618411.61</v>
      </c>
      <c r="AB365" s="25">
        <f t="shared" ca="1" si="350"/>
        <v>1.9072403817284492E-2</v>
      </c>
      <c r="AC365" s="24">
        <v>896349.15</v>
      </c>
      <c r="AD365" s="25">
        <f t="shared" ca="1" si="351"/>
        <v>1.2939337697329996E-2</v>
      </c>
      <c r="AE365" s="24">
        <v>9782251.4599999972</v>
      </c>
      <c r="AF365" s="25">
        <f t="shared" ca="1" si="352"/>
        <v>3.190100522846754E-2</v>
      </c>
      <c r="AG365" s="24">
        <v>6032864.6300000008</v>
      </c>
      <c r="AH365" s="25">
        <f t="shared" ca="1" si="353"/>
        <v>4.6400595004927284E-2</v>
      </c>
      <c r="AI365" s="64">
        <f t="shared" ca="1" si="362"/>
        <v>177137150.75999993</v>
      </c>
    </row>
    <row r="366" spans="2:35" x14ac:dyDescent="0.4">
      <c r="B366" s="27" t="s">
        <v>25</v>
      </c>
      <c r="C366" s="28">
        <f ca="1">SUM(C358:C365)</f>
        <v>13567</v>
      </c>
      <c r="D366" s="29">
        <f t="shared" ca="1" si="355"/>
        <v>1</v>
      </c>
      <c r="E366" s="28">
        <f ca="1">SUM(E358:E365)</f>
        <v>22226</v>
      </c>
      <c r="F366" s="29">
        <f t="shared" ca="1" si="356"/>
        <v>1</v>
      </c>
      <c r="G366" s="28">
        <f ca="1">SUM(G358:G365)</f>
        <v>5830</v>
      </c>
      <c r="H366" s="29">
        <f t="shared" ca="1" si="357"/>
        <v>1</v>
      </c>
      <c r="I366" s="28">
        <f ca="1">SUM(I358:I365)</f>
        <v>228</v>
      </c>
      <c r="J366" s="29">
        <f t="shared" ca="1" si="358"/>
        <v>1</v>
      </c>
      <c r="K366" s="28">
        <f ca="1">SUM(K358:K365)</f>
        <v>1072</v>
      </c>
      <c r="L366" s="29">
        <f t="shared" ca="1" si="359"/>
        <v>1</v>
      </c>
      <c r="M366" s="28">
        <f ca="1">SUM(M358:M365)</f>
        <v>6248</v>
      </c>
      <c r="N366" s="29">
        <f t="shared" ca="1" si="360"/>
        <v>1</v>
      </c>
      <c r="O366" s="28">
        <f ca="1">SUM(O358:O365)</f>
        <v>370</v>
      </c>
      <c r="P366" s="29">
        <f t="shared" ca="1" si="361"/>
        <v>1</v>
      </c>
      <c r="Q366" s="31">
        <f t="shared" ca="1" si="347"/>
        <v>49541</v>
      </c>
      <c r="T366" s="27" t="s">
        <v>25</v>
      </c>
      <c r="U366" s="28">
        <f ca="1">SUM(U358:U365)</f>
        <v>2412199450.2299995</v>
      </c>
      <c r="V366" s="29">
        <f t="shared" ca="1" si="348"/>
        <v>1</v>
      </c>
      <c r="W366" s="28">
        <f ca="1">SUM(W358:W365)</f>
        <v>3635212082.6600013</v>
      </c>
      <c r="X366" s="29">
        <f ca="1">W366/W$366</f>
        <v>1</v>
      </c>
      <c r="Y366" s="28">
        <f ca="1">SUM(Y358:Y365)</f>
        <v>2579028707.3299975</v>
      </c>
      <c r="Z366" s="29">
        <f ca="1">Y366/Y$366</f>
        <v>1</v>
      </c>
      <c r="AA366" s="28">
        <f ca="1">SUM(AA358:AA365)</f>
        <v>84856194.610000014</v>
      </c>
      <c r="AB366" s="29">
        <f ca="1">AA366/AA$366</f>
        <v>1</v>
      </c>
      <c r="AC366" s="28">
        <f ca="1">SUM(AC358:AC365)</f>
        <v>69273186.229999989</v>
      </c>
      <c r="AD366" s="29">
        <f ca="1">AC366/AC$366</f>
        <v>1</v>
      </c>
      <c r="AE366" s="28">
        <f ca="1">SUM(AE358:AE365)</f>
        <v>306643987.86000001</v>
      </c>
      <c r="AF366" s="29">
        <f ca="1">AE366/AE$366</f>
        <v>1</v>
      </c>
      <c r="AG366" s="28">
        <f ca="1">SUM(AG358:AG365)</f>
        <v>130016967.00999999</v>
      </c>
      <c r="AH366" s="29">
        <f ca="1">AG366/AG$366</f>
        <v>1</v>
      </c>
      <c r="AI366" s="31">
        <f t="shared" ca="1" si="362"/>
        <v>9217230575.9299984</v>
      </c>
    </row>
    <row r="367" spans="2:35" x14ac:dyDescent="0.4">
      <c r="B367" s="32" t="s">
        <v>26</v>
      </c>
      <c r="C367" s="33">
        <f ca="1">C366/$Q$366</f>
        <v>0.27385397953210472</v>
      </c>
      <c r="D367" s="33"/>
      <c r="E367" s="33">
        <f ca="1">E366/$Q$366</f>
        <v>0.44863850144324902</v>
      </c>
      <c r="F367" s="33"/>
      <c r="G367" s="33">
        <f ca="1">G366/$Q$366</f>
        <v>0.11768030520175209</v>
      </c>
      <c r="H367" s="33"/>
      <c r="I367" s="33">
        <f ca="1">I366/$Q$366</f>
        <v>4.6022486425385031E-3</v>
      </c>
      <c r="J367" s="33"/>
      <c r="K367" s="33">
        <f ca="1">K366/$Q$366</f>
        <v>2.1638642740356474E-2</v>
      </c>
      <c r="L367" s="33"/>
      <c r="M367" s="33">
        <f ca="1">M366/$Q$366</f>
        <v>0.12611776104640601</v>
      </c>
      <c r="N367" s="33"/>
      <c r="O367" s="33">
        <f ca="1">O366/$Q$366</f>
        <v>7.4685613935931853E-3</v>
      </c>
      <c r="P367" s="33"/>
      <c r="Q367" s="34">
        <f ca="1">Q366/$Q$366</f>
        <v>1</v>
      </c>
      <c r="T367" s="32" t="s">
        <v>26</v>
      </c>
      <c r="U367" s="33">
        <f ca="1">U366/$AI$366</f>
        <v>0.26170544724456063</v>
      </c>
      <c r="V367" s="33"/>
      <c r="W367" s="33">
        <f ca="1">W366/$AI$366</f>
        <v>0.39439309375128834</v>
      </c>
      <c r="X367" s="33"/>
      <c r="Y367" s="33">
        <f ca="1">Y366/$AI$366</f>
        <v>0.27980516339310296</v>
      </c>
      <c r="Z367" s="33"/>
      <c r="AA367" s="33">
        <f ca="1">AA366/$AI$366</f>
        <v>9.2062571193124582E-3</v>
      </c>
      <c r="AB367" s="33"/>
      <c r="AC367" s="33">
        <f ca="1">AC366/$AI$366</f>
        <v>7.5156182390512102E-3</v>
      </c>
      <c r="AD367" s="33"/>
      <c r="AE367" s="33">
        <f ca="1">AE366/$AI$366</f>
        <v>3.3268559936080397E-2</v>
      </c>
      <c r="AF367" s="33"/>
      <c r="AG367" s="33">
        <f ca="1">AG366/$AI$366</f>
        <v>1.4105860316604E-2</v>
      </c>
      <c r="AH367" s="33"/>
      <c r="AI367" s="34">
        <f ca="1">AI366/$AI$366</f>
        <v>1</v>
      </c>
    </row>
    <row r="369" spans="2:35" x14ac:dyDescent="0.4">
      <c r="B369" s="4" t="s">
        <v>49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T369" s="4" t="s">
        <v>49</v>
      </c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2:35" x14ac:dyDescent="0.4">
      <c r="B370" s="5"/>
      <c r="C370" s="6" t="s">
        <v>3</v>
      </c>
      <c r="D370" s="6"/>
      <c r="E370" s="6" t="s">
        <v>4</v>
      </c>
      <c r="F370" s="6"/>
      <c r="G370" s="6" t="s">
        <v>5</v>
      </c>
      <c r="H370" s="6"/>
      <c r="I370" s="6" t="s">
        <v>6</v>
      </c>
      <c r="J370" s="6"/>
      <c r="K370" s="6" t="s">
        <v>7</v>
      </c>
      <c r="L370" s="6"/>
      <c r="M370" s="6" t="s">
        <v>8</v>
      </c>
      <c r="N370" s="6"/>
      <c r="O370" s="6" t="s">
        <v>9</v>
      </c>
      <c r="P370" s="6"/>
      <c r="Q370" s="7" t="s">
        <v>10</v>
      </c>
      <c r="T370" s="5"/>
      <c r="U370" s="6" t="s">
        <v>3</v>
      </c>
      <c r="V370" s="6"/>
      <c r="W370" s="6" t="s">
        <v>4</v>
      </c>
      <c r="X370" s="6"/>
      <c r="Y370" s="6" t="s">
        <v>5</v>
      </c>
      <c r="Z370" s="6"/>
      <c r="AA370" s="6" t="s">
        <v>6</v>
      </c>
      <c r="AB370" s="6"/>
      <c r="AC370" s="6" t="s">
        <v>7</v>
      </c>
      <c r="AD370" s="6"/>
      <c r="AE370" s="6" t="s">
        <v>8</v>
      </c>
      <c r="AF370" s="6"/>
      <c r="AG370" s="6" t="s">
        <v>9</v>
      </c>
      <c r="AH370" s="6"/>
      <c r="AI370" s="7" t="s">
        <v>10</v>
      </c>
    </row>
    <row r="371" spans="2:35" x14ac:dyDescent="0.4">
      <c r="B371" s="8" t="s">
        <v>11</v>
      </c>
      <c r="C371" s="8" t="s">
        <v>12</v>
      </c>
      <c r="D371" s="8" t="s">
        <v>13</v>
      </c>
      <c r="E371" s="8" t="s">
        <v>12</v>
      </c>
      <c r="F371" s="8" t="s">
        <v>13</v>
      </c>
      <c r="G371" s="8" t="s">
        <v>12</v>
      </c>
      <c r="H371" s="8" t="s">
        <v>13</v>
      </c>
      <c r="I371" s="8" t="s">
        <v>12</v>
      </c>
      <c r="J371" s="8" t="s">
        <v>13</v>
      </c>
      <c r="K371" s="8" t="s">
        <v>12</v>
      </c>
      <c r="L371" s="8" t="s">
        <v>13</v>
      </c>
      <c r="M371" s="8" t="s">
        <v>12</v>
      </c>
      <c r="N371" s="8" t="s">
        <v>13</v>
      </c>
      <c r="O371" s="8" t="s">
        <v>12</v>
      </c>
      <c r="P371" s="8" t="s">
        <v>13</v>
      </c>
      <c r="Q371" s="7"/>
      <c r="T371" s="8" t="s">
        <v>11</v>
      </c>
      <c r="U371" s="8" t="s">
        <v>14</v>
      </c>
      <c r="V371" s="8" t="s">
        <v>13</v>
      </c>
      <c r="W371" s="8" t="s">
        <v>14</v>
      </c>
      <c r="X371" s="8" t="s">
        <v>13</v>
      </c>
      <c r="Y371" s="8" t="s">
        <v>14</v>
      </c>
      <c r="Z371" s="8" t="s">
        <v>13</v>
      </c>
      <c r="AA371" s="8" t="s">
        <v>14</v>
      </c>
      <c r="AB371" s="8" t="s">
        <v>13</v>
      </c>
      <c r="AC371" s="8" t="s">
        <v>14</v>
      </c>
      <c r="AD371" s="8" t="s">
        <v>13</v>
      </c>
      <c r="AE371" s="8" t="s">
        <v>14</v>
      </c>
      <c r="AF371" s="8" t="s">
        <v>13</v>
      </c>
      <c r="AG371" s="8" t="s">
        <v>14</v>
      </c>
      <c r="AH371" s="8" t="s">
        <v>13</v>
      </c>
      <c r="AI371" s="7"/>
    </row>
    <row r="372" spans="2:35" x14ac:dyDescent="0.4">
      <c r="B372" s="9" t="s">
        <v>15</v>
      </c>
      <c r="C372" s="10">
        <v>219</v>
      </c>
      <c r="D372" s="11">
        <f ca="1">C372/C$382</f>
        <v>0.50114416475972545</v>
      </c>
      <c r="E372" s="10">
        <v>424</v>
      </c>
      <c r="F372" s="11">
        <f ca="1">E372/E$382</f>
        <v>0.5528031290743155</v>
      </c>
      <c r="G372" s="10">
        <v>151</v>
      </c>
      <c r="H372" s="11">
        <f ca="1">G372/G$382</f>
        <v>0.99342105263157898</v>
      </c>
      <c r="I372" s="10">
        <v>126</v>
      </c>
      <c r="J372" s="11">
        <f ca="1">IFERROR((I372/I$382),0)</f>
        <v>1</v>
      </c>
      <c r="K372" s="10">
        <v>27</v>
      </c>
      <c r="L372" s="11">
        <f ca="1">K372/K$382</f>
        <v>0.93103448275862066</v>
      </c>
      <c r="M372" s="10">
        <v>40</v>
      </c>
      <c r="N372" s="11">
        <f ca="1">M372/M$382</f>
        <v>0.42553191489361702</v>
      </c>
      <c r="O372" s="10">
        <v>5</v>
      </c>
      <c r="P372" s="11">
        <f ca="1">IFERROR((O372/O$382),0)</f>
        <v>0.45454545454545453</v>
      </c>
      <c r="Q372" s="60">
        <f t="shared" ref="Q372:Q382" ca="1" si="363">SUM(C372,G372,I372,K372,M372,O372,E372)</f>
        <v>992</v>
      </c>
      <c r="T372" s="9" t="s">
        <v>15</v>
      </c>
      <c r="U372" s="10">
        <v>39955890.259999998</v>
      </c>
      <c r="V372" s="11">
        <f ca="1">U372/U$382</f>
        <v>0.52772704488593813</v>
      </c>
      <c r="W372" s="10">
        <v>88997064.100000039</v>
      </c>
      <c r="X372" s="11">
        <f ca="1">W372/W$382</f>
        <v>0.56706902571822937</v>
      </c>
      <c r="Y372" s="10">
        <v>60529490.899999991</v>
      </c>
      <c r="Z372" s="11">
        <f ca="1">Y372/Y$382</f>
        <v>0.9952833891367866</v>
      </c>
      <c r="AA372" s="10">
        <v>56001138.599999994</v>
      </c>
      <c r="AB372" s="11">
        <f ca="1">IFERROR((AA372/AA$382),0)</f>
        <v>1</v>
      </c>
      <c r="AC372" s="10">
        <v>1027936.0199999999</v>
      </c>
      <c r="AD372" s="11">
        <f ca="1">AC372/AC$382</f>
        <v>0.91409790501864041</v>
      </c>
      <c r="AE372" s="10">
        <v>1946050.5899999996</v>
      </c>
      <c r="AF372" s="11">
        <f ca="1">AE372/AE$382</f>
        <v>0.44857997563199881</v>
      </c>
      <c r="AG372" s="10">
        <v>500688.95999999985</v>
      </c>
      <c r="AH372" s="11">
        <f ca="1">IFERROR((AG372/AG$382),0)</f>
        <v>0.16739641847415568</v>
      </c>
      <c r="AI372" s="60">
        <f ca="1">SUM(U372,Y372,AA372,AC372,AE372,AG372,W372)</f>
        <v>248958259.43000007</v>
      </c>
    </row>
    <row r="373" spans="2:35" x14ac:dyDescent="0.4">
      <c r="B373" s="14" t="s">
        <v>16</v>
      </c>
      <c r="C373" s="15">
        <v>175</v>
      </c>
      <c r="D373" s="16">
        <f ca="1">C373/C$382</f>
        <v>0.40045766590389015</v>
      </c>
      <c r="E373" s="15">
        <v>283</v>
      </c>
      <c r="F373" s="16">
        <f ca="1">E373/E$382</f>
        <v>0.36897001303780963</v>
      </c>
      <c r="G373" s="15">
        <v>1</v>
      </c>
      <c r="H373" s="16">
        <f ca="1">G373/G$382</f>
        <v>6.5789473684210523E-3</v>
      </c>
      <c r="I373" s="15">
        <v>0</v>
      </c>
      <c r="J373" s="16">
        <f t="shared" ref="J373:J382" ca="1" si="364">IFERROR((I373/I$382),0)</f>
        <v>0</v>
      </c>
      <c r="K373" s="15">
        <v>2</v>
      </c>
      <c r="L373" s="16">
        <f ca="1">K373/K$382</f>
        <v>6.8965517241379309E-2</v>
      </c>
      <c r="M373" s="15">
        <v>42</v>
      </c>
      <c r="N373" s="16">
        <f ca="1">M373/M$382</f>
        <v>0.44680851063829785</v>
      </c>
      <c r="O373" s="15">
        <v>3</v>
      </c>
      <c r="P373" s="16">
        <f t="shared" ref="P373:P382" ca="1" si="365">IFERROR((O373/O$382),0)</f>
        <v>0.27272727272727271</v>
      </c>
      <c r="Q373" s="62">
        <f t="shared" ca="1" si="363"/>
        <v>506</v>
      </c>
      <c r="T373" s="14" t="s">
        <v>16</v>
      </c>
      <c r="U373" s="15">
        <v>31281200.200000003</v>
      </c>
      <c r="V373" s="16">
        <f ca="1">U373/U$382</f>
        <v>0.4131539864238134</v>
      </c>
      <c r="W373" s="15">
        <v>57208834.559999995</v>
      </c>
      <c r="X373" s="16">
        <f ca="1">W373/W$382</f>
        <v>0.36452166601768332</v>
      </c>
      <c r="Y373" s="15">
        <v>286847</v>
      </c>
      <c r="Z373" s="16">
        <f ca="1">Y373/Y$382</f>
        <v>4.7166108632134534E-3</v>
      </c>
      <c r="AA373" s="15">
        <v>0</v>
      </c>
      <c r="AB373" s="16">
        <f t="shared" ref="AB373:AB382" ca="1" si="366">IFERROR((AA373/AA$382),0)</f>
        <v>0</v>
      </c>
      <c r="AC373" s="15">
        <v>96600</v>
      </c>
      <c r="AD373" s="16">
        <f ca="1">AC373/AC$382</f>
        <v>8.5902094981359506E-2</v>
      </c>
      <c r="AE373" s="15">
        <v>1701847.66</v>
      </c>
      <c r="AF373" s="16">
        <f ca="1">AE373/AE$382</f>
        <v>0.3922892784879628</v>
      </c>
      <c r="AG373" s="15">
        <v>1086920.7599999998</v>
      </c>
      <c r="AH373" s="16">
        <f t="shared" ref="AH373:AH382" ca="1" si="367">IFERROR((AG373/AG$382),0)</f>
        <v>0.36339255890365019</v>
      </c>
      <c r="AI373" s="62">
        <f ca="1">SUM(U373,Y373,AA373,AC373,AE373,AG373,W373)</f>
        <v>91662250.180000007</v>
      </c>
    </row>
    <row r="374" spans="2:35" x14ac:dyDescent="0.4">
      <c r="B374" s="18" t="s">
        <v>17</v>
      </c>
      <c r="C374" s="19">
        <f ca="1">+SUM(C372:C373)</f>
        <v>394</v>
      </c>
      <c r="D374" s="20">
        <f ca="1">+C374/$C$382</f>
        <v>0.90160183066361554</v>
      </c>
      <c r="E374" s="19">
        <f ca="1">+SUM(E372:E373)</f>
        <v>707</v>
      </c>
      <c r="F374" s="20">
        <f ca="1">+E374/$E$382</f>
        <v>0.92177314211212513</v>
      </c>
      <c r="G374" s="19">
        <f ca="1">+SUM(G372:G373)</f>
        <v>152</v>
      </c>
      <c r="H374" s="20">
        <f ca="1">+G374/$G$382</f>
        <v>1</v>
      </c>
      <c r="I374" s="19">
        <f ca="1">+SUM(I372:I373)</f>
        <v>126</v>
      </c>
      <c r="J374" s="20">
        <f t="shared" ca="1" si="364"/>
        <v>1</v>
      </c>
      <c r="K374" s="19">
        <f ca="1">+SUM(K372:K373)</f>
        <v>29</v>
      </c>
      <c r="L374" s="20">
        <f ca="1">+K374/$K$382</f>
        <v>1</v>
      </c>
      <c r="M374" s="19">
        <f ca="1">+SUM(M372:M373)</f>
        <v>82</v>
      </c>
      <c r="N374" s="20">
        <f ca="1">+M374/$M$382</f>
        <v>0.87234042553191493</v>
      </c>
      <c r="O374" s="19">
        <f ca="1">+SUM(O372:O373)</f>
        <v>8</v>
      </c>
      <c r="P374" s="20">
        <f t="shared" ca="1" si="365"/>
        <v>0.72727272727272729</v>
      </c>
      <c r="Q374" s="101">
        <f ca="1">+SUM(Q372:Q373)</f>
        <v>1498</v>
      </c>
      <c r="T374" s="18" t="s">
        <v>17</v>
      </c>
      <c r="U374" s="19">
        <f ca="1">+SUM(U372:U373)</f>
        <v>71237090.460000008</v>
      </c>
      <c r="V374" s="20">
        <f ca="1">U374/U$382</f>
        <v>0.94088103130975165</v>
      </c>
      <c r="W374" s="19">
        <f ca="1">+SUM(W372:W373)</f>
        <v>146205898.66000003</v>
      </c>
      <c r="X374" s="20">
        <f ca="1">W374/W$382</f>
        <v>0.93159069173591258</v>
      </c>
      <c r="Y374" s="19">
        <f ca="1">+SUM(Y372:Y373)</f>
        <v>60816337.899999991</v>
      </c>
      <c r="Z374" s="20">
        <f ca="1">Y374/Y$382</f>
        <v>1</v>
      </c>
      <c r="AA374" s="19">
        <f ca="1">+SUM(AA372:AA373)</f>
        <v>56001138.599999994</v>
      </c>
      <c r="AB374" s="20">
        <f t="shared" ca="1" si="366"/>
        <v>1</v>
      </c>
      <c r="AC374" s="19">
        <f ca="1">+SUM(AC372:AC373)</f>
        <v>1124536.02</v>
      </c>
      <c r="AD374" s="20">
        <f ca="1">AC374/AC$382</f>
        <v>1</v>
      </c>
      <c r="AE374" s="19">
        <f ca="1">+SUM(AE372:AE373)</f>
        <v>3647898.2499999995</v>
      </c>
      <c r="AF374" s="20">
        <f ca="1">AE374/AE$382</f>
        <v>0.84086925411996161</v>
      </c>
      <c r="AG374" s="19">
        <f ca="1">+SUM(AG372:AG373)</f>
        <v>1587609.7199999997</v>
      </c>
      <c r="AH374" s="20">
        <f t="shared" ca="1" si="367"/>
        <v>0.53078897737780595</v>
      </c>
      <c r="AI374" s="101">
        <f ca="1">+SUM(AI372:AI373)</f>
        <v>340620509.61000007</v>
      </c>
    </row>
    <row r="375" spans="2:35" x14ac:dyDescent="0.4">
      <c r="B375" s="22" t="s">
        <v>18</v>
      </c>
      <c r="C375" s="15">
        <v>37</v>
      </c>
      <c r="D375" s="16">
        <f t="shared" ref="D375:D382" ca="1" si="368">C375/C$382</f>
        <v>8.4668192219679639E-2</v>
      </c>
      <c r="E375" s="15">
        <v>45</v>
      </c>
      <c r="F375" s="16">
        <f t="shared" ref="F375:F382" ca="1" si="369">E375/E$382</f>
        <v>5.867014341590613E-2</v>
      </c>
      <c r="G375" s="15">
        <v>0</v>
      </c>
      <c r="H375" s="16">
        <f t="shared" ref="H375:H382" ca="1" si="370">G375/G$382</f>
        <v>0</v>
      </c>
      <c r="I375" s="15">
        <v>0</v>
      </c>
      <c r="J375" s="16">
        <f t="shared" ca="1" si="364"/>
        <v>0</v>
      </c>
      <c r="K375" s="15">
        <v>0</v>
      </c>
      <c r="L375" s="16">
        <f t="shared" ref="L375:L382" ca="1" si="371">K375/K$382</f>
        <v>0</v>
      </c>
      <c r="M375" s="15">
        <v>10</v>
      </c>
      <c r="N375" s="16">
        <f t="shared" ref="N375:N382" ca="1" si="372">M375/M$382</f>
        <v>0.10638297872340426</v>
      </c>
      <c r="O375" s="15">
        <v>2</v>
      </c>
      <c r="P375" s="16">
        <f t="shared" ca="1" si="365"/>
        <v>0.18181818181818182</v>
      </c>
      <c r="Q375" s="62">
        <f t="shared" ca="1" si="363"/>
        <v>94</v>
      </c>
      <c r="T375" s="22" t="s">
        <v>18</v>
      </c>
      <c r="U375" s="15">
        <v>3731032.2700000005</v>
      </c>
      <c r="V375" s="16">
        <f t="shared" ref="V375:V382" ca="1" si="373">U375/U$382</f>
        <v>4.9278507409264614E-2</v>
      </c>
      <c r="W375" s="15">
        <v>8748544.9700000025</v>
      </c>
      <c r="X375" s="16">
        <f t="shared" ref="X375:X382" ca="1" si="374">W375/W$382</f>
        <v>5.5743736299161982E-2</v>
      </c>
      <c r="Y375" s="15">
        <v>0</v>
      </c>
      <c r="Z375" s="16">
        <f t="shared" ref="Z375:Z382" ca="1" si="375">Y375/Y$382</f>
        <v>0</v>
      </c>
      <c r="AA375" s="15">
        <v>0</v>
      </c>
      <c r="AB375" s="16">
        <f t="shared" ca="1" si="366"/>
        <v>0</v>
      </c>
      <c r="AC375" s="15">
        <v>0</v>
      </c>
      <c r="AD375" s="16">
        <f t="shared" ref="AD375:AD382" ca="1" si="376">AC375/AC$382</f>
        <v>0</v>
      </c>
      <c r="AE375" s="15">
        <v>489986.02999999997</v>
      </c>
      <c r="AF375" s="16">
        <f t="shared" ref="AF375:AF382" ca="1" si="377">AE375/AE$382</f>
        <v>0.11294563590837578</v>
      </c>
      <c r="AG375" s="15">
        <v>1047289.7999999998</v>
      </c>
      <c r="AH375" s="16">
        <f t="shared" ca="1" si="367"/>
        <v>0.35014265468228983</v>
      </c>
      <c r="AI375" s="62">
        <f t="shared" ref="AI375:AI382" ca="1" si="378">SUM(U375,Y375,AA375,AC375,AE375,AG375,W375)</f>
        <v>14016853.070000004</v>
      </c>
    </row>
    <row r="376" spans="2:35" x14ac:dyDescent="0.4">
      <c r="B376" s="22" t="s">
        <v>19</v>
      </c>
      <c r="C376" s="15">
        <v>6</v>
      </c>
      <c r="D376" s="16">
        <f t="shared" ca="1" si="368"/>
        <v>1.3729977116704805E-2</v>
      </c>
      <c r="E376" s="15">
        <v>15</v>
      </c>
      <c r="F376" s="16">
        <f t="shared" ca="1" si="369"/>
        <v>1.955671447196871E-2</v>
      </c>
      <c r="G376" s="15">
        <v>0</v>
      </c>
      <c r="H376" s="16">
        <f t="shared" ca="1" si="370"/>
        <v>0</v>
      </c>
      <c r="I376" s="15">
        <v>0</v>
      </c>
      <c r="J376" s="16">
        <f t="shared" ca="1" si="364"/>
        <v>0</v>
      </c>
      <c r="K376" s="15">
        <v>0</v>
      </c>
      <c r="L376" s="16">
        <f t="shared" ca="1" si="371"/>
        <v>0</v>
      </c>
      <c r="M376" s="15">
        <v>2</v>
      </c>
      <c r="N376" s="16">
        <f t="shared" ca="1" si="372"/>
        <v>2.1276595744680851E-2</v>
      </c>
      <c r="O376" s="15">
        <v>1</v>
      </c>
      <c r="P376" s="16">
        <f t="shared" ca="1" si="365"/>
        <v>9.0909090909090912E-2</v>
      </c>
      <c r="Q376" s="62">
        <f t="shared" ca="1" si="363"/>
        <v>24</v>
      </c>
      <c r="T376" s="22" t="s">
        <v>19</v>
      </c>
      <c r="U376" s="15">
        <v>745052.56999999983</v>
      </c>
      <c r="V376" s="16">
        <f t="shared" ca="1" si="373"/>
        <v>9.8404612809839427E-3</v>
      </c>
      <c r="W376" s="15">
        <v>1987762.8099999996</v>
      </c>
      <c r="X376" s="16">
        <f t="shared" ca="1" si="374"/>
        <v>1.2665571964925404E-2</v>
      </c>
      <c r="Y376" s="15">
        <v>0</v>
      </c>
      <c r="Z376" s="16">
        <f t="shared" ca="1" si="375"/>
        <v>0</v>
      </c>
      <c r="AA376" s="15">
        <v>0</v>
      </c>
      <c r="AB376" s="16">
        <f t="shared" ca="1" si="366"/>
        <v>0</v>
      </c>
      <c r="AC376" s="15">
        <v>0</v>
      </c>
      <c r="AD376" s="16">
        <f t="shared" ca="1" si="376"/>
        <v>0</v>
      </c>
      <c r="AE376" s="15">
        <v>200362.39999999991</v>
      </c>
      <c r="AF376" s="16">
        <f t="shared" ca="1" si="377"/>
        <v>4.6185109971662544E-2</v>
      </c>
      <c r="AG376" s="15">
        <v>356137.95000000019</v>
      </c>
      <c r="AH376" s="16">
        <f t="shared" ca="1" si="367"/>
        <v>0.11906836793990422</v>
      </c>
      <c r="AI376" s="62">
        <f t="shared" ca="1" si="378"/>
        <v>3289315.7299999995</v>
      </c>
    </row>
    <row r="377" spans="2:35" x14ac:dyDescent="0.4">
      <c r="B377" s="22" t="s">
        <v>20</v>
      </c>
      <c r="C377" s="15">
        <v>0</v>
      </c>
      <c r="D377" s="16">
        <f t="shared" ca="1" si="368"/>
        <v>0</v>
      </c>
      <c r="E377" s="15">
        <v>0</v>
      </c>
      <c r="F377" s="16">
        <f t="shared" ca="1" si="369"/>
        <v>0</v>
      </c>
      <c r="G377" s="15">
        <v>0</v>
      </c>
      <c r="H377" s="16">
        <f t="shared" ca="1" si="370"/>
        <v>0</v>
      </c>
      <c r="I377" s="15">
        <v>0</v>
      </c>
      <c r="J377" s="16">
        <f t="shared" ca="1" si="364"/>
        <v>0</v>
      </c>
      <c r="K377" s="15">
        <v>0</v>
      </c>
      <c r="L377" s="16">
        <f t="shared" ca="1" si="371"/>
        <v>0</v>
      </c>
      <c r="M377" s="15">
        <v>0</v>
      </c>
      <c r="N377" s="16">
        <f t="shared" ca="1" si="372"/>
        <v>0</v>
      </c>
      <c r="O377" s="15">
        <v>0</v>
      </c>
      <c r="P377" s="16">
        <f t="shared" ca="1" si="365"/>
        <v>0</v>
      </c>
      <c r="Q377" s="62">
        <f t="shared" ca="1" si="363"/>
        <v>0</v>
      </c>
      <c r="T377" s="22" t="s">
        <v>20</v>
      </c>
      <c r="U377" s="15">
        <v>0</v>
      </c>
      <c r="V377" s="16">
        <f t="shared" ca="1" si="373"/>
        <v>0</v>
      </c>
      <c r="W377" s="15">
        <v>0</v>
      </c>
      <c r="X377" s="16">
        <f t="shared" ca="1" si="374"/>
        <v>0</v>
      </c>
      <c r="Y377" s="15">
        <v>0</v>
      </c>
      <c r="Z377" s="16">
        <f t="shared" ca="1" si="375"/>
        <v>0</v>
      </c>
      <c r="AA377" s="15">
        <v>0</v>
      </c>
      <c r="AB377" s="16">
        <f t="shared" ca="1" si="366"/>
        <v>0</v>
      </c>
      <c r="AC377" s="15">
        <v>0</v>
      </c>
      <c r="AD377" s="16">
        <f t="shared" ca="1" si="376"/>
        <v>0</v>
      </c>
      <c r="AE377" s="15">
        <v>0</v>
      </c>
      <c r="AF377" s="16">
        <f t="shared" ca="1" si="377"/>
        <v>0</v>
      </c>
      <c r="AG377" s="15">
        <v>0</v>
      </c>
      <c r="AH377" s="16">
        <f t="shared" ca="1" si="367"/>
        <v>0</v>
      </c>
      <c r="AI377" s="62">
        <f t="shared" ca="1" si="378"/>
        <v>0</v>
      </c>
    </row>
    <row r="378" spans="2:35" x14ac:dyDescent="0.4">
      <c r="B378" s="22" t="s">
        <v>21</v>
      </c>
      <c r="C378" s="15">
        <v>0</v>
      </c>
      <c r="D378" s="16">
        <f t="shared" ca="1" si="368"/>
        <v>0</v>
      </c>
      <c r="E378" s="15">
        <v>0</v>
      </c>
      <c r="F378" s="16">
        <f t="shared" ca="1" si="369"/>
        <v>0</v>
      </c>
      <c r="G378" s="15">
        <v>0</v>
      </c>
      <c r="H378" s="16">
        <f t="shared" ca="1" si="370"/>
        <v>0</v>
      </c>
      <c r="I378" s="15">
        <v>0</v>
      </c>
      <c r="J378" s="16">
        <f t="shared" ca="1" si="364"/>
        <v>0</v>
      </c>
      <c r="K378" s="15">
        <v>0</v>
      </c>
      <c r="L378" s="16">
        <f t="shared" ca="1" si="371"/>
        <v>0</v>
      </c>
      <c r="M378" s="15">
        <v>0</v>
      </c>
      <c r="N378" s="16">
        <f t="shared" ca="1" si="372"/>
        <v>0</v>
      </c>
      <c r="O378" s="15">
        <v>0</v>
      </c>
      <c r="P378" s="16">
        <f t="shared" ca="1" si="365"/>
        <v>0</v>
      </c>
      <c r="Q378" s="62">
        <f t="shared" ca="1" si="363"/>
        <v>0</v>
      </c>
      <c r="T378" s="22" t="s">
        <v>21</v>
      </c>
      <c r="U378" s="15">
        <v>0</v>
      </c>
      <c r="V378" s="16">
        <f t="shared" ca="1" si="373"/>
        <v>0</v>
      </c>
      <c r="W378" s="15">
        <v>0</v>
      </c>
      <c r="X378" s="16">
        <f t="shared" ca="1" si="374"/>
        <v>0</v>
      </c>
      <c r="Y378" s="15">
        <v>0</v>
      </c>
      <c r="Z378" s="16">
        <f t="shared" ca="1" si="375"/>
        <v>0</v>
      </c>
      <c r="AA378" s="15">
        <v>0</v>
      </c>
      <c r="AB378" s="16">
        <f t="shared" ca="1" si="366"/>
        <v>0</v>
      </c>
      <c r="AC378" s="15">
        <v>0</v>
      </c>
      <c r="AD378" s="16">
        <f t="shared" ca="1" si="376"/>
        <v>0</v>
      </c>
      <c r="AE378" s="15">
        <v>0</v>
      </c>
      <c r="AF378" s="16">
        <f t="shared" ca="1" si="377"/>
        <v>0</v>
      </c>
      <c r="AG378" s="15">
        <v>0</v>
      </c>
      <c r="AH378" s="16">
        <f t="shared" ca="1" si="367"/>
        <v>0</v>
      </c>
      <c r="AI378" s="62">
        <f t="shared" ca="1" si="378"/>
        <v>0</v>
      </c>
    </row>
    <row r="379" spans="2:35" x14ac:dyDescent="0.4">
      <c r="B379" s="22" t="s">
        <v>22</v>
      </c>
      <c r="C379" s="15">
        <v>0</v>
      </c>
      <c r="D379" s="16">
        <f t="shared" ca="1" si="368"/>
        <v>0</v>
      </c>
      <c r="E379" s="15">
        <v>0</v>
      </c>
      <c r="F379" s="16">
        <f t="shared" ca="1" si="369"/>
        <v>0</v>
      </c>
      <c r="G379" s="15">
        <v>0</v>
      </c>
      <c r="H379" s="16">
        <f t="shared" ca="1" si="370"/>
        <v>0</v>
      </c>
      <c r="I379" s="15">
        <v>0</v>
      </c>
      <c r="J379" s="16">
        <f t="shared" ca="1" si="364"/>
        <v>0</v>
      </c>
      <c r="K379" s="15">
        <v>0</v>
      </c>
      <c r="L379" s="16">
        <f t="shared" ca="1" si="371"/>
        <v>0</v>
      </c>
      <c r="M379" s="15">
        <v>0</v>
      </c>
      <c r="N379" s="16">
        <f t="shared" ca="1" si="372"/>
        <v>0</v>
      </c>
      <c r="O379" s="15">
        <v>0</v>
      </c>
      <c r="P379" s="16">
        <f t="shared" ca="1" si="365"/>
        <v>0</v>
      </c>
      <c r="Q379" s="62">
        <f t="shared" ca="1" si="363"/>
        <v>0</v>
      </c>
      <c r="T379" s="22" t="s">
        <v>22</v>
      </c>
      <c r="U379" s="15">
        <v>0</v>
      </c>
      <c r="V379" s="16">
        <f t="shared" ca="1" si="373"/>
        <v>0</v>
      </c>
      <c r="W379" s="15">
        <v>0</v>
      </c>
      <c r="X379" s="16">
        <f t="shared" ca="1" si="374"/>
        <v>0</v>
      </c>
      <c r="Y379" s="15">
        <v>0</v>
      </c>
      <c r="Z379" s="16">
        <f t="shared" ca="1" si="375"/>
        <v>0</v>
      </c>
      <c r="AA379" s="15">
        <v>0</v>
      </c>
      <c r="AB379" s="16">
        <f t="shared" ca="1" si="366"/>
        <v>0</v>
      </c>
      <c r="AC379" s="15">
        <v>0</v>
      </c>
      <c r="AD379" s="16">
        <f t="shared" ca="1" si="376"/>
        <v>0</v>
      </c>
      <c r="AE379" s="15">
        <v>0</v>
      </c>
      <c r="AF379" s="16">
        <f t="shared" ca="1" si="377"/>
        <v>0</v>
      </c>
      <c r="AG379" s="15">
        <v>0</v>
      </c>
      <c r="AH379" s="16">
        <f t="shared" ca="1" si="367"/>
        <v>0</v>
      </c>
      <c r="AI379" s="62">
        <f t="shared" ca="1" si="378"/>
        <v>0</v>
      </c>
    </row>
    <row r="380" spans="2:35" x14ac:dyDescent="0.4">
      <c r="B380" s="22" t="s">
        <v>23</v>
      </c>
      <c r="C380" s="15">
        <v>0</v>
      </c>
      <c r="D380" s="16">
        <f t="shared" ca="1" si="368"/>
        <v>0</v>
      </c>
      <c r="E380" s="15">
        <v>0</v>
      </c>
      <c r="F380" s="16">
        <f t="shared" ca="1" si="369"/>
        <v>0</v>
      </c>
      <c r="G380" s="15">
        <v>0</v>
      </c>
      <c r="H380" s="16">
        <f t="shared" ca="1" si="370"/>
        <v>0</v>
      </c>
      <c r="I380" s="15">
        <v>0</v>
      </c>
      <c r="J380" s="16">
        <f t="shared" ca="1" si="364"/>
        <v>0</v>
      </c>
      <c r="K380" s="15">
        <v>0</v>
      </c>
      <c r="L380" s="16">
        <f t="shared" ca="1" si="371"/>
        <v>0</v>
      </c>
      <c r="M380" s="15">
        <v>0</v>
      </c>
      <c r="N380" s="16">
        <f t="shared" ca="1" si="372"/>
        <v>0</v>
      </c>
      <c r="O380" s="15">
        <v>0</v>
      </c>
      <c r="P380" s="16">
        <f t="shared" ca="1" si="365"/>
        <v>0</v>
      </c>
      <c r="Q380" s="62">
        <f t="shared" ca="1" si="363"/>
        <v>0</v>
      </c>
      <c r="T380" s="22" t="s">
        <v>23</v>
      </c>
      <c r="U380" s="15">
        <v>0</v>
      </c>
      <c r="V380" s="16">
        <f t="shared" ca="1" si="373"/>
        <v>0</v>
      </c>
      <c r="W380" s="15">
        <v>0</v>
      </c>
      <c r="X380" s="16">
        <f t="shared" ca="1" si="374"/>
        <v>0</v>
      </c>
      <c r="Y380" s="15">
        <v>0</v>
      </c>
      <c r="Z380" s="16">
        <f t="shared" ca="1" si="375"/>
        <v>0</v>
      </c>
      <c r="AA380" s="15">
        <v>0</v>
      </c>
      <c r="AB380" s="16">
        <f t="shared" ca="1" si="366"/>
        <v>0</v>
      </c>
      <c r="AC380" s="15">
        <v>0</v>
      </c>
      <c r="AD380" s="16">
        <f t="shared" ca="1" si="376"/>
        <v>0</v>
      </c>
      <c r="AE380" s="15">
        <v>0</v>
      </c>
      <c r="AF380" s="16">
        <f t="shared" ca="1" si="377"/>
        <v>0</v>
      </c>
      <c r="AG380" s="15">
        <v>0</v>
      </c>
      <c r="AH380" s="16">
        <f t="shared" ca="1" si="367"/>
        <v>0</v>
      </c>
      <c r="AI380" s="62">
        <f t="shared" ca="1" si="378"/>
        <v>0</v>
      </c>
    </row>
    <row r="381" spans="2:35" x14ac:dyDescent="0.4">
      <c r="B381" s="23" t="s">
        <v>24</v>
      </c>
      <c r="C381" s="24">
        <v>0</v>
      </c>
      <c r="D381" s="25">
        <f t="shared" ca="1" si="368"/>
        <v>0</v>
      </c>
      <c r="E381" s="24">
        <v>0</v>
      </c>
      <c r="F381" s="25">
        <f t="shared" ca="1" si="369"/>
        <v>0</v>
      </c>
      <c r="G381" s="24">
        <v>0</v>
      </c>
      <c r="H381" s="25">
        <f t="shared" ca="1" si="370"/>
        <v>0</v>
      </c>
      <c r="I381" s="24">
        <v>0</v>
      </c>
      <c r="J381" s="25">
        <f t="shared" ca="1" si="364"/>
        <v>0</v>
      </c>
      <c r="K381" s="24">
        <v>0</v>
      </c>
      <c r="L381" s="25">
        <f t="shared" ca="1" si="371"/>
        <v>0</v>
      </c>
      <c r="M381" s="24">
        <v>0</v>
      </c>
      <c r="N381" s="25">
        <f t="shared" ca="1" si="372"/>
        <v>0</v>
      </c>
      <c r="O381" s="24">
        <v>0</v>
      </c>
      <c r="P381" s="25">
        <f t="shared" ca="1" si="365"/>
        <v>0</v>
      </c>
      <c r="Q381" s="64">
        <f t="shared" ca="1" si="363"/>
        <v>0</v>
      </c>
      <c r="T381" s="23" t="s">
        <v>24</v>
      </c>
      <c r="U381" s="24">
        <v>0</v>
      </c>
      <c r="V381" s="25">
        <f t="shared" ca="1" si="373"/>
        <v>0</v>
      </c>
      <c r="W381" s="24">
        <v>0</v>
      </c>
      <c r="X381" s="25">
        <f t="shared" ca="1" si="374"/>
        <v>0</v>
      </c>
      <c r="Y381" s="24">
        <v>0</v>
      </c>
      <c r="Z381" s="25">
        <f t="shared" ca="1" si="375"/>
        <v>0</v>
      </c>
      <c r="AA381" s="24">
        <v>0</v>
      </c>
      <c r="AB381" s="25">
        <f t="shared" ca="1" si="366"/>
        <v>0</v>
      </c>
      <c r="AC381" s="24">
        <v>0</v>
      </c>
      <c r="AD381" s="25">
        <f t="shared" ca="1" si="376"/>
        <v>0</v>
      </c>
      <c r="AE381" s="24">
        <v>0</v>
      </c>
      <c r="AF381" s="25">
        <f t="shared" ca="1" si="377"/>
        <v>0</v>
      </c>
      <c r="AG381" s="24">
        <v>0</v>
      </c>
      <c r="AH381" s="25">
        <f t="shared" ca="1" si="367"/>
        <v>0</v>
      </c>
      <c r="AI381" s="64">
        <f t="shared" ca="1" si="378"/>
        <v>0</v>
      </c>
    </row>
    <row r="382" spans="2:35" x14ac:dyDescent="0.4">
      <c r="B382" s="27" t="s">
        <v>25</v>
      </c>
      <c r="C382" s="28">
        <f ca="1">SUM(C374:C381)</f>
        <v>437</v>
      </c>
      <c r="D382" s="29">
        <f t="shared" ca="1" si="368"/>
        <v>1</v>
      </c>
      <c r="E382" s="28">
        <f ca="1">SUM(E374:E381)</f>
        <v>767</v>
      </c>
      <c r="F382" s="29">
        <f t="shared" ca="1" si="369"/>
        <v>1</v>
      </c>
      <c r="G382" s="28">
        <f ca="1">SUM(G374:G381)</f>
        <v>152</v>
      </c>
      <c r="H382" s="29">
        <f t="shared" ca="1" si="370"/>
        <v>1</v>
      </c>
      <c r="I382" s="28">
        <f ca="1">SUM(I374:I381)</f>
        <v>126</v>
      </c>
      <c r="J382" s="29">
        <f t="shared" ca="1" si="364"/>
        <v>1</v>
      </c>
      <c r="K382" s="28">
        <f ca="1">SUM(K374:K381)</f>
        <v>29</v>
      </c>
      <c r="L382" s="29">
        <f t="shared" ca="1" si="371"/>
        <v>1</v>
      </c>
      <c r="M382" s="28">
        <f ca="1">SUM(M374:M381)</f>
        <v>94</v>
      </c>
      <c r="N382" s="29">
        <f t="shared" ca="1" si="372"/>
        <v>1</v>
      </c>
      <c r="O382" s="28">
        <f ca="1">SUM(O374:O381)</f>
        <v>11</v>
      </c>
      <c r="P382" s="29">
        <f t="shared" ca="1" si="365"/>
        <v>1</v>
      </c>
      <c r="Q382" s="31">
        <f t="shared" ca="1" si="363"/>
        <v>1616</v>
      </c>
      <c r="T382" s="27" t="s">
        <v>25</v>
      </c>
      <c r="U382" s="28">
        <f ca="1">SUM(U374:U381)</f>
        <v>75713175.299999997</v>
      </c>
      <c r="V382" s="29">
        <f t="shared" ca="1" si="373"/>
        <v>1</v>
      </c>
      <c r="W382" s="28">
        <f ca="1">SUM(W374:W381)</f>
        <v>156942206.44000003</v>
      </c>
      <c r="X382" s="29">
        <f t="shared" ca="1" si="374"/>
        <v>1</v>
      </c>
      <c r="Y382" s="28">
        <f ca="1">SUM(Y374:Y381)</f>
        <v>60816337.899999991</v>
      </c>
      <c r="Z382" s="29">
        <f t="shared" ca="1" si="375"/>
        <v>1</v>
      </c>
      <c r="AA382" s="28">
        <f ca="1">SUM(AA374:AA381)</f>
        <v>56001138.599999994</v>
      </c>
      <c r="AB382" s="29">
        <f t="shared" ca="1" si="366"/>
        <v>1</v>
      </c>
      <c r="AC382" s="28">
        <f ca="1">SUM(AC374:AC381)</f>
        <v>1124536.02</v>
      </c>
      <c r="AD382" s="29">
        <f t="shared" ca="1" si="376"/>
        <v>1</v>
      </c>
      <c r="AE382" s="28">
        <f ca="1">SUM(AE374:AE381)</f>
        <v>4338246.68</v>
      </c>
      <c r="AF382" s="29">
        <f t="shared" ca="1" si="377"/>
        <v>1</v>
      </c>
      <c r="AG382" s="28">
        <f ca="1">SUM(AG374:AG381)</f>
        <v>2991037.4699999997</v>
      </c>
      <c r="AH382" s="29">
        <f t="shared" ca="1" si="367"/>
        <v>1</v>
      </c>
      <c r="AI382" s="31">
        <f t="shared" ca="1" si="378"/>
        <v>357926678.41000003</v>
      </c>
    </row>
    <row r="383" spans="2:35" x14ac:dyDescent="0.4">
      <c r="B383" s="32" t="s">
        <v>26</v>
      </c>
      <c r="C383" s="33">
        <f ca="1">C382/$Q$382</f>
        <v>0.27042079207920794</v>
      </c>
      <c r="D383" s="33"/>
      <c r="E383" s="33">
        <f ca="1">E382/$Q$382</f>
        <v>0.47462871287128711</v>
      </c>
      <c r="F383" s="33"/>
      <c r="G383" s="33">
        <f ca="1">G382/$Q$382</f>
        <v>9.405940594059406E-2</v>
      </c>
      <c r="H383" s="33"/>
      <c r="I383" s="33">
        <f ca="1">I382/$Q$382</f>
        <v>7.797029702970297E-2</v>
      </c>
      <c r="J383" s="33"/>
      <c r="K383" s="33">
        <f ca="1">K382/$Q$382</f>
        <v>1.7945544554455444E-2</v>
      </c>
      <c r="L383" s="33"/>
      <c r="M383" s="33">
        <f ca="1">M382/$Q$382</f>
        <v>5.8168316831683171E-2</v>
      </c>
      <c r="N383" s="33"/>
      <c r="O383" s="33">
        <f ca="1">O382/$Q$382</f>
        <v>6.8069306930693069E-3</v>
      </c>
      <c r="P383" s="33"/>
      <c r="Q383" s="34">
        <f ca="1">Q382/$Q$382</f>
        <v>1</v>
      </c>
      <c r="T383" s="32" t="s">
        <v>26</v>
      </c>
      <c r="U383" s="33">
        <f ca="1">U382/$AI$382</f>
        <v>0.21153264025005594</v>
      </c>
      <c r="V383" s="33"/>
      <c r="W383" s="33">
        <f ca="1">W382/$AI$382</f>
        <v>0.43847585527062866</v>
      </c>
      <c r="X383" s="33"/>
      <c r="Y383" s="33">
        <f ca="1">Y382/$AI$382</f>
        <v>0.1699128384901662</v>
      </c>
      <c r="Z383" s="33"/>
      <c r="AA383" s="33">
        <f ca="1">AA382/$AI$382</f>
        <v>0.15645980581489785</v>
      </c>
      <c r="AB383" s="33"/>
      <c r="AC383" s="33">
        <f ca="1">AC382/$AI$382</f>
        <v>3.1418055368084624E-3</v>
      </c>
      <c r="AD383" s="33"/>
      <c r="AE383" s="33">
        <f ca="1">AE382/$AI$382</f>
        <v>1.212048987035998E-2</v>
      </c>
      <c r="AF383" s="33"/>
      <c r="AG383" s="33">
        <f ca="1">AG382/$AI$382</f>
        <v>8.356564767082849E-3</v>
      </c>
      <c r="AH383" s="33"/>
      <c r="AI383" s="34">
        <f ca="1">AI382/$AI$382</f>
        <v>1</v>
      </c>
    </row>
    <row r="385" spans="2:35" x14ac:dyDescent="0.4">
      <c r="B385" s="4" t="s">
        <v>50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T385" s="4" t="s">
        <v>50</v>
      </c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spans="2:35" x14ac:dyDescent="0.4">
      <c r="B386" s="5"/>
      <c r="C386" s="6" t="s">
        <v>3</v>
      </c>
      <c r="D386" s="6"/>
      <c r="E386" s="6" t="s">
        <v>4</v>
      </c>
      <c r="F386" s="6"/>
      <c r="G386" s="6" t="s">
        <v>5</v>
      </c>
      <c r="H386" s="6"/>
      <c r="I386" s="6" t="s">
        <v>6</v>
      </c>
      <c r="J386" s="6"/>
      <c r="K386" s="6" t="s">
        <v>7</v>
      </c>
      <c r="L386" s="6"/>
      <c r="M386" s="6" t="s">
        <v>8</v>
      </c>
      <c r="N386" s="6"/>
      <c r="O386" s="6" t="s">
        <v>9</v>
      </c>
      <c r="P386" s="6"/>
      <c r="Q386" s="7" t="s">
        <v>10</v>
      </c>
      <c r="T386" s="5"/>
      <c r="U386" s="6" t="s">
        <v>3</v>
      </c>
      <c r="V386" s="6"/>
      <c r="W386" s="6" t="s">
        <v>4</v>
      </c>
      <c r="X386" s="6"/>
      <c r="Y386" s="6" t="s">
        <v>5</v>
      </c>
      <c r="Z386" s="6"/>
      <c r="AA386" s="6" t="s">
        <v>6</v>
      </c>
      <c r="AB386" s="6"/>
      <c r="AC386" s="6" t="s">
        <v>7</v>
      </c>
      <c r="AD386" s="6"/>
      <c r="AE386" s="6" t="s">
        <v>8</v>
      </c>
      <c r="AF386" s="6"/>
      <c r="AG386" s="6" t="s">
        <v>9</v>
      </c>
      <c r="AH386" s="6"/>
      <c r="AI386" s="7" t="s">
        <v>10</v>
      </c>
    </row>
    <row r="387" spans="2:35" x14ac:dyDescent="0.4">
      <c r="B387" s="8" t="s">
        <v>11</v>
      </c>
      <c r="C387" s="8" t="s">
        <v>12</v>
      </c>
      <c r="D387" s="8" t="s">
        <v>13</v>
      </c>
      <c r="E387" s="8" t="s">
        <v>12</v>
      </c>
      <c r="F387" s="8" t="s">
        <v>13</v>
      </c>
      <c r="G387" s="8" t="s">
        <v>12</v>
      </c>
      <c r="H387" s="8" t="s">
        <v>13</v>
      </c>
      <c r="I387" s="8" t="s">
        <v>12</v>
      </c>
      <c r="J387" s="8" t="s">
        <v>13</v>
      </c>
      <c r="K387" s="8" t="s">
        <v>12</v>
      </c>
      <c r="L387" s="8" t="s">
        <v>13</v>
      </c>
      <c r="M387" s="8" t="s">
        <v>12</v>
      </c>
      <c r="N387" s="8" t="s">
        <v>13</v>
      </c>
      <c r="O387" s="8" t="s">
        <v>12</v>
      </c>
      <c r="P387" s="8" t="s">
        <v>13</v>
      </c>
      <c r="Q387" s="7"/>
      <c r="T387" s="8" t="s">
        <v>11</v>
      </c>
      <c r="U387" s="8" t="s">
        <v>14</v>
      </c>
      <c r="V387" s="8" t="s">
        <v>13</v>
      </c>
      <c r="W387" s="8" t="s">
        <v>14</v>
      </c>
      <c r="X387" s="8" t="s">
        <v>13</v>
      </c>
      <c r="Y387" s="8" t="s">
        <v>14</v>
      </c>
      <c r="Z387" s="8" t="s">
        <v>13</v>
      </c>
      <c r="AA387" s="8" t="s">
        <v>14</v>
      </c>
      <c r="AB387" s="8" t="s">
        <v>13</v>
      </c>
      <c r="AC387" s="8" t="s">
        <v>14</v>
      </c>
      <c r="AD387" s="8" t="s">
        <v>13</v>
      </c>
      <c r="AE387" s="8" t="s">
        <v>14</v>
      </c>
      <c r="AF387" s="8" t="s">
        <v>13</v>
      </c>
      <c r="AG387" s="8" t="s">
        <v>14</v>
      </c>
      <c r="AH387" s="8" t="s">
        <v>13</v>
      </c>
      <c r="AI387" s="7"/>
    </row>
    <row r="388" spans="2:35" x14ac:dyDescent="0.4">
      <c r="B388" s="9" t="s">
        <v>15</v>
      </c>
      <c r="C388" s="10">
        <v>60</v>
      </c>
      <c r="D388" s="11">
        <f ca="1">IFERROR(C388/C$398,0)</f>
        <v>0.37267080745341613</v>
      </c>
      <c r="E388" s="10">
        <v>114</v>
      </c>
      <c r="F388" s="11">
        <f ca="1">IFERROR(E388/E$398,0)</f>
        <v>0.4175824175824176</v>
      </c>
      <c r="G388" s="10">
        <v>31</v>
      </c>
      <c r="H388" s="11">
        <f ca="1">IFERROR(G388/G$398,0)</f>
        <v>1</v>
      </c>
      <c r="I388" s="10">
        <v>37</v>
      </c>
      <c r="J388" s="11">
        <f ca="1">IFERROR(I388/I$398,0)</f>
        <v>0.94871794871794868</v>
      </c>
      <c r="K388" s="10">
        <v>2</v>
      </c>
      <c r="L388" s="11">
        <f ca="1">IFERROR(K388/K$398,0)</f>
        <v>0.66666666666666663</v>
      </c>
      <c r="M388" s="10">
        <v>13</v>
      </c>
      <c r="N388" s="11">
        <f ca="1">IFERROR(M388/M$398,0)</f>
        <v>0.25490196078431371</v>
      </c>
      <c r="O388" s="10">
        <v>1</v>
      </c>
      <c r="P388" s="11">
        <f ca="1">IFERROR(O388/O$398,0)</f>
        <v>0.14285714285714285</v>
      </c>
      <c r="Q388" s="60">
        <f t="shared" ref="Q388:Q398" ca="1" si="379">SUM(C388,G388,I388,K388,M388,O388,E388)</f>
        <v>258</v>
      </c>
      <c r="T388" s="9" t="s">
        <v>15</v>
      </c>
      <c r="U388" s="10">
        <v>11790469.469999999</v>
      </c>
      <c r="V388" s="11">
        <f ca="1">IFERROR(U388/U$398,0)</f>
        <v>0.47323155192897381</v>
      </c>
      <c r="W388" s="10">
        <v>20256829.850000009</v>
      </c>
      <c r="X388" s="11">
        <f ca="1">IFERROR(W388/W$398,0)</f>
        <v>0.43009170522006651</v>
      </c>
      <c r="Y388" s="10">
        <v>9147711.7799999975</v>
      </c>
      <c r="Z388" s="11">
        <f ca="1">IFERROR(Y388/Y$398,0)</f>
        <v>1</v>
      </c>
      <c r="AA388" s="10">
        <v>13519583.339999998</v>
      </c>
      <c r="AB388" s="11">
        <f ca="1">IFERROR(AA388/AA$398,0)</f>
        <v>0.99277265667454939</v>
      </c>
      <c r="AC388" s="10">
        <v>50000</v>
      </c>
      <c r="AD388" s="11">
        <f ca="1">IFERROR(AC388/AC$398,0)</f>
        <v>0.35714285714285715</v>
      </c>
      <c r="AE388" s="10">
        <v>538507</v>
      </c>
      <c r="AF388" s="11">
        <f ca="1">IFERROR(AE388/AE$398,0)</f>
        <v>0.2726780430923435</v>
      </c>
      <c r="AG388" s="10">
        <v>145039.95999999985</v>
      </c>
      <c r="AH388" s="11">
        <f ca="1">IFERROR(AG388/AG$398,0)</f>
        <v>5.4046704116004894E-2</v>
      </c>
      <c r="AI388" s="60">
        <f ca="1">SUM(U388,Y388,AA388,AC388,AE388,AG388,W388)</f>
        <v>55448141.400000006</v>
      </c>
    </row>
    <row r="389" spans="2:35" x14ac:dyDescent="0.4">
      <c r="B389" s="14" t="s">
        <v>16</v>
      </c>
      <c r="C389" s="15">
        <v>57</v>
      </c>
      <c r="D389" s="16">
        <f ca="1">IFERROR(C389/C$398,0)</f>
        <v>0.35403726708074534</v>
      </c>
      <c r="E389" s="15">
        <v>98</v>
      </c>
      <c r="F389" s="16">
        <f ca="1">IFERROR(E389/E$398,0)</f>
        <v>0.35897435897435898</v>
      </c>
      <c r="G389" s="15">
        <v>0</v>
      </c>
      <c r="H389" s="16">
        <f ca="1">IFERROR(G389/G$398,0)</f>
        <v>0</v>
      </c>
      <c r="I389" s="15">
        <v>0</v>
      </c>
      <c r="J389" s="16">
        <f ca="1">IFERROR(I389/I$398,0)</f>
        <v>0</v>
      </c>
      <c r="K389" s="15">
        <v>0</v>
      </c>
      <c r="L389" s="16">
        <f ca="1">IFERROR(K389/K$398,0)</f>
        <v>0</v>
      </c>
      <c r="M389" s="15">
        <v>18</v>
      </c>
      <c r="N389" s="16">
        <f ca="1">IFERROR(M389/M$398,0)</f>
        <v>0.35294117647058826</v>
      </c>
      <c r="O389" s="15">
        <v>2</v>
      </c>
      <c r="P389" s="16">
        <f ca="1">IFERROR(O389/O$398,0)</f>
        <v>0.2857142857142857</v>
      </c>
      <c r="Q389" s="62">
        <f t="shared" ca="1" si="379"/>
        <v>175</v>
      </c>
      <c r="T389" s="14" t="s">
        <v>16</v>
      </c>
      <c r="U389" s="15">
        <v>9151703.4900000002</v>
      </c>
      <c r="V389" s="16">
        <f ca="1">IFERROR(U389/U$398,0)</f>
        <v>0.36731996604427886</v>
      </c>
      <c r="W389" s="15">
        <v>17247040.539999995</v>
      </c>
      <c r="X389" s="16">
        <f ca="1">IFERROR(W389/W$398,0)</f>
        <v>0.36618805266058013</v>
      </c>
      <c r="Y389" s="15">
        <v>0</v>
      </c>
      <c r="Z389" s="16">
        <f ca="1">IFERROR(Y389/Y$398,0)</f>
        <v>0</v>
      </c>
      <c r="AA389" s="15">
        <v>0</v>
      </c>
      <c r="AB389" s="16">
        <f ca="1">IFERROR(AA389/AA$398,0)</f>
        <v>0</v>
      </c>
      <c r="AC389" s="15">
        <v>0</v>
      </c>
      <c r="AD389" s="16">
        <f ca="1">IFERROR(AC389/AC$398,0)</f>
        <v>0</v>
      </c>
      <c r="AE389" s="15">
        <v>596132.37000000011</v>
      </c>
      <c r="AF389" s="16">
        <f ca="1">IFERROR(AE389/AE$398,0)</f>
        <v>0.30185718676934731</v>
      </c>
      <c r="AG389" s="15">
        <v>585136.44999999972</v>
      </c>
      <c r="AH389" s="16">
        <f ca="1">IFERROR(AG389/AG$398,0)</f>
        <v>0.21804126656294937</v>
      </c>
      <c r="AI389" s="62">
        <f ca="1">SUM(U389,Y389,AA389,AC389,AE389,AG389,W389)</f>
        <v>27580012.849999994</v>
      </c>
    </row>
    <row r="390" spans="2:35" x14ac:dyDescent="0.4">
      <c r="B390" s="18" t="s">
        <v>17</v>
      </c>
      <c r="C390" s="19">
        <f ca="1">+SUM(C388:C389)</f>
        <v>117</v>
      </c>
      <c r="D390" s="20">
        <f ca="1">+C390/$C$398</f>
        <v>0.72670807453416153</v>
      </c>
      <c r="E390" s="19">
        <f ca="1">+SUM(E388:E389)</f>
        <v>212</v>
      </c>
      <c r="F390" s="20">
        <f ca="1">+E390/$E$398</f>
        <v>0.77655677655677657</v>
      </c>
      <c r="G390" s="19">
        <f ca="1">+SUM(G388:G389)</f>
        <v>31</v>
      </c>
      <c r="H390" s="20">
        <f ca="1">+G390/$G$398</f>
        <v>1</v>
      </c>
      <c r="I390" s="19">
        <f ca="1">+SUM(I388:I389)</f>
        <v>37</v>
      </c>
      <c r="J390" s="20">
        <f ca="1">+IFERROR((I390/$I$398),0)</f>
        <v>0.94871794871794868</v>
      </c>
      <c r="K390" s="19">
        <f ca="1">+SUM(K388:K389)</f>
        <v>2</v>
      </c>
      <c r="L390" s="20">
        <f ca="1">+K390/$K$398</f>
        <v>0.66666666666666663</v>
      </c>
      <c r="M390" s="19">
        <f ca="1">+SUM(M388:M389)</f>
        <v>31</v>
      </c>
      <c r="N390" s="20">
        <f ca="1">+M390/$M$398</f>
        <v>0.60784313725490191</v>
      </c>
      <c r="O390" s="19">
        <f ca="1">+SUM(O388:O389)</f>
        <v>3</v>
      </c>
      <c r="P390" s="20">
        <f ca="1">IFERROR(O390/O$398,0)</f>
        <v>0.42857142857142855</v>
      </c>
      <c r="Q390" s="101">
        <f ca="1">+SUM(Q388:Q389)</f>
        <v>433</v>
      </c>
      <c r="T390" s="18" t="s">
        <v>17</v>
      </c>
      <c r="U390" s="19">
        <f ca="1">+SUM(U388:U389)</f>
        <v>20942172.960000001</v>
      </c>
      <c r="V390" s="20">
        <f ca="1">IFERROR(U390/U$398,0)</f>
        <v>0.84055151797325278</v>
      </c>
      <c r="W390" s="19">
        <f ca="1">+SUM(W388:W389)</f>
        <v>37503870.390000001</v>
      </c>
      <c r="X390" s="20">
        <f ca="1">IFERROR(W390/W$398,0)</f>
        <v>0.79627975788064653</v>
      </c>
      <c r="Y390" s="19">
        <f ca="1">+SUM(Y388:Y389)</f>
        <v>9147711.7799999975</v>
      </c>
      <c r="Z390" s="20">
        <f ca="1">IFERROR(Y390/Y$398,0)</f>
        <v>1</v>
      </c>
      <c r="AA390" s="19">
        <f ca="1">+SUM(AA388:AA389)</f>
        <v>13519583.339999998</v>
      </c>
      <c r="AB390" s="20">
        <f ca="1">IFERROR(AA390/AA$398,0)</f>
        <v>0.99277265667454939</v>
      </c>
      <c r="AC390" s="19">
        <f ca="1">+SUM(AC388:AC389)</f>
        <v>50000</v>
      </c>
      <c r="AD390" s="20">
        <f ca="1">IFERROR(AC390/AC$398,0)</f>
        <v>0.35714285714285715</v>
      </c>
      <c r="AE390" s="19">
        <f ca="1">+SUM(AE388:AE389)</f>
        <v>1134639.3700000001</v>
      </c>
      <c r="AF390" s="20">
        <f ca="1">IFERROR(AE390/AE$398,0)</f>
        <v>0.57453522986169081</v>
      </c>
      <c r="AG390" s="19">
        <f ca="1">+SUM(AG388:AG389)</f>
        <v>730176.40999999957</v>
      </c>
      <c r="AH390" s="20">
        <f ca="1">IFERROR(AG390/AG$398,0)</f>
        <v>0.27208797067895424</v>
      </c>
      <c r="AI390" s="101">
        <f ca="1">+SUM(AI388:AI389)</f>
        <v>83028154.25</v>
      </c>
    </row>
    <row r="391" spans="2:35" x14ac:dyDescent="0.4">
      <c r="B391" s="22" t="s">
        <v>18</v>
      </c>
      <c r="C391" s="15">
        <v>13</v>
      </c>
      <c r="D391" s="16">
        <f t="shared" ref="D391:D398" ca="1" si="380">IFERROR(C391/C$398,0)</f>
        <v>8.0745341614906832E-2</v>
      </c>
      <c r="E391" s="15">
        <v>18</v>
      </c>
      <c r="F391" s="16">
        <f t="shared" ref="F391:F398" ca="1" si="381">IFERROR(E391/E$398,0)</f>
        <v>6.5934065934065936E-2</v>
      </c>
      <c r="G391" s="15">
        <v>0</v>
      </c>
      <c r="H391" s="16">
        <f t="shared" ref="H391:H398" ca="1" si="382">IFERROR(G391/G$398,0)</f>
        <v>0</v>
      </c>
      <c r="I391" s="15">
        <v>0</v>
      </c>
      <c r="J391" s="16">
        <f t="shared" ref="J391:J398" ca="1" si="383">IFERROR(I391/I$398,0)</f>
        <v>0</v>
      </c>
      <c r="K391" s="15">
        <v>0</v>
      </c>
      <c r="L391" s="16">
        <f t="shared" ref="L391:L398" ca="1" si="384">IFERROR(K391/K$398,0)</f>
        <v>0</v>
      </c>
      <c r="M391" s="15">
        <v>4</v>
      </c>
      <c r="N391" s="16">
        <f t="shared" ref="N391:N398" ca="1" si="385">IFERROR(M391/M$398,0)</f>
        <v>7.8431372549019607E-2</v>
      </c>
      <c r="O391" s="15">
        <v>2</v>
      </c>
      <c r="P391" s="16">
        <f t="shared" ref="P391:P398" ca="1" si="386">IFERROR(O391/O$398,0)</f>
        <v>0.2857142857142857</v>
      </c>
      <c r="Q391" s="62">
        <f t="shared" ca="1" si="379"/>
        <v>37</v>
      </c>
      <c r="T391" s="22" t="s">
        <v>18</v>
      </c>
      <c r="U391" s="15">
        <v>1360754.0800000005</v>
      </c>
      <c r="V391" s="16">
        <f ca="1">IFERROR(U391/U$398,0)</f>
        <v>5.461629553518392E-2</v>
      </c>
      <c r="W391" s="15">
        <v>3490506.0799999991</v>
      </c>
      <c r="X391" s="16">
        <f t="shared" ref="X391:X398" ca="1" si="387">IFERROR(W391/W$398,0)</f>
        <v>7.4110200023633457E-2</v>
      </c>
      <c r="Y391" s="15">
        <v>0</v>
      </c>
      <c r="Z391" s="16">
        <f t="shared" ref="Z391:Z398" ca="1" si="388">IFERROR(Y391/Y$398,0)</f>
        <v>0</v>
      </c>
      <c r="AA391" s="15">
        <v>0</v>
      </c>
      <c r="AB391" s="16">
        <f t="shared" ref="AB391:AB398" ca="1" si="389">IFERROR(AA391/AA$398,0)</f>
        <v>0</v>
      </c>
      <c r="AC391" s="15">
        <v>0</v>
      </c>
      <c r="AD391" s="16">
        <f t="shared" ref="AD391:AD398" ca="1" si="390">IFERROR(AC391/AC$398,0)</f>
        <v>0</v>
      </c>
      <c r="AE391" s="15">
        <v>181386.02999999997</v>
      </c>
      <c r="AF391" s="16">
        <f t="shared" ref="AF391:AF398" ca="1" si="391">IFERROR(AE391/AE$398,0)</f>
        <v>9.1846508410641098E-2</v>
      </c>
      <c r="AG391" s="15">
        <v>1047289.7999999998</v>
      </c>
      <c r="AH391" s="16">
        <f t="shared" ref="AH391:AH398" ca="1" si="392">IFERROR(AG391/AG$398,0)</f>
        <v>0.39025494728700971</v>
      </c>
      <c r="AI391" s="62">
        <f t="shared" ref="AI391:AI398" ca="1" si="393">SUM(U391,Y391,AA391,AC391,AE391,AG391,W391)</f>
        <v>6079935.9899999993</v>
      </c>
    </row>
    <row r="392" spans="2:35" x14ac:dyDescent="0.4">
      <c r="B392" s="22" t="s">
        <v>19</v>
      </c>
      <c r="C392" s="15">
        <v>4</v>
      </c>
      <c r="D392" s="16">
        <f t="shared" ca="1" si="380"/>
        <v>2.4844720496894408E-2</v>
      </c>
      <c r="E392" s="15">
        <v>17</v>
      </c>
      <c r="F392" s="16">
        <f t="shared" ca="1" si="381"/>
        <v>6.2271062271062272E-2</v>
      </c>
      <c r="G392" s="15">
        <v>0</v>
      </c>
      <c r="H392" s="16">
        <f t="shared" ca="1" si="382"/>
        <v>0</v>
      </c>
      <c r="I392" s="15">
        <v>0</v>
      </c>
      <c r="J392" s="16">
        <f t="shared" ca="1" si="383"/>
        <v>0</v>
      </c>
      <c r="K392" s="15">
        <v>0</v>
      </c>
      <c r="L392" s="16">
        <f t="shared" ca="1" si="384"/>
        <v>0</v>
      </c>
      <c r="M392" s="15">
        <v>4</v>
      </c>
      <c r="N392" s="16">
        <f t="shared" ca="1" si="385"/>
        <v>7.8431372549019607E-2</v>
      </c>
      <c r="O392" s="15">
        <v>2</v>
      </c>
      <c r="P392" s="16">
        <f t="shared" ca="1" si="386"/>
        <v>0.2857142857142857</v>
      </c>
      <c r="Q392" s="62">
        <f t="shared" ca="1" si="379"/>
        <v>27</v>
      </c>
      <c r="T392" s="22" t="s">
        <v>19</v>
      </c>
      <c r="U392" s="15">
        <v>446969.56999999983</v>
      </c>
      <c r="V392" s="16">
        <f ca="1">IFERROR(U392/U$398,0)</f>
        <v>1.7939922054361252E-2</v>
      </c>
      <c r="W392" s="15">
        <v>2564730.7299999995</v>
      </c>
      <c r="X392" s="16">
        <f t="shared" ca="1" si="387"/>
        <v>5.4454197486187864E-2</v>
      </c>
      <c r="Y392" s="15">
        <v>0</v>
      </c>
      <c r="Z392" s="16">
        <f t="shared" ca="1" si="388"/>
        <v>0</v>
      </c>
      <c r="AA392" s="15">
        <v>0</v>
      </c>
      <c r="AB392" s="16">
        <f t="shared" ca="1" si="389"/>
        <v>0</v>
      </c>
      <c r="AC392" s="15">
        <v>0</v>
      </c>
      <c r="AD392" s="16">
        <f t="shared" ca="1" si="390"/>
        <v>0</v>
      </c>
      <c r="AE392" s="15">
        <v>439429.8299999999</v>
      </c>
      <c r="AF392" s="16">
        <f t="shared" ca="1" si="391"/>
        <v>0.22250939378838375</v>
      </c>
      <c r="AG392" s="15">
        <v>906137.95000000019</v>
      </c>
      <c r="AH392" s="16">
        <f t="shared" ca="1" si="392"/>
        <v>0.33765708203403599</v>
      </c>
      <c r="AI392" s="62">
        <f t="shared" ca="1" si="393"/>
        <v>4357268.0799999991</v>
      </c>
    </row>
    <row r="393" spans="2:35" x14ac:dyDescent="0.4">
      <c r="B393" s="22" t="s">
        <v>20</v>
      </c>
      <c r="C393" s="15">
        <v>5</v>
      </c>
      <c r="D393" s="16">
        <f t="shared" ca="1" si="380"/>
        <v>3.1055900621118012E-2</v>
      </c>
      <c r="E393" s="15">
        <v>6</v>
      </c>
      <c r="F393" s="16">
        <f t="shared" ca="1" si="381"/>
        <v>2.197802197802198E-2</v>
      </c>
      <c r="G393" s="15">
        <v>0</v>
      </c>
      <c r="H393" s="16">
        <f t="shared" ca="1" si="382"/>
        <v>0</v>
      </c>
      <c r="I393" s="15">
        <v>0</v>
      </c>
      <c r="J393" s="16">
        <f t="shared" ca="1" si="383"/>
        <v>0</v>
      </c>
      <c r="K393" s="15">
        <v>1</v>
      </c>
      <c r="L393" s="16">
        <f t="shared" ca="1" si="384"/>
        <v>0.33333333333333331</v>
      </c>
      <c r="M393" s="15">
        <v>6</v>
      </c>
      <c r="N393" s="16">
        <f t="shared" ca="1" si="385"/>
        <v>0.11764705882352941</v>
      </c>
      <c r="O393" s="15">
        <v>0</v>
      </c>
      <c r="P393" s="16">
        <f t="shared" ca="1" si="386"/>
        <v>0</v>
      </c>
      <c r="Q393" s="62">
        <f t="shared" ca="1" si="379"/>
        <v>18</v>
      </c>
      <c r="T393" s="22" t="s">
        <v>20</v>
      </c>
      <c r="U393" s="15">
        <v>242977.54999999981</v>
      </c>
      <c r="V393" s="16">
        <f t="shared" ref="V393:V398" ca="1" si="394">IFERROR(U393/U$398,0)</f>
        <v>9.7523379677942335E-3</v>
      </c>
      <c r="W393" s="15">
        <v>777800</v>
      </c>
      <c r="X393" s="16">
        <f t="shared" ca="1" si="387"/>
        <v>1.6514199447657779E-2</v>
      </c>
      <c r="Y393" s="15">
        <v>0</v>
      </c>
      <c r="Z393" s="16">
        <f t="shared" ca="1" si="388"/>
        <v>0</v>
      </c>
      <c r="AA393" s="15">
        <v>0</v>
      </c>
      <c r="AB393" s="16">
        <f t="shared" ca="1" si="389"/>
        <v>0</v>
      </c>
      <c r="AC393" s="15">
        <v>90000</v>
      </c>
      <c r="AD393" s="16">
        <f t="shared" ca="1" si="390"/>
        <v>0.6428571428571429</v>
      </c>
      <c r="AE393" s="15">
        <v>93850</v>
      </c>
      <c r="AF393" s="16">
        <f t="shared" ca="1" si="391"/>
        <v>4.7521823011059165E-2</v>
      </c>
      <c r="AG393" s="15">
        <v>0</v>
      </c>
      <c r="AH393" s="16">
        <f t="shared" ca="1" si="392"/>
        <v>0</v>
      </c>
      <c r="AI393" s="62">
        <f t="shared" ca="1" si="393"/>
        <v>1204627.5499999998</v>
      </c>
    </row>
    <row r="394" spans="2:35" x14ac:dyDescent="0.4">
      <c r="B394" s="22" t="s">
        <v>21</v>
      </c>
      <c r="C394" s="15">
        <v>3</v>
      </c>
      <c r="D394" s="16">
        <f t="shared" ca="1" si="380"/>
        <v>1.8633540372670808E-2</v>
      </c>
      <c r="E394" s="15">
        <v>4</v>
      </c>
      <c r="F394" s="16">
        <f t="shared" ca="1" si="381"/>
        <v>1.4652014652014652E-2</v>
      </c>
      <c r="G394" s="15">
        <v>0</v>
      </c>
      <c r="H394" s="16">
        <f t="shared" ca="1" si="382"/>
        <v>0</v>
      </c>
      <c r="I394" s="15">
        <v>0</v>
      </c>
      <c r="J394" s="16">
        <f t="shared" ca="1" si="383"/>
        <v>0</v>
      </c>
      <c r="K394" s="15">
        <v>0</v>
      </c>
      <c r="L394" s="16">
        <f t="shared" ca="1" si="384"/>
        <v>0</v>
      </c>
      <c r="M394" s="15">
        <v>1</v>
      </c>
      <c r="N394" s="16">
        <f t="shared" ca="1" si="385"/>
        <v>1.9607843137254902E-2</v>
      </c>
      <c r="O394" s="15">
        <v>0</v>
      </c>
      <c r="P394" s="16">
        <f t="shared" ca="1" si="386"/>
        <v>0</v>
      </c>
      <c r="Q394" s="62">
        <f t="shared" ca="1" si="379"/>
        <v>8</v>
      </c>
      <c r="T394" s="22" t="s">
        <v>21</v>
      </c>
      <c r="U394" s="15">
        <v>277608</v>
      </c>
      <c r="V394" s="16">
        <f t="shared" ca="1" si="394"/>
        <v>1.1142292934320161E-2</v>
      </c>
      <c r="W394" s="15">
        <v>667525</v>
      </c>
      <c r="X394" s="16">
        <f t="shared" ca="1" si="387"/>
        <v>1.417284775816117E-2</v>
      </c>
      <c r="Y394" s="15">
        <v>0</v>
      </c>
      <c r="Z394" s="16">
        <f t="shared" ca="1" si="388"/>
        <v>0</v>
      </c>
      <c r="AA394" s="15">
        <v>0</v>
      </c>
      <c r="AB394" s="16">
        <f t="shared" ca="1" si="389"/>
        <v>0</v>
      </c>
      <c r="AC394" s="15">
        <v>0</v>
      </c>
      <c r="AD394" s="16">
        <f t="shared" ca="1" si="390"/>
        <v>0</v>
      </c>
      <c r="AE394" s="15">
        <v>35000</v>
      </c>
      <c r="AF394" s="16">
        <f t="shared" ca="1" si="391"/>
        <v>1.7722576509185625E-2</v>
      </c>
      <c r="AG394" s="15">
        <v>0</v>
      </c>
      <c r="AH394" s="16">
        <f t="shared" ca="1" si="392"/>
        <v>0</v>
      </c>
      <c r="AI394" s="62">
        <f t="shared" ca="1" si="393"/>
        <v>980133</v>
      </c>
    </row>
    <row r="395" spans="2:35" x14ac:dyDescent="0.4">
      <c r="B395" s="22" t="s">
        <v>22</v>
      </c>
      <c r="C395" s="15">
        <v>3</v>
      </c>
      <c r="D395" s="16">
        <f t="shared" ca="1" si="380"/>
        <v>1.8633540372670808E-2</v>
      </c>
      <c r="E395" s="15">
        <v>2</v>
      </c>
      <c r="F395" s="16">
        <f t="shared" ca="1" si="381"/>
        <v>7.326007326007326E-3</v>
      </c>
      <c r="G395" s="15">
        <v>0</v>
      </c>
      <c r="H395" s="16">
        <f t="shared" ca="1" si="382"/>
        <v>0</v>
      </c>
      <c r="I395" s="15">
        <v>0</v>
      </c>
      <c r="J395" s="16">
        <f t="shared" ca="1" si="383"/>
        <v>0</v>
      </c>
      <c r="K395" s="15">
        <v>0</v>
      </c>
      <c r="L395" s="16">
        <f t="shared" ca="1" si="384"/>
        <v>0</v>
      </c>
      <c r="M395" s="15">
        <v>4</v>
      </c>
      <c r="N395" s="16">
        <f t="shared" ca="1" si="385"/>
        <v>7.8431372549019607E-2</v>
      </c>
      <c r="O395" s="15">
        <v>0</v>
      </c>
      <c r="P395" s="16">
        <f t="shared" ca="1" si="386"/>
        <v>0</v>
      </c>
      <c r="Q395" s="62">
        <f t="shared" ca="1" si="379"/>
        <v>9</v>
      </c>
      <c r="T395" s="22" t="s">
        <v>22</v>
      </c>
      <c r="U395" s="15">
        <v>438950</v>
      </c>
      <c r="V395" s="16">
        <f t="shared" ca="1" si="394"/>
        <v>1.7618042288117901E-2</v>
      </c>
      <c r="W395" s="15">
        <v>207275.76999999996</v>
      </c>
      <c r="X395" s="16">
        <f t="shared" ca="1" si="387"/>
        <v>4.4008657835521211E-3</v>
      </c>
      <c r="Y395" s="15">
        <v>0</v>
      </c>
      <c r="Z395" s="16">
        <f t="shared" ca="1" si="388"/>
        <v>0</v>
      </c>
      <c r="AA395" s="15">
        <v>0</v>
      </c>
      <c r="AB395" s="16">
        <f t="shared" ca="1" si="389"/>
        <v>0</v>
      </c>
      <c r="AC395" s="15">
        <v>0</v>
      </c>
      <c r="AD395" s="16">
        <f t="shared" ca="1" si="390"/>
        <v>0</v>
      </c>
      <c r="AE395" s="15">
        <v>42624.920000000042</v>
      </c>
      <c r="AF395" s="16">
        <f t="shared" ca="1" si="391"/>
        <v>2.1583525882797636E-2</v>
      </c>
      <c r="AG395" s="15">
        <v>0</v>
      </c>
      <c r="AH395" s="16">
        <f t="shared" ca="1" si="392"/>
        <v>0</v>
      </c>
      <c r="AI395" s="62">
        <f t="shared" ca="1" si="393"/>
        <v>688850.69</v>
      </c>
    </row>
    <row r="396" spans="2:35" x14ac:dyDescent="0.4">
      <c r="B396" s="22" t="s">
        <v>23</v>
      </c>
      <c r="C396" s="15">
        <v>0</v>
      </c>
      <c r="D396" s="16">
        <f t="shared" ca="1" si="380"/>
        <v>0</v>
      </c>
      <c r="E396" s="15">
        <v>3</v>
      </c>
      <c r="F396" s="16">
        <f t="shared" ca="1" si="381"/>
        <v>1.098901098901099E-2</v>
      </c>
      <c r="G396" s="15">
        <v>0</v>
      </c>
      <c r="H396" s="16">
        <f t="shared" ca="1" si="382"/>
        <v>0</v>
      </c>
      <c r="I396" s="15">
        <v>0</v>
      </c>
      <c r="J396" s="16">
        <f t="shared" ca="1" si="383"/>
        <v>0</v>
      </c>
      <c r="K396" s="15">
        <v>0</v>
      </c>
      <c r="L396" s="16">
        <f t="shared" ca="1" si="384"/>
        <v>0</v>
      </c>
      <c r="M396" s="15">
        <v>0</v>
      </c>
      <c r="N396" s="16">
        <f t="shared" ca="1" si="385"/>
        <v>0</v>
      </c>
      <c r="O396" s="15">
        <v>0</v>
      </c>
      <c r="P396" s="16">
        <f t="shared" ca="1" si="386"/>
        <v>0</v>
      </c>
      <c r="Q396" s="62">
        <f t="shared" ca="1" si="379"/>
        <v>3</v>
      </c>
      <c r="T396" s="22" t="s">
        <v>23</v>
      </c>
      <c r="U396" s="15">
        <v>0</v>
      </c>
      <c r="V396" s="16">
        <f t="shared" ca="1" si="394"/>
        <v>0</v>
      </c>
      <c r="W396" s="15">
        <v>371234.87999999989</v>
      </c>
      <c r="X396" s="16">
        <f t="shared" ca="1" si="387"/>
        <v>7.8820350350312408E-3</v>
      </c>
      <c r="Y396" s="15">
        <v>0</v>
      </c>
      <c r="Z396" s="16">
        <f t="shared" ca="1" si="388"/>
        <v>0</v>
      </c>
      <c r="AA396" s="15">
        <v>0</v>
      </c>
      <c r="AB396" s="16">
        <f t="shared" ca="1" si="389"/>
        <v>0</v>
      </c>
      <c r="AC396" s="15">
        <v>0</v>
      </c>
      <c r="AD396" s="16">
        <f t="shared" ca="1" si="390"/>
        <v>0</v>
      </c>
      <c r="AE396" s="15">
        <v>0</v>
      </c>
      <c r="AF396" s="16">
        <f t="shared" ca="1" si="391"/>
        <v>0</v>
      </c>
      <c r="AG396" s="15">
        <v>0</v>
      </c>
      <c r="AH396" s="16">
        <f t="shared" ca="1" si="392"/>
        <v>0</v>
      </c>
      <c r="AI396" s="62">
        <f t="shared" ca="1" si="393"/>
        <v>371234.87999999989</v>
      </c>
    </row>
    <row r="397" spans="2:35" x14ac:dyDescent="0.4">
      <c r="B397" s="23" t="s">
        <v>24</v>
      </c>
      <c r="C397" s="24">
        <v>16</v>
      </c>
      <c r="D397" s="25">
        <f t="shared" ca="1" si="380"/>
        <v>9.9378881987577633E-2</v>
      </c>
      <c r="E397" s="24">
        <v>11</v>
      </c>
      <c r="F397" s="25">
        <f t="shared" ca="1" si="381"/>
        <v>4.0293040293040296E-2</v>
      </c>
      <c r="G397" s="24">
        <v>0</v>
      </c>
      <c r="H397" s="25">
        <f t="shared" ca="1" si="382"/>
        <v>0</v>
      </c>
      <c r="I397" s="24">
        <v>2</v>
      </c>
      <c r="J397" s="25">
        <f t="shared" ca="1" si="383"/>
        <v>5.128205128205128E-2</v>
      </c>
      <c r="K397" s="24">
        <v>0</v>
      </c>
      <c r="L397" s="25">
        <f t="shared" ca="1" si="384"/>
        <v>0</v>
      </c>
      <c r="M397" s="24">
        <v>1</v>
      </c>
      <c r="N397" s="25">
        <f t="shared" ca="1" si="385"/>
        <v>1.9607843137254902E-2</v>
      </c>
      <c r="O397" s="24">
        <v>0</v>
      </c>
      <c r="P397" s="25">
        <f t="shared" ca="1" si="386"/>
        <v>0</v>
      </c>
      <c r="Q397" s="64">
        <f t="shared" ca="1" si="379"/>
        <v>30</v>
      </c>
      <c r="T397" s="23" t="s">
        <v>24</v>
      </c>
      <c r="U397" s="24">
        <v>1205367.8399999999</v>
      </c>
      <c r="V397" s="25">
        <f t="shared" ca="1" si="394"/>
        <v>4.837959124696966E-2</v>
      </c>
      <c r="W397" s="24">
        <v>1515919.0999999999</v>
      </c>
      <c r="X397" s="25">
        <f t="shared" ca="1" si="387"/>
        <v>3.2185896585129693E-2</v>
      </c>
      <c r="Y397" s="24">
        <v>0</v>
      </c>
      <c r="Z397" s="25">
        <f t="shared" ca="1" si="388"/>
        <v>0</v>
      </c>
      <c r="AA397" s="24">
        <v>98422</v>
      </c>
      <c r="AB397" s="25">
        <f t="shared" ca="1" si="389"/>
        <v>7.227343325450628E-3</v>
      </c>
      <c r="AC397" s="24">
        <v>0</v>
      </c>
      <c r="AD397" s="25">
        <f t="shared" ca="1" si="390"/>
        <v>0</v>
      </c>
      <c r="AE397" s="24">
        <v>47952</v>
      </c>
      <c r="AF397" s="25">
        <f t="shared" ca="1" si="391"/>
        <v>2.4280942536241974E-2</v>
      </c>
      <c r="AG397" s="24">
        <v>0</v>
      </c>
      <c r="AH397" s="25">
        <f t="shared" ca="1" si="392"/>
        <v>0</v>
      </c>
      <c r="AI397" s="64">
        <f t="shared" ca="1" si="393"/>
        <v>2867660.9399999995</v>
      </c>
    </row>
    <row r="398" spans="2:35" x14ac:dyDescent="0.4">
      <c r="B398" s="27" t="s">
        <v>25</v>
      </c>
      <c r="C398" s="28">
        <f ca="1">SUM(C390:C397)</f>
        <v>161</v>
      </c>
      <c r="D398" s="29">
        <f t="shared" ca="1" si="380"/>
        <v>1</v>
      </c>
      <c r="E398" s="28">
        <f ca="1">SUM(E390:E397)</f>
        <v>273</v>
      </c>
      <c r="F398" s="29">
        <f t="shared" ca="1" si="381"/>
        <v>1</v>
      </c>
      <c r="G398" s="28">
        <f ca="1">SUM(G390:G397)</f>
        <v>31</v>
      </c>
      <c r="H398" s="29">
        <f t="shared" ca="1" si="382"/>
        <v>1</v>
      </c>
      <c r="I398" s="28">
        <f ca="1">SUM(I390:I397)</f>
        <v>39</v>
      </c>
      <c r="J398" s="29">
        <f t="shared" ca="1" si="383"/>
        <v>1</v>
      </c>
      <c r="K398" s="28">
        <f ca="1">SUM(K390:K397)</f>
        <v>3</v>
      </c>
      <c r="L398" s="29">
        <f t="shared" ca="1" si="384"/>
        <v>1</v>
      </c>
      <c r="M398" s="28">
        <f ca="1">SUM(M390:M397)</f>
        <v>51</v>
      </c>
      <c r="N398" s="29">
        <f t="shared" ca="1" si="385"/>
        <v>1</v>
      </c>
      <c r="O398" s="28">
        <f ca="1">SUM(O390:O397)</f>
        <v>7</v>
      </c>
      <c r="P398" s="29">
        <f t="shared" ca="1" si="386"/>
        <v>1</v>
      </c>
      <c r="Q398" s="31">
        <f t="shared" ca="1" si="379"/>
        <v>565</v>
      </c>
      <c r="T398" s="27" t="s">
        <v>25</v>
      </c>
      <c r="U398" s="28">
        <f ca="1">SUM(U390:U397)</f>
        <v>24914800.000000004</v>
      </c>
      <c r="V398" s="29">
        <f t="shared" ca="1" si="394"/>
        <v>1</v>
      </c>
      <c r="W398" s="28">
        <f ca="1">SUM(W390:W397)</f>
        <v>47098861.950000003</v>
      </c>
      <c r="X398" s="29">
        <f t="shared" ca="1" si="387"/>
        <v>1</v>
      </c>
      <c r="Y398" s="28">
        <f ca="1">SUM(Y390:Y397)</f>
        <v>9147711.7799999975</v>
      </c>
      <c r="Z398" s="29">
        <f t="shared" ca="1" si="388"/>
        <v>1</v>
      </c>
      <c r="AA398" s="28">
        <f ca="1">SUM(AA390:AA397)</f>
        <v>13618005.339999998</v>
      </c>
      <c r="AB398" s="29">
        <f t="shared" ca="1" si="389"/>
        <v>1</v>
      </c>
      <c r="AC398" s="28">
        <f ca="1">SUM(AC390:AC397)</f>
        <v>140000</v>
      </c>
      <c r="AD398" s="29">
        <f t="shared" ca="1" si="390"/>
        <v>1</v>
      </c>
      <c r="AE398" s="28">
        <f ca="1">SUM(AE390:AE397)</f>
        <v>1974882.15</v>
      </c>
      <c r="AF398" s="29">
        <f t="shared" ca="1" si="391"/>
        <v>1</v>
      </c>
      <c r="AG398" s="28">
        <f ca="1">SUM(AG390:AG397)</f>
        <v>2683604.1599999997</v>
      </c>
      <c r="AH398" s="29">
        <f t="shared" ca="1" si="392"/>
        <v>1</v>
      </c>
      <c r="AI398" s="31">
        <f t="shared" ca="1" si="393"/>
        <v>99577865.379999995</v>
      </c>
    </row>
    <row r="399" spans="2:35" x14ac:dyDescent="0.4">
      <c r="B399" s="32" t="s">
        <v>26</v>
      </c>
      <c r="C399" s="33">
        <f ca="1">C398/$Q$398</f>
        <v>0.28495575221238939</v>
      </c>
      <c r="D399" s="33"/>
      <c r="E399" s="33">
        <f ca="1">E398/$Q$398</f>
        <v>0.48318584070796461</v>
      </c>
      <c r="F399" s="33"/>
      <c r="G399" s="33">
        <f ca="1">G398/$Q$398</f>
        <v>5.4867256637168141E-2</v>
      </c>
      <c r="H399" s="33"/>
      <c r="I399" s="33">
        <f ca="1">I398/$Q$398</f>
        <v>6.9026548672566371E-2</v>
      </c>
      <c r="J399" s="33"/>
      <c r="K399" s="33">
        <f ca="1">K398/$Q$398</f>
        <v>5.3097345132743362E-3</v>
      </c>
      <c r="L399" s="33"/>
      <c r="M399" s="33">
        <f ca="1">M398/$Q$398</f>
        <v>9.0265486725663716E-2</v>
      </c>
      <c r="N399" s="33"/>
      <c r="O399" s="33">
        <f ca="1">O398/$Q$398</f>
        <v>1.2389380530973451E-2</v>
      </c>
      <c r="P399" s="33"/>
      <c r="Q399" s="34">
        <f ca="1">Q398/$Q$398</f>
        <v>1</v>
      </c>
      <c r="T399" s="32" t="s">
        <v>26</v>
      </c>
      <c r="U399" s="33">
        <f ca="1">U398/$AI$398</f>
        <v>0.25020419854274251</v>
      </c>
      <c r="V399" s="33"/>
      <c r="W399" s="33">
        <f ca="1">W398/$AI$398</f>
        <v>0.47298525400464864</v>
      </c>
      <c r="X399" s="33"/>
      <c r="Y399" s="33">
        <f ca="1">Y398/$AI$398</f>
        <v>9.1864911394629031E-2</v>
      </c>
      <c r="Z399" s="33"/>
      <c r="AA399" s="33">
        <f ca="1">AA398/$AI$398</f>
        <v>0.13675735353466562</v>
      </c>
      <c r="AB399" s="33"/>
      <c r="AC399" s="33">
        <f ca="1">AC398/$AI$398</f>
        <v>1.4059349381084314E-3</v>
      </c>
      <c r="AD399" s="33"/>
      <c r="AE399" s="33">
        <f ca="1">AE398/$AI$398</f>
        <v>1.9832541523797827E-2</v>
      </c>
      <c r="AF399" s="33"/>
      <c r="AG399" s="33">
        <f ca="1">AG398/$AI$398</f>
        <v>2.6949806061408059E-2</v>
      </c>
      <c r="AH399" s="33"/>
      <c r="AI399" s="34">
        <f ca="1">AI398/$AI$398</f>
        <v>1</v>
      </c>
    </row>
    <row r="401" spans="2:35" x14ac:dyDescent="0.4">
      <c r="E401" s="2" t="s">
        <v>52</v>
      </c>
      <c r="F401" s="2"/>
      <c r="G401" s="2"/>
      <c r="H401" s="2"/>
      <c r="I401" s="2"/>
      <c r="J401" s="2"/>
      <c r="K401" s="2"/>
      <c r="L401" s="2"/>
      <c r="M401" s="2"/>
      <c r="N401" s="2"/>
      <c r="W401" s="2" t="s">
        <v>52</v>
      </c>
      <c r="X401" s="2"/>
      <c r="Y401" s="2"/>
      <c r="Z401" s="2"/>
      <c r="AA401" s="2"/>
      <c r="AB401" s="2"/>
      <c r="AC401" s="2"/>
      <c r="AD401" s="2"/>
      <c r="AE401" s="2"/>
      <c r="AF401" s="2"/>
    </row>
    <row r="402" spans="2:35" x14ac:dyDescent="0.4">
      <c r="E402" s="3"/>
      <c r="F402" s="3"/>
      <c r="G402" s="3"/>
      <c r="H402" s="3"/>
      <c r="I402" s="3"/>
      <c r="J402" s="3"/>
      <c r="K402" s="3"/>
      <c r="L402" s="3"/>
      <c r="M402" s="3"/>
      <c r="N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2:35" x14ac:dyDescent="0.4">
      <c r="B403" s="4" t="s">
        <v>48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T403" s="4" t="s">
        <v>48</v>
      </c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spans="2:35" x14ac:dyDescent="0.4">
      <c r="B404" s="5"/>
      <c r="C404" s="6" t="s">
        <v>3</v>
      </c>
      <c r="D404" s="6"/>
      <c r="E404" s="6" t="s">
        <v>4</v>
      </c>
      <c r="F404" s="6"/>
      <c r="G404" s="6" t="s">
        <v>5</v>
      </c>
      <c r="H404" s="6"/>
      <c r="I404" s="6" t="s">
        <v>6</v>
      </c>
      <c r="J404" s="6"/>
      <c r="K404" s="6" t="s">
        <v>7</v>
      </c>
      <c r="L404" s="6"/>
      <c r="M404" s="6" t="s">
        <v>8</v>
      </c>
      <c r="N404" s="6"/>
      <c r="O404" s="6" t="s">
        <v>9</v>
      </c>
      <c r="P404" s="6"/>
      <c r="Q404" s="7" t="s">
        <v>10</v>
      </c>
      <c r="T404" s="5"/>
      <c r="U404" s="6" t="s">
        <v>3</v>
      </c>
      <c r="V404" s="6"/>
      <c r="W404" s="6" t="s">
        <v>4</v>
      </c>
      <c r="X404" s="6"/>
      <c r="Y404" s="6" t="s">
        <v>5</v>
      </c>
      <c r="Z404" s="6"/>
      <c r="AA404" s="6" t="s">
        <v>6</v>
      </c>
      <c r="AB404" s="6"/>
      <c r="AC404" s="6" t="s">
        <v>7</v>
      </c>
      <c r="AD404" s="6"/>
      <c r="AE404" s="6" t="s">
        <v>8</v>
      </c>
      <c r="AF404" s="6"/>
      <c r="AG404" s="6" t="s">
        <v>9</v>
      </c>
      <c r="AH404" s="6"/>
      <c r="AI404" s="7" t="s">
        <v>10</v>
      </c>
    </row>
    <row r="405" spans="2:35" x14ac:dyDescent="0.4">
      <c r="B405" s="8" t="s">
        <v>11</v>
      </c>
      <c r="C405" s="8" t="s">
        <v>12</v>
      </c>
      <c r="D405" s="8" t="s">
        <v>13</v>
      </c>
      <c r="E405" s="8" t="s">
        <v>12</v>
      </c>
      <c r="F405" s="8" t="s">
        <v>13</v>
      </c>
      <c r="G405" s="8" t="s">
        <v>12</v>
      </c>
      <c r="H405" s="8" t="s">
        <v>13</v>
      </c>
      <c r="I405" s="8" t="s">
        <v>12</v>
      </c>
      <c r="J405" s="8" t="s">
        <v>13</v>
      </c>
      <c r="K405" s="8" t="s">
        <v>12</v>
      </c>
      <c r="L405" s="8" t="s">
        <v>13</v>
      </c>
      <c r="M405" s="8" t="s">
        <v>12</v>
      </c>
      <c r="N405" s="8" t="s">
        <v>13</v>
      </c>
      <c r="O405" s="8" t="s">
        <v>12</v>
      </c>
      <c r="P405" s="8" t="s">
        <v>13</v>
      </c>
      <c r="Q405" s="7"/>
      <c r="T405" s="8" t="s">
        <v>11</v>
      </c>
      <c r="U405" s="8" t="s">
        <v>14</v>
      </c>
      <c r="V405" s="8" t="s">
        <v>13</v>
      </c>
      <c r="W405" s="8" t="s">
        <v>14</v>
      </c>
      <c r="X405" s="8" t="s">
        <v>13</v>
      </c>
      <c r="Y405" s="8" t="s">
        <v>14</v>
      </c>
      <c r="Z405" s="8" t="s">
        <v>13</v>
      </c>
      <c r="AA405" s="8" t="s">
        <v>14</v>
      </c>
      <c r="AB405" s="8" t="s">
        <v>13</v>
      </c>
      <c r="AC405" s="8" t="s">
        <v>14</v>
      </c>
      <c r="AD405" s="8" t="s">
        <v>13</v>
      </c>
      <c r="AE405" s="8" t="s">
        <v>14</v>
      </c>
      <c r="AF405" s="8" t="s">
        <v>13</v>
      </c>
      <c r="AG405" s="8" t="s">
        <v>14</v>
      </c>
      <c r="AH405" s="8" t="s">
        <v>13</v>
      </c>
      <c r="AI405" s="7"/>
    </row>
    <row r="406" spans="2:35" x14ac:dyDescent="0.4">
      <c r="B406" s="9" t="s">
        <v>15</v>
      </c>
      <c r="C406" s="10">
        <v>1984</v>
      </c>
      <c r="D406" s="11">
        <f ca="1">C406/C$416</f>
        <v>0.44434490481522954</v>
      </c>
      <c r="E406" s="10">
        <v>2032</v>
      </c>
      <c r="F406" s="11">
        <f ca="1">E406/E$416</f>
        <v>0.461608359836438</v>
      </c>
      <c r="G406" s="10">
        <v>633</v>
      </c>
      <c r="H406" s="11">
        <f ca="1">G406/G$416</f>
        <v>0.92543859649122806</v>
      </c>
      <c r="I406" s="10">
        <v>44</v>
      </c>
      <c r="J406" s="11">
        <f ca="1">I406/I$416</f>
        <v>0.97777777777777775</v>
      </c>
      <c r="K406" s="10">
        <v>103</v>
      </c>
      <c r="L406" s="11">
        <f ca="1">K406/K$416</f>
        <v>0.74637681159420288</v>
      </c>
      <c r="M406" s="10">
        <v>19</v>
      </c>
      <c r="N406" s="11">
        <f ca="1">M406/M$416</f>
        <v>0.30645161290322581</v>
      </c>
      <c r="O406" s="10">
        <v>9</v>
      </c>
      <c r="P406" s="11">
        <f ca="1">O406/O$416</f>
        <v>0.11842105263157894</v>
      </c>
      <c r="Q406" s="60">
        <f t="shared" ref="Q406:Q416" ca="1" si="395">SUM(C406,G406,I406,K406,M406,O406,E406)</f>
        <v>4824</v>
      </c>
      <c r="T406" s="9" t="s">
        <v>15</v>
      </c>
      <c r="U406" s="10">
        <v>301039737.81999993</v>
      </c>
      <c r="V406" s="11">
        <f ca="1">U406/U$416</f>
        <v>0.48537811064182051</v>
      </c>
      <c r="W406" s="10">
        <v>295120145.04999995</v>
      </c>
      <c r="X406" s="11">
        <f ca="1">W406/W$416</f>
        <v>0.49718850906828616</v>
      </c>
      <c r="Y406" s="10">
        <v>138115085.73999995</v>
      </c>
      <c r="Z406" s="11">
        <f ca="1">Y406/Y$416</f>
        <v>0.91251267030802763</v>
      </c>
      <c r="AA406" s="10">
        <v>15635066.52</v>
      </c>
      <c r="AB406" s="11">
        <f ca="1">AA406/AA$416</f>
        <v>0.99993604529638447</v>
      </c>
      <c r="AC406" s="10">
        <v>5219038.24</v>
      </c>
      <c r="AD406" s="11">
        <f ca="1">AC406/AC$416</f>
        <v>0.73959632326361779</v>
      </c>
      <c r="AE406" s="10">
        <v>1182395</v>
      </c>
      <c r="AF406" s="11">
        <f ca="1">AE406/AE$416</f>
        <v>0.31617435752545353</v>
      </c>
      <c r="AG406" s="10">
        <v>3819322.2500000005</v>
      </c>
      <c r="AH406" s="11">
        <f ca="1">AG406/AG$416</f>
        <v>0.17118740516252046</v>
      </c>
      <c r="AI406" s="60">
        <f ca="1">SUM(U406,Y406,AA406,AC406,AE406,AG406,W406)</f>
        <v>760130790.61999989</v>
      </c>
    </row>
    <row r="407" spans="2:35" x14ac:dyDescent="0.4">
      <c r="B407" s="14" t="s">
        <v>16</v>
      </c>
      <c r="C407" s="15">
        <v>1242</v>
      </c>
      <c r="D407" s="16">
        <f ca="1">C407/C$416</f>
        <v>0.27816349384098543</v>
      </c>
      <c r="E407" s="15">
        <v>1172</v>
      </c>
      <c r="F407" s="16">
        <f ca="1">E407/E$416</f>
        <v>0.26624261699227625</v>
      </c>
      <c r="G407" s="15">
        <v>44</v>
      </c>
      <c r="H407" s="16">
        <f ca="1">G407/G$416</f>
        <v>6.4327485380116955E-2</v>
      </c>
      <c r="I407" s="15">
        <v>0</v>
      </c>
      <c r="J407" s="16">
        <f ca="1">I407/I$416</f>
        <v>0</v>
      </c>
      <c r="K407" s="15">
        <v>17</v>
      </c>
      <c r="L407" s="16">
        <f ca="1">K407/K$416</f>
        <v>0.12318840579710146</v>
      </c>
      <c r="M407" s="15">
        <v>24</v>
      </c>
      <c r="N407" s="16">
        <f ca="1">M407/M$416</f>
        <v>0.38709677419354838</v>
      </c>
      <c r="O407" s="15">
        <v>45</v>
      </c>
      <c r="P407" s="16">
        <f ca="1">O407/O$416</f>
        <v>0.59210526315789469</v>
      </c>
      <c r="Q407" s="62">
        <f t="shared" ca="1" si="395"/>
        <v>2544</v>
      </c>
      <c r="T407" s="14" t="s">
        <v>16</v>
      </c>
      <c r="U407" s="15">
        <v>179768142.87999991</v>
      </c>
      <c r="V407" s="16">
        <f t="shared" ref="V407:V415" ca="1" si="396">U407/U$416</f>
        <v>0.28984718820362415</v>
      </c>
      <c r="W407" s="15">
        <v>167593916.2899999</v>
      </c>
      <c r="X407" s="16">
        <f ca="1">W407/W$416</f>
        <v>0.28234524401925515</v>
      </c>
      <c r="Y407" s="15">
        <v>10391038.6</v>
      </c>
      <c r="Z407" s="16">
        <f ca="1">Y407/Y$416</f>
        <v>6.8652561227159931E-2</v>
      </c>
      <c r="AA407" s="15">
        <v>0</v>
      </c>
      <c r="AB407" s="16">
        <f ca="1">AA407/AA$416</f>
        <v>0</v>
      </c>
      <c r="AC407" s="15">
        <v>663237.5</v>
      </c>
      <c r="AD407" s="16">
        <f ca="1">AC407/AC$416</f>
        <v>9.398820125344659E-2</v>
      </c>
      <c r="AE407" s="15">
        <v>1159519.3599999999</v>
      </c>
      <c r="AF407" s="16">
        <f ca="1">AE407/AE$416</f>
        <v>0.31005737396244487</v>
      </c>
      <c r="AG407" s="15">
        <v>13700467.550000003</v>
      </c>
      <c r="AH407" s="16">
        <f ca="1">AG407/AG$416</f>
        <v>0.61407426131634069</v>
      </c>
      <c r="AI407" s="62">
        <f ca="1">SUM(U407,Y407,AA407,AC407,AE407,AG407,W407)</f>
        <v>373276322.17999983</v>
      </c>
    </row>
    <row r="408" spans="2:35" x14ac:dyDescent="0.4">
      <c r="B408" s="18" t="s">
        <v>17</v>
      </c>
      <c r="C408" s="19">
        <f ca="1">+SUM(C406:C407)</f>
        <v>3226</v>
      </c>
      <c r="D408" s="20">
        <f ca="1">+C408/$C$416</f>
        <v>0.72250839865621497</v>
      </c>
      <c r="E408" s="19">
        <f ca="1">+SUM(E406:E407)</f>
        <v>3204</v>
      </c>
      <c r="F408" s="20">
        <f ca="1">+E408/$E$416</f>
        <v>0.72785097682871425</v>
      </c>
      <c r="G408" s="19">
        <f ca="1">+SUM(G406:G407)</f>
        <v>677</v>
      </c>
      <c r="H408" s="20">
        <f ca="1">+G408/$G$416</f>
        <v>0.98976608187134507</v>
      </c>
      <c r="I408" s="19">
        <f ca="1">+SUM(I406:I407)</f>
        <v>44</v>
      </c>
      <c r="J408" s="20">
        <f ca="1">+I408/$I$416</f>
        <v>0.97777777777777775</v>
      </c>
      <c r="K408" s="19">
        <f ca="1">+SUM(K406:K407)</f>
        <v>120</v>
      </c>
      <c r="L408" s="20">
        <f ca="1">+K408/$K$416</f>
        <v>0.86956521739130432</v>
      </c>
      <c r="M408" s="19">
        <f ca="1">+SUM(M406:M407)</f>
        <v>43</v>
      </c>
      <c r="N408" s="20">
        <f ca="1">+M408/$M$416</f>
        <v>0.69354838709677424</v>
      </c>
      <c r="O408" s="19">
        <f ca="1">+SUM(O406:O407)</f>
        <v>54</v>
      </c>
      <c r="P408" s="20">
        <f ca="1">+O408/$O$416</f>
        <v>0.71052631578947367</v>
      </c>
      <c r="Q408" s="101">
        <f ca="1">+SUM(Q406:Q407)</f>
        <v>7368</v>
      </c>
      <c r="T408" s="18" t="s">
        <v>17</v>
      </c>
      <c r="U408" s="19">
        <f ca="1">+SUM(U406:U407)</f>
        <v>480807880.69999981</v>
      </c>
      <c r="V408" s="20">
        <f t="shared" ca="1" si="396"/>
        <v>0.77522529884544467</v>
      </c>
      <c r="W408" s="19">
        <f ca="1">+SUM(W406:W407)</f>
        <v>462714061.33999985</v>
      </c>
      <c r="X408" s="20">
        <f ca="1">W408/W$416</f>
        <v>0.77953375308754136</v>
      </c>
      <c r="Y408" s="19">
        <f ca="1">+SUM(Y406:Y407)</f>
        <v>148506124.33999994</v>
      </c>
      <c r="Z408" s="20">
        <f ca="1">Y408/Y$416</f>
        <v>0.98116523153518753</v>
      </c>
      <c r="AA408" s="19">
        <f ca="1">+SUM(AA406:AA407)</f>
        <v>15635066.52</v>
      </c>
      <c r="AB408" s="20">
        <f ca="1">AA408/AA$416</f>
        <v>0.99993604529638447</v>
      </c>
      <c r="AC408" s="19">
        <f ca="1">+SUM(AC406:AC407)</f>
        <v>5882275.7400000002</v>
      </c>
      <c r="AD408" s="20">
        <f ca="1">AC408/AC$416</f>
        <v>0.83358452451706433</v>
      </c>
      <c r="AE408" s="19">
        <f ca="1">+SUM(AE406:AE407)</f>
        <v>2341914.36</v>
      </c>
      <c r="AF408" s="20">
        <f ca="1">AE408/AE$416</f>
        <v>0.62623173148789846</v>
      </c>
      <c r="AG408" s="19">
        <f ca="1">+SUM(AG406:AG407)</f>
        <v>17519789.800000004</v>
      </c>
      <c r="AH408" s="20">
        <f ca="1">AG408/AG$416</f>
        <v>0.7852616664788612</v>
      </c>
      <c r="AI408" s="101">
        <f ca="1">+SUM(AI406:AI407)</f>
        <v>1133407112.7999997</v>
      </c>
    </row>
    <row r="409" spans="2:35" x14ac:dyDescent="0.4">
      <c r="B409" s="22" t="s">
        <v>18</v>
      </c>
      <c r="C409" s="15">
        <v>397</v>
      </c>
      <c r="D409" s="16">
        <f t="shared" ref="D409:D416" ca="1" si="397">C409/C$416</f>
        <v>8.8913773796192613E-2</v>
      </c>
      <c r="E409" s="15">
        <v>386</v>
      </c>
      <c r="F409" s="16">
        <f t="shared" ref="F409:F416" ca="1" si="398">E409/E$416</f>
        <v>8.7687414811449343E-2</v>
      </c>
      <c r="G409" s="15">
        <v>6</v>
      </c>
      <c r="H409" s="16">
        <f t="shared" ref="H409:H416" ca="1" si="399">G409/G$416</f>
        <v>8.771929824561403E-3</v>
      </c>
      <c r="I409" s="15">
        <v>0</v>
      </c>
      <c r="J409" s="16">
        <f t="shared" ref="J409:J416" ca="1" si="400">I409/I$416</f>
        <v>0</v>
      </c>
      <c r="K409" s="15">
        <v>12</v>
      </c>
      <c r="L409" s="16">
        <f t="shared" ref="L409:L416" ca="1" si="401">K409/K$416</f>
        <v>8.6956521739130432E-2</v>
      </c>
      <c r="M409" s="15">
        <v>5</v>
      </c>
      <c r="N409" s="16">
        <f t="shared" ref="N409:N416" ca="1" si="402">M409/M$416</f>
        <v>8.0645161290322578E-2</v>
      </c>
      <c r="O409" s="15">
        <v>7</v>
      </c>
      <c r="P409" s="16">
        <f t="shared" ref="P409:P416" ca="1" si="403">O409/O$416</f>
        <v>9.2105263157894732E-2</v>
      </c>
      <c r="Q409" s="62">
        <f t="shared" ca="1" si="395"/>
        <v>813</v>
      </c>
      <c r="T409" s="22" t="s">
        <v>18</v>
      </c>
      <c r="U409" s="15">
        <v>47093970.609999999</v>
      </c>
      <c r="V409" s="16">
        <f t="shared" ca="1" si="396"/>
        <v>7.5931445605267198E-2</v>
      </c>
      <c r="W409" s="15">
        <v>44245368.129999995</v>
      </c>
      <c r="X409" s="16">
        <f t="shared" ref="X409:X416" ca="1" si="404">W409/W$416</f>
        <v>7.4540111824644026E-2</v>
      </c>
      <c r="Y409" s="15">
        <v>2342649.16</v>
      </c>
      <c r="Z409" s="16">
        <f t="shared" ref="Z409:Z416" ca="1" si="405">Y409/Y$416</f>
        <v>1.5477650606615472E-2</v>
      </c>
      <c r="AA409" s="15">
        <v>0</v>
      </c>
      <c r="AB409" s="16">
        <f t="shared" ref="AB409:AB416" ca="1" si="406">AA409/AA$416</f>
        <v>0</v>
      </c>
      <c r="AC409" s="15">
        <v>764610.08000000007</v>
      </c>
      <c r="AD409" s="16">
        <f t="shared" ref="AD409:AD416" ca="1" si="407">AC409/AC$416</f>
        <v>0.10835383415360848</v>
      </c>
      <c r="AE409" s="15">
        <v>221010</v>
      </c>
      <c r="AF409" s="16">
        <f t="shared" ref="AF409:AF416" ca="1" si="408">AE409/AE$416</f>
        <v>5.909843559614214E-2</v>
      </c>
      <c r="AG409" s="15">
        <v>1237707.4100000001</v>
      </c>
      <c r="AH409" s="16">
        <f t="shared" ref="AH409:AH416" ca="1" si="409">AG409/AG$416</f>
        <v>5.5475790205532886E-2</v>
      </c>
      <c r="AI409" s="62">
        <f t="shared" ref="AI409:AI416" ca="1" si="410">SUM(U409,Y409,AA409,AC409,AE409,AG409,W409)</f>
        <v>95905315.389999986</v>
      </c>
    </row>
    <row r="410" spans="2:35" x14ac:dyDescent="0.4">
      <c r="B410" s="22" t="s">
        <v>19</v>
      </c>
      <c r="C410" s="15">
        <v>501</v>
      </c>
      <c r="D410" s="16">
        <f t="shared" ca="1" si="397"/>
        <v>0.1122060470324748</v>
      </c>
      <c r="E410" s="15">
        <v>471</v>
      </c>
      <c r="F410" s="16">
        <f t="shared" ca="1" si="398"/>
        <v>0.10699681962744208</v>
      </c>
      <c r="G410" s="15">
        <v>0</v>
      </c>
      <c r="H410" s="16">
        <f t="shared" ca="1" si="399"/>
        <v>0</v>
      </c>
      <c r="I410" s="15">
        <v>0</v>
      </c>
      <c r="J410" s="16">
        <f t="shared" ca="1" si="400"/>
        <v>0</v>
      </c>
      <c r="K410" s="15">
        <v>3</v>
      </c>
      <c r="L410" s="16">
        <f t="shared" ca="1" si="401"/>
        <v>2.1739130434782608E-2</v>
      </c>
      <c r="M410" s="15">
        <v>3</v>
      </c>
      <c r="N410" s="16">
        <f t="shared" ca="1" si="402"/>
        <v>4.8387096774193547E-2</v>
      </c>
      <c r="O410" s="15">
        <v>10</v>
      </c>
      <c r="P410" s="16">
        <f t="shared" ca="1" si="403"/>
        <v>0.13157894736842105</v>
      </c>
      <c r="Q410" s="62">
        <f t="shared" ca="1" si="395"/>
        <v>988</v>
      </c>
      <c r="T410" s="22" t="s">
        <v>19</v>
      </c>
      <c r="U410" s="15">
        <v>61216595.989999995</v>
      </c>
      <c r="V410" s="16">
        <f t="shared" ca="1" si="396"/>
        <v>9.8701905325589256E-2</v>
      </c>
      <c r="W410" s="15">
        <v>56151151.509999983</v>
      </c>
      <c r="X410" s="16">
        <f t="shared" ca="1" si="404"/>
        <v>9.4597768976409438E-2</v>
      </c>
      <c r="Y410" s="15">
        <v>0</v>
      </c>
      <c r="Z410" s="16">
        <f t="shared" ca="1" si="405"/>
        <v>0</v>
      </c>
      <c r="AA410" s="15">
        <v>0</v>
      </c>
      <c r="AB410" s="16">
        <f t="shared" ca="1" si="406"/>
        <v>0</v>
      </c>
      <c r="AC410" s="15">
        <v>120010</v>
      </c>
      <c r="AD410" s="16">
        <f t="shared" ca="1" si="407"/>
        <v>1.7006764594019674E-2</v>
      </c>
      <c r="AE410" s="15">
        <v>141763.60999999999</v>
      </c>
      <c r="AF410" s="16">
        <f t="shared" ca="1" si="408"/>
        <v>3.7907821254520663E-2</v>
      </c>
      <c r="AG410" s="15">
        <v>2787070.99</v>
      </c>
      <c r="AH410" s="16">
        <f t="shared" ca="1" si="409"/>
        <v>0.12492044911419481</v>
      </c>
      <c r="AI410" s="62">
        <f t="shared" ca="1" si="410"/>
        <v>120416592.09999998</v>
      </c>
    </row>
    <row r="411" spans="2:35" x14ac:dyDescent="0.4">
      <c r="B411" s="22" t="s">
        <v>20</v>
      </c>
      <c r="C411" s="15">
        <v>152</v>
      </c>
      <c r="D411" s="16">
        <f t="shared" ca="1" si="397"/>
        <v>3.4042553191489362E-2</v>
      </c>
      <c r="E411" s="15">
        <v>148</v>
      </c>
      <c r="F411" s="16">
        <f t="shared" ca="1" si="398"/>
        <v>3.3621081326669695E-2</v>
      </c>
      <c r="G411" s="15">
        <v>1</v>
      </c>
      <c r="H411" s="16">
        <f t="shared" ca="1" si="399"/>
        <v>1.4619883040935672E-3</v>
      </c>
      <c r="I411" s="15">
        <v>0</v>
      </c>
      <c r="J411" s="16">
        <f t="shared" ca="1" si="400"/>
        <v>0</v>
      </c>
      <c r="K411" s="15">
        <v>1</v>
      </c>
      <c r="L411" s="16">
        <f t="shared" ca="1" si="401"/>
        <v>7.246376811594203E-3</v>
      </c>
      <c r="M411" s="15">
        <v>3</v>
      </c>
      <c r="N411" s="16">
        <f t="shared" ca="1" si="402"/>
        <v>4.8387096774193547E-2</v>
      </c>
      <c r="O411" s="15">
        <v>4</v>
      </c>
      <c r="P411" s="16">
        <f t="shared" ca="1" si="403"/>
        <v>5.2631578947368418E-2</v>
      </c>
      <c r="Q411" s="62">
        <f t="shared" ca="1" si="395"/>
        <v>309</v>
      </c>
      <c r="T411" s="22" t="s">
        <v>20</v>
      </c>
      <c r="U411" s="15">
        <v>15861244.669999998</v>
      </c>
      <c r="V411" s="16">
        <f t="shared" ca="1" si="396"/>
        <v>2.557370341238974E-2</v>
      </c>
      <c r="W411" s="15">
        <v>14143720.560000001</v>
      </c>
      <c r="X411" s="16">
        <f t="shared" ca="1" si="404"/>
        <v>2.3827906890983235E-2</v>
      </c>
      <c r="Y411" s="15">
        <v>508122.93999999994</v>
      </c>
      <c r="Z411" s="16">
        <f t="shared" ca="1" si="405"/>
        <v>3.3571178581970145E-3</v>
      </c>
      <c r="AA411" s="15">
        <v>0</v>
      </c>
      <c r="AB411" s="16">
        <f t="shared" ca="1" si="406"/>
        <v>0</v>
      </c>
      <c r="AC411" s="15">
        <v>247708</v>
      </c>
      <c r="AD411" s="16">
        <f t="shared" ca="1" si="407"/>
        <v>3.5103005116702155E-2</v>
      </c>
      <c r="AE411" s="15">
        <v>74094.929999999935</v>
      </c>
      <c r="AF411" s="16">
        <f t="shared" ca="1" si="408"/>
        <v>1.9813105509278568E-2</v>
      </c>
      <c r="AG411" s="15">
        <v>617613.26</v>
      </c>
      <c r="AH411" s="16">
        <f t="shared" ca="1" si="409"/>
        <v>2.7682296609919492E-2</v>
      </c>
      <c r="AI411" s="62">
        <f t="shared" ca="1" si="410"/>
        <v>31452504.359999999</v>
      </c>
    </row>
    <row r="412" spans="2:35" x14ac:dyDescent="0.4">
      <c r="B412" s="22" t="s">
        <v>21</v>
      </c>
      <c r="C412" s="15">
        <v>66</v>
      </c>
      <c r="D412" s="16">
        <f t="shared" ca="1" si="397"/>
        <v>1.4781634938409855E-2</v>
      </c>
      <c r="E412" s="15">
        <v>80</v>
      </c>
      <c r="F412" s="16">
        <f t="shared" ca="1" si="398"/>
        <v>1.8173557473875512E-2</v>
      </c>
      <c r="G412" s="15">
        <v>0</v>
      </c>
      <c r="H412" s="16">
        <f t="shared" ca="1" si="399"/>
        <v>0</v>
      </c>
      <c r="I412" s="15">
        <v>0</v>
      </c>
      <c r="J412" s="16">
        <f t="shared" ca="1" si="400"/>
        <v>0</v>
      </c>
      <c r="K412" s="15">
        <v>1</v>
      </c>
      <c r="L412" s="16">
        <f t="shared" ca="1" si="401"/>
        <v>7.246376811594203E-3</v>
      </c>
      <c r="M412" s="15">
        <v>3</v>
      </c>
      <c r="N412" s="16">
        <f t="shared" ca="1" si="402"/>
        <v>4.8387096774193547E-2</v>
      </c>
      <c r="O412" s="15">
        <v>0</v>
      </c>
      <c r="P412" s="16">
        <f t="shared" ca="1" si="403"/>
        <v>0</v>
      </c>
      <c r="Q412" s="62">
        <f t="shared" ca="1" si="395"/>
        <v>150</v>
      </c>
      <c r="T412" s="22" t="s">
        <v>21</v>
      </c>
      <c r="U412" s="15">
        <v>6823779.4000000004</v>
      </c>
      <c r="V412" s="16">
        <f t="shared" ca="1" si="396"/>
        <v>1.1002245672260652E-2</v>
      </c>
      <c r="W412" s="15">
        <v>6985604.4400000004</v>
      </c>
      <c r="X412" s="16">
        <f t="shared" ca="1" si="404"/>
        <v>1.1768638348547739E-2</v>
      </c>
      <c r="Y412" s="15">
        <v>0</v>
      </c>
      <c r="Z412" s="16">
        <f t="shared" ca="1" si="405"/>
        <v>0</v>
      </c>
      <c r="AA412" s="15">
        <v>0</v>
      </c>
      <c r="AB412" s="16">
        <f t="shared" ca="1" si="406"/>
        <v>0</v>
      </c>
      <c r="AC412" s="15">
        <v>12000</v>
      </c>
      <c r="AD412" s="16">
        <f t="shared" ca="1" si="407"/>
        <v>1.7005347481729531E-3</v>
      </c>
      <c r="AE412" s="15">
        <v>160910</v>
      </c>
      <c r="AF412" s="16">
        <f t="shared" ca="1" si="408"/>
        <v>4.3027597266074982E-2</v>
      </c>
      <c r="AG412" s="15">
        <v>0</v>
      </c>
      <c r="AH412" s="16">
        <f t="shared" ca="1" si="409"/>
        <v>0</v>
      </c>
      <c r="AI412" s="62">
        <f t="shared" ca="1" si="410"/>
        <v>13982293.84</v>
      </c>
    </row>
    <row r="413" spans="2:35" x14ac:dyDescent="0.4">
      <c r="B413" s="22" t="s">
        <v>22</v>
      </c>
      <c r="C413" s="15">
        <v>36</v>
      </c>
      <c r="D413" s="16">
        <f t="shared" ca="1" si="397"/>
        <v>8.0627099664053754E-3</v>
      </c>
      <c r="E413" s="15">
        <v>37</v>
      </c>
      <c r="F413" s="16">
        <f t="shared" ca="1" si="398"/>
        <v>8.4052703316674238E-3</v>
      </c>
      <c r="G413" s="15">
        <v>0</v>
      </c>
      <c r="H413" s="16">
        <f t="shared" ca="1" si="399"/>
        <v>0</v>
      </c>
      <c r="I413" s="15">
        <v>0</v>
      </c>
      <c r="J413" s="16">
        <f t="shared" ca="1" si="400"/>
        <v>0</v>
      </c>
      <c r="K413" s="15">
        <v>0</v>
      </c>
      <c r="L413" s="16">
        <f t="shared" ca="1" si="401"/>
        <v>0</v>
      </c>
      <c r="M413" s="15">
        <v>0</v>
      </c>
      <c r="N413" s="16">
        <f t="shared" ca="1" si="402"/>
        <v>0</v>
      </c>
      <c r="O413" s="15">
        <v>1</v>
      </c>
      <c r="P413" s="16">
        <f t="shared" ca="1" si="403"/>
        <v>1.3157894736842105E-2</v>
      </c>
      <c r="Q413" s="62">
        <f t="shared" ca="1" si="395"/>
        <v>74</v>
      </c>
      <c r="T413" s="22" t="s">
        <v>22</v>
      </c>
      <c r="U413" s="15">
        <v>2467598.19</v>
      </c>
      <c r="V413" s="16">
        <f t="shared" ca="1" si="396"/>
        <v>3.9786048046637785E-3</v>
      </c>
      <c r="W413" s="15">
        <v>3515040.3400000003</v>
      </c>
      <c r="X413" s="16">
        <f t="shared" ca="1" si="404"/>
        <v>5.921783704949701E-3</v>
      </c>
      <c r="Y413" s="15">
        <v>0</v>
      </c>
      <c r="Z413" s="16">
        <f t="shared" ca="1" si="405"/>
        <v>0</v>
      </c>
      <c r="AA413" s="15">
        <v>0</v>
      </c>
      <c r="AB413" s="16">
        <f t="shared" ca="1" si="406"/>
        <v>0</v>
      </c>
      <c r="AC413" s="15">
        <v>0</v>
      </c>
      <c r="AD413" s="16">
        <f t="shared" ca="1" si="407"/>
        <v>0</v>
      </c>
      <c r="AE413" s="15">
        <v>0</v>
      </c>
      <c r="AF413" s="16">
        <f t="shared" ca="1" si="408"/>
        <v>0</v>
      </c>
      <c r="AG413" s="15">
        <v>148585.18999999994</v>
      </c>
      <c r="AH413" s="16">
        <f t="shared" ca="1" si="409"/>
        <v>6.6597975914915461E-3</v>
      </c>
      <c r="AI413" s="62">
        <f t="shared" ca="1" si="410"/>
        <v>6131223.7200000007</v>
      </c>
    </row>
    <row r="414" spans="2:35" x14ac:dyDescent="0.4">
      <c r="B414" s="22" t="s">
        <v>23</v>
      </c>
      <c r="C414" s="15">
        <v>20</v>
      </c>
      <c r="D414" s="16">
        <f t="shared" ca="1" si="397"/>
        <v>4.4792833146696529E-3</v>
      </c>
      <c r="E414" s="15">
        <v>24</v>
      </c>
      <c r="F414" s="16">
        <f t="shared" ca="1" si="398"/>
        <v>5.4520672421626533E-3</v>
      </c>
      <c r="G414" s="15">
        <v>0</v>
      </c>
      <c r="H414" s="16">
        <f t="shared" ca="1" si="399"/>
        <v>0</v>
      </c>
      <c r="I414" s="15">
        <v>0</v>
      </c>
      <c r="J414" s="16">
        <f t="shared" ca="1" si="400"/>
        <v>0</v>
      </c>
      <c r="K414" s="15">
        <v>1</v>
      </c>
      <c r="L414" s="16">
        <f t="shared" ca="1" si="401"/>
        <v>7.246376811594203E-3</v>
      </c>
      <c r="M414" s="15">
        <v>0</v>
      </c>
      <c r="N414" s="16">
        <f t="shared" ca="1" si="402"/>
        <v>0</v>
      </c>
      <c r="O414" s="15">
        <v>0</v>
      </c>
      <c r="P414" s="16">
        <f t="shared" ca="1" si="403"/>
        <v>0</v>
      </c>
      <c r="Q414" s="62">
        <f t="shared" ca="1" si="395"/>
        <v>45</v>
      </c>
      <c r="T414" s="22" t="s">
        <v>23</v>
      </c>
      <c r="U414" s="15">
        <v>1513350.33</v>
      </c>
      <c r="V414" s="16">
        <f t="shared" ca="1" si="396"/>
        <v>2.4400337617679628E-3</v>
      </c>
      <c r="W414" s="15">
        <v>2104984.7400000002</v>
      </c>
      <c r="X414" s="16">
        <f t="shared" ca="1" si="404"/>
        <v>3.5462649434344139E-3</v>
      </c>
      <c r="Y414" s="15">
        <v>0</v>
      </c>
      <c r="Z414" s="16">
        <f t="shared" ca="1" si="405"/>
        <v>0</v>
      </c>
      <c r="AA414" s="15">
        <v>0</v>
      </c>
      <c r="AB414" s="16">
        <f t="shared" ca="1" si="406"/>
        <v>0</v>
      </c>
      <c r="AC414" s="15">
        <v>30000</v>
      </c>
      <c r="AD414" s="16">
        <f t="shared" ca="1" si="407"/>
        <v>4.2513368704323829E-3</v>
      </c>
      <c r="AE414" s="15">
        <v>0</v>
      </c>
      <c r="AF414" s="16">
        <f t="shared" ca="1" si="408"/>
        <v>0</v>
      </c>
      <c r="AG414" s="15">
        <v>0</v>
      </c>
      <c r="AH414" s="16">
        <f t="shared" ca="1" si="409"/>
        <v>0</v>
      </c>
      <c r="AI414" s="62">
        <f t="shared" ca="1" si="410"/>
        <v>3648335.0700000003</v>
      </c>
    </row>
    <row r="415" spans="2:35" x14ac:dyDescent="0.4">
      <c r="B415" s="23" t="s">
        <v>24</v>
      </c>
      <c r="C415" s="24">
        <v>67</v>
      </c>
      <c r="D415" s="25">
        <f t="shared" ca="1" si="397"/>
        <v>1.5005599104143338E-2</v>
      </c>
      <c r="E415" s="24">
        <v>52</v>
      </c>
      <c r="F415" s="25">
        <f t="shared" ca="1" si="398"/>
        <v>1.1812812358019082E-2</v>
      </c>
      <c r="G415" s="24">
        <v>0</v>
      </c>
      <c r="H415" s="25">
        <f t="shared" ca="1" si="399"/>
        <v>0</v>
      </c>
      <c r="I415" s="24">
        <v>1</v>
      </c>
      <c r="J415" s="25">
        <f t="shared" ca="1" si="400"/>
        <v>2.2222222222222223E-2</v>
      </c>
      <c r="K415" s="24">
        <v>0</v>
      </c>
      <c r="L415" s="25">
        <f t="shared" ca="1" si="401"/>
        <v>0</v>
      </c>
      <c r="M415" s="24">
        <v>5</v>
      </c>
      <c r="N415" s="25">
        <f t="shared" ca="1" si="402"/>
        <v>8.0645161290322578E-2</v>
      </c>
      <c r="O415" s="24">
        <v>0</v>
      </c>
      <c r="P415" s="25">
        <f t="shared" ca="1" si="403"/>
        <v>0</v>
      </c>
      <c r="Q415" s="64">
        <f t="shared" ca="1" si="395"/>
        <v>125</v>
      </c>
      <c r="T415" s="23" t="s">
        <v>24</v>
      </c>
      <c r="U415" s="24">
        <v>4432543.3800000008</v>
      </c>
      <c r="V415" s="25">
        <f t="shared" ca="1" si="396"/>
        <v>7.1467625726166668E-3</v>
      </c>
      <c r="W415" s="24">
        <v>3718037.1900000004</v>
      </c>
      <c r="X415" s="25">
        <f t="shared" ca="1" si="404"/>
        <v>6.2637722234900372E-3</v>
      </c>
      <c r="Y415" s="24">
        <v>0</v>
      </c>
      <c r="Z415" s="25">
        <f t="shared" ca="1" si="405"/>
        <v>0</v>
      </c>
      <c r="AA415" s="24">
        <v>1000</v>
      </c>
      <c r="AB415" s="25">
        <f t="shared" ca="1" si="406"/>
        <v>6.3954703615574026E-5</v>
      </c>
      <c r="AC415" s="24">
        <v>0</v>
      </c>
      <c r="AD415" s="25">
        <f t="shared" ca="1" si="407"/>
        <v>0</v>
      </c>
      <c r="AE415" s="24">
        <v>800000</v>
      </c>
      <c r="AF415" s="25">
        <f t="shared" ca="1" si="408"/>
        <v>0.21392130888608529</v>
      </c>
      <c r="AG415" s="24">
        <v>0</v>
      </c>
      <c r="AH415" s="25">
        <f t="shared" ca="1" si="409"/>
        <v>0</v>
      </c>
      <c r="AI415" s="64">
        <f t="shared" ca="1" si="410"/>
        <v>8951580.5700000003</v>
      </c>
    </row>
    <row r="416" spans="2:35" x14ac:dyDescent="0.4">
      <c r="B416" s="27" t="s">
        <v>25</v>
      </c>
      <c r="C416" s="28">
        <f ca="1">SUM(C408:C415)</f>
        <v>4465</v>
      </c>
      <c r="D416" s="29">
        <f t="shared" ca="1" si="397"/>
        <v>1</v>
      </c>
      <c r="E416" s="28">
        <f ca="1">SUM(E408:E415)</f>
        <v>4402</v>
      </c>
      <c r="F416" s="29">
        <f t="shared" ca="1" si="398"/>
        <v>1</v>
      </c>
      <c r="G416" s="28">
        <f ca="1">SUM(G408:G415)</f>
        <v>684</v>
      </c>
      <c r="H416" s="29">
        <f t="shared" ca="1" si="399"/>
        <v>1</v>
      </c>
      <c r="I416" s="28">
        <f ca="1">SUM(I408:I415)</f>
        <v>45</v>
      </c>
      <c r="J416" s="29">
        <f t="shared" ca="1" si="400"/>
        <v>1</v>
      </c>
      <c r="K416" s="28">
        <f ca="1">SUM(K408:K415)</f>
        <v>138</v>
      </c>
      <c r="L416" s="29">
        <f t="shared" ca="1" si="401"/>
        <v>1</v>
      </c>
      <c r="M416" s="28">
        <f ca="1">SUM(M408:M415)</f>
        <v>62</v>
      </c>
      <c r="N416" s="29">
        <f t="shared" ca="1" si="402"/>
        <v>1</v>
      </c>
      <c r="O416" s="28">
        <f ca="1">SUM(O408:O415)</f>
        <v>76</v>
      </c>
      <c r="P416" s="29">
        <f t="shared" ca="1" si="403"/>
        <v>1</v>
      </c>
      <c r="Q416" s="31">
        <f t="shared" ca="1" si="395"/>
        <v>9872</v>
      </c>
      <c r="T416" s="27" t="s">
        <v>25</v>
      </c>
      <c r="U416" s="28">
        <f ca="1">SUM(U408:U415)</f>
        <v>620216963.26999986</v>
      </c>
      <c r="V416" s="29">
        <f ca="1">U416/U$416</f>
        <v>1</v>
      </c>
      <c r="W416" s="28">
        <f ca="1">SUM(W408:W415)</f>
        <v>593577968.24999988</v>
      </c>
      <c r="X416" s="29">
        <f t="shared" ca="1" si="404"/>
        <v>1</v>
      </c>
      <c r="Y416" s="28">
        <f ca="1">SUM(Y408:Y415)</f>
        <v>151356896.43999994</v>
      </c>
      <c r="Z416" s="29">
        <f t="shared" ca="1" si="405"/>
        <v>1</v>
      </c>
      <c r="AA416" s="28">
        <f ca="1">SUM(AA408:AA415)</f>
        <v>15636066.52</v>
      </c>
      <c r="AB416" s="29">
        <f t="shared" ca="1" si="406"/>
        <v>1</v>
      </c>
      <c r="AC416" s="28">
        <f ca="1">SUM(AC408:AC415)</f>
        <v>7056603.8200000003</v>
      </c>
      <c r="AD416" s="29">
        <f t="shared" ca="1" si="407"/>
        <v>1</v>
      </c>
      <c r="AE416" s="28">
        <f ca="1">SUM(AE408:AE415)</f>
        <v>3739692.8999999994</v>
      </c>
      <c r="AF416" s="29">
        <f t="shared" ca="1" si="408"/>
        <v>1</v>
      </c>
      <c r="AG416" s="28">
        <f ca="1">SUM(AG408:AG415)</f>
        <v>22310766.650000006</v>
      </c>
      <c r="AH416" s="29">
        <f t="shared" ca="1" si="409"/>
        <v>1</v>
      </c>
      <c r="AI416" s="31">
        <f t="shared" ca="1" si="410"/>
        <v>1413894957.8499997</v>
      </c>
    </row>
    <row r="417" spans="2:35" x14ac:dyDescent="0.4">
      <c r="B417" s="32" t="s">
        <v>26</v>
      </c>
      <c r="C417" s="33">
        <f ca="1">C416/$Q$416</f>
        <v>0.4522893030794165</v>
      </c>
      <c r="D417" s="33"/>
      <c r="E417" s="33">
        <f ca="1">E416/$Q$416</f>
        <v>0.44590761750405189</v>
      </c>
      <c r="F417" s="33"/>
      <c r="G417" s="33">
        <f ca="1">G416/$Q$416</f>
        <v>6.9286871961102101E-2</v>
      </c>
      <c r="H417" s="33"/>
      <c r="I417" s="33">
        <f ca="1">I416/$Q$416</f>
        <v>4.5583468395461908E-3</v>
      </c>
      <c r="J417" s="33"/>
      <c r="K417" s="33">
        <f ca="1">K416/$Q$416</f>
        <v>1.3978930307941654E-2</v>
      </c>
      <c r="L417" s="33"/>
      <c r="M417" s="33">
        <f ca="1">M416/$Q$416</f>
        <v>6.2803889789303079E-3</v>
      </c>
      <c r="N417" s="33"/>
      <c r="O417" s="33">
        <f ca="1">O416/$Q$416</f>
        <v>7.6985413290113448E-3</v>
      </c>
      <c r="P417" s="33"/>
      <c r="Q417" s="34">
        <f ca="1">Q416/$Q$416</f>
        <v>1</v>
      </c>
      <c r="T417" s="32" t="s">
        <v>26</v>
      </c>
      <c r="U417" s="33">
        <f ca="1">U416/$AI$416</f>
        <v>0.43865844476389931</v>
      </c>
      <c r="V417" s="33"/>
      <c r="W417" s="33">
        <f ca="1">W416/$AI$416</f>
        <v>0.41981758613285375</v>
      </c>
      <c r="X417" s="33"/>
      <c r="Y417" s="33">
        <f ca="1">Y416/$AI$416</f>
        <v>0.10704960478121842</v>
      </c>
      <c r="Z417" s="33"/>
      <c r="AA417" s="33">
        <f ca="1">AA416/$AI$416</f>
        <v>1.1058860089420329E-2</v>
      </c>
      <c r="AB417" s="33"/>
      <c r="AC417" s="33">
        <f ca="1">AC416/$AI$416</f>
        <v>4.9908967995263452E-3</v>
      </c>
      <c r="AD417" s="33"/>
      <c r="AE417" s="33">
        <f ca="1">AE416/$AI$416</f>
        <v>2.6449580849249653E-3</v>
      </c>
      <c r="AF417" s="33"/>
      <c r="AG417" s="33">
        <f ca="1">AG416/$AI$416</f>
        <v>1.577964934815685E-2</v>
      </c>
      <c r="AH417" s="33"/>
      <c r="AI417" s="34">
        <f ca="1">AI416/$AI$416</f>
        <v>1</v>
      </c>
    </row>
    <row r="419" spans="2:35" x14ac:dyDescent="0.4">
      <c r="B419" s="4" t="s">
        <v>49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T419" s="4" t="s">
        <v>49</v>
      </c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2:35" x14ac:dyDescent="0.4">
      <c r="B420" s="5"/>
      <c r="C420" s="6" t="s">
        <v>3</v>
      </c>
      <c r="D420" s="6"/>
      <c r="E420" s="6" t="s">
        <v>4</v>
      </c>
      <c r="F420" s="6"/>
      <c r="G420" s="6" t="s">
        <v>5</v>
      </c>
      <c r="H420" s="6"/>
      <c r="I420" s="6" t="s">
        <v>6</v>
      </c>
      <c r="J420" s="6"/>
      <c r="K420" s="6" t="s">
        <v>7</v>
      </c>
      <c r="L420" s="6"/>
      <c r="M420" s="6" t="s">
        <v>8</v>
      </c>
      <c r="N420" s="6"/>
      <c r="O420" s="6" t="s">
        <v>9</v>
      </c>
      <c r="P420" s="6"/>
      <c r="Q420" s="7" t="s">
        <v>10</v>
      </c>
      <c r="T420" s="5"/>
      <c r="U420" s="6" t="s">
        <v>3</v>
      </c>
      <c r="V420" s="6"/>
      <c r="W420" s="6" t="s">
        <v>4</v>
      </c>
      <c r="X420" s="6"/>
      <c r="Y420" s="6" t="s">
        <v>5</v>
      </c>
      <c r="Z420" s="6"/>
      <c r="AA420" s="6" t="s">
        <v>6</v>
      </c>
      <c r="AB420" s="6"/>
      <c r="AC420" s="6" t="s">
        <v>7</v>
      </c>
      <c r="AD420" s="6"/>
      <c r="AE420" s="6" t="s">
        <v>8</v>
      </c>
      <c r="AF420" s="6"/>
      <c r="AG420" s="6" t="s">
        <v>9</v>
      </c>
      <c r="AH420" s="6"/>
      <c r="AI420" s="7" t="s">
        <v>10</v>
      </c>
    </row>
    <row r="421" spans="2:35" x14ac:dyDescent="0.4">
      <c r="B421" s="8" t="s">
        <v>11</v>
      </c>
      <c r="C421" s="8" t="s">
        <v>12</v>
      </c>
      <c r="D421" s="8" t="s">
        <v>13</v>
      </c>
      <c r="E421" s="8" t="s">
        <v>12</v>
      </c>
      <c r="F421" s="8" t="s">
        <v>13</v>
      </c>
      <c r="G421" s="8" t="s">
        <v>12</v>
      </c>
      <c r="H421" s="8" t="s">
        <v>13</v>
      </c>
      <c r="I421" s="8" t="s">
        <v>12</v>
      </c>
      <c r="J421" s="8" t="s">
        <v>13</v>
      </c>
      <c r="K421" s="8" t="s">
        <v>12</v>
      </c>
      <c r="L421" s="8" t="s">
        <v>13</v>
      </c>
      <c r="M421" s="8" t="s">
        <v>12</v>
      </c>
      <c r="N421" s="8" t="s">
        <v>13</v>
      </c>
      <c r="O421" s="8" t="s">
        <v>12</v>
      </c>
      <c r="P421" s="8" t="s">
        <v>13</v>
      </c>
      <c r="Q421" s="7"/>
      <c r="T421" s="8" t="s">
        <v>11</v>
      </c>
      <c r="U421" s="8" t="s">
        <v>14</v>
      </c>
      <c r="V421" s="8" t="s">
        <v>13</v>
      </c>
      <c r="W421" s="8" t="s">
        <v>14</v>
      </c>
      <c r="X421" s="8" t="s">
        <v>13</v>
      </c>
      <c r="Y421" s="8" t="s">
        <v>14</v>
      </c>
      <c r="Z421" s="8" t="s">
        <v>13</v>
      </c>
      <c r="AA421" s="8" t="s">
        <v>14</v>
      </c>
      <c r="AB421" s="8" t="s">
        <v>13</v>
      </c>
      <c r="AC421" s="8" t="s">
        <v>14</v>
      </c>
      <c r="AD421" s="8" t="s">
        <v>13</v>
      </c>
      <c r="AE421" s="8" t="s">
        <v>14</v>
      </c>
      <c r="AF421" s="8" t="s">
        <v>13</v>
      </c>
      <c r="AG421" s="8" t="s">
        <v>14</v>
      </c>
      <c r="AH421" s="8" t="s">
        <v>13</v>
      </c>
      <c r="AI421" s="7"/>
    </row>
    <row r="422" spans="2:35" x14ac:dyDescent="0.4">
      <c r="B422" s="9" t="s">
        <v>15</v>
      </c>
      <c r="C422" s="10">
        <v>114</v>
      </c>
      <c r="D422" s="11">
        <f ca="1">C422/C$432</f>
        <v>0.57286432160804024</v>
      </c>
      <c r="E422" s="10">
        <v>129</v>
      </c>
      <c r="F422" s="11">
        <f ca="1">E422/E$432</f>
        <v>0.68617021276595747</v>
      </c>
      <c r="G422" s="10">
        <v>17</v>
      </c>
      <c r="H422" s="11">
        <f ca="1">IFERROR((G422/G$432),0)</f>
        <v>1</v>
      </c>
      <c r="I422" s="10">
        <v>37</v>
      </c>
      <c r="J422" s="11">
        <f ca="1">IFERROR((I422/I$432),0)</f>
        <v>1</v>
      </c>
      <c r="K422" s="10">
        <v>3</v>
      </c>
      <c r="L422" s="11">
        <f ca="1">IFERROR((K422/K$432),0)</f>
        <v>0.75</v>
      </c>
      <c r="M422" s="10">
        <v>0</v>
      </c>
      <c r="N422" s="11">
        <f t="shared" ref="N422:N432" ca="1" si="411">IFERROR((M422/M$432),0)</f>
        <v>0</v>
      </c>
      <c r="O422" s="10">
        <v>0</v>
      </c>
      <c r="P422" s="11">
        <f ca="1">IFERROR((O422/O$432),0)</f>
        <v>0</v>
      </c>
      <c r="Q422" s="60">
        <f t="shared" ref="Q422:Q432" ca="1" si="412">SUM(C422,G422,I422,K422,M422,O422,E422)</f>
        <v>300</v>
      </c>
      <c r="T422" s="9" t="s">
        <v>15</v>
      </c>
      <c r="U422" s="10">
        <v>16882151.82</v>
      </c>
      <c r="V422" s="11">
        <f ca="1">U422/U$432</f>
        <v>0.62811472994493578</v>
      </c>
      <c r="W422" s="10">
        <v>19878572.090000004</v>
      </c>
      <c r="X422" s="11">
        <f ca="1">W422/W$432</f>
        <v>0.76766143988200009</v>
      </c>
      <c r="Y422" s="10">
        <v>3118116.11</v>
      </c>
      <c r="Z422" s="11">
        <f ca="1">IFERROR((Y422/Y$432),0)</f>
        <v>1</v>
      </c>
      <c r="AA422" s="10">
        <v>9968407.9200000018</v>
      </c>
      <c r="AB422" s="11">
        <f t="shared" ref="AB422:AB432" ca="1" si="413">IFERROR((AA422/AA$432),0)</f>
        <v>1</v>
      </c>
      <c r="AC422" s="10">
        <v>154482</v>
      </c>
      <c r="AD422" s="11">
        <f ca="1">IFERROR((AC422/AC$432),0)</f>
        <v>0.61921100520278016</v>
      </c>
      <c r="AE422" s="10">
        <v>0</v>
      </c>
      <c r="AF422" s="11">
        <f ca="1">IFERROR((AE422/AE$432),0)</f>
        <v>0</v>
      </c>
      <c r="AG422" s="10">
        <v>0</v>
      </c>
      <c r="AH422" s="11">
        <f ca="1">IFERROR((AG422/AG$432),0)</f>
        <v>0</v>
      </c>
      <c r="AI422" s="60">
        <f ca="1">SUM(U422,Y422,AA422,AC422,AE422,AG422,W422)</f>
        <v>50001729.940000005</v>
      </c>
    </row>
    <row r="423" spans="2:35" x14ac:dyDescent="0.4">
      <c r="B423" s="14" t="s">
        <v>16</v>
      </c>
      <c r="C423" s="15">
        <v>63</v>
      </c>
      <c r="D423" s="16">
        <f ca="1">C423/C$432</f>
        <v>0.3165829145728643</v>
      </c>
      <c r="E423" s="15">
        <v>42</v>
      </c>
      <c r="F423" s="16">
        <f ca="1">E423/E$432</f>
        <v>0.22340425531914893</v>
      </c>
      <c r="G423" s="15">
        <v>0</v>
      </c>
      <c r="H423" s="16">
        <f t="shared" ref="H423:H432" ca="1" si="414">IFERROR((G423/G$432),0)</f>
        <v>0</v>
      </c>
      <c r="I423" s="15">
        <v>0</v>
      </c>
      <c r="J423" s="16">
        <f t="shared" ref="J423:J432" ca="1" si="415">IFERROR((I423/I$432),0)</f>
        <v>0</v>
      </c>
      <c r="K423" s="15">
        <v>1</v>
      </c>
      <c r="L423" s="16">
        <f t="shared" ref="L423:L432" ca="1" si="416">IFERROR((K423/K$432),0)</f>
        <v>0.25</v>
      </c>
      <c r="M423" s="15">
        <v>0</v>
      </c>
      <c r="N423" s="16">
        <f t="shared" ca="1" si="411"/>
        <v>0</v>
      </c>
      <c r="O423" s="15">
        <v>2</v>
      </c>
      <c r="P423" s="16">
        <f t="shared" ref="P423:P431" ca="1" si="417">IFERROR((O423/O$432),0)</f>
        <v>1</v>
      </c>
      <c r="Q423" s="62">
        <f t="shared" ca="1" si="412"/>
        <v>108</v>
      </c>
      <c r="T423" s="14" t="s">
        <v>16</v>
      </c>
      <c r="U423" s="15">
        <v>7978080.8499999996</v>
      </c>
      <c r="V423" s="16">
        <f t="shared" ref="V423:V431" ca="1" si="418">U423/U$432</f>
        <v>0.29683124236804864</v>
      </c>
      <c r="W423" s="15">
        <v>4233119.91</v>
      </c>
      <c r="X423" s="16">
        <f t="shared" ref="X423:X431" ca="1" si="419">W423/W$432</f>
        <v>0.16347265339739814</v>
      </c>
      <c r="Y423" s="15">
        <v>0</v>
      </c>
      <c r="Z423" s="16">
        <f t="shared" ref="Z423:Z432" ca="1" si="420">IFERROR((Y423/Y$432),0)</f>
        <v>0</v>
      </c>
      <c r="AA423" s="15">
        <v>0</v>
      </c>
      <c r="AB423" s="16">
        <f t="shared" ca="1" si="413"/>
        <v>0</v>
      </c>
      <c r="AC423" s="15">
        <v>95000</v>
      </c>
      <c r="AD423" s="16">
        <f t="shared" ref="AD423:AD432" ca="1" si="421">IFERROR((AC423/AC$432),0)</f>
        <v>0.38078899479721984</v>
      </c>
      <c r="AE423" s="15">
        <v>0</v>
      </c>
      <c r="AF423" s="16">
        <f t="shared" ref="AF423:AF432" ca="1" si="422">IFERROR((AE423/AE$432),0)</f>
        <v>0</v>
      </c>
      <c r="AG423" s="15">
        <v>319903.21000000008</v>
      </c>
      <c r="AH423" s="16">
        <f t="shared" ref="AH423:AH431" ca="1" si="423">IFERROR((AG423/AG$432),0)</f>
        <v>1</v>
      </c>
      <c r="AI423" s="62">
        <f ca="1">SUM(U423,Y423,AA423,AC423,AE423,AG423,W423)</f>
        <v>12626103.970000001</v>
      </c>
    </row>
    <row r="424" spans="2:35" x14ac:dyDescent="0.4">
      <c r="B424" s="18" t="s">
        <v>17</v>
      </c>
      <c r="C424" s="19">
        <f ca="1">+SUM(C422:C423)</f>
        <v>177</v>
      </c>
      <c r="D424" s="20">
        <f ca="1">+C424/$C$432</f>
        <v>0.88944723618090449</v>
      </c>
      <c r="E424" s="19">
        <f ca="1">+SUM(E422:E423)</f>
        <v>171</v>
      </c>
      <c r="F424" s="20">
        <f ca="1">+E424/$E$432</f>
        <v>0.90957446808510634</v>
      </c>
      <c r="G424" s="19">
        <f ca="1">+SUM(G422:G423)</f>
        <v>17</v>
      </c>
      <c r="H424" s="20">
        <f t="shared" ca="1" si="414"/>
        <v>1</v>
      </c>
      <c r="I424" s="19">
        <f ca="1">+SUM(I422:I423)</f>
        <v>37</v>
      </c>
      <c r="J424" s="20">
        <f t="shared" ca="1" si="415"/>
        <v>1</v>
      </c>
      <c r="K424" s="19">
        <f ca="1">+SUM(K422:K423)</f>
        <v>4</v>
      </c>
      <c r="L424" s="20">
        <f t="shared" ca="1" si="416"/>
        <v>1</v>
      </c>
      <c r="M424" s="19">
        <f ca="1">+SUM(M422:M423)</f>
        <v>0</v>
      </c>
      <c r="N424" s="20">
        <f t="shared" ca="1" si="411"/>
        <v>0</v>
      </c>
      <c r="O424" s="19">
        <f ca="1">+SUM(O422:O423)</f>
        <v>2</v>
      </c>
      <c r="P424" s="20">
        <f t="shared" ca="1" si="417"/>
        <v>1</v>
      </c>
      <c r="Q424" s="101">
        <f ca="1">+SUM(Q422:Q423)</f>
        <v>408</v>
      </c>
      <c r="T424" s="18" t="s">
        <v>17</v>
      </c>
      <c r="U424" s="19">
        <f ca="1">+SUM(U422:U423)</f>
        <v>24860232.670000002</v>
      </c>
      <c r="V424" s="20">
        <f t="shared" ca="1" si="418"/>
        <v>0.92494597231298448</v>
      </c>
      <c r="W424" s="19">
        <f ca="1">+SUM(W422:W423)</f>
        <v>24111692.000000004</v>
      </c>
      <c r="X424" s="20">
        <f t="shared" ca="1" si="419"/>
        <v>0.93113409327939822</v>
      </c>
      <c r="Y424" s="19">
        <f ca="1">+SUM(Y422:Y423)</f>
        <v>3118116.11</v>
      </c>
      <c r="Z424" s="20">
        <f t="shared" ca="1" si="420"/>
        <v>1</v>
      </c>
      <c r="AA424" s="19">
        <f ca="1">+SUM(AA422:AA423)</f>
        <v>9968407.9200000018</v>
      </c>
      <c r="AB424" s="20">
        <f t="shared" ca="1" si="413"/>
        <v>1</v>
      </c>
      <c r="AC424" s="19">
        <f ca="1">+SUM(AC422:AC423)</f>
        <v>249482</v>
      </c>
      <c r="AD424" s="20">
        <f t="shared" ca="1" si="421"/>
        <v>1</v>
      </c>
      <c r="AE424" s="19">
        <f ca="1">+SUM(AE422:AE423)</f>
        <v>0</v>
      </c>
      <c r="AF424" s="20">
        <f t="shared" ca="1" si="422"/>
        <v>0</v>
      </c>
      <c r="AG424" s="19">
        <f ca="1">+SUM(AG422:AG423)</f>
        <v>319903.21000000008</v>
      </c>
      <c r="AH424" s="20">
        <f t="shared" ca="1" si="423"/>
        <v>1</v>
      </c>
      <c r="AI424" s="101">
        <f ca="1">+SUM(AI422:AI423)</f>
        <v>62627833.910000004</v>
      </c>
    </row>
    <row r="425" spans="2:35" x14ac:dyDescent="0.4">
      <c r="B425" s="22" t="s">
        <v>18</v>
      </c>
      <c r="C425" s="15">
        <v>18</v>
      </c>
      <c r="D425" s="16">
        <f t="shared" ref="D425:D432" ca="1" si="424">C425/C$432</f>
        <v>9.0452261306532666E-2</v>
      </c>
      <c r="E425" s="15">
        <v>12</v>
      </c>
      <c r="F425" s="16">
        <f t="shared" ref="F425:F432" ca="1" si="425">E425/E$432</f>
        <v>6.3829787234042548E-2</v>
      </c>
      <c r="G425" s="15">
        <v>0</v>
      </c>
      <c r="H425" s="16">
        <f t="shared" ca="1" si="414"/>
        <v>0</v>
      </c>
      <c r="I425" s="15">
        <v>0</v>
      </c>
      <c r="J425" s="16">
        <f t="shared" ca="1" si="415"/>
        <v>0</v>
      </c>
      <c r="K425" s="15">
        <v>0</v>
      </c>
      <c r="L425" s="16">
        <f t="shared" ca="1" si="416"/>
        <v>0</v>
      </c>
      <c r="M425" s="15">
        <v>0</v>
      </c>
      <c r="N425" s="16">
        <f t="shared" ca="1" si="411"/>
        <v>0</v>
      </c>
      <c r="O425" s="15">
        <v>0</v>
      </c>
      <c r="P425" s="16">
        <f t="shared" ca="1" si="417"/>
        <v>0</v>
      </c>
      <c r="Q425" s="62">
        <f t="shared" ca="1" si="412"/>
        <v>30</v>
      </c>
      <c r="T425" s="22" t="s">
        <v>18</v>
      </c>
      <c r="U425" s="15">
        <v>1466401.8199999998</v>
      </c>
      <c r="V425" s="16">
        <f t="shared" ca="1" si="418"/>
        <v>5.4558719349324165E-2</v>
      </c>
      <c r="W425" s="15">
        <v>939767.78</v>
      </c>
      <c r="X425" s="16">
        <f t="shared" ca="1" si="419"/>
        <v>3.6291514495270301E-2</v>
      </c>
      <c r="Y425" s="15">
        <v>0</v>
      </c>
      <c r="Z425" s="16">
        <f t="shared" ca="1" si="420"/>
        <v>0</v>
      </c>
      <c r="AA425" s="15">
        <v>0</v>
      </c>
      <c r="AB425" s="16">
        <f t="shared" ca="1" si="413"/>
        <v>0</v>
      </c>
      <c r="AC425" s="15">
        <v>0</v>
      </c>
      <c r="AD425" s="16">
        <f t="shared" ca="1" si="421"/>
        <v>0</v>
      </c>
      <c r="AE425" s="15">
        <v>0</v>
      </c>
      <c r="AF425" s="16">
        <f t="shared" ca="1" si="422"/>
        <v>0</v>
      </c>
      <c r="AG425" s="15">
        <v>0</v>
      </c>
      <c r="AH425" s="16">
        <f t="shared" ca="1" si="423"/>
        <v>0</v>
      </c>
      <c r="AI425" s="62">
        <f t="shared" ref="AI425:AI432" ca="1" si="426">SUM(U425,Y425,AA425,AC425,AE425,AG425,W425)</f>
        <v>2406169.5999999996</v>
      </c>
    </row>
    <row r="426" spans="2:35" x14ac:dyDescent="0.4">
      <c r="B426" s="22" t="s">
        <v>19</v>
      </c>
      <c r="C426" s="15">
        <v>4</v>
      </c>
      <c r="D426" s="16">
        <f t="shared" ca="1" si="424"/>
        <v>2.0100502512562814E-2</v>
      </c>
      <c r="E426" s="15">
        <v>5</v>
      </c>
      <c r="F426" s="16">
        <f t="shared" ca="1" si="425"/>
        <v>2.6595744680851064E-2</v>
      </c>
      <c r="G426" s="15">
        <v>0</v>
      </c>
      <c r="H426" s="16">
        <f t="shared" ca="1" si="414"/>
        <v>0</v>
      </c>
      <c r="I426" s="15">
        <v>0</v>
      </c>
      <c r="J426" s="16">
        <f t="shared" ca="1" si="415"/>
        <v>0</v>
      </c>
      <c r="K426" s="15">
        <v>0</v>
      </c>
      <c r="L426" s="16">
        <f t="shared" ca="1" si="416"/>
        <v>0</v>
      </c>
      <c r="M426" s="15">
        <v>0</v>
      </c>
      <c r="N426" s="16">
        <f t="shared" ca="1" si="411"/>
        <v>0</v>
      </c>
      <c r="O426" s="15">
        <v>0</v>
      </c>
      <c r="P426" s="16">
        <f t="shared" ca="1" si="417"/>
        <v>0</v>
      </c>
      <c r="Q426" s="62">
        <f t="shared" ca="1" si="412"/>
        <v>9</v>
      </c>
      <c r="T426" s="22" t="s">
        <v>19</v>
      </c>
      <c r="U426" s="15">
        <v>550862.59</v>
      </c>
      <c r="V426" s="16">
        <f t="shared" ca="1" si="418"/>
        <v>2.0495308337691389E-2</v>
      </c>
      <c r="W426" s="15">
        <v>843513</v>
      </c>
      <c r="X426" s="16">
        <f t="shared" ca="1" si="419"/>
        <v>3.2574392225331386E-2</v>
      </c>
      <c r="Y426" s="15">
        <v>0</v>
      </c>
      <c r="Z426" s="16">
        <f t="shared" ca="1" si="420"/>
        <v>0</v>
      </c>
      <c r="AA426" s="15">
        <v>0</v>
      </c>
      <c r="AB426" s="16">
        <f t="shared" ca="1" si="413"/>
        <v>0</v>
      </c>
      <c r="AC426" s="15">
        <v>0</v>
      </c>
      <c r="AD426" s="16">
        <f t="shared" ca="1" si="421"/>
        <v>0</v>
      </c>
      <c r="AE426" s="15">
        <v>0</v>
      </c>
      <c r="AF426" s="16">
        <f t="shared" ca="1" si="422"/>
        <v>0</v>
      </c>
      <c r="AG426" s="15">
        <v>0</v>
      </c>
      <c r="AH426" s="16">
        <f t="shared" ca="1" si="423"/>
        <v>0</v>
      </c>
      <c r="AI426" s="62">
        <f t="shared" ca="1" si="426"/>
        <v>1394375.5899999999</v>
      </c>
    </row>
    <row r="427" spans="2:35" x14ac:dyDescent="0.4">
      <c r="B427" s="22" t="s">
        <v>20</v>
      </c>
      <c r="C427" s="15">
        <v>0</v>
      </c>
      <c r="D427" s="16">
        <f t="shared" ca="1" si="424"/>
        <v>0</v>
      </c>
      <c r="E427" s="15">
        <v>0</v>
      </c>
      <c r="F427" s="16">
        <f t="shared" ca="1" si="425"/>
        <v>0</v>
      </c>
      <c r="G427" s="15">
        <v>0</v>
      </c>
      <c r="H427" s="16">
        <f t="shared" ca="1" si="414"/>
        <v>0</v>
      </c>
      <c r="I427" s="15">
        <v>0</v>
      </c>
      <c r="J427" s="16">
        <f t="shared" ca="1" si="415"/>
        <v>0</v>
      </c>
      <c r="K427" s="15">
        <v>0</v>
      </c>
      <c r="L427" s="16">
        <f t="shared" ca="1" si="416"/>
        <v>0</v>
      </c>
      <c r="M427" s="15">
        <v>0</v>
      </c>
      <c r="N427" s="16">
        <f t="shared" ca="1" si="411"/>
        <v>0</v>
      </c>
      <c r="O427" s="15">
        <v>0</v>
      </c>
      <c r="P427" s="16">
        <f t="shared" ca="1" si="417"/>
        <v>0</v>
      </c>
      <c r="Q427" s="62">
        <f t="shared" ca="1" si="412"/>
        <v>0</v>
      </c>
      <c r="T427" s="22" t="s">
        <v>20</v>
      </c>
      <c r="U427" s="15">
        <v>0</v>
      </c>
      <c r="V427" s="16">
        <f t="shared" ca="1" si="418"/>
        <v>0</v>
      </c>
      <c r="W427" s="15">
        <v>0</v>
      </c>
      <c r="X427" s="16">
        <f t="shared" ca="1" si="419"/>
        <v>0</v>
      </c>
      <c r="Y427" s="15">
        <v>0</v>
      </c>
      <c r="Z427" s="16">
        <f t="shared" ca="1" si="420"/>
        <v>0</v>
      </c>
      <c r="AA427" s="15">
        <v>0</v>
      </c>
      <c r="AB427" s="16">
        <f t="shared" ca="1" si="413"/>
        <v>0</v>
      </c>
      <c r="AC427" s="15">
        <v>0</v>
      </c>
      <c r="AD427" s="16">
        <f t="shared" ca="1" si="421"/>
        <v>0</v>
      </c>
      <c r="AE427" s="15">
        <v>0</v>
      </c>
      <c r="AF427" s="16">
        <f t="shared" ca="1" si="422"/>
        <v>0</v>
      </c>
      <c r="AG427" s="15">
        <v>0</v>
      </c>
      <c r="AH427" s="16">
        <f t="shared" ca="1" si="423"/>
        <v>0</v>
      </c>
      <c r="AI427" s="62">
        <f t="shared" ca="1" si="426"/>
        <v>0</v>
      </c>
    </row>
    <row r="428" spans="2:35" x14ac:dyDescent="0.4">
      <c r="B428" s="22" t="s">
        <v>21</v>
      </c>
      <c r="C428" s="15">
        <v>0</v>
      </c>
      <c r="D428" s="16">
        <f t="shared" ca="1" si="424"/>
        <v>0</v>
      </c>
      <c r="E428" s="15">
        <v>0</v>
      </c>
      <c r="F428" s="16">
        <f t="shared" ca="1" si="425"/>
        <v>0</v>
      </c>
      <c r="G428" s="15">
        <v>0</v>
      </c>
      <c r="H428" s="16">
        <f t="shared" ca="1" si="414"/>
        <v>0</v>
      </c>
      <c r="I428" s="15">
        <v>0</v>
      </c>
      <c r="J428" s="16">
        <f t="shared" ca="1" si="415"/>
        <v>0</v>
      </c>
      <c r="K428" s="15">
        <v>0</v>
      </c>
      <c r="L428" s="16">
        <f t="shared" ca="1" si="416"/>
        <v>0</v>
      </c>
      <c r="M428" s="15">
        <v>0</v>
      </c>
      <c r="N428" s="16">
        <f t="shared" ca="1" si="411"/>
        <v>0</v>
      </c>
      <c r="O428" s="15">
        <v>0</v>
      </c>
      <c r="P428" s="16">
        <f t="shared" ca="1" si="417"/>
        <v>0</v>
      </c>
      <c r="Q428" s="62">
        <f t="shared" ca="1" si="412"/>
        <v>0</v>
      </c>
      <c r="T428" s="22" t="s">
        <v>21</v>
      </c>
      <c r="U428" s="15">
        <v>0</v>
      </c>
      <c r="V428" s="16">
        <f t="shared" ca="1" si="418"/>
        <v>0</v>
      </c>
      <c r="W428" s="15">
        <v>0</v>
      </c>
      <c r="X428" s="16">
        <f t="shared" ca="1" si="419"/>
        <v>0</v>
      </c>
      <c r="Y428" s="15">
        <v>0</v>
      </c>
      <c r="Z428" s="16">
        <f t="shared" ca="1" si="420"/>
        <v>0</v>
      </c>
      <c r="AA428" s="15">
        <v>0</v>
      </c>
      <c r="AB428" s="16">
        <f t="shared" ca="1" si="413"/>
        <v>0</v>
      </c>
      <c r="AC428" s="15">
        <v>0</v>
      </c>
      <c r="AD428" s="16">
        <f t="shared" ca="1" si="421"/>
        <v>0</v>
      </c>
      <c r="AE428" s="15">
        <v>0</v>
      </c>
      <c r="AF428" s="16">
        <f t="shared" ca="1" si="422"/>
        <v>0</v>
      </c>
      <c r="AG428" s="15">
        <v>0</v>
      </c>
      <c r="AH428" s="16">
        <f t="shared" ca="1" si="423"/>
        <v>0</v>
      </c>
      <c r="AI428" s="62">
        <f t="shared" ca="1" si="426"/>
        <v>0</v>
      </c>
    </row>
    <row r="429" spans="2:35" x14ac:dyDescent="0.4">
      <c r="B429" s="22" t="s">
        <v>22</v>
      </c>
      <c r="C429" s="15">
        <v>0</v>
      </c>
      <c r="D429" s="16">
        <f t="shared" ca="1" si="424"/>
        <v>0</v>
      </c>
      <c r="E429" s="15">
        <v>0</v>
      </c>
      <c r="F429" s="16">
        <f t="shared" ca="1" si="425"/>
        <v>0</v>
      </c>
      <c r="G429" s="15">
        <v>0</v>
      </c>
      <c r="H429" s="16">
        <f t="shared" ca="1" si="414"/>
        <v>0</v>
      </c>
      <c r="I429" s="15">
        <v>0</v>
      </c>
      <c r="J429" s="16">
        <f t="shared" ca="1" si="415"/>
        <v>0</v>
      </c>
      <c r="K429" s="15">
        <v>0</v>
      </c>
      <c r="L429" s="16">
        <f t="shared" ca="1" si="416"/>
        <v>0</v>
      </c>
      <c r="M429" s="15">
        <v>0</v>
      </c>
      <c r="N429" s="16">
        <f t="shared" ca="1" si="411"/>
        <v>0</v>
      </c>
      <c r="O429" s="15">
        <v>0</v>
      </c>
      <c r="P429" s="16">
        <f t="shared" ca="1" si="417"/>
        <v>0</v>
      </c>
      <c r="Q429" s="62">
        <f t="shared" ca="1" si="412"/>
        <v>0</v>
      </c>
      <c r="T429" s="22" t="s">
        <v>22</v>
      </c>
      <c r="U429" s="15">
        <v>0</v>
      </c>
      <c r="V429" s="16">
        <f t="shared" ca="1" si="418"/>
        <v>0</v>
      </c>
      <c r="W429" s="15">
        <v>0</v>
      </c>
      <c r="X429" s="16">
        <f t="shared" ca="1" si="419"/>
        <v>0</v>
      </c>
      <c r="Y429" s="15">
        <v>0</v>
      </c>
      <c r="Z429" s="16">
        <f t="shared" ca="1" si="420"/>
        <v>0</v>
      </c>
      <c r="AA429" s="15">
        <v>0</v>
      </c>
      <c r="AB429" s="16">
        <f t="shared" ca="1" si="413"/>
        <v>0</v>
      </c>
      <c r="AC429" s="15">
        <v>0</v>
      </c>
      <c r="AD429" s="16">
        <f t="shared" ca="1" si="421"/>
        <v>0</v>
      </c>
      <c r="AE429" s="15">
        <v>0</v>
      </c>
      <c r="AF429" s="16">
        <f t="shared" ca="1" si="422"/>
        <v>0</v>
      </c>
      <c r="AG429" s="15">
        <v>0</v>
      </c>
      <c r="AH429" s="16">
        <f t="shared" ca="1" si="423"/>
        <v>0</v>
      </c>
      <c r="AI429" s="62">
        <f t="shared" ca="1" si="426"/>
        <v>0</v>
      </c>
    </row>
    <row r="430" spans="2:35" x14ac:dyDescent="0.4">
      <c r="B430" s="22" t="s">
        <v>23</v>
      </c>
      <c r="C430" s="15">
        <v>0</v>
      </c>
      <c r="D430" s="16">
        <f t="shared" ca="1" si="424"/>
        <v>0</v>
      </c>
      <c r="E430" s="15">
        <v>0</v>
      </c>
      <c r="F430" s="16">
        <f t="shared" ca="1" si="425"/>
        <v>0</v>
      </c>
      <c r="G430" s="15">
        <v>0</v>
      </c>
      <c r="H430" s="16">
        <f t="shared" ca="1" si="414"/>
        <v>0</v>
      </c>
      <c r="I430" s="15">
        <v>0</v>
      </c>
      <c r="J430" s="16">
        <f t="shared" ca="1" si="415"/>
        <v>0</v>
      </c>
      <c r="K430" s="15">
        <v>0</v>
      </c>
      <c r="L430" s="16">
        <f t="shared" ca="1" si="416"/>
        <v>0</v>
      </c>
      <c r="M430" s="15">
        <v>0</v>
      </c>
      <c r="N430" s="16">
        <f t="shared" ca="1" si="411"/>
        <v>0</v>
      </c>
      <c r="O430" s="15">
        <v>0</v>
      </c>
      <c r="P430" s="16">
        <f t="shared" ca="1" si="417"/>
        <v>0</v>
      </c>
      <c r="Q430" s="62">
        <f t="shared" ca="1" si="412"/>
        <v>0</v>
      </c>
      <c r="T430" s="22" t="s">
        <v>23</v>
      </c>
      <c r="U430" s="15">
        <v>0</v>
      </c>
      <c r="V430" s="16">
        <f t="shared" ca="1" si="418"/>
        <v>0</v>
      </c>
      <c r="W430" s="15">
        <v>0</v>
      </c>
      <c r="X430" s="16">
        <f t="shared" ca="1" si="419"/>
        <v>0</v>
      </c>
      <c r="Y430" s="15">
        <v>0</v>
      </c>
      <c r="Z430" s="16">
        <f t="shared" ca="1" si="420"/>
        <v>0</v>
      </c>
      <c r="AA430" s="15">
        <v>0</v>
      </c>
      <c r="AB430" s="16">
        <f t="shared" ca="1" si="413"/>
        <v>0</v>
      </c>
      <c r="AC430" s="15">
        <v>0</v>
      </c>
      <c r="AD430" s="16">
        <f t="shared" ca="1" si="421"/>
        <v>0</v>
      </c>
      <c r="AE430" s="15">
        <v>0</v>
      </c>
      <c r="AF430" s="16">
        <f t="shared" ca="1" si="422"/>
        <v>0</v>
      </c>
      <c r="AG430" s="15">
        <v>0</v>
      </c>
      <c r="AH430" s="16">
        <f t="shared" ca="1" si="423"/>
        <v>0</v>
      </c>
      <c r="AI430" s="62">
        <f t="shared" ca="1" si="426"/>
        <v>0</v>
      </c>
    </row>
    <row r="431" spans="2:35" x14ac:dyDescent="0.4">
      <c r="B431" s="23" t="s">
        <v>24</v>
      </c>
      <c r="C431" s="24">
        <v>0</v>
      </c>
      <c r="D431" s="25">
        <f t="shared" ca="1" si="424"/>
        <v>0</v>
      </c>
      <c r="E431" s="24">
        <v>0</v>
      </c>
      <c r="F431" s="25">
        <f t="shared" ca="1" si="425"/>
        <v>0</v>
      </c>
      <c r="G431" s="24">
        <v>0</v>
      </c>
      <c r="H431" s="25">
        <f t="shared" ca="1" si="414"/>
        <v>0</v>
      </c>
      <c r="I431" s="24">
        <v>0</v>
      </c>
      <c r="J431" s="25">
        <f t="shared" ca="1" si="415"/>
        <v>0</v>
      </c>
      <c r="K431" s="24">
        <v>0</v>
      </c>
      <c r="L431" s="25">
        <f t="shared" ca="1" si="416"/>
        <v>0</v>
      </c>
      <c r="M431" s="24">
        <v>0</v>
      </c>
      <c r="N431" s="25">
        <f t="shared" ca="1" si="411"/>
        <v>0</v>
      </c>
      <c r="O431" s="24">
        <v>0</v>
      </c>
      <c r="P431" s="25">
        <f t="shared" ca="1" si="417"/>
        <v>0</v>
      </c>
      <c r="Q431" s="64">
        <f t="shared" ca="1" si="412"/>
        <v>0</v>
      </c>
      <c r="T431" s="23" t="s">
        <v>24</v>
      </c>
      <c r="U431" s="24">
        <v>0</v>
      </c>
      <c r="V431" s="25">
        <f t="shared" ca="1" si="418"/>
        <v>0</v>
      </c>
      <c r="W431" s="24">
        <v>0</v>
      </c>
      <c r="X431" s="25">
        <f t="shared" ca="1" si="419"/>
        <v>0</v>
      </c>
      <c r="Y431" s="24">
        <v>0</v>
      </c>
      <c r="Z431" s="25">
        <f t="shared" ca="1" si="420"/>
        <v>0</v>
      </c>
      <c r="AA431" s="24">
        <v>0</v>
      </c>
      <c r="AB431" s="25">
        <f t="shared" ca="1" si="413"/>
        <v>0</v>
      </c>
      <c r="AC431" s="24">
        <v>0</v>
      </c>
      <c r="AD431" s="25">
        <f t="shared" ca="1" si="421"/>
        <v>0</v>
      </c>
      <c r="AE431" s="24">
        <v>0</v>
      </c>
      <c r="AF431" s="25">
        <f t="shared" ca="1" si="422"/>
        <v>0</v>
      </c>
      <c r="AG431" s="24">
        <v>0</v>
      </c>
      <c r="AH431" s="25">
        <f t="shared" ca="1" si="423"/>
        <v>0</v>
      </c>
      <c r="AI431" s="64">
        <f t="shared" ca="1" si="426"/>
        <v>0</v>
      </c>
    </row>
    <row r="432" spans="2:35" x14ac:dyDescent="0.4">
      <c r="B432" s="27" t="s">
        <v>25</v>
      </c>
      <c r="C432" s="28">
        <f ca="1">SUM(C424:C431)</f>
        <v>199</v>
      </c>
      <c r="D432" s="29">
        <f t="shared" ca="1" si="424"/>
        <v>1</v>
      </c>
      <c r="E432" s="28">
        <f ca="1">SUM(E424:E431)</f>
        <v>188</v>
      </c>
      <c r="F432" s="29">
        <f t="shared" ca="1" si="425"/>
        <v>1</v>
      </c>
      <c r="G432" s="28">
        <f ca="1">SUM(G424:G431)</f>
        <v>17</v>
      </c>
      <c r="H432" s="29">
        <f t="shared" ca="1" si="414"/>
        <v>1</v>
      </c>
      <c r="I432" s="28">
        <f ca="1">SUM(I424:I431)</f>
        <v>37</v>
      </c>
      <c r="J432" s="29">
        <f t="shared" ca="1" si="415"/>
        <v>1</v>
      </c>
      <c r="K432" s="28">
        <f ca="1">SUM(K424:K431)</f>
        <v>4</v>
      </c>
      <c r="L432" s="29">
        <f t="shared" ca="1" si="416"/>
        <v>1</v>
      </c>
      <c r="M432" s="28">
        <f ca="1">SUM(M424:M431)</f>
        <v>0</v>
      </c>
      <c r="N432" s="29">
        <f t="shared" ca="1" si="411"/>
        <v>0</v>
      </c>
      <c r="O432" s="28">
        <f ca="1">SUM(O424:O431)</f>
        <v>2</v>
      </c>
      <c r="P432" s="29">
        <f ca="1">IFERROR((O432/O$432),0)</f>
        <v>1</v>
      </c>
      <c r="Q432" s="31">
        <f t="shared" ca="1" si="412"/>
        <v>447</v>
      </c>
      <c r="T432" s="27" t="s">
        <v>25</v>
      </c>
      <c r="U432" s="28">
        <f ca="1">SUM(U424:U431)</f>
        <v>26877497.080000002</v>
      </c>
      <c r="V432" s="29">
        <f ca="1">U432/U$432</f>
        <v>1</v>
      </c>
      <c r="W432" s="28">
        <f ca="1">SUM(W424:W431)</f>
        <v>25894972.780000005</v>
      </c>
      <c r="X432" s="29">
        <f ca="1">W432/W$432</f>
        <v>1</v>
      </c>
      <c r="Y432" s="28">
        <f ca="1">SUM(Y424:Y431)</f>
        <v>3118116.11</v>
      </c>
      <c r="Z432" s="29">
        <f t="shared" ca="1" si="420"/>
        <v>1</v>
      </c>
      <c r="AA432" s="28">
        <f ca="1">SUM(AA424:AA431)</f>
        <v>9968407.9200000018</v>
      </c>
      <c r="AB432" s="29">
        <f t="shared" ca="1" si="413"/>
        <v>1</v>
      </c>
      <c r="AC432" s="28">
        <f ca="1">SUM(AC424:AC431)</f>
        <v>249482</v>
      </c>
      <c r="AD432" s="29">
        <f t="shared" ca="1" si="421"/>
        <v>1</v>
      </c>
      <c r="AE432" s="28">
        <f ca="1">SUM(AE424:AE431)</f>
        <v>0</v>
      </c>
      <c r="AF432" s="29">
        <f t="shared" ca="1" si="422"/>
        <v>0</v>
      </c>
      <c r="AG432" s="28">
        <f ca="1">SUM(AG424:AG431)</f>
        <v>319903.21000000008</v>
      </c>
      <c r="AH432" s="29">
        <f ca="1">IFERROR((AG432/AG$432),0)</f>
        <v>1</v>
      </c>
      <c r="AI432" s="31">
        <f t="shared" ca="1" si="426"/>
        <v>66428379.100000009</v>
      </c>
    </row>
    <row r="433" spans="2:35" x14ac:dyDescent="0.4">
      <c r="B433" s="32" t="s">
        <v>26</v>
      </c>
      <c r="C433" s="33">
        <f ca="1">C432/$Q$432</f>
        <v>0.44519015659955258</v>
      </c>
      <c r="D433" s="33"/>
      <c r="E433" s="33">
        <f ca="1">E432/$Q$432</f>
        <v>0.42058165548098436</v>
      </c>
      <c r="F433" s="33"/>
      <c r="G433" s="33">
        <f ca="1">G432/$Q$432</f>
        <v>3.803131991051454E-2</v>
      </c>
      <c r="H433" s="33"/>
      <c r="I433" s="33">
        <f ca="1">I432/$Q$432</f>
        <v>8.2774049217002238E-2</v>
      </c>
      <c r="J433" s="33"/>
      <c r="K433" s="33">
        <f ca="1">K432/$Q$432</f>
        <v>8.948545861297539E-3</v>
      </c>
      <c r="L433" s="33"/>
      <c r="M433" s="33">
        <f ca="1">M432/$Q$432</f>
        <v>0</v>
      </c>
      <c r="N433" s="33"/>
      <c r="O433" s="33">
        <f ca="1">O432/$Q$432</f>
        <v>4.4742729306487695E-3</v>
      </c>
      <c r="P433" s="33"/>
      <c r="Q433" s="34">
        <f ca="1">Q432/$Q$432</f>
        <v>1</v>
      </c>
      <c r="T433" s="32" t="s">
        <v>26</v>
      </c>
      <c r="U433" s="33">
        <f ca="1">U432/$AI$432</f>
        <v>0.40460865437555132</v>
      </c>
      <c r="V433" s="33"/>
      <c r="W433" s="33">
        <f ca="1">W432/$AI$432</f>
        <v>0.38981792316531177</v>
      </c>
      <c r="X433" s="33"/>
      <c r="Y433" s="33">
        <f ca="1">Y432/$AI$432</f>
        <v>4.693951820359861E-2</v>
      </c>
      <c r="Z433" s="33"/>
      <c r="AA433" s="33">
        <f ca="1">AA432/$AI$432</f>
        <v>0.15006248918092299</v>
      </c>
      <c r="AB433" s="33"/>
      <c r="AC433" s="33">
        <f ca="1">AC432/$AI$432</f>
        <v>3.7556538843802672E-3</v>
      </c>
      <c r="AD433" s="33"/>
      <c r="AE433" s="33">
        <f ca="1">AE432/$AI$432</f>
        <v>0</v>
      </c>
      <c r="AF433" s="33"/>
      <c r="AG433" s="33">
        <f ca="1">AG432/$AI$432</f>
        <v>4.8157611902350335E-3</v>
      </c>
      <c r="AH433" s="33"/>
      <c r="AI433" s="34">
        <f ca="1">AI432/$AI$432</f>
        <v>1</v>
      </c>
    </row>
    <row r="435" spans="2:35" x14ac:dyDescent="0.4">
      <c r="B435" s="4" t="s">
        <v>50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T435" s="4" t="s">
        <v>50</v>
      </c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spans="2:35" x14ac:dyDescent="0.4">
      <c r="B436" s="5"/>
      <c r="C436" s="6" t="s">
        <v>3</v>
      </c>
      <c r="D436" s="6"/>
      <c r="E436" s="6" t="s">
        <v>4</v>
      </c>
      <c r="F436" s="6"/>
      <c r="G436" s="6" t="s">
        <v>5</v>
      </c>
      <c r="H436" s="6"/>
      <c r="I436" s="6" t="s">
        <v>6</v>
      </c>
      <c r="J436" s="6"/>
      <c r="K436" s="6" t="s">
        <v>7</v>
      </c>
      <c r="L436" s="6"/>
      <c r="M436" s="6" t="s">
        <v>8</v>
      </c>
      <c r="N436" s="6"/>
      <c r="O436" s="6" t="s">
        <v>9</v>
      </c>
      <c r="P436" s="6"/>
      <c r="Q436" s="7" t="s">
        <v>10</v>
      </c>
      <c r="T436" s="5"/>
      <c r="U436" s="6" t="s">
        <v>3</v>
      </c>
      <c r="V436" s="6"/>
      <c r="W436" s="6" t="s">
        <v>4</v>
      </c>
      <c r="X436" s="6"/>
      <c r="Y436" s="6" t="s">
        <v>5</v>
      </c>
      <c r="Z436" s="6"/>
      <c r="AA436" s="6" t="s">
        <v>6</v>
      </c>
      <c r="AB436" s="6"/>
      <c r="AC436" s="6" t="s">
        <v>7</v>
      </c>
      <c r="AD436" s="6"/>
      <c r="AE436" s="6" t="s">
        <v>8</v>
      </c>
      <c r="AF436" s="6"/>
      <c r="AG436" s="6" t="s">
        <v>9</v>
      </c>
      <c r="AH436" s="6"/>
      <c r="AI436" s="7" t="s">
        <v>10</v>
      </c>
    </row>
    <row r="437" spans="2:35" x14ac:dyDescent="0.4">
      <c r="B437" s="8" t="s">
        <v>11</v>
      </c>
      <c r="C437" s="8" t="s">
        <v>12</v>
      </c>
      <c r="D437" s="8" t="s">
        <v>13</v>
      </c>
      <c r="E437" s="8" t="s">
        <v>12</v>
      </c>
      <c r="F437" s="8" t="s">
        <v>13</v>
      </c>
      <c r="G437" s="8" t="s">
        <v>12</v>
      </c>
      <c r="H437" s="8" t="s">
        <v>13</v>
      </c>
      <c r="I437" s="8" t="s">
        <v>12</v>
      </c>
      <c r="J437" s="8" t="s">
        <v>13</v>
      </c>
      <c r="K437" s="8" t="s">
        <v>12</v>
      </c>
      <c r="L437" s="8" t="s">
        <v>13</v>
      </c>
      <c r="M437" s="8" t="s">
        <v>12</v>
      </c>
      <c r="N437" s="8" t="s">
        <v>13</v>
      </c>
      <c r="O437" s="8" t="s">
        <v>12</v>
      </c>
      <c r="P437" s="8" t="s">
        <v>13</v>
      </c>
      <c r="Q437" s="7"/>
      <c r="T437" s="8" t="s">
        <v>11</v>
      </c>
      <c r="U437" s="8" t="s">
        <v>14</v>
      </c>
      <c r="V437" s="8" t="s">
        <v>13</v>
      </c>
      <c r="W437" s="8" t="s">
        <v>14</v>
      </c>
      <c r="X437" s="8" t="s">
        <v>13</v>
      </c>
      <c r="Y437" s="8" t="s">
        <v>14</v>
      </c>
      <c r="Z437" s="8" t="s">
        <v>13</v>
      </c>
      <c r="AA437" s="8" t="s">
        <v>14</v>
      </c>
      <c r="AB437" s="8" t="s">
        <v>13</v>
      </c>
      <c r="AC437" s="8" t="s">
        <v>14</v>
      </c>
      <c r="AD437" s="8" t="s">
        <v>13</v>
      </c>
      <c r="AE437" s="8" t="s">
        <v>14</v>
      </c>
      <c r="AF437" s="8" t="s">
        <v>13</v>
      </c>
      <c r="AG437" s="8" t="s">
        <v>14</v>
      </c>
      <c r="AH437" s="8" t="s">
        <v>13</v>
      </c>
      <c r="AI437" s="7"/>
    </row>
    <row r="438" spans="2:35" x14ac:dyDescent="0.4">
      <c r="B438" s="9" t="s">
        <v>15</v>
      </c>
      <c r="C438" s="10">
        <v>28</v>
      </c>
      <c r="D438" s="11">
        <f ca="1">IFERROR(C438/C$448,0)</f>
        <v>0.45901639344262296</v>
      </c>
      <c r="E438" s="10">
        <v>28</v>
      </c>
      <c r="F438" s="11">
        <f ca="1">IFERROR(E438/E$448,0)</f>
        <v>0.49122807017543857</v>
      </c>
      <c r="G438" s="10">
        <v>6</v>
      </c>
      <c r="H438" s="11">
        <f ca="1">IFERROR(G438/G$448,0)</f>
        <v>1</v>
      </c>
      <c r="I438" s="10">
        <v>11</v>
      </c>
      <c r="J438" s="11">
        <f ca="1">IFERROR(I438/I$448,0)</f>
        <v>1</v>
      </c>
      <c r="K438" s="10">
        <v>0</v>
      </c>
      <c r="L438" s="11">
        <f ca="1">IFERROR(K438/K$448,0)</f>
        <v>0</v>
      </c>
      <c r="M438" s="10">
        <v>0</v>
      </c>
      <c r="N438" s="11">
        <f ca="1">IFERROR(M438/M$448,0)</f>
        <v>0</v>
      </c>
      <c r="O438" s="10">
        <v>0</v>
      </c>
      <c r="P438" s="11">
        <f ca="1">IFERROR(O438/O$448,0)</f>
        <v>0</v>
      </c>
      <c r="Q438" s="60">
        <f t="shared" ref="Q438:Q448" ca="1" si="427">SUM(C438,G438,I438,K438,M438,O438,E438)</f>
        <v>73</v>
      </c>
      <c r="T438" s="9" t="s">
        <v>15</v>
      </c>
      <c r="U438" s="10">
        <v>3870007.2399999998</v>
      </c>
      <c r="V438" s="11">
        <f ca="1">IFERROR(U438/U$448,0)</f>
        <v>0.497226531485784</v>
      </c>
      <c r="W438" s="10">
        <v>7251139.3399999999</v>
      </c>
      <c r="X438" s="11">
        <f ca="1">IFERROR(W438/W$448,0)</f>
        <v>0.70770126910846864</v>
      </c>
      <c r="Y438" s="10">
        <v>1189068.3999999999</v>
      </c>
      <c r="Z438" s="11">
        <f ca="1">IFERROR(Y438/Y$448,0)</f>
        <v>1</v>
      </c>
      <c r="AA438" s="10">
        <v>1781845.1199999999</v>
      </c>
      <c r="AB438" s="11">
        <f ca="1">IFERROR(AA438/AA$448,0)</f>
        <v>1</v>
      </c>
      <c r="AC438" s="10">
        <v>0</v>
      </c>
      <c r="AD438" s="11">
        <f ca="1">IFERROR(AC438/AC$448,0)</f>
        <v>0</v>
      </c>
      <c r="AE438" s="10">
        <v>0</v>
      </c>
      <c r="AF438" s="11">
        <f ca="1">IFERROR(AE438/AE$448,0)</f>
        <v>0</v>
      </c>
      <c r="AG438" s="10">
        <v>0</v>
      </c>
      <c r="AH438" s="11">
        <f ca="1">IFERROR(AG438/AG$448,0)</f>
        <v>0</v>
      </c>
      <c r="AI438" s="60">
        <f ca="1">SUM(U438,Y438,AA438,AC438,AE438,AG438,W438)</f>
        <v>14092060.1</v>
      </c>
    </row>
    <row r="439" spans="2:35" x14ac:dyDescent="0.4">
      <c r="B439" s="14" t="s">
        <v>16</v>
      </c>
      <c r="C439" s="15">
        <v>20</v>
      </c>
      <c r="D439" s="16">
        <f ca="1">IFERROR(C439/C$448,0)</f>
        <v>0.32786885245901637</v>
      </c>
      <c r="E439" s="15">
        <v>12</v>
      </c>
      <c r="F439" s="16">
        <f ca="1">IFERROR(E439/E$448,0)</f>
        <v>0.21052631578947367</v>
      </c>
      <c r="G439" s="15">
        <v>0</v>
      </c>
      <c r="H439" s="16">
        <f ca="1">IFERROR(G439/G$448,0)</f>
        <v>0</v>
      </c>
      <c r="I439" s="15">
        <v>0</v>
      </c>
      <c r="J439" s="16">
        <f ca="1">IFERROR(I439/I$448,0)</f>
        <v>0</v>
      </c>
      <c r="K439" s="15">
        <v>1</v>
      </c>
      <c r="L439" s="16">
        <f ca="1">IFERROR(K439/K$448,0)</f>
        <v>1</v>
      </c>
      <c r="M439" s="15">
        <v>0</v>
      </c>
      <c r="N439" s="16">
        <f ca="1">IFERROR(M439/M$448,0)</f>
        <v>0</v>
      </c>
      <c r="O439" s="15">
        <v>1</v>
      </c>
      <c r="P439" s="16">
        <f ca="1">IFERROR(O439/O$448,0)</f>
        <v>1</v>
      </c>
      <c r="Q439" s="62">
        <f t="shared" ca="1" si="427"/>
        <v>34</v>
      </c>
      <c r="T439" s="14" t="s">
        <v>16</v>
      </c>
      <c r="U439" s="15">
        <v>2709260.1399999997</v>
      </c>
      <c r="V439" s="16">
        <f ca="1">IFERROR(U439/U$448,0)</f>
        <v>0.3480913442179735</v>
      </c>
      <c r="W439" s="15">
        <v>1308840.25</v>
      </c>
      <c r="X439" s="16">
        <f ca="1">IFERROR(W439/W$448,0)</f>
        <v>0.12774101593602052</v>
      </c>
      <c r="Y439" s="15">
        <v>0</v>
      </c>
      <c r="Z439" s="16">
        <f ca="1">IFERROR(Y439/Y$448,0)</f>
        <v>0</v>
      </c>
      <c r="AA439" s="15">
        <v>0</v>
      </c>
      <c r="AB439" s="16">
        <f ca="1">IFERROR(AA439/AA$448,0)</f>
        <v>0</v>
      </c>
      <c r="AC439" s="15">
        <v>95000</v>
      </c>
      <c r="AD439" s="16">
        <f ca="1">IFERROR(AC439/AC$448,0)</f>
        <v>1</v>
      </c>
      <c r="AE439" s="15">
        <v>0</v>
      </c>
      <c r="AF439" s="16">
        <f ca="1">IFERROR(AE439/AE$448,0)</f>
        <v>0</v>
      </c>
      <c r="AG439" s="15">
        <v>117300</v>
      </c>
      <c r="AH439" s="16">
        <f ca="1">IFERROR(AG439/AG$448,0)</f>
        <v>1</v>
      </c>
      <c r="AI439" s="62">
        <f ca="1">SUM(U439,Y439,AA439,AC439,AE439,AG439,W439)</f>
        <v>4230400.3899999997</v>
      </c>
    </row>
    <row r="440" spans="2:35" x14ac:dyDescent="0.4">
      <c r="B440" s="18" t="s">
        <v>17</v>
      </c>
      <c r="C440" s="19">
        <f ca="1">+SUM(C438:C439)</f>
        <v>48</v>
      </c>
      <c r="D440" s="20">
        <f ca="1">+C440/$C$448</f>
        <v>0.78688524590163933</v>
      </c>
      <c r="E440" s="19">
        <f ca="1">+SUM(E438:E439)</f>
        <v>40</v>
      </c>
      <c r="F440" s="20">
        <f ca="1">+E440/$E$448</f>
        <v>0.70175438596491224</v>
      </c>
      <c r="G440" s="19">
        <f ca="1">+SUM(G438:G439)</f>
        <v>6</v>
      </c>
      <c r="H440" s="20">
        <f ca="1">+IFERROR((G440/$G$448),0)</f>
        <v>1</v>
      </c>
      <c r="I440" s="19">
        <f ca="1">+SUM(I438:I439)</f>
        <v>11</v>
      </c>
      <c r="J440" s="20">
        <f ca="1">+IFERROR((I440/$I$448),0)</f>
        <v>1</v>
      </c>
      <c r="K440" s="19">
        <f ca="1">+SUM(K438:K439)</f>
        <v>1</v>
      </c>
      <c r="L440" s="20">
        <f ca="1">+IFERROR((K440/$K$448),0)</f>
        <v>1</v>
      </c>
      <c r="M440" s="19">
        <f ca="1">+SUM(M438:M439)</f>
        <v>0</v>
      </c>
      <c r="N440" s="20">
        <f ca="1">+IFERROR((M440/$M$448),0)</f>
        <v>0</v>
      </c>
      <c r="O440" s="19">
        <f ca="1">+SUM(O438:O439)</f>
        <v>1</v>
      </c>
      <c r="P440" s="20">
        <f ca="1">+O440/$O$448</f>
        <v>1</v>
      </c>
      <c r="Q440" s="101">
        <f ca="1">+SUM(Q438:Q439)</f>
        <v>107</v>
      </c>
      <c r="T440" s="18" t="s">
        <v>17</v>
      </c>
      <c r="U440" s="19">
        <f ca="1">+SUM(U438:U439)</f>
        <v>6579267.379999999</v>
      </c>
      <c r="V440" s="20">
        <f ca="1">IFERROR(U440/U$448,0)</f>
        <v>0.84531787570375738</v>
      </c>
      <c r="W440" s="19">
        <f ca="1">+SUM(W438:W439)</f>
        <v>8559979.5899999999</v>
      </c>
      <c r="X440" s="20">
        <f ca="1">IFERROR(W440/W$448,0)</f>
        <v>0.83544228504448914</v>
      </c>
      <c r="Y440" s="19">
        <f ca="1">+SUM(Y438:Y439)</f>
        <v>1189068.3999999999</v>
      </c>
      <c r="Z440" s="20">
        <f ca="1">IFERROR(Y440/Y$448,0)</f>
        <v>1</v>
      </c>
      <c r="AA440" s="19">
        <f ca="1">+SUM(AA438:AA439)</f>
        <v>1781845.1199999999</v>
      </c>
      <c r="AB440" s="20">
        <f ca="1">IFERROR(AA440/AA$448,0)</f>
        <v>1</v>
      </c>
      <c r="AC440" s="19">
        <f ca="1">+SUM(AC438:AC439)</f>
        <v>95000</v>
      </c>
      <c r="AD440" s="20">
        <f ca="1">IFERROR(AC440/AC$448,0)</f>
        <v>1</v>
      </c>
      <c r="AE440" s="19">
        <f ca="1">+SUM(AE438:AE439)</f>
        <v>0</v>
      </c>
      <c r="AF440" s="20">
        <f ca="1">IFERROR(AE440/AE$448,0)</f>
        <v>0</v>
      </c>
      <c r="AG440" s="19">
        <f ca="1">+SUM(AG438:AG439)</f>
        <v>117300</v>
      </c>
      <c r="AH440" s="20">
        <f ca="1">IFERROR(AG440/AG$448,0)</f>
        <v>1</v>
      </c>
      <c r="AI440" s="101">
        <f ca="1">+SUM(AI438:AI439)</f>
        <v>18322460.489999998</v>
      </c>
    </row>
    <row r="441" spans="2:35" x14ac:dyDescent="0.4">
      <c r="B441" s="22" t="s">
        <v>18</v>
      </c>
      <c r="C441" s="15">
        <v>8</v>
      </c>
      <c r="D441" s="16">
        <f t="shared" ref="D441:D448" ca="1" si="428">IFERROR(C441/C$448,0)</f>
        <v>0.13114754098360656</v>
      </c>
      <c r="E441" s="15">
        <v>5</v>
      </c>
      <c r="F441" s="16">
        <f t="shared" ref="F441:F448" ca="1" si="429">IFERROR(E441/E$448,0)</f>
        <v>8.771929824561403E-2</v>
      </c>
      <c r="G441" s="15">
        <v>0</v>
      </c>
      <c r="H441" s="16">
        <f t="shared" ref="H441:H448" ca="1" si="430">IFERROR(G441/G$448,0)</f>
        <v>0</v>
      </c>
      <c r="I441" s="15">
        <v>0</v>
      </c>
      <c r="J441" s="16">
        <f t="shared" ref="J441:J448" ca="1" si="431">IFERROR(I441/I$448,0)</f>
        <v>0</v>
      </c>
      <c r="K441" s="15">
        <v>0</v>
      </c>
      <c r="L441" s="16">
        <f t="shared" ref="L441:L448" ca="1" si="432">IFERROR(K441/K$448,0)</f>
        <v>0</v>
      </c>
      <c r="M441" s="15">
        <v>0</v>
      </c>
      <c r="N441" s="16">
        <f t="shared" ref="N441:N448" ca="1" si="433">IFERROR(M441/M$448,0)</f>
        <v>0</v>
      </c>
      <c r="O441" s="15">
        <v>0</v>
      </c>
      <c r="P441" s="16">
        <f t="shared" ref="P441:P448" ca="1" si="434">IFERROR(O441/O$448,0)</f>
        <v>0</v>
      </c>
      <c r="Q441" s="62">
        <f t="shared" ca="1" si="427"/>
        <v>13</v>
      </c>
      <c r="T441" s="22" t="s">
        <v>18</v>
      </c>
      <c r="U441" s="15">
        <v>581286.36</v>
      </c>
      <c r="V441" s="16">
        <f t="shared" ref="V441:V448" ca="1" si="435">IFERROR(U441/U$448,0)</f>
        <v>7.4684873349951872E-2</v>
      </c>
      <c r="W441" s="15">
        <v>583917.82000000007</v>
      </c>
      <c r="X441" s="16">
        <f t="shared" ref="X441:X448" ca="1" si="436">IFERROR(W441/W$448,0)</f>
        <v>5.6989579553307877E-2</v>
      </c>
      <c r="Y441" s="15">
        <v>0</v>
      </c>
      <c r="Z441" s="16">
        <f t="shared" ref="Z441:Z448" ca="1" si="437">IFERROR(Y441/Y$448,0)</f>
        <v>0</v>
      </c>
      <c r="AA441" s="15">
        <v>0</v>
      </c>
      <c r="AB441" s="16">
        <f t="shared" ref="AB441:AB448" ca="1" si="438">IFERROR(AA441/AA$448,0)</f>
        <v>0</v>
      </c>
      <c r="AC441" s="15">
        <v>0</v>
      </c>
      <c r="AD441" s="16">
        <f t="shared" ref="AD441:AD448" ca="1" si="439">IFERROR(AC441/AC$448,0)</f>
        <v>0</v>
      </c>
      <c r="AE441" s="15">
        <v>0</v>
      </c>
      <c r="AF441" s="16">
        <f t="shared" ref="AF441:AF448" ca="1" si="440">IFERROR(AE441/AE$448,0)</f>
        <v>0</v>
      </c>
      <c r="AG441" s="15">
        <v>0</v>
      </c>
      <c r="AH441" s="16">
        <f t="shared" ref="AH441:AH448" ca="1" si="441">IFERROR(AG441/AG$448,0)</f>
        <v>0</v>
      </c>
      <c r="AI441" s="62">
        <f t="shared" ref="AI441:AI448" ca="1" si="442">SUM(U441,Y441,AA441,AC441,AE441,AG441,W441)</f>
        <v>1165204.1800000002</v>
      </c>
    </row>
    <row r="442" spans="2:35" x14ac:dyDescent="0.4">
      <c r="B442" s="22" t="s">
        <v>19</v>
      </c>
      <c r="C442" s="15">
        <v>4</v>
      </c>
      <c r="D442" s="16">
        <f t="shared" ca="1" si="428"/>
        <v>6.5573770491803282E-2</v>
      </c>
      <c r="E442" s="15">
        <v>7</v>
      </c>
      <c r="F442" s="16">
        <f t="shared" ca="1" si="429"/>
        <v>0.12280701754385964</v>
      </c>
      <c r="G442" s="15">
        <v>0</v>
      </c>
      <c r="H442" s="16">
        <f t="shared" ca="1" si="430"/>
        <v>0</v>
      </c>
      <c r="I442" s="15">
        <v>0</v>
      </c>
      <c r="J442" s="16">
        <f t="shared" ca="1" si="431"/>
        <v>0</v>
      </c>
      <c r="K442" s="15">
        <v>0</v>
      </c>
      <c r="L442" s="16">
        <f t="shared" ca="1" si="432"/>
        <v>0</v>
      </c>
      <c r="M442" s="15">
        <v>0</v>
      </c>
      <c r="N442" s="16">
        <f t="shared" ca="1" si="433"/>
        <v>0</v>
      </c>
      <c r="O442" s="15">
        <v>0</v>
      </c>
      <c r="P442" s="16">
        <f t="shared" ca="1" si="434"/>
        <v>0</v>
      </c>
      <c r="Q442" s="62">
        <f t="shared" ca="1" si="427"/>
        <v>11</v>
      </c>
      <c r="T442" s="22" t="s">
        <v>19</v>
      </c>
      <c r="U442" s="15">
        <v>550862.59</v>
      </c>
      <c r="V442" s="16">
        <f t="shared" ca="1" si="435"/>
        <v>7.0775964478809489E-2</v>
      </c>
      <c r="W442" s="15">
        <v>883513</v>
      </c>
      <c r="X442" s="16">
        <f t="shared" ca="1" si="436"/>
        <v>8.6229658824047706E-2</v>
      </c>
      <c r="Y442" s="15">
        <v>0</v>
      </c>
      <c r="Z442" s="16">
        <f t="shared" ca="1" si="437"/>
        <v>0</v>
      </c>
      <c r="AA442" s="15">
        <v>0</v>
      </c>
      <c r="AB442" s="16">
        <f t="shared" ca="1" si="438"/>
        <v>0</v>
      </c>
      <c r="AC442" s="15">
        <v>0</v>
      </c>
      <c r="AD442" s="16">
        <f t="shared" ca="1" si="439"/>
        <v>0</v>
      </c>
      <c r="AE442" s="15">
        <v>0</v>
      </c>
      <c r="AF442" s="16">
        <f t="shared" ca="1" si="440"/>
        <v>0</v>
      </c>
      <c r="AG442" s="15">
        <v>0</v>
      </c>
      <c r="AH442" s="16">
        <f t="shared" ca="1" si="441"/>
        <v>0</v>
      </c>
      <c r="AI442" s="62">
        <f t="shared" ca="1" si="442"/>
        <v>1434375.5899999999</v>
      </c>
    </row>
    <row r="443" spans="2:35" x14ac:dyDescent="0.4">
      <c r="B443" s="22" t="s">
        <v>20</v>
      </c>
      <c r="C443" s="15">
        <v>0</v>
      </c>
      <c r="D443" s="16">
        <f t="shared" ca="1" si="428"/>
        <v>0</v>
      </c>
      <c r="E443" s="15">
        <v>2</v>
      </c>
      <c r="F443" s="16">
        <f t="shared" ca="1" si="429"/>
        <v>3.5087719298245612E-2</v>
      </c>
      <c r="G443" s="15">
        <v>0</v>
      </c>
      <c r="H443" s="16">
        <f t="shared" ca="1" si="430"/>
        <v>0</v>
      </c>
      <c r="I443" s="15">
        <v>0</v>
      </c>
      <c r="J443" s="16">
        <f t="shared" ca="1" si="431"/>
        <v>0</v>
      </c>
      <c r="K443" s="15">
        <v>0</v>
      </c>
      <c r="L443" s="16">
        <f t="shared" ca="1" si="432"/>
        <v>0</v>
      </c>
      <c r="M443" s="15">
        <v>0</v>
      </c>
      <c r="N443" s="16">
        <f t="shared" ca="1" si="433"/>
        <v>0</v>
      </c>
      <c r="O443" s="15">
        <v>0</v>
      </c>
      <c r="P443" s="16">
        <f t="shared" ca="1" si="434"/>
        <v>0</v>
      </c>
      <c r="Q443" s="62">
        <f t="shared" ca="1" si="427"/>
        <v>2</v>
      </c>
      <c r="T443" s="22" t="s">
        <v>20</v>
      </c>
      <c r="U443" s="15">
        <v>0</v>
      </c>
      <c r="V443" s="16">
        <f t="shared" ca="1" si="435"/>
        <v>0</v>
      </c>
      <c r="W443" s="15">
        <v>25700</v>
      </c>
      <c r="X443" s="16">
        <f t="shared" ca="1" si="436"/>
        <v>2.508284803707502E-3</v>
      </c>
      <c r="Y443" s="15">
        <v>0</v>
      </c>
      <c r="Z443" s="16">
        <f t="shared" ca="1" si="437"/>
        <v>0</v>
      </c>
      <c r="AA443" s="15">
        <v>0</v>
      </c>
      <c r="AB443" s="16">
        <f t="shared" ca="1" si="438"/>
        <v>0</v>
      </c>
      <c r="AC443" s="15">
        <v>0</v>
      </c>
      <c r="AD443" s="16">
        <f t="shared" ca="1" si="439"/>
        <v>0</v>
      </c>
      <c r="AE443" s="15">
        <v>0</v>
      </c>
      <c r="AF443" s="16">
        <f t="shared" ca="1" si="440"/>
        <v>0</v>
      </c>
      <c r="AG443" s="15">
        <v>0</v>
      </c>
      <c r="AH443" s="16">
        <f t="shared" ca="1" si="441"/>
        <v>0</v>
      </c>
      <c r="AI443" s="62">
        <f t="shared" ca="1" si="442"/>
        <v>25700</v>
      </c>
    </row>
    <row r="444" spans="2:35" x14ac:dyDescent="0.4">
      <c r="B444" s="22" t="s">
        <v>21</v>
      </c>
      <c r="C444" s="15">
        <v>1</v>
      </c>
      <c r="D444" s="16">
        <f t="shared" ca="1" si="428"/>
        <v>1.6393442622950821E-2</v>
      </c>
      <c r="E444" s="15">
        <v>1</v>
      </c>
      <c r="F444" s="16">
        <f t="shared" ca="1" si="429"/>
        <v>1.7543859649122806E-2</v>
      </c>
      <c r="G444" s="15">
        <v>0</v>
      </c>
      <c r="H444" s="16">
        <f t="shared" ca="1" si="430"/>
        <v>0</v>
      </c>
      <c r="I444" s="15">
        <v>0</v>
      </c>
      <c r="J444" s="16">
        <f t="shared" ca="1" si="431"/>
        <v>0</v>
      </c>
      <c r="K444" s="15">
        <v>0</v>
      </c>
      <c r="L444" s="16">
        <f t="shared" ca="1" si="432"/>
        <v>0</v>
      </c>
      <c r="M444" s="15">
        <v>0</v>
      </c>
      <c r="N444" s="16">
        <f t="shared" ca="1" si="433"/>
        <v>0</v>
      </c>
      <c r="O444" s="15">
        <v>0</v>
      </c>
      <c r="P444" s="16">
        <f t="shared" ca="1" si="434"/>
        <v>0</v>
      </c>
      <c r="Q444" s="62">
        <f t="shared" ca="1" si="427"/>
        <v>2</v>
      </c>
      <c r="T444" s="22" t="s">
        <v>21</v>
      </c>
      <c r="U444" s="15">
        <v>71771</v>
      </c>
      <c r="V444" s="16">
        <f t="shared" ca="1" si="435"/>
        <v>9.2212864674811844E-3</v>
      </c>
      <c r="W444" s="15">
        <v>51138</v>
      </c>
      <c r="X444" s="16">
        <f t="shared" ca="1" si="436"/>
        <v>4.9909987662254563E-3</v>
      </c>
      <c r="Y444" s="15">
        <v>0</v>
      </c>
      <c r="Z444" s="16">
        <f t="shared" ca="1" si="437"/>
        <v>0</v>
      </c>
      <c r="AA444" s="15">
        <v>0</v>
      </c>
      <c r="AB444" s="16">
        <f t="shared" ca="1" si="438"/>
        <v>0</v>
      </c>
      <c r="AC444" s="15">
        <v>0</v>
      </c>
      <c r="AD444" s="16">
        <f t="shared" ca="1" si="439"/>
        <v>0</v>
      </c>
      <c r="AE444" s="15">
        <v>0</v>
      </c>
      <c r="AF444" s="16">
        <f t="shared" ca="1" si="440"/>
        <v>0</v>
      </c>
      <c r="AG444" s="15">
        <v>0</v>
      </c>
      <c r="AH444" s="16">
        <f t="shared" ca="1" si="441"/>
        <v>0</v>
      </c>
      <c r="AI444" s="62">
        <f t="shared" ca="1" si="442"/>
        <v>122909</v>
      </c>
    </row>
    <row r="445" spans="2:35" x14ac:dyDescent="0.4">
      <c r="B445" s="22" t="s">
        <v>22</v>
      </c>
      <c r="C445" s="15">
        <v>0</v>
      </c>
      <c r="D445" s="16">
        <f t="shared" ca="1" si="428"/>
        <v>0</v>
      </c>
      <c r="E445" s="15">
        <v>2</v>
      </c>
      <c r="F445" s="16">
        <f t="shared" ca="1" si="429"/>
        <v>3.5087719298245612E-2</v>
      </c>
      <c r="G445" s="15">
        <v>0</v>
      </c>
      <c r="H445" s="16">
        <f t="shared" ca="1" si="430"/>
        <v>0</v>
      </c>
      <c r="I445" s="15">
        <v>0</v>
      </c>
      <c r="J445" s="16">
        <f t="shared" ca="1" si="431"/>
        <v>0</v>
      </c>
      <c r="K445" s="15">
        <v>0</v>
      </c>
      <c r="L445" s="16">
        <f t="shared" ca="1" si="432"/>
        <v>0</v>
      </c>
      <c r="M445" s="15">
        <v>0</v>
      </c>
      <c r="N445" s="16">
        <f t="shared" ca="1" si="433"/>
        <v>0</v>
      </c>
      <c r="O445" s="15">
        <v>0</v>
      </c>
      <c r="P445" s="16">
        <f t="shared" ca="1" si="434"/>
        <v>0</v>
      </c>
      <c r="Q445" s="62">
        <f t="shared" ca="1" si="427"/>
        <v>2</v>
      </c>
      <c r="T445" s="22" t="s">
        <v>22</v>
      </c>
      <c r="U445" s="15">
        <v>0</v>
      </c>
      <c r="V445" s="16">
        <f t="shared" ca="1" si="435"/>
        <v>0</v>
      </c>
      <c r="W445" s="15">
        <v>141797</v>
      </c>
      <c r="X445" s="16">
        <f t="shared" ca="1" si="436"/>
        <v>1.3839193008222282E-2</v>
      </c>
      <c r="Y445" s="15">
        <v>0</v>
      </c>
      <c r="Z445" s="16">
        <f t="shared" ca="1" si="437"/>
        <v>0</v>
      </c>
      <c r="AA445" s="15">
        <v>0</v>
      </c>
      <c r="AB445" s="16">
        <f t="shared" ca="1" si="438"/>
        <v>0</v>
      </c>
      <c r="AC445" s="15">
        <v>0</v>
      </c>
      <c r="AD445" s="16">
        <f t="shared" ca="1" si="439"/>
        <v>0</v>
      </c>
      <c r="AE445" s="15">
        <v>0</v>
      </c>
      <c r="AF445" s="16">
        <f t="shared" ca="1" si="440"/>
        <v>0</v>
      </c>
      <c r="AG445" s="15">
        <v>0</v>
      </c>
      <c r="AH445" s="16">
        <f t="shared" ca="1" si="441"/>
        <v>0</v>
      </c>
      <c r="AI445" s="62">
        <f t="shared" ca="1" si="442"/>
        <v>141797</v>
      </c>
    </row>
    <row r="446" spans="2:35" x14ac:dyDescent="0.4">
      <c r="B446" s="22" t="s">
        <v>23</v>
      </c>
      <c r="C446" s="15">
        <v>0</v>
      </c>
      <c r="D446" s="16">
        <f t="shared" ca="1" si="428"/>
        <v>0</v>
      </c>
      <c r="E446" s="15">
        <v>0</v>
      </c>
      <c r="F446" s="16">
        <f t="shared" ca="1" si="429"/>
        <v>0</v>
      </c>
      <c r="G446" s="15">
        <v>0</v>
      </c>
      <c r="H446" s="16">
        <f t="shared" ca="1" si="430"/>
        <v>0</v>
      </c>
      <c r="I446" s="15">
        <v>0</v>
      </c>
      <c r="J446" s="16">
        <f t="shared" ca="1" si="431"/>
        <v>0</v>
      </c>
      <c r="K446" s="15">
        <v>0</v>
      </c>
      <c r="L446" s="16">
        <f t="shared" ca="1" si="432"/>
        <v>0</v>
      </c>
      <c r="M446" s="15">
        <v>0</v>
      </c>
      <c r="N446" s="16">
        <f t="shared" ca="1" si="433"/>
        <v>0</v>
      </c>
      <c r="O446" s="15">
        <v>0</v>
      </c>
      <c r="P446" s="16">
        <f t="shared" ca="1" si="434"/>
        <v>0</v>
      </c>
      <c r="Q446" s="62">
        <f t="shared" ca="1" si="427"/>
        <v>0</v>
      </c>
      <c r="T446" s="22" t="s">
        <v>23</v>
      </c>
      <c r="U446" s="15">
        <v>0</v>
      </c>
      <c r="V446" s="16">
        <f t="shared" ca="1" si="435"/>
        <v>0</v>
      </c>
      <c r="W446" s="15">
        <v>0</v>
      </c>
      <c r="X446" s="16">
        <f t="shared" ca="1" si="436"/>
        <v>0</v>
      </c>
      <c r="Y446" s="15">
        <v>0</v>
      </c>
      <c r="Z446" s="16">
        <f t="shared" ca="1" si="437"/>
        <v>0</v>
      </c>
      <c r="AA446" s="15">
        <v>0</v>
      </c>
      <c r="AB446" s="16">
        <f t="shared" ca="1" si="438"/>
        <v>0</v>
      </c>
      <c r="AC446" s="15">
        <v>0</v>
      </c>
      <c r="AD446" s="16">
        <f t="shared" ca="1" si="439"/>
        <v>0</v>
      </c>
      <c r="AE446" s="15">
        <v>0</v>
      </c>
      <c r="AF446" s="16">
        <f t="shared" ca="1" si="440"/>
        <v>0</v>
      </c>
      <c r="AG446" s="15">
        <v>0</v>
      </c>
      <c r="AH446" s="16">
        <f t="shared" ca="1" si="441"/>
        <v>0</v>
      </c>
      <c r="AI446" s="62">
        <f t="shared" ca="1" si="442"/>
        <v>0</v>
      </c>
    </row>
    <row r="447" spans="2:35" x14ac:dyDescent="0.4">
      <c r="B447" s="23" t="s">
        <v>24</v>
      </c>
      <c r="C447" s="24">
        <v>0</v>
      </c>
      <c r="D447" s="25">
        <f t="shared" ca="1" si="428"/>
        <v>0</v>
      </c>
      <c r="E447" s="24">
        <v>0</v>
      </c>
      <c r="F447" s="25">
        <f t="shared" ca="1" si="429"/>
        <v>0</v>
      </c>
      <c r="G447" s="24">
        <v>0</v>
      </c>
      <c r="H447" s="25">
        <f t="shared" ca="1" si="430"/>
        <v>0</v>
      </c>
      <c r="I447" s="24">
        <v>0</v>
      </c>
      <c r="J447" s="25">
        <f t="shared" ca="1" si="431"/>
        <v>0</v>
      </c>
      <c r="K447" s="24">
        <v>0</v>
      </c>
      <c r="L447" s="25">
        <f t="shared" ca="1" si="432"/>
        <v>0</v>
      </c>
      <c r="M447" s="24">
        <v>0</v>
      </c>
      <c r="N447" s="25">
        <f t="shared" ca="1" si="433"/>
        <v>0</v>
      </c>
      <c r="O447" s="24">
        <v>0</v>
      </c>
      <c r="P447" s="25">
        <f t="shared" ca="1" si="434"/>
        <v>0</v>
      </c>
      <c r="Q447" s="64">
        <f t="shared" ca="1" si="427"/>
        <v>0</v>
      </c>
      <c r="T447" s="23" t="s">
        <v>24</v>
      </c>
      <c r="U447" s="24">
        <v>0</v>
      </c>
      <c r="V447" s="25">
        <f t="shared" ca="1" si="435"/>
        <v>0</v>
      </c>
      <c r="W447" s="24">
        <v>0</v>
      </c>
      <c r="X447" s="25">
        <f t="shared" ca="1" si="436"/>
        <v>0</v>
      </c>
      <c r="Y447" s="24">
        <v>0</v>
      </c>
      <c r="Z447" s="25">
        <f t="shared" ca="1" si="437"/>
        <v>0</v>
      </c>
      <c r="AA447" s="24">
        <v>0</v>
      </c>
      <c r="AB447" s="25">
        <f t="shared" ca="1" si="438"/>
        <v>0</v>
      </c>
      <c r="AC447" s="24">
        <v>0</v>
      </c>
      <c r="AD447" s="25">
        <f t="shared" ca="1" si="439"/>
        <v>0</v>
      </c>
      <c r="AE447" s="24">
        <v>0</v>
      </c>
      <c r="AF447" s="25">
        <f t="shared" ca="1" si="440"/>
        <v>0</v>
      </c>
      <c r="AG447" s="24">
        <v>0</v>
      </c>
      <c r="AH447" s="25">
        <f t="shared" ca="1" si="441"/>
        <v>0</v>
      </c>
      <c r="AI447" s="64">
        <f t="shared" ca="1" si="442"/>
        <v>0</v>
      </c>
    </row>
    <row r="448" spans="2:35" x14ac:dyDescent="0.4">
      <c r="B448" s="27" t="s">
        <v>25</v>
      </c>
      <c r="C448" s="28">
        <f ca="1">SUM(C440:C447)</f>
        <v>61</v>
      </c>
      <c r="D448" s="29">
        <f t="shared" ca="1" si="428"/>
        <v>1</v>
      </c>
      <c r="E448" s="28">
        <f ca="1">SUM(E440:E447)</f>
        <v>57</v>
      </c>
      <c r="F448" s="29">
        <f t="shared" ca="1" si="429"/>
        <v>1</v>
      </c>
      <c r="G448" s="28">
        <f ca="1">SUM(G440:G447)</f>
        <v>6</v>
      </c>
      <c r="H448" s="29">
        <f t="shared" ca="1" si="430"/>
        <v>1</v>
      </c>
      <c r="I448" s="28">
        <f ca="1">SUM(I440:I447)</f>
        <v>11</v>
      </c>
      <c r="J448" s="29">
        <f t="shared" ca="1" si="431"/>
        <v>1</v>
      </c>
      <c r="K448" s="28">
        <f ca="1">SUM(K440:K447)</f>
        <v>1</v>
      </c>
      <c r="L448" s="29">
        <f t="shared" ca="1" si="432"/>
        <v>1</v>
      </c>
      <c r="M448" s="28">
        <f ca="1">SUM(M440:M447)</f>
        <v>0</v>
      </c>
      <c r="N448" s="29">
        <f t="shared" ca="1" si="433"/>
        <v>0</v>
      </c>
      <c r="O448" s="28">
        <f ca="1">SUM(O440:O447)</f>
        <v>1</v>
      </c>
      <c r="P448" s="29">
        <f t="shared" ca="1" si="434"/>
        <v>1</v>
      </c>
      <c r="Q448" s="31">
        <f t="shared" ca="1" si="427"/>
        <v>137</v>
      </c>
      <c r="T448" s="27" t="s">
        <v>25</v>
      </c>
      <c r="U448" s="28">
        <f ca="1">SUM(U440:U447)</f>
        <v>7783187.3299999991</v>
      </c>
      <c r="V448" s="29">
        <f t="shared" ca="1" si="435"/>
        <v>1</v>
      </c>
      <c r="W448" s="28">
        <f ca="1">SUM(W440:W447)</f>
        <v>10246045.41</v>
      </c>
      <c r="X448" s="29">
        <f t="shared" ca="1" si="436"/>
        <v>1</v>
      </c>
      <c r="Y448" s="28">
        <f ca="1">SUM(Y440:Y447)</f>
        <v>1189068.3999999999</v>
      </c>
      <c r="Z448" s="29">
        <f t="shared" ca="1" si="437"/>
        <v>1</v>
      </c>
      <c r="AA448" s="28">
        <f ca="1">SUM(AA440:AA447)</f>
        <v>1781845.1199999999</v>
      </c>
      <c r="AB448" s="29">
        <f t="shared" ca="1" si="438"/>
        <v>1</v>
      </c>
      <c r="AC448" s="28">
        <f ca="1">SUM(AC440:AC447)</f>
        <v>95000</v>
      </c>
      <c r="AD448" s="29">
        <f t="shared" ca="1" si="439"/>
        <v>1</v>
      </c>
      <c r="AE448" s="28">
        <f ca="1">SUM(AE440:AE447)</f>
        <v>0</v>
      </c>
      <c r="AF448" s="29">
        <f t="shared" ca="1" si="440"/>
        <v>0</v>
      </c>
      <c r="AG448" s="28">
        <f ca="1">SUM(AG440:AG447)</f>
        <v>117300</v>
      </c>
      <c r="AH448" s="29">
        <f t="shared" ca="1" si="441"/>
        <v>1</v>
      </c>
      <c r="AI448" s="31">
        <f t="shared" ca="1" si="442"/>
        <v>21212446.259999998</v>
      </c>
    </row>
    <row r="449" spans="2:35" x14ac:dyDescent="0.4">
      <c r="B449" s="32" t="s">
        <v>26</v>
      </c>
      <c r="C449" s="33">
        <f ca="1">C448/$Q$448</f>
        <v>0.44525547445255476</v>
      </c>
      <c r="D449" s="33"/>
      <c r="E449" s="33">
        <f ca="1">E448/$Q$448</f>
        <v>0.41605839416058393</v>
      </c>
      <c r="F449" s="33"/>
      <c r="G449" s="33">
        <f ca="1">G448/$Q$448</f>
        <v>4.3795620437956206E-2</v>
      </c>
      <c r="H449" s="33"/>
      <c r="I449" s="33">
        <f ca="1">I448/$Q$448</f>
        <v>8.0291970802919707E-2</v>
      </c>
      <c r="J449" s="33"/>
      <c r="K449" s="33">
        <f ca="1">K448/$Q$448</f>
        <v>7.2992700729927005E-3</v>
      </c>
      <c r="L449" s="33"/>
      <c r="M449" s="33">
        <f ca="1">M448/$Q$448</f>
        <v>0</v>
      </c>
      <c r="N449" s="33"/>
      <c r="O449" s="33">
        <f ca="1">O448/$Q$448</f>
        <v>7.2992700729927005E-3</v>
      </c>
      <c r="P449" s="33"/>
      <c r="Q449" s="34">
        <f ca="1">Q448/$Q$448</f>
        <v>1</v>
      </c>
      <c r="T449" s="32" t="s">
        <v>26</v>
      </c>
      <c r="U449" s="33">
        <f ca="1">U448/$AI$448</f>
        <v>0.36691606590780823</v>
      </c>
      <c r="V449" s="33"/>
      <c r="W449" s="33">
        <f ca="1">W448/$AI$448</f>
        <v>0.48302045338923588</v>
      </c>
      <c r="X449" s="33"/>
      <c r="Y449" s="33">
        <f ca="1">Y448/$AI$448</f>
        <v>5.6055222741669776E-2</v>
      </c>
      <c r="Z449" s="33"/>
      <c r="AA449" s="33">
        <f ca="1">AA448/$AI$448</f>
        <v>8.3999982753521427E-2</v>
      </c>
      <c r="AB449" s="33"/>
      <c r="AC449" s="33">
        <f ca="1">AC448/$AI$448</f>
        <v>4.4785028014020295E-3</v>
      </c>
      <c r="AD449" s="33"/>
      <c r="AE449" s="33">
        <f ca="1">AE448/$AI$448</f>
        <v>0</v>
      </c>
      <c r="AF449" s="33"/>
      <c r="AG449" s="33">
        <f ca="1">AG448/$AI$448</f>
        <v>5.5297724063627166E-3</v>
      </c>
      <c r="AH449" s="33"/>
      <c r="AI449" s="34">
        <f ca="1">AI448/$AI$448</f>
        <v>1</v>
      </c>
    </row>
    <row r="451" spans="2:35" x14ac:dyDescent="0.4">
      <c r="E451" s="2" t="s">
        <v>53</v>
      </c>
      <c r="F451" s="2"/>
      <c r="G451" s="2"/>
      <c r="H451" s="2"/>
      <c r="I451" s="2"/>
      <c r="J451" s="2"/>
      <c r="K451" s="2"/>
      <c r="L451" s="2"/>
      <c r="M451" s="2"/>
      <c r="N451" s="2"/>
      <c r="W451" s="2" t="s">
        <v>53</v>
      </c>
      <c r="X451" s="2"/>
      <c r="Y451" s="2"/>
      <c r="Z451" s="2"/>
      <c r="AA451" s="2"/>
      <c r="AB451" s="2"/>
      <c r="AC451" s="2"/>
      <c r="AD451" s="2"/>
      <c r="AE451" s="2"/>
      <c r="AF451" s="2"/>
    </row>
    <row r="452" spans="2:35" x14ac:dyDescent="0.4">
      <c r="E452" s="3"/>
      <c r="F452" s="3"/>
      <c r="G452" s="3"/>
      <c r="H452" s="3"/>
      <c r="I452" s="3"/>
      <c r="J452" s="3"/>
      <c r="K452" s="3"/>
      <c r="L452" s="3"/>
      <c r="M452" s="3"/>
      <c r="N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2:35" x14ac:dyDescent="0.4">
      <c r="B453" s="4" t="s">
        <v>54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T453" s="4" t="s">
        <v>54</v>
      </c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spans="2:35" x14ac:dyDescent="0.4">
      <c r="B454" s="5"/>
      <c r="C454" s="6" t="s">
        <v>3</v>
      </c>
      <c r="D454" s="6"/>
      <c r="E454" s="6" t="s">
        <v>4</v>
      </c>
      <c r="F454" s="6"/>
      <c r="G454" s="6" t="s">
        <v>5</v>
      </c>
      <c r="H454" s="6"/>
      <c r="I454" s="6" t="s">
        <v>6</v>
      </c>
      <c r="J454" s="6"/>
      <c r="K454" s="6" t="s">
        <v>7</v>
      </c>
      <c r="L454" s="6"/>
      <c r="M454" s="6" t="s">
        <v>8</v>
      </c>
      <c r="N454" s="6"/>
      <c r="O454" s="6" t="s">
        <v>9</v>
      </c>
      <c r="P454" s="6"/>
      <c r="Q454" s="7" t="s">
        <v>10</v>
      </c>
      <c r="T454" s="5"/>
      <c r="U454" s="6" t="s">
        <v>3</v>
      </c>
      <c r="V454" s="6"/>
      <c r="W454" s="6" t="s">
        <v>4</v>
      </c>
      <c r="X454" s="6"/>
      <c r="Y454" s="6" t="s">
        <v>5</v>
      </c>
      <c r="Z454" s="6"/>
      <c r="AA454" s="6" t="s">
        <v>6</v>
      </c>
      <c r="AB454" s="6"/>
      <c r="AC454" s="6" t="s">
        <v>7</v>
      </c>
      <c r="AD454" s="6"/>
      <c r="AE454" s="6" t="s">
        <v>8</v>
      </c>
      <c r="AF454" s="6"/>
      <c r="AG454" s="6" t="s">
        <v>9</v>
      </c>
      <c r="AH454" s="6"/>
      <c r="AI454" s="7" t="s">
        <v>10</v>
      </c>
    </row>
    <row r="455" spans="2:35" x14ac:dyDescent="0.4">
      <c r="B455" s="8" t="s">
        <v>11</v>
      </c>
      <c r="C455" s="8" t="s">
        <v>12</v>
      </c>
      <c r="D455" s="8" t="s">
        <v>13</v>
      </c>
      <c r="E455" s="8" t="s">
        <v>12</v>
      </c>
      <c r="F455" s="8" t="s">
        <v>13</v>
      </c>
      <c r="G455" s="8" t="s">
        <v>12</v>
      </c>
      <c r="H455" s="8" t="s">
        <v>13</v>
      </c>
      <c r="I455" s="8" t="s">
        <v>12</v>
      </c>
      <c r="J455" s="8" t="s">
        <v>13</v>
      </c>
      <c r="K455" s="8" t="s">
        <v>12</v>
      </c>
      <c r="L455" s="8" t="s">
        <v>13</v>
      </c>
      <c r="M455" s="8" t="s">
        <v>12</v>
      </c>
      <c r="N455" s="8" t="s">
        <v>13</v>
      </c>
      <c r="O455" s="8" t="s">
        <v>12</v>
      </c>
      <c r="P455" s="8" t="s">
        <v>13</v>
      </c>
      <c r="Q455" s="7"/>
      <c r="T455" s="8" t="s">
        <v>11</v>
      </c>
      <c r="U455" s="8" t="s">
        <v>14</v>
      </c>
      <c r="V455" s="8" t="s">
        <v>13</v>
      </c>
      <c r="W455" s="8" t="s">
        <v>14</v>
      </c>
      <c r="X455" s="8" t="s">
        <v>13</v>
      </c>
      <c r="Y455" s="8" t="s">
        <v>14</v>
      </c>
      <c r="Z455" s="8" t="s">
        <v>13</v>
      </c>
      <c r="AA455" s="8" t="s">
        <v>14</v>
      </c>
      <c r="AB455" s="8" t="s">
        <v>13</v>
      </c>
      <c r="AC455" s="8" t="s">
        <v>14</v>
      </c>
      <c r="AD455" s="8" t="s">
        <v>13</v>
      </c>
      <c r="AE455" s="8" t="s">
        <v>14</v>
      </c>
      <c r="AF455" s="8" t="s">
        <v>13</v>
      </c>
      <c r="AG455" s="8" t="s">
        <v>14</v>
      </c>
      <c r="AH455" s="8" t="s">
        <v>13</v>
      </c>
      <c r="AI455" s="7"/>
    </row>
    <row r="456" spans="2:35" x14ac:dyDescent="0.4">
      <c r="B456" s="9" t="s">
        <v>15</v>
      </c>
      <c r="C456" s="10">
        <v>1207</v>
      </c>
      <c r="D456" s="11">
        <f ca="1">C456/C$466</f>
        <v>0.27664451065780427</v>
      </c>
      <c r="E456" s="10">
        <v>2377</v>
      </c>
      <c r="F456" s="11">
        <f ca="1">E456/$E$466</f>
        <v>0.38233874859256878</v>
      </c>
      <c r="G456" s="10">
        <v>1829</v>
      </c>
      <c r="H456" s="11">
        <f ca="1">G456/G$466</f>
        <v>0.91221945137157112</v>
      </c>
      <c r="I456" s="10">
        <v>341</v>
      </c>
      <c r="J456" s="11">
        <f ca="1">I456/I$466</f>
        <v>0.85678391959798994</v>
      </c>
      <c r="K456" s="10">
        <v>301</v>
      </c>
      <c r="L456" s="11">
        <f ca="1">K456/K$466</f>
        <v>0.67792792792792789</v>
      </c>
      <c r="M456" s="10">
        <v>590</v>
      </c>
      <c r="N456" s="11">
        <f ca="1">M456/M$466</f>
        <v>0.28122020972354622</v>
      </c>
      <c r="O456" s="10">
        <v>40</v>
      </c>
      <c r="P456" s="11">
        <f ca="1">O456/O$466</f>
        <v>0.31746031746031744</v>
      </c>
      <c r="Q456" s="60">
        <f ca="1">SUM(C456,G456,I456,K456,M456,O456,E456)</f>
        <v>6685</v>
      </c>
      <c r="T456" s="9" t="s">
        <v>15</v>
      </c>
      <c r="U456" s="10">
        <v>342361208.50000012</v>
      </c>
      <c r="V456" s="11">
        <f ca="1">U456/U$466</f>
        <v>0.39721377547997411</v>
      </c>
      <c r="W456" s="10">
        <v>582052173.89999974</v>
      </c>
      <c r="X456" s="11">
        <f ca="1">W456/W$466</f>
        <v>0.46949262067658915</v>
      </c>
      <c r="Y456" s="10">
        <v>908270123.26000071</v>
      </c>
      <c r="Z456" s="11">
        <f t="shared" ref="Z456:Z466" ca="1" si="443">Y456/Y$466</f>
        <v>0.93242309421307745</v>
      </c>
      <c r="AA456" s="10">
        <v>506641826.02000016</v>
      </c>
      <c r="AB456" s="11">
        <f t="shared" ref="AB456:AB466" ca="1" si="444">AA456/AA$466</f>
        <v>0.98669743657380538</v>
      </c>
      <c r="AC456" s="10">
        <v>22064357.850000001</v>
      </c>
      <c r="AD456" s="11">
        <f t="shared" ref="AD456:AD466" ca="1" si="445">AC456/AC$466</f>
        <v>0.75763435921304489</v>
      </c>
      <c r="AE456" s="10">
        <v>32300846.330000006</v>
      </c>
      <c r="AF456" s="11">
        <f t="shared" ref="AF456:AF466" ca="1" si="446">AE456/AE$466</f>
        <v>0.29976406222280794</v>
      </c>
      <c r="AG456" s="10">
        <v>22864314.409999989</v>
      </c>
      <c r="AH456" s="11">
        <f t="shared" ref="AH456:AH466" ca="1" si="447">AG456/AG$466</f>
        <v>0.48587584720569632</v>
      </c>
      <c r="AI456" s="60">
        <f ca="1">SUM(U456,Y456,AA456,AC456,AE456,AG456,W456)</f>
        <v>2416554850.2700005</v>
      </c>
    </row>
    <row r="457" spans="2:35" x14ac:dyDescent="0.4">
      <c r="B457" s="14" t="s">
        <v>16</v>
      </c>
      <c r="C457" s="15">
        <v>1340</v>
      </c>
      <c r="D457" s="16">
        <f ca="1">C457/C$466</f>
        <v>0.30712812285124913</v>
      </c>
      <c r="E457" s="15">
        <v>1873</v>
      </c>
      <c r="F457" s="16">
        <f ca="1">E457/$E$466</f>
        <v>0.30127070934534339</v>
      </c>
      <c r="G457" s="15">
        <v>114</v>
      </c>
      <c r="H457" s="16">
        <f ca="1">G457/G$466</f>
        <v>5.6857855361596009E-2</v>
      </c>
      <c r="I457" s="15">
        <v>4</v>
      </c>
      <c r="J457" s="16">
        <f ca="1">I457/I$466</f>
        <v>1.0050251256281407E-2</v>
      </c>
      <c r="K457" s="15">
        <v>75</v>
      </c>
      <c r="L457" s="16">
        <f ca="1">K457/K$466</f>
        <v>0.16891891891891891</v>
      </c>
      <c r="M457" s="15">
        <v>834</v>
      </c>
      <c r="N457" s="16">
        <f ca="1">M457/M$466</f>
        <v>0.39752144899904673</v>
      </c>
      <c r="O457" s="15">
        <v>25</v>
      </c>
      <c r="P457" s="16">
        <f ca="1">O457/O$466</f>
        <v>0.1984126984126984</v>
      </c>
      <c r="Q457" s="62">
        <f t="shared" ref="Q457:Q466" ca="1" si="448">SUM(C457,G457,I457,K457,M457,O457,E457)</f>
        <v>4265</v>
      </c>
      <c r="T457" s="14" t="s">
        <v>16</v>
      </c>
      <c r="U457" s="15">
        <v>280597770.65999991</v>
      </c>
      <c r="V457" s="16">
        <f ca="1">U457/U$466</f>
        <v>0.32555469810220172</v>
      </c>
      <c r="W457" s="15">
        <v>390676363.38999987</v>
      </c>
      <c r="X457" s="16">
        <f ca="1">W457/W$466</f>
        <v>0.31512582189218519</v>
      </c>
      <c r="Y457" s="15">
        <v>52527745.349999994</v>
      </c>
      <c r="Z457" s="16">
        <f t="shared" ca="1" si="443"/>
        <v>5.3924577718674066E-2</v>
      </c>
      <c r="AA457" s="15">
        <v>631523.67000000016</v>
      </c>
      <c r="AB457" s="16">
        <f t="shared" ca="1" si="444"/>
        <v>1.2299079040112325E-3</v>
      </c>
      <c r="AC457" s="15">
        <v>4273798.8899999997</v>
      </c>
      <c r="AD457" s="16">
        <f t="shared" ca="1" si="445"/>
        <v>0.14675146702402547</v>
      </c>
      <c r="AE457" s="15">
        <v>44780862.329999998</v>
      </c>
      <c r="AF457" s="16">
        <f ca="1">AE457/AE$466</f>
        <v>0.41558332759267713</v>
      </c>
      <c r="AG457" s="15">
        <v>6032205.8899999997</v>
      </c>
      <c r="AH457" s="16">
        <f t="shared" ca="1" si="447"/>
        <v>0.12818679339193634</v>
      </c>
      <c r="AI457" s="62">
        <f ca="1">SUM(U457,Y457,AA457,AC457,AE457,AG457,W457)</f>
        <v>779520270.17999971</v>
      </c>
    </row>
    <row r="458" spans="2:35" x14ac:dyDescent="0.4">
      <c r="B458" s="18" t="s">
        <v>17</v>
      </c>
      <c r="C458" s="19">
        <f ca="1">+SUM(C456:C457)</f>
        <v>2547</v>
      </c>
      <c r="D458" s="20">
        <f ca="1">+C458/$C$466</f>
        <v>0.5837726335090534</v>
      </c>
      <c r="E458" s="19">
        <f ca="1">+SUM(E456:E457)</f>
        <v>4250</v>
      </c>
      <c r="F458" s="20">
        <f ca="1">+E458/$E$466</f>
        <v>0.68360945793791217</v>
      </c>
      <c r="G458" s="19">
        <f ca="1">+SUM(G456:G457)</f>
        <v>1943</v>
      </c>
      <c r="H458" s="20">
        <f ca="1">+G458/$G$466</f>
        <v>0.96907730673316705</v>
      </c>
      <c r="I458" s="19">
        <f ca="1">+SUM(I456:I457)</f>
        <v>345</v>
      </c>
      <c r="J458" s="20">
        <f ca="1">+I458/$I$466</f>
        <v>0.86683417085427139</v>
      </c>
      <c r="K458" s="19">
        <f ca="1">+SUM(K456:K457)</f>
        <v>376</v>
      </c>
      <c r="L458" s="20">
        <f ca="1">+K458/$K$466</f>
        <v>0.84684684684684686</v>
      </c>
      <c r="M458" s="19">
        <f ca="1">+SUM(M456:M457)</f>
        <v>1424</v>
      </c>
      <c r="N458" s="20">
        <f ca="1">+M458/$M$466</f>
        <v>0.67874165872259296</v>
      </c>
      <c r="O458" s="19">
        <f ca="1">+SUM(O456:O457)</f>
        <v>65</v>
      </c>
      <c r="P458" s="20">
        <f ca="1">+O458/$O$466</f>
        <v>0.51587301587301593</v>
      </c>
      <c r="Q458" s="101">
        <f ca="1">+SUM(Q456:Q457)</f>
        <v>10950</v>
      </c>
      <c r="T458" s="18" t="s">
        <v>17</v>
      </c>
      <c r="U458" s="19">
        <f ca="1">+SUM(U456:U457)</f>
        <v>622958979.16000009</v>
      </c>
      <c r="V458" s="20">
        <f ca="1">U458/U$466</f>
        <v>0.72276847358217589</v>
      </c>
      <c r="W458" s="19">
        <f ca="1">+SUM(W456:W457)</f>
        <v>972728537.2899996</v>
      </c>
      <c r="X458" s="20">
        <f ca="1">W458/W$466</f>
        <v>0.78461844256877433</v>
      </c>
      <c r="Y458" s="19">
        <f ca="1">+SUM(Y456:Y457)</f>
        <v>960797868.61000073</v>
      </c>
      <c r="Z458" s="20">
        <f t="shared" ca="1" si="443"/>
        <v>0.98634767193175155</v>
      </c>
      <c r="AA458" s="19">
        <f ca="1">+SUM(AA456:AA457)</f>
        <v>507273349.69000018</v>
      </c>
      <c r="AB458" s="20">
        <f t="shared" ca="1" si="444"/>
        <v>0.9879273444778166</v>
      </c>
      <c r="AC458" s="19">
        <f ca="1">+SUM(AC456:AC457)</f>
        <v>26338156.740000002</v>
      </c>
      <c r="AD458" s="20">
        <f t="shared" ca="1" si="445"/>
        <v>0.90438582623707042</v>
      </c>
      <c r="AE458" s="19">
        <f ca="1">+SUM(AE456:AE457)</f>
        <v>77081708.659999996</v>
      </c>
      <c r="AF458" s="20">
        <f t="shared" ca="1" si="446"/>
        <v>0.71534738981548496</v>
      </c>
      <c r="AG458" s="19">
        <f ca="1">+SUM(AG456:AG457)</f>
        <v>28896520.29999999</v>
      </c>
      <c r="AH458" s="20">
        <f t="shared" ca="1" si="447"/>
        <v>0.61406264059763271</v>
      </c>
      <c r="AI458" s="101">
        <f ca="1">+SUM(AI456:AI457)</f>
        <v>3196075120.4500003</v>
      </c>
    </row>
    <row r="459" spans="2:35" x14ac:dyDescent="0.4">
      <c r="B459" s="22" t="s">
        <v>18</v>
      </c>
      <c r="C459" s="15">
        <v>502</v>
      </c>
      <c r="D459" s="16">
        <f t="shared" ref="D459:D466" ca="1" si="449">C459/C$466</f>
        <v>0.11505844602337841</v>
      </c>
      <c r="E459" s="15">
        <v>507</v>
      </c>
      <c r="F459" s="16">
        <f t="shared" ref="F459:F466" ca="1" si="450">E459/$E$466</f>
        <v>8.1550587099887412E-2</v>
      </c>
      <c r="G459" s="15">
        <v>7</v>
      </c>
      <c r="H459" s="16">
        <f t="shared" ref="H459:H466" ca="1" si="451">G459/G$466</f>
        <v>3.4912718204488779E-3</v>
      </c>
      <c r="I459" s="15">
        <v>1</v>
      </c>
      <c r="J459" s="16">
        <f t="shared" ref="J459:J466" ca="1" si="452">I459/I$466</f>
        <v>2.5125628140703518E-3</v>
      </c>
      <c r="K459" s="15">
        <v>8</v>
      </c>
      <c r="L459" s="16">
        <f t="shared" ref="L459:L466" ca="1" si="453">K459/K$466</f>
        <v>1.8018018018018018E-2</v>
      </c>
      <c r="M459" s="15">
        <v>204</v>
      </c>
      <c r="N459" s="16">
        <f t="shared" ref="N459:N466" ca="1" si="454">M459/M$466</f>
        <v>9.7235462345090562E-2</v>
      </c>
      <c r="O459" s="15">
        <v>17</v>
      </c>
      <c r="P459" s="16">
        <f t="shared" ref="P459:P466" ca="1" si="455">O459/O$466</f>
        <v>0.13492063492063491</v>
      </c>
      <c r="Q459" s="62">
        <f t="shared" ca="1" si="448"/>
        <v>1246</v>
      </c>
      <c r="T459" s="22" t="s">
        <v>18</v>
      </c>
      <c r="U459" s="15">
        <v>78404512.829999954</v>
      </c>
      <c r="V459" s="16">
        <f t="shared" ref="V459:X466" ca="1" si="456">U459/U$466</f>
        <v>9.0966358870860048E-2</v>
      </c>
      <c r="W459" s="15">
        <v>76039267.480000019</v>
      </c>
      <c r="X459" s="16">
        <f t="shared" ca="1" si="456"/>
        <v>6.1334492961874612E-2</v>
      </c>
      <c r="Y459" s="15">
        <v>1085656.8500000001</v>
      </c>
      <c r="Z459" s="16">
        <f t="shared" ca="1" si="443"/>
        <v>1.1145269379744258E-3</v>
      </c>
      <c r="AA459" s="15">
        <v>7</v>
      </c>
      <c r="AB459" s="16">
        <f t="shared" ca="1" si="444"/>
        <v>1.363267243503102E-8</v>
      </c>
      <c r="AC459" s="15">
        <v>415117.86000000022</v>
      </c>
      <c r="AD459" s="16">
        <f t="shared" ca="1" si="445"/>
        <v>1.4254099575301741E-2</v>
      </c>
      <c r="AE459" s="15">
        <v>8350820.5099999998</v>
      </c>
      <c r="AF459" s="16">
        <f t="shared" ca="1" si="446"/>
        <v>7.7498770570793893E-2</v>
      </c>
      <c r="AG459" s="15">
        <v>4371407.49</v>
      </c>
      <c r="AH459" s="16">
        <f t="shared" ca="1" si="447"/>
        <v>9.2894161600408018E-2</v>
      </c>
      <c r="AI459" s="62">
        <f t="shared" ref="AI459:AI466" ca="1" si="457">SUM(U459,Y459,AA459,AC459,AE459,AG459,W459)</f>
        <v>168666790.01999998</v>
      </c>
    </row>
    <row r="460" spans="2:35" x14ac:dyDescent="0.4">
      <c r="B460" s="22" t="s">
        <v>19</v>
      </c>
      <c r="C460" s="15">
        <v>583</v>
      </c>
      <c r="D460" s="16">
        <f t="shared" ca="1" si="449"/>
        <v>0.13362365344946137</v>
      </c>
      <c r="E460" s="15">
        <v>612</v>
      </c>
      <c r="F460" s="16">
        <f t="shared" ca="1" si="450"/>
        <v>9.8439761943059353E-2</v>
      </c>
      <c r="G460" s="15">
        <v>4</v>
      </c>
      <c r="H460" s="16">
        <f t="shared" ca="1" si="451"/>
        <v>1.99501246882793E-3</v>
      </c>
      <c r="I460" s="15">
        <v>4</v>
      </c>
      <c r="J460" s="16">
        <f t="shared" ca="1" si="452"/>
        <v>1.0050251256281407E-2</v>
      </c>
      <c r="K460" s="15">
        <v>25</v>
      </c>
      <c r="L460" s="16">
        <f t="shared" ca="1" si="453"/>
        <v>5.6306306306306307E-2</v>
      </c>
      <c r="M460" s="15">
        <v>214</v>
      </c>
      <c r="N460" s="16">
        <f t="shared" ca="1" si="454"/>
        <v>0.10200190657769304</v>
      </c>
      <c r="O460" s="15">
        <v>14</v>
      </c>
      <c r="P460" s="16">
        <f t="shared" ca="1" si="455"/>
        <v>0.1111111111111111</v>
      </c>
      <c r="Q460" s="62">
        <f t="shared" ca="1" si="448"/>
        <v>1456</v>
      </c>
      <c r="T460" s="22" t="s">
        <v>19</v>
      </c>
      <c r="U460" s="15">
        <v>82946838.729999915</v>
      </c>
      <c r="V460" s="16">
        <f t="shared" ca="1" si="456"/>
        <v>9.6236448984470147E-2</v>
      </c>
      <c r="W460" s="15">
        <v>89507278.229999989</v>
      </c>
      <c r="X460" s="16">
        <f t="shared" ca="1" si="456"/>
        <v>7.2198006484984159E-2</v>
      </c>
      <c r="Y460" s="15">
        <v>787103.07000000007</v>
      </c>
      <c r="Z460" s="16">
        <f t="shared" ca="1" si="443"/>
        <v>8.0803393307689276E-4</v>
      </c>
      <c r="AA460" s="15">
        <v>4282801.93</v>
      </c>
      <c r="AB460" s="16">
        <f t="shared" ca="1" si="444"/>
        <v>8.3408622594012341E-3</v>
      </c>
      <c r="AC460" s="15">
        <v>1128228</v>
      </c>
      <c r="AD460" s="16">
        <f t="shared" ca="1" si="445"/>
        <v>3.8740501927918794E-2</v>
      </c>
      <c r="AE460" s="15">
        <v>10504456.860000001</v>
      </c>
      <c r="AF460" s="16">
        <f t="shared" ca="1" si="446"/>
        <v>9.7485329877356239E-2</v>
      </c>
      <c r="AG460" s="15">
        <v>5355670.4800000004</v>
      </c>
      <c r="AH460" s="16">
        <f t="shared" ca="1" si="447"/>
        <v>0.11381014471557643</v>
      </c>
      <c r="AI460" s="62">
        <f t="shared" ca="1" si="457"/>
        <v>194512377.29999989</v>
      </c>
    </row>
    <row r="461" spans="2:35" x14ac:dyDescent="0.4">
      <c r="B461" s="22" t="s">
        <v>20</v>
      </c>
      <c r="C461" s="15">
        <v>210</v>
      </c>
      <c r="D461" s="16">
        <f t="shared" ca="1" si="449"/>
        <v>4.8132019252807703E-2</v>
      </c>
      <c r="E461" s="15">
        <v>250</v>
      </c>
      <c r="F461" s="16">
        <f t="shared" ca="1" si="450"/>
        <v>4.0212321055171307E-2</v>
      </c>
      <c r="G461" s="15">
        <v>4</v>
      </c>
      <c r="H461" s="16">
        <f t="shared" ca="1" si="451"/>
        <v>1.99501246882793E-3</v>
      </c>
      <c r="I461" s="15">
        <v>1</v>
      </c>
      <c r="J461" s="16">
        <f t="shared" ca="1" si="452"/>
        <v>2.5125628140703518E-3</v>
      </c>
      <c r="K461" s="15">
        <v>25</v>
      </c>
      <c r="L461" s="16">
        <f t="shared" ca="1" si="453"/>
        <v>5.6306306306306307E-2</v>
      </c>
      <c r="M461" s="15">
        <v>69</v>
      </c>
      <c r="N461" s="16">
        <f t="shared" ca="1" si="454"/>
        <v>3.2888465204957099E-2</v>
      </c>
      <c r="O461" s="15">
        <v>9</v>
      </c>
      <c r="P461" s="16">
        <f t="shared" ca="1" si="455"/>
        <v>7.1428571428571425E-2</v>
      </c>
      <c r="Q461" s="62">
        <f t="shared" ca="1" si="448"/>
        <v>568</v>
      </c>
      <c r="T461" s="22" t="s">
        <v>20</v>
      </c>
      <c r="U461" s="15">
        <v>25185631.150000002</v>
      </c>
      <c r="V461" s="16">
        <f t="shared" ca="1" si="456"/>
        <v>2.9220832817972543E-2</v>
      </c>
      <c r="W461" s="15">
        <v>35164268.960000016</v>
      </c>
      <c r="X461" s="16">
        <f t="shared" ca="1" si="456"/>
        <v>2.8364063443981329E-2</v>
      </c>
      <c r="Y461" s="15">
        <v>1391309.58</v>
      </c>
      <c r="Z461" s="16">
        <f t="shared" ca="1" si="443"/>
        <v>1.4283076701186793E-3</v>
      </c>
      <c r="AA461" s="15">
        <v>1006</v>
      </c>
      <c r="AB461" s="16">
        <f t="shared" ca="1" si="444"/>
        <v>1.9592097813773151E-6</v>
      </c>
      <c r="AC461" s="15">
        <v>646996</v>
      </c>
      <c r="AD461" s="16">
        <f t="shared" ca="1" si="445"/>
        <v>2.2216209653860522E-2</v>
      </c>
      <c r="AE461" s="15">
        <v>2538793.0299999998</v>
      </c>
      <c r="AF461" s="16">
        <f t="shared" ca="1" si="446"/>
        <v>2.3560958869022638E-2</v>
      </c>
      <c r="AG461" s="15">
        <v>4035630</v>
      </c>
      <c r="AH461" s="16">
        <f t="shared" ca="1" si="447"/>
        <v>8.5758755329271436E-2</v>
      </c>
      <c r="AI461" s="62">
        <f t="shared" ca="1" si="457"/>
        <v>68963634.720000029</v>
      </c>
    </row>
    <row r="462" spans="2:35" x14ac:dyDescent="0.4">
      <c r="B462" s="22" t="s">
        <v>21</v>
      </c>
      <c r="C462" s="15">
        <v>111</v>
      </c>
      <c r="D462" s="16">
        <f t="shared" ca="1" si="449"/>
        <v>2.5441210176484069E-2</v>
      </c>
      <c r="E462" s="15">
        <v>130</v>
      </c>
      <c r="F462" s="16">
        <f t="shared" ca="1" si="450"/>
        <v>2.0910406948689078E-2</v>
      </c>
      <c r="G462" s="15">
        <v>3</v>
      </c>
      <c r="H462" s="16">
        <f t="shared" ca="1" si="451"/>
        <v>1.4962593516209476E-3</v>
      </c>
      <c r="I462" s="15">
        <v>1</v>
      </c>
      <c r="J462" s="16">
        <f t="shared" ca="1" si="452"/>
        <v>2.5125628140703518E-3</v>
      </c>
      <c r="K462" s="15">
        <v>1</v>
      </c>
      <c r="L462" s="16">
        <f t="shared" ca="1" si="453"/>
        <v>2.2522522522522522E-3</v>
      </c>
      <c r="M462" s="15">
        <v>44</v>
      </c>
      <c r="N462" s="16">
        <f t="shared" ca="1" si="454"/>
        <v>2.0972354623450904E-2</v>
      </c>
      <c r="O462" s="15">
        <v>3</v>
      </c>
      <c r="P462" s="16">
        <f t="shared" ca="1" si="455"/>
        <v>2.3809523809523808E-2</v>
      </c>
      <c r="Q462" s="62">
        <f t="shared" ca="1" si="448"/>
        <v>293</v>
      </c>
      <c r="T462" s="22" t="s">
        <v>21</v>
      </c>
      <c r="U462" s="15">
        <v>11776670.379999997</v>
      </c>
      <c r="V462" s="16">
        <f t="shared" ca="1" si="456"/>
        <v>1.3663509732069949E-2</v>
      </c>
      <c r="W462" s="15">
        <v>15236348.979999997</v>
      </c>
      <c r="X462" s="16">
        <f t="shared" ca="1" si="456"/>
        <v>1.228988350689034E-2</v>
      </c>
      <c r="Y462" s="15">
        <v>887897.25</v>
      </c>
      <c r="Z462" s="16">
        <f t="shared" ca="1" si="443"/>
        <v>9.1150845985857613E-4</v>
      </c>
      <c r="AA462" s="15">
        <v>1.5499999999883585</v>
      </c>
      <c r="AB462" s="16">
        <f t="shared" ca="1" si="444"/>
        <v>3.0186631820199106E-9</v>
      </c>
      <c r="AC462" s="15">
        <v>120000</v>
      </c>
      <c r="AD462" s="16">
        <f t="shared" ca="1" si="445"/>
        <v>4.1204971258914473E-3</v>
      </c>
      <c r="AE462" s="15">
        <v>2079224.5099999995</v>
      </c>
      <c r="AF462" s="16">
        <f t="shared" ca="1" si="446"/>
        <v>1.9295989307002999E-2</v>
      </c>
      <c r="AG462" s="15">
        <v>2137353.5</v>
      </c>
      <c r="AH462" s="16">
        <f t="shared" ca="1" si="447"/>
        <v>4.5419618710997277E-2</v>
      </c>
      <c r="AI462" s="62">
        <f t="shared" ca="1" si="457"/>
        <v>32237496.169999994</v>
      </c>
    </row>
    <row r="463" spans="2:35" x14ac:dyDescent="0.4">
      <c r="B463" s="22" t="s">
        <v>22</v>
      </c>
      <c r="C463" s="15">
        <v>80</v>
      </c>
      <c r="D463" s="16">
        <f t="shared" ca="1" si="449"/>
        <v>1.8336007334402934E-2</v>
      </c>
      <c r="E463" s="15">
        <v>88</v>
      </c>
      <c r="F463" s="16">
        <f t="shared" ca="1" si="450"/>
        <v>1.4154737011420299E-2</v>
      </c>
      <c r="G463" s="15">
        <v>0</v>
      </c>
      <c r="H463" s="16">
        <f t="shared" ca="1" si="451"/>
        <v>0</v>
      </c>
      <c r="I463" s="15">
        <v>1</v>
      </c>
      <c r="J463" s="16">
        <f t="shared" ca="1" si="452"/>
        <v>2.5125628140703518E-3</v>
      </c>
      <c r="K463" s="15">
        <v>1</v>
      </c>
      <c r="L463" s="16">
        <f t="shared" ca="1" si="453"/>
        <v>2.2522522522522522E-3</v>
      </c>
      <c r="M463" s="15">
        <v>49</v>
      </c>
      <c r="N463" s="16">
        <f t="shared" ca="1" si="454"/>
        <v>2.3355576739752144E-2</v>
      </c>
      <c r="O463" s="15">
        <v>1</v>
      </c>
      <c r="P463" s="16">
        <f t="shared" ca="1" si="455"/>
        <v>7.9365079365079361E-3</v>
      </c>
      <c r="Q463" s="62">
        <f t="shared" ca="1" si="448"/>
        <v>220</v>
      </c>
      <c r="T463" s="22" t="s">
        <v>22</v>
      </c>
      <c r="U463" s="15">
        <v>9171992.2699999977</v>
      </c>
      <c r="V463" s="16">
        <f t="shared" ca="1" si="456"/>
        <v>1.0641514248071816E-2</v>
      </c>
      <c r="W463" s="15">
        <v>12279735.509999998</v>
      </c>
      <c r="X463" s="16">
        <f t="shared" ca="1" si="456"/>
        <v>9.90503165236142E-3</v>
      </c>
      <c r="Y463" s="15">
        <v>0</v>
      </c>
      <c r="Z463" s="16">
        <f t="shared" ca="1" si="443"/>
        <v>0</v>
      </c>
      <c r="AA463" s="15">
        <v>20000</v>
      </c>
      <c r="AB463" s="16">
        <f t="shared" ca="1" si="444"/>
        <v>3.8950492671517194E-5</v>
      </c>
      <c r="AC463" s="15">
        <v>10500</v>
      </c>
      <c r="AD463" s="16">
        <f t="shared" ca="1" si="445"/>
        <v>3.6054349851550162E-4</v>
      </c>
      <c r="AE463" s="15">
        <v>2901740.8899999997</v>
      </c>
      <c r="AF463" s="16">
        <f t="shared" ca="1" si="446"/>
        <v>2.6929252187938749E-2</v>
      </c>
      <c r="AG463" s="15">
        <v>164726</v>
      </c>
      <c r="AH463" s="16">
        <f t="shared" ca="1" si="447"/>
        <v>3.5004935364167595E-3</v>
      </c>
      <c r="AI463" s="62">
        <f t="shared" ca="1" si="457"/>
        <v>24548694.669999994</v>
      </c>
    </row>
    <row r="464" spans="2:35" x14ac:dyDescent="0.4">
      <c r="B464" s="22" t="s">
        <v>23</v>
      </c>
      <c r="C464" s="15">
        <v>73</v>
      </c>
      <c r="D464" s="16">
        <f t="shared" ca="1" si="449"/>
        <v>1.6731606692642675E-2</v>
      </c>
      <c r="E464" s="15">
        <v>63</v>
      </c>
      <c r="F464" s="16">
        <f t="shared" ca="1" si="450"/>
        <v>1.0133504905903168E-2</v>
      </c>
      <c r="G464" s="15">
        <v>1</v>
      </c>
      <c r="H464" s="16">
        <f t="shared" ca="1" si="451"/>
        <v>4.9875311720698251E-4</v>
      </c>
      <c r="I464" s="15">
        <v>1</v>
      </c>
      <c r="J464" s="16">
        <f t="shared" ca="1" si="452"/>
        <v>2.5125628140703518E-3</v>
      </c>
      <c r="K464" s="15">
        <v>0</v>
      </c>
      <c r="L464" s="16">
        <f t="shared" ca="1" si="453"/>
        <v>0</v>
      </c>
      <c r="M464" s="15">
        <v>22</v>
      </c>
      <c r="N464" s="16">
        <f t="shared" ca="1" si="454"/>
        <v>1.0486177311725452E-2</v>
      </c>
      <c r="O464" s="15">
        <v>2</v>
      </c>
      <c r="P464" s="16">
        <f t="shared" ca="1" si="455"/>
        <v>1.5873015873015872E-2</v>
      </c>
      <c r="Q464" s="62">
        <f t="shared" ca="1" si="448"/>
        <v>162</v>
      </c>
      <c r="T464" s="22" t="s">
        <v>23</v>
      </c>
      <c r="U464" s="15">
        <v>9299741.120000001</v>
      </c>
      <c r="V464" s="16">
        <f t="shared" ca="1" si="456"/>
        <v>1.0789730815141582E-2</v>
      </c>
      <c r="W464" s="15">
        <v>7551252.0199999986</v>
      </c>
      <c r="X464" s="16">
        <f t="shared" ca="1" si="456"/>
        <v>6.0909610155811993E-3</v>
      </c>
      <c r="Y464" s="15">
        <v>181</v>
      </c>
      <c r="Z464" s="16">
        <f t="shared" ca="1" si="443"/>
        <v>1.8581320218572845E-7</v>
      </c>
      <c r="AA464" s="15">
        <v>5.9000000000232831</v>
      </c>
      <c r="AB464" s="16">
        <f t="shared" ca="1" si="444"/>
        <v>1.1490395338142917E-8</v>
      </c>
      <c r="AC464" s="15">
        <v>0</v>
      </c>
      <c r="AD464" s="16">
        <f t="shared" ca="1" si="445"/>
        <v>0</v>
      </c>
      <c r="AE464" s="15">
        <v>876727.6</v>
      </c>
      <c r="AF464" s="16">
        <f t="shared" ca="1" si="446"/>
        <v>8.1363634919609552E-3</v>
      </c>
      <c r="AG464" s="15">
        <v>71811</v>
      </c>
      <c r="AH464" s="16">
        <f t="shared" ca="1" si="447"/>
        <v>1.5260125380548541E-3</v>
      </c>
      <c r="AI464" s="62">
        <f t="shared" ca="1" si="457"/>
        <v>17799718.640000001</v>
      </c>
    </row>
    <row r="465" spans="2:35" x14ac:dyDescent="0.4">
      <c r="B465" s="23" t="s">
        <v>24</v>
      </c>
      <c r="C465" s="24">
        <v>257</v>
      </c>
      <c r="D465" s="25">
        <f t="shared" ca="1" si="449"/>
        <v>5.8904423561769427E-2</v>
      </c>
      <c r="E465" s="24">
        <v>317</v>
      </c>
      <c r="F465" s="25">
        <f t="shared" ca="1" si="450"/>
        <v>5.0989223097957212E-2</v>
      </c>
      <c r="G465" s="24">
        <v>43</v>
      </c>
      <c r="H465" s="25">
        <f t="shared" ca="1" si="451"/>
        <v>2.1446384039900249E-2</v>
      </c>
      <c r="I465" s="24">
        <v>44</v>
      </c>
      <c r="J465" s="25">
        <f t="shared" ca="1" si="452"/>
        <v>0.11055276381909548</v>
      </c>
      <c r="K465" s="24">
        <v>8</v>
      </c>
      <c r="L465" s="25">
        <f t="shared" ca="1" si="453"/>
        <v>1.8018018018018018E-2</v>
      </c>
      <c r="M465" s="24">
        <v>72</v>
      </c>
      <c r="N465" s="25">
        <f t="shared" ca="1" si="454"/>
        <v>3.4318398474737846E-2</v>
      </c>
      <c r="O465" s="24">
        <v>15</v>
      </c>
      <c r="P465" s="25">
        <f t="shared" ca="1" si="455"/>
        <v>0.11904761904761904</v>
      </c>
      <c r="Q465" s="64">
        <f t="shared" ca="1" si="448"/>
        <v>756</v>
      </c>
      <c r="T465" s="23" t="s">
        <v>24</v>
      </c>
      <c r="U465" s="24">
        <v>22162319.460000001</v>
      </c>
      <c r="V465" s="25">
        <f t="shared" ca="1" si="456"/>
        <v>2.5713130949238071E-2</v>
      </c>
      <c r="W465" s="24">
        <v>31240537.080000002</v>
      </c>
      <c r="X465" s="25">
        <f t="shared" ca="1" si="456"/>
        <v>2.5199118365552702E-2</v>
      </c>
      <c r="Y465" s="24">
        <v>9146537.9799999986</v>
      </c>
      <c r="Z465" s="25">
        <f t="shared" ca="1" si="443"/>
        <v>9.3897652540175913E-3</v>
      </c>
      <c r="AA465" s="24">
        <v>1895152.1099999999</v>
      </c>
      <c r="AB465" s="25">
        <f t="shared" ca="1" si="444"/>
        <v>3.6908554185982674E-3</v>
      </c>
      <c r="AC465" s="24">
        <v>463701</v>
      </c>
      <c r="AD465" s="25">
        <f t="shared" ca="1" si="445"/>
        <v>1.5922321981441584E-2</v>
      </c>
      <c r="AE465" s="24">
        <v>3420760.0199999996</v>
      </c>
      <c r="AF465" s="25">
        <f t="shared" ca="1" si="446"/>
        <v>3.1745945880439518E-2</v>
      </c>
      <c r="AG465" s="24">
        <v>2024817</v>
      </c>
      <c r="AH465" s="25">
        <f t="shared" ca="1" si="447"/>
        <v>4.3028172971642444E-2</v>
      </c>
      <c r="AI465" s="64">
        <f t="shared" ca="1" si="457"/>
        <v>70353824.649999991</v>
      </c>
    </row>
    <row r="466" spans="2:35" x14ac:dyDescent="0.4">
      <c r="B466" s="27" t="s">
        <v>25</v>
      </c>
      <c r="C466" s="28">
        <f ca="1">SUM(C458:C465)</f>
        <v>4363</v>
      </c>
      <c r="D466" s="29">
        <f t="shared" ca="1" si="449"/>
        <v>1</v>
      </c>
      <c r="E466" s="28">
        <f ca="1">SUM(E458:E465)</f>
        <v>6217</v>
      </c>
      <c r="F466" s="29">
        <f t="shared" ca="1" si="450"/>
        <v>1</v>
      </c>
      <c r="G466" s="28">
        <f ca="1">SUM(G458:G465)</f>
        <v>2005</v>
      </c>
      <c r="H466" s="29">
        <f t="shared" ca="1" si="451"/>
        <v>1</v>
      </c>
      <c r="I466" s="28">
        <f ca="1">SUM(I458:I465)</f>
        <v>398</v>
      </c>
      <c r="J466" s="29">
        <f t="shared" ca="1" si="452"/>
        <v>1</v>
      </c>
      <c r="K466" s="28">
        <f ca="1">SUM(K458:K465)</f>
        <v>444</v>
      </c>
      <c r="L466" s="29">
        <f t="shared" ca="1" si="453"/>
        <v>1</v>
      </c>
      <c r="M466" s="28">
        <f ca="1">SUM(M458:M465)</f>
        <v>2098</v>
      </c>
      <c r="N466" s="29">
        <f t="shared" ca="1" si="454"/>
        <v>1</v>
      </c>
      <c r="O466" s="28">
        <f ca="1">SUM(O458:O465)</f>
        <v>126</v>
      </c>
      <c r="P466" s="29">
        <f t="shared" ca="1" si="455"/>
        <v>1</v>
      </c>
      <c r="Q466" s="31">
        <f t="shared" ca="1" si="448"/>
        <v>15651</v>
      </c>
      <c r="T466" s="27" t="s">
        <v>25</v>
      </c>
      <c r="U466" s="28">
        <f ca="1">SUM(U458:U465)</f>
        <v>861906685.0999999</v>
      </c>
      <c r="V466" s="29">
        <f t="shared" ca="1" si="456"/>
        <v>1</v>
      </c>
      <c r="W466" s="28">
        <f ca="1">SUM(W458:W465)</f>
        <v>1239747225.5499995</v>
      </c>
      <c r="X466" s="29">
        <f t="shared" ca="1" si="456"/>
        <v>1</v>
      </c>
      <c r="Y466" s="28">
        <f ca="1">SUM(Y458:Y465)</f>
        <v>974096554.34000087</v>
      </c>
      <c r="Z466" s="29">
        <f t="shared" ca="1" si="443"/>
        <v>1</v>
      </c>
      <c r="AA466" s="28">
        <f ca="1">SUM(AA458:AA465)</f>
        <v>513472324.18000019</v>
      </c>
      <c r="AB466" s="29">
        <f t="shared" ca="1" si="444"/>
        <v>1</v>
      </c>
      <c r="AC466" s="28">
        <f ca="1">SUM(AC458:AC465)</f>
        <v>29122699.600000001</v>
      </c>
      <c r="AD466" s="29">
        <f t="shared" ca="1" si="445"/>
        <v>1</v>
      </c>
      <c r="AE466" s="28">
        <f ca="1">SUM(AE458:AE465)</f>
        <v>107754232.08</v>
      </c>
      <c r="AF466" s="29">
        <f t="shared" ca="1" si="446"/>
        <v>1</v>
      </c>
      <c r="AG466" s="28">
        <f ca="1">SUM(AG458:AG465)</f>
        <v>47057935.769999996</v>
      </c>
      <c r="AH466" s="29">
        <f t="shared" ca="1" si="447"/>
        <v>1</v>
      </c>
      <c r="AI466" s="31">
        <f t="shared" ca="1" si="457"/>
        <v>3773157656.6199999</v>
      </c>
    </row>
    <row r="467" spans="2:35" x14ac:dyDescent="0.4">
      <c r="B467" s="32" t="s">
        <v>26</v>
      </c>
      <c r="C467" s="33">
        <f ca="1">C466/$Q$466</f>
        <v>0.27876812983195964</v>
      </c>
      <c r="D467" s="33"/>
      <c r="E467" s="33">
        <f ca="1">E466/$Q$466</f>
        <v>0.39722701424829082</v>
      </c>
      <c r="F467" s="33"/>
      <c r="G467" s="33">
        <f ca="1">G466/$Q$466</f>
        <v>0.12810683023448982</v>
      </c>
      <c r="H467" s="33"/>
      <c r="I467" s="33">
        <f ca="1">I466/$Q$466</f>
        <v>2.5429685004153088E-2</v>
      </c>
      <c r="J467" s="33"/>
      <c r="K467" s="33">
        <f ca="1">K466/$Q$466</f>
        <v>2.8368794326241134E-2</v>
      </c>
      <c r="L467" s="33"/>
      <c r="M467" s="33">
        <f ca="1">M466/$Q$466</f>
        <v>0.13404894255958086</v>
      </c>
      <c r="N467" s="33"/>
      <c r="O467" s="33">
        <f ca="1">O466/$Q$466</f>
        <v>8.0506037952846471E-3</v>
      </c>
      <c r="P467" s="33"/>
      <c r="Q467" s="34">
        <f ca="1">Q466/$Q$466</f>
        <v>1</v>
      </c>
      <c r="T467" s="32" t="s">
        <v>26</v>
      </c>
      <c r="U467" s="33">
        <f ca="1">U466/$AI$466</f>
        <v>0.22843113475202548</v>
      </c>
      <c r="V467" s="33"/>
      <c r="W467" s="33">
        <f ca="1">W466/$AI$466</f>
        <v>0.3285702158177421</v>
      </c>
      <c r="X467" s="33"/>
      <c r="Y467" s="33">
        <f ca="1">Y466/$AI$466</f>
        <v>0.25816481657768786</v>
      </c>
      <c r="Z467" s="33"/>
      <c r="AA467" s="33">
        <f ca="1">AA466/$AI$466</f>
        <v>0.13608557365184931</v>
      </c>
      <c r="AB467" s="33"/>
      <c r="AC467" s="33">
        <f ca="1">AC466/$AI$466</f>
        <v>7.7183892777192243E-3</v>
      </c>
      <c r="AD467" s="33"/>
      <c r="AE467" s="33">
        <f ca="1">AE466/$AI$466</f>
        <v>2.8558104878269625E-2</v>
      </c>
      <c r="AF467" s="33"/>
      <c r="AG467" s="33">
        <f ca="1">AG466/$AI$466</f>
        <v>1.2471765044706498E-2</v>
      </c>
      <c r="AH467" s="33"/>
      <c r="AI467" s="34">
        <f ca="1">AI466/$AI$466</f>
        <v>1</v>
      </c>
    </row>
    <row r="469" spans="2:35" x14ac:dyDescent="0.4">
      <c r="B469" s="4" t="s">
        <v>55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T469" s="4" t="s">
        <v>55</v>
      </c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2:35" x14ac:dyDescent="0.4">
      <c r="B470" s="5"/>
      <c r="C470" s="6" t="s">
        <v>3</v>
      </c>
      <c r="D470" s="6"/>
      <c r="E470" s="6" t="s">
        <v>4</v>
      </c>
      <c r="F470" s="6"/>
      <c r="G470" s="6" t="s">
        <v>5</v>
      </c>
      <c r="H470" s="6"/>
      <c r="I470" s="6" t="s">
        <v>6</v>
      </c>
      <c r="J470" s="6"/>
      <c r="K470" s="6" t="s">
        <v>7</v>
      </c>
      <c r="L470" s="6"/>
      <c r="M470" s="6" t="s">
        <v>8</v>
      </c>
      <c r="N470" s="6"/>
      <c r="O470" s="6" t="s">
        <v>9</v>
      </c>
      <c r="P470" s="6"/>
      <c r="Q470" s="7" t="s">
        <v>10</v>
      </c>
      <c r="T470" s="5"/>
      <c r="U470" s="6" t="s">
        <v>3</v>
      </c>
      <c r="V470" s="6"/>
      <c r="W470" s="6" t="s">
        <v>4</v>
      </c>
      <c r="X470" s="6"/>
      <c r="Y470" s="6" t="s">
        <v>5</v>
      </c>
      <c r="Z470" s="6"/>
      <c r="AA470" s="6" t="s">
        <v>6</v>
      </c>
      <c r="AB470" s="6"/>
      <c r="AC470" s="6" t="s">
        <v>7</v>
      </c>
      <c r="AD470" s="6"/>
      <c r="AE470" s="6" t="s">
        <v>8</v>
      </c>
      <c r="AF470" s="6"/>
      <c r="AG470" s="6" t="s">
        <v>9</v>
      </c>
      <c r="AH470" s="6"/>
      <c r="AI470" s="7" t="s">
        <v>10</v>
      </c>
    </row>
    <row r="471" spans="2:35" x14ac:dyDescent="0.4">
      <c r="B471" s="8" t="s">
        <v>11</v>
      </c>
      <c r="C471" s="8" t="s">
        <v>12</v>
      </c>
      <c r="D471" s="8" t="s">
        <v>13</v>
      </c>
      <c r="E471" s="8" t="s">
        <v>12</v>
      </c>
      <c r="F471" s="8" t="s">
        <v>13</v>
      </c>
      <c r="G471" s="8" t="s">
        <v>12</v>
      </c>
      <c r="H471" s="8" t="s">
        <v>13</v>
      </c>
      <c r="I471" s="8" t="s">
        <v>12</v>
      </c>
      <c r="J471" s="8" t="s">
        <v>13</v>
      </c>
      <c r="K471" s="8" t="s">
        <v>12</v>
      </c>
      <c r="L471" s="8" t="s">
        <v>13</v>
      </c>
      <c r="M471" s="8" t="s">
        <v>12</v>
      </c>
      <c r="N471" s="8" t="s">
        <v>13</v>
      </c>
      <c r="O471" s="8" t="s">
        <v>12</v>
      </c>
      <c r="P471" s="8" t="s">
        <v>13</v>
      </c>
      <c r="Q471" s="7"/>
      <c r="T471" s="8" t="s">
        <v>11</v>
      </c>
      <c r="U471" s="8" t="s">
        <v>14</v>
      </c>
      <c r="V471" s="8" t="s">
        <v>13</v>
      </c>
      <c r="W471" s="8" t="s">
        <v>14</v>
      </c>
      <c r="X471" s="8" t="s">
        <v>13</v>
      </c>
      <c r="Y471" s="8" t="s">
        <v>14</v>
      </c>
      <c r="Z471" s="8" t="s">
        <v>13</v>
      </c>
      <c r="AA471" s="8" t="s">
        <v>14</v>
      </c>
      <c r="AB471" s="8" t="s">
        <v>13</v>
      </c>
      <c r="AC471" s="8" t="s">
        <v>14</v>
      </c>
      <c r="AD471" s="8" t="s">
        <v>13</v>
      </c>
      <c r="AE471" s="8" t="s">
        <v>14</v>
      </c>
      <c r="AF471" s="8" t="s">
        <v>13</v>
      </c>
      <c r="AG471" s="8" t="s">
        <v>14</v>
      </c>
      <c r="AH471" s="8" t="s">
        <v>13</v>
      </c>
      <c r="AI471" s="7"/>
    </row>
    <row r="472" spans="2:35" x14ac:dyDescent="0.4">
      <c r="B472" s="9" t="s">
        <v>15</v>
      </c>
      <c r="C472" s="10">
        <v>41</v>
      </c>
      <c r="D472" s="11">
        <f ca="1">C472/C$482</f>
        <v>0.40594059405940597</v>
      </c>
      <c r="E472" s="10">
        <v>118</v>
      </c>
      <c r="F472" s="11">
        <f ca="1">E472/E$482</f>
        <v>0.64835164835164838</v>
      </c>
      <c r="G472" s="10">
        <v>41</v>
      </c>
      <c r="H472" s="11">
        <f ca="1">G472/G$482</f>
        <v>1</v>
      </c>
      <c r="I472" s="10">
        <v>75</v>
      </c>
      <c r="J472" s="11">
        <f ca="1">I472/I$482</f>
        <v>1</v>
      </c>
      <c r="K472" s="10">
        <v>4</v>
      </c>
      <c r="L472" s="11">
        <f ca="1">IFERROR((K472/K$482),0)</f>
        <v>1</v>
      </c>
      <c r="M472" s="10">
        <v>17</v>
      </c>
      <c r="N472" s="11">
        <f ca="1">IFERROR((M472/M$482),0)</f>
        <v>0.6071428571428571</v>
      </c>
      <c r="O472" s="10">
        <v>5</v>
      </c>
      <c r="P472" s="11">
        <f ca="1">IFERROR((O472/O$482),0)</f>
        <v>0.7142857142857143</v>
      </c>
      <c r="Q472" s="60">
        <f ca="1">SUM(C472,G472,I472,K472,M472,O472,E472)</f>
        <v>301</v>
      </c>
      <c r="T472" s="9" t="s">
        <v>15</v>
      </c>
      <c r="U472" s="10">
        <v>10163134.240000002</v>
      </c>
      <c r="V472" s="11">
        <f ca="1">U472/U$482</f>
        <v>0.4740312866582162</v>
      </c>
      <c r="W472" s="10">
        <v>36133992.480000004</v>
      </c>
      <c r="X472" s="11">
        <f ca="1">W472/W$482</f>
        <v>0.71248539440376135</v>
      </c>
      <c r="Y472" s="10">
        <v>18128026.759999998</v>
      </c>
      <c r="Z472" s="11">
        <f t="shared" ref="Z472:Z482" ca="1" si="458">Y472/Y$482</f>
        <v>1</v>
      </c>
      <c r="AA472" s="10">
        <v>66465823.50999999</v>
      </c>
      <c r="AB472" s="11">
        <f t="shared" ref="AB472:AB482" ca="1" si="459">AA472/AA$482</f>
        <v>1</v>
      </c>
      <c r="AC472" s="10">
        <v>190426</v>
      </c>
      <c r="AD472" s="11">
        <f ca="1">IFERROR((AC472/AC$482),0)</f>
        <v>1</v>
      </c>
      <c r="AE472" s="10">
        <v>704000</v>
      </c>
      <c r="AF472" s="11">
        <f ca="1">IFERROR((AE472/AE$482),0)</f>
        <v>0.57356185841016116</v>
      </c>
      <c r="AG472" s="10">
        <v>5835780.1099999994</v>
      </c>
      <c r="AH472" s="11">
        <f ca="1">IFERROR((AG472/AG$482),0)</f>
        <v>0.98028752288163545</v>
      </c>
      <c r="AI472" s="60">
        <f ca="1">SUM(U472,Y472,AA472,AC472,AE472,AG472,W472)</f>
        <v>137621183.09999999</v>
      </c>
    </row>
    <row r="473" spans="2:35" x14ac:dyDescent="0.4">
      <c r="B473" s="14" t="s">
        <v>16</v>
      </c>
      <c r="C473" s="15">
        <v>43</v>
      </c>
      <c r="D473" s="16">
        <f ca="1">C473/C$482</f>
        <v>0.42574257425742573</v>
      </c>
      <c r="E473" s="15">
        <v>56</v>
      </c>
      <c r="F473" s="16">
        <f ca="1">E473/E$482</f>
        <v>0.30769230769230771</v>
      </c>
      <c r="G473" s="15">
        <v>0</v>
      </c>
      <c r="H473" s="16">
        <f ca="1">G473/G$482</f>
        <v>0</v>
      </c>
      <c r="I473" s="15">
        <v>0</v>
      </c>
      <c r="J473" s="16">
        <f ca="1">I473/I$482</f>
        <v>0</v>
      </c>
      <c r="K473" s="15">
        <v>0</v>
      </c>
      <c r="L473" s="16">
        <f t="shared" ref="L473:L482" ca="1" si="460">IFERROR((K473/K$482),0)</f>
        <v>0</v>
      </c>
      <c r="M473" s="15">
        <v>6</v>
      </c>
      <c r="N473" s="16">
        <f t="shared" ref="N473:N482" ca="1" si="461">IFERROR((M473/M$482),0)</f>
        <v>0.21428571428571427</v>
      </c>
      <c r="O473" s="15">
        <v>0</v>
      </c>
      <c r="P473" s="16">
        <f t="shared" ref="P473:P482" ca="1" si="462">IFERROR((O473/O$482),0)</f>
        <v>0</v>
      </c>
      <c r="Q473" s="62">
        <f t="shared" ref="Q473:Q482" ca="1" si="463">SUM(C473,G473,I473,K473,M473,O473,E473)</f>
        <v>105</v>
      </c>
      <c r="T473" s="14" t="s">
        <v>16</v>
      </c>
      <c r="U473" s="15">
        <v>9418035.8300000001</v>
      </c>
      <c r="V473" s="16">
        <f t="shared" ref="V473:X481" ca="1" si="464">U473/U$482</f>
        <v>0.43927823217339301</v>
      </c>
      <c r="W473" s="15">
        <v>13323058.060000002</v>
      </c>
      <c r="X473" s="16">
        <f t="shared" ca="1" si="464"/>
        <v>0.2627023371911465</v>
      </c>
      <c r="Y473" s="15">
        <v>0</v>
      </c>
      <c r="Z473" s="16">
        <f t="shared" ca="1" si="458"/>
        <v>0</v>
      </c>
      <c r="AA473" s="15">
        <v>0</v>
      </c>
      <c r="AB473" s="16">
        <f t="shared" ca="1" si="459"/>
        <v>0</v>
      </c>
      <c r="AC473" s="15">
        <v>0</v>
      </c>
      <c r="AD473" s="16">
        <f t="shared" ref="AD473:AD482" ca="1" si="465">IFERROR((AC473/AC$482),0)</f>
        <v>0</v>
      </c>
      <c r="AE473" s="15">
        <v>158417.74</v>
      </c>
      <c r="AF473" s="16">
        <f t="shared" ref="AF473:AF482" ca="1" si="466">IFERROR((AE473/AE$482),0)</f>
        <v>0.12906587124934335</v>
      </c>
      <c r="AG473" s="15">
        <v>0</v>
      </c>
      <c r="AH473" s="16">
        <f t="shared" ref="AH473:AH482" ca="1" si="467">IFERROR((AG473/AG$482),0)</f>
        <v>0</v>
      </c>
      <c r="AI473" s="62">
        <f ca="1">SUM(U473,Y473,AA473,AC473,AE473,AG473,W473)</f>
        <v>22899511.630000003</v>
      </c>
    </row>
    <row r="474" spans="2:35" x14ac:dyDescent="0.4">
      <c r="B474" s="18" t="s">
        <v>17</v>
      </c>
      <c r="C474" s="19">
        <f ca="1">+SUM(C472:C473)</f>
        <v>84</v>
      </c>
      <c r="D474" s="20">
        <f ca="1">+C474/$C$482</f>
        <v>0.83168316831683164</v>
      </c>
      <c r="E474" s="19">
        <f ca="1">+SUM(E472:E473)</f>
        <v>174</v>
      </c>
      <c r="F474" s="20">
        <f ca="1">+E474/$E$482</f>
        <v>0.95604395604395609</v>
      </c>
      <c r="G474" s="19">
        <f ca="1">+SUM(G472:G473)</f>
        <v>41</v>
      </c>
      <c r="H474" s="20">
        <f ca="1">+G474/$G$482</f>
        <v>1</v>
      </c>
      <c r="I474" s="19">
        <f ca="1">+SUM(I472:I473)</f>
        <v>75</v>
      </c>
      <c r="J474" s="20">
        <f ca="1">+I474/$I$482</f>
        <v>1</v>
      </c>
      <c r="K474" s="19">
        <f ca="1">+SUM(K472:K473)</f>
        <v>4</v>
      </c>
      <c r="L474" s="20">
        <f t="shared" ca="1" si="460"/>
        <v>1</v>
      </c>
      <c r="M474" s="19">
        <f ca="1">+SUM(M472:M473)</f>
        <v>23</v>
      </c>
      <c r="N474" s="20">
        <f t="shared" ca="1" si="461"/>
        <v>0.8214285714285714</v>
      </c>
      <c r="O474" s="19">
        <f ca="1">+SUM(O472:O473)</f>
        <v>5</v>
      </c>
      <c r="P474" s="20">
        <f t="shared" ca="1" si="462"/>
        <v>0.7142857142857143</v>
      </c>
      <c r="Q474" s="101">
        <f ca="1">+SUM(Q472:Q473)</f>
        <v>406</v>
      </c>
      <c r="T474" s="18" t="s">
        <v>17</v>
      </c>
      <c r="U474" s="19">
        <f ca="1">+SUM(U472:U473)</f>
        <v>19581170.07</v>
      </c>
      <c r="V474" s="20">
        <f t="shared" ca="1" si="464"/>
        <v>0.91330951883160905</v>
      </c>
      <c r="W474" s="19">
        <f ca="1">+SUM(W472:W473)</f>
        <v>49457050.540000007</v>
      </c>
      <c r="X474" s="20">
        <f t="shared" ca="1" si="464"/>
        <v>0.9751877315949079</v>
      </c>
      <c r="Y474" s="19">
        <f ca="1">+SUM(Y472:Y473)</f>
        <v>18128026.759999998</v>
      </c>
      <c r="Z474" s="20">
        <f t="shared" ca="1" si="458"/>
        <v>1</v>
      </c>
      <c r="AA474" s="19">
        <f ca="1">+SUM(AA472:AA473)</f>
        <v>66465823.50999999</v>
      </c>
      <c r="AB474" s="20">
        <f t="shared" ca="1" si="459"/>
        <v>1</v>
      </c>
      <c r="AC474" s="19">
        <f ca="1">+SUM(AC472:AC473)</f>
        <v>190426</v>
      </c>
      <c r="AD474" s="20">
        <f t="shared" ca="1" si="465"/>
        <v>1</v>
      </c>
      <c r="AE474" s="19">
        <f ca="1">+SUM(AE472:AE473)</f>
        <v>862417.74</v>
      </c>
      <c r="AF474" s="20">
        <f t="shared" ca="1" si="466"/>
        <v>0.70262772965950449</v>
      </c>
      <c r="AG474" s="19">
        <f ca="1">+SUM(AG472:AG473)</f>
        <v>5835780.1099999994</v>
      </c>
      <c r="AH474" s="20">
        <f t="shared" ca="1" si="467"/>
        <v>0.98028752288163545</v>
      </c>
      <c r="AI474" s="21">
        <f ca="1">+SUM(AI472:AI473)</f>
        <v>160520694.72999999</v>
      </c>
    </row>
    <row r="475" spans="2:35" x14ac:dyDescent="0.4">
      <c r="B475" s="22" t="s">
        <v>18</v>
      </c>
      <c r="C475" s="15">
        <v>12</v>
      </c>
      <c r="D475" s="16">
        <f t="shared" ref="D475:D482" ca="1" si="468">C475/C$482</f>
        <v>0.11881188118811881</v>
      </c>
      <c r="E475" s="15">
        <v>5</v>
      </c>
      <c r="F475" s="16">
        <f t="shared" ref="F475:F482" ca="1" si="469">E475/E$482</f>
        <v>2.7472527472527472E-2</v>
      </c>
      <c r="G475" s="15">
        <v>0</v>
      </c>
      <c r="H475" s="16">
        <f t="shared" ref="H475:H482" ca="1" si="470">G475/G$482</f>
        <v>0</v>
      </c>
      <c r="I475" s="15">
        <v>0</v>
      </c>
      <c r="J475" s="16">
        <f t="shared" ref="J475:J482" ca="1" si="471">I475/I$482</f>
        <v>0</v>
      </c>
      <c r="K475" s="15">
        <v>0</v>
      </c>
      <c r="L475" s="16">
        <f t="shared" ca="1" si="460"/>
        <v>0</v>
      </c>
      <c r="M475" s="15">
        <v>2</v>
      </c>
      <c r="N475" s="16">
        <f t="shared" ca="1" si="461"/>
        <v>7.1428571428571425E-2</v>
      </c>
      <c r="O475" s="15">
        <v>2</v>
      </c>
      <c r="P475" s="16">
        <f t="shared" ca="1" si="462"/>
        <v>0.2857142857142857</v>
      </c>
      <c r="Q475" s="62">
        <f t="shared" ca="1" si="463"/>
        <v>21</v>
      </c>
      <c r="T475" s="22" t="s">
        <v>18</v>
      </c>
      <c r="U475" s="15">
        <v>1123144.26</v>
      </c>
      <c r="V475" s="16">
        <f t="shared" ca="1" si="464"/>
        <v>5.2385957530222488E-2</v>
      </c>
      <c r="W475" s="15">
        <v>985779.87999999989</v>
      </c>
      <c r="X475" s="16">
        <f t="shared" ca="1" si="464"/>
        <v>1.9437480289116738E-2</v>
      </c>
      <c r="Y475" s="15">
        <v>0</v>
      </c>
      <c r="Z475" s="16">
        <f t="shared" ca="1" si="458"/>
        <v>0</v>
      </c>
      <c r="AA475" s="15">
        <v>0</v>
      </c>
      <c r="AB475" s="16">
        <f t="shared" ca="1" si="459"/>
        <v>0</v>
      </c>
      <c r="AC475" s="15">
        <v>0</v>
      </c>
      <c r="AD475" s="16">
        <f t="shared" ca="1" si="465"/>
        <v>0</v>
      </c>
      <c r="AE475" s="15">
        <v>200000</v>
      </c>
      <c r="AF475" s="16">
        <f t="shared" ca="1" si="466"/>
        <v>0.16294370977561395</v>
      </c>
      <c r="AG475" s="15">
        <v>117350.9600000002</v>
      </c>
      <c r="AH475" s="16">
        <f t="shared" ca="1" si="467"/>
        <v>1.9712477118364574E-2</v>
      </c>
      <c r="AI475" s="62">
        <f t="shared" ref="AI475:AI482" ca="1" si="472">SUM(U475,Y475,AA475,AC475,AE475,AG475,W475)</f>
        <v>2426275.1</v>
      </c>
    </row>
    <row r="476" spans="2:35" x14ac:dyDescent="0.4">
      <c r="B476" s="22" t="s">
        <v>19</v>
      </c>
      <c r="C476" s="15">
        <v>5</v>
      </c>
      <c r="D476" s="16">
        <f t="shared" ca="1" si="468"/>
        <v>4.9504950495049507E-2</v>
      </c>
      <c r="E476" s="15">
        <v>3</v>
      </c>
      <c r="F476" s="16">
        <f t="shared" ca="1" si="469"/>
        <v>1.6483516483516484E-2</v>
      </c>
      <c r="G476" s="15">
        <v>0</v>
      </c>
      <c r="H476" s="16">
        <f t="shared" ca="1" si="470"/>
        <v>0</v>
      </c>
      <c r="I476" s="15">
        <v>0</v>
      </c>
      <c r="J476" s="16">
        <f t="shared" ca="1" si="471"/>
        <v>0</v>
      </c>
      <c r="K476" s="15">
        <v>0</v>
      </c>
      <c r="L476" s="16">
        <f t="shared" ca="1" si="460"/>
        <v>0</v>
      </c>
      <c r="M476" s="15">
        <v>3</v>
      </c>
      <c r="N476" s="16">
        <f t="shared" ca="1" si="461"/>
        <v>0.10714285714285714</v>
      </c>
      <c r="O476" s="15">
        <v>0</v>
      </c>
      <c r="P476" s="16">
        <f t="shared" ca="1" si="462"/>
        <v>0</v>
      </c>
      <c r="Q476" s="62">
        <f t="shared" ca="1" si="463"/>
        <v>11</v>
      </c>
      <c r="T476" s="22" t="s">
        <v>19</v>
      </c>
      <c r="U476" s="15">
        <v>735482</v>
      </c>
      <c r="V476" s="16">
        <f t="shared" ca="1" si="464"/>
        <v>3.4304523638168348E-2</v>
      </c>
      <c r="W476" s="15">
        <v>272584.6100000001</v>
      </c>
      <c r="X476" s="16">
        <f t="shared" ca="1" si="464"/>
        <v>5.3747881159753189E-3</v>
      </c>
      <c r="Y476" s="15">
        <v>0</v>
      </c>
      <c r="Z476" s="16">
        <f t="shared" ca="1" si="458"/>
        <v>0</v>
      </c>
      <c r="AA476" s="15">
        <v>0</v>
      </c>
      <c r="AB476" s="16">
        <f t="shared" ca="1" si="459"/>
        <v>0</v>
      </c>
      <c r="AC476" s="15">
        <v>0</v>
      </c>
      <c r="AD476" s="16">
        <f t="shared" ca="1" si="465"/>
        <v>0</v>
      </c>
      <c r="AE476" s="15">
        <v>165000</v>
      </c>
      <c r="AF476" s="16">
        <f t="shared" ca="1" si="466"/>
        <v>0.13442856056488153</v>
      </c>
      <c r="AG476" s="15">
        <v>0</v>
      </c>
      <c r="AH476" s="16">
        <f t="shared" ca="1" si="467"/>
        <v>0</v>
      </c>
      <c r="AI476" s="62">
        <f t="shared" ca="1" si="472"/>
        <v>1173066.6100000001</v>
      </c>
    </row>
    <row r="477" spans="2:35" x14ac:dyDescent="0.4">
      <c r="B477" s="22" t="s">
        <v>20</v>
      </c>
      <c r="C477" s="15">
        <v>0</v>
      </c>
      <c r="D477" s="16">
        <f t="shared" ca="1" si="468"/>
        <v>0</v>
      </c>
      <c r="E477" s="15">
        <v>0</v>
      </c>
      <c r="F477" s="16">
        <f t="shared" ca="1" si="469"/>
        <v>0</v>
      </c>
      <c r="G477" s="15">
        <v>0</v>
      </c>
      <c r="H477" s="16">
        <f t="shared" ca="1" si="470"/>
        <v>0</v>
      </c>
      <c r="I477" s="15">
        <v>0</v>
      </c>
      <c r="J477" s="16">
        <f t="shared" ca="1" si="471"/>
        <v>0</v>
      </c>
      <c r="K477" s="15">
        <v>0</v>
      </c>
      <c r="L477" s="16">
        <f t="shared" ca="1" si="460"/>
        <v>0</v>
      </c>
      <c r="M477" s="15">
        <v>0</v>
      </c>
      <c r="N477" s="16">
        <f t="shared" ca="1" si="461"/>
        <v>0</v>
      </c>
      <c r="O477" s="15">
        <v>0</v>
      </c>
      <c r="P477" s="16">
        <f t="shared" ca="1" si="462"/>
        <v>0</v>
      </c>
      <c r="Q477" s="62">
        <f t="shared" ca="1" si="463"/>
        <v>0</v>
      </c>
      <c r="T477" s="22" t="s">
        <v>20</v>
      </c>
      <c r="U477" s="15">
        <v>0</v>
      </c>
      <c r="V477" s="16">
        <f t="shared" ca="1" si="464"/>
        <v>0</v>
      </c>
      <c r="W477" s="15">
        <v>0</v>
      </c>
      <c r="X477" s="16">
        <f t="shared" ca="1" si="464"/>
        <v>0</v>
      </c>
      <c r="Y477" s="15">
        <v>0</v>
      </c>
      <c r="Z477" s="16">
        <f t="shared" ca="1" si="458"/>
        <v>0</v>
      </c>
      <c r="AA477" s="15">
        <v>0</v>
      </c>
      <c r="AB477" s="16">
        <f t="shared" ca="1" si="459"/>
        <v>0</v>
      </c>
      <c r="AC477" s="15">
        <v>0</v>
      </c>
      <c r="AD477" s="16">
        <f t="shared" ca="1" si="465"/>
        <v>0</v>
      </c>
      <c r="AE477" s="15">
        <v>0</v>
      </c>
      <c r="AF477" s="16">
        <f t="shared" ca="1" si="466"/>
        <v>0</v>
      </c>
      <c r="AG477" s="15">
        <v>0</v>
      </c>
      <c r="AH477" s="16">
        <f t="shared" ca="1" si="467"/>
        <v>0</v>
      </c>
      <c r="AI477" s="62">
        <f t="shared" ca="1" si="472"/>
        <v>0</v>
      </c>
    </row>
    <row r="478" spans="2:35" x14ac:dyDescent="0.4">
      <c r="B478" s="22" t="s">
        <v>21</v>
      </c>
      <c r="C478" s="15">
        <v>0</v>
      </c>
      <c r="D478" s="16">
        <f t="shared" ca="1" si="468"/>
        <v>0</v>
      </c>
      <c r="E478" s="15">
        <v>0</v>
      </c>
      <c r="F478" s="16">
        <f t="shared" ca="1" si="469"/>
        <v>0</v>
      </c>
      <c r="G478" s="15">
        <v>0</v>
      </c>
      <c r="H478" s="16">
        <f t="shared" ca="1" si="470"/>
        <v>0</v>
      </c>
      <c r="I478" s="15">
        <v>0</v>
      </c>
      <c r="J478" s="16">
        <f t="shared" ca="1" si="471"/>
        <v>0</v>
      </c>
      <c r="K478" s="15">
        <v>0</v>
      </c>
      <c r="L478" s="16">
        <f t="shared" ca="1" si="460"/>
        <v>0</v>
      </c>
      <c r="M478" s="15">
        <v>0</v>
      </c>
      <c r="N478" s="16">
        <f t="shared" ca="1" si="461"/>
        <v>0</v>
      </c>
      <c r="O478" s="15">
        <v>0</v>
      </c>
      <c r="P478" s="16">
        <f t="shared" ca="1" si="462"/>
        <v>0</v>
      </c>
      <c r="Q478" s="62">
        <f t="shared" ca="1" si="463"/>
        <v>0</v>
      </c>
      <c r="T478" s="22" t="s">
        <v>21</v>
      </c>
      <c r="U478" s="15">
        <v>0</v>
      </c>
      <c r="V478" s="16">
        <f t="shared" ca="1" si="464"/>
        <v>0</v>
      </c>
      <c r="W478" s="15">
        <v>0</v>
      </c>
      <c r="X478" s="16">
        <f t="shared" ca="1" si="464"/>
        <v>0</v>
      </c>
      <c r="Y478" s="15">
        <v>0</v>
      </c>
      <c r="Z478" s="16">
        <f t="shared" ca="1" si="458"/>
        <v>0</v>
      </c>
      <c r="AA478" s="15">
        <v>0</v>
      </c>
      <c r="AB478" s="16">
        <f t="shared" ca="1" si="459"/>
        <v>0</v>
      </c>
      <c r="AC478" s="15">
        <v>0</v>
      </c>
      <c r="AD478" s="16">
        <f t="shared" ca="1" si="465"/>
        <v>0</v>
      </c>
      <c r="AE478" s="15">
        <v>0</v>
      </c>
      <c r="AF478" s="16">
        <f t="shared" ca="1" si="466"/>
        <v>0</v>
      </c>
      <c r="AG478" s="15">
        <v>0</v>
      </c>
      <c r="AH478" s="16">
        <f t="shared" ca="1" si="467"/>
        <v>0</v>
      </c>
      <c r="AI478" s="62">
        <f t="shared" ca="1" si="472"/>
        <v>0</v>
      </c>
    </row>
    <row r="479" spans="2:35" x14ac:dyDescent="0.4">
      <c r="B479" s="22" t="s">
        <v>22</v>
      </c>
      <c r="C479" s="15">
        <v>0</v>
      </c>
      <c r="D479" s="16">
        <f t="shared" ca="1" si="468"/>
        <v>0</v>
      </c>
      <c r="E479" s="15">
        <v>0</v>
      </c>
      <c r="F479" s="16">
        <f t="shared" ca="1" si="469"/>
        <v>0</v>
      </c>
      <c r="G479" s="15">
        <v>0</v>
      </c>
      <c r="H479" s="16">
        <f t="shared" ca="1" si="470"/>
        <v>0</v>
      </c>
      <c r="I479" s="15">
        <v>0</v>
      </c>
      <c r="J479" s="16">
        <f t="shared" ca="1" si="471"/>
        <v>0</v>
      </c>
      <c r="K479" s="15">
        <v>0</v>
      </c>
      <c r="L479" s="16">
        <f t="shared" ca="1" si="460"/>
        <v>0</v>
      </c>
      <c r="M479" s="15">
        <v>0</v>
      </c>
      <c r="N479" s="16">
        <f t="shared" ca="1" si="461"/>
        <v>0</v>
      </c>
      <c r="O479" s="15">
        <v>0</v>
      </c>
      <c r="P479" s="16">
        <f t="shared" ca="1" si="462"/>
        <v>0</v>
      </c>
      <c r="Q479" s="62">
        <f t="shared" ca="1" si="463"/>
        <v>0</v>
      </c>
      <c r="T479" s="22" t="s">
        <v>22</v>
      </c>
      <c r="U479" s="15">
        <v>0</v>
      </c>
      <c r="V479" s="16">
        <f t="shared" ca="1" si="464"/>
        <v>0</v>
      </c>
      <c r="W479" s="15">
        <v>0</v>
      </c>
      <c r="X479" s="16">
        <f t="shared" ca="1" si="464"/>
        <v>0</v>
      </c>
      <c r="Y479" s="15">
        <v>0</v>
      </c>
      <c r="Z479" s="16">
        <f t="shared" ca="1" si="458"/>
        <v>0</v>
      </c>
      <c r="AA479" s="15">
        <v>0</v>
      </c>
      <c r="AB479" s="16">
        <f t="shared" ca="1" si="459"/>
        <v>0</v>
      </c>
      <c r="AC479" s="15">
        <v>0</v>
      </c>
      <c r="AD479" s="16">
        <f t="shared" ca="1" si="465"/>
        <v>0</v>
      </c>
      <c r="AE479" s="15">
        <v>0</v>
      </c>
      <c r="AF479" s="16">
        <f t="shared" ca="1" si="466"/>
        <v>0</v>
      </c>
      <c r="AG479" s="15">
        <v>0</v>
      </c>
      <c r="AH479" s="16">
        <f t="shared" ca="1" si="467"/>
        <v>0</v>
      </c>
      <c r="AI479" s="62">
        <f t="shared" ca="1" si="472"/>
        <v>0</v>
      </c>
    </row>
    <row r="480" spans="2:35" x14ac:dyDescent="0.4">
      <c r="B480" s="22" t="s">
        <v>23</v>
      </c>
      <c r="C480" s="15">
        <v>0</v>
      </c>
      <c r="D480" s="16">
        <f t="shared" ca="1" si="468"/>
        <v>0</v>
      </c>
      <c r="E480" s="15">
        <v>0</v>
      </c>
      <c r="F480" s="16">
        <f t="shared" ca="1" si="469"/>
        <v>0</v>
      </c>
      <c r="G480" s="15">
        <v>0</v>
      </c>
      <c r="H480" s="16">
        <f t="shared" ca="1" si="470"/>
        <v>0</v>
      </c>
      <c r="I480" s="15">
        <v>0</v>
      </c>
      <c r="J480" s="16">
        <f t="shared" ca="1" si="471"/>
        <v>0</v>
      </c>
      <c r="K480" s="15">
        <v>0</v>
      </c>
      <c r="L480" s="16">
        <f t="shared" ca="1" si="460"/>
        <v>0</v>
      </c>
      <c r="M480" s="15">
        <v>0</v>
      </c>
      <c r="N480" s="16">
        <f t="shared" ca="1" si="461"/>
        <v>0</v>
      </c>
      <c r="O480" s="15">
        <v>0</v>
      </c>
      <c r="P480" s="16">
        <f t="shared" ca="1" si="462"/>
        <v>0</v>
      </c>
      <c r="Q480" s="62">
        <f t="shared" ca="1" si="463"/>
        <v>0</v>
      </c>
      <c r="T480" s="22" t="s">
        <v>23</v>
      </c>
      <c r="U480" s="15">
        <v>0</v>
      </c>
      <c r="V480" s="16">
        <f t="shared" ca="1" si="464"/>
        <v>0</v>
      </c>
      <c r="W480" s="15">
        <v>0</v>
      </c>
      <c r="X480" s="16">
        <f t="shared" ca="1" si="464"/>
        <v>0</v>
      </c>
      <c r="Y480" s="15">
        <v>0</v>
      </c>
      <c r="Z480" s="16">
        <f t="shared" ca="1" si="458"/>
        <v>0</v>
      </c>
      <c r="AA480" s="15">
        <v>0</v>
      </c>
      <c r="AB480" s="16">
        <f t="shared" ca="1" si="459"/>
        <v>0</v>
      </c>
      <c r="AC480" s="15">
        <v>0</v>
      </c>
      <c r="AD480" s="16">
        <f t="shared" ca="1" si="465"/>
        <v>0</v>
      </c>
      <c r="AE480" s="15">
        <v>0</v>
      </c>
      <c r="AF480" s="16">
        <f t="shared" ca="1" si="466"/>
        <v>0</v>
      </c>
      <c r="AG480" s="15">
        <v>0</v>
      </c>
      <c r="AH480" s="16">
        <f t="shared" ca="1" si="467"/>
        <v>0</v>
      </c>
      <c r="AI480" s="62">
        <f t="shared" ca="1" si="472"/>
        <v>0</v>
      </c>
    </row>
    <row r="481" spans="2:35" x14ac:dyDescent="0.4">
      <c r="B481" s="23" t="s">
        <v>24</v>
      </c>
      <c r="C481" s="24">
        <v>0</v>
      </c>
      <c r="D481" s="25">
        <f t="shared" ca="1" si="468"/>
        <v>0</v>
      </c>
      <c r="E481" s="24">
        <v>0</v>
      </c>
      <c r="F481" s="25">
        <f t="shared" ca="1" si="469"/>
        <v>0</v>
      </c>
      <c r="G481" s="24">
        <v>0</v>
      </c>
      <c r="H481" s="25">
        <f t="shared" ca="1" si="470"/>
        <v>0</v>
      </c>
      <c r="I481" s="24">
        <v>0</v>
      </c>
      <c r="J481" s="25">
        <f t="shared" ca="1" si="471"/>
        <v>0</v>
      </c>
      <c r="K481" s="24">
        <v>0</v>
      </c>
      <c r="L481" s="25">
        <f t="shared" ca="1" si="460"/>
        <v>0</v>
      </c>
      <c r="M481" s="24">
        <v>0</v>
      </c>
      <c r="N481" s="25">
        <f t="shared" ca="1" si="461"/>
        <v>0</v>
      </c>
      <c r="O481" s="24">
        <v>0</v>
      </c>
      <c r="P481" s="25">
        <f t="shared" ca="1" si="462"/>
        <v>0</v>
      </c>
      <c r="Q481" s="64">
        <f t="shared" ca="1" si="463"/>
        <v>0</v>
      </c>
      <c r="T481" s="23" t="s">
        <v>24</v>
      </c>
      <c r="U481" s="24">
        <v>0</v>
      </c>
      <c r="V481" s="25">
        <f t="shared" ca="1" si="464"/>
        <v>0</v>
      </c>
      <c r="W481" s="24">
        <v>0</v>
      </c>
      <c r="X481" s="25">
        <f t="shared" ca="1" si="464"/>
        <v>0</v>
      </c>
      <c r="Y481" s="24">
        <v>0</v>
      </c>
      <c r="Z481" s="25">
        <f t="shared" ca="1" si="458"/>
        <v>0</v>
      </c>
      <c r="AA481" s="24">
        <v>0</v>
      </c>
      <c r="AB481" s="25">
        <f t="shared" ca="1" si="459"/>
        <v>0</v>
      </c>
      <c r="AC481" s="24">
        <v>0</v>
      </c>
      <c r="AD481" s="25">
        <f t="shared" ca="1" si="465"/>
        <v>0</v>
      </c>
      <c r="AE481" s="24">
        <v>0</v>
      </c>
      <c r="AF481" s="25">
        <f t="shared" ca="1" si="466"/>
        <v>0</v>
      </c>
      <c r="AG481" s="24">
        <v>0</v>
      </c>
      <c r="AH481" s="25">
        <f t="shared" ca="1" si="467"/>
        <v>0</v>
      </c>
      <c r="AI481" s="64">
        <f t="shared" ca="1" si="472"/>
        <v>0</v>
      </c>
    </row>
    <row r="482" spans="2:35" x14ac:dyDescent="0.4">
      <c r="B482" s="27" t="s">
        <v>25</v>
      </c>
      <c r="C482" s="28">
        <f ca="1">SUM(C474:C481)</f>
        <v>101</v>
      </c>
      <c r="D482" s="29">
        <f t="shared" ca="1" si="468"/>
        <v>1</v>
      </c>
      <c r="E482" s="28">
        <f ca="1">SUM(E474:E481)</f>
        <v>182</v>
      </c>
      <c r="F482" s="29">
        <f t="shared" ca="1" si="469"/>
        <v>1</v>
      </c>
      <c r="G482" s="28">
        <f ca="1">SUM(G474:G481)</f>
        <v>41</v>
      </c>
      <c r="H482" s="29">
        <f t="shared" ca="1" si="470"/>
        <v>1</v>
      </c>
      <c r="I482" s="28">
        <f ca="1">SUM(I474:I481)</f>
        <v>75</v>
      </c>
      <c r="J482" s="29">
        <f t="shared" ca="1" si="471"/>
        <v>1</v>
      </c>
      <c r="K482" s="28">
        <f ca="1">SUM(K474:K481)</f>
        <v>4</v>
      </c>
      <c r="L482" s="29">
        <f t="shared" ca="1" si="460"/>
        <v>1</v>
      </c>
      <c r="M482" s="28">
        <f ca="1">SUM(M474:M481)</f>
        <v>28</v>
      </c>
      <c r="N482" s="29">
        <f t="shared" ca="1" si="461"/>
        <v>1</v>
      </c>
      <c r="O482" s="28">
        <f ca="1">SUM(O474:O481)</f>
        <v>7</v>
      </c>
      <c r="P482" s="29">
        <f t="shared" ca="1" si="462"/>
        <v>1</v>
      </c>
      <c r="Q482" s="31">
        <f t="shared" ca="1" si="463"/>
        <v>438</v>
      </c>
      <c r="T482" s="27" t="s">
        <v>25</v>
      </c>
      <c r="U482" s="28">
        <f ca="1">SUM(U474:U481)</f>
        <v>21439796.330000002</v>
      </c>
      <c r="V482" s="29">
        <f ca="1">U482/U$482</f>
        <v>1</v>
      </c>
      <c r="W482" s="28">
        <f ca="1">SUM(W474:W481)</f>
        <v>50715415.030000009</v>
      </c>
      <c r="X482" s="29">
        <f ca="1">W482/W$482</f>
        <v>1</v>
      </c>
      <c r="Y482" s="28">
        <f ca="1">SUM(Y474:Y481)</f>
        <v>18128026.759999998</v>
      </c>
      <c r="Z482" s="29">
        <f t="shared" ca="1" si="458"/>
        <v>1</v>
      </c>
      <c r="AA482" s="28">
        <f ca="1">SUM(AA474:AA481)</f>
        <v>66465823.50999999</v>
      </c>
      <c r="AB482" s="29">
        <f t="shared" ca="1" si="459"/>
        <v>1</v>
      </c>
      <c r="AC482" s="28">
        <f ca="1">SUM(AC474:AC481)</f>
        <v>190426</v>
      </c>
      <c r="AD482" s="29">
        <f t="shared" ca="1" si="465"/>
        <v>1</v>
      </c>
      <c r="AE482" s="28">
        <f ca="1">SUM(AE474:AE481)</f>
        <v>1227417.74</v>
      </c>
      <c r="AF482" s="29">
        <f t="shared" ca="1" si="466"/>
        <v>1</v>
      </c>
      <c r="AG482" s="28">
        <f ca="1">SUM(AG474:AG481)</f>
        <v>5953131.0699999994</v>
      </c>
      <c r="AH482" s="29">
        <f t="shared" ca="1" si="467"/>
        <v>1</v>
      </c>
      <c r="AI482" s="31">
        <f t="shared" ca="1" si="472"/>
        <v>164120036.44</v>
      </c>
    </row>
    <row r="483" spans="2:35" x14ac:dyDescent="0.4">
      <c r="B483" s="32" t="s">
        <v>26</v>
      </c>
      <c r="C483" s="33">
        <f ca="1">C482/$Q$482</f>
        <v>0.23059360730593606</v>
      </c>
      <c r="D483" s="33"/>
      <c r="E483" s="33">
        <f ca="1">E482/$Q$482</f>
        <v>0.41552511415525112</v>
      </c>
      <c r="F483" s="33"/>
      <c r="G483" s="33">
        <f ca="1">G482/$Q$482</f>
        <v>9.3607305936073054E-2</v>
      </c>
      <c r="H483" s="33"/>
      <c r="I483" s="33">
        <f ca="1">I482/$Q$482</f>
        <v>0.17123287671232876</v>
      </c>
      <c r="J483" s="33"/>
      <c r="K483" s="33">
        <f ca="1">K482/$Q$482</f>
        <v>9.1324200913242004E-3</v>
      </c>
      <c r="L483" s="33"/>
      <c r="M483" s="33">
        <f ca="1">M482/$Q$482</f>
        <v>6.3926940639269403E-2</v>
      </c>
      <c r="N483" s="33"/>
      <c r="O483" s="33">
        <f ca="1">O482/$Q$482</f>
        <v>1.5981735159817351E-2</v>
      </c>
      <c r="P483" s="33"/>
      <c r="Q483" s="34">
        <f ca="1">Q482/$Q$482</f>
        <v>1</v>
      </c>
      <c r="T483" s="32" t="s">
        <v>26</v>
      </c>
      <c r="U483" s="33">
        <f ca="1">U482/$AI$482</f>
        <v>0.13063484992484811</v>
      </c>
      <c r="V483" s="33"/>
      <c r="W483" s="33">
        <f ca="1">W482/$AI$482</f>
        <v>0.30901415896614709</v>
      </c>
      <c r="X483" s="33"/>
      <c r="Y483" s="33">
        <f ca="1">Y482/$AI$482</f>
        <v>0.11045590260167504</v>
      </c>
      <c r="Z483" s="33"/>
      <c r="AA483" s="33">
        <f ca="1">AA482/$AI$482</f>
        <v>0.40498299264208959</v>
      </c>
      <c r="AB483" s="33"/>
      <c r="AC483" s="33">
        <f ca="1">AC482/$AI$482</f>
        <v>1.1602848995809058E-3</v>
      </c>
      <c r="AD483" s="33"/>
      <c r="AE483" s="33">
        <f ca="1">AE482/$AI$482</f>
        <v>7.4787805719792591E-3</v>
      </c>
      <c r="AF483" s="33"/>
      <c r="AG483" s="33">
        <f ca="1">AG482/$AI$482</f>
        <v>3.6273030393680065E-2</v>
      </c>
      <c r="AH483" s="33"/>
      <c r="AI483" s="34">
        <f ca="1">AI482/$AI$482</f>
        <v>1</v>
      </c>
    </row>
    <row r="485" spans="2:35" x14ac:dyDescent="0.4">
      <c r="B485" s="4" t="s">
        <v>56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T485" s="4" t="s">
        <v>56</v>
      </c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2:35" x14ac:dyDescent="0.4">
      <c r="B486" s="5"/>
      <c r="C486" s="6" t="s">
        <v>3</v>
      </c>
      <c r="D486" s="6"/>
      <c r="E486" s="6" t="s">
        <v>4</v>
      </c>
      <c r="F486" s="6"/>
      <c r="G486" s="6" t="s">
        <v>5</v>
      </c>
      <c r="H486" s="6"/>
      <c r="I486" s="6" t="s">
        <v>6</v>
      </c>
      <c r="J486" s="6"/>
      <c r="K486" s="6" t="s">
        <v>7</v>
      </c>
      <c r="L486" s="6"/>
      <c r="M486" s="6" t="s">
        <v>8</v>
      </c>
      <c r="N486" s="6"/>
      <c r="O486" s="6" t="s">
        <v>9</v>
      </c>
      <c r="P486" s="6"/>
      <c r="Q486" s="7" t="s">
        <v>10</v>
      </c>
      <c r="T486" s="5"/>
      <c r="U486" s="6" t="s">
        <v>3</v>
      </c>
      <c r="V486" s="6"/>
      <c r="W486" s="6" t="s">
        <v>4</v>
      </c>
      <c r="X486" s="6"/>
      <c r="Y486" s="6" t="s">
        <v>5</v>
      </c>
      <c r="Z486" s="6"/>
      <c r="AA486" s="6" t="s">
        <v>6</v>
      </c>
      <c r="AB486" s="6"/>
      <c r="AC486" s="6" t="s">
        <v>7</v>
      </c>
      <c r="AD486" s="6"/>
      <c r="AE486" s="6" t="s">
        <v>8</v>
      </c>
      <c r="AF486" s="6"/>
      <c r="AG486" s="6" t="s">
        <v>9</v>
      </c>
      <c r="AH486" s="6"/>
      <c r="AI486" s="7" t="s">
        <v>10</v>
      </c>
    </row>
    <row r="487" spans="2:35" x14ac:dyDescent="0.4">
      <c r="B487" s="8" t="s">
        <v>11</v>
      </c>
      <c r="C487" s="8" t="s">
        <v>12</v>
      </c>
      <c r="D487" s="8" t="s">
        <v>13</v>
      </c>
      <c r="E487" s="8" t="s">
        <v>12</v>
      </c>
      <c r="F487" s="8" t="s">
        <v>13</v>
      </c>
      <c r="G487" s="8" t="s">
        <v>12</v>
      </c>
      <c r="H487" s="8" t="s">
        <v>13</v>
      </c>
      <c r="I487" s="8" t="s">
        <v>12</v>
      </c>
      <c r="J487" s="8" t="s">
        <v>13</v>
      </c>
      <c r="K487" s="8" t="s">
        <v>12</v>
      </c>
      <c r="L487" s="8" t="s">
        <v>13</v>
      </c>
      <c r="M487" s="8" t="s">
        <v>12</v>
      </c>
      <c r="N487" s="8" t="s">
        <v>13</v>
      </c>
      <c r="O487" s="8" t="s">
        <v>12</v>
      </c>
      <c r="P487" s="8" t="s">
        <v>13</v>
      </c>
      <c r="Q487" s="7"/>
      <c r="T487" s="8" t="s">
        <v>11</v>
      </c>
      <c r="U487" s="8" t="s">
        <v>14</v>
      </c>
      <c r="V487" s="8" t="s">
        <v>13</v>
      </c>
      <c r="W487" s="8" t="s">
        <v>14</v>
      </c>
      <c r="X487" s="8" t="s">
        <v>13</v>
      </c>
      <c r="Y487" s="8" t="s">
        <v>14</v>
      </c>
      <c r="Z487" s="8" t="s">
        <v>13</v>
      </c>
      <c r="AA487" s="8" t="s">
        <v>14</v>
      </c>
      <c r="AB487" s="8" t="s">
        <v>13</v>
      </c>
      <c r="AC487" s="8" t="s">
        <v>14</v>
      </c>
      <c r="AD487" s="8" t="s">
        <v>13</v>
      </c>
      <c r="AE487" s="8" t="s">
        <v>14</v>
      </c>
      <c r="AF487" s="8" t="s">
        <v>13</v>
      </c>
      <c r="AG487" s="8" t="s">
        <v>14</v>
      </c>
      <c r="AH487" s="8" t="s">
        <v>13</v>
      </c>
      <c r="AI487" s="7"/>
    </row>
    <row r="488" spans="2:35" x14ac:dyDescent="0.4">
      <c r="B488" s="9" t="s">
        <v>15</v>
      </c>
      <c r="C488" s="10">
        <v>10</v>
      </c>
      <c r="D488" s="11">
        <f ca="1">IFERROR(C488/C$498,0)</f>
        <v>0.23809523809523808</v>
      </c>
      <c r="E488" s="10">
        <v>53</v>
      </c>
      <c r="F488" s="11">
        <f ca="1">IFERROR(E488/E$498,0)</f>
        <v>0.5955056179775281</v>
      </c>
      <c r="G488" s="10">
        <v>16</v>
      </c>
      <c r="H488" s="11">
        <f ca="1">IFERROR(G488/G$498,0)</f>
        <v>1</v>
      </c>
      <c r="I488" s="10">
        <v>31</v>
      </c>
      <c r="J488" s="11">
        <f ca="1">IFERROR(I488/I$498,0)</f>
        <v>0.96875</v>
      </c>
      <c r="K488" s="10">
        <v>0</v>
      </c>
      <c r="L488" s="11">
        <f ca="1">IFERROR(K488/K$498,0)</f>
        <v>0</v>
      </c>
      <c r="M488" s="10">
        <v>1</v>
      </c>
      <c r="N488" s="11">
        <f ca="1">IFERROR(M488/M$498,0)</f>
        <v>8.3333333333333329E-2</v>
      </c>
      <c r="O488" s="10">
        <v>2</v>
      </c>
      <c r="P488" s="11">
        <f ca="1">IFERROR(O488/O$498,0)</f>
        <v>1</v>
      </c>
      <c r="Q488" s="60">
        <f ca="1">SUM(C488,G488,I488,K488,M488,O488,E488)</f>
        <v>113</v>
      </c>
      <c r="T488" s="9" t="s">
        <v>15</v>
      </c>
      <c r="U488" s="10">
        <v>1872109.25</v>
      </c>
      <c r="V488" s="11">
        <f ca="1">IFERROR(U488/U$498,0)</f>
        <v>0.30076967512999847</v>
      </c>
      <c r="W488" s="10">
        <v>17552836.950000003</v>
      </c>
      <c r="X488" s="11">
        <f ca="1">IFERROR(W488/W$498,0)</f>
        <v>0.68269379239359318</v>
      </c>
      <c r="Y488" s="10">
        <v>6714531.7300000004</v>
      </c>
      <c r="Z488" s="11">
        <f ca="1">IFERROR(Y488/Y$498,0)</f>
        <v>1</v>
      </c>
      <c r="AA488" s="10">
        <v>18494069.07</v>
      </c>
      <c r="AB488" s="11">
        <f ca="1">IFERROR(AA488/AA$498,0)</f>
        <v>0.99998285966353251</v>
      </c>
      <c r="AC488" s="10">
        <v>0</v>
      </c>
      <c r="AD488" s="11">
        <f ca="1">IFERROR(AC488/AC$498,0)</f>
        <v>0</v>
      </c>
      <c r="AE488" s="10">
        <v>54000</v>
      </c>
      <c r="AF488" s="11">
        <f ca="1">IFERROR(AE488/AE$498,0)</f>
        <v>6.8736626032416148E-2</v>
      </c>
      <c r="AG488" s="10">
        <v>3219336.63</v>
      </c>
      <c r="AH488" s="11">
        <f ca="1">IFERROR(AG488/AG$498,0)</f>
        <v>1</v>
      </c>
      <c r="AI488" s="60">
        <f ca="1">SUM(U488,Y488,AA488,AC488,AE488,AG488,W488)</f>
        <v>47906883.630000003</v>
      </c>
    </row>
    <row r="489" spans="2:35" x14ac:dyDescent="0.4">
      <c r="B489" s="14" t="s">
        <v>16</v>
      </c>
      <c r="C489" s="15">
        <v>14</v>
      </c>
      <c r="D489" s="16">
        <f ca="1">IFERROR(C489/C$498,0)</f>
        <v>0.33333333333333331</v>
      </c>
      <c r="E489" s="15">
        <v>21</v>
      </c>
      <c r="F489" s="16">
        <f ca="1">IFERROR(E489/E$498,0)</f>
        <v>0.23595505617977527</v>
      </c>
      <c r="G489" s="15">
        <v>0</v>
      </c>
      <c r="H489" s="16">
        <f ca="1">IFERROR(G489/G$498,0)</f>
        <v>0</v>
      </c>
      <c r="I489" s="15">
        <v>0</v>
      </c>
      <c r="J489" s="16">
        <f ca="1">IFERROR(I489/I$498,0)</f>
        <v>0</v>
      </c>
      <c r="K489" s="15">
        <v>0</v>
      </c>
      <c r="L489" s="16">
        <f ca="1">IFERROR(K489/K$498,0)</f>
        <v>0</v>
      </c>
      <c r="M489" s="15">
        <v>1</v>
      </c>
      <c r="N489" s="16">
        <f ca="1">IFERROR(M489/M$498,0)</f>
        <v>8.3333333333333329E-2</v>
      </c>
      <c r="O489" s="15">
        <v>0</v>
      </c>
      <c r="P489" s="16">
        <f ca="1">IFERROR(O489/O$498,0)</f>
        <v>0</v>
      </c>
      <c r="Q489" s="62">
        <f t="shared" ref="Q489:Q498" ca="1" si="473">SUM(C489,G489,I489,K489,M489,O489,E489)</f>
        <v>36</v>
      </c>
      <c r="T489" s="14" t="s">
        <v>16</v>
      </c>
      <c r="U489" s="15">
        <v>2674790.0099999998</v>
      </c>
      <c r="V489" s="16">
        <f ca="1">IFERROR(U489/U$498,0)</f>
        <v>0.42972690955331011</v>
      </c>
      <c r="W489" s="15">
        <v>6310208.2800000003</v>
      </c>
      <c r="X489" s="16">
        <f ca="1">IFERROR(W489/W$498,0)</f>
        <v>0.24542699472102439</v>
      </c>
      <c r="Y489" s="15">
        <v>0</v>
      </c>
      <c r="Z489" s="16">
        <f ca="1">IFERROR(Y489/Y$498,0)</f>
        <v>0</v>
      </c>
      <c r="AA489" s="15">
        <v>0</v>
      </c>
      <c r="AB489" s="16">
        <f ca="1">IFERROR(AA489/AA$498,0)</f>
        <v>0</v>
      </c>
      <c r="AC489" s="15">
        <v>0</v>
      </c>
      <c r="AD489" s="16">
        <f ca="1">IFERROR(AC489/AC$498,0)</f>
        <v>0</v>
      </c>
      <c r="AE489" s="15">
        <v>1700</v>
      </c>
      <c r="AF489" s="16">
        <f ca="1">IFERROR(AE489/AE$498,0)</f>
        <v>2.163930819539027E-3</v>
      </c>
      <c r="AG489" s="15">
        <v>0</v>
      </c>
      <c r="AH489" s="16">
        <f ca="1">IFERROR(AG489/AG$498,0)</f>
        <v>0</v>
      </c>
      <c r="AI489" s="62">
        <f ca="1">SUM(U489,Y489,AA489,AC489,AE489,AG489,W489)</f>
        <v>8986698.2899999991</v>
      </c>
    </row>
    <row r="490" spans="2:35" x14ac:dyDescent="0.4">
      <c r="B490" s="18" t="s">
        <v>17</v>
      </c>
      <c r="C490" s="19">
        <f ca="1">+SUM(C488:C489)</f>
        <v>24</v>
      </c>
      <c r="D490" s="20">
        <f ca="1">+C490/$C$498</f>
        <v>0.5714285714285714</v>
      </c>
      <c r="E490" s="19">
        <f ca="1">+SUM(E488:E489)</f>
        <v>74</v>
      </c>
      <c r="F490" s="20">
        <f ca="1">+E490/$E$498</f>
        <v>0.8314606741573034</v>
      </c>
      <c r="G490" s="19">
        <f ca="1">+SUM(G488:G489)</f>
        <v>16</v>
      </c>
      <c r="H490" s="20">
        <f ca="1">+G490/$G$498</f>
        <v>1</v>
      </c>
      <c r="I490" s="19">
        <f ca="1">+SUM(I488:I489)</f>
        <v>31</v>
      </c>
      <c r="J490" s="20">
        <f ca="1">+IFERROR((I490/$I$498),0)</f>
        <v>0.96875</v>
      </c>
      <c r="K490" s="19">
        <f ca="1">+SUM(K488:K489)</f>
        <v>0</v>
      </c>
      <c r="L490" s="20">
        <f ca="1">+IFERROR(K490/$K$498,0)</f>
        <v>0</v>
      </c>
      <c r="M490" s="19">
        <f ca="1">+SUM(M488:M489)</f>
        <v>2</v>
      </c>
      <c r="N490" s="20">
        <f ca="1">+M490/$M$498</f>
        <v>0.16666666666666666</v>
      </c>
      <c r="O490" s="19">
        <f ca="1">+SUM(O488:O489)</f>
        <v>2</v>
      </c>
      <c r="P490" s="20">
        <f ca="1">IFERROR(O490/O$498,0)</f>
        <v>1</v>
      </c>
      <c r="Q490" s="101">
        <f ca="1">+SUM(Q488:Q489)</f>
        <v>149</v>
      </c>
      <c r="T490" s="18" t="s">
        <v>17</v>
      </c>
      <c r="U490" s="19">
        <f ca="1">+SUM(U488:U489)</f>
        <v>4546899.26</v>
      </c>
      <c r="V490" s="20">
        <f ca="1">IFERROR(U490/U$498,0)</f>
        <v>0.73049658468330858</v>
      </c>
      <c r="W490" s="19">
        <f ca="1">+SUM(W488:W489)</f>
        <v>23863045.230000004</v>
      </c>
      <c r="X490" s="20">
        <f ca="1">IFERROR(W490/W$498,0)</f>
        <v>0.92812078711461754</v>
      </c>
      <c r="Y490" s="19">
        <f ca="1">+SUM(Y488:Y489)</f>
        <v>6714531.7300000004</v>
      </c>
      <c r="Z490" s="20">
        <f ca="1">IFERROR(Y490/Y$498,0)</f>
        <v>1</v>
      </c>
      <c r="AA490" s="19">
        <f ca="1">+SUM(AA488:AA489)</f>
        <v>18494069.07</v>
      </c>
      <c r="AB490" s="20">
        <f ca="1">IFERROR(AA490/AA$498,0)</f>
        <v>0.99998285966353251</v>
      </c>
      <c r="AC490" s="19">
        <f ca="1">+SUM(AC488:AC489)</f>
        <v>0</v>
      </c>
      <c r="AD490" s="20">
        <f ca="1">IFERROR(AC490/AC$498,0)</f>
        <v>0</v>
      </c>
      <c r="AE490" s="19">
        <f ca="1">+SUM(AE488:AE489)</f>
        <v>55700</v>
      </c>
      <c r="AF490" s="20">
        <f ca="1">IFERROR(AE490/AE$498,0)</f>
        <v>7.0900556851955177E-2</v>
      </c>
      <c r="AG490" s="19">
        <f ca="1">+SUM(AG488:AG489)</f>
        <v>3219336.63</v>
      </c>
      <c r="AH490" s="20">
        <f ca="1">IFERROR(AG490/AG$498,0)</f>
        <v>1</v>
      </c>
      <c r="AI490" s="21">
        <f ca="1">+SUM(AI488:AI489)</f>
        <v>56893581.920000002</v>
      </c>
    </row>
    <row r="491" spans="2:35" x14ac:dyDescent="0.4">
      <c r="B491" s="22" t="s">
        <v>18</v>
      </c>
      <c r="C491" s="15">
        <v>6</v>
      </c>
      <c r="D491" s="16">
        <f t="shared" ref="D491:D498" ca="1" si="474">IFERROR(C491/C$498,0)</f>
        <v>0.14285714285714285</v>
      </c>
      <c r="E491" s="15">
        <v>3</v>
      </c>
      <c r="F491" s="16">
        <f t="shared" ref="F491:F498" ca="1" si="475">IFERROR(E491/E$498,0)</f>
        <v>3.3707865168539325E-2</v>
      </c>
      <c r="G491" s="15">
        <v>0</v>
      </c>
      <c r="H491" s="16">
        <f t="shared" ref="H491:H498" ca="1" si="476">IFERROR(G491/G$498,0)</f>
        <v>0</v>
      </c>
      <c r="I491" s="15">
        <v>0</v>
      </c>
      <c r="J491" s="16">
        <f t="shared" ref="J491:J498" ca="1" si="477">IFERROR(I491/I$498,0)</f>
        <v>0</v>
      </c>
      <c r="K491" s="15">
        <v>0</v>
      </c>
      <c r="L491" s="16">
        <f t="shared" ref="L491:L498" ca="1" si="478">IFERROR(K491/K$498,0)</f>
        <v>0</v>
      </c>
      <c r="M491" s="15">
        <v>2</v>
      </c>
      <c r="N491" s="16">
        <f t="shared" ref="N491:N498" ca="1" si="479">IFERROR(M491/M$498,0)</f>
        <v>0.16666666666666666</v>
      </c>
      <c r="O491" s="15">
        <v>0</v>
      </c>
      <c r="P491" s="16">
        <f t="shared" ref="P491:P498" ca="1" si="480">IFERROR(O491/O$498,0)</f>
        <v>0</v>
      </c>
      <c r="Q491" s="62">
        <f t="shared" ca="1" si="473"/>
        <v>11</v>
      </c>
      <c r="T491" s="22" t="s">
        <v>18</v>
      </c>
      <c r="U491" s="15">
        <v>413120.4499999999</v>
      </c>
      <c r="V491" s="16">
        <f t="shared" ref="V491:V498" ca="1" si="481">IFERROR(U491/U$498,0)</f>
        <v>6.637118188271264E-2</v>
      </c>
      <c r="W491" s="15">
        <v>409315</v>
      </c>
      <c r="X491" s="16">
        <f t="shared" ref="X491:X498" ca="1" si="482">IFERROR(W491/W$498,0)</f>
        <v>1.5919751914153315E-2</v>
      </c>
      <c r="Y491" s="15">
        <v>0</v>
      </c>
      <c r="Z491" s="16">
        <f t="shared" ref="Z491:Z498" ca="1" si="483">IFERROR(Y491/Y$498,0)</f>
        <v>0</v>
      </c>
      <c r="AA491" s="15">
        <v>0</v>
      </c>
      <c r="AB491" s="16">
        <f t="shared" ref="AB491:AB498" ca="1" si="484">IFERROR(AA491/AA$498,0)</f>
        <v>0</v>
      </c>
      <c r="AC491" s="15">
        <v>0</v>
      </c>
      <c r="AD491" s="16">
        <f t="shared" ref="AD491:AD498" ca="1" si="485">IFERROR(AC491/AC$498,0)</f>
        <v>0</v>
      </c>
      <c r="AE491" s="15">
        <v>200000</v>
      </c>
      <c r="AF491" s="16">
        <f t="shared" ref="AF491:AF498" ca="1" si="486">IFERROR(AE491/AE$498,0)</f>
        <v>0.25458009641635609</v>
      </c>
      <c r="AG491" s="15">
        <v>0</v>
      </c>
      <c r="AH491" s="16">
        <f t="shared" ref="AH491:AH498" ca="1" si="487">IFERROR(AG491/AG$498,0)</f>
        <v>0</v>
      </c>
      <c r="AI491" s="62">
        <f t="shared" ref="AI491:AI497" ca="1" si="488">SUM(U491,Y491,AA491,AC491,AE491,AG491,W491)</f>
        <v>1022435.45</v>
      </c>
    </row>
    <row r="492" spans="2:35" x14ac:dyDescent="0.4">
      <c r="B492" s="22" t="s">
        <v>19</v>
      </c>
      <c r="C492" s="15">
        <v>4</v>
      </c>
      <c r="D492" s="16">
        <f t="shared" ca="1" si="474"/>
        <v>9.5238095238095233E-2</v>
      </c>
      <c r="E492" s="15">
        <v>3</v>
      </c>
      <c r="F492" s="16">
        <f t="shared" ca="1" si="475"/>
        <v>3.3707865168539325E-2</v>
      </c>
      <c r="G492" s="15">
        <v>0</v>
      </c>
      <c r="H492" s="16">
        <f t="shared" ca="1" si="476"/>
        <v>0</v>
      </c>
      <c r="I492" s="15">
        <v>0</v>
      </c>
      <c r="J492" s="16">
        <f t="shared" ca="1" si="477"/>
        <v>0</v>
      </c>
      <c r="K492" s="15">
        <v>0</v>
      </c>
      <c r="L492" s="16">
        <f t="shared" ca="1" si="478"/>
        <v>0</v>
      </c>
      <c r="M492" s="15">
        <v>4</v>
      </c>
      <c r="N492" s="16">
        <f t="shared" ca="1" si="479"/>
        <v>0.33333333333333331</v>
      </c>
      <c r="O492" s="15">
        <v>0</v>
      </c>
      <c r="P492" s="16">
        <f t="shared" ca="1" si="480"/>
        <v>0</v>
      </c>
      <c r="Q492" s="62">
        <f t="shared" ca="1" si="473"/>
        <v>11</v>
      </c>
      <c r="T492" s="22" t="s">
        <v>19</v>
      </c>
      <c r="U492" s="15">
        <v>647279.43999999994</v>
      </c>
      <c r="V492" s="16">
        <f t="shared" ca="1" si="481"/>
        <v>0.10399074033052681</v>
      </c>
      <c r="W492" s="15">
        <v>179790.6100000001</v>
      </c>
      <c r="X492" s="16">
        <f t="shared" ca="1" si="482"/>
        <v>6.9927119887966327E-3</v>
      </c>
      <c r="Y492" s="15">
        <v>0</v>
      </c>
      <c r="Z492" s="16">
        <f t="shared" ca="1" si="483"/>
        <v>0</v>
      </c>
      <c r="AA492" s="15">
        <v>0</v>
      </c>
      <c r="AB492" s="16">
        <f t="shared" ca="1" si="484"/>
        <v>0</v>
      </c>
      <c r="AC492" s="15">
        <v>0</v>
      </c>
      <c r="AD492" s="16">
        <f t="shared" ca="1" si="485"/>
        <v>0</v>
      </c>
      <c r="AE492" s="15">
        <v>264998.8200000003</v>
      </c>
      <c r="AF492" s="16">
        <f t="shared" ca="1" si="486"/>
        <v>0.33731712572910338</v>
      </c>
      <c r="AG492" s="15">
        <v>0</v>
      </c>
      <c r="AH492" s="16">
        <f t="shared" ca="1" si="487"/>
        <v>0</v>
      </c>
      <c r="AI492" s="62">
        <f t="shared" ca="1" si="488"/>
        <v>1092068.8700000003</v>
      </c>
    </row>
    <row r="493" spans="2:35" x14ac:dyDescent="0.4">
      <c r="B493" s="22" t="s">
        <v>20</v>
      </c>
      <c r="C493" s="15">
        <v>3</v>
      </c>
      <c r="D493" s="16">
        <f t="shared" ca="1" si="474"/>
        <v>7.1428571428571425E-2</v>
      </c>
      <c r="E493" s="15">
        <v>2</v>
      </c>
      <c r="F493" s="16">
        <f t="shared" ca="1" si="475"/>
        <v>2.247191011235955E-2</v>
      </c>
      <c r="G493" s="15">
        <v>0</v>
      </c>
      <c r="H493" s="16">
        <f t="shared" ca="1" si="476"/>
        <v>0</v>
      </c>
      <c r="I493" s="15">
        <v>0</v>
      </c>
      <c r="J493" s="16">
        <f t="shared" ca="1" si="477"/>
        <v>0</v>
      </c>
      <c r="K493" s="15">
        <v>0</v>
      </c>
      <c r="L493" s="16">
        <f t="shared" ca="1" si="478"/>
        <v>0</v>
      </c>
      <c r="M493" s="15">
        <v>0</v>
      </c>
      <c r="N493" s="16">
        <f t="shared" ca="1" si="479"/>
        <v>0</v>
      </c>
      <c r="O493" s="15">
        <v>0</v>
      </c>
      <c r="P493" s="16">
        <f t="shared" ca="1" si="480"/>
        <v>0</v>
      </c>
      <c r="Q493" s="62">
        <f t="shared" ca="1" si="473"/>
        <v>5</v>
      </c>
      <c r="T493" s="22" t="s">
        <v>20</v>
      </c>
      <c r="U493" s="15">
        <v>122855</v>
      </c>
      <c r="V493" s="16">
        <f t="shared" ca="1" si="481"/>
        <v>1.9737661377452177E-2</v>
      </c>
      <c r="W493" s="15">
        <v>39371</v>
      </c>
      <c r="X493" s="16">
        <f t="shared" ca="1" si="482"/>
        <v>1.5312816598759638E-3</v>
      </c>
      <c r="Y493" s="15">
        <v>0</v>
      </c>
      <c r="Z493" s="16">
        <f t="shared" ca="1" si="483"/>
        <v>0</v>
      </c>
      <c r="AA493" s="15">
        <v>0</v>
      </c>
      <c r="AB493" s="16">
        <f t="shared" ca="1" si="484"/>
        <v>0</v>
      </c>
      <c r="AC493" s="15">
        <v>0</v>
      </c>
      <c r="AD493" s="16">
        <f t="shared" ca="1" si="485"/>
        <v>0</v>
      </c>
      <c r="AE493" s="15">
        <v>0</v>
      </c>
      <c r="AF493" s="16">
        <f t="shared" ca="1" si="486"/>
        <v>0</v>
      </c>
      <c r="AG493" s="15">
        <v>0</v>
      </c>
      <c r="AH493" s="16">
        <f t="shared" ca="1" si="487"/>
        <v>0</v>
      </c>
      <c r="AI493" s="62">
        <f t="shared" ca="1" si="488"/>
        <v>162226</v>
      </c>
    </row>
    <row r="494" spans="2:35" x14ac:dyDescent="0.4">
      <c r="B494" s="22" t="s">
        <v>21</v>
      </c>
      <c r="C494" s="15">
        <v>0</v>
      </c>
      <c r="D494" s="16">
        <f t="shared" ca="1" si="474"/>
        <v>0</v>
      </c>
      <c r="E494" s="15">
        <v>3</v>
      </c>
      <c r="F494" s="16">
        <f t="shared" ca="1" si="475"/>
        <v>3.3707865168539325E-2</v>
      </c>
      <c r="G494" s="15">
        <v>0</v>
      </c>
      <c r="H494" s="16">
        <f t="shared" ca="1" si="476"/>
        <v>0</v>
      </c>
      <c r="I494" s="15">
        <v>0</v>
      </c>
      <c r="J494" s="16">
        <f t="shared" ca="1" si="477"/>
        <v>0</v>
      </c>
      <c r="K494" s="15">
        <v>0</v>
      </c>
      <c r="L494" s="16">
        <f t="shared" ca="1" si="478"/>
        <v>0</v>
      </c>
      <c r="M494" s="15">
        <v>0</v>
      </c>
      <c r="N494" s="16">
        <f t="shared" ca="1" si="479"/>
        <v>0</v>
      </c>
      <c r="O494" s="15">
        <v>0</v>
      </c>
      <c r="P494" s="16">
        <f t="shared" ca="1" si="480"/>
        <v>0</v>
      </c>
      <c r="Q494" s="62">
        <f t="shared" ca="1" si="473"/>
        <v>3</v>
      </c>
      <c r="T494" s="22" t="s">
        <v>21</v>
      </c>
      <c r="U494" s="15">
        <v>0</v>
      </c>
      <c r="V494" s="16">
        <f t="shared" ca="1" si="481"/>
        <v>0</v>
      </c>
      <c r="W494" s="15">
        <v>398384.57000000007</v>
      </c>
      <c r="X494" s="16">
        <f t="shared" ca="1" si="482"/>
        <v>1.5494627660424479E-2</v>
      </c>
      <c r="Y494" s="15">
        <v>0</v>
      </c>
      <c r="Z494" s="16">
        <f t="shared" ca="1" si="483"/>
        <v>0</v>
      </c>
      <c r="AA494" s="15">
        <v>0</v>
      </c>
      <c r="AB494" s="16">
        <f t="shared" ca="1" si="484"/>
        <v>0</v>
      </c>
      <c r="AC494" s="15">
        <v>0</v>
      </c>
      <c r="AD494" s="16">
        <f t="shared" ca="1" si="485"/>
        <v>0</v>
      </c>
      <c r="AE494" s="15">
        <v>0</v>
      </c>
      <c r="AF494" s="16">
        <f t="shared" ca="1" si="486"/>
        <v>0</v>
      </c>
      <c r="AG494" s="15">
        <v>0</v>
      </c>
      <c r="AH494" s="16">
        <f t="shared" ca="1" si="487"/>
        <v>0</v>
      </c>
      <c r="AI494" s="62">
        <f t="shared" ca="1" si="488"/>
        <v>398384.57000000007</v>
      </c>
    </row>
    <row r="495" spans="2:35" x14ac:dyDescent="0.4">
      <c r="B495" s="22" t="s">
        <v>22</v>
      </c>
      <c r="C495" s="15">
        <v>0</v>
      </c>
      <c r="D495" s="16">
        <f t="shared" ca="1" si="474"/>
        <v>0</v>
      </c>
      <c r="E495" s="15">
        <v>1</v>
      </c>
      <c r="F495" s="16">
        <f t="shared" ca="1" si="475"/>
        <v>1.1235955056179775E-2</v>
      </c>
      <c r="G495" s="15">
        <v>0</v>
      </c>
      <c r="H495" s="16">
        <f t="shared" ca="1" si="476"/>
        <v>0</v>
      </c>
      <c r="I495" s="15">
        <v>0</v>
      </c>
      <c r="J495" s="16">
        <f t="shared" ca="1" si="477"/>
        <v>0</v>
      </c>
      <c r="K495" s="15">
        <v>0</v>
      </c>
      <c r="L495" s="16">
        <f t="shared" ca="1" si="478"/>
        <v>0</v>
      </c>
      <c r="M495" s="15">
        <v>0</v>
      </c>
      <c r="N495" s="16">
        <f t="shared" ca="1" si="479"/>
        <v>0</v>
      </c>
      <c r="O495" s="15">
        <v>0</v>
      </c>
      <c r="P495" s="16">
        <f t="shared" ca="1" si="480"/>
        <v>0</v>
      </c>
      <c r="Q495" s="62">
        <f t="shared" ca="1" si="473"/>
        <v>1</v>
      </c>
      <c r="T495" s="22" t="s">
        <v>22</v>
      </c>
      <c r="U495" s="15">
        <v>0</v>
      </c>
      <c r="V495" s="16">
        <f t="shared" ca="1" si="481"/>
        <v>0</v>
      </c>
      <c r="W495" s="15">
        <v>120000</v>
      </c>
      <c r="X495" s="16">
        <f t="shared" ca="1" si="482"/>
        <v>4.6672372859494467E-3</v>
      </c>
      <c r="Y495" s="15">
        <v>0</v>
      </c>
      <c r="Z495" s="16">
        <f t="shared" ca="1" si="483"/>
        <v>0</v>
      </c>
      <c r="AA495" s="15">
        <v>0</v>
      </c>
      <c r="AB495" s="16">
        <f t="shared" ca="1" si="484"/>
        <v>0</v>
      </c>
      <c r="AC495" s="15">
        <v>0</v>
      </c>
      <c r="AD495" s="16">
        <f t="shared" ca="1" si="485"/>
        <v>0</v>
      </c>
      <c r="AE495" s="15">
        <v>0</v>
      </c>
      <c r="AF495" s="16">
        <f t="shared" ca="1" si="486"/>
        <v>0</v>
      </c>
      <c r="AG495" s="15">
        <v>0</v>
      </c>
      <c r="AH495" s="16">
        <f t="shared" ca="1" si="487"/>
        <v>0</v>
      </c>
      <c r="AI495" s="62">
        <f t="shared" ca="1" si="488"/>
        <v>120000</v>
      </c>
    </row>
    <row r="496" spans="2:35" x14ac:dyDescent="0.4">
      <c r="B496" s="22" t="s">
        <v>23</v>
      </c>
      <c r="C496" s="15">
        <v>2</v>
      </c>
      <c r="D496" s="16">
        <f t="shared" ca="1" si="474"/>
        <v>4.7619047619047616E-2</v>
      </c>
      <c r="E496" s="15">
        <v>0</v>
      </c>
      <c r="F496" s="16">
        <f t="shared" ca="1" si="475"/>
        <v>0</v>
      </c>
      <c r="G496" s="15">
        <v>0</v>
      </c>
      <c r="H496" s="16">
        <f t="shared" ca="1" si="476"/>
        <v>0</v>
      </c>
      <c r="I496" s="15">
        <v>0</v>
      </c>
      <c r="J496" s="16">
        <f t="shared" ca="1" si="477"/>
        <v>0</v>
      </c>
      <c r="K496" s="15">
        <v>0</v>
      </c>
      <c r="L496" s="16">
        <f t="shared" ca="1" si="478"/>
        <v>0</v>
      </c>
      <c r="M496" s="15">
        <v>2</v>
      </c>
      <c r="N496" s="16">
        <f t="shared" ca="1" si="479"/>
        <v>0.16666666666666666</v>
      </c>
      <c r="O496" s="15">
        <v>0</v>
      </c>
      <c r="P496" s="16">
        <f t="shared" ca="1" si="480"/>
        <v>0</v>
      </c>
      <c r="Q496" s="62">
        <f t="shared" ca="1" si="473"/>
        <v>4</v>
      </c>
      <c r="T496" s="22" t="s">
        <v>23</v>
      </c>
      <c r="U496" s="15">
        <v>215248</v>
      </c>
      <c r="V496" s="16">
        <f t="shared" ca="1" si="481"/>
        <v>3.4581353108736529E-2</v>
      </c>
      <c r="W496" s="15">
        <v>0</v>
      </c>
      <c r="X496" s="16">
        <f t="shared" ca="1" si="482"/>
        <v>0</v>
      </c>
      <c r="Y496" s="15">
        <v>0</v>
      </c>
      <c r="Z496" s="16">
        <f t="shared" ca="1" si="483"/>
        <v>0</v>
      </c>
      <c r="AA496" s="15">
        <v>0</v>
      </c>
      <c r="AB496" s="16">
        <f t="shared" ca="1" si="484"/>
        <v>0</v>
      </c>
      <c r="AC496" s="15">
        <v>0</v>
      </c>
      <c r="AD496" s="16">
        <f t="shared" ca="1" si="485"/>
        <v>0</v>
      </c>
      <c r="AE496" s="15">
        <v>198997.59999999998</v>
      </c>
      <c r="AF496" s="16">
        <f t="shared" ca="1" si="486"/>
        <v>0.25330414097311732</v>
      </c>
      <c r="AG496" s="15">
        <v>0</v>
      </c>
      <c r="AH496" s="16">
        <f t="shared" ca="1" si="487"/>
        <v>0</v>
      </c>
      <c r="AI496" s="62">
        <f t="shared" ca="1" si="488"/>
        <v>414245.6</v>
      </c>
    </row>
    <row r="497" spans="2:35" x14ac:dyDescent="0.4">
      <c r="B497" s="23" t="s">
        <v>24</v>
      </c>
      <c r="C497" s="24">
        <v>3</v>
      </c>
      <c r="D497" s="25">
        <f t="shared" ca="1" si="474"/>
        <v>7.1428571428571425E-2</v>
      </c>
      <c r="E497" s="24">
        <v>3</v>
      </c>
      <c r="F497" s="25">
        <f t="shared" ca="1" si="475"/>
        <v>3.3707865168539325E-2</v>
      </c>
      <c r="G497" s="24">
        <v>0</v>
      </c>
      <c r="H497" s="25">
        <f t="shared" ca="1" si="476"/>
        <v>0</v>
      </c>
      <c r="I497" s="24">
        <v>1</v>
      </c>
      <c r="J497" s="25">
        <f t="shared" ca="1" si="477"/>
        <v>3.125E-2</v>
      </c>
      <c r="K497" s="24">
        <v>0</v>
      </c>
      <c r="L497" s="25">
        <f t="shared" ca="1" si="478"/>
        <v>0</v>
      </c>
      <c r="M497" s="24">
        <v>2</v>
      </c>
      <c r="N497" s="25">
        <f t="shared" ca="1" si="479"/>
        <v>0.16666666666666666</v>
      </c>
      <c r="O497" s="24">
        <v>0</v>
      </c>
      <c r="P497" s="25">
        <f t="shared" ca="1" si="480"/>
        <v>0</v>
      </c>
      <c r="Q497" s="64">
        <f t="shared" ca="1" si="473"/>
        <v>9</v>
      </c>
      <c r="T497" s="23" t="s">
        <v>24</v>
      </c>
      <c r="U497" s="24">
        <v>278992.81000000006</v>
      </c>
      <c r="V497" s="25">
        <f t="shared" ca="1" si="481"/>
        <v>4.4822478617263066E-2</v>
      </c>
      <c r="W497" s="24">
        <v>701235.45999999985</v>
      </c>
      <c r="X497" s="25">
        <f t="shared" ca="1" si="482"/>
        <v>2.7273602376182593E-2</v>
      </c>
      <c r="Y497" s="24">
        <v>0</v>
      </c>
      <c r="Z497" s="25">
        <f t="shared" ca="1" si="483"/>
        <v>0</v>
      </c>
      <c r="AA497" s="24">
        <v>317</v>
      </c>
      <c r="AB497" s="25">
        <f t="shared" ca="1" si="484"/>
        <v>1.7140336467519196E-5</v>
      </c>
      <c r="AC497" s="24">
        <v>0</v>
      </c>
      <c r="AD497" s="25">
        <f t="shared" ca="1" si="485"/>
        <v>0</v>
      </c>
      <c r="AE497" s="24">
        <v>65910.949999999953</v>
      </c>
      <c r="AF497" s="25">
        <f t="shared" ca="1" si="486"/>
        <v>8.3898080029468067E-2</v>
      </c>
      <c r="AG497" s="24">
        <v>0</v>
      </c>
      <c r="AH497" s="25">
        <f t="shared" ca="1" si="487"/>
        <v>0</v>
      </c>
      <c r="AI497" s="64">
        <f t="shared" ca="1" si="488"/>
        <v>1046456.2199999999</v>
      </c>
    </row>
    <row r="498" spans="2:35" x14ac:dyDescent="0.4">
      <c r="B498" s="27" t="s">
        <v>25</v>
      </c>
      <c r="C498" s="28">
        <f ca="1">SUM(C490:C497)</f>
        <v>42</v>
      </c>
      <c r="D498" s="29">
        <f t="shared" ca="1" si="474"/>
        <v>1</v>
      </c>
      <c r="E498" s="28">
        <f ca="1">SUM(E490:E497)</f>
        <v>89</v>
      </c>
      <c r="F498" s="29">
        <f t="shared" ca="1" si="475"/>
        <v>1</v>
      </c>
      <c r="G498" s="28">
        <f ca="1">SUM(G490:G497)</f>
        <v>16</v>
      </c>
      <c r="H498" s="29">
        <f t="shared" ca="1" si="476"/>
        <v>1</v>
      </c>
      <c r="I498" s="28">
        <f ca="1">SUM(I490:I497)</f>
        <v>32</v>
      </c>
      <c r="J498" s="29">
        <f t="shared" ca="1" si="477"/>
        <v>1</v>
      </c>
      <c r="K498" s="28">
        <f ca="1">SUM(K490:K497)</f>
        <v>0</v>
      </c>
      <c r="L498" s="29">
        <f t="shared" ca="1" si="478"/>
        <v>0</v>
      </c>
      <c r="M498" s="28">
        <f ca="1">SUM(M490:M497)</f>
        <v>12</v>
      </c>
      <c r="N498" s="29">
        <f t="shared" ca="1" si="479"/>
        <v>1</v>
      </c>
      <c r="O498" s="28">
        <f ca="1">SUM(O490:O497)</f>
        <v>2</v>
      </c>
      <c r="P498" s="29">
        <f t="shared" ca="1" si="480"/>
        <v>1</v>
      </c>
      <c r="Q498" s="31">
        <f t="shared" ca="1" si="473"/>
        <v>193</v>
      </c>
      <c r="T498" s="27" t="s">
        <v>25</v>
      </c>
      <c r="U498" s="28">
        <f ca="1">SUM(U490:U497)</f>
        <v>6224394.9600000009</v>
      </c>
      <c r="V498" s="29">
        <f t="shared" ca="1" si="481"/>
        <v>1</v>
      </c>
      <c r="W498" s="28">
        <f ca="1">SUM(W490:W497)</f>
        <v>25711141.870000005</v>
      </c>
      <c r="X498" s="29">
        <f t="shared" ca="1" si="482"/>
        <v>1</v>
      </c>
      <c r="Y498" s="28">
        <f ca="1">SUM(Y490:Y497)</f>
        <v>6714531.7300000004</v>
      </c>
      <c r="Z498" s="29">
        <f t="shared" ca="1" si="483"/>
        <v>1</v>
      </c>
      <c r="AA498" s="28">
        <f ca="1">SUM(AA490:AA497)</f>
        <v>18494386.07</v>
      </c>
      <c r="AB498" s="29">
        <f t="shared" ca="1" si="484"/>
        <v>1</v>
      </c>
      <c r="AC498" s="28">
        <f ca="1">SUM(AC490:AC497)</f>
        <v>0</v>
      </c>
      <c r="AD498" s="29">
        <f t="shared" ca="1" si="485"/>
        <v>0</v>
      </c>
      <c r="AE498" s="28">
        <f ca="1">SUM(AE490:AE497)</f>
        <v>785607.37000000023</v>
      </c>
      <c r="AF498" s="29">
        <f t="shared" ca="1" si="486"/>
        <v>1</v>
      </c>
      <c r="AG498" s="28">
        <f ca="1">SUM(AG490:AG497)</f>
        <v>3219336.63</v>
      </c>
      <c r="AH498" s="29">
        <f t="shared" ca="1" si="487"/>
        <v>1</v>
      </c>
      <c r="AI498" s="31">
        <f ca="1">SUM(U498,Y498,AA498,AC498,AE498,AG498,W498)</f>
        <v>61149398.63000001</v>
      </c>
    </row>
    <row r="499" spans="2:35" x14ac:dyDescent="0.4">
      <c r="B499" s="32" t="s">
        <v>26</v>
      </c>
      <c r="C499" s="33">
        <f ca="1">C498/$Q$498</f>
        <v>0.21761658031088082</v>
      </c>
      <c r="D499" s="33"/>
      <c r="E499" s="33">
        <f ca="1">E498/$Q$498</f>
        <v>0.46113989637305697</v>
      </c>
      <c r="F499" s="33"/>
      <c r="G499" s="33">
        <f ca="1">G498/$Q$498</f>
        <v>8.2901554404145081E-2</v>
      </c>
      <c r="H499" s="33"/>
      <c r="I499" s="33">
        <f ca="1">I498/$Q$498</f>
        <v>0.16580310880829016</v>
      </c>
      <c r="J499" s="33"/>
      <c r="K499" s="33">
        <f ca="1">K498/$Q$498</f>
        <v>0</v>
      </c>
      <c r="L499" s="33"/>
      <c r="M499" s="33">
        <f ca="1">M498/$Q$498</f>
        <v>6.2176165803108807E-2</v>
      </c>
      <c r="N499" s="33"/>
      <c r="O499" s="33">
        <f ca="1">O498/$Q$498</f>
        <v>1.0362694300518135E-2</v>
      </c>
      <c r="P499" s="33"/>
      <c r="Q499" s="34">
        <f ca="1">Q498/$Q$498</f>
        <v>1</v>
      </c>
      <c r="T499" s="32" t="s">
        <v>26</v>
      </c>
      <c r="U499" s="33">
        <f ca="1">U498/$AI$498</f>
        <v>0.10178996195305674</v>
      </c>
      <c r="V499" s="33"/>
      <c r="W499" s="33">
        <f ca="1">W498/$AI$498</f>
        <v>0.42046434545614764</v>
      </c>
      <c r="X499" s="33"/>
      <c r="Y499" s="33">
        <f ca="1">Y498/$AI$498</f>
        <v>0.10980535999426556</v>
      </c>
      <c r="Z499" s="33"/>
      <c r="AA499" s="33">
        <f ca="1">AA498/$AI$498</f>
        <v>0.30244591908262236</v>
      </c>
      <c r="AB499" s="33"/>
      <c r="AC499" s="33">
        <f ca="1">AC498/$AI$498</f>
        <v>0</v>
      </c>
      <c r="AD499" s="33"/>
      <c r="AE499" s="33">
        <f ca="1">AE498/$AI$498</f>
        <v>1.284734417019401E-2</v>
      </c>
      <c r="AF499" s="33"/>
      <c r="AG499" s="33">
        <f ca="1">AG498/$AI$498</f>
        <v>5.2647069343713666E-2</v>
      </c>
      <c r="AH499" s="33"/>
      <c r="AI499" s="34">
        <f ca="1">AI498/$AI$498</f>
        <v>1</v>
      </c>
    </row>
    <row r="501" spans="2:35" x14ac:dyDescent="0.4">
      <c r="E501" s="2" t="s">
        <v>57</v>
      </c>
      <c r="F501" s="2"/>
      <c r="G501" s="2"/>
      <c r="H501" s="2"/>
      <c r="I501" s="2"/>
      <c r="J501" s="2"/>
      <c r="K501" s="2"/>
      <c r="L501" s="2"/>
      <c r="M501" s="2"/>
      <c r="N501" s="2"/>
      <c r="W501" s="2" t="s">
        <v>57</v>
      </c>
      <c r="X501" s="2"/>
      <c r="Y501" s="2"/>
      <c r="Z501" s="2"/>
      <c r="AA501" s="2"/>
      <c r="AB501" s="2"/>
      <c r="AC501" s="2"/>
      <c r="AD501" s="2"/>
      <c r="AE501" s="2"/>
      <c r="AF501" s="2"/>
    </row>
    <row r="502" spans="2:35" x14ac:dyDescent="0.4">
      <c r="E502" s="3"/>
      <c r="F502" s="3"/>
      <c r="G502" s="3"/>
      <c r="H502" s="3"/>
      <c r="I502" s="3"/>
      <c r="J502" s="3"/>
      <c r="K502" s="3"/>
      <c r="L502" s="3"/>
      <c r="M502" s="3"/>
      <c r="N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2:35" x14ac:dyDescent="0.4">
      <c r="B503" s="4" t="s">
        <v>54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T503" s="4" t="s">
        <v>54</v>
      </c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spans="2:35" x14ac:dyDescent="0.4">
      <c r="B504" s="5"/>
      <c r="C504" s="6" t="s">
        <v>3</v>
      </c>
      <c r="D504" s="6"/>
      <c r="E504" s="6" t="s">
        <v>4</v>
      </c>
      <c r="F504" s="6"/>
      <c r="G504" s="6" t="s">
        <v>5</v>
      </c>
      <c r="H504" s="6"/>
      <c r="I504" s="6" t="s">
        <v>6</v>
      </c>
      <c r="J504" s="6"/>
      <c r="K504" s="6" t="s">
        <v>7</v>
      </c>
      <c r="L504" s="6"/>
      <c r="M504" s="6" t="s">
        <v>8</v>
      </c>
      <c r="N504" s="6"/>
      <c r="O504" s="6" t="s">
        <v>9</v>
      </c>
      <c r="P504" s="6"/>
      <c r="Q504" s="7" t="s">
        <v>10</v>
      </c>
      <c r="T504" s="5"/>
      <c r="U504" s="6" t="s">
        <v>3</v>
      </c>
      <c r="V504" s="6"/>
      <c r="W504" s="6" t="s">
        <v>4</v>
      </c>
      <c r="X504" s="6"/>
      <c r="Y504" s="6" t="s">
        <v>5</v>
      </c>
      <c r="Z504" s="6"/>
      <c r="AA504" s="6" t="s">
        <v>6</v>
      </c>
      <c r="AB504" s="6"/>
      <c r="AC504" s="6" t="s">
        <v>7</v>
      </c>
      <c r="AD504" s="6"/>
      <c r="AE504" s="6" t="s">
        <v>8</v>
      </c>
      <c r="AF504" s="6"/>
      <c r="AG504" s="6" t="s">
        <v>9</v>
      </c>
      <c r="AH504" s="6"/>
      <c r="AI504" s="7" t="s">
        <v>10</v>
      </c>
    </row>
    <row r="505" spans="2:35" x14ac:dyDescent="0.4">
      <c r="B505" s="8" t="s">
        <v>11</v>
      </c>
      <c r="C505" s="8" t="s">
        <v>12</v>
      </c>
      <c r="D505" s="8" t="s">
        <v>13</v>
      </c>
      <c r="E505" s="8" t="s">
        <v>12</v>
      </c>
      <c r="F505" s="8" t="s">
        <v>13</v>
      </c>
      <c r="G505" s="8" t="s">
        <v>12</v>
      </c>
      <c r="H505" s="8" t="s">
        <v>13</v>
      </c>
      <c r="I505" s="8" t="s">
        <v>12</v>
      </c>
      <c r="J505" s="8" t="s">
        <v>13</v>
      </c>
      <c r="K505" s="8" t="s">
        <v>12</v>
      </c>
      <c r="L505" s="8" t="s">
        <v>13</v>
      </c>
      <c r="M505" s="8" t="s">
        <v>12</v>
      </c>
      <c r="N505" s="8" t="s">
        <v>13</v>
      </c>
      <c r="O505" s="8" t="s">
        <v>12</v>
      </c>
      <c r="P505" s="8" t="s">
        <v>13</v>
      </c>
      <c r="Q505" s="7"/>
      <c r="T505" s="8" t="s">
        <v>11</v>
      </c>
      <c r="U505" s="8" t="s">
        <v>14</v>
      </c>
      <c r="V505" s="8" t="s">
        <v>13</v>
      </c>
      <c r="W505" s="8" t="s">
        <v>14</v>
      </c>
      <c r="X505" s="8" t="s">
        <v>13</v>
      </c>
      <c r="Y505" s="8" t="s">
        <v>14</v>
      </c>
      <c r="Z505" s="8" t="s">
        <v>13</v>
      </c>
      <c r="AA505" s="8" t="s">
        <v>14</v>
      </c>
      <c r="AB505" s="8" t="s">
        <v>13</v>
      </c>
      <c r="AC505" s="8" t="s">
        <v>14</v>
      </c>
      <c r="AD505" s="8" t="s">
        <v>13</v>
      </c>
      <c r="AE505" s="8" t="s">
        <v>14</v>
      </c>
      <c r="AF505" s="8" t="s">
        <v>13</v>
      </c>
      <c r="AG505" s="8" t="s">
        <v>14</v>
      </c>
      <c r="AH505" s="8" t="s">
        <v>13</v>
      </c>
      <c r="AI505" s="7"/>
    </row>
    <row r="506" spans="2:35" x14ac:dyDescent="0.4">
      <c r="B506" s="9" t="s">
        <v>15</v>
      </c>
      <c r="C506" s="10">
        <v>955</v>
      </c>
      <c r="D506" s="11">
        <f ca="1">C506/C$516</f>
        <v>0.2772938443670151</v>
      </c>
      <c r="E506" s="10">
        <v>2130</v>
      </c>
      <c r="F506" s="11">
        <f ca="1">E506/E$516</f>
        <v>0.39018135189595166</v>
      </c>
      <c r="G506" s="10">
        <v>1672</v>
      </c>
      <c r="H506" s="11">
        <f ca="1">G506/G$516</f>
        <v>0.90968443960826983</v>
      </c>
      <c r="I506" s="10">
        <v>307</v>
      </c>
      <c r="J506" s="11">
        <f ca="1">I506/I$516</f>
        <v>0.84573002754820936</v>
      </c>
      <c r="K506" s="10">
        <v>255</v>
      </c>
      <c r="L506" s="11">
        <f ca="1">K506/K$516</f>
        <v>0.67639257294429711</v>
      </c>
      <c r="M506" s="10">
        <v>590</v>
      </c>
      <c r="N506" s="11">
        <f ca="1">M506/M$516</f>
        <v>0.28256704980842912</v>
      </c>
      <c r="O506" s="10">
        <v>20</v>
      </c>
      <c r="P506" s="11">
        <f ca="1">O506/O$516</f>
        <v>0.19801980198019803</v>
      </c>
      <c r="Q506" s="60">
        <f t="shared" ref="Q506:Q516" ca="1" si="489">SUM(C506,G506,I506,K506,M506,O506,E506)</f>
        <v>5929</v>
      </c>
      <c r="T506" s="9" t="s">
        <v>15</v>
      </c>
      <c r="U506" s="10">
        <v>279612183.95000011</v>
      </c>
      <c r="V506" s="11">
        <f ca="1">U506/U$516</f>
        <v>0.39577616779476338</v>
      </c>
      <c r="W506" s="10">
        <v>521590787.49000001</v>
      </c>
      <c r="X506" s="11">
        <f ca="1">W506/W$516</f>
        <v>0.47488192076227398</v>
      </c>
      <c r="Y506" s="10">
        <v>827987186.96000075</v>
      </c>
      <c r="Z506" s="11">
        <f ca="1">Y506/Y$516</f>
        <v>0.93214258493777191</v>
      </c>
      <c r="AA506" s="10">
        <v>475712207.70000005</v>
      </c>
      <c r="AB506" s="11">
        <f ca="1">AA506/AA$516</f>
        <v>0.98584682302677173</v>
      </c>
      <c r="AC506" s="10">
        <v>19266084.660000004</v>
      </c>
      <c r="AD506" s="11">
        <f ca="1">AC506/AC$516</f>
        <v>0.76863404265526847</v>
      </c>
      <c r="AE506" s="10">
        <v>32300846.330000006</v>
      </c>
      <c r="AF506" s="11">
        <f ca="1">AE506/AE$516</f>
        <v>0.30148958386338709</v>
      </c>
      <c r="AG506" s="10">
        <v>18565584.209999997</v>
      </c>
      <c r="AH506" s="11">
        <f ca="1">AG506/AG$516</f>
        <v>0.45797070854933952</v>
      </c>
      <c r="AI506" s="60">
        <f ca="1">SUM(U506,Y506,AA506,AC506,AE506,AG506,W506)</f>
        <v>2175034881.3000011</v>
      </c>
    </row>
    <row r="507" spans="2:35" x14ac:dyDescent="0.4">
      <c r="B507" s="14" t="s">
        <v>16</v>
      </c>
      <c r="C507" s="15">
        <v>1069</v>
      </c>
      <c r="D507" s="16">
        <f ca="1">C507/C$516</f>
        <v>0.31039488966318235</v>
      </c>
      <c r="E507" s="15">
        <v>1662</v>
      </c>
      <c r="F507" s="16">
        <f ca="1">E507/E$516</f>
        <v>0.30445136471881296</v>
      </c>
      <c r="G507" s="15">
        <v>106</v>
      </c>
      <c r="H507" s="16">
        <f ca="1">G507/G$516</f>
        <v>5.7671381936887922E-2</v>
      </c>
      <c r="I507" s="15">
        <v>4</v>
      </c>
      <c r="J507" s="16">
        <f ca="1">I507/I$516</f>
        <v>1.1019283746556474E-2</v>
      </c>
      <c r="K507" s="15">
        <v>59</v>
      </c>
      <c r="L507" s="16">
        <f ca="1">K507/K$516</f>
        <v>0.15649867374005305</v>
      </c>
      <c r="M507" s="15">
        <v>828</v>
      </c>
      <c r="N507" s="16">
        <f ca="1">M507/M$516</f>
        <v>0.39655172413793105</v>
      </c>
      <c r="O507" s="15">
        <v>23</v>
      </c>
      <c r="P507" s="16">
        <f ca="1">O507/O$516</f>
        <v>0.22772277227722773</v>
      </c>
      <c r="Q507" s="62">
        <f t="shared" ca="1" si="489"/>
        <v>3751</v>
      </c>
      <c r="T507" s="14" t="s">
        <v>16</v>
      </c>
      <c r="U507" s="15">
        <v>227749136.48999992</v>
      </c>
      <c r="V507" s="16">
        <f ca="1">U507/U$516</f>
        <v>0.32236678382619044</v>
      </c>
      <c r="W507" s="15">
        <v>350335561.27999997</v>
      </c>
      <c r="X507" s="16">
        <f ca="1">W507/W$516</f>
        <v>0.3189627352365102</v>
      </c>
      <c r="Y507" s="15">
        <v>47623620.559999995</v>
      </c>
      <c r="Z507" s="16">
        <f ca="1">Y507/Y$516</f>
        <v>5.3614361999829531E-2</v>
      </c>
      <c r="AA507" s="15">
        <v>631523.67000000016</v>
      </c>
      <c r="AB507" s="16">
        <f ca="1">AA507/AA$516</f>
        <v>1.3087442232054948E-3</v>
      </c>
      <c r="AC507" s="15">
        <v>3327462.4299999997</v>
      </c>
      <c r="AD507" s="16">
        <f ca="1">AC507/AC$516</f>
        <v>0.13275146167422802</v>
      </c>
      <c r="AE507" s="15">
        <v>44251830.280000001</v>
      </c>
      <c r="AF507" s="16">
        <f ca="1">AE507/AE$516</f>
        <v>0.41303765728018405</v>
      </c>
      <c r="AG507" s="15">
        <v>4742066.8899999997</v>
      </c>
      <c r="AH507" s="16">
        <f ca="1">AG507/AG$516</f>
        <v>0.11697599757899906</v>
      </c>
      <c r="AI507" s="62">
        <f ca="1">SUM(U507,Y507,AA507,AC507,AE507,AG507,W507)</f>
        <v>678661201.5999999</v>
      </c>
    </row>
    <row r="508" spans="2:35" x14ac:dyDescent="0.4">
      <c r="B508" s="18" t="s">
        <v>17</v>
      </c>
      <c r="C508" s="19">
        <f ca="1">+SUM(C506:C507)</f>
        <v>2024</v>
      </c>
      <c r="D508" s="20">
        <f ca="1">+C508/$C$516</f>
        <v>0.58768873403019739</v>
      </c>
      <c r="E508" s="19">
        <f ca="1">+SUM(E506:E507)</f>
        <v>3792</v>
      </c>
      <c r="F508" s="20">
        <f ca="1">+E508/$E$516</f>
        <v>0.69463271661476456</v>
      </c>
      <c r="G508" s="19">
        <f ca="1">+SUM(G506:G507)</f>
        <v>1778</v>
      </c>
      <c r="H508" s="20">
        <f ca="1">+G508/$G$516</f>
        <v>0.96735582154515776</v>
      </c>
      <c r="I508" s="19">
        <f ca="1">+SUM(I506:I507)</f>
        <v>311</v>
      </c>
      <c r="J508" s="20">
        <f ca="1">+I508/$I$516</f>
        <v>0.85674931129476584</v>
      </c>
      <c r="K508" s="19">
        <f ca="1">+SUM(K506:K507)</f>
        <v>314</v>
      </c>
      <c r="L508" s="20">
        <f ca="1">+K508/$K$516</f>
        <v>0.83289124668435011</v>
      </c>
      <c r="M508" s="19">
        <f ca="1">+SUM(M506:M507)</f>
        <v>1418</v>
      </c>
      <c r="N508" s="20">
        <f ca="1">+M508/$M$516</f>
        <v>0.67911877394636011</v>
      </c>
      <c r="O508" s="19">
        <f ca="1">+SUM(O506:O507)</f>
        <v>43</v>
      </c>
      <c r="P508" s="20">
        <f ca="1">+O508/$O$516</f>
        <v>0.42574257425742573</v>
      </c>
      <c r="Q508" s="101">
        <f ca="1">+SUM(Q506:Q507)</f>
        <v>9680</v>
      </c>
      <c r="T508" s="18" t="s">
        <v>17</v>
      </c>
      <c r="U508" s="19">
        <f ca="1">+SUM(U506:U507)</f>
        <v>507361320.44000006</v>
      </c>
      <c r="V508" s="20">
        <f ca="1">U508/U$516</f>
        <v>0.71814295162095387</v>
      </c>
      <c r="W508" s="19">
        <f ca="1">+SUM(W506:W507)</f>
        <v>871926348.76999998</v>
      </c>
      <c r="X508" s="20">
        <f ca="1">W508/W$516</f>
        <v>0.79384465599878418</v>
      </c>
      <c r="Y508" s="19">
        <f ca="1">+SUM(Y506:Y507)</f>
        <v>875610807.5200007</v>
      </c>
      <c r="Z508" s="20">
        <f ca="1">Y508/Y$516</f>
        <v>0.98575694693760141</v>
      </c>
      <c r="AA508" s="19">
        <f ca="1">+SUM(AA506:AA507)</f>
        <v>476343731.37000006</v>
      </c>
      <c r="AB508" s="20">
        <f ca="1">AA508/AA$516</f>
        <v>0.98715556724997733</v>
      </c>
      <c r="AC508" s="19">
        <f ca="1">+SUM(AC506:AC507)</f>
        <v>22593547.090000004</v>
      </c>
      <c r="AD508" s="20">
        <f ca="1">AC508/AC$516</f>
        <v>0.90138550432949649</v>
      </c>
      <c r="AE508" s="19">
        <f ca="1">+SUM(AE506:AE507)</f>
        <v>76552676.610000014</v>
      </c>
      <c r="AF508" s="20">
        <f ca="1">AE508/AE$516</f>
        <v>0.71452724114357125</v>
      </c>
      <c r="AG508" s="19">
        <f ca="1">+SUM(AG506:AG507)</f>
        <v>23307651.099999998</v>
      </c>
      <c r="AH508" s="20">
        <f ca="1">AG508/AG$516</f>
        <v>0.57494670612833854</v>
      </c>
      <c r="AI508" s="21">
        <f ca="1">+SUM(AI506:AI507)</f>
        <v>2853696082.900001</v>
      </c>
    </row>
    <row r="509" spans="2:35" x14ac:dyDescent="0.4">
      <c r="B509" s="22" t="s">
        <v>18</v>
      </c>
      <c r="C509" s="15">
        <v>406</v>
      </c>
      <c r="D509" s="16">
        <f t="shared" ref="D509:D516" ca="1" si="490">C509/C$516</f>
        <v>0.11788617886178862</v>
      </c>
      <c r="E509" s="15">
        <v>430</v>
      </c>
      <c r="F509" s="16">
        <f t="shared" ref="F509:F516" ca="1" si="491">E509/E$516</f>
        <v>7.8769005312328264E-2</v>
      </c>
      <c r="G509" s="15">
        <v>7</v>
      </c>
      <c r="H509" s="16">
        <f t="shared" ref="H509:H516" ca="1" si="492">G509/G$516</f>
        <v>3.8084874863982591E-3</v>
      </c>
      <c r="I509" s="15">
        <v>1</v>
      </c>
      <c r="J509" s="16">
        <f t="shared" ref="J509:J516" ca="1" si="493">I509/I$516</f>
        <v>2.7548209366391185E-3</v>
      </c>
      <c r="K509" s="15">
        <v>3</v>
      </c>
      <c r="L509" s="16">
        <f t="shared" ref="L509:L516" ca="1" si="494">K509/K$516</f>
        <v>7.9575596816976128E-3</v>
      </c>
      <c r="M509" s="15">
        <v>202</v>
      </c>
      <c r="N509" s="16">
        <f t="shared" ref="N509:N516" ca="1" si="495">M509/M$516</f>
        <v>9.6743295019157086E-2</v>
      </c>
      <c r="O509" s="15">
        <v>17</v>
      </c>
      <c r="P509" s="16">
        <f t="shared" ref="P509:P516" ca="1" si="496">O509/O$516</f>
        <v>0.16831683168316833</v>
      </c>
      <c r="Q509" s="62">
        <f t="shared" ca="1" si="489"/>
        <v>1066</v>
      </c>
      <c r="T509" s="22" t="s">
        <v>18</v>
      </c>
      <c r="U509" s="15">
        <v>67086101.610000007</v>
      </c>
      <c r="V509" s="16">
        <f t="shared" ref="V509:V516" ca="1" si="497">U509/U$516</f>
        <v>9.4956807076202868E-2</v>
      </c>
      <c r="W509" s="15">
        <v>63569438.110000007</v>
      </c>
      <c r="X509" s="16">
        <f t="shared" ref="X509:X516" ca="1" si="498">W509/W$516</f>
        <v>5.787674474989471E-2</v>
      </c>
      <c r="Y509" s="15">
        <v>1085656.8500000001</v>
      </c>
      <c r="Z509" s="16">
        <f t="shared" ref="Z509:Z516" ca="1" si="499">Y509/Y$516</f>
        <v>1.2222254141757475E-3</v>
      </c>
      <c r="AA509" s="15">
        <v>7</v>
      </c>
      <c r="AB509" s="16">
        <f t="shared" ref="AB509:AB516" ca="1" si="500">AA509/AA$516</f>
        <v>1.4506518120593107E-8</v>
      </c>
      <c r="AC509" s="15">
        <v>102382.28000000026</v>
      </c>
      <c r="AD509" s="16">
        <f t="shared" ref="AD509:AD516" ca="1" si="501">AC509/AC$516</f>
        <v>4.0846133068255614E-3</v>
      </c>
      <c r="AE509" s="15">
        <v>8273820.5099999998</v>
      </c>
      <c r="AF509" s="16">
        <f t="shared" ref="AF509:AF516" ca="1" si="502">AE509/AE$516</f>
        <v>7.7226171631406187E-2</v>
      </c>
      <c r="AG509" s="15">
        <v>4371407.49</v>
      </c>
      <c r="AH509" s="16">
        <f t="shared" ref="AH509:AH516" ca="1" si="503">AG509/AG$516</f>
        <v>0.10783267377467516</v>
      </c>
      <c r="AI509" s="62">
        <f t="shared" ref="AI509:AI516" ca="1" si="504">SUM(U509,Y509,AA509,AC509,AE509,AG509,W509)</f>
        <v>144488813.85000002</v>
      </c>
    </row>
    <row r="510" spans="2:35" x14ac:dyDescent="0.4">
      <c r="B510" s="22" t="s">
        <v>19</v>
      </c>
      <c r="C510" s="15">
        <v>449</v>
      </c>
      <c r="D510" s="16">
        <f t="shared" ca="1" si="490"/>
        <v>0.13037166085946575</v>
      </c>
      <c r="E510" s="15">
        <v>528</v>
      </c>
      <c r="F510" s="16">
        <f t="shared" ca="1" si="491"/>
        <v>9.6721011174207727E-2</v>
      </c>
      <c r="G510" s="15">
        <v>4</v>
      </c>
      <c r="H510" s="16">
        <f t="shared" ca="1" si="492"/>
        <v>2.176278563656148E-3</v>
      </c>
      <c r="I510" s="15">
        <v>4</v>
      </c>
      <c r="J510" s="16">
        <f t="shared" ca="1" si="493"/>
        <v>1.1019283746556474E-2</v>
      </c>
      <c r="K510" s="15">
        <v>25</v>
      </c>
      <c r="L510" s="16">
        <f t="shared" ca="1" si="494"/>
        <v>6.6312997347480113E-2</v>
      </c>
      <c r="M510" s="15">
        <v>213</v>
      </c>
      <c r="N510" s="16">
        <f t="shared" ca="1" si="495"/>
        <v>0.10201149425287356</v>
      </c>
      <c r="O510" s="15">
        <v>12</v>
      </c>
      <c r="P510" s="16">
        <f t="shared" ca="1" si="496"/>
        <v>0.11881188118811881</v>
      </c>
      <c r="Q510" s="62">
        <f t="shared" ca="1" si="489"/>
        <v>1235</v>
      </c>
      <c r="T510" s="22" t="s">
        <v>19</v>
      </c>
      <c r="U510" s="15">
        <v>68712966.939999968</v>
      </c>
      <c r="V510" s="16">
        <f t="shared" ca="1" si="497"/>
        <v>9.7259548382857386E-2</v>
      </c>
      <c r="W510" s="15">
        <v>75448770.230000004</v>
      </c>
      <c r="X510" s="16">
        <f t="shared" ca="1" si="498"/>
        <v>6.8692273301818624E-2</v>
      </c>
      <c r="Y510" s="15">
        <v>787103.07000000007</v>
      </c>
      <c r="Z510" s="16">
        <f t="shared" ca="1" si="499"/>
        <v>8.8611551221709907E-4</v>
      </c>
      <c r="AA510" s="15">
        <v>4282801.93</v>
      </c>
      <c r="AB510" s="16">
        <f t="shared" ca="1" si="500"/>
        <v>8.8755062577794471E-3</v>
      </c>
      <c r="AC510" s="15">
        <v>1128228</v>
      </c>
      <c r="AD510" s="16">
        <f t="shared" ca="1" si="501"/>
        <v>4.5011452195957917E-2</v>
      </c>
      <c r="AE510" s="15">
        <v>10503456.860000001</v>
      </c>
      <c r="AF510" s="16">
        <f t="shared" ca="1" si="502"/>
        <v>9.8037147556326532E-2</v>
      </c>
      <c r="AG510" s="15">
        <v>4480467.6400000006</v>
      </c>
      <c r="AH510" s="16">
        <f t="shared" ca="1" si="503"/>
        <v>0.11052293946225286</v>
      </c>
      <c r="AI510" s="62">
        <f t="shared" ca="1" si="504"/>
        <v>165343794.66999996</v>
      </c>
    </row>
    <row r="511" spans="2:35" x14ac:dyDescent="0.4">
      <c r="B511" s="22" t="s">
        <v>20</v>
      </c>
      <c r="C511" s="15">
        <v>161</v>
      </c>
      <c r="D511" s="16">
        <f t="shared" ca="1" si="490"/>
        <v>4.6747967479674794E-2</v>
      </c>
      <c r="E511" s="15">
        <v>206</v>
      </c>
      <c r="F511" s="16">
        <f t="shared" ca="1" si="491"/>
        <v>3.7735849056603772E-2</v>
      </c>
      <c r="G511" s="15">
        <v>2</v>
      </c>
      <c r="H511" s="16">
        <f t="shared" ca="1" si="492"/>
        <v>1.088139281828074E-3</v>
      </c>
      <c r="I511" s="15">
        <v>1</v>
      </c>
      <c r="J511" s="16">
        <f t="shared" ca="1" si="493"/>
        <v>2.7548209366391185E-3</v>
      </c>
      <c r="K511" s="15">
        <v>25</v>
      </c>
      <c r="L511" s="16">
        <f t="shared" ca="1" si="494"/>
        <v>6.6312997347480113E-2</v>
      </c>
      <c r="M511" s="15">
        <v>69</v>
      </c>
      <c r="N511" s="16">
        <f t="shared" ca="1" si="495"/>
        <v>3.3045977011494254E-2</v>
      </c>
      <c r="O511" s="15">
        <v>9</v>
      </c>
      <c r="P511" s="16">
        <f t="shared" ca="1" si="496"/>
        <v>8.9108910891089105E-2</v>
      </c>
      <c r="Q511" s="62">
        <f t="shared" ca="1" si="489"/>
        <v>473</v>
      </c>
      <c r="T511" s="22" t="s">
        <v>20</v>
      </c>
      <c r="U511" s="15">
        <v>19663682.809999999</v>
      </c>
      <c r="V511" s="16">
        <f t="shared" ca="1" si="497"/>
        <v>2.783289668330478E-2</v>
      </c>
      <c r="W511" s="15">
        <v>31168530.470000006</v>
      </c>
      <c r="X511" s="16">
        <f t="shared" ca="1" si="498"/>
        <v>2.8377363964111117E-2</v>
      </c>
      <c r="Y511" s="15">
        <v>744192</v>
      </c>
      <c r="Z511" s="16">
        <f t="shared" ca="1" si="499"/>
        <v>8.3780650895932517E-4</v>
      </c>
      <c r="AA511" s="15">
        <v>1006</v>
      </c>
      <c r="AB511" s="16">
        <f t="shared" ca="1" si="500"/>
        <v>2.0847938899023807E-6</v>
      </c>
      <c r="AC511" s="15">
        <v>646996</v>
      </c>
      <c r="AD511" s="16">
        <f t="shared" ca="1" si="501"/>
        <v>2.5812361973799609E-2</v>
      </c>
      <c r="AE511" s="15">
        <v>2538793.0299999998</v>
      </c>
      <c r="AF511" s="16">
        <f t="shared" ca="1" si="502"/>
        <v>2.3696582012436931E-2</v>
      </c>
      <c r="AG511" s="15">
        <v>4035630</v>
      </c>
      <c r="AH511" s="16">
        <f t="shared" ca="1" si="503"/>
        <v>9.9549807301376123E-2</v>
      </c>
      <c r="AI511" s="62">
        <f t="shared" ca="1" si="504"/>
        <v>58798830.310000002</v>
      </c>
    </row>
    <row r="512" spans="2:35" x14ac:dyDescent="0.4">
      <c r="B512" s="22" t="s">
        <v>21</v>
      </c>
      <c r="C512" s="15">
        <v>78</v>
      </c>
      <c r="D512" s="16">
        <f t="shared" ca="1" si="490"/>
        <v>2.2648083623693381E-2</v>
      </c>
      <c r="E512" s="15">
        <v>114</v>
      </c>
      <c r="F512" s="16">
        <f t="shared" ca="1" si="491"/>
        <v>2.0882945594431216E-2</v>
      </c>
      <c r="G512" s="15">
        <v>3</v>
      </c>
      <c r="H512" s="16">
        <f t="shared" ca="1" si="492"/>
        <v>1.632208922742111E-3</v>
      </c>
      <c r="I512" s="15">
        <v>1</v>
      </c>
      <c r="J512" s="16">
        <f t="shared" ca="1" si="493"/>
        <v>2.7548209366391185E-3</v>
      </c>
      <c r="K512" s="15">
        <v>1</v>
      </c>
      <c r="L512" s="16">
        <f t="shared" ca="1" si="494"/>
        <v>2.6525198938992041E-3</v>
      </c>
      <c r="M512" s="15">
        <v>44</v>
      </c>
      <c r="N512" s="16">
        <f t="shared" ca="1" si="495"/>
        <v>2.1072796934865901E-2</v>
      </c>
      <c r="O512" s="15">
        <v>3</v>
      </c>
      <c r="P512" s="16">
        <f t="shared" ca="1" si="496"/>
        <v>2.9702970297029702E-2</v>
      </c>
      <c r="Q512" s="62">
        <f t="shared" ca="1" si="489"/>
        <v>244</v>
      </c>
      <c r="T512" s="22" t="s">
        <v>21</v>
      </c>
      <c r="U512" s="15">
        <v>9110632.6999999993</v>
      </c>
      <c r="V512" s="16">
        <f t="shared" ca="1" si="497"/>
        <v>1.2895615796328952E-2</v>
      </c>
      <c r="W512" s="15">
        <v>13169144.389999999</v>
      </c>
      <c r="X512" s="16">
        <f t="shared" ca="1" si="498"/>
        <v>1.1989837115056069E-2</v>
      </c>
      <c r="Y512" s="15">
        <v>887897.25</v>
      </c>
      <c r="Z512" s="16">
        <f t="shared" ca="1" si="499"/>
        <v>9.9958894389765712E-4</v>
      </c>
      <c r="AA512" s="15">
        <v>1.5499999999883585</v>
      </c>
      <c r="AB512" s="16">
        <f t="shared" ca="1" si="500"/>
        <v>3.2121575838214911E-9</v>
      </c>
      <c r="AC512" s="15">
        <v>120000</v>
      </c>
      <c r="AD512" s="16">
        <f t="shared" ca="1" si="501"/>
        <v>4.7874846781988658E-3</v>
      </c>
      <c r="AE512" s="15">
        <v>2079224.5099999995</v>
      </c>
      <c r="AF512" s="16">
        <f t="shared" ca="1" si="502"/>
        <v>1.9407062151688664E-2</v>
      </c>
      <c r="AG512" s="15">
        <v>2137353.5</v>
      </c>
      <c r="AH512" s="16">
        <f t="shared" ca="1" si="503"/>
        <v>5.2723646384807775E-2</v>
      </c>
      <c r="AI512" s="62">
        <f t="shared" ca="1" si="504"/>
        <v>27504253.899999999</v>
      </c>
    </row>
    <row r="513" spans="2:35" x14ac:dyDescent="0.4">
      <c r="B513" s="22" t="s">
        <v>22</v>
      </c>
      <c r="C513" s="15">
        <v>64</v>
      </c>
      <c r="D513" s="16">
        <f t="shared" ca="1" si="490"/>
        <v>1.8583042973286876E-2</v>
      </c>
      <c r="E513" s="15">
        <v>71</v>
      </c>
      <c r="F513" s="16">
        <f t="shared" ca="1" si="491"/>
        <v>1.3006045063198388E-2</v>
      </c>
      <c r="G513" s="15">
        <v>0</v>
      </c>
      <c r="H513" s="16">
        <f t="shared" ca="1" si="492"/>
        <v>0</v>
      </c>
      <c r="I513" s="15">
        <v>1</v>
      </c>
      <c r="J513" s="16">
        <f t="shared" ca="1" si="493"/>
        <v>2.7548209366391185E-3</v>
      </c>
      <c r="K513" s="15">
        <v>1</v>
      </c>
      <c r="L513" s="16">
        <f t="shared" ca="1" si="494"/>
        <v>2.6525198938992041E-3</v>
      </c>
      <c r="M513" s="15">
        <v>49</v>
      </c>
      <c r="N513" s="16">
        <f t="shared" ca="1" si="495"/>
        <v>2.3467432950191571E-2</v>
      </c>
      <c r="O513" s="15">
        <v>1</v>
      </c>
      <c r="P513" s="16">
        <f t="shared" ca="1" si="496"/>
        <v>9.9009900990099011E-3</v>
      </c>
      <c r="Q513" s="62">
        <f t="shared" ca="1" si="489"/>
        <v>187</v>
      </c>
      <c r="T513" s="22" t="s">
        <v>22</v>
      </c>
      <c r="U513" s="15">
        <v>7860590.0899999999</v>
      </c>
      <c r="V513" s="16">
        <f t="shared" ca="1" si="497"/>
        <v>1.1126246998528523E-2</v>
      </c>
      <c r="W513" s="15">
        <v>10214566.629999999</v>
      </c>
      <c r="X513" s="16">
        <f t="shared" ca="1" si="498"/>
        <v>9.2998441256051251E-3</v>
      </c>
      <c r="Y513" s="15">
        <v>0</v>
      </c>
      <c r="Z513" s="16">
        <f t="shared" ca="1" si="499"/>
        <v>0</v>
      </c>
      <c r="AA513" s="15">
        <v>20000</v>
      </c>
      <c r="AB513" s="16">
        <f t="shared" ca="1" si="500"/>
        <v>4.1447194630266017E-5</v>
      </c>
      <c r="AC513" s="15">
        <v>10500</v>
      </c>
      <c r="AD513" s="16">
        <f t="shared" ca="1" si="501"/>
        <v>4.1890490934240075E-4</v>
      </c>
      <c r="AE513" s="15">
        <v>2901740.8899999997</v>
      </c>
      <c r="AF513" s="16">
        <f t="shared" ca="1" si="502"/>
        <v>2.7084264123226589E-2</v>
      </c>
      <c r="AG513" s="15">
        <v>164726</v>
      </c>
      <c r="AH513" s="16">
        <f t="shared" ca="1" si="503"/>
        <v>4.063415515675739E-3</v>
      </c>
      <c r="AI513" s="62">
        <f t="shared" ca="1" si="504"/>
        <v>21172123.609999999</v>
      </c>
    </row>
    <row r="514" spans="2:35" x14ac:dyDescent="0.4">
      <c r="B514" s="22" t="s">
        <v>23</v>
      </c>
      <c r="C514" s="15">
        <v>59</v>
      </c>
      <c r="D514" s="16">
        <f t="shared" ca="1" si="490"/>
        <v>1.713124274099884E-2</v>
      </c>
      <c r="E514" s="15">
        <v>47</v>
      </c>
      <c r="F514" s="16">
        <f t="shared" ca="1" si="491"/>
        <v>8.6096354643707632E-3</v>
      </c>
      <c r="G514" s="15">
        <v>1</v>
      </c>
      <c r="H514" s="16">
        <f t="shared" ca="1" si="492"/>
        <v>5.4406964091403701E-4</v>
      </c>
      <c r="I514" s="15">
        <v>1</v>
      </c>
      <c r="J514" s="16">
        <f t="shared" ca="1" si="493"/>
        <v>2.7548209366391185E-3</v>
      </c>
      <c r="K514" s="15">
        <v>0</v>
      </c>
      <c r="L514" s="16">
        <f t="shared" ca="1" si="494"/>
        <v>0</v>
      </c>
      <c r="M514" s="15">
        <v>21</v>
      </c>
      <c r="N514" s="16">
        <f t="shared" ca="1" si="495"/>
        <v>1.0057471264367816E-2</v>
      </c>
      <c r="O514" s="15">
        <v>1</v>
      </c>
      <c r="P514" s="16">
        <f t="shared" ca="1" si="496"/>
        <v>9.9009900990099011E-3</v>
      </c>
      <c r="Q514" s="62">
        <f t="shared" ca="1" si="489"/>
        <v>130</v>
      </c>
      <c r="T514" s="22" t="s">
        <v>23</v>
      </c>
      <c r="U514" s="15">
        <v>8294688.8700000001</v>
      </c>
      <c r="V514" s="16">
        <f t="shared" ca="1" si="497"/>
        <v>1.1740690722567046E-2</v>
      </c>
      <c r="W514" s="15">
        <v>5898154.6599999992</v>
      </c>
      <c r="X514" s="16">
        <f t="shared" ca="1" si="498"/>
        <v>5.3699702545982105E-3</v>
      </c>
      <c r="Y514" s="15">
        <v>181</v>
      </c>
      <c r="Z514" s="16">
        <f t="shared" ca="1" si="499"/>
        <v>2.0376862170197726E-7</v>
      </c>
      <c r="AA514" s="15">
        <v>5.9000000000232831</v>
      </c>
      <c r="AB514" s="16">
        <f t="shared" ca="1" si="500"/>
        <v>1.2226922415976726E-8</v>
      </c>
      <c r="AC514" s="15">
        <v>0</v>
      </c>
      <c r="AD514" s="16">
        <f t="shared" ca="1" si="501"/>
        <v>0</v>
      </c>
      <c r="AE514" s="15">
        <v>867047.6</v>
      </c>
      <c r="AF514" s="16">
        <f t="shared" ca="1" si="502"/>
        <v>8.092847396105626E-3</v>
      </c>
      <c r="AG514" s="15">
        <v>16750</v>
      </c>
      <c r="AH514" s="16">
        <f t="shared" ca="1" si="503"/>
        <v>4.1318437822546915E-4</v>
      </c>
      <c r="AI514" s="62">
        <f t="shared" ca="1" si="504"/>
        <v>15076828.030000001</v>
      </c>
    </row>
    <row r="515" spans="2:35" x14ac:dyDescent="0.4">
      <c r="B515" s="23" t="s">
        <v>24</v>
      </c>
      <c r="C515" s="24">
        <v>203</v>
      </c>
      <c r="D515" s="25">
        <f t="shared" ca="1" si="490"/>
        <v>5.894308943089431E-2</v>
      </c>
      <c r="E515" s="24">
        <v>271</v>
      </c>
      <c r="F515" s="25">
        <f t="shared" ca="1" si="491"/>
        <v>4.9642791720095253E-2</v>
      </c>
      <c r="G515" s="24">
        <v>43</v>
      </c>
      <c r="H515" s="25">
        <f t="shared" ca="1" si="492"/>
        <v>2.3394994559303592E-2</v>
      </c>
      <c r="I515" s="24">
        <v>43</v>
      </c>
      <c r="J515" s="25">
        <f t="shared" ca="1" si="493"/>
        <v>0.1184573002754821</v>
      </c>
      <c r="K515" s="24">
        <v>8</v>
      </c>
      <c r="L515" s="25">
        <f t="shared" ca="1" si="494"/>
        <v>2.1220159151193633E-2</v>
      </c>
      <c r="M515" s="24">
        <v>72</v>
      </c>
      <c r="N515" s="25">
        <f t="shared" ca="1" si="495"/>
        <v>3.4482758620689655E-2</v>
      </c>
      <c r="O515" s="24">
        <v>15</v>
      </c>
      <c r="P515" s="25">
        <f t="shared" ca="1" si="496"/>
        <v>0.14851485148514851</v>
      </c>
      <c r="Q515" s="64">
        <f t="shared" ca="1" si="489"/>
        <v>655</v>
      </c>
      <c r="T515" s="23" t="s">
        <v>24</v>
      </c>
      <c r="U515" s="24">
        <v>18400721.899999999</v>
      </c>
      <c r="V515" s="25">
        <f t="shared" ca="1" si="497"/>
        <v>2.6045242719256598E-2</v>
      </c>
      <c r="W515" s="24">
        <v>26963953.84</v>
      </c>
      <c r="X515" s="25">
        <f t="shared" ca="1" si="498"/>
        <v>2.4549310490132047E-2</v>
      </c>
      <c r="Y515" s="24">
        <v>9146537.9799999986</v>
      </c>
      <c r="Z515" s="25">
        <f t="shared" ca="1" si="499"/>
        <v>1.0297112914527E-2</v>
      </c>
      <c r="AA515" s="24">
        <v>1894152.1099999999</v>
      </c>
      <c r="AB515" s="25">
        <f t="shared" ca="1" si="500"/>
        <v>3.9253645581249523E-3</v>
      </c>
      <c r="AC515" s="24">
        <v>463701</v>
      </c>
      <c r="AD515" s="25">
        <f t="shared" ca="1" si="501"/>
        <v>1.8499678606379102E-2</v>
      </c>
      <c r="AE515" s="24">
        <v>3420760.0199999996</v>
      </c>
      <c r="AF515" s="25">
        <f t="shared" ca="1" si="502"/>
        <v>3.192868398523821E-2</v>
      </c>
      <c r="AG515" s="24">
        <v>2024817</v>
      </c>
      <c r="AH515" s="25">
        <f t="shared" ca="1" si="503"/>
        <v>4.9947627054648343E-2</v>
      </c>
      <c r="AI515" s="64">
        <f t="shared" ca="1" si="504"/>
        <v>62314643.849999994</v>
      </c>
    </row>
    <row r="516" spans="2:35" x14ac:dyDescent="0.4">
      <c r="B516" s="27" t="s">
        <v>25</v>
      </c>
      <c r="C516" s="28">
        <f ca="1">SUM(C508:C515)</f>
        <v>3444</v>
      </c>
      <c r="D516" s="29">
        <f t="shared" ca="1" si="490"/>
        <v>1</v>
      </c>
      <c r="E516" s="28">
        <f ca="1">SUM(E508:E515)</f>
        <v>5459</v>
      </c>
      <c r="F516" s="29">
        <f t="shared" ca="1" si="491"/>
        <v>1</v>
      </c>
      <c r="G516" s="28">
        <f ca="1">SUM(G508:G515)</f>
        <v>1838</v>
      </c>
      <c r="H516" s="29">
        <f t="shared" ca="1" si="492"/>
        <v>1</v>
      </c>
      <c r="I516" s="28">
        <f ca="1">SUM(I508:I515)</f>
        <v>363</v>
      </c>
      <c r="J516" s="29">
        <f t="shared" ca="1" si="493"/>
        <v>1</v>
      </c>
      <c r="K516" s="28">
        <f ca="1">SUM(K508:K515)</f>
        <v>377</v>
      </c>
      <c r="L516" s="29">
        <f t="shared" ca="1" si="494"/>
        <v>1</v>
      </c>
      <c r="M516" s="28">
        <f ca="1">SUM(M508:M515)</f>
        <v>2088</v>
      </c>
      <c r="N516" s="29">
        <f t="shared" ca="1" si="495"/>
        <v>1</v>
      </c>
      <c r="O516" s="28">
        <f ca="1">SUM(O508:O515)</f>
        <v>101</v>
      </c>
      <c r="P516" s="29">
        <f t="shared" ca="1" si="496"/>
        <v>1</v>
      </c>
      <c r="Q516" s="31">
        <f t="shared" ca="1" si="489"/>
        <v>13670</v>
      </c>
      <c r="T516" s="27" t="s">
        <v>25</v>
      </c>
      <c r="U516" s="28">
        <f ca="1">SUM(U508:U515)</f>
        <v>706490705.36000001</v>
      </c>
      <c r="V516" s="29">
        <f t="shared" ca="1" si="497"/>
        <v>1</v>
      </c>
      <c r="W516" s="28">
        <f ca="1">SUM(W508:W515)</f>
        <v>1098358907.0999999</v>
      </c>
      <c r="X516" s="29">
        <f t="shared" ca="1" si="498"/>
        <v>1</v>
      </c>
      <c r="Y516" s="28">
        <f ca="1">SUM(Y508:Y515)</f>
        <v>888262375.67000079</v>
      </c>
      <c r="Z516" s="29">
        <f t="shared" ca="1" si="499"/>
        <v>1</v>
      </c>
      <c r="AA516" s="28">
        <f ca="1">SUM(AA508:AA515)</f>
        <v>482541705.86000007</v>
      </c>
      <c r="AB516" s="29">
        <f t="shared" ca="1" si="500"/>
        <v>1</v>
      </c>
      <c r="AC516" s="28">
        <f ca="1">SUM(AC508:AC515)</f>
        <v>25065354.370000005</v>
      </c>
      <c r="AD516" s="29">
        <f t="shared" ca="1" si="501"/>
        <v>1</v>
      </c>
      <c r="AE516" s="28">
        <f ca="1">SUM(AE508:AE515)</f>
        <v>107137520.03000002</v>
      </c>
      <c r="AF516" s="29">
        <f t="shared" ca="1" si="502"/>
        <v>1</v>
      </c>
      <c r="AG516" s="28">
        <f ca="1">SUM(AG508:AG515)</f>
        <v>40538802.729999997</v>
      </c>
      <c r="AH516" s="29">
        <f t="shared" ca="1" si="503"/>
        <v>1</v>
      </c>
      <c r="AI516" s="31">
        <f t="shared" ca="1" si="504"/>
        <v>3348395371.1200008</v>
      </c>
    </row>
    <row r="517" spans="2:35" x14ac:dyDescent="0.4">
      <c r="B517" s="32" t="s">
        <v>26</v>
      </c>
      <c r="C517" s="33">
        <f ca="1">C516/$Q$516</f>
        <v>0.25193855157278711</v>
      </c>
      <c r="D517" s="33"/>
      <c r="E517" s="33">
        <f ca="1">E516/$Q$516</f>
        <v>0.39934162399414774</v>
      </c>
      <c r="F517" s="33"/>
      <c r="G517" s="33">
        <f ca="1">G516/$Q$516</f>
        <v>0.13445501097293344</v>
      </c>
      <c r="H517" s="33"/>
      <c r="I517" s="33">
        <f ca="1">I516/$Q$516</f>
        <v>2.6554498902706655E-2</v>
      </c>
      <c r="J517" s="33"/>
      <c r="K517" s="33">
        <f ca="1">K516/$Q$516</f>
        <v>2.7578639356254573E-2</v>
      </c>
      <c r="L517" s="33"/>
      <c r="M517" s="33">
        <f ca="1">M516/$Q$516</f>
        <v>0.15274323335771764</v>
      </c>
      <c r="N517" s="33"/>
      <c r="O517" s="33">
        <f ca="1">O516/$Q$516</f>
        <v>7.3884418434528162E-3</v>
      </c>
      <c r="P517" s="33"/>
      <c r="Q517" s="34">
        <f ca="1">Q516/$Q$516</f>
        <v>1</v>
      </c>
      <c r="T517" s="32" t="s">
        <v>26</v>
      </c>
      <c r="U517" s="33">
        <f ca="1">U516/$AI$516</f>
        <v>0.21099381257467417</v>
      </c>
      <c r="V517" s="33"/>
      <c r="W517" s="33">
        <f ca="1">W516/$AI$516</f>
        <v>0.32802545260137878</v>
      </c>
      <c r="X517" s="33"/>
      <c r="Y517" s="33">
        <f ca="1">Y516/$AI$516</f>
        <v>0.26528001541612661</v>
      </c>
      <c r="Z517" s="33"/>
      <c r="AA517" s="33">
        <f ca="1">AA516/$AI$516</f>
        <v>0.14411132867460488</v>
      </c>
      <c r="AB517" s="33"/>
      <c r="AC517" s="33">
        <f ca="1">AC516/$AI$516</f>
        <v>7.4857809762220295E-3</v>
      </c>
      <c r="AD517" s="33"/>
      <c r="AE517" s="33">
        <f ca="1">AE516/$AI$516</f>
        <v>3.1996675468513661E-2</v>
      </c>
      <c r="AF517" s="33"/>
      <c r="AG517" s="33">
        <f ca="1">AG516/$AI$516</f>
        <v>1.2106934288479863E-2</v>
      </c>
      <c r="AH517" s="33"/>
      <c r="AI517" s="34">
        <f ca="1">AI516/$AI$516</f>
        <v>1</v>
      </c>
    </row>
    <row r="519" spans="2:35" x14ac:dyDescent="0.4">
      <c r="B519" s="4" t="s">
        <v>55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T519" s="4" t="s">
        <v>55</v>
      </c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spans="2:35" x14ac:dyDescent="0.4">
      <c r="B520" s="5"/>
      <c r="C520" s="6" t="s">
        <v>3</v>
      </c>
      <c r="D520" s="6"/>
      <c r="E520" s="6" t="s">
        <v>4</v>
      </c>
      <c r="F520" s="6"/>
      <c r="G520" s="6" t="s">
        <v>5</v>
      </c>
      <c r="H520" s="6"/>
      <c r="I520" s="6" t="s">
        <v>6</v>
      </c>
      <c r="J520" s="6"/>
      <c r="K520" s="6" t="s">
        <v>7</v>
      </c>
      <c r="L520" s="6"/>
      <c r="M520" s="6" t="s">
        <v>8</v>
      </c>
      <c r="N520" s="6"/>
      <c r="O520" s="6" t="s">
        <v>9</v>
      </c>
      <c r="P520" s="6"/>
      <c r="Q520" s="7" t="s">
        <v>10</v>
      </c>
      <c r="T520" s="5"/>
      <c r="U520" s="6" t="s">
        <v>3</v>
      </c>
      <c r="V520" s="6"/>
      <c r="W520" s="6" t="s">
        <v>4</v>
      </c>
      <c r="X520" s="6"/>
      <c r="Y520" s="6" t="s">
        <v>5</v>
      </c>
      <c r="Z520" s="6"/>
      <c r="AA520" s="6" t="s">
        <v>6</v>
      </c>
      <c r="AB520" s="6"/>
      <c r="AC520" s="6" t="s">
        <v>7</v>
      </c>
      <c r="AD520" s="6"/>
      <c r="AE520" s="6" t="s">
        <v>8</v>
      </c>
      <c r="AF520" s="6"/>
      <c r="AG520" s="6" t="s">
        <v>9</v>
      </c>
      <c r="AH520" s="6"/>
      <c r="AI520" s="7" t="s">
        <v>10</v>
      </c>
    </row>
    <row r="521" spans="2:35" x14ac:dyDescent="0.4">
      <c r="B521" s="8" t="s">
        <v>11</v>
      </c>
      <c r="C521" s="8" t="s">
        <v>12</v>
      </c>
      <c r="D521" s="8" t="s">
        <v>13</v>
      </c>
      <c r="E521" s="8" t="s">
        <v>12</v>
      </c>
      <c r="F521" s="8" t="s">
        <v>13</v>
      </c>
      <c r="G521" s="8" t="s">
        <v>12</v>
      </c>
      <c r="H521" s="8" t="s">
        <v>13</v>
      </c>
      <c r="I521" s="8" t="s">
        <v>12</v>
      </c>
      <c r="J521" s="8" t="s">
        <v>13</v>
      </c>
      <c r="K521" s="8" t="s">
        <v>12</v>
      </c>
      <c r="L521" s="8" t="s">
        <v>13</v>
      </c>
      <c r="M521" s="8" t="s">
        <v>12</v>
      </c>
      <c r="N521" s="8" t="s">
        <v>13</v>
      </c>
      <c r="O521" s="8" t="s">
        <v>12</v>
      </c>
      <c r="P521" s="8" t="s">
        <v>13</v>
      </c>
      <c r="Q521" s="7"/>
      <c r="T521" s="8" t="s">
        <v>11</v>
      </c>
      <c r="U521" s="8" t="s">
        <v>14</v>
      </c>
      <c r="V521" s="8" t="s">
        <v>13</v>
      </c>
      <c r="W521" s="8" t="s">
        <v>14</v>
      </c>
      <c r="X521" s="8" t="s">
        <v>13</v>
      </c>
      <c r="Y521" s="8" t="s">
        <v>14</v>
      </c>
      <c r="Z521" s="8" t="s">
        <v>13</v>
      </c>
      <c r="AA521" s="8" t="s">
        <v>14</v>
      </c>
      <c r="AB521" s="8" t="s">
        <v>13</v>
      </c>
      <c r="AC521" s="8" t="s">
        <v>14</v>
      </c>
      <c r="AD521" s="8" t="s">
        <v>13</v>
      </c>
      <c r="AE521" s="8" t="s">
        <v>14</v>
      </c>
      <c r="AF521" s="8" t="s">
        <v>13</v>
      </c>
      <c r="AG521" s="8" t="s">
        <v>14</v>
      </c>
      <c r="AH521" s="8" t="s">
        <v>13</v>
      </c>
      <c r="AI521" s="7"/>
    </row>
    <row r="522" spans="2:35" x14ac:dyDescent="0.4">
      <c r="B522" s="9" t="s">
        <v>15</v>
      </c>
      <c r="C522" s="10">
        <v>27</v>
      </c>
      <c r="D522" s="11">
        <f ca="1">C522/C$532</f>
        <v>0.39705882352941174</v>
      </c>
      <c r="E522" s="10">
        <v>105</v>
      </c>
      <c r="F522" s="11">
        <f ca="1">E522/E$532</f>
        <v>0.64417177914110424</v>
      </c>
      <c r="G522" s="10">
        <v>39</v>
      </c>
      <c r="H522" s="11">
        <f ca="1">G522/G$532</f>
        <v>1</v>
      </c>
      <c r="I522" s="10">
        <v>64</v>
      </c>
      <c r="J522" s="11">
        <f ca="1">I522/I$532</f>
        <v>1</v>
      </c>
      <c r="K522" s="10">
        <v>1</v>
      </c>
      <c r="L522" s="11">
        <f ca="1">IFERROR((K522/K$532),0)</f>
        <v>1</v>
      </c>
      <c r="M522" s="10">
        <v>17</v>
      </c>
      <c r="N522" s="11">
        <f ca="1">IFERROR((M522/M$532),0)</f>
        <v>0.6071428571428571</v>
      </c>
      <c r="O522" s="10">
        <v>5</v>
      </c>
      <c r="P522" s="11">
        <f ca="1">IFERROR((O522/O$532),0)</f>
        <v>0.7142857142857143</v>
      </c>
      <c r="Q522" s="60">
        <f ca="1">SUM(C522,G522,I522,K522,M522,O522,E522)</f>
        <v>258</v>
      </c>
      <c r="T522" s="9" t="s">
        <v>15</v>
      </c>
      <c r="U522" s="10">
        <v>6530638.4800000004</v>
      </c>
      <c r="V522" s="11">
        <f ca="1">U522/U$532</f>
        <v>0.4525652281449673</v>
      </c>
      <c r="W522" s="10">
        <v>31188335.059999999</v>
      </c>
      <c r="X522" s="11">
        <f ca="1">W522/W$532</f>
        <v>0.6952672075480536</v>
      </c>
      <c r="Y522" s="10">
        <v>17428010.079999998</v>
      </c>
      <c r="Z522" s="11">
        <f ca="1">Y522/Y$532</f>
        <v>1</v>
      </c>
      <c r="AA522" s="10">
        <v>59136302.5</v>
      </c>
      <c r="AB522" s="11">
        <f ca="1">AA522/AA$532</f>
        <v>1</v>
      </c>
      <c r="AC522" s="10">
        <v>10500</v>
      </c>
      <c r="AD522" s="11">
        <f ca="1">IFERROR((AC522/AC$532),0)</f>
        <v>1</v>
      </c>
      <c r="AE522" s="10">
        <v>704000</v>
      </c>
      <c r="AF522" s="11">
        <f ca="1">IFERROR((AE522/AE$532),0)</f>
        <v>0.57356185841016116</v>
      </c>
      <c r="AG522" s="10">
        <v>5835780.1099999994</v>
      </c>
      <c r="AH522" s="11">
        <f ca="1">IFERROR((AG522/AG$532),0)</f>
        <v>0.98028752288163545</v>
      </c>
      <c r="AI522" s="60">
        <f ca="1">SUM(U522,Y522,AA522,AC522,AE522,AG522,W522)</f>
        <v>120833566.23</v>
      </c>
    </row>
    <row r="523" spans="2:35" x14ac:dyDescent="0.4">
      <c r="B523" s="14" t="s">
        <v>16</v>
      </c>
      <c r="C523" s="15">
        <v>34</v>
      </c>
      <c r="D523" s="16">
        <f ca="1">C523/C$532</f>
        <v>0.5</v>
      </c>
      <c r="E523" s="15">
        <v>50</v>
      </c>
      <c r="F523" s="16">
        <f ca="1">E523/E$532</f>
        <v>0.30674846625766872</v>
      </c>
      <c r="G523" s="15">
        <v>0</v>
      </c>
      <c r="H523" s="16">
        <f ca="1">G523/G$532</f>
        <v>0</v>
      </c>
      <c r="I523" s="15">
        <v>0</v>
      </c>
      <c r="J523" s="16">
        <f ca="1">I523/I$532</f>
        <v>0</v>
      </c>
      <c r="K523" s="15">
        <v>0</v>
      </c>
      <c r="L523" s="16">
        <f t="shared" ref="L523:L532" ca="1" si="505">IFERROR((K523/K$532),0)</f>
        <v>0</v>
      </c>
      <c r="M523" s="15">
        <v>6</v>
      </c>
      <c r="N523" s="16">
        <f t="shared" ref="N523:N532" ca="1" si="506">IFERROR((M523/M$532),0)</f>
        <v>0.21428571428571427</v>
      </c>
      <c r="O523" s="15">
        <v>0</v>
      </c>
      <c r="P523" s="16">
        <f t="shared" ref="P523:P532" ca="1" si="507">IFERROR((O523/O$532),0)</f>
        <v>0</v>
      </c>
      <c r="Q523" s="62">
        <f t="shared" ref="Q523:Q532" ca="1" si="508">SUM(C523,G523,I523,K523,M523,O523,E523)</f>
        <v>90</v>
      </c>
      <c r="T523" s="14" t="s">
        <v>16</v>
      </c>
      <c r="U523" s="15">
        <v>7116798.6500000004</v>
      </c>
      <c r="V523" s="16">
        <f ca="1">U523/U$532</f>
        <v>0.49318540822046009</v>
      </c>
      <c r="W523" s="15">
        <v>12411356.060000001</v>
      </c>
      <c r="X523" s="16">
        <f ca="1">W523/W$532</f>
        <v>0.2766806516962183</v>
      </c>
      <c r="Y523" s="15">
        <v>0</v>
      </c>
      <c r="Z523" s="16">
        <f ca="1">Y523/Y$532</f>
        <v>0</v>
      </c>
      <c r="AA523" s="15">
        <v>0</v>
      </c>
      <c r="AB523" s="16">
        <f ca="1">AA523/AA$532</f>
        <v>0</v>
      </c>
      <c r="AC523" s="15">
        <v>0</v>
      </c>
      <c r="AD523" s="16">
        <f t="shared" ref="AD523:AD532" ca="1" si="509">IFERROR((AC523/AC$532),0)</f>
        <v>0</v>
      </c>
      <c r="AE523" s="15">
        <v>158417.74</v>
      </c>
      <c r="AF523" s="16">
        <f t="shared" ref="AF523:AF532" ca="1" si="510">IFERROR((AE523/AE$532),0)</f>
        <v>0.12906587124934335</v>
      </c>
      <c r="AG523" s="15">
        <v>0</v>
      </c>
      <c r="AH523" s="16">
        <f t="shared" ref="AH523:AH532" ca="1" si="511">IFERROR((AG523/AG$532),0)</f>
        <v>0</v>
      </c>
      <c r="AI523" s="62">
        <f ca="1">SUM(U523,Y523,AA523,AC523,AE523,AG523,W523)</f>
        <v>19686572.450000003</v>
      </c>
    </row>
    <row r="524" spans="2:35" x14ac:dyDescent="0.4">
      <c r="B524" s="18" t="s">
        <v>17</v>
      </c>
      <c r="C524" s="19">
        <f ca="1">+SUM(C522:C523)</f>
        <v>61</v>
      </c>
      <c r="D524" s="20">
        <f ca="1">+C524/$C$532</f>
        <v>0.8970588235294118</v>
      </c>
      <c r="E524" s="19">
        <f ca="1">+SUM(E522:E523)</f>
        <v>155</v>
      </c>
      <c r="F524" s="20">
        <f ca="1">+E524/$E$532</f>
        <v>0.95092024539877296</v>
      </c>
      <c r="G524" s="19">
        <f ca="1">+SUM(G522:G523)</f>
        <v>39</v>
      </c>
      <c r="H524" s="20">
        <f ca="1">+G524/$G$532</f>
        <v>1</v>
      </c>
      <c r="I524" s="19">
        <f ca="1">+SUM(I522:I523)</f>
        <v>64</v>
      </c>
      <c r="J524" s="20">
        <f ca="1">+I524/$I$532</f>
        <v>1</v>
      </c>
      <c r="K524" s="19">
        <f ca="1">+SUM(K522:K523)</f>
        <v>1</v>
      </c>
      <c r="L524" s="20">
        <f t="shared" ca="1" si="505"/>
        <v>1</v>
      </c>
      <c r="M524" s="19">
        <f ca="1">+SUM(M522:M523)</f>
        <v>23</v>
      </c>
      <c r="N524" s="20">
        <f t="shared" ca="1" si="506"/>
        <v>0.8214285714285714</v>
      </c>
      <c r="O524" s="19">
        <f ca="1">+SUM(O522:O523)</f>
        <v>5</v>
      </c>
      <c r="P524" s="20">
        <f t="shared" ca="1" si="507"/>
        <v>0.7142857142857143</v>
      </c>
      <c r="Q524" s="101">
        <f ca="1">+SUM(Q522:Q523)</f>
        <v>348</v>
      </c>
      <c r="T524" s="18" t="s">
        <v>17</v>
      </c>
      <c r="U524" s="19">
        <f ca="1">+SUM(U522:U523)</f>
        <v>13647437.130000001</v>
      </c>
      <c r="V524" s="20">
        <f ca="1">U524/U$532</f>
        <v>0.94575063636542733</v>
      </c>
      <c r="W524" s="19">
        <f ca="1">+SUM(W522:W523)</f>
        <v>43599691.119999997</v>
      </c>
      <c r="X524" s="20">
        <f ca="1">W524/W$532</f>
        <v>0.97194785924427185</v>
      </c>
      <c r="Y524" s="19">
        <f ca="1">+SUM(Y522:Y523)</f>
        <v>17428010.079999998</v>
      </c>
      <c r="Z524" s="20">
        <f ca="1">Y524/Y$532</f>
        <v>1</v>
      </c>
      <c r="AA524" s="19">
        <f ca="1">+SUM(AA522:AA523)</f>
        <v>59136302.5</v>
      </c>
      <c r="AB524" s="20">
        <f ca="1">AA524/AA$532</f>
        <v>1</v>
      </c>
      <c r="AC524" s="19">
        <f ca="1">+SUM(AC522:AC523)</f>
        <v>10500</v>
      </c>
      <c r="AD524" s="20">
        <f t="shared" ca="1" si="509"/>
        <v>1</v>
      </c>
      <c r="AE524" s="19">
        <f ca="1">+SUM(AE522:AE523)</f>
        <v>862417.74</v>
      </c>
      <c r="AF524" s="20">
        <f t="shared" ca="1" si="510"/>
        <v>0.70262772965950449</v>
      </c>
      <c r="AG524" s="19">
        <f ca="1">+SUM(AG522:AG523)</f>
        <v>5835780.1099999994</v>
      </c>
      <c r="AH524" s="20">
        <f t="shared" ca="1" si="511"/>
        <v>0.98028752288163545</v>
      </c>
      <c r="AI524" s="21">
        <f ca="1">+SUM(AI522:AI523)</f>
        <v>140520138.68000001</v>
      </c>
    </row>
    <row r="525" spans="2:35" x14ac:dyDescent="0.4">
      <c r="B525" s="22" t="s">
        <v>18</v>
      </c>
      <c r="C525" s="15">
        <v>3</v>
      </c>
      <c r="D525" s="16">
        <f t="shared" ref="D525:D532" ca="1" si="512">C525/C$532</f>
        <v>4.4117647058823532E-2</v>
      </c>
      <c r="E525" s="15">
        <v>5</v>
      </c>
      <c r="F525" s="16">
        <f t="shared" ref="F525:F532" ca="1" si="513">E525/E$532</f>
        <v>3.0674846625766871E-2</v>
      </c>
      <c r="G525" s="15">
        <v>0</v>
      </c>
      <c r="H525" s="16">
        <f t="shared" ref="H525:H532" ca="1" si="514">G525/G$532</f>
        <v>0</v>
      </c>
      <c r="I525" s="15">
        <v>0</v>
      </c>
      <c r="J525" s="16">
        <f t="shared" ref="J525:J532" ca="1" si="515">I525/I$532</f>
        <v>0</v>
      </c>
      <c r="K525" s="15">
        <v>0</v>
      </c>
      <c r="L525" s="16">
        <f t="shared" ca="1" si="505"/>
        <v>0</v>
      </c>
      <c r="M525" s="15">
        <v>2</v>
      </c>
      <c r="N525" s="16">
        <f t="shared" ca="1" si="506"/>
        <v>7.1428571428571425E-2</v>
      </c>
      <c r="O525" s="15">
        <v>2</v>
      </c>
      <c r="P525" s="16">
        <f t="shared" ca="1" si="507"/>
        <v>0.2857142857142857</v>
      </c>
      <c r="Q525" s="62">
        <f t="shared" ca="1" si="508"/>
        <v>12</v>
      </c>
      <c r="T525" s="22" t="s">
        <v>18</v>
      </c>
      <c r="U525" s="15">
        <v>83250.969999999972</v>
      </c>
      <c r="V525" s="16">
        <f t="shared" ref="V525:V532" ca="1" si="516">U525/U$532</f>
        <v>5.7691900028953693E-3</v>
      </c>
      <c r="W525" s="15">
        <v>985779.87999999989</v>
      </c>
      <c r="X525" s="16">
        <f t="shared" ref="X525:X532" ca="1" si="517">W525/W$532</f>
        <v>2.1975537427891649E-2</v>
      </c>
      <c r="Y525" s="15">
        <v>0</v>
      </c>
      <c r="Z525" s="16">
        <f t="shared" ref="Z525:Z532" ca="1" si="518">Y525/Y$532</f>
        <v>0</v>
      </c>
      <c r="AA525" s="15">
        <v>0</v>
      </c>
      <c r="AB525" s="16">
        <f t="shared" ref="AB525:AB532" ca="1" si="519">AA525/AA$532</f>
        <v>0</v>
      </c>
      <c r="AC525" s="15">
        <v>0</v>
      </c>
      <c r="AD525" s="16">
        <f t="shared" ca="1" si="509"/>
        <v>0</v>
      </c>
      <c r="AE525" s="15">
        <v>200000</v>
      </c>
      <c r="AF525" s="16">
        <f t="shared" ca="1" si="510"/>
        <v>0.16294370977561395</v>
      </c>
      <c r="AG525" s="15">
        <v>117350.9600000002</v>
      </c>
      <c r="AH525" s="16">
        <f t="shared" ca="1" si="511"/>
        <v>1.9712477118364574E-2</v>
      </c>
      <c r="AI525" s="62">
        <f t="shared" ref="AI525:AI532" ca="1" si="520">SUM(U525,Y525,AA525,AC525,AE525,AG525,W525)</f>
        <v>1386381.81</v>
      </c>
    </row>
    <row r="526" spans="2:35" x14ac:dyDescent="0.4">
      <c r="B526" s="22" t="s">
        <v>19</v>
      </c>
      <c r="C526" s="15">
        <v>4</v>
      </c>
      <c r="D526" s="16">
        <f t="shared" ca="1" si="512"/>
        <v>5.8823529411764705E-2</v>
      </c>
      <c r="E526" s="15">
        <v>3</v>
      </c>
      <c r="F526" s="16">
        <f t="shared" ca="1" si="513"/>
        <v>1.8404907975460124E-2</v>
      </c>
      <c r="G526" s="15">
        <v>0</v>
      </c>
      <c r="H526" s="16">
        <f t="shared" ca="1" si="514"/>
        <v>0</v>
      </c>
      <c r="I526" s="15">
        <v>0</v>
      </c>
      <c r="J526" s="16">
        <f t="shared" ca="1" si="515"/>
        <v>0</v>
      </c>
      <c r="K526" s="15">
        <v>0</v>
      </c>
      <c r="L526" s="16">
        <f t="shared" ca="1" si="505"/>
        <v>0</v>
      </c>
      <c r="M526" s="15">
        <v>3</v>
      </c>
      <c r="N526" s="16">
        <f t="shared" ca="1" si="506"/>
        <v>0.10714285714285714</v>
      </c>
      <c r="O526" s="15">
        <v>0</v>
      </c>
      <c r="P526" s="16">
        <f t="shared" ca="1" si="507"/>
        <v>0</v>
      </c>
      <c r="Q526" s="62">
        <f t="shared" ca="1" si="508"/>
        <v>10</v>
      </c>
      <c r="T526" s="22" t="s">
        <v>19</v>
      </c>
      <c r="U526" s="15">
        <v>699582</v>
      </c>
      <c r="V526" s="16">
        <f t="shared" ca="1" si="516"/>
        <v>4.8480173631677198E-2</v>
      </c>
      <c r="W526" s="15">
        <v>272584.6100000001</v>
      </c>
      <c r="X526" s="16">
        <f t="shared" ca="1" si="517"/>
        <v>6.0766033278364853E-3</v>
      </c>
      <c r="Y526" s="15">
        <v>0</v>
      </c>
      <c r="Z526" s="16">
        <f t="shared" ca="1" si="518"/>
        <v>0</v>
      </c>
      <c r="AA526" s="15">
        <v>0</v>
      </c>
      <c r="AB526" s="16">
        <f t="shared" ca="1" si="519"/>
        <v>0</v>
      </c>
      <c r="AC526" s="15">
        <v>0</v>
      </c>
      <c r="AD526" s="16">
        <f t="shared" ca="1" si="509"/>
        <v>0</v>
      </c>
      <c r="AE526" s="15">
        <v>165000</v>
      </c>
      <c r="AF526" s="16">
        <f t="shared" ca="1" si="510"/>
        <v>0.13442856056488153</v>
      </c>
      <c r="AG526" s="15">
        <v>0</v>
      </c>
      <c r="AH526" s="16">
        <f t="shared" ca="1" si="511"/>
        <v>0</v>
      </c>
      <c r="AI526" s="62">
        <f t="shared" ca="1" si="520"/>
        <v>1137166.6100000001</v>
      </c>
    </row>
    <row r="527" spans="2:35" x14ac:dyDescent="0.4">
      <c r="B527" s="22" t="s">
        <v>20</v>
      </c>
      <c r="C527" s="15">
        <v>0</v>
      </c>
      <c r="D527" s="16">
        <f t="shared" ca="1" si="512"/>
        <v>0</v>
      </c>
      <c r="E527" s="15">
        <v>0</v>
      </c>
      <c r="F527" s="16">
        <f t="shared" ca="1" si="513"/>
        <v>0</v>
      </c>
      <c r="G527" s="15">
        <v>0</v>
      </c>
      <c r="H527" s="16">
        <f t="shared" ca="1" si="514"/>
        <v>0</v>
      </c>
      <c r="I527" s="15">
        <v>0</v>
      </c>
      <c r="J527" s="16">
        <f t="shared" ca="1" si="515"/>
        <v>0</v>
      </c>
      <c r="K527" s="15">
        <v>0</v>
      </c>
      <c r="L527" s="16">
        <f t="shared" ca="1" si="505"/>
        <v>0</v>
      </c>
      <c r="M527" s="15">
        <v>0</v>
      </c>
      <c r="N527" s="16">
        <f t="shared" ca="1" si="506"/>
        <v>0</v>
      </c>
      <c r="O527" s="15">
        <v>0</v>
      </c>
      <c r="P527" s="16">
        <f t="shared" ca="1" si="507"/>
        <v>0</v>
      </c>
      <c r="Q527" s="62">
        <f t="shared" ca="1" si="508"/>
        <v>0</v>
      </c>
      <c r="T527" s="22" t="s">
        <v>20</v>
      </c>
      <c r="U527" s="15">
        <v>0</v>
      </c>
      <c r="V527" s="16">
        <f t="shared" ca="1" si="516"/>
        <v>0</v>
      </c>
      <c r="W527" s="15">
        <v>0</v>
      </c>
      <c r="X527" s="16">
        <f t="shared" ca="1" si="517"/>
        <v>0</v>
      </c>
      <c r="Y527" s="15">
        <v>0</v>
      </c>
      <c r="Z527" s="16">
        <f t="shared" ca="1" si="518"/>
        <v>0</v>
      </c>
      <c r="AA527" s="15">
        <v>0</v>
      </c>
      <c r="AB527" s="16">
        <f t="shared" ca="1" si="519"/>
        <v>0</v>
      </c>
      <c r="AC527" s="15">
        <v>0</v>
      </c>
      <c r="AD527" s="16">
        <f t="shared" ca="1" si="509"/>
        <v>0</v>
      </c>
      <c r="AE527" s="15">
        <v>0</v>
      </c>
      <c r="AF527" s="16">
        <f t="shared" ca="1" si="510"/>
        <v>0</v>
      </c>
      <c r="AG527" s="15">
        <v>0</v>
      </c>
      <c r="AH527" s="16">
        <f t="shared" ca="1" si="511"/>
        <v>0</v>
      </c>
      <c r="AI527" s="62">
        <f t="shared" ca="1" si="520"/>
        <v>0</v>
      </c>
    </row>
    <row r="528" spans="2:35" x14ac:dyDescent="0.4">
      <c r="B528" s="22" t="s">
        <v>21</v>
      </c>
      <c r="C528" s="15">
        <v>0</v>
      </c>
      <c r="D528" s="16">
        <f t="shared" ca="1" si="512"/>
        <v>0</v>
      </c>
      <c r="E528" s="15">
        <v>0</v>
      </c>
      <c r="F528" s="16">
        <f t="shared" ca="1" si="513"/>
        <v>0</v>
      </c>
      <c r="G528" s="15">
        <v>0</v>
      </c>
      <c r="H528" s="16">
        <f t="shared" ca="1" si="514"/>
        <v>0</v>
      </c>
      <c r="I528" s="15">
        <v>0</v>
      </c>
      <c r="J528" s="16">
        <f t="shared" ca="1" si="515"/>
        <v>0</v>
      </c>
      <c r="K528" s="15">
        <v>0</v>
      </c>
      <c r="L528" s="16">
        <f t="shared" ca="1" si="505"/>
        <v>0</v>
      </c>
      <c r="M528" s="15">
        <v>0</v>
      </c>
      <c r="N528" s="16">
        <f t="shared" ca="1" si="506"/>
        <v>0</v>
      </c>
      <c r="O528" s="15">
        <v>0</v>
      </c>
      <c r="P528" s="16">
        <f t="shared" ca="1" si="507"/>
        <v>0</v>
      </c>
      <c r="Q528" s="62">
        <f t="shared" ca="1" si="508"/>
        <v>0</v>
      </c>
      <c r="T528" s="22" t="s">
        <v>21</v>
      </c>
      <c r="U528" s="15">
        <v>0</v>
      </c>
      <c r="V528" s="16">
        <f t="shared" ca="1" si="516"/>
        <v>0</v>
      </c>
      <c r="W528" s="15">
        <v>0</v>
      </c>
      <c r="X528" s="16">
        <f t="shared" ca="1" si="517"/>
        <v>0</v>
      </c>
      <c r="Y528" s="15">
        <v>0</v>
      </c>
      <c r="Z528" s="16">
        <f t="shared" ca="1" si="518"/>
        <v>0</v>
      </c>
      <c r="AA528" s="15">
        <v>0</v>
      </c>
      <c r="AB528" s="16">
        <f t="shared" ca="1" si="519"/>
        <v>0</v>
      </c>
      <c r="AC528" s="15">
        <v>0</v>
      </c>
      <c r="AD528" s="16">
        <f t="shared" ca="1" si="509"/>
        <v>0</v>
      </c>
      <c r="AE528" s="15">
        <v>0</v>
      </c>
      <c r="AF528" s="16">
        <f t="shared" ca="1" si="510"/>
        <v>0</v>
      </c>
      <c r="AG528" s="15">
        <v>0</v>
      </c>
      <c r="AH528" s="16">
        <f t="shared" ca="1" si="511"/>
        <v>0</v>
      </c>
      <c r="AI528" s="62">
        <f t="shared" ca="1" si="520"/>
        <v>0</v>
      </c>
    </row>
    <row r="529" spans="2:35" x14ac:dyDescent="0.4">
      <c r="B529" s="22" t="s">
        <v>22</v>
      </c>
      <c r="C529" s="15">
        <v>0</v>
      </c>
      <c r="D529" s="16">
        <f t="shared" ca="1" si="512"/>
        <v>0</v>
      </c>
      <c r="E529" s="15">
        <v>0</v>
      </c>
      <c r="F529" s="16">
        <f t="shared" ca="1" si="513"/>
        <v>0</v>
      </c>
      <c r="G529" s="15">
        <v>0</v>
      </c>
      <c r="H529" s="16">
        <f t="shared" ca="1" si="514"/>
        <v>0</v>
      </c>
      <c r="I529" s="15">
        <v>0</v>
      </c>
      <c r="J529" s="16">
        <f t="shared" ca="1" si="515"/>
        <v>0</v>
      </c>
      <c r="K529" s="15">
        <v>0</v>
      </c>
      <c r="L529" s="16">
        <f t="shared" ca="1" si="505"/>
        <v>0</v>
      </c>
      <c r="M529" s="15">
        <v>0</v>
      </c>
      <c r="N529" s="16">
        <f t="shared" ca="1" si="506"/>
        <v>0</v>
      </c>
      <c r="O529" s="15">
        <v>0</v>
      </c>
      <c r="P529" s="16">
        <f t="shared" ca="1" si="507"/>
        <v>0</v>
      </c>
      <c r="Q529" s="62">
        <f t="shared" ca="1" si="508"/>
        <v>0</v>
      </c>
      <c r="T529" s="22" t="s">
        <v>22</v>
      </c>
      <c r="U529" s="15">
        <v>0</v>
      </c>
      <c r="V529" s="16">
        <f t="shared" ca="1" si="516"/>
        <v>0</v>
      </c>
      <c r="W529" s="15">
        <v>0</v>
      </c>
      <c r="X529" s="16">
        <f t="shared" ca="1" si="517"/>
        <v>0</v>
      </c>
      <c r="Y529" s="15">
        <v>0</v>
      </c>
      <c r="Z529" s="16">
        <f t="shared" ca="1" si="518"/>
        <v>0</v>
      </c>
      <c r="AA529" s="15">
        <v>0</v>
      </c>
      <c r="AB529" s="16">
        <f t="shared" ca="1" si="519"/>
        <v>0</v>
      </c>
      <c r="AC529" s="15">
        <v>0</v>
      </c>
      <c r="AD529" s="16">
        <f t="shared" ca="1" si="509"/>
        <v>0</v>
      </c>
      <c r="AE529" s="15">
        <v>0</v>
      </c>
      <c r="AF529" s="16">
        <f t="shared" ca="1" si="510"/>
        <v>0</v>
      </c>
      <c r="AG529" s="15">
        <v>0</v>
      </c>
      <c r="AH529" s="16">
        <f t="shared" ca="1" si="511"/>
        <v>0</v>
      </c>
      <c r="AI529" s="62">
        <f t="shared" ca="1" si="520"/>
        <v>0</v>
      </c>
    </row>
    <row r="530" spans="2:35" x14ac:dyDescent="0.4">
      <c r="B530" s="22" t="s">
        <v>23</v>
      </c>
      <c r="C530" s="15">
        <v>0</v>
      </c>
      <c r="D530" s="16">
        <f t="shared" ca="1" si="512"/>
        <v>0</v>
      </c>
      <c r="E530" s="15">
        <v>0</v>
      </c>
      <c r="F530" s="16">
        <f t="shared" ca="1" si="513"/>
        <v>0</v>
      </c>
      <c r="G530" s="15">
        <v>0</v>
      </c>
      <c r="H530" s="16">
        <f t="shared" ca="1" si="514"/>
        <v>0</v>
      </c>
      <c r="I530" s="15">
        <v>0</v>
      </c>
      <c r="J530" s="16">
        <f t="shared" ca="1" si="515"/>
        <v>0</v>
      </c>
      <c r="K530" s="15">
        <v>0</v>
      </c>
      <c r="L530" s="16">
        <f t="shared" ca="1" si="505"/>
        <v>0</v>
      </c>
      <c r="M530" s="15">
        <v>0</v>
      </c>
      <c r="N530" s="16">
        <f t="shared" ca="1" si="506"/>
        <v>0</v>
      </c>
      <c r="O530" s="15">
        <v>0</v>
      </c>
      <c r="P530" s="16">
        <f t="shared" ca="1" si="507"/>
        <v>0</v>
      </c>
      <c r="Q530" s="62">
        <f t="shared" ca="1" si="508"/>
        <v>0</v>
      </c>
      <c r="T530" s="22" t="s">
        <v>23</v>
      </c>
      <c r="U530" s="15">
        <v>0</v>
      </c>
      <c r="V530" s="16">
        <f t="shared" ca="1" si="516"/>
        <v>0</v>
      </c>
      <c r="W530" s="15">
        <v>0</v>
      </c>
      <c r="X530" s="16">
        <f t="shared" ca="1" si="517"/>
        <v>0</v>
      </c>
      <c r="Y530" s="15">
        <v>0</v>
      </c>
      <c r="Z530" s="16">
        <f t="shared" ca="1" si="518"/>
        <v>0</v>
      </c>
      <c r="AA530" s="15">
        <v>0</v>
      </c>
      <c r="AB530" s="16">
        <f t="shared" ca="1" si="519"/>
        <v>0</v>
      </c>
      <c r="AC530" s="15">
        <v>0</v>
      </c>
      <c r="AD530" s="16">
        <f t="shared" ca="1" si="509"/>
        <v>0</v>
      </c>
      <c r="AE530" s="15">
        <v>0</v>
      </c>
      <c r="AF530" s="16">
        <f t="shared" ca="1" si="510"/>
        <v>0</v>
      </c>
      <c r="AG530" s="15">
        <v>0</v>
      </c>
      <c r="AH530" s="16">
        <f t="shared" ca="1" si="511"/>
        <v>0</v>
      </c>
      <c r="AI530" s="62">
        <f t="shared" ca="1" si="520"/>
        <v>0</v>
      </c>
    </row>
    <row r="531" spans="2:35" x14ac:dyDescent="0.4">
      <c r="B531" s="23" t="s">
        <v>24</v>
      </c>
      <c r="C531" s="24">
        <v>0</v>
      </c>
      <c r="D531" s="25">
        <f t="shared" ca="1" si="512"/>
        <v>0</v>
      </c>
      <c r="E531" s="24">
        <v>0</v>
      </c>
      <c r="F531" s="25">
        <f t="shared" ca="1" si="513"/>
        <v>0</v>
      </c>
      <c r="G531" s="24">
        <v>0</v>
      </c>
      <c r="H531" s="25">
        <f t="shared" ca="1" si="514"/>
        <v>0</v>
      </c>
      <c r="I531" s="24">
        <v>0</v>
      </c>
      <c r="J531" s="25">
        <f t="shared" ca="1" si="515"/>
        <v>0</v>
      </c>
      <c r="K531" s="24">
        <v>0</v>
      </c>
      <c r="L531" s="25">
        <f t="shared" ca="1" si="505"/>
        <v>0</v>
      </c>
      <c r="M531" s="24">
        <v>0</v>
      </c>
      <c r="N531" s="25">
        <f t="shared" ca="1" si="506"/>
        <v>0</v>
      </c>
      <c r="O531" s="24">
        <v>0</v>
      </c>
      <c r="P531" s="25">
        <f t="shared" ca="1" si="507"/>
        <v>0</v>
      </c>
      <c r="Q531" s="64">
        <f t="shared" ca="1" si="508"/>
        <v>0</v>
      </c>
      <c r="T531" s="23" t="s">
        <v>24</v>
      </c>
      <c r="U531" s="24">
        <v>0</v>
      </c>
      <c r="V531" s="25">
        <f t="shared" ca="1" si="516"/>
        <v>0</v>
      </c>
      <c r="W531" s="24">
        <v>0</v>
      </c>
      <c r="X531" s="25">
        <f t="shared" ca="1" si="517"/>
        <v>0</v>
      </c>
      <c r="Y531" s="24">
        <v>0</v>
      </c>
      <c r="Z531" s="25">
        <f t="shared" ca="1" si="518"/>
        <v>0</v>
      </c>
      <c r="AA531" s="24">
        <v>0</v>
      </c>
      <c r="AB531" s="25">
        <f t="shared" ca="1" si="519"/>
        <v>0</v>
      </c>
      <c r="AC531" s="24">
        <v>0</v>
      </c>
      <c r="AD531" s="25">
        <f t="shared" ca="1" si="509"/>
        <v>0</v>
      </c>
      <c r="AE531" s="24">
        <v>0</v>
      </c>
      <c r="AF531" s="25">
        <f t="shared" ca="1" si="510"/>
        <v>0</v>
      </c>
      <c r="AG531" s="24">
        <v>0</v>
      </c>
      <c r="AH531" s="25">
        <f t="shared" ca="1" si="511"/>
        <v>0</v>
      </c>
      <c r="AI531" s="64">
        <f t="shared" ca="1" si="520"/>
        <v>0</v>
      </c>
    </row>
    <row r="532" spans="2:35" x14ac:dyDescent="0.4">
      <c r="B532" s="27" t="s">
        <v>25</v>
      </c>
      <c r="C532" s="28">
        <f ca="1">SUM(C524:C531)</f>
        <v>68</v>
      </c>
      <c r="D532" s="29">
        <f t="shared" ca="1" si="512"/>
        <v>1</v>
      </c>
      <c r="E532" s="28">
        <f ca="1">SUM(E524:E531)</f>
        <v>163</v>
      </c>
      <c r="F532" s="29">
        <f t="shared" ca="1" si="513"/>
        <v>1</v>
      </c>
      <c r="G532" s="28">
        <f ca="1">SUM(G524:G531)</f>
        <v>39</v>
      </c>
      <c r="H532" s="29">
        <f t="shared" ca="1" si="514"/>
        <v>1</v>
      </c>
      <c r="I532" s="28">
        <f ca="1">SUM(I524:I531)</f>
        <v>64</v>
      </c>
      <c r="J532" s="29">
        <f t="shared" ca="1" si="515"/>
        <v>1</v>
      </c>
      <c r="K532" s="28">
        <f ca="1">SUM(K524:K531)</f>
        <v>1</v>
      </c>
      <c r="L532" s="29">
        <f t="shared" ca="1" si="505"/>
        <v>1</v>
      </c>
      <c r="M532" s="28">
        <f ca="1">SUM(M524:M531)</f>
        <v>28</v>
      </c>
      <c r="N532" s="29">
        <f t="shared" ca="1" si="506"/>
        <v>1</v>
      </c>
      <c r="O532" s="28">
        <f ca="1">SUM(O524:O531)</f>
        <v>7</v>
      </c>
      <c r="P532" s="29">
        <f t="shared" ca="1" si="507"/>
        <v>1</v>
      </c>
      <c r="Q532" s="31">
        <f t="shared" ca="1" si="508"/>
        <v>370</v>
      </c>
      <c r="T532" s="27" t="s">
        <v>25</v>
      </c>
      <c r="U532" s="28">
        <f ca="1">SUM(U524:U531)</f>
        <v>14430270.100000001</v>
      </c>
      <c r="V532" s="29">
        <f t="shared" ca="1" si="516"/>
        <v>1</v>
      </c>
      <c r="W532" s="28">
        <f ca="1">SUM(W524:W531)</f>
        <v>44858055.609999999</v>
      </c>
      <c r="X532" s="29">
        <f t="shared" ca="1" si="517"/>
        <v>1</v>
      </c>
      <c r="Y532" s="28">
        <f ca="1">SUM(Y524:Y531)</f>
        <v>17428010.079999998</v>
      </c>
      <c r="Z532" s="29">
        <f t="shared" ca="1" si="518"/>
        <v>1</v>
      </c>
      <c r="AA532" s="28">
        <f ca="1">SUM(AA524:AA531)</f>
        <v>59136302.5</v>
      </c>
      <c r="AB532" s="29">
        <f t="shared" ca="1" si="519"/>
        <v>1</v>
      </c>
      <c r="AC532" s="28">
        <f ca="1">SUM(AC524:AC531)</f>
        <v>10500</v>
      </c>
      <c r="AD532" s="29">
        <f t="shared" ca="1" si="509"/>
        <v>1</v>
      </c>
      <c r="AE532" s="28">
        <f ca="1">SUM(AE524:AE531)</f>
        <v>1227417.74</v>
      </c>
      <c r="AF532" s="29">
        <f t="shared" ca="1" si="510"/>
        <v>1</v>
      </c>
      <c r="AG532" s="28">
        <f ca="1">SUM(AG524:AG531)</f>
        <v>5953131.0699999994</v>
      </c>
      <c r="AH532" s="29">
        <f t="shared" ca="1" si="511"/>
        <v>1</v>
      </c>
      <c r="AI532" s="31">
        <f t="shared" ca="1" si="520"/>
        <v>143043687.09999999</v>
      </c>
    </row>
    <row r="533" spans="2:35" x14ac:dyDescent="0.4">
      <c r="B533" s="32" t="s">
        <v>26</v>
      </c>
      <c r="C533" s="33">
        <f ca="1">C532/$Q$532</f>
        <v>0.18378378378378379</v>
      </c>
      <c r="D533" s="33"/>
      <c r="E533" s="33">
        <f ca="1">E532/$Q$532</f>
        <v>0.44054054054054054</v>
      </c>
      <c r="F533" s="33"/>
      <c r="G533" s="33">
        <f ca="1">G532/$Q$532</f>
        <v>0.10540540540540541</v>
      </c>
      <c r="H533" s="33"/>
      <c r="I533" s="33">
        <f ca="1">I532/$Q$532</f>
        <v>0.17297297297297298</v>
      </c>
      <c r="J533" s="33"/>
      <c r="K533" s="33">
        <f ca="1">K532/$Q$532</f>
        <v>2.7027027027027029E-3</v>
      </c>
      <c r="L533" s="33"/>
      <c r="M533" s="33">
        <f ca="1">M532/$Q$532</f>
        <v>7.567567567567568E-2</v>
      </c>
      <c r="N533" s="33"/>
      <c r="O533" s="33">
        <f ca="1">O532/$Q$532</f>
        <v>1.891891891891892E-2</v>
      </c>
      <c r="P533" s="33"/>
      <c r="Q533" s="34">
        <f ca="1">Q532/$Q$532</f>
        <v>1</v>
      </c>
      <c r="T533" s="32" t="s">
        <v>26</v>
      </c>
      <c r="U533" s="33">
        <f ca="1">U532/$AI$532</f>
        <v>0.10088016040800168</v>
      </c>
      <c r="V533" s="33"/>
      <c r="W533" s="33">
        <f ca="1">W532/$AI$532</f>
        <v>0.31359689140731051</v>
      </c>
      <c r="X533" s="33"/>
      <c r="Y533" s="33">
        <f ca="1">Y532/$AI$532</f>
        <v>0.12183697465667465</v>
      </c>
      <c r="Z533" s="33"/>
      <c r="AA533" s="33">
        <f ca="1">AA532/$AI$532</f>
        <v>0.41341427712680934</v>
      </c>
      <c r="AB533" s="33"/>
      <c r="AC533" s="33">
        <f ca="1">AC532/$AI$532</f>
        <v>7.3404148151323773E-5</v>
      </c>
      <c r="AD533" s="33"/>
      <c r="AE533" s="33">
        <f ca="1">AE532/$AI$532</f>
        <v>8.5807193933831426E-3</v>
      </c>
      <c r="AF533" s="33"/>
      <c r="AG533" s="33">
        <f ca="1">AG532/$AI$532</f>
        <v>4.1617572859669383E-2</v>
      </c>
      <c r="AH533" s="33"/>
      <c r="AI533" s="34">
        <f ca="1">AI532/$AI$532</f>
        <v>1</v>
      </c>
    </row>
    <row r="535" spans="2:35" x14ac:dyDescent="0.4">
      <c r="B535" s="4" t="s">
        <v>56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T535" s="4" t="s">
        <v>56</v>
      </c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2:35" x14ac:dyDescent="0.4">
      <c r="B536" s="5"/>
      <c r="C536" s="6" t="s">
        <v>3</v>
      </c>
      <c r="D536" s="6"/>
      <c r="E536" s="6" t="s">
        <v>4</v>
      </c>
      <c r="F536" s="6"/>
      <c r="G536" s="6" t="s">
        <v>5</v>
      </c>
      <c r="H536" s="6"/>
      <c r="I536" s="6" t="s">
        <v>6</v>
      </c>
      <c r="J536" s="6"/>
      <c r="K536" s="6" t="s">
        <v>7</v>
      </c>
      <c r="L536" s="6"/>
      <c r="M536" s="6" t="s">
        <v>8</v>
      </c>
      <c r="N536" s="6"/>
      <c r="O536" s="6" t="s">
        <v>9</v>
      </c>
      <c r="P536" s="6"/>
      <c r="Q536" s="7" t="s">
        <v>10</v>
      </c>
      <c r="T536" s="5"/>
      <c r="U536" s="6" t="s">
        <v>3</v>
      </c>
      <c r="V536" s="6"/>
      <c r="W536" s="6" t="s">
        <v>4</v>
      </c>
      <c r="X536" s="6"/>
      <c r="Y536" s="6" t="s">
        <v>5</v>
      </c>
      <c r="Z536" s="6"/>
      <c r="AA536" s="6" t="s">
        <v>6</v>
      </c>
      <c r="AB536" s="6"/>
      <c r="AC536" s="6" t="s">
        <v>7</v>
      </c>
      <c r="AD536" s="6"/>
      <c r="AE536" s="6" t="s">
        <v>8</v>
      </c>
      <c r="AF536" s="6"/>
      <c r="AG536" s="6" t="s">
        <v>9</v>
      </c>
      <c r="AH536" s="6"/>
      <c r="AI536" s="7" t="s">
        <v>10</v>
      </c>
    </row>
    <row r="537" spans="2:35" x14ac:dyDescent="0.4">
      <c r="B537" s="8" t="s">
        <v>11</v>
      </c>
      <c r="C537" s="8" t="s">
        <v>12</v>
      </c>
      <c r="D537" s="8" t="s">
        <v>13</v>
      </c>
      <c r="E537" s="8" t="s">
        <v>12</v>
      </c>
      <c r="F537" s="8" t="s">
        <v>13</v>
      </c>
      <c r="G537" s="8" t="s">
        <v>12</v>
      </c>
      <c r="H537" s="8" t="s">
        <v>13</v>
      </c>
      <c r="I537" s="8" t="s">
        <v>12</v>
      </c>
      <c r="J537" s="8" t="s">
        <v>13</v>
      </c>
      <c r="K537" s="8" t="s">
        <v>12</v>
      </c>
      <c r="L537" s="8" t="s">
        <v>13</v>
      </c>
      <c r="M537" s="8" t="s">
        <v>12</v>
      </c>
      <c r="N537" s="8" t="s">
        <v>13</v>
      </c>
      <c r="O537" s="8" t="s">
        <v>12</v>
      </c>
      <c r="P537" s="8" t="s">
        <v>13</v>
      </c>
      <c r="Q537" s="7"/>
      <c r="T537" s="8" t="s">
        <v>11</v>
      </c>
      <c r="U537" s="8" t="s">
        <v>14</v>
      </c>
      <c r="V537" s="8" t="s">
        <v>13</v>
      </c>
      <c r="W537" s="8" t="s">
        <v>14</v>
      </c>
      <c r="X537" s="8" t="s">
        <v>13</v>
      </c>
      <c r="Y537" s="8" t="s">
        <v>14</v>
      </c>
      <c r="Z537" s="8" t="s">
        <v>13</v>
      </c>
      <c r="AA537" s="8" t="s">
        <v>14</v>
      </c>
      <c r="AB537" s="8" t="s">
        <v>13</v>
      </c>
      <c r="AC537" s="8" t="s">
        <v>14</v>
      </c>
      <c r="AD537" s="8" t="s">
        <v>13</v>
      </c>
      <c r="AE537" s="8" t="s">
        <v>14</v>
      </c>
      <c r="AF537" s="8" t="s">
        <v>13</v>
      </c>
      <c r="AG537" s="8" t="s">
        <v>14</v>
      </c>
      <c r="AH537" s="8" t="s">
        <v>13</v>
      </c>
      <c r="AI537" s="7"/>
    </row>
    <row r="538" spans="2:35" x14ac:dyDescent="0.4">
      <c r="B538" s="9" t="s">
        <v>15</v>
      </c>
      <c r="C538" s="10">
        <v>5</v>
      </c>
      <c r="D538" s="11">
        <f ca="1">IFERROR(C538/C$548,0)</f>
        <v>0.18518518518518517</v>
      </c>
      <c r="E538" s="10">
        <v>45</v>
      </c>
      <c r="F538" s="11">
        <f ca="1">IFERROR(E538/E$548,0)</f>
        <v>0.58441558441558439</v>
      </c>
      <c r="G538" s="10">
        <v>16</v>
      </c>
      <c r="H538" s="11">
        <f ca="1">IFERROR(G538/G$548,0)</f>
        <v>1</v>
      </c>
      <c r="I538" s="10">
        <v>25</v>
      </c>
      <c r="J538" s="11">
        <f ca="1">IFERROR(I538/I$548,0)</f>
        <v>0.96153846153846156</v>
      </c>
      <c r="K538" s="10">
        <v>0</v>
      </c>
      <c r="L538" s="11">
        <f ca="1">IFERROR(K538/K$548,0)</f>
        <v>0</v>
      </c>
      <c r="M538" s="10">
        <v>1</v>
      </c>
      <c r="N538" s="11">
        <f ca="1">IFERROR(M538/M$548,0)</f>
        <v>8.3333333333333329E-2</v>
      </c>
      <c r="O538" s="10">
        <v>2</v>
      </c>
      <c r="P538" s="11">
        <f ca="1">IFERROR(O538/O$548,0)</f>
        <v>1</v>
      </c>
      <c r="Q538" s="60">
        <f t="shared" ref="Q538:Q548" ca="1" si="521">SUM(C538,G538,I538,K538,M538,O538,E538)</f>
        <v>94</v>
      </c>
      <c r="T538" s="9" t="s">
        <v>15</v>
      </c>
      <c r="U538" s="10">
        <v>870792</v>
      </c>
      <c r="V538" s="11">
        <f ca="1">IFERROR(U538/U$548,0)</f>
        <v>0.20550059005382779</v>
      </c>
      <c r="W538" s="10">
        <v>14488899.9</v>
      </c>
      <c r="X538" s="11">
        <f ca="1">IFERROR(W538/W$548,0)</f>
        <v>0.65352270594336426</v>
      </c>
      <c r="Y538" s="10">
        <v>6714531.7300000004</v>
      </c>
      <c r="Z538" s="11">
        <f ca="1">IFERROR(Y538/Y$548,0)</f>
        <v>1</v>
      </c>
      <c r="AA538" s="10">
        <v>15853131.970000001</v>
      </c>
      <c r="AB538" s="11">
        <f ca="1">IFERROR(AA538/AA$548,0)</f>
        <v>0.99998000435106582</v>
      </c>
      <c r="AC538" s="10">
        <v>0</v>
      </c>
      <c r="AD538" s="11">
        <f ca="1">IFERROR(AC538/AC$548,0)</f>
        <v>0</v>
      </c>
      <c r="AE538" s="10">
        <v>54000</v>
      </c>
      <c r="AF538" s="11">
        <f ca="1">IFERROR(AE538/AE$548,0)</f>
        <v>6.8736626032416148E-2</v>
      </c>
      <c r="AG538" s="10">
        <v>3219336.63</v>
      </c>
      <c r="AH538" s="11">
        <f ca="1">IFERROR(AG538/AG$548,0)</f>
        <v>1</v>
      </c>
      <c r="AI538" s="60">
        <f ca="1">SUM(U538,Y538,AA538,AC538,AE538,AG538,W538)</f>
        <v>41200692.230000004</v>
      </c>
    </row>
    <row r="539" spans="2:35" x14ac:dyDescent="0.4">
      <c r="B539" s="14" t="s">
        <v>16</v>
      </c>
      <c r="C539" s="15">
        <v>12</v>
      </c>
      <c r="D539" s="16">
        <f ca="1">IFERROR(C539/C$548,0)</f>
        <v>0.44444444444444442</v>
      </c>
      <c r="E539" s="15">
        <v>18</v>
      </c>
      <c r="F539" s="16">
        <f ca="1">IFERROR(E539/E$548,0)</f>
        <v>0.23376623376623376</v>
      </c>
      <c r="G539" s="15">
        <v>0</v>
      </c>
      <c r="H539" s="16">
        <f ca="1">IFERROR(G539/G$548,0)</f>
        <v>0</v>
      </c>
      <c r="I539" s="15">
        <v>0</v>
      </c>
      <c r="J539" s="16">
        <f ca="1">IFERROR(I539/I$548,0)</f>
        <v>0</v>
      </c>
      <c r="K539" s="15">
        <v>0</v>
      </c>
      <c r="L539" s="16">
        <f ca="1">IFERROR(K539/K$548,0)</f>
        <v>0</v>
      </c>
      <c r="M539" s="15">
        <v>1</v>
      </c>
      <c r="N539" s="16">
        <f ca="1">IFERROR(M539/M$548,0)</f>
        <v>8.3333333333333329E-2</v>
      </c>
      <c r="O539" s="15">
        <v>0</v>
      </c>
      <c r="P539" s="16">
        <f ca="1">IFERROR(O539/O$548,0)</f>
        <v>0</v>
      </c>
      <c r="Q539" s="62">
        <f t="shared" ca="1" si="521"/>
        <v>31</v>
      </c>
      <c r="T539" s="14" t="s">
        <v>16</v>
      </c>
      <c r="U539" s="15">
        <v>2180704.71</v>
      </c>
      <c r="V539" s="16">
        <f ca="1">IFERROR(U539/U$548,0)</f>
        <v>0.51463047965319086</v>
      </c>
      <c r="W539" s="15">
        <v>5953464.8200000003</v>
      </c>
      <c r="X539" s="16">
        <f ca="1">IFERROR(W539/W$548,0)</f>
        <v>0.26853139063408288</v>
      </c>
      <c r="Y539" s="15">
        <v>0</v>
      </c>
      <c r="Z539" s="16">
        <f ca="1">IFERROR(Y539/Y$548,0)</f>
        <v>0</v>
      </c>
      <c r="AA539" s="15">
        <v>0</v>
      </c>
      <c r="AB539" s="16">
        <f ca="1">IFERROR(AA539/AA$548,0)</f>
        <v>0</v>
      </c>
      <c r="AC539" s="15">
        <v>0</v>
      </c>
      <c r="AD539" s="16">
        <f ca="1">IFERROR(AC539/AC$548,0)</f>
        <v>0</v>
      </c>
      <c r="AE539" s="15">
        <v>1700</v>
      </c>
      <c r="AF539" s="16">
        <f ca="1">IFERROR(AE539/AE$548,0)</f>
        <v>2.163930819539027E-3</v>
      </c>
      <c r="AG539" s="15">
        <v>0</v>
      </c>
      <c r="AH539" s="16">
        <f ca="1">IFERROR(AG539/AG$548,0)</f>
        <v>0</v>
      </c>
      <c r="AI539" s="62">
        <f ca="1">SUM(U539,Y539,AA539,AC539,AE539,AG539,W539)</f>
        <v>8135869.5300000003</v>
      </c>
    </row>
    <row r="540" spans="2:35" x14ac:dyDescent="0.4">
      <c r="B540" s="18" t="s">
        <v>17</v>
      </c>
      <c r="C540" s="19">
        <f ca="1">+SUM(C538:C539)</f>
        <v>17</v>
      </c>
      <c r="D540" s="20">
        <f ca="1">+C540/$C$548</f>
        <v>0.62962962962962965</v>
      </c>
      <c r="E540" s="19">
        <f ca="1">+SUM(E538:E539)</f>
        <v>63</v>
      </c>
      <c r="F540" s="20">
        <f ca="1">+E540/$E$548</f>
        <v>0.81818181818181823</v>
      </c>
      <c r="G540" s="19">
        <f ca="1">+SUM(G538:G539)</f>
        <v>16</v>
      </c>
      <c r="H540" s="20">
        <f ca="1">+G540/$G$548</f>
        <v>1</v>
      </c>
      <c r="I540" s="19">
        <f ca="1">+SUM(I538:I539)</f>
        <v>25</v>
      </c>
      <c r="J540" s="20">
        <f ca="1">+IFERROR((I540/$I$548),0)</f>
        <v>0.96153846153846156</v>
      </c>
      <c r="K540" s="19">
        <f ca="1">+SUM(K538:K539)</f>
        <v>0</v>
      </c>
      <c r="L540" s="20">
        <f ca="1">+IFERROR((K540/$K$548),0)</f>
        <v>0</v>
      </c>
      <c r="M540" s="19">
        <f ca="1">+SUM(M538:M539)</f>
        <v>2</v>
      </c>
      <c r="N540" s="20">
        <f ca="1">+M540/$M$548</f>
        <v>0.16666666666666666</v>
      </c>
      <c r="O540" s="19">
        <f ca="1">+SUM(O538:O539)</f>
        <v>2</v>
      </c>
      <c r="P540" s="20">
        <f ca="1">IFERROR(O540/O$548,0)</f>
        <v>1</v>
      </c>
      <c r="Q540" s="101">
        <f ca="1">+SUM(Q538:Q539)</f>
        <v>125</v>
      </c>
      <c r="T540" s="18" t="s">
        <v>17</v>
      </c>
      <c r="U540" s="19">
        <f ca="1">+SUM(U538:U539)</f>
        <v>3051496.71</v>
      </c>
      <c r="V540" s="20">
        <f ca="1">IFERROR(U540/U$548,0)</f>
        <v>0.72013106970701868</v>
      </c>
      <c r="W540" s="19">
        <f ca="1">+SUM(W538:W539)</f>
        <v>20442364.719999999</v>
      </c>
      <c r="X540" s="20">
        <f ca="1">IFERROR(W540/W$548,0)</f>
        <v>0.92205409657744708</v>
      </c>
      <c r="Y540" s="19">
        <f ca="1">+SUM(Y538:Y539)</f>
        <v>6714531.7300000004</v>
      </c>
      <c r="Z540" s="20">
        <f ca="1">IFERROR(Y540/Y$548,0)</f>
        <v>1</v>
      </c>
      <c r="AA540" s="19">
        <f ca="1">+SUM(AA538:AA539)</f>
        <v>15853131.970000001</v>
      </c>
      <c r="AB540" s="20">
        <f ca="1">IFERROR(AA540/AA$548,0)</f>
        <v>0.99998000435106582</v>
      </c>
      <c r="AC540" s="19">
        <f ca="1">+SUM(AC538:AC539)</f>
        <v>0</v>
      </c>
      <c r="AD540" s="20">
        <f ca="1">IFERROR(AC540/AC$548,0)</f>
        <v>0</v>
      </c>
      <c r="AE540" s="19">
        <f ca="1">+SUM(AE538:AE539)</f>
        <v>55700</v>
      </c>
      <c r="AF540" s="20">
        <f ca="1">IFERROR(AE540/AE$548,0)</f>
        <v>7.0900556851955177E-2</v>
      </c>
      <c r="AG540" s="19">
        <f ca="1">+SUM(AG538:AG539)</f>
        <v>3219336.63</v>
      </c>
      <c r="AH540" s="20">
        <f ca="1">IFERROR(AG540/AG$548,0)</f>
        <v>1</v>
      </c>
      <c r="AI540" s="21">
        <f ca="1">+SUM(AI538:AI539)</f>
        <v>49336561.760000005</v>
      </c>
    </row>
    <row r="541" spans="2:35" x14ac:dyDescent="0.4">
      <c r="B541" s="22" t="s">
        <v>18</v>
      </c>
      <c r="C541" s="15">
        <v>2</v>
      </c>
      <c r="D541" s="16">
        <f t="shared" ref="D541:D548" ca="1" si="522">IFERROR(C541/C$548,0)</f>
        <v>7.407407407407407E-2</v>
      </c>
      <c r="E541" s="15">
        <v>3</v>
      </c>
      <c r="F541" s="16">
        <f t="shared" ref="F541:F548" ca="1" si="523">IFERROR(E541/E$548,0)</f>
        <v>3.896103896103896E-2</v>
      </c>
      <c r="G541" s="15">
        <v>0</v>
      </c>
      <c r="H541" s="16">
        <f t="shared" ref="H541:H548" ca="1" si="524">IFERROR(G541/G$548,0)</f>
        <v>0</v>
      </c>
      <c r="I541" s="15">
        <v>0</v>
      </c>
      <c r="J541" s="16">
        <f t="shared" ref="J541:J548" ca="1" si="525">IFERROR(I541/I$548,0)</f>
        <v>0</v>
      </c>
      <c r="K541" s="15">
        <v>0</v>
      </c>
      <c r="L541" s="16">
        <f t="shared" ref="L541:L548" ca="1" si="526">IFERROR(K541/K$548,0)</f>
        <v>0</v>
      </c>
      <c r="M541" s="15">
        <v>2</v>
      </c>
      <c r="N541" s="16">
        <f t="shared" ref="N541:N548" ca="1" si="527">IFERROR(M541/M$548,0)</f>
        <v>0.16666666666666666</v>
      </c>
      <c r="O541" s="15">
        <v>0</v>
      </c>
      <c r="P541" s="16">
        <f t="shared" ref="P541:P548" ca="1" si="528">IFERROR(O541/O$548,0)</f>
        <v>0</v>
      </c>
      <c r="Q541" s="62">
        <f t="shared" ca="1" si="521"/>
        <v>7</v>
      </c>
      <c r="T541" s="22" t="s">
        <v>18</v>
      </c>
      <c r="U541" s="15">
        <v>83211.969999999972</v>
      </c>
      <c r="V541" s="16">
        <f t="shared" ref="V541:V548" ca="1" si="529">IFERROR(U541/U$548,0)</f>
        <v>1.9637420801455929E-2</v>
      </c>
      <c r="W541" s="15">
        <v>409315</v>
      </c>
      <c r="X541" s="16">
        <f t="shared" ref="X541:X548" ca="1" si="530">IFERROR(W541/W$548,0)</f>
        <v>1.8462177820912969E-2</v>
      </c>
      <c r="Y541" s="15">
        <v>0</v>
      </c>
      <c r="Z541" s="16">
        <f t="shared" ref="Z541:Z548" ca="1" si="531">IFERROR(Y541/Y$548,0)</f>
        <v>0</v>
      </c>
      <c r="AA541" s="15">
        <v>0</v>
      </c>
      <c r="AB541" s="16">
        <f t="shared" ref="AB541:AB548" ca="1" si="532">IFERROR(AA541/AA$548,0)</f>
        <v>0</v>
      </c>
      <c r="AC541" s="15">
        <v>0</v>
      </c>
      <c r="AD541" s="16">
        <f t="shared" ref="AD541:AD548" ca="1" si="533">IFERROR(AC541/AC$548,0)</f>
        <v>0</v>
      </c>
      <c r="AE541" s="15">
        <v>200000</v>
      </c>
      <c r="AF541" s="16">
        <f t="shared" ref="AF541:AF548" ca="1" si="534">IFERROR(AE541/AE$548,0)</f>
        <v>0.25458009641635609</v>
      </c>
      <c r="AG541" s="15">
        <v>0</v>
      </c>
      <c r="AH541" s="16">
        <f t="shared" ref="AH541:AH548" ca="1" si="535">IFERROR(AG541/AG$548,0)</f>
        <v>0</v>
      </c>
      <c r="AI541" s="62">
        <f t="shared" ref="AI541:AI548" ca="1" si="536">SUM(U541,Y541,AA541,AC541,AE541,AG541,W541)</f>
        <v>692526.97</v>
      </c>
    </row>
    <row r="542" spans="2:35" x14ac:dyDescent="0.4">
      <c r="B542" s="22" t="s">
        <v>19</v>
      </c>
      <c r="C542" s="15">
        <v>2</v>
      </c>
      <c r="D542" s="16">
        <f t="shared" ca="1" si="522"/>
        <v>7.407407407407407E-2</v>
      </c>
      <c r="E542" s="15">
        <v>3</v>
      </c>
      <c r="F542" s="16">
        <f t="shared" ca="1" si="523"/>
        <v>3.896103896103896E-2</v>
      </c>
      <c r="G542" s="15">
        <v>0</v>
      </c>
      <c r="H542" s="16">
        <f t="shared" ca="1" si="524"/>
        <v>0</v>
      </c>
      <c r="I542" s="15">
        <v>0</v>
      </c>
      <c r="J542" s="16">
        <f t="shared" ca="1" si="525"/>
        <v>0</v>
      </c>
      <c r="K542" s="15">
        <v>0</v>
      </c>
      <c r="L542" s="16">
        <f t="shared" ca="1" si="526"/>
        <v>0</v>
      </c>
      <c r="M542" s="15">
        <v>4</v>
      </c>
      <c r="N542" s="16">
        <f t="shared" ca="1" si="527"/>
        <v>0.33333333333333331</v>
      </c>
      <c r="O542" s="15">
        <v>0</v>
      </c>
      <c r="P542" s="16">
        <f t="shared" ca="1" si="528"/>
        <v>0</v>
      </c>
      <c r="Q542" s="62">
        <f t="shared" ca="1" si="521"/>
        <v>9</v>
      </c>
      <c r="T542" s="22" t="s">
        <v>19</v>
      </c>
      <c r="U542" s="15">
        <v>557464</v>
      </c>
      <c r="V542" s="16">
        <f t="shared" ca="1" si="529"/>
        <v>0.13155745681375927</v>
      </c>
      <c r="W542" s="15">
        <v>179790.6100000001</v>
      </c>
      <c r="X542" s="16">
        <f t="shared" ca="1" si="530"/>
        <v>8.1094663336315938E-3</v>
      </c>
      <c r="Y542" s="15">
        <v>0</v>
      </c>
      <c r="Z542" s="16">
        <f t="shared" ca="1" si="531"/>
        <v>0</v>
      </c>
      <c r="AA542" s="15">
        <v>0</v>
      </c>
      <c r="AB542" s="16">
        <f t="shared" ca="1" si="532"/>
        <v>0</v>
      </c>
      <c r="AC542" s="15">
        <v>0</v>
      </c>
      <c r="AD542" s="16">
        <f t="shared" ca="1" si="533"/>
        <v>0</v>
      </c>
      <c r="AE542" s="15">
        <v>264998.8200000003</v>
      </c>
      <c r="AF542" s="16">
        <f t="shared" ca="1" si="534"/>
        <v>0.33731712572910338</v>
      </c>
      <c r="AG542" s="15">
        <v>0</v>
      </c>
      <c r="AH542" s="16">
        <f t="shared" ca="1" si="535"/>
        <v>0</v>
      </c>
      <c r="AI542" s="62">
        <f t="shared" ca="1" si="536"/>
        <v>1002253.4300000004</v>
      </c>
    </row>
    <row r="543" spans="2:35" x14ac:dyDescent="0.4">
      <c r="B543" s="22" t="s">
        <v>20</v>
      </c>
      <c r="C543" s="15">
        <v>1</v>
      </c>
      <c r="D543" s="16">
        <f t="shared" ca="1" si="522"/>
        <v>3.7037037037037035E-2</v>
      </c>
      <c r="E543" s="15">
        <v>2</v>
      </c>
      <c r="F543" s="16">
        <f t="shared" ca="1" si="523"/>
        <v>2.5974025974025976E-2</v>
      </c>
      <c r="G543" s="15">
        <v>0</v>
      </c>
      <c r="H543" s="16">
        <f t="shared" ca="1" si="524"/>
        <v>0</v>
      </c>
      <c r="I543" s="15">
        <v>0</v>
      </c>
      <c r="J543" s="16">
        <f t="shared" ca="1" si="525"/>
        <v>0</v>
      </c>
      <c r="K543" s="15">
        <v>0</v>
      </c>
      <c r="L543" s="16">
        <f t="shared" ca="1" si="526"/>
        <v>0</v>
      </c>
      <c r="M543" s="15">
        <v>0</v>
      </c>
      <c r="N543" s="16">
        <f t="shared" ca="1" si="527"/>
        <v>0</v>
      </c>
      <c r="O543" s="15">
        <v>0</v>
      </c>
      <c r="P543" s="16">
        <f t="shared" ca="1" si="528"/>
        <v>0</v>
      </c>
      <c r="Q543" s="62">
        <f t="shared" ca="1" si="521"/>
        <v>3</v>
      </c>
      <c r="T543" s="22" t="s">
        <v>20</v>
      </c>
      <c r="U543" s="15">
        <v>51005</v>
      </c>
      <c r="V543" s="16">
        <f t="shared" ca="1" si="529"/>
        <v>1.2036809703919519E-2</v>
      </c>
      <c r="W543" s="15">
        <v>39371</v>
      </c>
      <c r="X543" s="16">
        <f t="shared" ca="1" si="530"/>
        <v>1.7758313352483162E-3</v>
      </c>
      <c r="Y543" s="15">
        <v>0</v>
      </c>
      <c r="Z543" s="16">
        <f t="shared" ca="1" si="531"/>
        <v>0</v>
      </c>
      <c r="AA543" s="15">
        <v>0</v>
      </c>
      <c r="AB543" s="16">
        <f t="shared" ca="1" si="532"/>
        <v>0</v>
      </c>
      <c r="AC543" s="15">
        <v>0</v>
      </c>
      <c r="AD543" s="16">
        <f t="shared" ca="1" si="533"/>
        <v>0</v>
      </c>
      <c r="AE543" s="15">
        <v>0</v>
      </c>
      <c r="AF543" s="16">
        <f t="shared" ca="1" si="534"/>
        <v>0</v>
      </c>
      <c r="AG543" s="15">
        <v>0</v>
      </c>
      <c r="AH543" s="16">
        <f t="shared" ca="1" si="535"/>
        <v>0</v>
      </c>
      <c r="AI543" s="62">
        <f t="shared" ca="1" si="536"/>
        <v>90376</v>
      </c>
    </row>
    <row r="544" spans="2:35" x14ac:dyDescent="0.4">
      <c r="B544" s="22" t="s">
        <v>21</v>
      </c>
      <c r="C544" s="15">
        <v>0</v>
      </c>
      <c r="D544" s="16">
        <f t="shared" ca="1" si="522"/>
        <v>0</v>
      </c>
      <c r="E544" s="15">
        <v>3</v>
      </c>
      <c r="F544" s="16">
        <f t="shared" ca="1" si="523"/>
        <v>3.896103896103896E-2</v>
      </c>
      <c r="G544" s="15">
        <v>0</v>
      </c>
      <c r="H544" s="16">
        <f t="shared" ca="1" si="524"/>
        <v>0</v>
      </c>
      <c r="I544" s="15">
        <v>0</v>
      </c>
      <c r="J544" s="16">
        <f t="shared" ca="1" si="525"/>
        <v>0</v>
      </c>
      <c r="K544" s="15">
        <v>0</v>
      </c>
      <c r="L544" s="16">
        <f t="shared" ca="1" si="526"/>
        <v>0</v>
      </c>
      <c r="M544" s="15">
        <v>0</v>
      </c>
      <c r="N544" s="16">
        <f t="shared" ca="1" si="527"/>
        <v>0</v>
      </c>
      <c r="O544" s="15">
        <v>0</v>
      </c>
      <c r="P544" s="16">
        <f t="shared" ca="1" si="528"/>
        <v>0</v>
      </c>
      <c r="Q544" s="62">
        <f t="shared" ca="1" si="521"/>
        <v>3</v>
      </c>
      <c r="T544" s="22" t="s">
        <v>21</v>
      </c>
      <c r="U544" s="15">
        <v>0</v>
      </c>
      <c r="V544" s="16">
        <f t="shared" ca="1" si="529"/>
        <v>0</v>
      </c>
      <c r="W544" s="15">
        <v>398384.57000000007</v>
      </c>
      <c r="X544" s="16">
        <f t="shared" ca="1" si="530"/>
        <v>1.796916011494314E-2</v>
      </c>
      <c r="Y544" s="15">
        <v>0</v>
      </c>
      <c r="Z544" s="16">
        <f t="shared" ca="1" si="531"/>
        <v>0</v>
      </c>
      <c r="AA544" s="15">
        <v>0</v>
      </c>
      <c r="AB544" s="16">
        <f t="shared" ca="1" si="532"/>
        <v>0</v>
      </c>
      <c r="AC544" s="15">
        <v>0</v>
      </c>
      <c r="AD544" s="16">
        <f t="shared" ca="1" si="533"/>
        <v>0</v>
      </c>
      <c r="AE544" s="15">
        <v>0</v>
      </c>
      <c r="AF544" s="16">
        <f t="shared" ca="1" si="534"/>
        <v>0</v>
      </c>
      <c r="AG544" s="15">
        <v>0</v>
      </c>
      <c r="AH544" s="16">
        <f t="shared" ca="1" si="535"/>
        <v>0</v>
      </c>
      <c r="AI544" s="62">
        <f t="shared" ca="1" si="536"/>
        <v>398384.57000000007</v>
      </c>
    </row>
    <row r="545" spans="2:35" x14ac:dyDescent="0.4">
      <c r="B545" s="22" t="s">
        <v>22</v>
      </c>
      <c r="C545" s="15">
        <v>0</v>
      </c>
      <c r="D545" s="16">
        <f t="shared" ca="1" si="522"/>
        <v>0</v>
      </c>
      <c r="E545" s="15">
        <v>0</v>
      </c>
      <c r="F545" s="16">
        <f t="shared" ca="1" si="523"/>
        <v>0</v>
      </c>
      <c r="G545" s="15">
        <v>0</v>
      </c>
      <c r="H545" s="16">
        <f t="shared" ca="1" si="524"/>
        <v>0</v>
      </c>
      <c r="I545" s="15">
        <v>0</v>
      </c>
      <c r="J545" s="16">
        <f t="shared" ca="1" si="525"/>
        <v>0</v>
      </c>
      <c r="K545" s="15">
        <v>0</v>
      </c>
      <c r="L545" s="16">
        <f t="shared" ca="1" si="526"/>
        <v>0</v>
      </c>
      <c r="M545" s="15">
        <v>0</v>
      </c>
      <c r="N545" s="16">
        <f t="shared" ca="1" si="527"/>
        <v>0</v>
      </c>
      <c r="O545" s="15">
        <v>0</v>
      </c>
      <c r="P545" s="16">
        <f t="shared" ca="1" si="528"/>
        <v>0</v>
      </c>
      <c r="Q545" s="62">
        <f t="shared" ca="1" si="521"/>
        <v>0</v>
      </c>
      <c r="T545" s="22" t="s">
        <v>22</v>
      </c>
      <c r="U545" s="15">
        <v>0</v>
      </c>
      <c r="V545" s="16">
        <f t="shared" ca="1" si="529"/>
        <v>0</v>
      </c>
      <c r="W545" s="15">
        <v>0</v>
      </c>
      <c r="X545" s="16">
        <f t="shared" ca="1" si="530"/>
        <v>0</v>
      </c>
      <c r="Y545" s="15">
        <v>0</v>
      </c>
      <c r="Z545" s="16">
        <f t="shared" ca="1" si="531"/>
        <v>0</v>
      </c>
      <c r="AA545" s="15">
        <v>0</v>
      </c>
      <c r="AB545" s="16">
        <f t="shared" ca="1" si="532"/>
        <v>0</v>
      </c>
      <c r="AC545" s="15">
        <v>0</v>
      </c>
      <c r="AD545" s="16">
        <f t="shared" ca="1" si="533"/>
        <v>0</v>
      </c>
      <c r="AE545" s="15">
        <v>0</v>
      </c>
      <c r="AF545" s="16">
        <f t="shared" ca="1" si="534"/>
        <v>0</v>
      </c>
      <c r="AG545" s="15">
        <v>0</v>
      </c>
      <c r="AH545" s="16">
        <f t="shared" ca="1" si="535"/>
        <v>0</v>
      </c>
      <c r="AI545" s="62">
        <f t="shared" ca="1" si="536"/>
        <v>0</v>
      </c>
    </row>
    <row r="546" spans="2:35" x14ac:dyDescent="0.4">
      <c r="B546" s="22" t="s">
        <v>23</v>
      </c>
      <c r="C546" s="15">
        <v>2</v>
      </c>
      <c r="D546" s="16">
        <f t="shared" ca="1" si="522"/>
        <v>7.407407407407407E-2</v>
      </c>
      <c r="E546" s="15">
        <v>0</v>
      </c>
      <c r="F546" s="16">
        <f t="shared" ca="1" si="523"/>
        <v>0</v>
      </c>
      <c r="G546" s="15">
        <v>0</v>
      </c>
      <c r="H546" s="16">
        <f t="shared" ca="1" si="524"/>
        <v>0</v>
      </c>
      <c r="I546" s="15">
        <v>0</v>
      </c>
      <c r="J546" s="16">
        <f t="shared" ca="1" si="525"/>
        <v>0</v>
      </c>
      <c r="K546" s="15">
        <v>0</v>
      </c>
      <c r="L546" s="16">
        <f t="shared" ca="1" si="526"/>
        <v>0</v>
      </c>
      <c r="M546" s="15">
        <v>2</v>
      </c>
      <c r="N546" s="16">
        <f t="shared" ca="1" si="527"/>
        <v>0.16666666666666666</v>
      </c>
      <c r="O546" s="15">
        <v>0</v>
      </c>
      <c r="P546" s="16">
        <f t="shared" ca="1" si="528"/>
        <v>0</v>
      </c>
      <c r="Q546" s="62">
        <f t="shared" ca="1" si="521"/>
        <v>4</v>
      </c>
      <c r="T546" s="22" t="s">
        <v>23</v>
      </c>
      <c r="U546" s="15">
        <v>215248</v>
      </c>
      <c r="V546" s="16">
        <f t="shared" ca="1" si="529"/>
        <v>5.0796965300446403E-2</v>
      </c>
      <c r="W546" s="15">
        <v>0</v>
      </c>
      <c r="X546" s="16">
        <f t="shared" ca="1" si="530"/>
        <v>0</v>
      </c>
      <c r="Y546" s="15">
        <v>0</v>
      </c>
      <c r="Z546" s="16">
        <f t="shared" ca="1" si="531"/>
        <v>0</v>
      </c>
      <c r="AA546" s="15">
        <v>0</v>
      </c>
      <c r="AB546" s="16">
        <f t="shared" ca="1" si="532"/>
        <v>0</v>
      </c>
      <c r="AC546" s="15">
        <v>0</v>
      </c>
      <c r="AD546" s="16">
        <f t="shared" ca="1" si="533"/>
        <v>0</v>
      </c>
      <c r="AE546" s="15">
        <v>198997.59999999998</v>
      </c>
      <c r="AF546" s="16">
        <f t="shared" ca="1" si="534"/>
        <v>0.25330414097311732</v>
      </c>
      <c r="AG546" s="15">
        <v>0</v>
      </c>
      <c r="AH546" s="16">
        <f t="shared" ca="1" si="535"/>
        <v>0</v>
      </c>
      <c r="AI546" s="62">
        <f t="shared" ca="1" si="536"/>
        <v>414245.6</v>
      </c>
    </row>
    <row r="547" spans="2:35" x14ac:dyDescent="0.4">
      <c r="B547" s="23" t="s">
        <v>24</v>
      </c>
      <c r="C547" s="24">
        <v>3</v>
      </c>
      <c r="D547" s="25">
        <f t="shared" ca="1" si="522"/>
        <v>0.1111111111111111</v>
      </c>
      <c r="E547" s="24">
        <v>3</v>
      </c>
      <c r="F547" s="25">
        <f t="shared" ca="1" si="523"/>
        <v>3.896103896103896E-2</v>
      </c>
      <c r="G547" s="24">
        <v>0</v>
      </c>
      <c r="H547" s="25">
        <f t="shared" ca="1" si="524"/>
        <v>0</v>
      </c>
      <c r="I547" s="24">
        <v>1</v>
      </c>
      <c r="J547" s="25">
        <f t="shared" ca="1" si="525"/>
        <v>3.8461538461538464E-2</v>
      </c>
      <c r="K547" s="24">
        <v>0</v>
      </c>
      <c r="L547" s="25">
        <f t="shared" ca="1" si="526"/>
        <v>0</v>
      </c>
      <c r="M547" s="24">
        <v>2</v>
      </c>
      <c r="N547" s="25">
        <f t="shared" ca="1" si="527"/>
        <v>0.16666666666666666</v>
      </c>
      <c r="O547" s="24">
        <v>0</v>
      </c>
      <c r="P547" s="25">
        <f t="shared" ca="1" si="528"/>
        <v>0</v>
      </c>
      <c r="Q547" s="64">
        <f t="shared" ca="1" si="521"/>
        <v>9</v>
      </c>
      <c r="T547" s="23" t="s">
        <v>24</v>
      </c>
      <c r="U547" s="24">
        <v>278992.81000000006</v>
      </c>
      <c r="V547" s="25">
        <f t="shared" ca="1" si="529"/>
        <v>6.5840277673400172E-2</v>
      </c>
      <c r="W547" s="24">
        <v>701235.45999999985</v>
      </c>
      <c r="X547" s="25">
        <f t="shared" ca="1" si="530"/>
        <v>3.1629267817816845E-2</v>
      </c>
      <c r="Y547" s="24">
        <v>0</v>
      </c>
      <c r="Z547" s="25">
        <f t="shared" ca="1" si="531"/>
        <v>0</v>
      </c>
      <c r="AA547" s="24">
        <v>317</v>
      </c>
      <c r="AB547" s="25">
        <f t="shared" ca="1" si="532"/>
        <v>1.9995648934176371E-5</v>
      </c>
      <c r="AC547" s="24">
        <v>0</v>
      </c>
      <c r="AD547" s="25">
        <f t="shared" ca="1" si="533"/>
        <v>0</v>
      </c>
      <c r="AE547" s="24">
        <v>65910.949999999953</v>
      </c>
      <c r="AF547" s="25">
        <f t="shared" ca="1" si="534"/>
        <v>8.3898080029468067E-2</v>
      </c>
      <c r="AG547" s="24">
        <v>0</v>
      </c>
      <c r="AH547" s="25">
        <f t="shared" ca="1" si="535"/>
        <v>0</v>
      </c>
      <c r="AI547" s="64">
        <f t="shared" ca="1" si="536"/>
        <v>1046456.2199999999</v>
      </c>
    </row>
    <row r="548" spans="2:35" x14ac:dyDescent="0.4">
      <c r="B548" s="27" t="s">
        <v>25</v>
      </c>
      <c r="C548" s="28">
        <f ca="1">SUM(C540:C547)</f>
        <v>27</v>
      </c>
      <c r="D548" s="29">
        <f t="shared" ca="1" si="522"/>
        <v>1</v>
      </c>
      <c r="E548" s="28">
        <f ca="1">SUM(E540:E547)</f>
        <v>77</v>
      </c>
      <c r="F548" s="29">
        <f t="shared" ca="1" si="523"/>
        <v>1</v>
      </c>
      <c r="G548" s="28">
        <f ca="1">SUM(G540:G547)</f>
        <v>16</v>
      </c>
      <c r="H548" s="29">
        <f t="shared" ca="1" si="524"/>
        <v>1</v>
      </c>
      <c r="I548" s="28">
        <f ca="1">SUM(I540:I547)</f>
        <v>26</v>
      </c>
      <c r="J548" s="29">
        <f t="shared" ca="1" si="525"/>
        <v>1</v>
      </c>
      <c r="K548" s="28">
        <f ca="1">SUM(K540:K547)</f>
        <v>0</v>
      </c>
      <c r="L548" s="29">
        <f t="shared" ca="1" si="526"/>
        <v>0</v>
      </c>
      <c r="M548" s="28">
        <f ca="1">SUM(M540:M547)</f>
        <v>12</v>
      </c>
      <c r="N548" s="29">
        <f t="shared" ca="1" si="527"/>
        <v>1</v>
      </c>
      <c r="O548" s="28">
        <f ca="1">SUM(O540:O547)</f>
        <v>2</v>
      </c>
      <c r="P548" s="29">
        <f t="shared" ca="1" si="528"/>
        <v>1</v>
      </c>
      <c r="Q548" s="31">
        <f t="shared" ca="1" si="521"/>
        <v>160</v>
      </c>
      <c r="T548" s="27" t="s">
        <v>25</v>
      </c>
      <c r="U548" s="28">
        <f ca="1">SUM(U540:U547)</f>
        <v>4237418.49</v>
      </c>
      <c r="V548" s="29">
        <f t="shared" ca="1" si="529"/>
        <v>1</v>
      </c>
      <c r="W548" s="28">
        <f ca="1">SUM(W540:W547)</f>
        <v>22170461.359999999</v>
      </c>
      <c r="X548" s="29">
        <f t="shared" ca="1" si="530"/>
        <v>1</v>
      </c>
      <c r="Y548" s="28">
        <f ca="1">SUM(Y540:Y547)</f>
        <v>6714531.7300000004</v>
      </c>
      <c r="Z548" s="29">
        <f t="shared" ca="1" si="531"/>
        <v>1</v>
      </c>
      <c r="AA548" s="28">
        <f ca="1">SUM(AA540:AA547)</f>
        <v>15853448.970000001</v>
      </c>
      <c r="AB548" s="29">
        <f t="shared" ca="1" si="532"/>
        <v>1</v>
      </c>
      <c r="AC548" s="28">
        <f ca="1">SUM(AC540:AC547)</f>
        <v>0</v>
      </c>
      <c r="AD548" s="29">
        <f t="shared" ca="1" si="533"/>
        <v>0</v>
      </c>
      <c r="AE548" s="28">
        <f ca="1">SUM(AE540:AE547)</f>
        <v>785607.37000000023</v>
      </c>
      <c r="AF548" s="29">
        <f t="shared" ca="1" si="534"/>
        <v>1</v>
      </c>
      <c r="AG548" s="28">
        <f ca="1">SUM(AG540:AG547)</f>
        <v>3219336.63</v>
      </c>
      <c r="AH548" s="29">
        <f t="shared" ca="1" si="535"/>
        <v>1</v>
      </c>
      <c r="AI548" s="31">
        <f t="shared" ca="1" si="536"/>
        <v>52980804.549999997</v>
      </c>
    </row>
    <row r="549" spans="2:35" x14ac:dyDescent="0.4">
      <c r="B549" s="32" t="s">
        <v>26</v>
      </c>
      <c r="C549" s="33">
        <f ca="1">C548/$Q$548</f>
        <v>0.16875000000000001</v>
      </c>
      <c r="D549" s="33"/>
      <c r="E549" s="33">
        <f ca="1">E548/$Q$548</f>
        <v>0.48125000000000001</v>
      </c>
      <c r="F549" s="33"/>
      <c r="G549" s="33">
        <f ca="1">G548/$Q$548</f>
        <v>0.1</v>
      </c>
      <c r="H549" s="33"/>
      <c r="I549" s="33">
        <f ca="1">I548/$Q$548</f>
        <v>0.16250000000000001</v>
      </c>
      <c r="J549" s="33"/>
      <c r="K549" s="33">
        <f ca="1">K548/$Q$548</f>
        <v>0</v>
      </c>
      <c r="L549" s="33"/>
      <c r="M549" s="33">
        <f ca="1">M548/$Q$548</f>
        <v>7.4999999999999997E-2</v>
      </c>
      <c r="N549" s="33"/>
      <c r="O549" s="33">
        <f ca="1">O548/$Q$548</f>
        <v>1.2500000000000001E-2</v>
      </c>
      <c r="P549" s="33"/>
      <c r="Q549" s="34">
        <f ca="1">Q548/$Q$548</f>
        <v>1</v>
      </c>
      <c r="T549" s="32" t="s">
        <v>26</v>
      </c>
      <c r="U549" s="33">
        <f ca="1">U548/$AI$548</f>
        <v>7.9980259378677185E-2</v>
      </c>
      <c r="V549" s="33"/>
      <c r="W549" s="33">
        <f ca="1">W548/$AI$548</f>
        <v>0.41846214960886247</v>
      </c>
      <c r="X549" s="33"/>
      <c r="Y549" s="33">
        <f ca="1">Y548/$AI$548</f>
        <v>0.12673517865632339</v>
      </c>
      <c r="Z549" s="33"/>
      <c r="AA549" s="33">
        <f ca="1">AA548/$AI$548</f>
        <v>0.29923005331182728</v>
      </c>
      <c r="AB549" s="33"/>
      <c r="AC549" s="33">
        <f ca="1">AC548/$AI$548</f>
        <v>0</v>
      </c>
      <c r="AD549" s="33"/>
      <c r="AE549" s="33">
        <f ca="1">AE548/$AI$548</f>
        <v>1.4828151000587255E-2</v>
      </c>
      <c r="AF549" s="33"/>
      <c r="AG549" s="33">
        <f ca="1">AG548/$AI$548</f>
        <v>6.0764208043722505E-2</v>
      </c>
      <c r="AH549" s="33"/>
      <c r="AI549" s="34">
        <f ca="1">AI548/$AI$548</f>
        <v>1</v>
      </c>
    </row>
    <row r="551" spans="2:35" x14ac:dyDescent="0.4">
      <c r="E551" s="2" t="s">
        <v>58</v>
      </c>
      <c r="F551" s="2"/>
      <c r="G551" s="2"/>
      <c r="H551" s="2"/>
      <c r="I551" s="2"/>
      <c r="J551" s="2"/>
      <c r="K551" s="2"/>
      <c r="L551" s="2"/>
      <c r="M551" s="2"/>
      <c r="N551" s="2"/>
      <c r="W551" s="2" t="s">
        <v>58</v>
      </c>
      <c r="X551" s="2"/>
      <c r="Y551" s="2"/>
      <c r="Z551" s="2"/>
      <c r="AA551" s="2"/>
      <c r="AB551" s="2"/>
      <c r="AC551" s="2"/>
      <c r="AD551" s="2"/>
      <c r="AE551" s="2"/>
      <c r="AF551" s="2"/>
    </row>
    <row r="552" spans="2:35" x14ac:dyDescent="0.4">
      <c r="E552" s="3"/>
      <c r="F552" s="3"/>
      <c r="G552" s="3"/>
      <c r="H552" s="3"/>
      <c r="I552" s="3"/>
      <c r="J552" s="3"/>
      <c r="K552" s="3"/>
      <c r="L552" s="3"/>
      <c r="M552" s="3"/>
      <c r="N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2:35" x14ac:dyDescent="0.4">
      <c r="B553" s="4" t="s">
        <v>54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T553" s="4" t="s">
        <v>54</v>
      </c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2:35" x14ac:dyDescent="0.4">
      <c r="B554" s="5"/>
      <c r="C554" s="6" t="s">
        <v>3</v>
      </c>
      <c r="D554" s="6"/>
      <c r="E554" s="6" t="s">
        <v>4</v>
      </c>
      <c r="F554" s="6"/>
      <c r="G554" s="6" t="s">
        <v>5</v>
      </c>
      <c r="H554" s="6"/>
      <c r="I554" s="6" t="s">
        <v>6</v>
      </c>
      <c r="J554" s="6"/>
      <c r="K554" s="6" t="s">
        <v>7</v>
      </c>
      <c r="L554" s="6"/>
      <c r="M554" s="6" t="s">
        <v>8</v>
      </c>
      <c r="N554" s="6"/>
      <c r="O554" s="6" t="s">
        <v>9</v>
      </c>
      <c r="P554" s="6"/>
      <c r="Q554" s="7" t="s">
        <v>10</v>
      </c>
      <c r="T554" s="5"/>
      <c r="U554" s="6" t="s">
        <v>3</v>
      </c>
      <c r="V554" s="6"/>
      <c r="W554" s="6" t="s">
        <v>4</v>
      </c>
      <c r="X554" s="6"/>
      <c r="Y554" s="6" t="s">
        <v>5</v>
      </c>
      <c r="Z554" s="6"/>
      <c r="AA554" s="6" t="s">
        <v>6</v>
      </c>
      <c r="AB554" s="6"/>
      <c r="AC554" s="6" t="s">
        <v>7</v>
      </c>
      <c r="AD554" s="6"/>
      <c r="AE554" s="6" t="s">
        <v>8</v>
      </c>
      <c r="AF554" s="6"/>
      <c r="AG554" s="6" t="s">
        <v>9</v>
      </c>
      <c r="AH554" s="6"/>
      <c r="AI554" s="7" t="s">
        <v>10</v>
      </c>
    </row>
    <row r="555" spans="2:35" x14ac:dyDescent="0.4">
      <c r="B555" s="8" t="s">
        <v>11</v>
      </c>
      <c r="C555" s="8" t="s">
        <v>12</v>
      </c>
      <c r="D555" s="8" t="s">
        <v>13</v>
      </c>
      <c r="E555" s="8" t="s">
        <v>12</v>
      </c>
      <c r="F555" s="8" t="s">
        <v>13</v>
      </c>
      <c r="G555" s="8" t="s">
        <v>12</v>
      </c>
      <c r="H555" s="8" t="s">
        <v>13</v>
      </c>
      <c r="I555" s="8" t="s">
        <v>12</v>
      </c>
      <c r="J555" s="8" t="s">
        <v>13</v>
      </c>
      <c r="K555" s="8" t="s">
        <v>12</v>
      </c>
      <c r="L555" s="8" t="s">
        <v>13</v>
      </c>
      <c r="M555" s="8" t="s">
        <v>12</v>
      </c>
      <c r="N555" s="8" t="s">
        <v>13</v>
      </c>
      <c r="O555" s="8" t="s">
        <v>12</v>
      </c>
      <c r="P555" s="8" t="s">
        <v>13</v>
      </c>
      <c r="Q555" s="7"/>
      <c r="T555" s="8" t="s">
        <v>11</v>
      </c>
      <c r="U555" s="8" t="s">
        <v>14</v>
      </c>
      <c r="V555" s="8" t="s">
        <v>13</v>
      </c>
      <c r="W555" s="8" t="s">
        <v>14</v>
      </c>
      <c r="X555" s="8" t="s">
        <v>13</v>
      </c>
      <c r="Y555" s="8" t="s">
        <v>14</v>
      </c>
      <c r="Z555" s="8" t="s">
        <v>13</v>
      </c>
      <c r="AA555" s="8" t="s">
        <v>14</v>
      </c>
      <c r="AB555" s="8" t="s">
        <v>13</v>
      </c>
      <c r="AC555" s="8" t="s">
        <v>14</v>
      </c>
      <c r="AD555" s="8" t="s">
        <v>13</v>
      </c>
      <c r="AE555" s="8" t="s">
        <v>14</v>
      </c>
      <c r="AF555" s="8" t="s">
        <v>13</v>
      </c>
      <c r="AG555" s="8" t="s">
        <v>14</v>
      </c>
      <c r="AH555" s="8" t="s">
        <v>13</v>
      </c>
      <c r="AI555" s="7"/>
    </row>
    <row r="556" spans="2:35" x14ac:dyDescent="0.4">
      <c r="B556" s="9" t="s">
        <v>15</v>
      </c>
      <c r="C556" s="10">
        <v>252</v>
      </c>
      <c r="D556" s="11">
        <f ca="1">C556/C$566</f>
        <v>0.27421109902067464</v>
      </c>
      <c r="E556" s="10">
        <v>246</v>
      </c>
      <c r="F556" s="11">
        <f ca="1">E556/E$566</f>
        <v>0.32539682539682541</v>
      </c>
      <c r="G556" s="10">
        <v>157</v>
      </c>
      <c r="H556" s="11">
        <f ca="1">G556/G$566</f>
        <v>0.94011976047904189</v>
      </c>
      <c r="I556" s="10">
        <v>34</v>
      </c>
      <c r="J556" s="11">
        <f ca="1">I556/I$566</f>
        <v>0.97142857142857142</v>
      </c>
      <c r="K556" s="10">
        <v>46</v>
      </c>
      <c r="L556" s="11">
        <f ca="1">K556/K$566</f>
        <v>0.68656716417910446</v>
      </c>
      <c r="M556" s="10">
        <v>0</v>
      </c>
      <c r="N556" s="11">
        <f ca="1">M556/M$566</f>
        <v>0</v>
      </c>
      <c r="O556" s="10">
        <v>20</v>
      </c>
      <c r="P556" s="11">
        <f ca="1">O556/O$566</f>
        <v>0.8</v>
      </c>
      <c r="Q556" s="60">
        <f t="shared" ref="Q556:Q566" ca="1" si="537">SUM(C556,G556,I556,K556,M556,O556,E556)</f>
        <v>755</v>
      </c>
      <c r="T556" s="9" t="s">
        <v>15</v>
      </c>
      <c r="U556" s="10">
        <v>62749024.54999999</v>
      </c>
      <c r="V556" s="11">
        <f ca="1">U556/U$566</f>
        <v>0.40374885938353761</v>
      </c>
      <c r="W556" s="10">
        <v>60428126.409999996</v>
      </c>
      <c r="X556" s="11">
        <f ca="1">W556/W$566</f>
        <v>0.42791490846964758</v>
      </c>
      <c r="Y556" s="10">
        <v>80282936.299999967</v>
      </c>
      <c r="Z556" s="11">
        <f ca="1">Y556/Y$566</f>
        <v>0.93532596855918626</v>
      </c>
      <c r="AA556" s="10">
        <v>30929618.320000004</v>
      </c>
      <c r="AB556" s="11">
        <f ca="1">AA556/AA$566</f>
        <v>0.99996766957615735</v>
      </c>
      <c r="AC556" s="10">
        <v>2798273.19</v>
      </c>
      <c r="AD556" s="11">
        <f ca="1">AC556/AC$566</f>
        <v>0.68968082117084228</v>
      </c>
      <c r="AE556" s="10">
        <v>0</v>
      </c>
      <c r="AF556" s="11">
        <f ca="1">AE556/AE$566</f>
        <v>0</v>
      </c>
      <c r="AG556" s="10">
        <v>4298730.2000000011</v>
      </c>
      <c r="AH556" s="11">
        <f ca="1">AG556/AG$566</f>
        <v>0.6594021281087401</v>
      </c>
      <c r="AI556" s="60">
        <f ca="1">SUM(U556,Y556,AA556,AC556,AE556,AG556,W556)</f>
        <v>241486708.96999994</v>
      </c>
    </row>
    <row r="557" spans="2:35" x14ac:dyDescent="0.4">
      <c r="B557" s="14" t="s">
        <v>16</v>
      </c>
      <c r="C557" s="15">
        <v>271</v>
      </c>
      <c r="D557" s="16">
        <f ca="1">C557/C$566</f>
        <v>0.29488574537540807</v>
      </c>
      <c r="E557" s="15">
        <v>211</v>
      </c>
      <c r="F557" s="16">
        <f ca="1">E557/E$566</f>
        <v>0.27910052910052913</v>
      </c>
      <c r="G557" s="15">
        <v>8</v>
      </c>
      <c r="H557" s="16">
        <f ca="1">G557/G$566</f>
        <v>4.790419161676647E-2</v>
      </c>
      <c r="I557" s="15">
        <v>0</v>
      </c>
      <c r="J557" s="16">
        <f ca="1">I557/I$566</f>
        <v>0</v>
      </c>
      <c r="K557" s="15">
        <v>16</v>
      </c>
      <c r="L557" s="16">
        <f ca="1">K557/K$566</f>
        <v>0.23880597014925373</v>
      </c>
      <c r="M557" s="15">
        <v>6</v>
      </c>
      <c r="N557" s="16">
        <f ca="1">M557/M$566</f>
        <v>0.6</v>
      </c>
      <c r="O557" s="15">
        <v>2</v>
      </c>
      <c r="P557" s="16">
        <f ca="1">O557/O$566</f>
        <v>0.08</v>
      </c>
      <c r="Q557" s="62">
        <f t="shared" ca="1" si="537"/>
        <v>514</v>
      </c>
      <c r="T557" s="14" t="s">
        <v>16</v>
      </c>
      <c r="U557" s="15">
        <v>52848634.170000009</v>
      </c>
      <c r="V557" s="16">
        <f ca="1">U557/U$566</f>
        <v>0.34004633409262069</v>
      </c>
      <c r="W557" s="15">
        <v>40340802.109999992</v>
      </c>
      <c r="X557" s="16">
        <f ca="1">W557/W$566</f>
        <v>0.28566880471137901</v>
      </c>
      <c r="Y557" s="15">
        <v>4904124.79</v>
      </c>
      <c r="Z557" s="16">
        <f ca="1">Y557/Y$566</f>
        <v>5.7134871749102527E-2</v>
      </c>
      <c r="AA557" s="15">
        <v>0</v>
      </c>
      <c r="AB557" s="16">
        <f ca="1">AA557/AA$566</f>
        <v>0</v>
      </c>
      <c r="AC557" s="15">
        <v>946336.46</v>
      </c>
      <c r="AD557" s="16">
        <f ca="1">AC557/AC$566</f>
        <v>0.23324031019169644</v>
      </c>
      <c r="AE557" s="15">
        <v>529032.04999999993</v>
      </c>
      <c r="AF557" s="16">
        <f ca="1">AE557/AE$566</f>
        <v>0.85782667940410762</v>
      </c>
      <c r="AG557" s="15">
        <v>1290139</v>
      </c>
      <c r="AH557" s="16">
        <f ca="1">AG557/AG$566</f>
        <v>0.19790039443649701</v>
      </c>
      <c r="AI557" s="62">
        <f ca="1">SUM(U557,Y557,AA557,AC557,AE557,AG557,W557)</f>
        <v>100859068.58</v>
      </c>
    </row>
    <row r="558" spans="2:35" x14ac:dyDescent="0.4">
      <c r="B558" s="18" t="s">
        <v>17</v>
      </c>
      <c r="C558" s="19">
        <f ca="1">+SUM(C556:C557)</f>
        <v>523</v>
      </c>
      <c r="D558" s="20">
        <f ca="1">+C558/$C$566</f>
        <v>0.56909684439608266</v>
      </c>
      <c r="E558" s="19">
        <f ca="1">+SUM(E556:E557)</f>
        <v>457</v>
      </c>
      <c r="F558" s="20">
        <f ca="1">+E558/$E$566</f>
        <v>0.60449735449735453</v>
      </c>
      <c r="G558" s="19">
        <f ca="1">+SUM(G556:G557)</f>
        <v>165</v>
      </c>
      <c r="H558" s="20">
        <f ca="1">+G558/$G$566</f>
        <v>0.9880239520958084</v>
      </c>
      <c r="I558" s="19">
        <f ca="1">+SUM(I556:I557)</f>
        <v>34</v>
      </c>
      <c r="J558" s="20">
        <f ca="1">+I558/$I$566</f>
        <v>0.97142857142857142</v>
      </c>
      <c r="K558" s="19">
        <f ca="1">+SUM(K556:K557)</f>
        <v>62</v>
      </c>
      <c r="L558" s="20">
        <f ca="1">+K558/$K$566</f>
        <v>0.92537313432835822</v>
      </c>
      <c r="M558" s="19">
        <f ca="1">+SUM(M556:M557)</f>
        <v>6</v>
      </c>
      <c r="N558" s="20">
        <f ca="1">+M558/$M$566</f>
        <v>0.6</v>
      </c>
      <c r="O558" s="19">
        <f ca="1">+SUM(O556:O557)</f>
        <v>22</v>
      </c>
      <c r="P558" s="20">
        <f ca="1">+O558/$O$566</f>
        <v>0.88</v>
      </c>
      <c r="Q558" s="101">
        <f ca="1">+SUM(Q556:Q557)</f>
        <v>1269</v>
      </c>
      <c r="T558" s="18" t="s">
        <v>17</v>
      </c>
      <c r="U558" s="19">
        <f ca="1">+SUM(U556:U557)</f>
        <v>115597658.72</v>
      </c>
      <c r="V558" s="20">
        <f ca="1">U558/U$566</f>
        <v>0.7437951934761583</v>
      </c>
      <c r="W558" s="19">
        <f ca="1">+SUM(W556:W557)</f>
        <v>100768928.51999998</v>
      </c>
      <c r="X558" s="20">
        <f ca="1">W558/W$566</f>
        <v>0.71358371318102654</v>
      </c>
      <c r="Y558" s="19">
        <f ca="1">+SUM(Y556:Y557)</f>
        <v>85187061.089999974</v>
      </c>
      <c r="Z558" s="20">
        <f ca="1">Y558/Y$566</f>
        <v>0.99246084030828885</v>
      </c>
      <c r="AA558" s="19">
        <f ca="1">+SUM(AA556:AA557)</f>
        <v>30929618.320000004</v>
      </c>
      <c r="AB558" s="20">
        <f ca="1">AA558/AA$566</f>
        <v>0.99996766957615735</v>
      </c>
      <c r="AC558" s="19">
        <f ca="1">+SUM(AC556:AC557)</f>
        <v>3744609.65</v>
      </c>
      <c r="AD558" s="20">
        <f ca="1">AC558/AC$566</f>
        <v>0.92292113136253873</v>
      </c>
      <c r="AE558" s="19">
        <f ca="1">+SUM(AE556:AE557)</f>
        <v>529032.04999999993</v>
      </c>
      <c r="AF558" s="20">
        <f ca="1">AE558/AE$566</f>
        <v>0.85782667940410762</v>
      </c>
      <c r="AG558" s="19">
        <f ca="1">+SUM(AG556:AG557)</f>
        <v>5588869.2000000011</v>
      </c>
      <c r="AH558" s="20">
        <f ca="1">AG558/AG$566</f>
        <v>0.85730252254523709</v>
      </c>
      <c r="AI558" s="21">
        <f ca="1">+SUM(AI556:AI557)</f>
        <v>342345777.54999995</v>
      </c>
    </row>
    <row r="559" spans="2:35" x14ac:dyDescent="0.4">
      <c r="B559" s="22" t="s">
        <v>18</v>
      </c>
      <c r="C559" s="15">
        <v>96</v>
      </c>
      <c r="D559" s="16">
        <f t="shared" ref="D559:D566" ca="1" si="538">C559/C$566</f>
        <v>0.10446137105549511</v>
      </c>
      <c r="E559" s="15">
        <v>77</v>
      </c>
      <c r="F559" s="16">
        <f t="shared" ref="F559:F566" ca="1" si="539">E559/E$566</f>
        <v>0.10185185185185185</v>
      </c>
      <c r="G559" s="15">
        <v>0</v>
      </c>
      <c r="H559" s="16">
        <f t="shared" ref="H559:H566" ca="1" si="540">G559/G$566</f>
        <v>0</v>
      </c>
      <c r="I559" s="15">
        <v>0</v>
      </c>
      <c r="J559" s="16">
        <f t="shared" ref="J559:J566" ca="1" si="541">I559/I$566</f>
        <v>0</v>
      </c>
      <c r="K559" s="15">
        <v>5</v>
      </c>
      <c r="L559" s="16">
        <f t="shared" ref="L559:L566" ca="1" si="542">K559/K$566</f>
        <v>7.4626865671641784E-2</v>
      </c>
      <c r="M559" s="15">
        <v>2</v>
      </c>
      <c r="N559" s="16">
        <f t="shared" ref="N559:N566" ca="1" si="543">M559/M$566</f>
        <v>0.2</v>
      </c>
      <c r="O559" s="15">
        <v>0</v>
      </c>
      <c r="P559" s="16">
        <f t="shared" ref="P559:P566" ca="1" si="544">O559/O$566</f>
        <v>0</v>
      </c>
      <c r="Q559" s="62">
        <f t="shared" ca="1" si="537"/>
        <v>180</v>
      </c>
      <c r="T559" s="22" t="s">
        <v>18</v>
      </c>
      <c r="U559" s="15">
        <v>11318411.220000001</v>
      </c>
      <c r="V559" s="16">
        <f t="shared" ref="V559:V566" ca="1" si="545">U559/U$566</f>
        <v>7.2826560299236315E-2</v>
      </c>
      <c r="W559" s="15">
        <v>12469829.369999995</v>
      </c>
      <c r="X559" s="16">
        <f t="shared" ref="X559:X566" ca="1" si="546">W559/W$566</f>
        <v>8.8303679271655111E-2</v>
      </c>
      <c r="Y559" s="15">
        <v>0</v>
      </c>
      <c r="Z559" s="16">
        <f t="shared" ref="Z559:Z566" ca="1" si="547">Y559/Y$566</f>
        <v>0</v>
      </c>
      <c r="AA559" s="15">
        <v>0</v>
      </c>
      <c r="AB559" s="16">
        <f t="shared" ref="AB559:AB566" ca="1" si="548">AA559/AA$566</f>
        <v>0</v>
      </c>
      <c r="AC559" s="15">
        <v>312735.57999999996</v>
      </c>
      <c r="AD559" s="16">
        <f t="shared" ref="AD559:AD566" ca="1" si="549">AC559/AC$566</f>
        <v>7.7078868637461245E-2</v>
      </c>
      <c r="AE559" s="15">
        <v>77000</v>
      </c>
      <c r="AF559" s="16">
        <f t="shared" ref="AF559:AF566" ca="1" si="550">AE559/AE$566</f>
        <v>0.1248556761619949</v>
      </c>
      <c r="AG559" s="15">
        <v>0</v>
      </c>
      <c r="AH559" s="16">
        <f t="shared" ref="AH559:AH566" ca="1" si="551">AG559/AG$566</f>
        <v>0</v>
      </c>
      <c r="AI559" s="62">
        <f t="shared" ref="AI559:AI566" ca="1" si="552">SUM(U559,Y559,AA559,AC559,AE559,AG559,W559)</f>
        <v>24177976.169999994</v>
      </c>
    </row>
    <row r="560" spans="2:35" x14ac:dyDescent="0.4">
      <c r="B560" s="22" t="s">
        <v>19</v>
      </c>
      <c r="C560" s="15">
        <v>134</v>
      </c>
      <c r="D560" s="16">
        <f t="shared" ca="1" si="538"/>
        <v>0.14581066376496191</v>
      </c>
      <c r="E560" s="15">
        <v>84</v>
      </c>
      <c r="F560" s="16">
        <f t="shared" ca="1" si="539"/>
        <v>0.1111111111111111</v>
      </c>
      <c r="G560" s="15">
        <v>0</v>
      </c>
      <c r="H560" s="16">
        <f t="shared" ca="1" si="540"/>
        <v>0</v>
      </c>
      <c r="I560" s="15">
        <v>0</v>
      </c>
      <c r="J560" s="16">
        <f t="shared" ca="1" si="541"/>
        <v>0</v>
      </c>
      <c r="K560" s="15">
        <v>0</v>
      </c>
      <c r="L560" s="16">
        <f t="shared" ca="1" si="542"/>
        <v>0</v>
      </c>
      <c r="M560" s="15">
        <v>1</v>
      </c>
      <c r="N560" s="16">
        <f t="shared" ca="1" si="543"/>
        <v>0.1</v>
      </c>
      <c r="O560" s="15">
        <v>2</v>
      </c>
      <c r="P560" s="16">
        <f t="shared" ca="1" si="544"/>
        <v>0.08</v>
      </c>
      <c r="Q560" s="62">
        <f t="shared" ca="1" si="537"/>
        <v>221</v>
      </c>
      <c r="T560" s="22" t="s">
        <v>19</v>
      </c>
      <c r="U560" s="15">
        <v>14233871.789999999</v>
      </c>
      <c r="V560" s="16">
        <f t="shared" ca="1" si="545"/>
        <v>9.1585638837217792E-2</v>
      </c>
      <c r="W560" s="15">
        <v>14058507.999999998</v>
      </c>
      <c r="X560" s="16">
        <f t="shared" ca="1" si="546"/>
        <v>9.9553726409168805E-2</v>
      </c>
      <c r="Y560" s="15">
        <v>0</v>
      </c>
      <c r="Z560" s="16">
        <f t="shared" ca="1" si="547"/>
        <v>0</v>
      </c>
      <c r="AA560" s="15">
        <v>0</v>
      </c>
      <c r="AB560" s="16">
        <f t="shared" ca="1" si="548"/>
        <v>0</v>
      </c>
      <c r="AC560" s="15">
        <v>0</v>
      </c>
      <c r="AD560" s="16">
        <f t="shared" ca="1" si="549"/>
        <v>0</v>
      </c>
      <c r="AE560" s="15">
        <v>1000</v>
      </c>
      <c r="AF560" s="16">
        <f t="shared" ca="1" si="550"/>
        <v>1.6215022878181156E-3</v>
      </c>
      <c r="AG560" s="15">
        <v>875202.84000000008</v>
      </c>
      <c r="AH560" s="16">
        <f t="shared" ca="1" si="551"/>
        <v>0.13425141573732938</v>
      </c>
      <c r="AI560" s="62">
        <f t="shared" ca="1" si="552"/>
        <v>29168582.629999995</v>
      </c>
    </row>
    <row r="561" spans="2:35" x14ac:dyDescent="0.4">
      <c r="B561" s="22" t="s">
        <v>20</v>
      </c>
      <c r="C561" s="15">
        <v>49</v>
      </c>
      <c r="D561" s="16">
        <f t="shared" ca="1" si="538"/>
        <v>5.3318824809575623E-2</v>
      </c>
      <c r="E561" s="15">
        <v>44</v>
      </c>
      <c r="F561" s="16">
        <f t="shared" ca="1" si="539"/>
        <v>5.8201058201058198E-2</v>
      </c>
      <c r="G561" s="15">
        <v>2</v>
      </c>
      <c r="H561" s="16">
        <f t="shared" ca="1" si="540"/>
        <v>1.1976047904191617E-2</v>
      </c>
      <c r="I561" s="15">
        <v>0</v>
      </c>
      <c r="J561" s="16">
        <f t="shared" ca="1" si="541"/>
        <v>0</v>
      </c>
      <c r="K561" s="15">
        <v>0</v>
      </c>
      <c r="L561" s="16">
        <f t="shared" ca="1" si="542"/>
        <v>0</v>
      </c>
      <c r="M561" s="15">
        <v>0</v>
      </c>
      <c r="N561" s="16">
        <f t="shared" ca="1" si="543"/>
        <v>0</v>
      </c>
      <c r="O561" s="15">
        <v>0</v>
      </c>
      <c r="P561" s="16">
        <f t="shared" ca="1" si="544"/>
        <v>0</v>
      </c>
      <c r="Q561" s="62">
        <f t="shared" ca="1" si="537"/>
        <v>95</v>
      </c>
      <c r="T561" s="22" t="s">
        <v>20</v>
      </c>
      <c r="U561" s="15">
        <v>5521948.3399999989</v>
      </c>
      <c r="V561" s="16">
        <f t="shared" ca="1" si="545"/>
        <v>3.5530119549082598E-2</v>
      </c>
      <c r="W561" s="15">
        <v>3995738.49</v>
      </c>
      <c r="X561" s="16">
        <f t="shared" ca="1" si="546"/>
        <v>2.8295367932076817E-2</v>
      </c>
      <c r="Y561" s="15">
        <v>647117.57999999996</v>
      </c>
      <c r="Z561" s="16">
        <f t="shared" ca="1" si="547"/>
        <v>7.5391596917111876E-3</v>
      </c>
      <c r="AA561" s="15">
        <v>0</v>
      </c>
      <c r="AB561" s="16">
        <f t="shared" ca="1" si="548"/>
        <v>0</v>
      </c>
      <c r="AC561" s="15">
        <v>0</v>
      </c>
      <c r="AD561" s="16">
        <f t="shared" ca="1" si="549"/>
        <v>0</v>
      </c>
      <c r="AE561" s="15">
        <v>0</v>
      </c>
      <c r="AF561" s="16">
        <f t="shared" ca="1" si="550"/>
        <v>0</v>
      </c>
      <c r="AG561" s="15">
        <v>0</v>
      </c>
      <c r="AH561" s="16">
        <f t="shared" ca="1" si="551"/>
        <v>0</v>
      </c>
      <c r="AI561" s="62">
        <f t="shared" ca="1" si="552"/>
        <v>10164804.41</v>
      </c>
    </row>
    <row r="562" spans="2:35" x14ac:dyDescent="0.4">
      <c r="B562" s="22" t="s">
        <v>21</v>
      </c>
      <c r="C562" s="15">
        <v>33</v>
      </c>
      <c r="D562" s="16">
        <f t="shared" ca="1" si="538"/>
        <v>3.5908596300326445E-2</v>
      </c>
      <c r="E562" s="15">
        <v>16</v>
      </c>
      <c r="F562" s="16">
        <f t="shared" ca="1" si="539"/>
        <v>2.1164021164021163E-2</v>
      </c>
      <c r="G562" s="15">
        <v>0</v>
      </c>
      <c r="H562" s="16">
        <f t="shared" ca="1" si="540"/>
        <v>0</v>
      </c>
      <c r="I562" s="15">
        <v>0</v>
      </c>
      <c r="J562" s="16">
        <f t="shared" ca="1" si="541"/>
        <v>0</v>
      </c>
      <c r="K562" s="15">
        <v>0</v>
      </c>
      <c r="L562" s="16">
        <f t="shared" ca="1" si="542"/>
        <v>0</v>
      </c>
      <c r="M562" s="15">
        <v>0</v>
      </c>
      <c r="N562" s="16">
        <f t="shared" ca="1" si="543"/>
        <v>0</v>
      </c>
      <c r="O562" s="15">
        <v>0</v>
      </c>
      <c r="P562" s="16">
        <f t="shared" ca="1" si="544"/>
        <v>0</v>
      </c>
      <c r="Q562" s="62">
        <f t="shared" ca="1" si="537"/>
        <v>49</v>
      </c>
      <c r="T562" s="22" t="s">
        <v>21</v>
      </c>
      <c r="U562" s="15">
        <v>2666037.6799999997</v>
      </c>
      <c r="V562" s="16">
        <f t="shared" ca="1" si="545"/>
        <v>1.7154205664437421E-2</v>
      </c>
      <c r="W562" s="15">
        <v>2067204.5899999999</v>
      </c>
      <c r="X562" s="16">
        <f t="shared" ca="1" si="546"/>
        <v>1.4638674330493534E-2</v>
      </c>
      <c r="Y562" s="15">
        <v>0</v>
      </c>
      <c r="Z562" s="16">
        <f t="shared" ca="1" si="547"/>
        <v>0</v>
      </c>
      <c r="AA562" s="15">
        <v>0</v>
      </c>
      <c r="AB562" s="16">
        <f t="shared" ca="1" si="548"/>
        <v>0</v>
      </c>
      <c r="AC562" s="15">
        <v>0</v>
      </c>
      <c r="AD562" s="16">
        <f t="shared" ca="1" si="549"/>
        <v>0</v>
      </c>
      <c r="AE562" s="15">
        <v>0</v>
      </c>
      <c r="AF562" s="16">
        <f t="shared" ca="1" si="550"/>
        <v>0</v>
      </c>
      <c r="AG562" s="15">
        <v>0</v>
      </c>
      <c r="AH562" s="16">
        <f t="shared" ca="1" si="551"/>
        <v>0</v>
      </c>
      <c r="AI562" s="62">
        <f t="shared" ca="1" si="552"/>
        <v>4733242.2699999996</v>
      </c>
    </row>
    <row r="563" spans="2:35" x14ac:dyDescent="0.4">
      <c r="B563" s="22" t="s">
        <v>22</v>
      </c>
      <c r="C563" s="15">
        <v>16</v>
      </c>
      <c r="D563" s="16">
        <f t="shared" ca="1" si="538"/>
        <v>1.7410228509249184E-2</v>
      </c>
      <c r="E563" s="15">
        <v>17</v>
      </c>
      <c r="F563" s="16">
        <f t="shared" ca="1" si="539"/>
        <v>2.2486772486772486E-2</v>
      </c>
      <c r="G563" s="15">
        <v>0</v>
      </c>
      <c r="H563" s="16">
        <f t="shared" ca="1" si="540"/>
        <v>0</v>
      </c>
      <c r="I563" s="15">
        <v>0</v>
      </c>
      <c r="J563" s="16">
        <f t="shared" ca="1" si="541"/>
        <v>0</v>
      </c>
      <c r="K563" s="15">
        <v>0</v>
      </c>
      <c r="L563" s="16">
        <f t="shared" ca="1" si="542"/>
        <v>0</v>
      </c>
      <c r="M563" s="15">
        <v>0</v>
      </c>
      <c r="N563" s="16">
        <f t="shared" ca="1" si="543"/>
        <v>0</v>
      </c>
      <c r="O563" s="15">
        <v>0</v>
      </c>
      <c r="P563" s="16">
        <f t="shared" ca="1" si="544"/>
        <v>0</v>
      </c>
      <c r="Q563" s="62">
        <f t="shared" ca="1" si="537"/>
        <v>33</v>
      </c>
      <c r="T563" s="22" t="s">
        <v>22</v>
      </c>
      <c r="U563" s="15">
        <v>1311402.18</v>
      </c>
      <c r="V563" s="16">
        <f t="shared" ca="1" si="545"/>
        <v>8.4380137885041381E-3</v>
      </c>
      <c r="W563" s="15">
        <v>2065168.88</v>
      </c>
      <c r="X563" s="16">
        <f t="shared" ca="1" si="546"/>
        <v>1.462425868152222E-2</v>
      </c>
      <c r="Y563" s="15">
        <v>0</v>
      </c>
      <c r="Z563" s="16">
        <f t="shared" ca="1" si="547"/>
        <v>0</v>
      </c>
      <c r="AA563" s="15">
        <v>0</v>
      </c>
      <c r="AB563" s="16">
        <f t="shared" ca="1" si="548"/>
        <v>0</v>
      </c>
      <c r="AC563" s="15">
        <v>0</v>
      </c>
      <c r="AD563" s="16">
        <f t="shared" ca="1" si="549"/>
        <v>0</v>
      </c>
      <c r="AE563" s="15">
        <v>0</v>
      </c>
      <c r="AF563" s="16">
        <f t="shared" ca="1" si="550"/>
        <v>0</v>
      </c>
      <c r="AG563" s="15">
        <v>0</v>
      </c>
      <c r="AH563" s="16">
        <f t="shared" ca="1" si="551"/>
        <v>0</v>
      </c>
      <c r="AI563" s="62">
        <f t="shared" ca="1" si="552"/>
        <v>3376571.0599999996</v>
      </c>
    </row>
    <row r="564" spans="2:35" x14ac:dyDescent="0.4">
      <c r="B564" s="22" t="s">
        <v>23</v>
      </c>
      <c r="C564" s="15">
        <v>14</v>
      </c>
      <c r="D564" s="16">
        <f t="shared" ca="1" si="538"/>
        <v>1.5233949945593036E-2</v>
      </c>
      <c r="E564" s="15">
        <v>16</v>
      </c>
      <c r="F564" s="16">
        <f t="shared" ca="1" si="539"/>
        <v>2.1164021164021163E-2</v>
      </c>
      <c r="G564" s="15">
        <v>0</v>
      </c>
      <c r="H564" s="16">
        <f t="shared" ca="1" si="540"/>
        <v>0</v>
      </c>
      <c r="I564" s="15">
        <v>0</v>
      </c>
      <c r="J564" s="16">
        <f t="shared" ca="1" si="541"/>
        <v>0</v>
      </c>
      <c r="K564" s="15">
        <v>0</v>
      </c>
      <c r="L564" s="16">
        <f t="shared" ca="1" si="542"/>
        <v>0</v>
      </c>
      <c r="M564" s="15">
        <v>1</v>
      </c>
      <c r="N564" s="16">
        <f t="shared" ca="1" si="543"/>
        <v>0.1</v>
      </c>
      <c r="O564" s="15">
        <v>1</v>
      </c>
      <c r="P564" s="16">
        <f t="shared" ca="1" si="544"/>
        <v>0.04</v>
      </c>
      <c r="Q564" s="62">
        <f t="shared" ca="1" si="537"/>
        <v>32</v>
      </c>
      <c r="T564" s="22" t="s">
        <v>23</v>
      </c>
      <c r="U564" s="15">
        <v>1005052.25</v>
      </c>
      <c r="V564" s="16">
        <f t="shared" ca="1" si="545"/>
        <v>6.4668527115511647E-3</v>
      </c>
      <c r="W564" s="15">
        <v>1653097.36</v>
      </c>
      <c r="X564" s="16">
        <f t="shared" ca="1" si="546"/>
        <v>1.1706221051704723E-2</v>
      </c>
      <c r="Y564" s="15">
        <v>0</v>
      </c>
      <c r="Z564" s="16">
        <f t="shared" ca="1" si="547"/>
        <v>0</v>
      </c>
      <c r="AA564" s="15">
        <v>0</v>
      </c>
      <c r="AB564" s="16">
        <f t="shared" ca="1" si="548"/>
        <v>0</v>
      </c>
      <c r="AC564" s="15">
        <v>0</v>
      </c>
      <c r="AD564" s="16">
        <f t="shared" ca="1" si="549"/>
        <v>0</v>
      </c>
      <c r="AE564" s="15">
        <v>9680</v>
      </c>
      <c r="AF564" s="16">
        <f t="shared" ca="1" si="550"/>
        <v>1.569614214607936E-2</v>
      </c>
      <c r="AG564" s="15">
        <v>55061</v>
      </c>
      <c r="AH564" s="16">
        <f t="shared" ca="1" si="551"/>
        <v>8.4460617174335183E-3</v>
      </c>
      <c r="AI564" s="62">
        <f t="shared" ca="1" si="552"/>
        <v>2722890.6100000003</v>
      </c>
    </row>
    <row r="565" spans="2:35" x14ac:dyDescent="0.4">
      <c r="B565" s="23" t="s">
        <v>24</v>
      </c>
      <c r="C565" s="24">
        <v>54</v>
      </c>
      <c r="D565" s="25">
        <f t="shared" ca="1" si="538"/>
        <v>5.8759521218715999E-2</v>
      </c>
      <c r="E565" s="24">
        <v>45</v>
      </c>
      <c r="F565" s="25">
        <f t="shared" ca="1" si="539"/>
        <v>5.9523809523809521E-2</v>
      </c>
      <c r="G565" s="24">
        <v>0</v>
      </c>
      <c r="H565" s="25">
        <f t="shared" ca="1" si="540"/>
        <v>0</v>
      </c>
      <c r="I565" s="24">
        <v>1</v>
      </c>
      <c r="J565" s="25">
        <f t="shared" ca="1" si="541"/>
        <v>2.8571428571428571E-2</v>
      </c>
      <c r="K565" s="24">
        <v>0</v>
      </c>
      <c r="L565" s="25">
        <f t="shared" ca="1" si="542"/>
        <v>0</v>
      </c>
      <c r="M565" s="24">
        <v>0</v>
      </c>
      <c r="N565" s="25">
        <f t="shared" ca="1" si="543"/>
        <v>0</v>
      </c>
      <c r="O565" s="24">
        <v>0</v>
      </c>
      <c r="P565" s="25">
        <f t="shared" ca="1" si="544"/>
        <v>0</v>
      </c>
      <c r="Q565" s="64">
        <f t="shared" ca="1" si="537"/>
        <v>100</v>
      </c>
      <c r="T565" s="23" t="s">
        <v>24</v>
      </c>
      <c r="U565" s="24">
        <v>3761597.56</v>
      </c>
      <c r="V565" s="25">
        <f t="shared" ca="1" si="545"/>
        <v>2.4203415673812231E-2</v>
      </c>
      <c r="W565" s="24">
        <v>4136811.3200000003</v>
      </c>
      <c r="X565" s="25">
        <f t="shared" ca="1" si="546"/>
        <v>2.9294359142352271E-2</v>
      </c>
      <c r="Y565" s="24">
        <v>0</v>
      </c>
      <c r="Z565" s="25">
        <f t="shared" ca="1" si="547"/>
        <v>0</v>
      </c>
      <c r="AA565" s="24">
        <v>1000</v>
      </c>
      <c r="AB565" s="25">
        <f t="shared" ca="1" si="548"/>
        <v>3.2330423842623003E-5</v>
      </c>
      <c r="AC565" s="24">
        <v>0</v>
      </c>
      <c r="AD565" s="25">
        <f t="shared" ca="1" si="549"/>
        <v>0</v>
      </c>
      <c r="AE565" s="24">
        <v>0</v>
      </c>
      <c r="AF565" s="25">
        <f t="shared" ca="1" si="550"/>
        <v>0</v>
      </c>
      <c r="AG565" s="24">
        <v>0</v>
      </c>
      <c r="AH565" s="25">
        <f t="shared" ca="1" si="551"/>
        <v>0</v>
      </c>
      <c r="AI565" s="64">
        <f t="shared" ca="1" si="552"/>
        <v>7899408.8800000008</v>
      </c>
    </row>
    <row r="566" spans="2:35" x14ac:dyDescent="0.4">
      <c r="B566" s="27" t="s">
        <v>25</v>
      </c>
      <c r="C566" s="28">
        <f ca="1">SUM(C558:C565)</f>
        <v>919</v>
      </c>
      <c r="D566" s="29">
        <f t="shared" ca="1" si="538"/>
        <v>1</v>
      </c>
      <c r="E566" s="28">
        <f ca="1">SUM(E558:E565)</f>
        <v>756</v>
      </c>
      <c r="F566" s="29">
        <f t="shared" ca="1" si="539"/>
        <v>1</v>
      </c>
      <c r="G566" s="28">
        <f ca="1">SUM(G558:G565)</f>
        <v>167</v>
      </c>
      <c r="H566" s="29">
        <f t="shared" ca="1" si="540"/>
        <v>1</v>
      </c>
      <c r="I566" s="28">
        <f ca="1">SUM(I558:I565)</f>
        <v>35</v>
      </c>
      <c r="J566" s="29">
        <f t="shared" ca="1" si="541"/>
        <v>1</v>
      </c>
      <c r="K566" s="28">
        <f ca="1">SUM(K558:K565)</f>
        <v>67</v>
      </c>
      <c r="L566" s="29">
        <f t="shared" ca="1" si="542"/>
        <v>1</v>
      </c>
      <c r="M566" s="28">
        <f ca="1">SUM(M558:M565)</f>
        <v>10</v>
      </c>
      <c r="N566" s="29">
        <f t="shared" ca="1" si="543"/>
        <v>1</v>
      </c>
      <c r="O566" s="28">
        <f ca="1">SUM(O558:O565)</f>
        <v>25</v>
      </c>
      <c r="P566" s="29">
        <f t="shared" ca="1" si="544"/>
        <v>1</v>
      </c>
      <c r="Q566" s="31">
        <f t="shared" ca="1" si="537"/>
        <v>1979</v>
      </c>
      <c r="T566" s="27" t="s">
        <v>25</v>
      </c>
      <c r="U566" s="28">
        <f ca="1">SUM(U558:U565)</f>
        <v>155415979.74000001</v>
      </c>
      <c r="V566" s="29">
        <f t="shared" ca="1" si="545"/>
        <v>1</v>
      </c>
      <c r="W566" s="28">
        <f ca="1">SUM(W558:W565)</f>
        <v>141215286.52999997</v>
      </c>
      <c r="X566" s="29">
        <f t="shared" ca="1" si="546"/>
        <v>1</v>
      </c>
      <c r="Y566" s="28">
        <f ca="1">SUM(Y558:Y565)</f>
        <v>85834178.669999972</v>
      </c>
      <c r="Z566" s="29">
        <f t="shared" ca="1" si="547"/>
        <v>1</v>
      </c>
      <c r="AA566" s="28">
        <f ca="1">SUM(AA558:AA565)</f>
        <v>30930618.320000004</v>
      </c>
      <c r="AB566" s="29">
        <f t="shared" ca="1" si="548"/>
        <v>1</v>
      </c>
      <c r="AC566" s="28">
        <f ca="1">SUM(AC558:AC565)</f>
        <v>4057345.23</v>
      </c>
      <c r="AD566" s="29">
        <f t="shared" ca="1" si="549"/>
        <v>1</v>
      </c>
      <c r="AE566" s="28">
        <f ca="1">SUM(AE558:AE565)</f>
        <v>616712.04999999993</v>
      </c>
      <c r="AF566" s="29">
        <f t="shared" ca="1" si="550"/>
        <v>1</v>
      </c>
      <c r="AG566" s="28">
        <f ca="1">SUM(AG558:AG565)</f>
        <v>6519133.040000001</v>
      </c>
      <c r="AH566" s="29">
        <f t="shared" ca="1" si="551"/>
        <v>1</v>
      </c>
      <c r="AI566" s="31">
        <f t="shared" ca="1" si="552"/>
        <v>424589253.57999998</v>
      </c>
    </row>
    <row r="567" spans="2:35" x14ac:dyDescent="0.4">
      <c r="B567" s="32" t="s">
        <v>26</v>
      </c>
      <c r="C567" s="33">
        <f ca="1">C566/$Q$566</f>
        <v>0.46437594744820615</v>
      </c>
      <c r="D567" s="33"/>
      <c r="E567" s="33">
        <f ca="1">E566/$Q$566</f>
        <v>0.38201111672561899</v>
      </c>
      <c r="F567" s="33"/>
      <c r="G567" s="33">
        <f ca="1">G566/$Q$566</f>
        <v>8.438605356240525E-2</v>
      </c>
      <c r="H567" s="33"/>
      <c r="I567" s="33">
        <f ca="1">I566/$Q$566</f>
        <v>1.7685699848408287E-2</v>
      </c>
      <c r="J567" s="33"/>
      <c r="K567" s="33">
        <f ca="1">K566/$Q$566</f>
        <v>3.3855482566953005E-2</v>
      </c>
      <c r="L567" s="33"/>
      <c r="M567" s="33">
        <f ca="1">M566/$Q$566</f>
        <v>5.053057099545225E-3</v>
      </c>
      <c r="N567" s="33"/>
      <c r="O567" s="33">
        <f ca="1">O566/$Q$566</f>
        <v>1.2632642748863061E-2</v>
      </c>
      <c r="P567" s="33"/>
      <c r="Q567" s="34">
        <f ca="1">Q566/$Q$566</f>
        <v>1</v>
      </c>
      <c r="T567" s="32" t="s">
        <v>26</v>
      </c>
      <c r="U567" s="33">
        <f ca="1">U566/$AI$566</f>
        <v>0.36603842049600283</v>
      </c>
      <c r="V567" s="33"/>
      <c r="W567" s="33">
        <f ca="1">W566/$AI$566</f>
        <v>0.33259270068499874</v>
      </c>
      <c r="X567" s="33"/>
      <c r="Y567" s="33">
        <f ca="1">Y566/$AI$566</f>
        <v>0.20215815154593245</v>
      </c>
      <c r="Z567" s="33"/>
      <c r="AA567" s="33">
        <f ca="1">AA566/$AI$566</f>
        <v>7.2848330614124074E-2</v>
      </c>
      <c r="AB567" s="33"/>
      <c r="AC567" s="33">
        <f ca="1">AC566/$AI$566</f>
        <v>9.5559301037173461E-3</v>
      </c>
      <c r="AD567" s="33"/>
      <c r="AE567" s="33">
        <f ca="1">AE566/$AI$566</f>
        <v>1.4524909540222283E-3</v>
      </c>
      <c r="AF567" s="33"/>
      <c r="AG567" s="33">
        <f ca="1">AG566/$AI$566</f>
        <v>1.5353975601202264E-2</v>
      </c>
      <c r="AH567" s="33"/>
      <c r="AI567" s="34">
        <f ca="1">AI566/$AI$566</f>
        <v>1</v>
      </c>
    </row>
    <row r="569" spans="2:35" x14ac:dyDescent="0.4">
      <c r="B569" s="4" t="s">
        <v>55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T569" s="4" t="s">
        <v>55</v>
      </c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2:35" x14ac:dyDescent="0.4">
      <c r="B570" s="5"/>
      <c r="C570" s="6" t="s">
        <v>3</v>
      </c>
      <c r="D570" s="6"/>
      <c r="E570" s="6" t="s">
        <v>4</v>
      </c>
      <c r="F570" s="6"/>
      <c r="G570" s="6" t="s">
        <v>5</v>
      </c>
      <c r="H570" s="6"/>
      <c r="I570" s="6" t="s">
        <v>6</v>
      </c>
      <c r="J570" s="6"/>
      <c r="K570" s="6" t="s">
        <v>7</v>
      </c>
      <c r="L570" s="6"/>
      <c r="M570" s="6" t="s">
        <v>8</v>
      </c>
      <c r="N570" s="6"/>
      <c r="O570" s="6" t="s">
        <v>9</v>
      </c>
      <c r="P570" s="6"/>
      <c r="Q570" s="7" t="s">
        <v>10</v>
      </c>
      <c r="T570" s="5"/>
      <c r="U570" s="6" t="s">
        <v>3</v>
      </c>
      <c r="V570" s="6"/>
      <c r="W570" s="6" t="s">
        <v>4</v>
      </c>
      <c r="X570" s="6"/>
      <c r="Y570" s="6" t="s">
        <v>5</v>
      </c>
      <c r="Z570" s="6"/>
      <c r="AA570" s="6" t="s">
        <v>6</v>
      </c>
      <c r="AB570" s="6"/>
      <c r="AC570" s="6" t="s">
        <v>7</v>
      </c>
      <c r="AD570" s="6"/>
      <c r="AE570" s="6" t="s">
        <v>8</v>
      </c>
      <c r="AF570" s="6"/>
      <c r="AG570" s="6" t="s">
        <v>9</v>
      </c>
      <c r="AH570" s="6"/>
      <c r="AI570" s="7" t="s">
        <v>10</v>
      </c>
    </row>
    <row r="571" spans="2:35" x14ac:dyDescent="0.4">
      <c r="B571" s="8" t="s">
        <v>11</v>
      </c>
      <c r="C571" s="8" t="s">
        <v>12</v>
      </c>
      <c r="D571" s="8" t="s">
        <v>13</v>
      </c>
      <c r="E571" s="8" t="s">
        <v>12</v>
      </c>
      <c r="F571" s="8" t="s">
        <v>13</v>
      </c>
      <c r="G571" s="8" t="s">
        <v>12</v>
      </c>
      <c r="H571" s="8" t="s">
        <v>13</v>
      </c>
      <c r="I571" s="8" t="s">
        <v>12</v>
      </c>
      <c r="J571" s="8" t="s">
        <v>13</v>
      </c>
      <c r="K571" s="8" t="s">
        <v>12</v>
      </c>
      <c r="L571" s="8" t="s">
        <v>13</v>
      </c>
      <c r="M571" s="8" t="s">
        <v>12</v>
      </c>
      <c r="N571" s="8" t="s">
        <v>13</v>
      </c>
      <c r="O571" s="8" t="s">
        <v>12</v>
      </c>
      <c r="P571" s="8" t="s">
        <v>13</v>
      </c>
      <c r="Q571" s="7"/>
      <c r="T571" s="8" t="s">
        <v>11</v>
      </c>
      <c r="U571" s="8" t="s">
        <v>14</v>
      </c>
      <c r="V571" s="8" t="s">
        <v>13</v>
      </c>
      <c r="W571" s="8" t="s">
        <v>14</v>
      </c>
      <c r="X571" s="8" t="s">
        <v>13</v>
      </c>
      <c r="Y571" s="8" t="s">
        <v>14</v>
      </c>
      <c r="Z571" s="8" t="s">
        <v>13</v>
      </c>
      <c r="AA571" s="8" t="s">
        <v>14</v>
      </c>
      <c r="AB571" s="8" t="s">
        <v>13</v>
      </c>
      <c r="AC571" s="8" t="s">
        <v>14</v>
      </c>
      <c r="AD571" s="8" t="s">
        <v>13</v>
      </c>
      <c r="AE571" s="8" t="s">
        <v>14</v>
      </c>
      <c r="AF571" s="8" t="s">
        <v>13</v>
      </c>
      <c r="AG571" s="8" t="s">
        <v>14</v>
      </c>
      <c r="AH571" s="8" t="s">
        <v>13</v>
      </c>
      <c r="AI571" s="7"/>
    </row>
    <row r="572" spans="2:35" x14ac:dyDescent="0.4">
      <c r="B572" s="9" t="s">
        <v>15</v>
      </c>
      <c r="C572" s="10">
        <v>14</v>
      </c>
      <c r="D572" s="11">
        <f ca="1">C572/C$582</f>
        <v>0.42424242424242425</v>
      </c>
      <c r="E572" s="10">
        <v>13</v>
      </c>
      <c r="F572" s="11">
        <f ca="1">E572/E$582</f>
        <v>0.68421052631578949</v>
      </c>
      <c r="G572" s="10">
        <v>2</v>
      </c>
      <c r="H572" s="11">
        <f ca="1">IFERROR((G572/G$582),0)</f>
        <v>1</v>
      </c>
      <c r="I572" s="10">
        <v>11</v>
      </c>
      <c r="J572" s="11">
        <f ca="1">IFERROR((I572/I$582),0)</f>
        <v>1</v>
      </c>
      <c r="K572" s="10">
        <v>3</v>
      </c>
      <c r="L572" s="11">
        <f ca="1">IFERROR((K572/K$582),0)</f>
        <v>1</v>
      </c>
      <c r="M572" s="10">
        <v>0</v>
      </c>
      <c r="N572" s="11">
        <f t="shared" ref="N572:N582" ca="1" si="553">IFERROR((M572/M$582),0)</f>
        <v>0</v>
      </c>
      <c r="O572" s="10">
        <v>0</v>
      </c>
      <c r="P572" s="11">
        <f t="shared" ref="P572:P582" ca="1" si="554">IFERROR((O572/O$582),0)</f>
        <v>0</v>
      </c>
      <c r="Q572" s="60">
        <f t="shared" ref="Q572:Q582" ca="1" si="555">SUM(C572,G572,I572,K572,M572,O572,E572)</f>
        <v>43</v>
      </c>
      <c r="T572" s="9" t="s">
        <v>15</v>
      </c>
      <c r="U572" s="10">
        <v>3632495.76</v>
      </c>
      <c r="V572" s="11">
        <f ca="1">U572/U$582</f>
        <v>0.51822272159469474</v>
      </c>
      <c r="W572" s="10">
        <v>4945657.42</v>
      </c>
      <c r="X572" s="11">
        <f ca="1">W572/W$582</f>
        <v>0.8443493160267771</v>
      </c>
      <c r="Y572" s="10">
        <v>700016.67999999993</v>
      </c>
      <c r="Z572" s="11">
        <f ca="1">IFERROR((Y572/Y$582),0)</f>
        <v>1</v>
      </c>
      <c r="AA572" s="10">
        <v>7329521.0099999998</v>
      </c>
      <c r="AB572" s="11">
        <f ca="1">IFERROR((AA572/AA$582),0)</f>
        <v>1</v>
      </c>
      <c r="AC572" s="10">
        <v>179926</v>
      </c>
      <c r="AD572" s="11">
        <f ca="1">IFERROR((AC572/AC$582),0)</f>
        <v>1</v>
      </c>
      <c r="AE572" s="10">
        <v>0</v>
      </c>
      <c r="AF572" s="11">
        <f t="shared" ref="AF572:AF582" ca="1" si="556">IFERROR((AE572/AE$582),0)</f>
        <v>0</v>
      </c>
      <c r="AG572" s="10">
        <v>0</v>
      </c>
      <c r="AH572" s="11">
        <f t="shared" ref="AH572:AH582" ca="1" si="557">IFERROR((AG572/AG$582),0)</f>
        <v>0</v>
      </c>
      <c r="AI572" s="60">
        <f ca="1">SUM(U572,Y572,AA572,AC572,AE572,AG572,W572)</f>
        <v>16787616.869999997</v>
      </c>
    </row>
    <row r="573" spans="2:35" x14ac:dyDescent="0.4">
      <c r="B573" s="14" t="s">
        <v>16</v>
      </c>
      <c r="C573" s="15">
        <v>9</v>
      </c>
      <c r="D573" s="16">
        <f ca="1">C573/C$582</f>
        <v>0.27272727272727271</v>
      </c>
      <c r="E573" s="15">
        <v>6</v>
      </c>
      <c r="F573" s="16">
        <f ca="1">E573/E$582</f>
        <v>0.31578947368421051</v>
      </c>
      <c r="G573" s="15">
        <v>0</v>
      </c>
      <c r="H573" s="16">
        <f t="shared" ref="H573:H582" ca="1" si="558">IFERROR((G573/G$582),0)</f>
        <v>0</v>
      </c>
      <c r="I573" s="15">
        <v>0</v>
      </c>
      <c r="J573" s="16">
        <f t="shared" ref="J573:L582" ca="1" si="559">IFERROR((I573/I$582),0)</f>
        <v>0</v>
      </c>
      <c r="K573" s="15">
        <v>0</v>
      </c>
      <c r="L573" s="16">
        <f t="shared" ca="1" si="559"/>
        <v>0</v>
      </c>
      <c r="M573" s="15">
        <v>0</v>
      </c>
      <c r="N573" s="16">
        <f t="shared" ca="1" si="553"/>
        <v>0</v>
      </c>
      <c r="O573" s="15">
        <v>0</v>
      </c>
      <c r="P573" s="16">
        <f t="shared" ca="1" si="554"/>
        <v>0</v>
      </c>
      <c r="Q573" s="62">
        <f t="shared" ca="1" si="555"/>
        <v>15</v>
      </c>
      <c r="T573" s="14" t="s">
        <v>16</v>
      </c>
      <c r="U573" s="15">
        <v>2301237.1799999997</v>
      </c>
      <c r="V573" s="16">
        <f ca="1">U573/U$582</f>
        <v>0.32830138649755791</v>
      </c>
      <c r="W573" s="15">
        <v>911701.99999999988</v>
      </c>
      <c r="X573" s="16">
        <f ca="1">W573/W$582</f>
        <v>0.15565068397322285</v>
      </c>
      <c r="Y573" s="15">
        <v>0</v>
      </c>
      <c r="Z573" s="16">
        <f t="shared" ref="Z573:Z582" ca="1" si="560">IFERROR((Y573/Y$582),0)</f>
        <v>0</v>
      </c>
      <c r="AA573" s="15">
        <v>0</v>
      </c>
      <c r="AB573" s="16">
        <f t="shared" ref="AB573:AD582" ca="1" si="561">IFERROR((AA573/AA$582),0)</f>
        <v>0</v>
      </c>
      <c r="AC573" s="15">
        <v>0</v>
      </c>
      <c r="AD573" s="16">
        <f t="shared" ca="1" si="561"/>
        <v>0</v>
      </c>
      <c r="AE573" s="15">
        <v>0</v>
      </c>
      <c r="AF573" s="16">
        <f t="shared" ca="1" si="556"/>
        <v>0</v>
      </c>
      <c r="AG573" s="15">
        <v>0</v>
      </c>
      <c r="AH573" s="16">
        <f t="shared" ca="1" si="557"/>
        <v>0</v>
      </c>
      <c r="AI573" s="62">
        <f ca="1">SUM(U573,Y573,AA573,AC573,AE573,AG573,W573)</f>
        <v>3212939.1799999997</v>
      </c>
    </row>
    <row r="574" spans="2:35" x14ac:dyDescent="0.4">
      <c r="B574" s="18" t="s">
        <v>17</v>
      </c>
      <c r="C574" s="19">
        <f ca="1">+SUM(C572:C573)</f>
        <v>23</v>
      </c>
      <c r="D574" s="20">
        <f ca="1">+C574/$C$582</f>
        <v>0.69696969696969702</v>
      </c>
      <c r="E574" s="19">
        <f ca="1">+SUM(E572:E573)</f>
        <v>19</v>
      </c>
      <c r="F574" s="20">
        <f ca="1">+E574/$E$582</f>
        <v>1</v>
      </c>
      <c r="G574" s="19">
        <f ca="1">+SUM(G572:G573)</f>
        <v>2</v>
      </c>
      <c r="H574" s="20">
        <f t="shared" ca="1" si="558"/>
        <v>1</v>
      </c>
      <c r="I574" s="19">
        <f ca="1">+SUM(I572:I573)</f>
        <v>11</v>
      </c>
      <c r="J574" s="20">
        <f t="shared" ca="1" si="559"/>
        <v>1</v>
      </c>
      <c r="K574" s="19">
        <f ca="1">+SUM(K572:K573)</f>
        <v>3</v>
      </c>
      <c r="L574" s="20">
        <f t="shared" ca="1" si="559"/>
        <v>1</v>
      </c>
      <c r="M574" s="19">
        <f ca="1">+SUM(M572:M573)</f>
        <v>0</v>
      </c>
      <c r="N574" s="20">
        <f t="shared" ca="1" si="553"/>
        <v>0</v>
      </c>
      <c r="O574" s="19">
        <f ca="1">+SUM(O572:O573)</f>
        <v>0</v>
      </c>
      <c r="P574" s="102">
        <f t="shared" ca="1" si="554"/>
        <v>0</v>
      </c>
      <c r="Q574" s="101">
        <f ca="1">+SUM(Q572:Q573)</f>
        <v>58</v>
      </c>
      <c r="T574" s="18" t="s">
        <v>17</v>
      </c>
      <c r="U574" s="19">
        <f ca="1">+SUM(U572:U573)</f>
        <v>5933732.9399999995</v>
      </c>
      <c r="V574" s="20">
        <f ca="1">U574/U$582</f>
        <v>0.84652410809225265</v>
      </c>
      <c r="W574" s="19">
        <f ca="1">+SUM(W572:W573)</f>
        <v>5857359.4199999999</v>
      </c>
      <c r="X574" s="20">
        <f ca="1">W574/W$582</f>
        <v>1</v>
      </c>
      <c r="Y574" s="19">
        <f ca="1">+SUM(Y572:Y573)</f>
        <v>700016.67999999993</v>
      </c>
      <c r="Z574" s="20">
        <f t="shared" ca="1" si="560"/>
        <v>1</v>
      </c>
      <c r="AA574" s="19">
        <f ca="1">+SUM(AA572:AA573)</f>
        <v>7329521.0099999998</v>
      </c>
      <c r="AB574" s="20">
        <f t="shared" ca="1" si="561"/>
        <v>1</v>
      </c>
      <c r="AC574" s="19">
        <f ca="1">+SUM(AC572:AC573)</f>
        <v>179926</v>
      </c>
      <c r="AD574" s="20">
        <f t="shared" ca="1" si="561"/>
        <v>1</v>
      </c>
      <c r="AE574" s="19">
        <f ca="1">+SUM(AE572:AE573)</f>
        <v>0</v>
      </c>
      <c r="AF574" s="20">
        <f t="shared" ca="1" si="556"/>
        <v>0</v>
      </c>
      <c r="AG574" s="19">
        <f ca="1">+SUM(AG572:AG573)</f>
        <v>0</v>
      </c>
      <c r="AH574" s="20">
        <f t="shared" ca="1" si="557"/>
        <v>0</v>
      </c>
      <c r="AI574" s="21">
        <f ca="1">+SUM(AI572:AI573)</f>
        <v>20000556.049999997</v>
      </c>
    </row>
    <row r="575" spans="2:35" x14ac:dyDescent="0.4">
      <c r="B575" s="22" t="s">
        <v>18</v>
      </c>
      <c r="C575" s="15">
        <v>9</v>
      </c>
      <c r="D575" s="16">
        <f t="shared" ref="D575:D582" ca="1" si="562">C575/C$582</f>
        <v>0.27272727272727271</v>
      </c>
      <c r="E575" s="15">
        <v>0</v>
      </c>
      <c r="F575" s="16">
        <f t="shared" ref="F575:F582" ca="1" si="563">E575/E$582</f>
        <v>0</v>
      </c>
      <c r="G575" s="15">
        <v>0</v>
      </c>
      <c r="H575" s="16">
        <f t="shared" ca="1" si="558"/>
        <v>0</v>
      </c>
      <c r="I575" s="15">
        <v>0</v>
      </c>
      <c r="J575" s="16">
        <f t="shared" ca="1" si="559"/>
        <v>0</v>
      </c>
      <c r="K575" s="15">
        <v>0</v>
      </c>
      <c r="L575" s="16">
        <f t="shared" ca="1" si="559"/>
        <v>0</v>
      </c>
      <c r="M575" s="15">
        <v>0</v>
      </c>
      <c r="N575" s="16">
        <f t="shared" ca="1" si="553"/>
        <v>0</v>
      </c>
      <c r="O575" s="15">
        <v>0</v>
      </c>
      <c r="P575" s="16">
        <f t="shared" ca="1" si="554"/>
        <v>0</v>
      </c>
      <c r="Q575" s="62">
        <f t="shared" ca="1" si="555"/>
        <v>9</v>
      </c>
      <c r="T575" s="22" t="s">
        <v>18</v>
      </c>
      <c r="U575" s="15">
        <v>1039893.29</v>
      </c>
      <c r="V575" s="16">
        <f t="shared" ref="V575:V582" ca="1" si="564">U575/U$582</f>
        <v>0.14835429041543086</v>
      </c>
      <c r="W575" s="15">
        <v>0</v>
      </c>
      <c r="X575" s="16">
        <f t="shared" ref="X575:X582" ca="1" si="565">W575/W$582</f>
        <v>0</v>
      </c>
      <c r="Y575" s="15">
        <v>0</v>
      </c>
      <c r="Z575" s="16">
        <f t="shared" ca="1" si="560"/>
        <v>0</v>
      </c>
      <c r="AA575" s="15">
        <v>0</v>
      </c>
      <c r="AB575" s="16">
        <f t="shared" ca="1" si="561"/>
        <v>0</v>
      </c>
      <c r="AC575" s="15">
        <v>0</v>
      </c>
      <c r="AD575" s="16">
        <f t="shared" ca="1" si="561"/>
        <v>0</v>
      </c>
      <c r="AE575" s="15">
        <v>0</v>
      </c>
      <c r="AF575" s="16">
        <f t="shared" ca="1" si="556"/>
        <v>0</v>
      </c>
      <c r="AG575" s="15">
        <v>0</v>
      </c>
      <c r="AH575" s="16">
        <f t="shared" ca="1" si="557"/>
        <v>0</v>
      </c>
      <c r="AI575" s="62">
        <f t="shared" ref="AI575:AI582" ca="1" si="566">SUM(U575,Y575,AA575,AC575,AE575,AG575,W575)</f>
        <v>1039893.29</v>
      </c>
    </row>
    <row r="576" spans="2:35" x14ac:dyDescent="0.4">
      <c r="B576" s="22" t="s">
        <v>19</v>
      </c>
      <c r="C576" s="15">
        <v>1</v>
      </c>
      <c r="D576" s="16">
        <f t="shared" ca="1" si="562"/>
        <v>3.0303030303030304E-2</v>
      </c>
      <c r="E576" s="15">
        <v>0</v>
      </c>
      <c r="F576" s="16">
        <f t="shared" ca="1" si="563"/>
        <v>0</v>
      </c>
      <c r="G576" s="15">
        <v>0</v>
      </c>
      <c r="H576" s="16">
        <f t="shared" ca="1" si="558"/>
        <v>0</v>
      </c>
      <c r="I576" s="15">
        <v>0</v>
      </c>
      <c r="J576" s="16">
        <f t="shared" ca="1" si="559"/>
        <v>0</v>
      </c>
      <c r="K576" s="15">
        <v>0</v>
      </c>
      <c r="L576" s="16">
        <f t="shared" ca="1" si="559"/>
        <v>0</v>
      </c>
      <c r="M576" s="15">
        <v>0</v>
      </c>
      <c r="N576" s="16">
        <f t="shared" ca="1" si="553"/>
        <v>0</v>
      </c>
      <c r="O576" s="15">
        <v>0</v>
      </c>
      <c r="P576" s="16">
        <f t="shared" ca="1" si="554"/>
        <v>0</v>
      </c>
      <c r="Q576" s="62">
        <f t="shared" ca="1" si="555"/>
        <v>1</v>
      </c>
      <c r="T576" s="22" t="s">
        <v>19</v>
      </c>
      <c r="U576" s="15">
        <v>35900</v>
      </c>
      <c r="V576" s="16">
        <f t="shared" ca="1" si="564"/>
        <v>5.1216014923165503E-3</v>
      </c>
      <c r="W576" s="15">
        <v>0</v>
      </c>
      <c r="X576" s="16">
        <f t="shared" ca="1" si="565"/>
        <v>0</v>
      </c>
      <c r="Y576" s="15">
        <v>0</v>
      </c>
      <c r="Z576" s="16">
        <f t="shared" ca="1" si="560"/>
        <v>0</v>
      </c>
      <c r="AA576" s="15">
        <v>0</v>
      </c>
      <c r="AB576" s="16">
        <f t="shared" ca="1" si="561"/>
        <v>0</v>
      </c>
      <c r="AC576" s="15">
        <v>0</v>
      </c>
      <c r="AD576" s="16">
        <f t="shared" ca="1" si="561"/>
        <v>0</v>
      </c>
      <c r="AE576" s="15">
        <v>0</v>
      </c>
      <c r="AF576" s="16">
        <f t="shared" ca="1" si="556"/>
        <v>0</v>
      </c>
      <c r="AG576" s="15">
        <v>0</v>
      </c>
      <c r="AH576" s="16">
        <f t="shared" ca="1" si="557"/>
        <v>0</v>
      </c>
      <c r="AI576" s="62">
        <f t="shared" ca="1" si="566"/>
        <v>35900</v>
      </c>
    </row>
    <row r="577" spans="2:35" x14ac:dyDescent="0.4">
      <c r="B577" s="22" t="s">
        <v>20</v>
      </c>
      <c r="C577" s="15">
        <v>0</v>
      </c>
      <c r="D577" s="16">
        <f t="shared" ca="1" si="562"/>
        <v>0</v>
      </c>
      <c r="E577" s="15">
        <v>0</v>
      </c>
      <c r="F577" s="16">
        <f t="shared" ca="1" si="563"/>
        <v>0</v>
      </c>
      <c r="G577" s="15">
        <v>0</v>
      </c>
      <c r="H577" s="16">
        <f t="shared" ca="1" si="558"/>
        <v>0</v>
      </c>
      <c r="I577" s="15">
        <v>0</v>
      </c>
      <c r="J577" s="16">
        <f t="shared" ca="1" si="559"/>
        <v>0</v>
      </c>
      <c r="K577" s="15">
        <v>0</v>
      </c>
      <c r="L577" s="16">
        <f t="shared" ca="1" si="559"/>
        <v>0</v>
      </c>
      <c r="M577" s="15">
        <v>0</v>
      </c>
      <c r="N577" s="16">
        <f t="shared" ca="1" si="553"/>
        <v>0</v>
      </c>
      <c r="O577" s="15">
        <v>0</v>
      </c>
      <c r="P577" s="16">
        <f t="shared" ca="1" si="554"/>
        <v>0</v>
      </c>
      <c r="Q577" s="62">
        <f t="shared" ca="1" si="555"/>
        <v>0</v>
      </c>
      <c r="T577" s="22" t="s">
        <v>20</v>
      </c>
      <c r="U577" s="15">
        <v>0</v>
      </c>
      <c r="V577" s="16">
        <f t="shared" ca="1" si="564"/>
        <v>0</v>
      </c>
      <c r="W577" s="15">
        <v>0</v>
      </c>
      <c r="X577" s="16">
        <f t="shared" ca="1" si="565"/>
        <v>0</v>
      </c>
      <c r="Y577" s="15">
        <v>0</v>
      </c>
      <c r="Z577" s="16">
        <f t="shared" ca="1" si="560"/>
        <v>0</v>
      </c>
      <c r="AA577" s="15">
        <v>0</v>
      </c>
      <c r="AB577" s="16">
        <f t="shared" ca="1" si="561"/>
        <v>0</v>
      </c>
      <c r="AC577" s="15">
        <v>0</v>
      </c>
      <c r="AD577" s="16">
        <f t="shared" ca="1" si="561"/>
        <v>0</v>
      </c>
      <c r="AE577" s="15">
        <v>0</v>
      </c>
      <c r="AF577" s="16">
        <f t="shared" ca="1" si="556"/>
        <v>0</v>
      </c>
      <c r="AG577" s="15">
        <v>0</v>
      </c>
      <c r="AH577" s="16">
        <f t="shared" ca="1" si="557"/>
        <v>0</v>
      </c>
      <c r="AI577" s="62">
        <f t="shared" ca="1" si="566"/>
        <v>0</v>
      </c>
    </row>
    <row r="578" spans="2:35" x14ac:dyDescent="0.4">
      <c r="B578" s="22" t="s">
        <v>21</v>
      </c>
      <c r="C578" s="15">
        <v>0</v>
      </c>
      <c r="D578" s="16">
        <f t="shared" ca="1" si="562"/>
        <v>0</v>
      </c>
      <c r="E578" s="15">
        <v>0</v>
      </c>
      <c r="F578" s="16">
        <f t="shared" ca="1" si="563"/>
        <v>0</v>
      </c>
      <c r="G578" s="15">
        <v>0</v>
      </c>
      <c r="H578" s="16">
        <f t="shared" ca="1" si="558"/>
        <v>0</v>
      </c>
      <c r="I578" s="15">
        <v>0</v>
      </c>
      <c r="J578" s="16">
        <f t="shared" ca="1" si="559"/>
        <v>0</v>
      </c>
      <c r="K578" s="15">
        <v>0</v>
      </c>
      <c r="L578" s="16">
        <f t="shared" ca="1" si="559"/>
        <v>0</v>
      </c>
      <c r="M578" s="15">
        <v>0</v>
      </c>
      <c r="N578" s="16">
        <f t="shared" ca="1" si="553"/>
        <v>0</v>
      </c>
      <c r="O578" s="15">
        <v>0</v>
      </c>
      <c r="P578" s="16">
        <f t="shared" ca="1" si="554"/>
        <v>0</v>
      </c>
      <c r="Q578" s="62">
        <f t="shared" ca="1" si="555"/>
        <v>0</v>
      </c>
      <c r="T578" s="22" t="s">
        <v>21</v>
      </c>
      <c r="U578" s="15">
        <v>0</v>
      </c>
      <c r="V578" s="16">
        <f t="shared" ca="1" si="564"/>
        <v>0</v>
      </c>
      <c r="W578" s="15">
        <v>0</v>
      </c>
      <c r="X578" s="16">
        <f t="shared" ca="1" si="565"/>
        <v>0</v>
      </c>
      <c r="Y578" s="15">
        <v>0</v>
      </c>
      <c r="Z578" s="16">
        <f t="shared" ca="1" si="560"/>
        <v>0</v>
      </c>
      <c r="AA578" s="15">
        <v>0</v>
      </c>
      <c r="AB578" s="16">
        <f t="shared" ca="1" si="561"/>
        <v>0</v>
      </c>
      <c r="AC578" s="15">
        <v>0</v>
      </c>
      <c r="AD578" s="16">
        <f t="shared" ca="1" si="561"/>
        <v>0</v>
      </c>
      <c r="AE578" s="15">
        <v>0</v>
      </c>
      <c r="AF578" s="16">
        <f t="shared" ca="1" si="556"/>
        <v>0</v>
      </c>
      <c r="AG578" s="15">
        <v>0</v>
      </c>
      <c r="AH578" s="16">
        <f t="shared" ca="1" si="557"/>
        <v>0</v>
      </c>
      <c r="AI578" s="62">
        <f t="shared" ca="1" si="566"/>
        <v>0</v>
      </c>
    </row>
    <row r="579" spans="2:35" x14ac:dyDescent="0.4">
      <c r="B579" s="22" t="s">
        <v>22</v>
      </c>
      <c r="C579" s="15">
        <v>0</v>
      </c>
      <c r="D579" s="16">
        <f t="shared" ca="1" si="562"/>
        <v>0</v>
      </c>
      <c r="E579" s="15">
        <v>0</v>
      </c>
      <c r="F579" s="16">
        <f t="shared" ca="1" si="563"/>
        <v>0</v>
      </c>
      <c r="G579" s="15">
        <v>0</v>
      </c>
      <c r="H579" s="16">
        <f t="shared" ca="1" si="558"/>
        <v>0</v>
      </c>
      <c r="I579" s="15">
        <v>0</v>
      </c>
      <c r="J579" s="16">
        <f t="shared" ca="1" si="559"/>
        <v>0</v>
      </c>
      <c r="K579" s="15">
        <v>0</v>
      </c>
      <c r="L579" s="16">
        <f t="shared" ca="1" si="559"/>
        <v>0</v>
      </c>
      <c r="M579" s="15">
        <v>0</v>
      </c>
      <c r="N579" s="16">
        <f t="shared" ca="1" si="553"/>
        <v>0</v>
      </c>
      <c r="O579" s="15">
        <v>0</v>
      </c>
      <c r="P579" s="16">
        <f t="shared" ca="1" si="554"/>
        <v>0</v>
      </c>
      <c r="Q579" s="62">
        <f t="shared" ca="1" si="555"/>
        <v>0</v>
      </c>
      <c r="T579" s="22" t="s">
        <v>22</v>
      </c>
      <c r="U579" s="15">
        <v>0</v>
      </c>
      <c r="V579" s="16">
        <f t="shared" ca="1" si="564"/>
        <v>0</v>
      </c>
      <c r="W579" s="15">
        <v>0</v>
      </c>
      <c r="X579" s="16">
        <f t="shared" ca="1" si="565"/>
        <v>0</v>
      </c>
      <c r="Y579" s="15">
        <v>0</v>
      </c>
      <c r="Z579" s="16">
        <f t="shared" ca="1" si="560"/>
        <v>0</v>
      </c>
      <c r="AA579" s="15">
        <v>0</v>
      </c>
      <c r="AB579" s="16">
        <f t="shared" ca="1" si="561"/>
        <v>0</v>
      </c>
      <c r="AC579" s="15">
        <v>0</v>
      </c>
      <c r="AD579" s="16">
        <f t="shared" ca="1" si="561"/>
        <v>0</v>
      </c>
      <c r="AE579" s="15">
        <v>0</v>
      </c>
      <c r="AF579" s="16">
        <f t="shared" ca="1" si="556"/>
        <v>0</v>
      </c>
      <c r="AG579" s="15">
        <v>0</v>
      </c>
      <c r="AH579" s="16">
        <f t="shared" ca="1" si="557"/>
        <v>0</v>
      </c>
      <c r="AI579" s="62">
        <f t="shared" ca="1" si="566"/>
        <v>0</v>
      </c>
    </row>
    <row r="580" spans="2:35" x14ac:dyDescent="0.4">
      <c r="B580" s="22" t="s">
        <v>23</v>
      </c>
      <c r="C580" s="15">
        <v>0</v>
      </c>
      <c r="D580" s="16">
        <f t="shared" ca="1" si="562"/>
        <v>0</v>
      </c>
      <c r="E580" s="15">
        <v>0</v>
      </c>
      <c r="F580" s="16">
        <f t="shared" ca="1" si="563"/>
        <v>0</v>
      </c>
      <c r="G580" s="15">
        <v>0</v>
      </c>
      <c r="H580" s="16">
        <f t="shared" ca="1" si="558"/>
        <v>0</v>
      </c>
      <c r="I580" s="15">
        <v>0</v>
      </c>
      <c r="J580" s="16">
        <f t="shared" ca="1" si="559"/>
        <v>0</v>
      </c>
      <c r="K580" s="15">
        <v>0</v>
      </c>
      <c r="L580" s="16">
        <f t="shared" ca="1" si="559"/>
        <v>0</v>
      </c>
      <c r="M580" s="15">
        <v>0</v>
      </c>
      <c r="N580" s="16">
        <f t="shared" ca="1" si="553"/>
        <v>0</v>
      </c>
      <c r="O580" s="15">
        <v>0</v>
      </c>
      <c r="P580" s="16">
        <f t="shared" ca="1" si="554"/>
        <v>0</v>
      </c>
      <c r="Q580" s="62">
        <f t="shared" ca="1" si="555"/>
        <v>0</v>
      </c>
      <c r="T580" s="22" t="s">
        <v>23</v>
      </c>
      <c r="U580" s="15">
        <v>0</v>
      </c>
      <c r="V580" s="16">
        <f t="shared" ca="1" si="564"/>
        <v>0</v>
      </c>
      <c r="W580" s="15">
        <v>0</v>
      </c>
      <c r="X580" s="16">
        <f t="shared" ca="1" si="565"/>
        <v>0</v>
      </c>
      <c r="Y580" s="15">
        <v>0</v>
      </c>
      <c r="Z580" s="16">
        <f t="shared" ca="1" si="560"/>
        <v>0</v>
      </c>
      <c r="AA580" s="15">
        <v>0</v>
      </c>
      <c r="AB580" s="16">
        <f t="shared" ca="1" si="561"/>
        <v>0</v>
      </c>
      <c r="AC580" s="15">
        <v>0</v>
      </c>
      <c r="AD580" s="16">
        <f t="shared" ca="1" si="561"/>
        <v>0</v>
      </c>
      <c r="AE580" s="15">
        <v>0</v>
      </c>
      <c r="AF580" s="16">
        <f t="shared" ca="1" si="556"/>
        <v>0</v>
      </c>
      <c r="AG580" s="15">
        <v>0</v>
      </c>
      <c r="AH580" s="16">
        <f t="shared" ca="1" si="557"/>
        <v>0</v>
      </c>
      <c r="AI580" s="62">
        <f t="shared" ca="1" si="566"/>
        <v>0</v>
      </c>
    </row>
    <row r="581" spans="2:35" x14ac:dyDescent="0.4">
      <c r="B581" s="23" t="s">
        <v>24</v>
      </c>
      <c r="C581" s="24">
        <v>0</v>
      </c>
      <c r="D581" s="25">
        <f t="shared" ca="1" si="562"/>
        <v>0</v>
      </c>
      <c r="E581" s="24">
        <v>0</v>
      </c>
      <c r="F581" s="25">
        <f t="shared" ca="1" si="563"/>
        <v>0</v>
      </c>
      <c r="G581" s="24">
        <v>0</v>
      </c>
      <c r="H581" s="25">
        <f t="shared" ca="1" si="558"/>
        <v>0</v>
      </c>
      <c r="I581" s="24">
        <v>0</v>
      </c>
      <c r="J581" s="25">
        <f t="shared" ca="1" si="559"/>
        <v>0</v>
      </c>
      <c r="K581" s="24">
        <v>0</v>
      </c>
      <c r="L581" s="25">
        <f t="shared" ca="1" si="559"/>
        <v>0</v>
      </c>
      <c r="M581" s="24">
        <v>0</v>
      </c>
      <c r="N581" s="25">
        <f t="shared" ca="1" si="553"/>
        <v>0</v>
      </c>
      <c r="O581" s="24">
        <v>0</v>
      </c>
      <c r="P581" s="25">
        <f t="shared" ca="1" si="554"/>
        <v>0</v>
      </c>
      <c r="Q581" s="64">
        <f t="shared" ca="1" si="555"/>
        <v>0</v>
      </c>
      <c r="T581" s="23" t="s">
        <v>24</v>
      </c>
      <c r="U581" s="24">
        <v>0</v>
      </c>
      <c r="V581" s="25">
        <f t="shared" ca="1" si="564"/>
        <v>0</v>
      </c>
      <c r="W581" s="24">
        <v>0</v>
      </c>
      <c r="X581" s="25">
        <f t="shared" ca="1" si="565"/>
        <v>0</v>
      </c>
      <c r="Y581" s="24">
        <v>0</v>
      </c>
      <c r="Z581" s="25">
        <f t="shared" ca="1" si="560"/>
        <v>0</v>
      </c>
      <c r="AA581" s="24">
        <v>0</v>
      </c>
      <c r="AB581" s="25">
        <f t="shared" ca="1" si="561"/>
        <v>0</v>
      </c>
      <c r="AC581" s="24">
        <v>0</v>
      </c>
      <c r="AD581" s="25">
        <f t="shared" ca="1" si="561"/>
        <v>0</v>
      </c>
      <c r="AE581" s="24">
        <v>0</v>
      </c>
      <c r="AF581" s="25">
        <f t="shared" ca="1" si="556"/>
        <v>0</v>
      </c>
      <c r="AG581" s="24">
        <v>0</v>
      </c>
      <c r="AH581" s="25">
        <f t="shared" ca="1" si="557"/>
        <v>0</v>
      </c>
      <c r="AI581" s="64">
        <f t="shared" ca="1" si="566"/>
        <v>0</v>
      </c>
    </row>
    <row r="582" spans="2:35" x14ac:dyDescent="0.4">
      <c r="B582" s="27" t="s">
        <v>25</v>
      </c>
      <c r="C582" s="28">
        <f ca="1">SUM(C574:C581)</f>
        <v>33</v>
      </c>
      <c r="D582" s="29">
        <f t="shared" ca="1" si="562"/>
        <v>1</v>
      </c>
      <c r="E582" s="28">
        <f ca="1">SUM(E574:E581)</f>
        <v>19</v>
      </c>
      <c r="F582" s="29">
        <f t="shared" ca="1" si="563"/>
        <v>1</v>
      </c>
      <c r="G582" s="28">
        <f ca="1">SUM(G574:G581)</f>
        <v>2</v>
      </c>
      <c r="H582" s="29">
        <f t="shared" ca="1" si="558"/>
        <v>1</v>
      </c>
      <c r="I582" s="28">
        <f ca="1">SUM(I574:I581)</f>
        <v>11</v>
      </c>
      <c r="J582" s="29">
        <f t="shared" ca="1" si="559"/>
        <v>1</v>
      </c>
      <c r="K582" s="28">
        <f ca="1">SUM(K574:K581)</f>
        <v>3</v>
      </c>
      <c r="L582" s="29">
        <f t="shared" ca="1" si="559"/>
        <v>1</v>
      </c>
      <c r="M582" s="28">
        <f ca="1">SUM(M574:M581)</f>
        <v>0</v>
      </c>
      <c r="N582" s="29">
        <f t="shared" ca="1" si="553"/>
        <v>0</v>
      </c>
      <c r="O582" s="28">
        <f ca="1">SUM(O574:O581)</f>
        <v>0</v>
      </c>
      <c r="P582" s="29">
        <f t="shared" ca="1" si="554"/>
        <v>0</v>
      </c>
      <c r="Q582" s="31">
        <f t="shared" ca="1" si="555"/>
        <v>68</v>
      </c>
      <c r="T582" s="27" t="s">
        <v>25</v>
      </c>
      <c r="U582" s="28">
        <f ca="1">SUM(U574:U581)</f>
        <v>7009526.2299999995</v>
      </c>
      <c r="V582" s="29">
        <f t="shared" ca="1" si="564"/>
        <v>1</v>
      </c>
      <c r="W582" s="28">
        <f ca="1">SUM(W574:W581)</f>
        <v>5857359.4199999999</v>
      </c>
      <c r="X582" s="29">
        <f t="shared" ca="1" si="565"/>
        <v>1</v>
      </c>
      <c r="Y582" s="28">
        <f ca="1">SUM(Y574:Y581)</f>
        <v>700016.67999999993</v>
      </c>
      <c r="Z582" s="29">
        <f t="shared" ca="1" si="560"/>
        <v>1</v>
      </c>
      <c r="AA582" s="28">
        <f ca="1">SUM(AA574:AA581)</f>
        <v>7329521.0099999998</v>
      </c>
      <c r="AB582" s="29">
        <f t="shared" ca="1" si="561"/>
        <v>1</v>
      </c>
      <c r="AC582" s="28">
        <f ca="1">SUM(AC574:AC581)</f>
        <v>179926</v>
      </c>
      <c r="AD582" s="29">
        <f t="shared" ca="1" si="561"/>
        <v>1</v>
      </c>
      <c r="AE582" s="28">
        <f ca="1">SUM(AE574:AE581)</f>
        <v>0</v>
      </c>
      <c r="AF582" s="29">
        <f t="shared" ca="1" si="556"/>
        <v>0</v>
      </c>
      <c r="AG582" s="28">
        <f ca="1">SUM(AG574:AG581)</f>
        <v>0</v>
      </c>
      <c r="AH582" s="29">
        <f t="shared" ca="1" si="557"/>
        <v>0</v>
      </c>
      <c r="AI582" s="31">
        <f t="shared" ca="1" si="566"/>
        <v>21076349.339999996</v>
      </c>
    </row>
    <row r="583" spans="2:35" x14ac:dyDescent="0.4">
      <c r="B583" s="32" t="s">
        <v>26</v>
      </c>
      <c r="C583" s="33">
        <f ca="1">C582/$Q$582</f>
        <v>0.48529411764705882</v>
      </c>
      <c r="D583" s="33"/>
      <c r="E583" s="33">
        <f ca="1">E582/$Q$582</f>
        <v>0.27941176470588236</v>
      </c>
      <c r="F583" s="33"/>
      <c r="G583" s="33">
        <f ca="1">G582/$Q$582</f>
        <v>2.9411764705882353E-2</v>
      </c>
      <c r="H583" s="33"/>
      <c r="I583" s="33">
        <f ca="1">I582/$Q$582</f>
        <v>0.16176470588235295</v>
      </c>
      <c r="J583" s="33"/>
      <c r="K583" s="33">
        <f ca="1">K582/$Q$582</f>
        <v>4.4117647058823532E-2</v>
      </c>
      <c r="L583" s="33"/>
      <c r="M583" s="33">
        <f ca="1">M582/$Q$582</f>
        <v>0</v>
      </c>
      <c r="N583" s="33"/>
      <c r="O583" s="33">
        <f ca="1">O582/$Q$582</f>
        <v>0</v>
      </c>
      <c r="P583" s="33"/>
      <c r="Q583" s="34">
        <f ca="1">Q582/$Q$582</f>
        <v>1</v>
      </c>
      <c r="T583" s="32" t="s">
        <v>26</v>
      </c>
      <c r="U583" s="33">
        <f ca="1">U582/$AI$582</f>
        <v>0.33257781586951057</v>
      </c>
      <c r="V583" s="33"/>
      <c r="W583" s="33">
        <f ca="1">W582/$AI$582</f>
        <v>0.27791147914233616</v>
      </c>
      <c r="X583" s="33"/>
      <c r="Y583" s="33">
        <f ca="1">Y582/$AI$582</f>
        <v>3.3213374323392199E-2</v>
      </c>
      <c r="Z583" s="33"/>
      <c r="AA583" s="33">
        <f ca="1">AA582/$AI$582</f>
        <v>0.34776046324538673</v>
      </c>
      <c r="AB583" s="33"/>
      <c r="AC583" s="33">
        <f ca="1">AC582/$AI$582</f>
        <v>8.5368674193744432E-3</v>
      </c>
      <c r="AD583" s="33"/>
      <c r="AE583" s="33">
        <f ca="1">AE582/$AI$582</f>
        <v>0</v>
      </c>
      <c r="AF583" s="33"/>
      <c r="AG583" s="33">
        <f ca="1">AG582/$AI$582</f>
        <v>0</v>
      </c>
      <c r="AH583" s="33"/>
      <c r="AI583" s="34">
        <f ca="1">AI582/$AI$582</f>
        <v>1</v>
      </c>
    </row>
    <row r="585" spans="2:35" x14ac:dyDescent="0.4">
      <c r="B585" s="4" t="s">
        <v>56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T585" s="4" t="s">
        <v>56</v>
      </c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2:35" x14ac:dyDescent="0.4">
      <c r="B586" s="5"/>
      <c r="C586" s="6" t="s">
        <v>3</v>
      </c>
      <c r="D586" s="6"/>
      <c r="E586" s="6" t="s">
        <v>4</v>
      </c>
      <c r="F586" s="6"/>
      <c r="G586" s="6" t="s">
        <v>5</v>
      </c>
      <c r="H586" s="6"/>
      <c r="I586" s="6" t="s">
        <v>6</v>
      </c>
      <c r="J586" s="6"/>
      <c r="K586" s="6" t="s">
        <v>7</v>
      </c>
      <c r="L586" s="6"/>
      <c r="M586" s="6" t="s">
        <v>8</v>
      </c>
      <c r="N586" s="6"/>
      <c r="O586" s="6" t="s">
        <v>9</v>
      </c>
      <c r="P586" s="6"/>
      <c r="Q586" s="7" t="s">
        <v>10</v>
      </c>
      <c r="T586" s="5"/>
      <c r="U586" s="6" t="s">
        <v>3</v>
      </c>
      <c r="V586" s="6"/>
      <c r="W586" s="6" t="s">
        <v>4</v>
      </c>
      <c r="X586" s="6"/>
      <c r="Y586" s="6" t="s">
        <v>5</v>
      </c>
      <c r="Z586" s="6"/>
      <c r="AA586" s="6" t="s">
        <v>6</v>
      </c>
      <c r="AB586" s="6"/>
      <c r="AC586" s="6" t="s">
        <v>7</v>
      </c>
      <c r="AD586" s="6"/>
      <c r="AE586" s="6" t="s">
        <v>8</v>
      </c>
      <c r="AF586" s="6"/>
      <c r="AG586" s="6" t="s">
        <v>9</v>
      </c>
      <c r="AH586" s="6"/>
      <c r="AI586" s="7" t="s">
        <v>10</v>
      </c>
    </row>
    <row r="587" spans="2:35" x14ac:dyDescent="0.4">
      <c r="B587" s="8" t="s">
        <v>11</v>
      </c>
      <c r="C587" s="8" t="s">
        <v>12</v>
      </c>
      <c r="D587" s="8" t="s">
        <v>13</v>
      </c>
      <c r="E587" s="8" t="s">
        <v>12</v>
      </c>
      <c r="F587" s="8" t="s">
        <v>13</v>
      </c>
      <c r="G587" s="8" t="s">
        <v>12</v>
      </c>
      <c r="H587" s="8" t="s">
        <v>13</v>
      </c>
      <c r="I587" s="8" t="s">
        <v>12</v>
      </c>
      <c r="J587" s="8" t="s">
        <v>13</v>
      </c>
      <c r="K587" s="8" t="s">
        <v>12</v>
      </c>
      <c r="L587" s="8" t="s">
        <v>13</v>
      </c>
      <c r="M587" s="8" t="s">
        <v>12</v>
      </c>
      <c r="N587" s="8" t="s">
        <v>13</v>
      </c>
      <c r="O587" s="8" t="s">
        <v>12</v>
      </c>
      <c r="P587" s="8" t="s">
        <v>13</v>
      </c>
      <c r="Q587" s="7"/>
      <c r="T587" s="8" t="s">
        <v>11</v>
      </c>
      <c r="U587" s="8" t="s">
        <v>14</v>
      </c>
      <c r="V587" s="8" t="s">
        <v>13</v>
      </c>
      <c r="W587" s="8" t="s">
        <v>14</v>
      </c>
      <c r="X587" s="8" t="s">
        <v>13</v>
      </c>
      <c r="Y587" s="8" t="s">
        <v>14</v>
      </c>
      <c r="Z587" s="8" t="s">
        <v>13</v>
      </c>
      <c r="AA587" s="8" t="s">
        <v>14</v>
      </c>
      <c r="AB587" s="8" t="s">
        <v>13</v>
      </c>
      <c r="AC587" s="8" t="s">
        <v>14</v>
      </c>
      <c r="AD587" s="8" t="s">
        <v>13</v>
      </c>
      <c r="AE587" s="8" t="s">
        <v>14</v>
      </c>
      <c r="AF587" s="8" t="s">
        <v>13</v>
      </c>
      <c r="AG587" s="8" t="s">
        <v>14</v>
      </c>
      <c r="AH587" s="8" t="s">
        <v>13</v>
      </c>
      <c r="AI587" s="7"/>
    </row>
    <row r="588" spans="2:35" x14ac:dyDescent="0.4">
      <c r="B588" s="9" t="s">
        <v>15</v>
      </c>
      <c r="C588" s="10">
        <v>5</v>
      </c>
      <c r="D588" s="11">
        <f ca="1">IFERROR(C588/C$598,0)</f>
        <v>0.33333333333333331</v>
      </c>
      <c r="E588" s="10">
        <v>8</v>
      </c>
      <c r="F588" s="11">
        <f ca="1">IFERROR(E588/E$598,0)</f>
        <v>0.66666666666666663</v>
      </c>
      <c r="G588" s="10">
        <v>0</v>
      </c>
      <c r="H588" s="11">
        <f ca="1">IFERROR(G588/G$598,0)</f>
        <v>0</v>
      </c>
      <c r="I588" s="10">
        <v>6</v>
      </c>
      <c r="J588" s="11">
        <f ca="1">IFERROR(I588/I$598,0)</f>
        <v>1</v>
      </c>
      <c r="K588" s="10">
        <v>0</v>
      </c>
      <c r="L588" s="11">
        <f ca="1">IFERROR(K588/K$598,0)</f>
        <v>0</v>
      </c>
      <c r="M588" s="10">
        <v>0</v>
      </c>
      <c r="N588" s="11">
        <f ca="1">IFERROR(M588/M$598,0)</f>
        <v>0</v>
      </c>
      <c r="O588" s="10">
        <v>0</v>
      </c>
      <c r="P588" s="11">
        <f ca="1">IFERROR(O588/O$598,0)</f>
        <v>0</v>
      </c>
      <c r="Q588" s="60">
        <f t="shared" ref="Q588:Q598" ca="1" si="567">SUM(C588,G588,I588,K588,M588,O588,E588)</f>
        <v>19</v>
      </c>
      <c r="T588" s="9" t="s">
        <v>15</v>
      </c>
      <c r="U588" s="10">
        <v>1001317.25</v>
      </c>
      <c r="V588" s="11">
        <f ca="1">IFERROR(U588/U$598,0)</f>
        <v>0.50394016492807281</v>
      </c>
      <c r="W588" s="10">
        <v>3063937.0500000003</v>
      </c>
      <c r="X588" s="11">
        <f ca="1">IFERROR(W588/W$598,0)</f>
        <v>0.86535259008726551</v>
      </c>
      <c r="Y588" s="10">
        <v>0</v>
      </c>
      <c r="Z588" s="11">
        <f ca="1">IFERROR(Y588/Y$598,0)</f>
        <v>0</v>
      </c>
      <c r="AA588" s="10">
        <v>2640937.0999999996</v>
      </c>
      <c r="AB588" s="11">
        <f ca="1">IFERROR(AA588/AA$598,0)</f>
        <v>1</v>
      </c>
      <c r="AC588" s="10">
        <v>0</v>
      </c>
      <c r="AD588" s="11">
        <f ca="1">IFERROR(AC588/AC$598,0)</f>
        <v>0</v>
      </c>
      <c r="AE588" s="10">
        <v>0</v>
      </c>
      <c r="AF588" s="11">
        <f ca="1">IFERROR(AE588/AE$598,0)</f>
        <v>0</v>
      </c>
      <c r="AG588" s="10">
        <v>0</v>
      </c>
      <c r="AH588" s="11">
        <f ca="1">IFERROR(AG588/AG$598,0)</f>
        <v>0</v>
      </c>
      <c r="AI588" s="60">
        <f ca="1">SUM(U588,Y588,AA588,AC588,AE588,AG588,W588)</f>
        <v>6706191.4000000004</v>
      </c>
    </row>
    <row r="589" spans="2:35" x14ac:dyDescent="0.4">
      <c r="B589" s="14" t="s">
        <v>16</v>
      </c>
      <c r="C589" s="15">
        <v>2</v>
      </c>
      <c r="D589" s="16">
        <f ca="1">IFERROR(C589/C$598,0)</f>
        <v>0.13333333333333333</v>
      </c>
      <c r="E589" s="15">
        <v>3</v>
      </c>
      <c r="F589" s="16">
        <f ca="1">IFERROR(E589/E$598,0)</f>
        <v>0.25</v>
      </c>
      <c r="G589" s="15">
        <v>0</v>
      </c>
      <c r="H589" s="16">
        <f ca="1">IFERROR(G589/G$598,0)</f>
        <v>0</v>
      </c>
      <c r="I589" s="15">
        <v>0</v>
      </c>
      <c r="J589" s="16">
        <f ca="1">IFERROR(I589/I$598,0)</f>
        <v>0</v>
      </c>
      <c r="K589" s="15">
        <v>0</v>
      </c>
      <c r="L589" s="16">
        <f ca="1">IFERROR(K589/K$598,0)</f>
        <v>0</v>
      </c>
      <c r="M589" s="15">
        <v>0</v>
      </c>
      <c r="N589" s="16">
        <f ca="1">IFERROR(M589/M$598,0)</f>
        <v>0</v>
      </c>
      <c r="O589" s="15">
        <v>0</v>
      </c>
      <c r="P589" s="16">
        <f ca="1">IFERROR(O589/O$598,0)</f>
        <v>0</v>
      </c>
      <c r="Q589" s="62">
        <f t="shared" ca="1" si="567"/>
        <v>5</v>
      </c>
      <c r="T589" s="14" t="s">
        <v>16</v>
      </c>
      <c r="U589" s="15">
        <v>494085.3</v>
      </c>
      <c r="V589" s="16">
        <f ca="1">IFERROR(U589/U$598,0)</f>
        <v>0.24866187771212006</v>
      </c>
      <c r="W589" s="15">
        <v>356743.46</v>
      </c>
      <c r="X589" s="16">
        <f ca="1">IFERROR(W589/W$598,0)</f>
        <v>0.10075561999803252</v>
      </c>
      <c r="Y589" s="15">
        <v>0</v>
      </c>
      <c r="Z589" s="16">
        <f ca="1">IFERROR(Y589/Y$598,0)</f>
        <v>0</v>
      </c>
      <c r="AA589" s="15">
        <v>0</v>
      </c>
      <c r="AB589" s="16">
        <f ca="1">IFERROR(AA589/AA$598,0)</f>
        <v>0</v>
      </c>
      <c r="AC589" s="15">
        <v>0</v>
      </c>
      <c r="AD589" s="16">
        <f ca="1">IFERROR(AC589/AC$598,0)</f>
        <v>0</v>
      </c>
      <c r="AE589" s="15">
        <v>0</v>
      </c>
      <c r="AF589" s="16">
        <f ca="1">IFERROR(AE589/AE$598,0)</f>
        <v>0</v>
      </c>
      <c r="AG589" s="15">
        <v>0</v>
      </c>
      <c r="AH589" s="16">
        <f ca="1">IFERROR(AG589/AG$598,0)</f>
        <v>0</v>
      </c>
      <c r="AI589" s="62">
        <f ca="1">SUM(U589,Y589,AA589,AC589,AE589,AG589,W589)</f>
        <v>850828.76</v>
      </c>
    </row>
    <row r="590" spans="2:35" x14ac:dyDescent="0.4">
      <c r="B590" s="18" t="s">
        <v>17</v>
      </c>
      <c r="C590" s="19">
        <f ca="1">+SUM(C588:C589)</f>
        <v>7</v>
      </c>
      <c r="D590" s="20">
        <f ca="1">+C590/$C$598</f>
        <v>0.46666666666666667</v>
      </c>
      <c r="E590" s="19">
        <f ca="1">+SUM(E588:E589)</f>
        <v>11</v>
      </c>
      <c r="F590" s="20">
        <f ca="1">+E590/$E$598</f>
        <v>0.91666666666666663</v>
      </c>
      <c r="G590" s="19">
        <f ca="1">+SUM(G588:G589)</f>
        <v>0</v>
      </c>
      <c r="H590" s="20" t="e">
        <f ca="1">+G590/$G$598</f>
        <v>#DIV/0!</v>
      </c>
      <c r="I590" s="19">
        <f ca="1">+SUM(I588:I589)</f>
        <v>6</v>
      </c>
      <c r="J590" s="20">
        <f ca="1">+IFERROR((I590/$I$598),0)</f>
        <v>1</v>
      </c>
      <c r="K590" s="19">
        <f ca="1">+SUM(K588:K589)</f>
        <v>0</v>
      </c>
      <c r="L590" s="20">
        <f ca="1">+IFERROR((K590/$K$598),0)</f>
        <v>0</v>
      </c>
      <c r="M590" s="19">
        <f ca="1">+SUM(M588:M589)</f>
        <v>0</v>
      </c>
      <c r="N590" s="20">
        <f ca="1">+IFERROR((M590/$M$598),0)</f>
        <v>0</v>
      </c>
      <c r="O590" s="19">
        <f ca="1">+SUM(O588:O589)</f>
        <v>0</v>
      </c>
      <c r="P590" s="20">
        <f ca="1">+IFERROR((O590/$O$598),0)</f>
        <v>0</v>
      </c>
      <c r="Q590" s="21">
        <f ca="1">+SUM(Q588:Q589)</f>
        <v>24</v>
      </c>
      <c r="T590" s="18" t="s">
        <v>17</v>
      </c>
      <c r="U590" s="19">
        <f ca="1">+SUM(U588:U589)</f>
        <v>1495402.55</v>
      </c>
      <c r="V590" s="20">
        <f ca="1">IFERROR(U590/U$598,0)</f>
        <v>0.75260204264019293</v>
      </c>
      <c r="W590" s="19">
        <f ca="1">+SUM(W588:W589)</f>
        <v>3420680.5100000002</v>
      </c>
      <c r="X590" s="20">
        <f ca="1">IFERROR(W590/W$598,0)</f>
        <v>0.96610821008529801</v>
      </c>
      <c r="Y590" s="19">
        <f ca="1">+SUM(Y588:Y589)</f>
        <v>0</v>
      </c>
      <c r="Z590" s="20">
        <f ca="1">IFERROR(Y590/Y$598,0)</f>
        <v>0</v>
      </c>
      <c r="AA590" s="19">
        <f ca="1">+SUM(AA588:AA589)</f>
        <v>2640937.0999999996</v>
      </c>
      <c r="AB590" s="20">
        <f ca="1">IFERROR(AA590/AA$598,0)</f>
        <v>1</v>
      </c>
      <c r="AC590" s="19">
        <f ca="1">+SUM(AC588:AC589)</f>
        <v>0</v>
      </c>
      <c r="AD590" s="20">
        <f ca="1">IFERROR(AC590/AC$598,0)</f>
        <v>0</v>
      </c>
      <c r="AE590" s="19">
        <f ca="1">+SUM(AE588:AE589)</f>
        <v>0</v>
      </c>
      <c r="AF590" s="20">
        <f ca="1">IFERROR(AE590/AE$598,0)</f>
        <v>0</v>
      </c>
      <c r="AG590" s="19">
        <f ca="1">+SUM(AG588:AG589)</f>
        <v>0</v>
      </c>
      <c r="AH590" s="20">
        <f ca="1">IFERROR(AG590/AG$598,0)</f>
        <v>0</v>
      </c>
      <c r="AI590" s="21">
        <f ca="1">+SUM(AI588:AI589)</f>
        <v>7557020.1600000001</v>
      </c>
    </row>
    <row r="591" spans="2:35" x14ac:dyDescent="0.4">
      <c r="B591" s="22" t="s">
        <v>18</v>
      </c>
      <c r="C591" s="15">
        <v>4</v>
      </c>
      <c r="D591" s="16">
        <f t="shared" ref="D591:D598" ca="1" si="568">IFERROR(C591/C$598,0)</f>
        <v>0.26666666666666666</v>
      </c>
      <c r="E591" s="15">
        <v>0</v>
      </c>
      <c r="F591" s="16">
        <f t="shared" ref="F591:F598" ca="1" si="569">IFERROR(E591/E$598,0)</f>
        <v>0</v>
      </c>
      <c r="G591" s="15">
        <v>0</v>
      </c>
      <c r="H591" s="16">
        <f t="shared" ref="H591:H598" ca="1" si="570">IFERROR(G591/G$598,0)</f>
        <v>0</v>
      </c>
      <c r="I591" s="15">
        <v>0</v>
      </c>
      <c r="J591" s="16">
        <f t="shared" ref="J591:J598" ca="1" si="571">IFERROR(I591/I$598,0)</f>
        <v>0</v>
      </c>
      <c r="K591" s="15">
        <v>0</v>
      </c>
      <c r="L591" s="16">
        <f t="shared" ref="L591:L598" ca="1" si="572">IFERROR(K591/K$598,0)</f>
        <v>0</v>
      </c>
      <c r="M591" s="15">
        <v>0</v>
      </c>
      <c r="N591" s="16">
        <f t="shared" ref="N591:N598" ca="1" si="573">IFERROR(M591/M$598,0)</f>
        <v>0</v>
      </c>
      <c r="O591" s="15">
        <v>0</v>
      </c>
      <c r="P591" s="16">
        <f t="shared" ref="P591:P598" ca="1" si="574">IFERROR(O591/O$598,0)</f>
        <v>0</v>
      </c>
      <c r="Q591" s="62">
        <f t="shared" ca="1" si="567"/>
        <v>4</v>
      </c>
      <c r="T591" s="22" t="s">
        <v>18</v>
      </c>
      <c r="U591" s="15">
        <v>329908.47999999992</v>
      </c>
      <c r="V591" s="16">
        <f t="shared" ref="V591:V598" ca="1" si="575">IFERROR(U591/U$598,0)</f>
        <v>0.16603542366055293</v>
      </c>
      <c r="W591" s="15">
        <v>0</v>
      </c>
      <c r="X591" s="16">
        <f t="shared" ref="X591:X598" ca="1" si="576">IFERROR(W591/W$598,0)</f>
        <v>0</v>
      </c>
      <c r="Y591" s="15">
        <v>0</v>
      </c>
      <c r="Z591" s="16">
        <f t="shared" ref="Z591:Z598" ca="1" si="577">IFERROR(Y591/Y$598,0)</f>
        <v>0</v>
      </c>
      <c r="AA591" s="15">
        <v>0</v>
      </c>
      <c r="AB591" s="16">
        <f t="shared" ref="AB591:AB598" ca="1" si="578">IFERROR(AA591/AA$598,0)</f>
        <v>0</v>
      </c>
      <c r="AC591" s="15">
        <v>0</v>
      </c>
      <c r="AD591" s="16">
        <f t="shared" ref="AD591:AD598" ca="1" si="579">IFERROR(AC591/AC$598,0)</f>
        <v>0</v>
      </c>
      <c r="AE591" s="15">
        <v>0</v>
      </c>
      <c r="AF591" s="16">
        <f t="shared" ref="AF591:AF598" ca="1" si="580">IFERROR(AE591/AE$598,0)</f>
        <v>0</v>
      </c>
      <c r="AG591" s="15">
        <v>0</v>
      </c>
      <c r="AH591" s="16">
        <f t="shared" ref="AH591:AH598" ca="1" si="581">IFERROR(AG591/AG$598,0)</f>
        <v>0</v>
      </c>
      <c r="AI591" s="62">
        <f t="shared" ref="AI591:AI598" ca="1" si="582">SUM(U591,Y591,AA591,AC591,AE591,AG591,W591)</f>
        <v>329908.47999999992</v>
      </c>
    </row>
    <row r="592" spans="2:35" x14ac:dyDescent="0.4">
      <c r="B592" s="22" t="s">
        <v>19</v>
      </c>
      <c r="C592" s="15">
        <v>2</v>
      </c>
      <c r="D592" s="16">
        <f t="shared" ca="1" si="568"/>
        <v>0.13333333333333333</v>
      </c>
      <c r="E592" s="15">
        <v>0</v>
      </c>
      <c r="F592" s="16">
        <f t="shared" ca="1" si="569"/>
        <v>0</v>
      </c>
      <c r="G592" s="15">
        <v>0</v>
      </c>
      <c r="H592" s="16">
        <f t="shared" ca="1" si="570"/>
        <v>0</v>
      </c>
      <c r="I592" s="15">
        <v>0</v>
      </c>
      <c r="J592" s="16">
        <f t="shared" ca="1" si="571"/>
        <v>0</v>
      </c>
      <c r="K592" s="15">
        <v>0</v>
      </c>
      <c r="L592" s="16">
        <f t="shared" ca="1" si="572"/>
        <v>0</v>
      </c>
      <c r="M592" s="15">
        <v>0</v>
      </c>
      <c r="N592" s="16">
        <f t="shared" ca="1" si="573"/>
        <v>0</v>
      </c>
      <c r="O592" s="15">
        <v>0</v>
      </c>
      <c r="P592" s="16">
        <f t="shared" ca="1" si="574"/>
        <v>0</v>
      </c>
      <c r="Q592" s="62">
        <f t="shared" ca="1" si="567"/>
        <v>2</v>
      </c>
      <c r="T592" s="22" t="s">
        <v>19</v>
      </c>
      <c r="U592" s="15">
        <v>89815.44</v>
      </c>
      <c r="V592" s="16">
        <f t="shared" ca="1" si="575"/>
        <v>4.5202065226268129E-2</v>
      </c>
      <c r="W592" s="15">
        <v>0</v>
      </c>
      <c r="X592" s="16">
        <f t="shared" ca="1" si="576"/>
        <v>0</v>
      </c>
      <c r="Y592" s="15">
        <v>0</v>
      </c>
      <c r="Z592" s="16">
        <f t="shared" ca="1" si="577"/>
        <v>0</v>
      </c>
      <c r="AA592" s="15">
        <v>0</v>
      </c>
      <c r="AB592" s="16">
        <f t="shared" ca="1" si="578"/>
        <v>0</v>
      </c>
      <c r="AC592" s="15">
        <v>0</v>
      </c>
      <c r="AD592" s="16">
        <f t="shared" ca="1" si="579"/>
        <v>0</v>
      </c>
      <c r="AE592" s="15">
        <v>0</v>
      </c>
      <c r="AF592" s="16">
        <f t="shared" ca="1" si="580"/>
        <v>0</v>
      </c>
      <c r="AG592" s="15">
        <v>0</v>
      </c>
      <c r="AH592" s="16">
        <f t="shared" ca="1" si="581"/>
        <v>0</v>
      </c>
      <c r="AI592" s="62">
        <f t="shared" ca="1" si="582"/>
        <v>89815.44</v>
      </c>
    </row>
    <row r="593" spans="2:35" x14ac:dyDescent="0.4">
      <c r="B593" s="22" t="s">
        <v>20</v>
      </c>
      <c r="C593" s="15">
        <v>2</v>
      </c>
      <c r="D593" s="16">
        <f t="shared" ca="1" si="568"/>
        <v>0.13333333333333333</v>
      </c>
      <c r="E593" s="15">
        <v>0</v>
      </c>
      <c r="F593" s="16">
        <f t="shared" ca="1" si="569"/>
        <v>0</v>
      </c>
      <c r="G593" s="15">
        <v>0</v>
      </c>
      <c r="H593" s="16">
        <f t="shared" ca="1" si="570"/>
        <v>0</v>
      </c>
      <c r="I593" s="15">
        <v>0</v>
      </c>
      <c r="J593" s="16">
        <f t="shared" ca="1" si="571"/>
        <v>0</v>
      </c>
      <c r="K593" s="15">
        <v>0</v>
      </c>
      <c r="L593" s="16">
        <f t="shared" ca="1" si="572"/>
        <v>0</v>
      </c>
      <c r="M593" s="15">
        <v>0</v>
      </c>
      <c r="N593" s="16">
        <f t="shared" ca="1" si="573"/>
        <v>0</v>
      </c>
      <c r="O593" s="15">
        <v>0</v>
      </c>
      <c r="P593" s="16">
        <f t="shared" ca="1" si="574"/>
        <v>0</v>
      </c>
      <c r="Q593" s="62">
        <f t="shared" ca="1" si="567"/>
        <v>2</v>
      </c>
      <c r="T593" s="22" t="s">
        <v>20</v>
      </c>
      <c r="U593" s="15">
        <v>71850</v>
      </c>
      <c r="V593" s="16">
        <f t="shared" ca="1" si="575"/>
        <v>3.6160468472985992E-2</v>
      </c>
      <c r="W593" s="15">
        <v>0</v>
      </c>
      <c r="X593" s="16">
        <f t="shared" ca="1" si="576"/>
        <v>0</v>
      </c>
      <c r="Y593" s="15">
        <v>0</v>
      </c>
      <c r="Z593" s="16">
        <f t="shared" ca="1" si="577"/>
        <v>0</v>
      </c>
      <c r="AA593" s="15">
        <v>0</v>
      </c>
      <c r="AB593" s="16">
        <f t="shared" ca="1" si="578"/>
        <v>0</v>
      </c>
      <c r="AC593" s="15">
        <v>0</v>
      </c>
      <c r="AD593" s="16">
        <f t="shared" ca="1" si="579"/>
        <v>0</v>
      </c>
      <c r="AE593" s="15">
        <v>0</v>
      </c>
      <c r="AF593" s="16">
        <f t="shared" ca="1" si="580"/>
        <v>0</v>
      </c>
      <c r="AG593" s="15">
        <v>0</v>
      </c>
      <c r="AH593" s="16">
        <f t="shared" ca="1" si="581"/>
        <v>0</v>
      </c>
      <c r="AI593" s="62">
        <f t="shared" ca="1" si="582"/>
        <v>71850</v>
      </c>
    </row>
    <row r="594" spans="2:35" x14ac:dyDescent="0.4">
      <c r="B594" s="22" t="s">
        <v>21</v>
      </c>
      <c r="C594" s="15">
        <v>0</v>
      </c>
      <c r="D594" s="16">
        <f t="shared" ca="1" si="568"/>
        <v>0</v>
      </c>
      <c r="E594" s="15">
        <v>0</v>
      </c>
      <c r="F594" s="16">
        <f t="shared" ca="1" si="569"/>
        <v>0</v>
      </c>
      <c r="G594" s="15">
        <v>0</v>
      </c>
      <c r="H594" s="16">
        <f t="shared" ca="1" si="570"/>
        <v>0</v>
      </c>
      <c r="I594" s="15">
        <v>0</v>
      </c>
      <c r="J594" s="16">
        <f t="shared" ca="1" si="571"/>
        <v>0</v>
      </c>
      <c r="K594" s="15">
        <v>0</v>
      </c>
      <c r="L594" s="16">
        <f t="shared" ca="1" si="572"/>
        <v>0</v>
      </c>
      <c r="M594" s="15">
        <v>0</v>
      </c>
      <c r="N594" s="16">
        <f t="shared" ca="1" si="573"/>
        <v>0</v>
      </c>
      <c r="O594" s="15">
        <v>0</v>
      </c>
      <c r="P594" s="16">
        <f t="shared" ca="1" si="574"/>
        <v>0</v>
      </c>
      <c r="Q594" s="62">
        <f t="shared" ca="1" si="567"/>
        <v>0</v>
      </c>
      <c r="T594" s="22" t="s">
        <v>21</v>
      </c>
      <c r="U594" s="15">
        <v>0</v>
      </c>
      <c r="V594" s="16">
        <f t="shared" ca="1" si="575"/>
        <v>0</v>
      </c>
      <c r="W594" s="15">
        <v>0</v>
      </c>
      <c r="X594" s="16">
        <f t="shared" ca="1" si="576"/>
        <v>0</v>
      </c>
      <c r="Y594" s="15">
        <v>0</v>
      </c>
      <c r="Z594" s="16">
        <f t="shared" ca="1" si="577"/>
        <v>0</v>
      </c>
      <c r="AA594" s="15">
        <v>0</v>
      </c>
      <c r="AB594" s="16">
        <f t="shared" ca="1" si="578"/>
        <v>0</v>
      </c>
      <c r="AC594" s="15">
        <v>0</v>
      </c>
      <c r="AD594" s="16">
        <f t="shared" ca="1" si="579"/>
        <v>0</v>
      </c>
      <c r="AE594" s="15">
        <v>0</v>
      </c>
      <c r="AF594" s="16">
        <f t="shared" ca="1" si="580"/>
        <v>0</v>
      </c>
      <c r="AG594" s="15">
        <v>0</v>
      </c>
      <c r="AH594" s="16">
        <f t="shared" ca="1" si="581"/>
        <v>0</v>
      </c>
      <c r="AI594" s="62">
        <f t="shared" ca="1" si="582"/>
        <v>0</v>
      </c>
    </row>
    <row r="595" spans="2:35" x14ac:dyDescent="0.4">
      <c r="B595" s="22" t="s">
        <v>22</v>
      </c>
      <c r="C595" s="15">
        <v>0</v>
      </c>
      <c r="D595" s="16">
        <f t="shared" ca="1" si="568"/>
        <v>0</v>
      </c>
      <c r="E595" s="15">
        <v>1</v>
      </c>
      <c r="F595" s="16">
        <f t="shared" ca="1" si="569"/>
        <v>8.3333333333333329E-2</v>
      </c>
      <c r="G595" s="15">
        <v>0</v>
      </c>
      <c r="H595" s="16">
        <f t="shared" ca="1" si="570"/>
        <v>0</v>
      </c>
      <c r="I595" s="15">
        <v>0</v>
      </c>
      <c r="J595" s="16">
        <f t="shared" ca="1" si="571"/>
        <v>0</v>
      </c>
      <c r="K595" s="15">
        <v>0</v>
      </c>
      <c r="L595" s="16">
        <f t="shared" ca="1" si="572"/>
        <v>0</v>
      </c>
      <c r="M595" s="15">
        <v>0</v>
      </c>
      <c r="N595" s="16">
        <f t="shared" ca="1" si="573"/>
        <v>0</v>
      </c>
      <c r="O595" s="15">
        <v>0</v>
      </c>
      <c r="P595" s="16">
        <f t="shared" ca="1" si="574"/>
        <v>0</v>
      </c>
      <c r="Q595" s="62">
        <f t="shared" ca="1" si="567"/>
        <v>1</v>
      </c>
      <c r="T595" s="22" t="s">
        <v>22</v>
      </c>
      <c r="U595" s="15">
        <v>0</v>
      </c>
      <c r="V595" s="16">
        <f t="shared" ca="1" si="575"/>
        <v>0</v>
      </c>
      <c r="W595" s="15">
        <v>120000</v>
      </c>
      <c r="X595" s="16">
        <f t="shared" ca="1" si="576"/>
        <v>3.3891789914702014E-2</v>
      </c>
      <c r="Y595" s="15">
        <v>0</v>
      </c>
      <c r="Z595" s="16">
        <f t="shared" ca="1" si="577"/>
        <v>0</v>
      </c>
      <c r="AA595" s="15">
        <v>0</v>
      </c>
      <c r="AB595" s="16">
        <f t="shared" ca="1" si="578"/>
        <v>0</v>
      </c>
      <c r="AC595" s="15">
        <v>0</v>
      </c>
      <c r="AD595" s="16">
        <f t="shared" ca="1" si="579"/>
        <v>0</v>
      </c>
      <c r="AE595" s="15">
        <v>0</v>
      </c>
      <c r="AF595" s="16">
        <f t="shared" ca="1" si="580"/>
        <v>0</v>
      </c>
      <c r="AG595" s="15">
        <v>0</v>
      </c>
      <c r="AH595" s="16">
        <f t="shared" ca="1" si="581"/>
        <v>0</v>
      </c>
      <c r="AI595" s="62">
        <f t="shared" ca="1" si="582"/>
        <v>120000</v>
      </c>
    </row>
    <row r="596" spans="2:35" x14ac:dyDescent="0.4">
      <c r="B596" s="22" t="s">
        <v>23</v>
      </c>
      <c r="C596" s="15">
        <v>0</v>
      </c>
      <c r="D596" s="16">
        <f t="shared" ca="1" si="568"/>
        <v>0</v>
      </c>
      <c r="E596" s="15">
        <v>0</v>
      </c>
      <c r="F596" s="16">
        <f t="shared" ca="1" si="569"/>
        <v>0</v>
      </c>
      <c r="G596" s="15">
        <v>0</v>
      </c>
      <c r="H596" s="16">
        <f t="shared" ca="1" si="570"/>
        <v>0</v>
      </c>
      <c r="I596" s="15">
        <v>0</v>
      </c>
      <c r="J596" s="16">
        <f t="shared" ca="1" si="571"/>
        <v>0</v>
      </c>
      <c r="K596" s="15">
        <v>0</v>
      </c>
      <c r="L596" s="16">
        <f t="shared" ca="1" si="572"/>
        <v>0</v>
      </c>
      <c r="M596" s="15">
        <v>0</v>
      </c>
      <c r="N596" s="16">
        <f t="shared" ca="1" si="573"/>
        <v>0</v>
      </c>
      <c r="O596" s="15">
        <v>0</v>
      </c>
      <c r="P596" s="16">
        <f t="shared" ca="1" si="574"/>
        <v>0</v>
      </c>
      <c r="Q596" s="62">
        <f t="shared" ca="1" si="567"/>
        <v>0</v>
      </c>
      <c r="T596" s="22" t="s">
        <v>23</v>
      </c>
      <c r="U596" s="15">
        <v>0</v>
      </c>
      <c r="V596" s="16">
        <f t="shared" ca="1" si="575"/>
        <v>0</v>
      </c>
      <c r="W596" s="15">
        <v>0</v>
      </c>
      <c r="X596" s="16">
        <f t="shared" ca="1" si="576"/>
        <v>0</v>
      </c>
      <c r="Y596" s="15">
        <v>0</v>
      </c>
      <c r="Z596" s="16">
        <f t="shared" ca="1" si="577"/>
        <v>0</v>
      </c>
      <c r="AA596" s="15">
        <v>0</v>
      </c>
      <c r="AB596" s="16">
        <f t="shared" ca="1" si="578"/>
        <v>0</v>
      </c>
      <c r="AC596" s="15">
        <v>0</v>
      </c>
      <c r="AD596" s="16">
        <f t="shared" ca="1" si="579"/>
        <v>0</v>
      </c>
      <c r="AE596" s="15">
        <v>0</v>
      </c>
      <c r="AF596" s="16">
        <f t="shared" ca="1" si="580"/>
        <v>0</v>
      </c>
      <c r="AG596" s="15">
        <v>0</v>
      </c>
      <c r="AH596" s="16">
        <f t="shared" ca="1" si="581"/>
        <v>0</v>
      </c>
      <c r="AI596" s="62">
        <f t="shared" ca="1" si="582"/>
        <v>0</v>
      </c>
    </row>
    <row r="597" spans="2:35" x14ac:dyDescent="0.4">
      <c r="B597" s="23" t="s">
        <v>24</v>
      </c>
      <c r="C597" s="24">
        <v>0</v>
      </c>
      <c r="D597" s="25">
        <f t="shared" ca="1" si="568"/>
        <v>0</v>
      </c>
      <c r="E597" s="24">
        <v>0</v>
      </c>
      <c r="F597" s="25">
        <f t="shared" ca="1" si="569"/>
        <v>0</v>
      </c>
      <c r="G597" s="24">
        <v>0</v>
      </c>
      <c r="H597" s="25">
        <f t="shared" ca="1" si="570"/>
        <v>0</v>
      </c>
      <c r="I597" s="24">
        <v>0</v>
      </c>
      <c r="J597" s="25">
        <f t="shared" ca="1" si="571"/>
        <v>0</v>
      </c>
      <c r="K597" s="24">
        <v>0</v>
      </c>
      <c r="L597" s="25">
        <f t="shared" ca="1" si="572"/>
        <v>0</v>
      </c>
      <c r="M597" s="24">
        <v>0</v>
      </c>
      <c r="N597" s="25">
        <f t="shared" ca="1" si="573"/>
        <v>0</v>
      </c>
      <c r="O597" s="24">
        <v>0</v>
      </c>
      <c r="P597" s="25">
        <f t="shared" ca="1" si="574"/>
        <v>0</v>
      </c>
      <c r="Q597" s="64">
        <f t="shared" ca="1" si="567"/>
        <v>0</v>
      </c>
      <c r="T597" s="23" t="s">
        <v>24</v>
      </c>
      <c r="U597" s="24">
        <v>0</v>
      </c>
      <c r="V597" s="25">
        <f t="shared" ca="1" si="575"/>
        <v>0</v>
      </c>
      <c r="W597" s="24">
        <v>0</v>
      </c>
      <c r="X597" s="25">
        <f t="shared" ca="1" si="576"/>
        <v>0</v>
      </c>
      <c r="Y597" s="24">
        <v>0</v>
      </c>
      <c r="Z597" s="25">
        <f t="shared" ca="1" si="577"/>
        <v>0</v>
      </c>
      <c r="AA597" s="24">
        <v>0</v>
      </c>
      <c r="AB597" s="25">
        <f t="shared" ca="1" si="578"/>
        <v>0</v>
      </c>
      <c r="AC597" s="24">
        <v>0</v>
      </c>
      <c r="AD597" s="25">
        <f t="shared" ca="1" si="579"/>
        <v>0</v>
      </c>
      <c r="AE597" s="24">
        <v>0</v>
      </c>
      <c r="AF597" s="25">
        <f t="shared" ca="1" si="580"/>
        <v>0</v>
      </c>
      <c r="AG597" s="24">
        <v>0</v>
      </c>
      <c r="AH597" s="25">
        <f t="shared" ca="1" si="581"/>
        <v>0</v>
      </c>
      <c r="AI597" s="64">
        <f t="shared" ca="1" si="582"/>
        <v>0</v>
      </c>
    </row>
    <row r="598" spans="2:35" x14ac:dyDescent="0.4">
      <c r="B598" s="27" t="s">
        <v>25</v>
      </c>
      <c r="C598" s="28">
        <f ca="1">SUM(C590:C597)</f>
        <v>15</v>
      </c>
      <c r="D598" s="29">
        <f t="shared" ca="1" si="568"/>
        <v>1</v>
      </c>
      <c r="E598" s="28">
        <f ca="1">SUM(E590:E597)</f>
        <v>12</v>
      </c>
      <c r="F598" s="29">
        <f t="shared" ca="1" si="569"/>
        <v>1</v>
      </c>
      <c r="G598" s="28">
        <f ca="1">SUM(G590:G597)</f>
        <v>0</v>
      </c>
      <c r="H598" s="29">
        <f t="shared" ca="1" si="570"/>
        <v>0</v>
      </c>
      <c r="I598" s="28">
        <f ca="1">SUM(I590:I597)</f>
        <v>6</v>
      </c>
      <c r="J598" s="29">
        <f t="shared" ca="1" si="571"/>
        <v>1</v>
      </c>
      <c r="K598" s="28">
        <f ca="1">SUM(K590:K597)</f>
        <v>0</v>
      </c>
      <c r="L598" s="29">
        <f t="shared" ca="1" si="572"/>
        <v>0</v>
      </c>
      <c r="M598" s="28">
        <f ca="1">SUM(M590:M597)</f>
        <v>0</v>
      </c>
      <c r="N598" s="29">
        <f t="shared" ca="1" si="573"/>
        <v>0</v>
      </c>
      <c r="O598" s="28">
        <f ca="1">SUM(O590:O597)</f>
        <v>0</v>
      </c>
      <c r="P598" s="29">
        <f t="shared" ca="1" si="574"/>
        <v>0</v>
      </c>
      <c r="Q598" s="31">
        <f t="shared" ca="1" si="567"/>
        <v>33</v>
      </c>
      <c r="T598" s="27" t="s">
        <v>25</v>
      </c>
      <c r="U598" s="28">
        <f ca="1">SUM(U590:U597)</f>
        <v>1986976.47</v>
      </c>
      <c r="V598" s="29">
        <f t="shared" ca="1" si="575"/>
        <v>1</v>
      </c>
      <c r="W598" s="28">
        <f ca="1">SUM(W590:W597)</f>
        <v>3540680.5100000002</v>
      </c>
      <c r="X598" s="29">
        <f t="shared" ca="1" si="576"/>
        <v>1</v>
      </c>
      <c r="Y598" s="28">
        <f ca="1">SUM(Y590:Y597)</f>
        <v>0</v>
      </c>
      <c r="Z598" s="29">
        <f t="shared" ca="1" si="577"/>
        <v>0</v>
      </c>
      <c r="AA598" s="28">
        <f ca="1">SUM(AA590:AA597)</f>
        <v>2640937.0999999996</v>
      </c>
      <c r="AB598" s="29">
        <f t="shared" ca="1" si="578"/>
        <v>1</v>
      </c>
      <c r="AC598" s="28">
        <f ca="1">SUM(AC590:AC597)</f>
        <v>0</v>
      </c>
      <c r="AD598" s="29">
        <f t="shared" ca="1" si="579"/>
        <v>0</v>
      </c>
      <c r="AE598" s="28">
        <f ca="1">SUM(AE590:AE597)</f>
        <v>0</v>
      </c>
      <c r="AF598" s="29">
        <f t="shared" ca="1" si="580"/>
        <v>0</v>
      </c>
      <c r="AG598" s="28">
        <f ca="1">SUM(AG590:AG597)</f>
        <v>0</v>
      </c>
      <c r="AH598" s="29">
        <f t="shared" ca="1" si="581"/>
        <v>0</v>
      </c>
      <c r="AI598" s="31">
        <f t="shared" ca="1" si="582"/>
        <v>8168594.0800000001</v>
      </c>
    </row>
    <row r="599" spans="2:35" x14ac:dyDescent="0.4">
      <c r="B599" s="32" t="s">
        <v>26</v>
      </c>
      <c r="C599" s="33">
        <f ca="1">C598/$Q$598</f>
        <v>0.45454545454545453</v>
      </c>
      <c r="D599" s="33"/>
      <c r="E599" s="33">
        <f ca="1">E598/$Q$598</f>
        <v>0.36363636363636365</v>
      </c>
      <c r="F599" s="33"/>
      <c r="G599" s="33">
        <f ca="1">G598/$Q$598</f>
        <v>0</v>
      </c>
      <c r="H599" s="33"/>
      <c r="I599" s="33">
        <f ca="1">I598/$Q$598</f>
        <v>0.18181818181818182</v>
      </c>
      <c r="J599" s="33"/>
      <c r="K599" s="33">
        <f ca="1">K598/$Q$598</f>
        <v>0</v>
      </c>
      <c r="L599" s="33"/>
      <c r="M599" s="33">
        <f ca="1">M598/$Q$598</f>
        <v>0</v>
      </c>
      <c r="N599" s="33"/>
      <c r="O599" s="33">
        <f ca="1">O598/$Q$598</f>
        <v>0</v>
      </c>
      <c r="P599" s="33"/>
      <c r="Q599" s="34">
        <f ca="1">Q598/$Q$598</f>
        <v>1</v>
      </c>
      <c r="T599" s="32" t="s">
        <v>26</v>
      </c>
      <c r="U599" s="33">
        <f ca="1">U598/$AI$598</f>
        <v>0.24324583282512674</v>
      </c>
      <c r="V599" s="33"/>
      <c r="W599" s="33">
        <f ca="1">W598/$AI$598</f>
        <v>0.43345041696575531</v>
      </c>
      <c r="X599" s="33"/>
      <c r="Y599" s="33">
        <f ca="1">Y598/$AI$598</f>
        <v>0</v>
      </c>
      <c r="Z599" s="33"/>
      <c r="AA599" s="33">
        <f ca="1">AA598/$AI$598</f>
        <v>0.32330375020911795</v>
      </c>
      <c r="AB599" s="33"/>
      <c r="AC599" s="33">
        <f ca="1">AC598/$AI$598</f>
        <v>0</v>
      </c>
      <c r="AD599" s="33"/>
      <c r="AE599" s="33">
        <f ca="1">AE598/$AI$598</f>
        <v>0</v>
      </c>
      <c r="AF599" s="33"/>
      <c r="AG599" s="33">
        <f ca="1">AG598/$AI$598</f>
        <v>0</v>
      </c>
      <c r="AH599" s="33"/>
      <c r="AI599" s="34">
        <f ca="1">AI598/$AI$598</f>
        <v>1</v>
      </c>
    </row>
    <row r="19435" spans="14:14" x14ac:dyDescent="0.4">
      <c r="N19435" s="1" t="s">
        <v>15</v>
      </c>
    </row>
  </sheetData>
  <mergeCells count="1224">
    <mergeCell ref="AE599:AF599"/>
    <mergeCell ref="AG599:AH599"/>
    <mergeCell ref="O599:P599"/>
    <mergeCell ref="U599:V599"/>
    <mergeCell ref="W599:X599"/>
    <mergeCell ref="Y599:Z599"/>
    <mergeCell ref="AA599:AB599"/>
    <mergeCell ref="AC599:AD599"/>
    <mergeCell ref="AC586:AD586"/>
    <mergeCell ref="AE586:AF586"/>
    <mergeCell ref="AG586:AH586"/>
    <mergeCell ref="AI586:AI587"/>
    <mergeCell ref="C599:D599"/>
    <mergeCell ref="E599:F599"/>
    <mergeCell ref="G599:H599"/>
    <mergeCell ref="I599:J599"/>
    <mergeCell ref="K599:L599"/>
    <mergeCell ref="M599:N599"/>
    <mergeCell ref="O586:P586"/>
    <mergeCell ref="Q586:Q587"/>
    <mergeCell ref="U586:V586"/>
    <mergeCell ref="W586:X586"/>
    <mergeCell ref="Y586:Z586"/>
    <mergeCell ref="AA586:AB586"/>
    <mergeCell ref="AE583:AF583"/>
    <mergeCell ref="AG583:AH583"/>
    <mergeCell ref="B585:Q585"/>
    <mergeCell ref="T585:AI585"/>
    <mergeCell ref="C586:D586"/>
    <mergeCell ref="E586:F586"/>
    <mergeCell ref="G586:H586"/>
    <mergeCell ref="I586:J586"/>
    <mergeCell ref="K586:L586"/>
    <mergeCell ref="M586:N586"/>
    <mergeCell ref="O583:P583"/>
    <mergeCell ref="U583:V583"/>
    <mergeCell ref="W583:X583"/>
    <mergeCell ref="Y583:Z583"/>
    <mergeCell ref="AA583:AB583"/>
    <mergeCell ref="AC583:AD583"/>
    <mergeCell ref="AC570:AD570"/>
    <mergeCell ref="AE570:AF570"/>
    <mergeCell ref="AG570:AH570"/>
    <mergeCell ref="AI570:AI571"/>
    <mergeCell ref="C583:D583"/>
    <mergeCell ref="E583:F583"/>
    <mergeCell ref="G583:H583"/>
    <mergeCell ref="I583:J583"/>
    <mergeCell ref="K583:L583"/>
    <mergeCell ref="M583:N583"/>
    <mergeCell ref="O570:P570"/>
    <mergeCell ref="Q570:Q571"/>
    <mergeCell ref="U570:V570"/>
    <mergeCell ref="W570:X570"/>
    <mergeCell ref="Y570:Z570"/>
    <mergeCell ref="AA570:AB570"/>
    <mergeCell ref="AE567:AF567"/>
    <mergeCell ref="AG567:AH567"/>
    <mergeCell ref="B569:Q569"/>
    <mergeCell ref="T569:AI569"/>
    <mergeCell ref="C570:D570"/>
    <mergeCell ref="E570:F570"/>
    <mergeCell ref="G570:H570"/>
    <mergeCell ref="I570:J570"/>
    <mergeCell ref="K570:L570"/>
    <mergeCell ref="M570:N570"/>
    <mergeCell ref="O567:P567"/>
    <mergeCell ref="U567:V567"/>
    <mergeCell ref="W567:X567"/>
    <mergeCell ref="Y567:Z567"/>
    <mergeCell ref="AA567:AB567"/>
    <mergeCell ref="AC567:AD567"/>
    <mergeCell ref="AC554:AD554"/>
    <mergeCell ref="AE554:AF554"/>
    <mergeCell ref="AG554:AH554"/>
    <mergeCell ref="AI554:AI555"/>
    <mergeCell ref="C567:D567"/>
    <mergeCell ref="E567:F567"/>
    <mergeCell ref="G567:H567"/>
    <mergeCell ref="I567:J567"/>
    <mergeCell ref="K567:L567"/>
    <mergeCell ref="M567:N567"/>
    <mergeCell ref="O554:P554"/>
    <mergeCell ref="Q554:Q555"/>
    <mergeCell ref="U554:V554"/>
    <mergeCell ref="W554:X554"/>
    <mergeCell ref="Y554:Z554"/>
    <mergeCell ref="AA554:AB554"/>
    <mergeCell ref="C554:D554"/>
    <mergeCell ref="E554:F554"/>
    <mergeCell ref="G554:H554"/>
    <mergeCell ref="I554:J554"/>
    <mergeCell ref="K554:L554"/>
    <mergeCell ref="M554:N554"/>
    <mergeCell ref="AE549:AF549"/>
    <mergeCell ref="AG549:AH549"/>
    <mergeCell ref="E551:N552"/>
    <mergeCell ref="W551:AF552"/>
    <mergeCell ref="B553:Q553"/>
    <mergeCell ref="T553:AI553"/>
    <mergeCell ref="O549:P549"/>
    <mergeCell ref="U549:V549"/>
    <mergeCell ref="W549:X549"/>
    <mergeCell ref="Y549:Z549"/>
    <mergeCell ref="AA549:AB549"/>
    <mergeCell ref="AC549:AD549"/>
    <mergeCell ref="AC536:AD536"/>
    <mergeCell ref="AE536:AF536"/>
    <mergeCell ref="AG536:AH536"/>
    <mergeCell ref="AI536:AI537"/>
    <mergeCell ref="C549:D549"/>
    <mergeCell ref="E549:F549"/>
    <mergeCell ref="G549:H549"/>
    <mergeCell ref="I549:J549"/>
    <mergeCell ref="K549:L549"/>
    <mergeCell ref="M549:N549"/>
    <mergeCell ref="O536:P536"/>
    <mergeCell ref="Q536:Q537"/>
    <mergeCell ref="U536:V536"/>
    <mergeCell ref="W536:X536"/>
    <mergeCell ref="Y536:Z536"/>
    <mergeCell ref="AA536:AB536"/>
    <mergeCell ref="AE533:AF533"/>
    <mergeCell ref="AG533:AH533"/>
    <mergeCell ref="B535:Q535"/>
    <mergeCell ref="T535:AI535"/>
    <mergeCell ref="C536:D536"/>
    <mergeCell ref="E536:F536"/>
    <mergeCell ref="G536:H536"/>
    <mergeCell ref="I536:J536"/>
    <mergeCell ref="K536:L536"/>
    <mergeCell ref="M536:N536"/>
    <mergeCell ref="O533:P533"/>
    <mergeCell ref="U533:V533"/>
    <mergeCell ref="W533:X533"/>
    <mergeCell ref="Y533:Z533"/>
    <mergeCell ref="AA533:AB533"/>
    <mergeCell ref="AC533:AD533"/>
    <mergeCell ref="AC520:AD520"/>
    <mergeCell ref="AE520:AF520"/>
    <mergeCell ref="AG520:AH520"/>
    <mergeCell ref="AI520:AI521"/>
    <mergeCell ref="C533:D533"/>
    <mergeCell ref="E533:F533"/>
    <mergeCell ref="G533:H533"/>
    <mergeCell ref="I533:J533"/>
    <mergeCell ref="K533:L533"/>
    <mergeCell ref="M533:N533"/>
    <mergeCell ref="O520:P520"/>
    <mergeCell ref="Q520:Q521"/>
    <mergeCell ref="U520:V520"/>
    <mergeCell ref="W520:X520"/>
    <mergeCell ref="Y520:Z520"/>
    <mergeCell ref="AA520:AB520"/>
    <mergeCell ref="AE517:AF517"/>
    <mergeCell ref="AG517:AH517"/>
    <mergeCell ref="B519:Q519"/>
    <mergeCell ref="T519:AI519"/>
    <mergeCell ref="C520:D520"/>
    <mergeCell ref="E520:F520"/>
    <mergeCell ref="G520:H520"/>
    <mergeCell ref="I520:J520"/>
    <mergeCell ref="K520:L520"/>
    <mergeCell ref="M520:N520"/>
    <mergeCell ref="O517:P517"/>
    <mergeCell ref="U517:V517"/>
    <mergeCell ref="W517:X517"/>
    <mergeCell ref="Y517:Z517"/>
    <mergeCell ref="AA517:AB517"/>
    <mergeCell ref="AC517:AD517"/>
    <mergeCell ref="AC504:AD504"/>
    <mergeCell ref="AE504:AF504"/>
    <mergeCell ref="AG504:AH504"/>
    <mergeCell ref="AI504:AI505"/>
    <mergeCell ref="C517:D517"/>
    <mergeCell ref="E517:F517"/>
    <mergeCell ref="G517:H517"/>
    <mergeCell ref="I517:J517"/>
    <mergeCell ref="K517:L517"/>
    <mergeCell ref="M517:N517"/>
    <mergeCell ref="O504:P504"/>
    <mergeCell ref="Q504:Q505"/>
    <mergeCell ref="U504:V504"/>
    <mergeCell ref="W504:X504"/>
    <mergeCell ref="Y504:Z504"/>
    <mergeCell ref="AA504:AB504"/>
    <mergeCell ref="C504:D504"/>
    <mergeCell ref="E504:F504"/>
    <mergeCell ref="G504:H504"/>
    <mergeCell ref="I504:J504"/>
    <mergeCell ref="K504:L504"/>
    <mergeCell ref="M504:N504"/>
    <mergeCell ref="AE499:AF499"/>
    <mergeCell ref="AG499:AH499"/>
    <mergeCell ref="E501:N502"/>
    <mergeCell ref="W501:AF502"/>
    <mergeCell ref="B503:Q503"/>
    <mergeCell ref="T503:AI503"/>
    <mergeCell ref="O499:P499"/>
    <mergeCell ref="U499:V499"/>
    <mergeCell ref="W499:X499"/>
    <mergeCell ref="Y499:Z499"/>
    <mergeCell ref="AA499:AB499"/>
    <mergeCell ref="AC499:AD499"/>
    <mergeCell ref="AC486:AD486"/>
    <mergeCell ref="AE486:AF486"/>
    <mergeCell ref="AG486:AH486"/>
    <mergeCell ref="AI486:AI487"/>
    <mergeCell ref="C499:D499"/>
    <mergeCell ref="E499:F499"/>
    <mergeCell ref="G499:H499"/>
    <mergeCell ref="I499:J499"/>
    <mergeCell ref="K499:L499"/>
    <mergeCell ref="M499:N499"/>
    <mergeCell ref="O486:P486"/>
    <mergeCell ref="Q486:Q487"/>
    <mergeCell ref="U486:V486"/>
    <mergeCell ref="W486:X486"/>
    <mergeCell ref="Y486:Z486"/>
    <mergeCell ref="AA486:AB486"/>
    <mergeCell ref="AE483:AF483"/>
    <mergeCell ref="AG483:AH483"/>
    <mergeCell ref="B485:Q485"/>
    <mergeCell ref="T485:AI485"/>
    <mergeCell ref="C486:D486"/>
    <mergeCell ref="E486:F486"/>
    <mergeCell ref="G486:H486"/>
    <mergeCell ref="I486:J486"/>
    <mergeCell ref="K486:L486"/>
    <mergeCell ref="M486:N486"/>
    <mergeCell ref="O483:P483"/>
    <mergeCell ref="U483:V483"/>
    <mergeCell ref="W483:X483"/>
    <mergeCell ref="Y483:Z483"/>
    <mergeCell ref="AA483:AB483"/>
    <mergeCell ref="AC483:AD483"/>
    <mergeCell ref="AC470:AD470"/>
    <mergeCell ref="AE470:AF470"/>
    <mergeCell ref="AG470:AH470"/>
    <mergeCell ref="AI470:AI471"/>
    <mergeCell ref="C483:D483"/>
    <mergeCell ref="E483:F483"/>
    <mergeCell ref="G483:H483"/>
    <mergeCell ref="I483:J483"/>
    <mergeCell ref="K483:L483"/>
    <mergeCell ref="M483:N483"/>
    <mergeCell ref="O470:P470"/>
    <mergeCell ref="Q470:Q471"/>
    <mergeCell ref="U470:V470"/>
    <mergeCell ref="W470:X470"/>
    <mergeCell ref="Y470:Z470"/>
    <mergeCell ref="AA470:AB470"/>
    <mergeCell ref="AE467:AF467"/>
    <mergeCell ref="AG467:AH467"/>
    <mergeCell ref="B469:Q469"/>
    <mergeCell ref="T469:AI469"/>
    <mergeCell ref="C470:D470"/>
    <mergeCell ref="E470:F470"/>
    <mergeCell ref="G470:H470"/>
    <mergeCell ref="I470:J470"/>
    <mergeCell ref="K470:L470"/>
    <mergeCell ref="M470:N470"/>
    <mergeCell ref="O467:P467"/>
    <mergeCell ref="U467:V467"/>
    <mergeCell ref="W467:X467"/>
    <mergeCell ref="Y467:Z467"/>
    <mergeCell ref="AA467:AB467"/>
    <mergeCell ref="AC467:AD467"/>
    <mergeCell ref="AC454:AD454"/>
    <mergeCell ref="AE454:AF454"/>
    <mergeCell ref="AG454:AH454"/>
    <mergeCell ref="AI454:AI455"/>
    <mergeCell ref="C467:D467"/>
    <mergeCell ref="E467:F467"/>
    <mergeCell ref="G467:H467"/>
    <mergeCell ref="I467:J467"/>
    <mergeCell ref="K467:L467"/>
    <mergeCell ref="M467:N467"/>
    <mergeCell ref="O454:P454"/>
    <mergeCell ref="Q454:Q455"/>
    <mergeCell ref="U454:V454"/>
    <mergeCell ref="W454:X454"/>
    <mergeCell ref="Y454:Z454"/>
    <mergeCell ref="AA454:AB454"/>
    <mergeCell ref="C454:D454"/>
    <mergeCell ref="E454:F454"/>
    <mergeCell ref="G454:H454"/>
    <mergeCell ref="I454:J454"/>
    <mergeCell ref="K454:L454"/>
    <mergeCell ref="M454:N454"/>
    <mergeCell ref="AE449:AF449"/>
    <mergeCell ref="AG449:AH449"/>
    <mergeCell ref="E451:N452"/>
    <mergeCell ref="W451:AF452"/>
    <mergeCell ref="B453:Q453"/>
    <mergeCell ref="T453:AI453"/>
    <mergeCell ref="O449:P449"/>
    <mergeCell ref="U449:V449"/>
    <mergeCell ref="W449:X449"/>
    <mergeCell ref="Y449:Z449"/>
    <mergeCell ref="AA449:AB449"/>
    <mergeCell ref="AC449:AD449"/>
    <mergeCell ref="AC436:AD436"/>
    <mergeCell ref="AE436:AF436"/>
    <mergeCell ref="AG436:AH436"/>
    <mergeCell ref="AI436:AI437"/>
    <mergeCell ref="C449:D449"/>
    <mergeCell ref="E449:F449"/>
    <mergeCell ref="G449:H449"/>
    <mergeCell ref="I449:J449"/>
    <mergeCell ref="K449:L449"/>
    <mergeCell ref="M449:N449"/>
    <mergeCell ref="O436:P436"/>
    <mergeCell ref="Q436:Q437"/>
    <mergeCell ref="U436:V436"/>
    <mergeCell ref="W436:X436"/>
    <mergeCell ref="Y436:Z436"/>
    <mergeCell ref="AA436:AB436"/>
    <mergeCell ref="AE433:AF433"/>
    <mergeCell ref="AG433:AH433"/>
    <mergeCell ref="B435:Q435"/>
    <mergeCell ref="T435:AI435"/>
    <mergeCell ref="C436:D436"/>
    <mergeCell ref="E436:F436"/>
    <mergeCell ref="G436:H436"/>
    <mergeCell ref="I436:J436"/>
    <mergeCell ref="K436:L436"/>
    <mergeCell ref="M436:N436"/>
    <mergeCell ref="O433:P433"/>
    <mergeCell ref="U433:V433"/>
    <mergeCell ref="W433:X433"/>
    <mergeCell ref="Y433:Z433"/>
    <mergeCell ref="AA433:AB433"/>
    <mergeCell ref="AC433:AD433"/>
    <mergeCell ref="AC420:AD420"/>
    <mergeCell ref="AE420:AF420"/>
    <mergeCell ref="AG420:AH420"/>
    <mergeCell ref="AI420:AI421"/>
    <mergeCell ref="C433:D433"/>
    <mergeCell ref="E433:F433"/>
    <mergeCell ref="G433:H433"/>
    <mergeCell ref="I433:J433"/>
    <mergeCell ref="K433:L433"/>
    <mergeCell ref="M433:N433"/>
    <mergeCell ref="O420:P420"/>
    <mergeCell ref="Q420:Q421"/>
    <mergeCell ref="U420:V420"/>
    <mergeCell ref="W420:X420"/>
    <mergeCell ref="Y420:Z420"/>
    <mergeCell ref="AA420:AB420"/>
    <mergeCell ref="AE417:AF417"/>
    <mergeCell ref="AG417:AH417"/>
    <mergeCell ref="B419:Q419"/>
    <mergeCell ref="T419:AI419"/>
    <mergeCell ref="C420:D420"/>
    <mergeCell ref="E420:F420"/>
    <mergeCell ref="G420:H420"/>
    <mergeCell ref="I420:J420"/>
    <mergeCell ref="K420:L420"/>
    <mergeCell ref="M420:N420"/>
    <mergeCell ref="O417:P417"/>
    <mergeCell ref="U417:V417"/>
    <mergeCell ref="W417:X417"/>
    <mergeCell ref="Y417:Z417"/>
    <mergeCell ref="AA417:AB417"/>
    <mergeCell ref="AC417:AD417"/>
    <mergeCell ref="AC404:AD404"/>
    <mergeCell ref="AE404:AF404"/>
    <mergeCell ref="AG404:AH404"/>
    <mergeCell ref="AI404:AI405"/>
    <mergeCell ref="C417:D417"/>
    <mergeCell ref="E417:F417"/>
    <mergeCell ref="G417:H417"/>
    <mergeCell ref="I417:J417"/>
    <mergeCell ref="K417:L417"/>
    <mergeCell ref="M417:N417"/>
    <mergeCell ref="O404:P404"/>
    <mergeCell ref="Q404:Q405"/>
    <mergeCell ref="U404:V404"/>
    <mergeCell ref="W404:X404"/>
    <mergeCell ref="Y404:Z404"/>
    <mergeCell ref="AA404:AB404"/>
    <mergeCell ref="C404:D404"/>
    <mergeCell ref="E404:F404"/>
    <mergeCell ref="G404:H404"/>
    <mergeCell ref="I404:J404"/>
    <mergeCell ref="K404:L404"/>
    <mergeCell ref="M404:N404"/>
    <mergeCell ref="AE399:AF399"/>
    <mergeCell ref="AG399:AH399"/>
    <mergeCell ref="E401:N402"/>
    <mergeCell ref="W401:AF402"/>
    <mergeCell ref="B403:Q403"/>
    <mergeCell ref="T403:AI403"/>
    <mergeCell ref="O399:P399"/>
    <mergeCell ref="U399:V399"/>
    <mergeCell ref="W399:X399"/>
    <mergeCell ref="Y399:Z399"/>
    <mergeCell ref="AA399:AB399"/>
    <mergeCell ref="AC399:AD399"/>
    <mergeCell ref="AC386:AD386"/>
    <mergeCell ref="AE386:AF386"/>
    <mergeCell ref="AG386:AH386"/>
    <mergeCell ref="AI386:AI387"/>
    <mergeCell ref="C399:D399"/>
    <mergeCell ref="E399:F399"/>
    <mergeCell ref="G399:H399"/>
    <mergeCell ref="I399:J399"/>
    <mergeCell ref="K399:L399"/>
    <mergeCell ref="M399:N399"/>
    <mergeCell ref="O386:P386"/>
    <mergeCell ref="Q386:Q387"/>
    <mergeCell ref="U386:V386"/>
    <mergeCell ref="W386:X386"/>
    <mergeCell ref="Y386:Z386"/>
    <mergeCell ref="AA386:AB386"/>
    <mergeCell ref="AE383:AF383"/>
    <mergeCell ref="AG383:AH383"/>
    <mergeCell ref="B385:Q385"/>
    <mergeCell ref="T385:AI385"/>
    <mergeCell ref="C386:D386"/>
    <mergeCell ref="E386:F386"/>
    <mergeCell ref="G386:H386"/>
    <mergeCell ref="I386:J386"/>
    <mergeCell ref="K386:L386"/>
    <mergeCell ref="M386:N386"/>
    <mergeCell ref="O383:P383"/>
    <mergeCell ref="U383:V383"/>
    <mergeCell ref="W383:X383"/>
    <mergeCell ref="Y383:Z383"/>
    <mergeCell ref="AA383:AB383"/>
    <mergeCell ref="AC383:AD383"/>
    <mergeCell ref="AC370:AD370"/>
    <mergeCell ref="AE370:AF370"/>
    <mergeCell ref="AG370:AH370"/>
    <mergeCell ref="AI370:AI371"/>
    <mergeCell ref="C383:D383"/>
    <mergeCell ref="E383:F383"/>
    <mergeCell ref="G383:H383"/>
    <mergeCell ref="I383:J383"/>
    <mergeCell ref="K383:L383"/>
    <mergeCell ref="M383:N383"/>
    <mergeCell ref="O370:P370"/>
    <mergeCell ref="Q370:Q371"/>
    <mergeCell ref="U370:V370"/>
    <mergeCell ref="W370:X370"/>
    <mergeCell ref="Y370:Z370"/>
    <mergeCell ref="AA370:AB370"/>
    <mergeCell ref="AE367:AF367"/>
    <mergeCell ref="AG367:AH367"/>
    <mergeCell ref="B369:Q369"/>
    <mergeCell ref="T369:AI369"/>
    <mergeCell ref="C370:D370"/>
    <mergeCell ref="E370:F370"/>
    <mergeCell ref="G370:H370"/>
    <mergeCell ref="I370:J370"/>
    <mergeCell ref="K370:L370"/>
    <mergeCell ref="M370:N370"/>
    <mergeCell ref="O367:P367"/>
    <mergeCell ref="U367:V367"/>
    <mergeCell ref="W367:X367"/>
    <mergeCell ref="Y367:Z367"/>
    <mergeCell ref="AA367:AB367"/>
    <mergeCell ref="AC367:AD367"/>
    <mergeCell ref="AC354:AD354"/>
    <mergeCell ref="AE354:AF354"/>
    <mergeCell ref="AG354:AH354"/>
    <mergeCell ref="AI354:AI355"/>
    <mergeCell ref="C367:D367"/>
    <mergeCell ref="E367:F367"/>
    <mergeCell ref="G367:H367"/>
    <mergeCell ref="I367:J367"/>
    <mergeCell ref="K367:L367"/>
    <mergeCell ref="M367:N367"/>
    <mergeCell ref="O354:P354"/>
    <mergeCell ref="Q354:Q355"/>
    <mergeCell ref="U354:V354"/>
    <mergeCell ref="W354:X354"/>
    <mergeCell ref="Y354:Z354"/>
    <mergeCell ref="AA354:AB354"/>
    <mergeCell ref="C354:D354"/>
    <mergeCell ref="E354:F354"/>
    <mergeCell ref="G354:H354"/>
    <mergeCell ref="I354:J354"/>
    <mergeCell ref="K354:L354"/>
    <mergeCell ref="M354:N354"/>
    <mergeCell ref="AE349:AF349"/>
    <mergeCell ref="AG349:AH349"/>
    <mergeCell ref="E351:N352"/>
    <mergeCell ref="W351:AF352"/>
    <mergeCell ref="B353:Q353"/>
    <mergeCell ref="T353:AI353"/>
    <mergeCell ref="O349:P349"/>
    <mergeCell ref="U349:V349"/>
    <mergeCell ref="W349:X349"/>
    <mergeCell ref="Y349:Z349"/>
    <mergeCell ref="AA349:AB349"/>
    <mergeCell ref="AC349:AD349"/>
    <mergeCell ref="AC336:AD336"/>
    <mergeCell ref="AE336:AF336"/>
    <mergeCell ref="AG336:AH336"/>
    <mergeCell ref="AI336:AI337"/>
    <mergeCell ref="C349:D349"/>
    <mergeCell ref="E349:F349"/>
    <mergeCell ref="G349:H349"/>
    <mergeCell ref="I349:J349"/>
    <mergeCell ref="K349:L349"/>
    <mergeCell ref="M349:N349"/>
    <mergeCell ref="O336:P336"/>
    <mergeCell ref="Q336:Q337"/>
    <mergeCell ref="U336:V336"/>
    <mergeCell ref="W336:X336"/>
    <mergeCell ref="Y336:Z336"/>
    <mergeCell ref="AA336:AB336"/>
    <mergeCell ref="AE333:AF333"/>
    <mergeCell ref="AG333:AH333"/>
    <mergeCell ref="B335:Q335"/>
    <mergeCell ref="T335:AI335"/>
    <mergeCell ref="C336:D336"/>
    <mergeCell ref="E336:F336"/>
    <mergeCell ref="G336:H336"/>
    <mergeCell ref="I336:J336"/>
    <mergeCell ref="K336:L336"/>
    <mergeCell ref="M336:N336"/>
    <mergeCell ref="O333:P333"/>
    <mergeCell ref="U333:V333"/>
    <mergeCell ref="W333:X333"/>
    <mergeCell ref="Y333:Z333"/>
    <mergeCell ref="AA333:AB333"/>
    <mergeCell ref="AC333:AD333"/>
    <mergeCell ref="AC320:AD320"/>
    <mergeCell ref="AE320:AF320"/>
    <mergeCell ref="AG320:AH320"/>
    <mergeCell ref="AI320:AI321"/>
    <mergeCell ref="C333:D333"/>
    <mergeCell ref="E333:F333"/>
    <mergeCell ref="G333:H333"/>
    <mergeCell ref="I333:J333"/>
    <mergeCell ref="K333:L333"/>
    <mergeCell ref="M333:N333"/>
    <mergeCell ref="O320:P320"/>
    <mergeCell ref="Q320:Q321"/>
    <mergeCell ref="U320:V320"/>
    <mergeCell ref="W320:X320"/>
    <mergeCell ref="Y320:Z320"/>
    <mergeCell ref="AA320:AB320"/>
    <mergeCell ref="AE317:AF317"/>
    <mergeCell ref="AG317:AH317"/>
    <mergeCell ref="B319:Q319"/>
    <mergeCell ref="T319:AI319"/>
    <mergeCell ref="C320:D320"/>
    <mergeCell ref="E320:F320"/>
    <mergeCell ref="G320:H320"/>
    <mergeCell ref="I320:J320"/>
    <mergeCell ref="K320:L320"/>
    <mergeCell ref="M320:N320"/>
    <mergeCell ref="O317:P317"/>
    <mergeCell ref="U317:V317"/>
    <mergeCell ref="W317:X317"/>
    <mergeCell ref="Y317:Z317"/>
    <mergeCell ref="AA317:AB317"/>
    <mergeCell ref="AC317:AD317"/>
    <mergeCell ref="AC304:AD304"/>
    <mergeCell ref="AE304:AF304"/>
    <mergeCell ref="AG304:AH304"/>
    <mergeCell ref="AI304:AI305"/>
    <mergeCell ref="C317:D317"/>
    <mergeCell ref="E317:F317"/>
    <mergeCell ref="G317:H317"/>
    <mergeCell ref="I317:J317"/>
    <mergeCell ref="K317:L317"/>
    <mergeCell ref="M317:N317"/>
    <mergeCell ref="O304:P304"/>
    <mergeCell ref="Q304:Q305"/>
    <mergeCell ref="U304:V304"/>
    <mergeCell ref="W304:X304"/>
    <mergeCell ref="Y304:Z304"/>
    <mergeCell ref="AA304:AB304"/>
    <mergeCell ref="C304:D304"/>
    <mergeCell ref="E304:F304"/>
    <mergeCell ref="G304:H304"/>
    <mergeCell ref="I304:J304"/>
    <mergeCell ref="K304:L304"/>
    <mergeCell ref="M304:N304"/>
    <mergeCell ref="AB299:AC299"/>
    <mergeCell ref="AD299:AE299"/>
    <mergeCell ref="E301:N302"/>
    <mergeCell ref="W301:AF302"/>
    <mergeCell ref="B303:Q303"/>
    <mergeCell ref="T303:AI303"/>
    <mergeCell ref="Z286:AA286"/>
    <mergeCell ref="AB286:AC286"/>
    <mergeCell ref="AD286:AE286"/>
    <mergeCell ref="AF286:AF287"/>
    <mergeCell ref="F299:G299"/>
    <mergeCell ref="H299:I299"/>
    <mergeCell ref="J299:K299"/>
    <mergeCell ref="L299:M299"/>
    <mergeCell ref="X299:Y299"/>
    <mergeCell ref="Z299:AA299"/>
    <mergeCell ref="BI283:BJ283"/>
    <mergeCell ref="BK283:BL283"/>
    <mergeCell ref="E285:N285"/>
    <mergeCell ref="W285:AF285"/>
    <mergeCell ref="F286:G286"/>
    <mergeCell ref="H286:I286"/>
    <mergeCell ref="J286:K286"/>
    <mergeCell ref="L286:M286"/>
    <mergeCell ref="N286:N287"/>
    <mergeCell ref="X286:Y286"/>
    <mergeCell ref="AN283:AO283"/>
    <mergeCell ref="AP283:AQ283"/>
    <mergeCell ref="AR283:AS283"/>
    <mergeCell ref="AT283:AU283"/>
    <mergeCell ref="BE283:BF283"/>
    <mergeCell ref="BG283:BH283"/>
    <mergeCell ref="BK270:BL270"/>
    <mergeCell ref="BM270:BM271"/>
    <mergeCell ref="F283:G283"/>
    <mergeCell ref="H283:I283"/>
    <mergeCell ref="J283:K283"/>
    <mergeCell ref="L283:M283"/>
    <mergeCell ref="X283:Y283"/>
    <mergeCell ref="Z283:AA283"/>
    <mergeCell ref="AB283:AC283"/>
    <mergeCell ref="AD283:AE283"/>
    <mergeCell ref="AR270:AS270"/>
    <mergeCell ref="AT270:AU270"/>
    <mergeCell ref="AV270:AV271"/>
    <mergeCell ref="BE270:BF270"/>
    <mergeCell ref="BG270:BH270"/>
    <mergeCell ref="BI270:BJ270"/>
    <mergeCell ref="Z270:AA270"/>
    <mergeCell ref="AB270:AC270"/>
    <mergeCell ref="AD270:AE270"/>
    <mergeCell ref="AF270:AF271"/>
    <mergeCell ref="AN270:AO270"/>
    <mergeCell ref="AP270:AQ270"/>
    <mergeCell ref="F270:G270"/>
    <mergeCell ref="H270:I270"/>
    <mergeCell ref="J270:K270"/>
    <mergeCell ref="L270:M270"/>
    <mergeCell ref="N270:N271"/>
    <mergeCell ref="X270:Y270"/>
    <mergeCell ref="AB267:AC267"/>
    <mergeCell ref="AD267:AE267"/>
    <mergeCell ref="E269:N269"/>
    <mergeCell ref="W269:AF269"/>
    <mergeCell ref="AM269:AV269"/>
    <mergeCell ref="BD269:BM269"/>
    <mergeCell ref="Z254:AA254"/>
    <mergeCell ref="AB254:AC254"/>
    <mergeCell ref="AD254:AE254"/>
    <mergeCell ref="AF254:AF255"/>
    <mergeCell ref="F267:G267"/>
    <mergeCell ref="H267:I267"/>
    <mergeCell ref="J267:K267"/>
    <mergeCell ref="L267:M267"/>
    <mergeCell ref="X267:Y267"/>
    <mergeCell ref="Z267:AA267"/>
    <mergeCell ref="F254:G254"/>
    <mergeCell ref="H254:I254"/>
    <mergeCell ref="J254:K254"/>
    <mergeCell ref="L254:M254"/>
    <mergeCell ref="N254:N255"/>
    <mergeCell ref="X254:Y254"/>
    <mergeCell ref="AB249:AC249"/>
    <mergeCell ref="AD249:AE249"/>
    <mergeCell ref="E251:N252"/>
    <mergeCell ref="W251:AF252"/>
    <mergeCell ref="E253:N253"/>
    <mergeCell ref="W253:AF253"/>
    <mergeCell ref="Z236:AA236"/>
    <mergeCell ref="AB236:AC236"/>
    <mergeCell ref="AD236:AE236"/>
    <mergeCell ref="AF236:AF237"/>
    <mergeCell ref="F249:G249"/>
    <mergeCell ref="H249:I249"/>
    <mergeCell ref="J249:K249"/>
    <mergeCell ref="L249:M249"/>
    <mergeCell ref="X249:Y249"/>
    <mergeCell ref="Z249:AA249"/>
    <mergeCell ref="BI233:BJ233"/>
    <mergeCell ref="BK233:BL233"/>
    <mergeCell ref="E235:N235"/>
    <mergeCell ref="W235:AF235"/>
    <mergeCell ref="F236:G236"/>
    <mergeCell ref="H236:I236"/>
    <mergeCell ref="J236:K236"/>
    <mergeCell ref="L236:M236"/>
    <mergeCell ref="N236:N237"/>
    <mergeCell ref="X236:Y236"/>
    <mergeCell ref="AN233:AO233"/>
    <mergeCell ref="AP233:AQ233"/>
    <mergeCell ref="AR233:AS233"/>
    <mergeCell ref="AT233:AU233"/>
    <mergeCell ref="BE233:BF233"/>
    <mergeCell ref="BG233:BH233"/>
    <mergeCell ref="BK220:BL220"/>
    <mergeCell ref="BM220:BM221"/>
    <mergeCell ref="F233:G233"/>
    <mergeCell ref="H233:I233"/>
    <mergeCell ref="J233:K233"/>
    <mergeCell ref="L233:M233"/>
    <mergeCell ref="X233:Y233"/>
    <mergeCell ref="Z233:AA233"/>
    <mergeCell ref="AB233:AC233"/>
    <mergeCell ref="AD233:AE233"/>
    <mergeCell ref="AR220:AS220"/>
    <mergeCell ref="AT220:AU220"/>
    <mergeCell ref="AV220:AV221"/>
    <mergeCell ref="BE220:BF220"/>
    <mergeCell ref="BG220:BH220"/>
    <mergeCell ref="BI220:BJ220"/>
    <mergeCell ref="Z220:AA220"/>
    <mergeCell ref="AB220:AC220"/>
    <mergeCell ref="AD220:AE220"/>
    <mergeCell ref="AF220:AF221"/>
    <mergeCell ref="AN220:AO220"/>
    <mergeCell ref="AP220:AQ220"/>
    <mergeCell ref="F220:G220"/>
    <mergeCell ref="H220:I220"/>
    <mergeCell ref="J220:K220"/>
    <mergeCell ref="L220:M220"/>
    <mergeCell ref="N220:N221"/>
    <mergeCell ref="X220:Y220"/>
    <mergeCell ref="AB217:AC217"/>
    <mergeCell ref="AD217:AE217"/>
    <mergeCell ref="E219:N219"/>
    <mergeCell ref="W219:AF219"/>
    <mergeCell ref="AM219:AV219"/>
    <mergeCell ref="BD219:BM219"/>
    <mergeCell ref="Z204:AA204"/>
    <mergeCell ref="AB204:AC204"/>
    <mergeCell ref="AD204:AE204"/>
    <mergeCell ref="AF204:AF205"/>
    <mergeCell ref="F217:G217"/>
    <mergeCell ref="H217:I217"/>
    <mergeCell ref="J217:K217"/>
    <mergeCell ref="L217:M217"/>
    <mergeCell ref="X217:Y217"/>
    <mergeCell ref="Z217:AA217"/>
    <mergeCell ref="F204:G204"/>
    <mergeCell ref="H204:I204"/>
    <mergeCell ref="J204:K204"/>
    <mergeCell ref="L204:M204"/>
    <mergeCell ref="N204:N205"/>
    <mergeCell ref="X204:Y204"/>
    <mergeCell ref="AB199:AC199"/>
    <mergeCell ref="AD199:AE199"/>
    <mergeCell ref="E201:N202"/>
    <mergeCell ref="W201:AF202"/>
    <mergeCell ref="E203:N203"/>
    <mergeCell ref="W203:AF203"/>
    <mergeCell ref="Z186:AA186"/>
    <mergeCell ref="AB186:AC186"/>
    <mergeCell ref="AD186:AE186"/>
    <mergeCell ref="AF186:AF187"/>
    <mergeCell ref="F199:G199"/>
    <mergeCell ref="H199:I199"/>
    <mergeCell ref="J199:K199"/>
    <mergeCell ref="L199:M199"/>
    <mergeCell ref="X199:Y199"/>
    <mergeCell ref="Z199:AA199"/>
    <mergeCell ref="BI183:BJ183"/>
    <mergeCell ref="BK183:BL183"/>
    <mergeCell ref="E185:N185"/>
    <mergeCell ref="W185:AF185"/>
    <mergeCell ref="F186:G186"/>
    <mergeCell ref="H186:I186"/>
    <mergeCell ref="J186:K186"/>
    <mergeCell ref="L186:M186"/>
    <mergeCell ref="N186:N187"/>
    <mergeCell ref="X186:Y186"/>
    <mergeCell ref="AN183:AO183"/>
    <mergeCell ref="AP183:AQ183"/>
    <mergeCell ref="AR183:AS183"/>
    <mergeCell ref="AT183:AU183"/>
    <mergeCell ref="BE183:BF183"/>
    <mergeCell ref="BG183:BH183"/>
    <mergeCell ref="BK170:BL170"/>
    <mergeCell ref="BM170:BM171"/>
    <mergeCell ref="F183:G183"/>
    <mergeCell ref="H183:I183"/>
    <mergeCell ref="J183:K183"/>
    <mergeCell ref="L183:M183"/>
    <mergeCell ref="X183:Y183"/>
    <mergeCell ref="Z183:AA183"/>
    <mergeCell ref="AB183:AC183"/>
    <mergeCell ref="AD183:AE183"/>
    <mergeCell ref="AR170:AS170"/>
    <mergeCell ref="AT170:AU170"/>
    <mergeCell ref="AV170:AV171"/>
    <mergeCell ref="BE170:BF170"/>
    <mergeCell ref="BG170:BH170"/>
    <mergeCell ref="BI170:BJ170"/>
    <mergeCell ref="Z170:AA170"/>
    <mergeCell ref="AB170:AC170"/>
    <mergeCell ref="AD170:AE170"/>
    <mergeCell ref="AF170:AF171"/>
    <mergeCell ref="AN170:AO170"/>
    <mergeCell ref="AP170:AQ170"/>
    <mergeCell ref="F170:G170"/>
    <mergeCell ref="H170:I170"/>
    <mergeCell ref="J170:K170"/>
    <mergeCell ref="L170:M170"/>
    <mergeCell ref="N170:N171"/>
    <mergeCell ref="X170:Y170"/>
    <mergeCell ref="AB167:AC167"/>
    <mergeCell ref="AD167:AE167"/>
    <mergeCell ref="E169:N169"/>
    <mergeCell ref="W169:AF169"/>
    <mergeCell ref="AM169:AV169"/>
    <mergeCell ref="BD169:BM169"/>
    <mergeCell ref="Z154:AA154"/>
    <mergeCell ref="AB154:AC154"/>
    <mergeCell ref="AD154:AE154"/>
    <mergeCell ref="AF154:AF155"/>
    <mergeCell ref="F167:G167"/>
    <mergeCell ref="H167:I167"/>
    <mergeCell ref="J167:K167"/>
    <mergeCell ref="L167:M167"/>
    <mergeCell ref="X167:Y167"/>
    <mergeCell ref="Z167:AA167"/>
    <mergeCell ref="F154:G154"/>
    <mergeCell ref="H154:I154"/>
    <mergeCell ref="J154:K154"/>
    <mergeCell ref="L154:M154"/>
    <mergeCell ref="N154:N155"/>
    <mergeCell ref="X154:Y154"/>
    <mergeCell ref="AE149:AF149"/>
    <mergeCell ref="AG149:AH149"/>
    <mergeCell ref="E151:N152"/>
    <mergeCell ref="W151:AF152"/>
    <mergeCell ref="E153:N153"/>
    <mergeCell ref="W153:AF153"/>
    <mergeCell ref="O149:P149"/>
    <mergeCell ref="U149:V149"/>
    <mergeCell ref="W149:X149"/>
    <mergeCell ref="Y149:Z149"/>
    <mergeCell ref="AA149:AB149"/>
    <mergeCell ref="AC149:AD149"/>
    <mergeCell ref="AC136:AD136"/>
    <mergeCell ref="AE136:AF136"/>
    <mergeCell ref="AG136:AH136"/>
    <mergeCell ref="AI136:AI137"/>
    <mergeCell ref="C149:D149"/>
    <mergeCell ref="E149:F149"/>
    <mergeCell ref="G149:H149"/>
    <mergeCell ref="I149:J149"/>
    <mergeCell ref="K149:L149"/>
    <mergeCell ref="M149:N149"/>
    <mergeCell ref="O136:P136"/>
    <mergeCell ref="Q136:Q137"/>
    <mergeCell ref="U136:V136"/>
    <mergeCell ref="W136:X136"/>
    <mergeCell ref="Y136:Z136"/>
    <mergeCell ref="AA136:AB136"/>
    <mergeCell ref="BN133:BO133"/>
    <mergeCell ref="BP133:BQ133"/>
    <mergeCell ref="B135:Q135"/>
    <mergeCell ref="T135:AI135"/>
    <mergeCell ref="C136:D136"/>
    <mergeCell ref="E136:F136"/>
    <mergeCell ref="G136:H136"/>
    <mergeCell ref="I136:J136"/>
    <mergeCell ref="K136:L136"/>
    <mergeCell ref="M136:N136"/>
    <mergeCell ref="AY133:AZ133"/>
    <mergeCell ref="BD133:BE133"/>
    <mergeCell ref="BF133:BG133"/>
    <mergeCell ref="BH133:BI133"/>
    <mergeCell ref="BJ133:BK133"/>
    <mergeCell ref="BL133:BM133"/>
    <mergeCell ref="AM133:AN133"/>
    <mergeCell ref="AO133:AP133"/>
    <mergeCell ref="AQ133:AR133"/>
    <mergeCell ref="AS133:AT133"/>
    <mergeCell ref="AU133:AV133"/>
    <mergeCell ref="AW133:AX133"/>
    <mergeCell ref="W133:X133"/>
    <mergeCell ref="Y133:Z133"/>
    <mergeCell ref="AA133:AB133"/>
    <mergeCell ref="AC133:AD133"/>
    <mergeCell ref="AE133:AF133"/>
    <mergeCell ref="AG133:AH133"/>
    <mergeCell ref="BP120:BQ120"/>
    <mergeCell ref="BR120:BR121"/>
    <mergeCell ref="C133:D133"/>
    <mergeCell ref="E133:F133"/>
    <mergeCell ref="G133:H133"/>
    <mergeCell ref="I133:J133"/>
    <mergeCell ref="K133:L133"/>
    <mergeCell ref="M133:N133"/>
    <mergeCell ref="O133:P133"/>
    <mergeCell ref="U133:V133"/>
    <mergeCell ref="BD120:BE120"/>
    <mergeCell ref="BF120:BG120"/>
    <mergeCell ref="BH120:BI120"/>
    <mergeCell ref="BJ120:BK120"/>
    <mergeCell ref="BL120:BM120"/>
    <mergeCell ref="BN120:BO120"/>
    <mergeCell ref="AQ120:AR120"/>
    <mergeCell ref="AS120:AT120"/>
    <mergeCell ref="AU120:AV120"/>
    <mergeCell ref="AW120:AX120"/>
    <mergeCell ref="AY120:AZ120"/>
    <mergeCell ref="BA120:BA121"/>
    <mergeCell ref="AC120:AD120"/>
    <mergeCell ref="AE120:AF120"/>
    <mergeCell ref="AG120:AH120"/>
    <mergeCell ref="AI120:AI121"/>
    <mergeCell ref="AM120:AN120"/>
    <mergeCell ref="AO120:AP120"/>
    <mergeCell ref="O120:P120"/>
    <mergeCell ref="Q120:Q121"/>
    <mergeCell ref="U120:V120"/>
    <mergeCell ref="W120:X120"/>
    <mergeCell ref="Y120:Z120"/>
    <mergeCell ref="AA120:AB120"/>
    <mergeCell ref="C120:D120"/>
    <mergeCell ref="E120:F120"/>
    <mergeCell ref="G120:H120"/>
    <mergeCell ref="I120:J120"/>
    <mergeCell ref="K120:L120"/>
    <mergeCell ref="M120:N120"/>
    <mergeCell ref="AE117:AF117"/>
    <mergeCell ref="AG117:AH117"/>
    <mergeCell ref="B119:Q119"/>
    <mergeCell ref="T119:AI119"/>
    <mergeCell ref="AL119:BA119"/>
    <mergeCell ref="BC119:BR119"/>
    <mergeCell ref="O117:P117"/>
    <mergeCell ref="U117:V117"/>
    <mergeCell ref="W117:X117"/>
    <mergeCell ref="Y117:Z117"/>
    <mergeCell ref="AA117:AB117"/>
    <mergeCell ref="AC117:AD117"/>
    <mergeCell ref="AC104:AD104"/>
    <mergeCell ref="AE104:AF104"/>
    <mergeCell ref="AG104:AH104"/>
    <mergeCell ref="AI104:AI105"/>
    <mergeCell ref="C117:D117"/>
    <mergeCell ref="E117:F117"/>
    <mergeCell ref="G117:H117"/>
    <mergeCell ref="I117:J117"/>
    <mergeCell ref="K117:L117"/>
    <mergeCell ref="M117:N117"/>
    <mergeCell ref="O104:P104"/>
    <mergeCell ref="Q104:Q105"/>
    <mergeCell ref="U104:V104"/>
    <mergeCell ref="W104:X104"/>
    <mergeCell ref="Y104:Z104"/>
    <mergeCell ref="AA104:AB104"/>
    <mergeCell ref="C104:D104"/>
    <mergeCell ref="E104:F104"/>
    <mergeCell ref="G104:H104"/>
    <mergeCell ref="I104:J104"/>
    <mergeCell ref="K104:L104"/>
    <mergeCell ref="M104:N104"/>
    <mergeCell ref="AE99:AF99"/>
    <mergeCell ref="AG99:AH99"/>
    <mergeCell ref="E101:N102"/>
    <mergeCell ref="W101:AF102"/>
    <mergeCell ref="B103:Q103"/>
    <mergeCell ref="T103:AI103"/>
    <mergeCell ref="O99:P99"/>
    <mergeCell ref="U99:V99"/>
    <mergeCell ref="W99:X99"/>
    <mergeCell ref="Y99:Z99"/>
    <mergeCell ref="AA99:AB99"/>
    <mergeCell ref="AC99:AD99"/>
    <mergeCell ref="AC86:AD86"/>
    <mergeCell ref="AE86:AF86"/>
    <mergeCell ref="AG86:AH86"/>
    <mergeCell ref="AI86:AI87"/>
    <mergeCell ref="C99:D99"/>
    <mergeCell ref="E99:F99"/>
    <mergeCell ref="G99:H99"/>
    <mergeCell ref="I99:J99"/>
    <mergeCell ref="K99:L99"/>
    <mergeCell ref="M99:N99"/>
    <mergeCell ref="O86:P86"/>
    <mergeCell ref="Q86:Q87"/>
    <mergeCell ref="U86:V86"/>
    <mergeCell ref="W86:X86"/>
    <mergeCell ref="Y86:Z86"/>
    <mergeCell ref="AA86:AB86"/>
    <mergeCell ref="BN83:BO83"/>
    <mergeCell ref="BP83:BQ83"/>
    <mergeCell ref="B85:Q85"/>
    <mergeCell ref="T85:AI85"/>
    <mergeCell ref="C86:D86"/>
    <mergeCell ref="E86:F86"/>
    <mergeCell ref="G86:H86"/>
    <mergeCell ref="I86:J86"/>
    <mergeCell ref="K86:L86"/>
    <mergeCell ref="M86:N86"/>
    <mergeCell ref="AY83:AZ83"/>
    <mergeCell ref="BD83:BE83"/>
    <mergeCell ref="BF83:BG83"/>
    <mergeCell ref="BH83:BI83"/>
    <mergeCell ref="BJ83:BK83"/>
    <mergeCell ref="BL83:BM83"/>
    <mergeCell ref="AM83:AN83"/>
    <mergeCell ref="AO83:AP83"/>
    <mergeCell ref="AQ83:AR83"/>
    <mergeCell ref="AS83:AT83"/>
    <mergeCell ref="AU83:AV83"/>
    <mergeCell ref="AW83:AX83"/>
    <mergeCell ref="W83:X83"/>
    <mergeCell ref="Y83:Z83"/>
    <mergeCell ref="AA83:AB83"/>
    <mergeCell ref="AC83:AD83"/>
    <mergeCell ref="AE83:AF83"/>
    <mergeCell ref="AG83:AH83"/>
    <mergeCell ref="BP70:BQ70"/>
    <mergeCell ref="BR70:BR71"/>
    <mergeCell ref="C83:D83"/>
    <mergeCell ref="E83:F83"/>
    <mergeCell ref="G83:H83"/>
    <mergeCell ref="I83:J83"/>
    <mergeCell ref="K83:L83"/>
    <mergeCell ref="M83:N83"/>
    <mergeCell ref="O83:P83"/>
    <mergeCell ref="U83:V83"/>
    <mergeCell ref="BD70:BE70"/>
    <mergeCell ref="BF70:BG70"/>
    <mergeCell ref="BH70:BI70"/>
    <mergeCell ref="BJ70:BK70"/>
    <mergeCell ref="BL70:BM70"/>
    <mergeCell ref="BN70:BO70"/>
    <mergeCell ref="AQ70:AR70"/>
    <mergeCell ref="AS70:AT70"/>
    <mergeCell ref="AU70:AV70"/>
    <mergeCell ref="AW70:AX70"/>
    <mergeCell ref="AY70:AZ70"/>
    <mergeCell ref="BA70:BA71"/>
    <mergeCell ref="AC70:AD70"/>
    <mergeCell ref="AE70:AF70"/>
    <mergeCell ref="AG70:AH70"/>
    <mergeCell ref="AI70:AI71"/>
    <mergeCell ref="AM70:AN70"/>
    <mergeCell ref="AO70:AP70"/>
    <mergeCell ref="O70:P70"/>
    <mergeCell ref="Q70:Q71"/>
    <mergeCell ref="U70:V70"/>
    <mergeCell ref="W70:X70"/>
    <mergeCell ref="Y70:Z70"/>
    <mergeCell ref="AA70:AB70"/>
    <mergeCell ref="C70:D70"/>
    <mergeCell ref="E70:F70"/>
    <mergeCell ref="G70:H70"/>
    <mergeCell ref="I70:J70"/>
    <mergeCell ref="K70:L70"/>
    <mergeCell ref="M70:N70"/>
    <mergeCell ref="AE67:AF67"/>
    <mergeCell ref="AG67:AH67"/>
    <mergeCell ref="B69:Q69"/>
    <mergeCell ref="T69:AI69"/>
    <mergeCell ref="AL69:BA69"/>
    <mergeCell ref="BC69:BR69"/>
    <mergeCell ref="O67:P67"/>
    <mergeCell ref="U67:V67"/>
    <mergeCell ref="W67:X67"/>
    <mergeCell ref="Y67:Z67"/>
    <mergeCell ref="AA67:AB67"/>
    <mergeCell ref="AC67:AD67"/>
    <mergeCell ref="AC54:AD54"/>
    <mergeCell ref="AE54:AF54"/>
    <mergeCell ref="AG54:AH54"/>
    <mergeCell ref="AI54:AI55"/>
    <mergeCell ref="C67:D67"/>
    <mergeCell ref="E67:F67"/>
    <mergeCell ref="G67:H67"/>
    <mergeCell ref="I67:J67"/>
    <mergeCell ref="K67:L67"/>
    <mergeCell ref="M67:N67"/>
    <mergeCell ref="O54:P54"/>
    <mergeCell ref="Q54:Q55"/>
    <mergeCell ref="U54:V54"/>
    <mergeCell ref="W54:X54"/>
    <mergeCell ref="Y54:Z54"/>
    <mergeCell ref="AA54:AB54"/>
    <mergeCell ref="C54:D54"/>
    <mergeCell ref="E54:F54"/>
    <mergeCell ref="G54:H54"/>
    <mergeCell ref="I54:J54"/>
    <mergeCell ref="K54:L54"/>
    <mergeCell ref="M54:N54"/>
    <mergeCell ref="AE49:AF49"/>
    <mergeCell ref="AG49:AH49"/>
    <mergeCell ref="E51:N52"/>
    <mergeCell ref="W51:AF52"/>
    <mergeCell ref="B53:Q53"/>
    <mergeCell ref="T53:AI53"/>
    <mergeCell ref="O49:P49"/>
    <mergeCell ref="U49:V49"/>
    <mergeCell ref="W49:X49"/>
    <mergeCell ref="Y49:Z49"/>
    <mergeCell ref="AA49:AB49"/>
    <mergeCell ref="AC49:AD49"/>
    <mergeCell ref="AC36:AD36"/>
    <mergeCell ref="AE36:AF36"/>
    <mergeCell ref="AG36:AH36"/>
    <mergeCell ref="AI36:AI37"/>
    <mergeCell ref="C49:D49"/>
    <mergeCell ref="E49:F49"/>
    <mergeCell ref="G49:H49"/>
    <mergeCell ref="I49:J49"/>
    <mergeCell ref="K49:L49"/>
    <mergeCell ref="M49:N49"/>
    <mergeCell ref="O36:P36"/>
    <mergeCell ref="Q36:Q37"/>
    <mergeCell ref="U36:V36"/>
    <mergeCell ref="W36:X36"/>
    <mergeCell ref="Y36:Z36"/>
    <mergeCell ref="AA36:AB36"/>
    <mergeCell ref="BN33:BO33"/>
    <mergeCell ref="BP33:BQ33"/>
    <mergeCell ref="B35:Q35"/>
    <mergeCell ref="T35:AI35"/>
    <mergeCell ref="C36:D36"/>
    <mergeCell ref="E36:F36"/>
    <mergeCell ref="G36:H36"/>
    <mergeCell ref="I36:J36"/>
    <mergeCell ref="K36:L36"/>
    <mergeCell ref="M36:N36"/>
    <mergeCell ref="AY33:AZ33"/>
    <mergeCell ref="BD33:BE33"/>
    <mergeCell ref="BF33:BG33"/>
    <mergeCell ref="BH33:BI33"/>
    <mergeCell ref="BJ33:BK33"/>
    <mergeCell ref="BL33:BM33"/>
    <mergeCell ref="AM33:AN33"/>
    <mergeCell ref="AO33:AP33"/>
    <mergeCell ref="AQ33:AR33"/>
    <mergeCell ref="AS33:AT33"/>
    <mergeCell ref="AU33:AV33"/>
    <mergeCell ref="AW33:AX33"/>
    <mergeCell ref="W33:X33"/>
    <mergeCell ref="Y33:Z33"/>
    <mergeCell ref="AA33:AB33"/>
    <mergeCell ref="AC33:AD33"/>
    <mergeCell ref="AE33:AF33"/>
    <mergeCell ref="AG33:AH33"/>
    <mergeCell ref="BP20:BQ20"/>
    <mergeCell ref="BR20:BR21"/>
    <mergeCell ref="C33:D33"/>
    <mergeCell ref="E33:F33"/>
    <mergeCell ref="G33:H33"/>
    <mergeCell ref="I33:J33"/>
    <mergeCell ref="K33:L33"/>
    <mergeCell ref="M33:N33"/>
    <mergeCell ref="O33:P33"/>
    <mergeCell ref="U33:V33"/>
    <mergeCell ref="BD20:BE20"/>
    <mergeCell ref="BF20:BG20"/>
    <mergeCell ref="BH20:BI20"/>
    <mergeCell ref="BJ20:BK20"/>
    <mergeCell ref="BL20:BM20"/>
    <mergeCell ref="BN20:BO20"/>
    <mergeCell ref="AQ20:AR20"/>
    <mergeCell ref="AS20:AT20"/>
    <mergeCell ref="AU20:AV20"/>
    <mergeCell ref="AW20:AX20"/>
    <mergeCell ref="AY20:AZ20"/>
    <mergeCell ref="BA20:BA21"/>
    <mergeCell ref="AC20:AD20"/>
    <mergeCell ref="AE20:AF20"/>
    <mergeCell ref="AG20:AH20"/>
    <mergeCell ref="AI20:AI21"/>
    <mergeCell ref="AM20:AN20"/>
    <mergeCell ref="AO20:AP20"/>
    <mergeCell ref="O20:P20"/>
    <mergeCell ref="Q20:Q21"/>
    <mergeCell ref="U20:V20"/>
    <mergeCell ref="W20:X20"/>
    <mergeCell ref="Y20:Z20"/>
    <mergeCell ref="AA20:AB20"/>
    <mergeCell ref="C20:D20"/>
    <mergeCell ref="E20:F20"/>
    <mergeCell ref="G20:H20"/>
    <mergeCell ref="I20:J20"/>
    <mergeCell ref="K20:L20"/>
    <mergeCell ref="M20:N20"/>
    <mergeCell ref="AE17:AF17"/>
    <mergeCell ref="AG17:AH17"/>
    <mergeCell ref="B19:Q19"/>
    <mergeCell ref="T19:AI19"/>
    <mergeCell ref="AL19:BA19"/>
    <mergeCell ref="BC19:BR19"/>
    <mergeCell ref="O17:P17"/>
    <mergeCell ref="U17:V17"/>
    <mergeCell ref="W17:X17"/>
    <mergeCell ref="Y17:Z17"/>
    <mergeCell ref="AA17:AB17"/>
    <mergeCell ref="AC17:AD17"/>
    <mergeCell ref="AC4:AD4"/>
    <mergeCell ref="AE4:AF4"/>
    <mergeCell ref="AG4:AH4"/>
    <mergeCell ref="AI4:AI5"/>
    <mergeCell ref="C17:D17"/>
    <mergeCell ref="E17:F17"/>
    <mergeCell ref="G17:H17"/>
    <mergeCell ref="I17:J17"/>
    <mergeCell ref="K17:L17"/>
    <mergeCell ref="M17:N17"/>
    <mergeCell ref="O4:P4"/>
    <mergeCell ref="Q4:Q5"/>
    <mergeCell ref="U4:V4"/>
    <mergeCell ref="W4:X4"/>
    <mergeCell ref="Y4:Z4"/>
    <mergeCell ref="AA4:AB4"/>
    <mergeCell ref="E1:N2"/>
    <mergeCell ref="W1:AF2"/>
    <mergeCell ref="B3:Q3"/>
    <mergeCell ref="T3:AI3"/>
    <mergeCell ref="C4:D4"/>
    <mergeCell ref="E4:F4"/>
    <mergeCell ref="G4:H4"/>
    <mergeCell ref="I4:J4"/>
    <mergeCell ref="K4:L4"/>
    <mergeCell ref="M4:N4"/>
  </mergeCells>
  <pageMargins left="1" right="1" top="1" bottom="1" header="0.5" footer="0.5"/>
  <pageSetup paperSize="11" scale="10" orientation="landscape" r:id="rId1"/>
  <headerFooter>
    <oddFooter>&amp;C&amp;18Page &amp;P of &amp;N</oddFooter>
  </headerFooter>
  <rowBreaks count="11" manualBreakCount="11">
    <brk id="50" max="71" man="1"/>
    <brk id="100" max="71" man="1"/>
    <brk id="150" max="71" man="1"/>
    <brk id="200" max="71" man="1"/>
    <brk id="250" max="71" man="1"/>
    <brk id="300" max="71" man="1"/>
    <brk id="350" max="71" man="1"/>
    <brk id="400" max="71" man="1"/>
    <brk id="450" max="71" man="1"/>
    <brk id="500" max="71" man="1"/>
    <brk id="550" max="71" man="1"/>
  </rowBreaks>
  <colBreaks count="1" manualBreakCount="1">
    <brk id="36" max="59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6181-8C75-4438-8395-BBAF163F4771}">
  <dimension ref="A1:CD19436"/>
  <sheetViews>
    <sheetView showGridLines="0" view="pageBreakPreview" zoomScale="60" zoomScaleNormal="100" workbookViewId="0"/>
  </sheetViews>
  <sheetFormatPr defaultColWidth="20.88671875" defaultRowHeight="18" x14ac:dyDescent="0.35"/>
  <cols>
    <col min="1" max="1" width="30.33203125" style="104" bestFit="1" customWidth="1"/>
    <col min="2" max="2" width="10.88671875" style="104" customWidth="1"/>
    <col min="3" max="3" width="10.33203125" style="104" customWidth="1"/>
    <col min="4" max="4" width="19.6640625" style="105" customWidth="1"/>
    <col min="5" max="5" width="9.6640625" style="104" customWidth="1"/>
    <col min="6" max="6" width="16.77734375" style="105" customWidth="1"/>
    <col min="7" max="7" width="9.21875" style="104" customWidth="1"/>
    <col min="8" max="8" width="14.77734375" style="105" bestFit="1" customWidth="1"/>
    <col min="9" max="9" width="8.6640625" style="104" customWidth="1"/>
    <col min="10" max="10" width="15.77734375" style="105" customWidth="1"/>
    <col min="11" max="11" width="10.6640625" style="104" customWidth="1"/>
    <col min="12" max="12" width="19.109375" style="105" customWidth="1"/>
    <col min="13" max="13" width="43.6640625" style="105" bestFit="1" customWidth="1"/>
    <col min="14" max="14" width="33.44140625" style="105" customWidth="1"/>
    <col min="15" max="15" width="17.109375" style="105" bestFit="1" customWidth="1"/>
    <col min="16" max="16" width="18.6640625" style="105" bestFit="1" customWidth="1"/>
    <col min="17" max="17" width="21.21875" style="105" bestFit="1" customWidth="1"/>
    <col min="18" max="18" width="20.88671875" style="104"/>
    <col min="19" max="19" width="30.33203125" style="104" bestFit="1" customWidth="1"/>
    <col min="20" max="20" width="7.5546875" style="104" bestFit="1" customWidth="1"/>
    <col min="21" max="21" width="17.109375" style="105" bestFit="1" customWidth="1"/>
    <col min="22" max="22" width="7.5546875" style="104" bestFit="1" customWidth="1"/>
    <col min="23" max="23" width="15.6640625" style="105" bestFit="1" customWidth="1"/>
    <col min="24" max="24" width="10.77734375" style="104" customWidth="1"/>
    <col min="25" max="25" width="14.77734375" style="105" bestFit="1" customWidth="1"/>
    <col min="26" max="26" width="9.88671875" style="104" customWidth="1"/>
    <col min="27" max="27" width="14" style="105" bestFit="1" customWidth="1"/>
    <col min="28" max="28" width="11" style="104" customWidth="1"/>
    <col min="29" max="29" width="17.77734375" style="105" customWidth="1"/>
    <col min="30" max="30" width="43.6640625" style="105" bestFit="1" customWidth="1"/>
    <col min="31" max="31" width="35.33203125" style="105" bestFit="1" customWidth="1"/>
    <col min="32" max="32" width="18.109375" style="105" customWidth="1"/>
    <col min="33" max="33" width="15.44140625" style="105" customWidth="1"/>
    <col min="34" max="34" width="16.33203125" style="105" bestFit="1" customWidth="1"/>
    <col min="35" max="36" width="8.33203125" style="104" customWidth="1"/>
    <col min="37" max="37" width="30.33203125" style="104" bestFit="1" customWidth="1"/>
    <col min="38" max="38" width="10.33203125" style="104" customWidth="1"/>
    <col min="39" max="39" width="17.109375" style="105" customWidth="1"/>
    <col min="40" max="40" width="11.33203125" style="104" customWidth="1"/>
    <col min="41" max="41" width="15.88671875" style="105" customWidth="1"/>
    <col min="42" max="42" width="10.109375" style="104" customWidth="1"/>
    <col min="43" max="43" width="15" style="105" customWidth="1"/>
    <col min="44" max="44" width="9.6640625" style="104" customWidth="1"/>
    <col min="45" max="45" width="14" style="105" customWidth="1"/>
    <col min="46" max="46" width="10.88671875" style="104" customWidth="1"/>
    <col min="47" max="47" width="17.44140625" style="105" customWidth="1"/>
    <col min="48" max="48" width="43.6640625" style="105" bestFit="1" customWidth="1"/>
    <col min="49" max="49" width="35.33203125" style="105" bestFit="1" customWidth="1"/>
    <col min="50" max="50" width="17.109375" style="105" bestFit="1" customWidth="1"/>
    <col min="51" max="51" width="15.6640625" style="105" bestFit="1" customWidth="1"/>
    <col min="52" max="52" width="16.33203125" style="105" bestFit="1" customWidth="1"/>
    <col min="53" max="81" width="20.88671875" style="104"/>
    <col min="82" max="82" width="8.77734375" style="104" bestFit="1" customWidth="1"/>
    <col min="83" max="16384" width="20.88671875" style="104"/>
  </cols>
  <sheetData>
    <row r="1" spans="1:82" x14ac:dyDescent="0.35">
      <c r="A1" s="103" t="s">
        <v>59</v>
      </c>
    </row>
    <row r="2" spans="1:82" ht="21.6" customHeight="1" x14ac:dyDescent="0.35">
      <c r="A2" s="106"/>
      <c r="C2" s="107" t="s">
        <v>60</v>
      </c>
      <c r="D2" s="107"/>
      <c r="E2" s="107"/>
      <c r="F2" s="107"/>
      <c r="G2" s="107"/>
      <c r="H2" s="107"/>
      <c r="I2" s="107"/>
      <c r="J2" s="107"/>
      <c r="K2" s="107"/>
      <c r="L2" s="108"/>
      <c r="M2" s="109"/>
      <c r="N2" s="110"/>
      <c r="O2" s="110"/>
      <c r="P2" s="110"/>
      <c r="Q2" s="111"/>
      <c r="T2" s="112" t="s">
        <v>61</v>
      </c>
      <c r="U2" s="112"/>
      <c r="V2" s="112"/>
      <c r="W2" s="112"/>
      <c r="X2" s="112"/>
      <c r="Y2" s="112"/>
      <c r="Z2" s="112"/>
      <c r="AA2" s="112"/>
      <c r="AB2" s="112"/>
      <c r="AC2" s="112"/>
      <c r="AD2" s="109"/>
      <c r="AE2" s="110"/>
      <c r="AF2" s="111"/>
      <c r="AG2" s="110"/>
      <c r="AH2" s="111"/>
      <c r="AL2" s="113" t="s">
        <v>62</v>
      </c>
      <c r="AM2" s="113"/>
      <c r="AN2" s="113"/>
      <c r="AO2" s="113"/>
      <c r="AP2" s="113"/>
      <c r="AQ2" s="113"/>
      <c r="AR2" s="113"/>
      <c r="AS2" s="113"/>
      <c r="AT2" s="113"/>
      <c r="AU2" s="114"/>
      <c r="AV2" s="109"/>
      <c r="AW2" s="110"/>
      <c r="AX2" s="110"/>
      <c r="AY2" s="110"/>
      <c r="AZ2" s="111"/>
      <c r="CD2" s="104" t="s">
        <v>63</v>
      </c>
    </row>
    <row r="3" spans="1:82" x14ac:dyDescent="0.35">
      <c r="C3" s="115" t="s">
        <v>64</v>
      </c>
      <c r="D3" s="116"/>
      <c r="E3" s="117" t="s">
        <v>65</v>
      </c>
      <c r="F3" s="117"/>
      <c r="G3" s="117" t="s">
        <v>66</v>
      </c>
      <c r="H3" s="117"/>
      <c r="I3" s="117" t="s">
        <v>67</v>
      </c>
      <c r="J3" s="117"/>
      <c r="K3" s="117" t="s">
        <v>10</v>
      </c>
      <c r="L3" s="117"/>
      <c r="M3" s="118"/>
      <c r="N3" s="118"/>
      <c r="O3" s="118"/>
      <c r="P3" s="119" t="s">
        <v>68</v>
      </c>
      <c r="Q3" s="120"/>
      <c r="T3" s="115" t="s">
        <v>64</v>
      </c>
      <c r="U3" s="116"/>
      <c r="V3" s="117" t="s">
        <v>65</v>
      </c>
      <c r="W3" s="117"/>
      <c r="X3" s="117" t="s">
        <v>66</v>
      </c>
      <c r="Y3" s="117"/>
      <c r="Z3" s="117" t="s">
        <v>67</v>
      </c>
      <c r="AA3" s="117"/>
      <c r="AB3" s="117" t="s">
        <v>10</v>
      </c>
      <c r="AC3" s="117"/>
      <c r="AD3" s="118"/>
      <c r="AE3" s="121"/>
      <c r="AF3" s="121"/>
      <c r="AG3" s="119" t="s">
        <v>68</v>
      </c>
      <c r="AH3" s="120"/>
      <c r="AL3" s="115" t="s">
        <v>64</v>
      </c>
      <c r="AM3" s="116"/>
      <c r="AN3" s="117" t="s">
        <v>65</v>
      </c>
      <c r="AO3" s="117"/>
      <c r="AP3" s="117" t="s">
        <v>66</v>
      </c>
      <c r="AQ3" s="117"/>
      <c r="AR3" s="117" t="s">
        <v>67</v>
      </c>
      <c r="AS3" s="117"/>
      <c r="AT3" s="117" t="s">
        <v>10</v>
      </c>
      <c r="AU3" s="117"/>
      <c r="AV3" s="118"/>
      <c r="AW3" s="118"/>
      <c r="AX3" s="118"/>
      <c r="AY3" s="119" t="s">
        <v>68</v>
      </c>
      <c r="AZ3" s="120"/>
      <c r="CD3" s="104" t="s">
        <v>69</v>
      </c>
    </row>
    <row r="4" spans="1:82" ht="27" customHeight="1" x14ac:dyDescent="0.35">
      <c r="A4" s="122" t="s">
        <v>70</v>
      </c>
      <c r="B4" s="123" t="s">
        <v>71</v>
      </c>
      <c r="C4" s="124" t="s">
        <v>72</v>
      </c>
      <c r="D4" s="125" t="s">
        <v>14</v>
      </c>
      <c r="E4" s="124" t="s">
        <v>72</v>
      </c>
      <c r="F4" s="125" t="s">
        <v>14</v>
      </c>
      <c r="G4" s="124" t="s">
        <v>72</v>
      </c>
      <c r="H4" s="125" t="s">
        <v>14</v>
      </c>
      <c r="I4" s="124" t="s">
        <v>72</v>
      </c>
      <c r="J4" s="125" t="s">
        <v>14</v>
      </c>
      <c r="K4" s="126" t="s">
        <v>72</v>
      </c>
      <c r="L4" s="127" t="s">
        <v>14</v>
      </c>
      <c r="M4" s="128" t="s">
        <v>73</v>
      </c>
      <c r="N4" s="128" t="s">
        <v>74</v>
      </c>
      <c r="O4" s="128" t="s">
        <v>75</v>
      </c>
      <c r="P4" s="128" t="s">
        <v>76</v>
      </c>
      <c r="Q4" s="128" t="s">
        <v>77</v>
      </c>
      <c r="S4" s="122" t="s">
        <v>70</v>
      </c>
      <c r="T4" s="124" t="s">
        <v>72</v>
      </c>
      <c r="U4" s="125" t="s">
        <v>14</v>
      </c>
      <c r="V4" s="124" t="s">
        <v>72</v>
      </c>
      <c r="W4" s="125" t="s">
        <v>14</v>
      </c>
      <c r="X4" s="124" t="s">
        <v>72</v>
      </c>
      <c r="Y4" s="125" t="s">
        <v>14</v>
      </c>
      <c r="Z4" s="124" t="s">
        <v>72</v>
      </c>
      <c r="AA4" s="125" t="s">
        <v>14</v>
      </c>
      <c r="AB4" s="126" t="s">
        <v>72</v>
      </c>
      <c r="AC4" s="127" t="s">
        <v>14</v>
      </c>
      <c r="AD4" s="128" t="s">
        <v>73</v>
      </c>
      <c r="AE4" s="128" t="s">
        <v>74</v>
      </c>
      <c r="AF4" s="128" t="s">
        <v>75</v>
      </c>
      <c r="AG4" s="128" t="s">
        <v>76</v>
      </c>
      <c r="AH4" s="128" t="s">
        <v>77</v>
      </c>
      <c r="AK4" s="122" t="s">
        <v>70</v>
      </c>
      <c r="AL4" s="124" t="s">
        <v>72</v>
      </c>
      <c r="AM4" s="125" t="s">
        <v>14</v>
      </c>
      <c r="AN4" s="124" t="s">
        <v>72</v>
      </c>
      <c r="AO4" s="125" t="s">
        <v>14</v>
      </c>
      <c r="AP4" s="124" t="s">
        <v>72</v>
      </c>
      <c r="AQ4" s="125" t="s">
        <v>14</v>
      </c>
      <c r="AR4" s="124" t="s">
        <v>72</v>
      </c>
      <c r="AS4" s="125" t="s">
        <v>14</v>
      </c>
      <c r="AT4" s="126" t="s">
        <v>72</v>
      </c>
      <c r="AU4" s="127" t="s">
        <v>14</v>
      </c>
      <c r="AV4" s="128" t="s">
        <v>73</v>
      </c>
      <c r="AW4" s="128" t="s">
        <v>74</v>
      </c>
      <c r="AX4" s="128" t="s">
        <v>75</v>
      </c>
      <c r="AY4" s="128" t="s">
        <v>76</v>
      </c>
      <c r="AZ4" s="128" t="s">
        <v>77</v>
      </c>
      <c r="CD4" s="104" t="s">
        <v>78</v>
      </c>
    </row>
    <row r="5" spans="1:82" x14ac:dyDescent="0.35">
      <c r="A5" s="129" t="s">
        <v>79</v>
      </c>
      <c r="B5" s="130" t="s">
        <v>37</v>
      </c>
      <c r="C5" s="131">
        <f ca="1">IFERROR((D5/$L5),0)</f>
        <v>0.92712897364101887</v>
      </c>
      <c r="D5" s="132">
        <v>20821595.190000001</v>
      </c>
      <c r="E5" s="131">
        <f ca="1">IFERROR((F5/$L5),0)</f>
        <v>1.7423372793332084E-2</v>
      </c>
      <c r="F5" s="132">
        <v>391296.59999999986</v>
      </c>
      <c r="G5" s="131">
        <f t="shared" ref="G5:G42" ca="1" si="0">IFERROR((H5/$L5),0)</f>
        <v>2.0061159437449887E-2</v>
      </c>
      <c r="H5" s="132">
        <v>450536.3899999999</v>
      </c>
      <c r="I5" s="131">
        <f t="shared" ref="I5:I42" ca="1" si="1">IFERROR((J5/$L5),0)</f>
        <v>3.5386494128199109E-2</v>
      </c>
      <c r="J5" s="132">
        <v>794714.95000000019</v>
      </c>
      <c r="K5" s="133">
        <f t="shared" ref="K5:K42" ca="1" si="2">IFERROR((L5/L5),0)</f>
        <v>1</v>
      </c>
      <c r="L5" s="134">
        <f ca="1">D5+F5+H5+J5</f>
        <v>22458143.130000003</v>
      </c>
      <c r="M5" s="134">
        <v>49276817.07</v>
      </c>
      <c r="N5" s="134">
        <v>48197776.07</v>
      </c>
      <c r="O5" s="134">
        <f ca="1">+N5-L5</f>
        <v>25739632.939999998</v>
      </c>
      <c r="P5" s="134">
        <v>2188583.3200000003</v>
      </c>
      <c r="Q5" s="134">
        <v>5163890.2699999996</v>
      </c>
      <c r="R5" s="135"/>
      <c r="S5" s="129" t="s">
        <v>79</v>
      </c>
      <c r="T5" s="131">
        <f t="shared" ref="T5:T30" ca="1" si="3">IFERROR((U5/$AC5),0)</f>
        <v>0.92712897364101887</v>
      </c>
      <c r="U5" s="132">
        <v>20821595.190000001</v>
      </c>
      <c r="V5" s="131">
        <f t="shared" ref="V5:V30" ca="1" si="4">IFERROR((W5/$AC5),0)</f>
        <v>1.7423372793332084E-2</v>
      </c>
      <c r="W5" s="132">
        <v>391296.59999999986</v>
      </c>
      <c r="X5" s="131">
        <f t="shared" ref="X5:X30" ca="1" si="5">IFERROR((Y5/$AC5),0)</f>
        <v>2.0061159437449887E-2</v>
      </c>
      <c r="Y5" s="132">
        <v>450536.3899999999</v>
      </c>
      <c r="Z5" s="131">
        <f t="shared" ref="Z5:Z30" ca="1" si="6">IFERROR((AA5/$AC5),0)</f>
        <v>3.5386494128199109E-2</v>
      </c>
      <c r="AA5" s="132">
        <v>794714.95000000019</v>
      </c>
      <c r="AB5" s="133">
        <f t="shared" ref="AB5:AB30" ca="1" si="7">IFERROR((AC5/AC5),0)</f>
        <v>1</v>
      </c>
      <c r="AC5" s="134">
        <f t="shared" ref="AC5:AC30" ca="1" si="8">U5+W5+Y5+AA5</f>
        <v>22458143.130000003</v>
      </c>
      <c r="AD5" s="134">
        <v>49276817.07</v>
      </c>
      <c r="AE5" s="134">
        <v>48197776.07</v>
      </c>
      <c r="AF5" s="134">
        <f ca="1">+AE5-AC5</f>
        <v>25739632.939999998</v>
      </c>
      <c r="AG5" s="134">
        <v>2188583.3200000003</v>
      </c>
      <c r="AH5" s="134">
        <v>5163890.2699999996</v>
      </c>
      <c r="AI5" s="135"/>
      <c r="AJ5" s="135"/>
      <c r="AK5" s="136" t="s">
        <v>80</v>
      </c>
      <c r="AL5" s="131">
        <f t="shared" ref="AL5:AL16" ca="1" si="9">IFERROR((AM5/$AU5),0)</f>
        <v>0.99929691418687461</v>
      </c>
      <c r="AM5" s="132">
        <v>12233852.580000006</v>
      </c>
      <c r="AN5" s="131">
        <f t="shared" ref="AN5:AN16" ca="1" si="10">IFERROR((AO5/$AU5),0)</f>
        <v>7.0301393214756058E-4</v>
      </c>
      <c r="AO5" s="132">
        <v>8606.6200000003446</v>
      </c>
      <c r="AP5" s="131">
        <f t="shared" ref="AP5:AP16" ca="1" si="11">IFERROR((AQ5/$AU5),0)</f>
        <v>0</v>
      </c>
      <c r="AQ5" s="132">
        <v>0</v>
      </c>
      <c r="AR5" s="131">
        <f t="shared" ref="AR5:AR16" ca="1" si="12">IFERROR((AS5/$AU5),0)</f>
        <v>7.1880977709593755E-8</v>
      </c>
      <c r="AS5" s="132">
        <v>0.88000000012107193</v>
      </c>
      <c r="AT5" s="133">
        <f t="shared" ref="AT5:AT16" ca="1" si="13">IFERROR((AU5/AU5),0)</f>
        <v>1</v>
      </c>
      <c r="AU5" s="134">
        <f t="shared" ref="AU5:AU16" ca="1" si="14">AM5+AO5+AQ5+AS5</f>
        <v>12242460.080000008</v>
      </c>
      <c r="AV5" s="134">
        <v>16643828.949999999</v>
      </c>
      <c r="AW5" s="134">
        <v>16643828.949999999</v>
      </c>
      <c r="AX5" s="134">
        <f t="shared" ref="AX5:AX16" ca="1" si="15">+AW5-AU5</f>
        <v>4401368.8699999917</v>
      </c>
      <c r="AY5" s="134">
        <v>484860</v>
      </c>
      <c r="AZ5" s="134">
        <v>243748.5</v>
      </c>
      <c r="BA5" s="135"/>
      <c r="CD5" s="104" t="s">
        <v>81</v>
      </c>
    </row>
    <row r="6" spans="1:82" x14ac:dyDescent="0.35">
      <c r="A6" s="129" t="s">
        <v>82</v>
      </c>
      <c r="B6" s="130" t="s">
        <v>37</v>
      </c>
      <c r="C6" s="131">
        <f t="shared" ref="C6:C42" ca="1" si="16">IFERROR((D6/$L6),0)</f>
        <v>0.99678091345390019</v>
      </c>
      <c r="D6" s="132">
        <v>25118581.460000005</v>
      </c>
      <c r="E6" s="131">
        <f t="shared" ref="E6:E42" ca="1" si="17">IFERROR((F6/$L6),0)</f>
        <v>7.9366019611381717E-10</v>
      </c>
      <c r="F6" s="132">
        <v>2.0000000018626451E-2</v>
      </c>
      <c r="G6" s="131">
        <f t="shared" ca="1" si="0"/>
        <v>0</v>
      </c>
      <c r="H6" s="132">
        <v>0</v>
      </c>
      <c r="I6" s="131">
        <f t="shared" ca="1" si="1"/>
        <v>3.2190857524396349E-3</v>
      </c>
      <c r="J6" s="132">
        <v>81120</v>
      </c>
      <c r="K6" s="133">
        <f t="shared" ca="1" si="2"/>
        <v>1</v>
      </c>
      <c r="L6" s="134">
        <f t="shared" ref="L6:L42" ca="1" si="18">D6+F6+H6+J6</f>
        <v>25199701.480000004</v>
      </c>
      <c r="M6" s="134">
        <v>34679111.949999996</v>
      </c>
      <c r="N6" s="134">
        <v>33106423.949999992</v>
      </c>
      <c r="O6" s="134">
        <f t="shared" ref="O6:O42" ca="1" si="19">+N6-L6</f>
        <v>7906722.4699999876</v>
      </c>
      <c r="P6" s="134">
        <v>2101185.5099999998</v>
      </c>
      <c r="Q6" s="134">
        <v>2913957.81</v>
      </c>
      <c r="R6" s="135"/>
      <c r="S6" s="129" t="s">
        <v>82</v>
      </c>
      <c r="T6" s="131">
        <f t="shared" ca="1" si="3"/>
        <v>0.99678091345390019</v>
      </c>
      <c r="U6" s="132">
        <v>25118581.460000005</v>
      </c>
      <c r="V6" s="131">
        <f t="shared" ca="1" si="4"/>
        <v>7.9366019611381717E-10</v>
      </c>
      <c r="W6" s="132">
        <v>2.0000000018626451E-2</v>
      </c>
      <c r="X6" s="131">
        <f t="shared" ca="1" si="5"/>
        <v>0</v>
      </c>
      <c r="Y6" s="132">
        <v>0</v>
      </c>
      <c r="Z6" s="131">
        <f t="shared" ca="1" si="6"/>
        <v>3.2190857524396349E-3</v>
      </c>
      <c r="AA6" s="132">
        <v>81120</v>
      </c>
      <c r="AB6" s="133">
        <f t="shared" ca="1" si="7"/>
        <v>1</v>
      </c>
      <c r="AC6" s="134">
        <f t="shared" ca="1" si="8"/>
        <v>25199701.480000004</v>
      </c>
      <c r="AD6" s="134">
        <v>34679111.949999996</v>
      </c>
      <c r="AE6" s="134">
        <v>33106423.949999992</v>
      </c>
      <c r="AF6" s="134">
        <f t="shared" ref="AF6:AF30" ca="1" si="20">+AE6-AC6</f>
        <v>7906722.4699999876</v>
      </c>
      <c r="AG6" s="134">
        <v>2101185.5099999998</v>
      </c>
      <c r="AH6" s="134">
        <v>2913957.81</v>
      </c>
      <c r="AI6" s="135"/>
      <c r="AJ6" s="135"/>
      <c r="AK6" s="136" t="s">
        <v>83</v>
      </c>
      <c r="AL6" s="131">
        <f t="shared" ca="1" si="9"/>
        <v>0.9675469903232945</v>
      </c>
      <c r="AM6" s="132">
        <v>5326109.8099999996</v>
      </c>
      <c r="AN6" s="131">
        <f t="shared" ca="1" si="10"/>
        <v>5.4481091685867102E-3</v>
      </c>
      <c r="AO6" s="132">
        <v>29990.509999999951</v>
      </c>
      <c r="AP6" s="131">
        <f t="shared" ca="1" si="11"/>
        <v>0</v>
      </c>
      <c r="AQ6" s="132">
        <v>0</v>
      </c>
      <c r="AR6" s="131">
        <f t="shared" ca="1" si="12"/>
        <v>2.7004900508118799E-2</v>
      </c>
      <c r="AS6" s="132">
        <v>148655.37999999983</v>
      </c>
      <c r="AT6" s="133">
        <f t="shared" ca="1" si="13"/>
        <v>1</v>
      </c>
      <c r="AU6" s="134">
        <f t="shared" ca="1" si="14"/>
        <v>5504755.6999999993</v>
      </c>
      <c r="AV6" s="134">
        <v>14341894</v>
      </c>
      <c r="AW6" s="134">
        <v>14341894</v>
      </c>
      <c r="AX6" s="134">
        <f t="shared" ca="1" si="15"/>
        <v>8837138.3000000007</v>
      </c>
      <c r="AY6" s="134">
        <v>969929.59</v>
      </c>
      <c r="AZ6" s="134">
        <v>99299.15</v>
      </c>
      <c r="BA6" s="135"/>
      <c r="CD6" s="104" t="s">
        <v>84</v>
      </c>
    </row>
    <row r="7" spans="1:82" x14ac:dyDescent="0.35">
      <c r="A7" s="129" t="s">
        <v>85</v>
      </c>
      <c r="B7" s="130" t="s">
        <v>37</v>
      </c>
      <c r="C7" s="131">
        <f ca="1">IFERROR((D7/$L7),0)</f>
        <v>0.76496570721540191</v>
      </c>
      <c r="D7" s="132">
        <v>6321852.3400000017</v>
      </c>
      <c r="E7" s="131">
        <f ca="1">IFERROR((F7/$L7),0)</f>
        <v>0.18556760522193272</v>
      </c>
      <c r="F7" s="132">
        <v>1533573.32</v>
      </c>
      <c r="G7" s="131">
        <f ca="1">IFERROR((H7/$L7),0)</f>
        <v>4.9466687562665319E-2</v>
      </c>
      <c r="H7" s="132">
        <v>408804.07000000007</v>
      </c>
      <c r="I7" s="131">
        <f ca="1">IFERROR((J7/$L7),0)</f>
        <v>0</v>
      </c>
      <c r="J7" s="132">
        <v>0</v>
      </c>
      <c r="K7" s="133">
        <f ca="1">IFERROR((L7/L7),0)</f>
        <v>1</v>
      </c>
      <c r="L7" s="134">
        <f ca="1">D7+F7+H7+J7</f>
        <v>8264229.7300000023</v>
      </c>
      <c r="M7" s="134">
        <v>23825046.920000002</v>
      </c>
      <c r="N7" s="134">
        <v>20351772.890000001</v>
      </c>
      <c r="O7" s="134">
        <f ca="1">+N7-L7</f>
        <v>12087543.159999998</v>
      </c>
      <c r="P7" s="134">
        <v>435650.71</v>
      </c>
      <c r="Q7" s="134">
        <v>4128093.1599999997</v>
      </c>
      <c r="R7" s="135"/>
      <c r="S7" s="129" t="s">
        <v>85</v>
      </c>
      <c r="T7" s="131">
        <f ca="1">IFERROR((U7/$AC7),0)</f>
        <v>0.76496570721540191</v>
      </c>
      <c r="U7" s="132">
        <v>6321852.3400000017</v>
      </c>
      <c r="V7" s="131">
        <f ca="1">IFERROR((W7/$AC7),0)</f>
        <v>0.18556760522193272</v>
      </c>
      <c r="W7" s="132">
        <v>1533573.32</v>
      </c>
      <c r="X7" s="131">
        <f ca="1">IFERROR((Y7/$AC7),0)</f>
        <v>4.9466687562665319E-2</v>
      </c>
      <c r="Y7" s="132">
        <v>408804.07000000007</v>
      </c>
      <c r="Z7" s="131">
        <f ca="1">IFERROR((AA7/$AC7),0)</f>
        <v>0</v>
      </c>
      <c r="AA7" s="132">
        <v>0</v>
      </c>
      <c r="AB7" s="133">
        <f ca="1">IFERROR((AC7/AC7),0)</f>
        <v>1</v>
      </c>
      <c r="AC7" s="134">
        <f ca="1">U7+W7+Y7+AA7</f>
        <v>8264229.7300000023</v>
      </c>
      <c r="AD7" s="134">
        <v>23825046.920000002</v>
      </c>
      <c r="AE7" s="134">
        <v>20351772.890000001</v>
      </c>
      <c r="AF7" s="134">
        <f ca="1">+AE7-AC7</f>
        <v>12087543.159999998</v>
      </c>
      <c r="AG7" s="134">
        <v>435650.71</v>
      </c>
      <c r="AH7" s="134">
        <v>4128093.1599999997</v>
      </c>
      <c r="AI7" s="135"/>
      <c r="AJ7" s="135"/>
      <c r="AK7" s="136" t="s">
        <v>86</v>
      </c>
      <c r="AL7" s="131">
        <f t="shared" ca="1" si="9"/>
        <v>0.95859315030848136</v>
      </c>
      <c r="AM7" s="132">
        <v>12775678.24</v>
      </c>
      <c r="AN7" s="131">
        <f t="shared" ca="1" si="10"/>
        <v>0</v>
      </c>
      <c r="AO7" s="132">
        <v>0</v>
      </c>
      <c r="AP7" s="131">
        <f t="shared" ca="1" si="11"/>
        <v>2.6400317242898055E-2</v>
      </c>
      <c r="AQ7" s="132">
        <v>351851</v>
      </c>
      <c r="AR7" s="131">
        <f t="shared" ca="1" si="12"/>
        <v>1.5006532448620611E-2</v>
      </c>
      <c r="AS7" s="132">
        <v>200000</v>
      </c>
      <c r="AT7" s="133">
        <f t="shared" ca="1" si="13"/>
        <v>1</v>
      </c>
      <c r="AU7" s="134">
        <f t="shared" ca="1" si="14"/>
        <v>13327529.24</v>
      </c>
      <c r="AV7" s="134">
        <v>14016010</v>
      </c>
      <c r="AW7" s="134">
        <v>14016010</v>
      </c>
      <c r="AX7" s="134">
        <f t="shared" ca="1" si="15"/>
        <v>688480.75999999978</v>
      </c>
      <c r="AY7" s="134">
        <v>0</v>
      </c>
      <c r="AZ7" s="134">
        <v>5386493.1099999994</v>
      </c>
      <c r="BA7" s="135"/>
      <c r="CD7" s="104" t="s">
        <v>87</v>
      </c>
    </row>
    <row r="8" spans="1:82" x14ac:dyDescent="0.35">
      <c r="A8" s="129" t="s">
        <v>88</v>
      </c>
      <c r="B8" s="130" t="s">
        <v>37</v>
      </c>
      <c r="C8" s="131">
        <f t="shared" ca="1" si="16"/>
        <v>0.94293547425495505</v>
      </c>
      <c r="D8" s="132">
        <v>21887850.140000004</v>
      </c>
      <c r="E8" s="131">
        <f t="shared" ca="1" si="17"/>
        <v>1.4143635253656386E-2</v>
      </c>
      <c r="F8" s="132">
        <v>328308.54000000004</v>
      </c>
      <c r="G8" s="131">
        <f t="shared" ca="1" si="0"/>
        <v>7.3359314051619781E-3</v>
      </c>
      <c r="H8" s="132">
        <v>170285</v>
      </c>
      <c r="I8" s="131">
        <f t="shared" ca="1" si="1"/>
        <v>3.5584959086226546E-2</v>
      </c>
      <c r="J8" s="132">
        <v>826014.37000000023</v>
      </c>
      <c r="K8" s="133">
        <f t="shared" ca="1" si="2"/>
        <v>1</v>
      </c>
      <c r="L8" s="134">
        <f t="shared" ca="1" si="18"/>
        <v>23212458.050000004</v>
      </c>
      <c r="M8" s="134">
        <v>32186772.290000003</v>
      </c>
      <c r="N8" s="134">
        <v>32186772.290000003</v>
      </c>
      <c r="O8" s="134">
        <f t="shared" ca="1" si="19"/>
        <v>8974314.2399999984</v>
      </c>
      <c r="P8" s="134">
        <v>2051202.42</v>
      </c>
      <c r="Q8" s="134">
        <v>3112949.14</v>
      </c>
      <c r="R8" s="135"/>
      <c r="S8" s="129" t="s">
        <v>88</v>
      </c>
      <c r="T8" s="131">
        <f t="shared" ca="1" si="3"/>
        <v>0.94293547425495505</v>
      </c>
      <c r="U8" s="132">
        <v>21887850.140000004</v>
      </c>
      <c r="V8" s="131">
        <f t="shared" ca="1" si="4"/>
        <v>1.4143635253656386E-2</v>
      </c>
      <c r="W8" s="132">
        <v>328308.54000000004</v>
      </c>
      <c r="X8" s="131">
        <f t="shared" ca="1" si="5"/>
        <v>7.3359314051619781E-3</v>
      </c>
      <c r="Y8" s="132">
        <v>170285</v>
      </c>
      <c r="Z8" s="131">
        <f t="shared" ca="1" si="6"/>
        <v>3.5584959086226546E-2</v>
      </c>
      <c r="AA8" s="132">
        <v>826014.37000000023</v>
      </c>
      <c r="AB8" s="133">
        <f t="shared" ca="1" si="7"/>
        <v>1</v>
      </c>
      <c r="AC8" s="134">
        <f t="shared" ca="1" si="8"/>
        <v>23212458.050000004</v>
      </c>
      <c r="AD8" s="134">
        <v>34679111.949999996</v>
      </c>
      <c r="AE8" s="134">
        <v>32186772.290000003</v>
      </c>
      <c r="AF8" s="134">
        <f t="shared" ca="1" si="20"/>
        <v>8974314.2399999984</v>
      </c>
      <c r="AG8" s="134">
        <v>2051202.42</v>
      </c>
      <c r="AH8" s="134">
        <v>3112949.14</v>
      </c>
      <c r="AI8" s="135"/>
      <c r="AJ8" s="135"/>
      <c r="AK8" s="136" t="s">
        <v>89</v>
      </c>
      <c r="AL8" s="131">
        <f t="shared" ca="1" si="9"/>
        <v>0.99347481595128984</v>
      </c>
      <c r="AM8" s="132">
        <v>45961327.959999986</v>
      </c>
      <c r="AN8" s="131">
        <f t="shared" ca="1" si="10"/>
        <v>5.7789155868553837E-3</v>
      </c>
      <c r="AO8" s="132">
        <v>267351.15000000037</v>
      </c>
      <c r="AP8" s="131">
        <f t="shared" ca="1" si="11"/>
        <v>7.0455561366970353E-5</v>
      </c>
      <c r="AQ8" s="132">
        <v>3259.5</v>
      </c>
      <c r="AR8" s="131">
        <f t="shared" ca="1" si="12"/>
        <v>6.7581290048777368E-4</v>
      </c>
      <c r="AS8" s="132">
        <v>31265.270000000019</v>
      </c>
      <c r="AT8" s="133">
        <f t="shared" ca="1" si="13"/>
        <v>1</v>
      </c>
      <c r="AU8" s="134">
        <f t="shared" ca="1" si="14"/>
        <v>46263203.879999988</v>
      </c>
      <c r="AV8" s="134">
        <v>51015909</v>
      </c>
      <c r="AW8" s="134">
        <v>51015909</v>
      </c>
      <c r="AX8" s="134">
        <f t="shared" ca="1" si="15"/>
        <v>4752705.1200000122</v>
      </c>
      <c r="AY8" s="134">
        <v>1740311</v>
      </c>
      <c r="AZ8" s="134">
        <v>2501956</v>
      </c>
      <c r="BA8" s="135"/>
      <c r="CD8" s="104" t="s">
        <v>90</v>
      </c>
    </row>
    <row r="9" spans="1:82" x14ac:dyDescent="0.35">
      <c r="A9" s="129" t="s">
        <v>91</v>
      </c>
      <c r="B9" s="130" t="s">
        <v>37</v>
      </c>
      <c r="C9" s="131">
        <f t="shared" ca="1" si="16"/>
        <v>0.99474144222399008</v>
      </c>
      <c r="D9" s="132">
        <v>40025052.139999993</v>
      </c>
      <c r="E9" s="131">
        <f t="shared" ca="1" si="17"/>
        <v>2.714011238895522E-3</v>
      </c>
      <c r="F9" s="132">
        <v>109202.68999999994</v>
      </c>
      <c r="G9" s="131">
        <f t="shared" ca="1" si="0"/>
        <v>0</v>
      </c>
      <c r="H9" s="132">
        <v>0</v>
      </c>
      <c r="I9" s="131">
        <f t="shared" ca="1" si="1"/>
        <v>2.544546537114418E-3</v>
      </c>
      <c r="J9" s="132">
        <v>102384</v>
      </c>
      <c r="K9" s="133">
        <f t="shared" ca="1" si="2"/>
        <v>1</v>
      </c>
      <c r="L9" s="134">
        <f t="shared" ca="1" si="18"/>
        <v>40236638.829999991</v>
      </c>
      <c r="M9" s="134">
        <v>54080778.979999989</v>
      </c>
      <c r="N9" s="134">
        <v>51791652.979999989</v>
      </c>
      <c r="O9" s="134">
        <f t="shared" ca="1" si="19"/>
        <v>11555014.149999999</v>
      </c>
      <c r="P9" s="134">
        <v>8160031.4000000004</v>
      </c>
      <c r="Q9" s="134">
        <v>5794716.2199999997</v>
      </c>
      <c r="S9" s="129" t="s">
        <v>91</v>
      </c>
      <c r="T9" s="131">
        <f t="shared" ca="1" si="3"/>
        <v>0.99474144222399008</v>
      </c>
      <c r="U9" s="132">
        <v>40025052.139999993</v>
      </c>
      <c r="V9" s="131">
        <f t="shared" ca="1" si="4"/>
        <v>2.714011238895522E-3</v>
      </c>
      <c r="W9" s="132">
        <v>109202.68999999994</v>
      </c>
      <c r="X9" s="131">
        <f t="shared" ca="1" si="5"/>
        <v>0</v>
      </c>
      <c r="Y9" s="132">
        <v>0</v>
      </c>
      <c r="Z9" s="131">
        <f t="shared" ca="1" si="6"/>
        <v>2.544546537114418E-3</v>
      </c>
      <c r="AA9" s="132">
        <v>102384</v>
      </c>
      <c r="AB9" s="133">
        <f t="shared" ca="1" si="7"/>
        <v>1</v>
      </c>
      <c r="AC9" s="134">
        <f t="shared" ca="1" si="8"/>
        <v>40236638.829999991</v>
      </c>
      <c r="AD9" s="134">
        <v>54080778.979999989</v>
      </c>
      <c r="AE9" s="134">
        <v>51791652.979999989</v>
      </c>
      <c r="AF9" s="134">
        <f t="shared" ca="1" si="20"/>
        <v>11555014.149999999</v>
      </c>
      <c r="AG9" s="134">
        <v>8160031.4000000004</v>
      </c>
      <c r="AH9" s="134">
        <v>5794716.2199999997</v>
      </c>
      <c r="AI9" s="135"/>
      <c r="AJ9" s="135"/>
      <c r="AK9" s="136" t="s">
        <v>92</v>
      </c>
      <c r="AL9" s="131">
        <f t="shared" ca="1" si="9"/>
        <v>0.94672364140885468</v>
      </c>
      <c r="AM9" s="132">
        <v>6196993.8099999996</v>
      </c>
      <c r="AN9" s="131">
        <f t="shared" ca="1" si="10"/>
        <v>1.8695629018412954E-2</v>
      </c>
      <c r="AO9" s="132">
        <v>122376.46999999997</v>
      </c>
      <c r="AP9" s="131">
        <f t="shared" ca="1" si="11"/>
        <v>0</v>
      </c>
      <c r="AQ9" s="132">
        <v>0</v>
      </c>
      <c r="AR9" s="131">
        <f t="shared" ca="1" si="12"/>
        <v>3.4580729572732387E-2</v>
      </c>
      <c r="AS9" s="132">
        <v>226355.99000000022</v>
      </c>
      <c r="AT9" s="133">
        <f t="shared" ca="1" si="13"/>
        <v>1</v>
      </c>
      <c r="AU9" s="134">
        <f t="shared" ca="1" si="14"/>
        <v>6545726.2699999996</v>
      </c>
      <c r="AV9" s="134">
        <v>12682658.540000001</v>
      </c>
      <c r="AW9" s="134">
        <v>12682658.540000001</v>
      </c>
      <c r="AX9" s="134">
        <f t="shared" ca="1" si="15"/>
        <v>6136932.2700000014</v>
      </c>
      <c r="AY9" s="134">
        <v>685047</v>
      </c>
      <c r="AZ9" s="134">
        <v>449237</v>
      </c>
      <c r="BA9" s="135"/>
      <c r="CD9" s="104" t="s">
        <v>93</v>
      </c>
    </row>
    <row r="10" spans="1:82" x14ac:dyDescent="0.35">
      <c r="A10" s="129" t="s">
        <v>94</v>
      </c>
      <c r="B10" s="130" t="s">
        <v>37</v>
      </c>
      <c r="C10" s="131">
        <f t="shared" ca="1" si="16"/>
        <v>0.99407406567320544</v>
      </c>
      <c r="D10" s="132">
        <v>15062083.27</v>
      </c>
      <c r="E10" s="131">
        <f t="shared" ca="1" si="17"/>
        <v>5.9259343267945861E-3</v>
      </c>
      <c r="F10" s="132">
        <v>89789</v>
      </c>
      <c r="G10" s="131">
        <f t="shared" ca="1" si="0"/>
        <v>0</v>
      </c>
      <c r="H10" s="132">
        <v>0</v>
      </c>
      <c r="I10" s="131">
        <f t="shared" ca="1" si="1"/>
        <v>0</v>
      </c>
      <c r="J10" s="132">
        <v>0</v>
      </c>
      <c r="K10" s="133">
        <f t="shared" ca="1" si="2"/>
        <v>1</v>
      </c>
      <c r="L10" s="134">
        <f t="shared" ca="1" si="18"/>
        <v>15151872.27</v>
      </c>
      <c r="M10" s="134">
        <v>23857059.649999999</v>
      </c>
      <c r="N10" s="134">
        <v>22801384.649999999</v>
      </c>
      <c r="O10" s="134">
        <f t="shared" ca="1" si="19"/>
        <v>7649512.379999999</v>
      </c>
      <c r="P10" s="134">
        <v>328601.09999999998</v>
      </c>
      <c r="Q10" s="134">
        <v>2670216.7599999998</v>
      </c>
      <c r="S10" s="129" t="s">
        <v>94</v>
      </c>
      <c r="T10" s="131">
        <f t="shared" ca="1" si="3"/>
        <v>0.99407406567320544</v>
      </c>
      <c r="U10" s="132">
        <v>15062083.27</v>
      </c>
      <c r="V10" s="131">
        <f t="shared" ca="1" si="4"/>
        <v>5.9259343267945861E-3</v>
      </c>
      <c r="W10" s="132">
        <v>89789</v>
      </c>
      <c r="X10" s="131">
        <f t="shared" ca="1" si="5"/>
        <v>0</v>
      </c>
      <c r="Y10" s="132">
        <v>0</v>
      </c>
      <c r="Z10" s="131">
        <f t="shared" ca="1" si="6"/>
        <v>0</v>
      </c>
      <c r="AA10" s="132">
        <v>0</v>
      </c>
      <c r="AB10" s="133">
        <f t="shared" ca="1" si="7"/>
        <v>1</v>
      </c>
      <c r="AC10" s="134">
        <f t="shared" ca="1" si="8"/>
        <v>15151872.27</v>
      </c>
      <c r="AD10" s="134">
        <v>23857059.649999999</v>
      </c>
      <c r="AE10" s="134">
        <v>22801384.649999999</v>
      </c>
      <c r="AF10" s="134">
        <f t="shared" ca="1" si="20"/>
        <v>7649512.379999999</v>
      </c>
      <c r="AG10" s="134">
        <v>328601.09999999998</v>
      </c>
      <c r="AH10" s="134">
        <v>2670216.7599999998</v>
      </c>
      <c r="AI10" s="135"/>
      <c r="AJ10" s="135"/>
      <c r="AK10" s="136" t="s">
        <v>95</v>
      </c>
      <c r="AL10" s="131">
        <f t="shared" ca="1" si="9"/>
        <v>0.97205225709709819</v>
      </c>
      <c r="AM10" s="132">
        <v>20878921.210000001</v>
      </c>
      <c r="AN10" s="131">
        <f t="shared" ca="1" si="10"/>
        <v>8.1346541310860949E-3</v>
      </c>
      <c r="AO10" s="132">
        <v>174726</v>
      </c>
      <c r="AP10" s="131">
        <f t="shared" ca="1" si="11"/>
        <v>0</v>
      </c>
      <c r="AQ10" s="132">
        <v>0</v>
      </c>
      <c r="AR10" s="131">
        <f t="shared" ca="1" si="12"/>
        <v>1.981308877181575E-2</v>
      </c>
      <c r="AS10" s="132">
        <v>425569.62999999977</v>
      </c>
      <c r="AT10" s="133">
        <f t="shared" ca="1" si="13"/>
        <v>1</v>
      </c>
      <c r="AU10" s="134">
        <f t="shared" ca="1" si="14"/>
        <v>21479216.84</v>
      </c>
      <c r="AV10" s="134">
        <v>18119549.120000005</v>
      </c>
      <c r="AW10" s="134">
        <v>18119549.120000005</v>
      </c>
      <c r="AX10" s="134">
        <f t="shared" ca="1" si="15"/>
        <v>-3359667.7199999951</v>
      </c>
      <c r="AY10" s="134">
        <v>61221</v>
      </c>
      <c r="AZ10" s="134">
        <v>2895004</v>
      </c>
      <c r="BA10" s="135"/>
      <c r="CD10" s="104" t="s">
        <v>96</v>
      </c>
    </row>
    <row r="11" spans="1:82" x14ac:dyDescent="0.35">
      <c r="A11" s="129" t="s">
        <v>97</v>
      </c>
      <c r="B11" s="130" t="s">
        <v>37</v>
      </c>
      <c r="C11" s="131">
        <f t="shared" ca="1" si="16"/>
        <v>0.9760527832687933</v>
      </c>
      <c r="D11" s="132">
        <v>14801060.27</v>
      </c>
      <c r="E11" s="131">
        <f t="shared" ca="1" si="17"/>
        <v>0</v>
      </c>
      <c r="F11" s="132">
        <v>0</v>
      </c>
      <c r="G11" s="131">
        <f t="shared" ca="1" si="0"/>
        <v>0</v>
      </c>
      <c r="H11" s="132">
        <v>0</v>
      </c>
      <c r="I11" s="131">
        <f t="shared" ca="1" si="1"/>
        <v>2.3947216731206703E-2</v>
      </c>
      <c r="J11" s="132">
        <v>363140.39999999991</v>
      </c>
      <c r="K11" s="133">
        <f t="shared" ca="1" si="2"/>
        <v>1</v>
      </c>
      <c r="L11" s="134">
        <f t="shared" ca="1" si="18"/>
        <v>15164200.67</v>
      </c>
      <c r="M11" s="134">
        <v>27962945</v>
      </c>
      <c r="N11" s="134">
        <v>27962932</v>
      </c>
      <c r="O11" s="134">
        <f t="shared" ca="1" si="19"/>
        <v>12798731.33</v>
      </c>
      <c r="P11" s="134">
        <v>2641859</v>
      </c>
      <c r="Q11" s="134">
        <v>1769497.06</v>
      </c>
      <c r="S11" s="129" t="s">
        <v>97</v>
      </c>
      <c r="T11" s="131">
        <f t="shared" ca="1" si="3"/>
        <v>0.9760527832687933</v>
      </c>
      <c r="U11" s="132">
        <v>14801060.27</v>
      </c>
      <c r="V11" s="131">
        <f t="shared" ca="1" si="4"/>
        <v>0</v>
      </c>
      <c r="W11" s="132">
        <v>0</v>
      </c>
      <c r="X11" s="131">
        <f t="shared" ca="1" si="5"/>
        <v>0</v>
      </c>
      <c r="Y11" s="132">
        <v>0</v>
      </c>
      <c r="Z11" s="131">
        <f t="shared" ca="1" si="6"/>
        <v>2.3947216731206703E-2</v>
      </c>
      <c r="AA11" s="132">
        <v>363140.39999999991</v>
      </c>
      <c r="AB11" s="133">
        <f t="shared" ca="1" si="7"/>
        <v>1</v>
      </c>
      <c r="AC11" s="134">
        <f t="shared" ca="1" si="8"/>
        <v>15164200.67</v>
      </c>
      <c r="AD11" s="134">
        <v>27962945</v>
      </c>
      <c r="AE11" s="134">
        <v>27962932</v>
      </c>
      <c r="AF11" s="134">
        <f t="shared" ca="1" si="20"/>
        <v>12798731.33</v>
      </c>
      <c r="AG11" s="134">
        <v>2641859</v>
      </c>
      <c r="AH11" s="134">
        <v>1769497.06</v>
      </c>
      <c r="AI11" s="135"/>
      <c r="AJ11" s="135"/>
      <c r="AK11" s="136" t="s">
        <v>98</v>
      </c>
      <c r="AL11" s="131">
        <f t="shared" ca="1" si="9"/>
        <v>0.99898079859222477</v>
      </c>
      <c r="AM11" s="132">
        <v>18441893.23</v>
      </c>
      <c r="AN11" s="131">
        <f t="shared" ca="1" si="10"/>
        <v>1.7478419182723087E-4</v>
      </c>
      <c r="AO11" s="132">
        <v>3226.640000000014</v>
      </c>
      <c r="AP11" s="131">
        <f t="shared" ca="1" si="11"/>
        <v>8.4441721594800045E-4</v>
      </c>
      <c r="AQ11" s="132">
        <v>15588.540000000037</v>
      </c>
      <c r="AR11" s="131">
        <f t="shared" ca="1" si="12"/>
        <v>0</v>
      </c>
      <c r="AS11" s="132">
        <v>0</v>
      </c>
      <c r="AT11" s="133">
        <f t="shared" ca="1" si="13"/>
        <v>1</v>
      </c>
      <c r="AU11" s="134">
        <f t="shared" ca="1" si="14"/>
        <v>18460708.41</v>
      </c>
      <c r="AV11" s="134">
        <v>25721251</v>
      </c>
      <c r="AW11" s="134">
        <v>25721251</v>
      </c>
      <c r="AX11" s="134">
        <f t="shared" ca="1" si="15"/>
        <v>7260542.5899999999</v>
      </c>
      <c r="AY11" s="134">
        <v>4723081</v>
      </c>
      <c r="AZ11" s="134">
        <v>17188.689999999999</v>
      </c>
      <c r="BA11" s="135"/>
      <c r="CD11" s="104" t="s">
        <v>99</v>
      </c>
    </row>
    <row r="12" spans="1:82" x14ac:dyDescent="0.35">
      <c r="A12" s="129" t="s">
        <v>100</v>
      </c>
      <c r="B12" s="130" t="s">
        <v>37</v>
      </c>
      <c r="C12" s="131">
        <f t="shared" ca="1" si="16"/>
        <v>0.89006710401733968</v>
      </c>
      <c r="D12" s="132">
        <v>15998624.439999998</v>
      </c>
      <c r="E12" s="131">
        <f t="shared" ca="1" si="17"/>
        <v>5.8860796616674441E-2</v>
      </c>
      <c r="F12" s="132">
        <v>1058000.8799999999</v>
      </c>
      <c r="G12" s="131">
        <f t="shared" ca="1" si="0"/>
        <v>9.4474281691183035E-3</v>
      </c>
      <c r="H12" s="132">
        <v>169814</v>
      </c>
      <c r="I12" s="131">
        <f t="shared" ca="1" si="1"/>
        <v>4.1624671196867614E-2</v>
      </c>
      <c r="J12" s="132">
        <v>748187.95</v>
      </c>
      <c r="K12" s="133">
        <f t="shared" ca="1" si="2"/>
        <v>1</v>
      </c>
      <c r="L12" s="134">
        <f t="shared" ca="1" si="18"/>
        <v>17974627.269999996</v>
      </c>
      <c r="M12" s="134">
        <v>34218021.419999994</v>
      </c>
      <c r="N12" s="134">
        <v>34212087.420000002</v>
      </c>
      <c r="O12" s="134">
        <f t="shared" ca="1" si="19"/>
        <v>16237460.150000006</v>
      </c>
      <c r="P12" s="134">
        <v>1591931.5400000003</v>
      </c>
      <c r="Q12" s="134">
        <v>5183260.18</v>
      </c>
      <c r="S12" s="129" t="s">
        <v>100</v>
      </c>
      <c r="T12" s="131">
        <f t="shared" ca="1" si="3"/>
        <v>0.89006710401733968</v>
      </c>
      <c r="U12" s="132">
        <v>15998624.439999998</v>
      </c>
      <c r="V12" s="131">
        <f t="shared" ca="1" si="4"/>
        <v>5.8860796616674441E-2</v>
      </c>
      <c r="W12" s="132">
        <v>1058000.8799999999</v>
      </c>
      <c r="X12" s="131">
        <f t="shared" ca="1" si="5"/>
        <v>9.4474281691183035E-3</v>
      </c>
      <c r="Y12" s="132">
        <v>169814</v>
      </c>
      <c r="Z12" s="131">
        <f t="shared" ca="1" si="6"/>
        <v>4.1624671196867614E-2</v>
      </c>
      <c r="AA12" s="132">
        <v>748187.95</v>
      </c>
      <c r="AB12" s="133">
        <f t="shared" ca="1" si="7"/>
        <v>1</v>
      </c>
      <c r="AC12" s="134">
        <f t="shared" ca="1" si="8"/>
        <v>17974627.269999996</v>
      </c>
      <c r="AD12" s="134">
        <v>34218021.419999994</v>
      </c>
      <c r="AE12" s="134">
        <v>34212087.420000002</v>
      </c>
      <c r="AF12" s="134">
        <f t="shared" ca="1" si="20"/>
        <v>16237460.150000006</v>
      </c>
      <c r="AG12" s="134">
        <v>1591931.5400000003</v>
      </c>
      <c r="AH12" s="134">
        <v>5183260.18</v>
      </c>
      <c r="AI12" s="135"/>
      <c r="AJ12" s="135"/>
      <c r="AK12" s="136" t="s">
        <v>101</v>
      </c>
      <c r="AL12" s="131">
        <f ca="1">IFERROR((AM12/$AU12),0)</f>
        <v>0.9860523365219277</v>
      </c>
      <c r="AM12" s="132">
        <v>8777397.4400000013</v>
      </c>
      <c r="AN12" s="131">
        <f ca="1">IFERROR((AO12/$AU12),0)</f>
        <v>1.3841568511597211E-2</v>
      </c>
      <c r="AO12" s="132">
        <v>123211.45999999996</v>
      </c>
      <c r="AP12" s="131">
        <f ca="1">IFERROR((AQ12/$AU12),0)</f>
        <v>0</v>
      </c>
      <c r="AQ12" s="132">
        <v>0</v>
      </c>
      <c r="AR12" s="131">
        <f ca="1">IFERROR((AS12/$AU12),0)</f>
        <v>1.0609496647501764E-4</v>
      </c>
      <c r="AS12" s="132">
        <v>944.4100000000326</v>
      </c>
      <c r="AT12" s="133">
        <f ca="1">IFERROR((AU12/AU12),0)</f>
        <v>1</v>
      </c>
      <c r="AU12" s="134">
        <f ca="1">AM12+AO12+AQ12+AS12</f>
        <v>8901553.3100000024</v>
      </c>
      <c r="AV12" s="134">
        <v>22401864.369999997</v>
      </c>
      <c r="AW12" s="134">
        <v>22401864.369999997</v>
      </c>
      <c r="AX12" s="134">
        <f ca="1">+AW12-AU12</f>
        <v>13500311.059999995</v>
      </c>
      <c r="AY12" s="134">
        <v>561337</v>
      </c>
      <c r="AZ12" s="134">
        <v>6778712.9000000004</v>
      </c>
      <c r="BA12" s="135"/>
      <c r="CD12" s="104" t="s">
        <v>102</v>
      </c>
    </row>
    <row r="13" spans="1:82" x14ac:dyDescent="0.35">
      <c r="A13" s="129" t="s">
        <v>103</v>
      </c>
      <c r="B13" s="130" t="s">
        <v>37</v>
      </c>
      <c r="C13" s="131">
        <f t="shared" ca="1" si="16"/>
        <v>0</v>
      </c>
      <c r="D13" s="132">
        <v>0</v>
      </c>
      <c r="E13" s="131">
        <f t="shared" ca="1" si="17"/>
        <v>0</v>
      </c>
      <c r="F13" s="132">
        <v>0</v>
      </c>
      <c r="G13" s="131">
        <f t="shared" ca="1" si="0"/>
        <v>0</v>
      </c>
      <c r="H13" s="132">
        <v>0</v>
      </c>
      <c r="I13" s="131">
        <f t="shared" ca="1" si="1"/>
        <v>0</v>
      </c>
      <c r="J13" s="132">
        <v>0</v>
      </c>
      <c r="K13" s="133">
        <f t="shared" ca="1" si="2"/>
        <v>0</v>
      </c>
      <c r="L13" s="134">
        <f t="shared" ca="1" si="18"/>
        <v>0</v>
      </c>
      <c r="M13" s="134">
        <v>0</v>
      </c>
      <c r="N13" s="134">
        <v>0</v>
      </c>
      <c r="O13" s="134">
        <f t="shared" ca="1" si="19"/>
        <v>0</v>
      </c>
      <c r="P13" s="134">
        <v>0</v>
      </c>
      <c r="Q13" s="134">
        <v>0</v>
      </c>
      <c r="S13" s="129" t="s">
        <v>103</v>
      </c>
      <c r="T13" s="131">
        <f t="shared" ca="1" si="3"/>
        <v>0</v>
      </c>
      <c r="U13" s="132">
        <v>0</v>
      </c>
      <c r="V13" s="131">
        <f t="shared" ca="1" si="4"/>
        <v>0</v>
      </c>
      <c r="W13" s="132">
        <v>0</v>
      </c>
      <c r="X13" s="131">
        <f t="shared" ca="1" si="5"/>
        <v>0</v>
      </c>
      <c r="Y13" s="132">
        <v>0</v>
      </c>
      <c r="Z13" s="131">
        <f t="shared" ca="1" si="6"/>
        <v>0</v>
      </c>
      <c r="AA13" s="132">
        <v>0</v>
      </c>
      <c r="AB13" s="133">
        <f t="shared" ca="1" si="7"/>
        <v>0</v>
      </c>
      <c r="AC13" s="134">
        <f t="shared" ca="1" si="8"/>
        <v>0</v>
      </c>
      <c r="AD13" s="134">
        <v>0</v>
      </c>
      <c r="AE13" s="134">
        <v>0</v>
      </c>
      <c r="AF13" s="134">
        <f t="shared" ca="1" si="20"/>
        <v>0</v>
      </c>
      <c r="AG13" s="134">
        <v>0</v>
      </c>
      <c r="AH13" s="134">
        <v>0</v>
      </c>
      <c r="AI13" s="135"/>
      <c r="AJ13" s="135"/>
      <c r="AK13" s="136" t="s">
        <v>104</v>
      </c>
      <c r="AL13" s="131">
        <f ca="1">IFERROR((AM13/$AU13),0)</f>
        <v>0.99586049046884417</v>
      </c>
      <c r="AM13" s="132">
        <v>9128359.3300000001</v>
      </c>
      <c r="AN13" s="131">
        <f ca="1">IFERROR((AO13/$AU13),0)</f>
        <v>0</v>
      </c>
      <c r="AO13" s="132">
        <v>0</v>
      </c>
      <c r="AP13" s="131">
        <f ca="1">IFERROR((AQ13/$AU13),0)</f>
        <v>4.1395095311557838E-3</v>
      </c>
      <c r="AQ13" s="132">
        <v>37944</v>
      </c>
      <c r="AR13" s="131">
        <f ca="1">IFERROR((AS13/$AU13),0)</f>
        <v>0</v>
      </c>
      <c r="AS13" s="132">
        <v>0</v>
      </c>
      <c r="AT13" s="133">
        <f ca="1">IFERROR((AU13/AU13),0)</f>
        <v>1</v>
      </c>
      <c r="AU13" s="134">
        <f ca="1">AM13+AO13+AQ13+AS13</f>
        <v>9166303.3300000001</v>
      </c>
      <c r="AV13" s="134">
        <v>11209028.300000001</v>
      </c>
      <c r="AW13" s="134">
        <v>11209028.300000001</v>
      </c>
      <c r="AX13" s="134">
        <f ca="1">+AW13-AU13</f>
        <v>2042724.9700000007</v>
      </c>
      <c r="AY13" s="134">
        <v>322333.90000000002</v>
      </c>
      <c r="AZ13" s="134">
        <v>956990</v>
      </c>
      <c r="BA13" s="135"/>
      <c r="CD13" s="104" t="s">
        <v>105</v>
      </c>
    </row>
    <row r="14" spans="1:82" x14ac:dyDescent="0.35">
      <c r="A14" s="129" t="s">
        <v>106</v>
      </c>
      <c r="B14" s="130" t="s">
        <v>37</v>
      </c>
      <c r="C14" s="131">
        <f t="shared" ca="1" si="16"/>
        <v>0.91025788128749863</v>
      </c>
      <c r="D14" s="132">
        <v>12125964.110000003</v>
      </c>
      <c r="E14" s="131">
        <f t="shared" ca="1" si="17"/>
        <v>2.7070289998097088E-2</v>
      </c>
      <c r="F14" s="132">
        <v>360615.7899999998</v>
      </c>
      <c r="G14" s="131">
        <f t="shared" ca="1" si="0"/>
        <v>1.0481846450620735E-2</v>
      </c>
      <c r="H14" s="132">
        <v>139633.5</v>
      </c>
      <c r="I14" s="131">
        <f t="shared" ca="1" si="1"/>
        <v>5.2189982263783637E-2</v>
      </c>
      <c r="J14" s="132">
        <v>695246.77000000025</v>
      </c>
      <c r="K14" s="133">
        <f t="shared" ca="1" si="2"/>
        <v>1</v>
      </c>
      <c r="L14" s="134">
        <f t="shared" ca="1" si="18"/>
        <v>13321460.170000002</v>
      </c>
      <c r="M14" s="134">
        <v>23684900.620000001</v>
      </c>
      <c r="N14" s="134">
        <v>23681116.620000001</v>
      </c>
      <c r="O14" s="134">
        <f t="shared" ca="1" si="19"/>
        <v>10359656.449999999</v>
      </c>
      <c r="P14" s="134">
        <v>2986317.83</v>
      </c>
      <c r="Q14" s="134">
        <v>3257727.7499999995</v>
      </c>
      <c r="S14" s="129" t="s">
        <v>106</v>
      </c>
      <c r="T14" s="131">
        <f t="shared" ca="1" si="3"/>
        <v>0.91025788128749863</v>
      </c>
      <c r="U14" s="132">
        <v>12125964.110000003</v>
      </c>
      <c r="V14" s="131">
        <f t="shared" ca="1" si="4"/>
        <v>2.7070289998097088E-2</v>
      </c>
      <c r="W14" s="132">
        <v>360615.7899999998</v>
      </c>
      <c r="X14" s="131">
        <f t="shared" ca="1" si="5"/>
        <v>1.0481846450620735E-2</v>
      </c>
      <c r="Y14" s="132">
        <v>139633.5</v>
      </c>
      <c r="Z14" s="131">
        <f t="shared" ca="1" si="6"/>
        <v>5.2189982263783637E-2</v>
      </c>
      <c r="AA14" s="132">
        <v>695246.77000000025</v>
      </c>
      <c r="AB14" s="133">
        <f t="shared" ca="1" si="7"/>
        <v>1</v>
      </c>
      <c r="AC14" s="134">
        <f t="shared" ca="1" si="8"/>
        <v>13321460.170000002</v>
      </c>
      <c r="AD14" s="134">
        <v>23684900.620000001</v>
      </c>
      <c r="AE14" s="134">
        <v>23681116.620000001</v>
      </c>
      <c r="AF14" s="134">
        <f t="shared" ca="1" si="20"/>
        <v>10359656.449999999</v>
      </c>
      <c r="AG14" s="134">
        <v>2986317.83</v>
      </c>
      <c r="AH14" s="134">
        <v>3257727.7499999995</v>
      </c>
      <c r="AI14" s="135"/>
      <c r="AJ14" s="135"/>
      <c r="AK14" s="136" t="s">
        <v>107</v>
      </c>
      <c r="AL14" s="131">
        <f t="shared" ca="1" si="9"/>
        <v>0.96802538252139447</v>
      </c>
      <c r="AM14" s="132">
        <v>9328427.4200000018</v>
      </c>
      <c r="AN14" s="131">
        <f t="shared" ca="1" si="10"/>
        <v>6.6761842474266581E-3</v>
      </c>
      <c r="AO14" s="132">
        <v>64335.399999999994</v>
      </c>
      <c r="AP14" s="131">
        <f t="shared" ca="1" si="11"/>
        <v>3.3734055825470202E-5</v>
      </c>
      <c r="AQ14" s="132">
        <v>325.08000000007451</v>
      </c>
      <c r="AR14" s="131">
        <f t="shared" ca="1" si="12"/>
        <v>2.5264699175353431E-2</v>
      </c>
      <c r="AS14" s="132">
        <v>243464.60000000009</v>
      </c>
      <c r="AT14" s="133">
        <f t="shared" ca="1" si="13"/>
        <v>1</v>
      </c>
      <c r="AU14" s="134">
        <f t="shared" ca="1" si="14"/>
        <v>9636552.5000000019</v>
      </c>
      <c r="AV14" s="134">
        <v>16974683</v>
      </c>
      <c r="AW14" s="134">
        <v>16974683</v>
      </c>
      <c r="AX14" s="134">
        <f t="shared" ca="1" si="15"/>
        <v>7338130.4999999981</v>
      </c>
      <c r="AY14" s="134">
        <v>1538608</v>
      </c>
      <c r="AZ14" s="134">
        <v>1778612.6</v>
      </c>
      <c r="BA14" s="135"/>
      <c r="CD14" s="104" t="s">
        <v>108</v>
      </c>
    </row>
    <row r="15" spans="1:82" x14ac:dyDescent="0.35">
      <c r="A15" s="129" t="s">
        <v>109</v>
      </c>
      <c r="B15" s="130" t="s">
        <v>37</v>
      </c>
      <c r="C15" s="131">
        <f t="shared" ca="1" si="16"/>
        <v>0.95533514538870157</v>
      </c>
      <c r="D15" s="132">
        <v>5489842.46</v>
      </c>
      <c r="E15" s="131">
        <f t="shared" ca="1" si="17"/>
        <v>3.6930244543736915E-3</v>
      </c>
      <c r="F15" s="132">
        <v>21222</v>
      </c>
      <c r="G15" s="131">
        <f t="shared" ca="1" si="0"/>
        <v>0</v>
      </c>
      <c r="H15" s="132">
        <v>0</v>
      </c>
      <c r="I15" s="131">
        <f t="shared" ca="1" si="1"/>
        <v>4.0971830156924773E-2</v>
      </c>
      <c r="J15" s="132">
        <v>235445.00999999978</v>
      </c>
      <c r="K15" s="133">
        <f t="shared" ca="1" si="2"/>
        <v>1</v>
      </c>
      <c r="L15" s="134">
        <f t="shared" ca="1" si="18"/>
        <v>5746509.4699999997</v>
      </c>
      <c r="M15" s="134">
        <v>14989889.07</v>
      </c>
      <c r="N15" s="134">
        <v>14989712.07</v>
      </c>
      <c r="O15" s="134">
        <f t="shared" ca="1" si="19"/>
        <v>9243202.6000000015</v>
      </c>
      <c r="P15" s="134">
        <v>1592027.8599999999</v>
      </c>
      <c r="Q15" s="134">
        <v>2170224.48</v>
      </c>
      <c r="S15" s="129" t="s">
        <v>109</v>
      </c>
      <c r="T15" s="131">
        <f t="shared" ca="1" si="3"/>
        <v>0.95533514538870157</v>
      </c>
      <c r="U15" s="132">
        <v>5489842.46</v>
      </c>
      <c r="V15" s="131">
        <f t="shared" ca="1" si="4"/>
        <v>3.6930244543736915E-3</v>
      </c>
      <c r="W15" s="132">
        <v>21222</v>
      </c>
      <c r="X15" s="131">
        <f t="shared" ca="1" si="5"/>
        <v>0</v>
      </c>
      <c r="Y15" s="132">
        <v>0</v>
      </c>
      <c r="Z15" s="131">
        <f t="shared" ca="1" si="6"/>
        <v>4.0971830156924773E-2</v>
      </c>
      <c r="AA15" s="132">
        <v>235445.00999999978</v>
      </c>
      <c r="AB15" s="133">
        <f t="shared" ca="1" si="7"/>
        <v>1</v>
      </c>
      <c r="AC15" s="134">
        <f t="shared" ca="1" si="8"/>
        <v>5746509.4699999997</v>
      </c>
      <c r="AD15" s="134">
        <v>14989889.07</v>
      </c>
      <c r="AE15" s="134">
        <v>14989712.07</v>
      </c>
      <c r="AF15" s="134">
        <f t="shared" ca="1" si="20"/>
        <v>9243202.6000000015</v>
      </c>
      <c r="AG15" s="134">
        <v>1592027.8599999999</v>
      </c>
      <c r="AH15" s="134">
        <v>2170224.48</v>
      </c>
      <c r="AI15" s="135"/>
      <c r="AJ15" s="135"/>
      <c r="AK15" s="136" t="s">
        <v>110</v>
      </c>
      <c r="AL15" s="131">
        <f t="shared" ca="1" si="9"/>
        <v>0.82770455408598231</v>
      </c>
      <c r="AM15" s="132">
        <v>6382171.7300000014</v>
      </c>
      <c r="AN15" s="131">
        <f t="shared" ca="1" si="10"/>
        <v>9.5583531824803294E-2</v>
      </c>
      <c r="AO15" s="132">
        <v>737014.81</v>
      </c>
      <c r="AP15" s="131">
        <f t="shared" ca="1" si="11"/>
        <v>4.2142023123360142E-2</v>
      </c>
      <c r="AQ15" s="132">
        <v>324944</v>
      </c>
      <c r="AR15" s="131">
        <f t="shared" ca="1" si="12"/>
        <v>3.456989096585425E-2</v>
      </c>
      <c r="AS15" s="132">
        <v>266557.65000000008</v>
      </c>
      <c r="AT15" s="133">
        <f t="shared" ca="1" si="13"/>
        <v>1</v>
      </c>
      <c r="AU15" s="134">
        <f t="shared" ca="1" si="14"/>
        <v>7710688.1900000013</v>
      </c>
      <c r="AV15" s="134">
        <v>14231046.949999999</v>
      </c>
      <c r="AW15" s="134">
        <v>14231046.949999999</v>
      </c>
      <c r="AX15" s="134">
        <f t="shared" ca="1" si="15"/>
        <v>6520358.7599999979</v>
      </c>
      <c r="AY15" s="134">
        <v>300789.40000000002</v>
      </c>
      <c r="AZ15" s="134">
        <v>2914093.04</v>
      </c>
      <c r="BA15" s="135"/>
      <c r="CD15" s="104" t="s">
        <v>111</v>
      </c>
    </row>
    <row r="16" spans="1:82" x14ac:dyDescent="0.35">
      <c r="A16" s="129" t="s">
        <v>112</v>
      </c>
      <c r="B16" s="130" t="s">
        <v>37</v>
      </c>
      <c r="C16" s="131">
        <f t="shared" ca="1" si="16"/>
        <v>0.92053698162510633</v>
      </c>
      <c r="D16" s="132">
        <v>7941733.6600000001</v>
      </c>
      <c r="E16" s="131">
        <f t="shared" ca="1" si="17"/>
        <v>3.2292899014288348E-2</v>
      </c>
      <c r="F16" s="132">
        <v>278600</v>
      </c>
      <c r="G16" s="131">
        <f t="shared" ca="1" si="0"/>
        <v>0</v>
      </c>
      <c r="H16" s="132">
        <v>0</v>
      </c>
      <c r="I16" s="131">
        <f t="shared" ca="1" si="1"/>
        <v>4.7170119360605327E-2</v>
      </c>
      <c r="J16" s="132">
        <v>406950</v>
      </c>
      <c r="K16" s="133">
        <f t="shared" ca="1" si="2"/>
        <v>1</v>
      </c>
      <c r="L16" s="134">
        <f t="shared" ca="1" si="18"/>
        <v>8627283.6600000001</v>
      </c>
      <c r="M16" s="134">
        <v>15991812.68</v>
      </c>
      <c r="N16" s="134">
        <v>15988876.68</v>
      </c>
      <c r="O16" s="134">
        <f t="shared" ca="1" si="19"/>
        <v>7361593.0199999996</v>
      </c>
      <c r="P16" s="134">
        <v>115496</v>
      </c>
      <c r="Q16" s="134">
        <v>1153410.8399999999</v>
      </c>
      <c r="S16" s="129" t="s">
        <v>112</v>
      </c>
      <c r="T16" s="131">
        <f t="shared" ca="1" si="3"/>
        <v>0.92053698162510633</v>
      </c>
      <c r="U16" s="132">
        <v>7941733.6600000001</v>
      </c>
      <c r="V16" s="131">
        <f t="shared" ca="1" si="4"/>
        <v>3.2292899014288348E-2</v>
      </c>
      <c r="W16" s="132">
        <v>278600</v>
      </c>
      <c r="X16" s="131">
        <f t="shared" ca="1" si="5"/>
        <v>0</v>
      </c>
      <c r="Y16" s="132">
        <v>0</v>
      </c>
      <c r="Z16" s="131">
        <f t="shared" ca="1" si="6"/>
        <v>4.7170119360605327E-2</v>
      </c>
      <c r="AA16" s="132">
        <v>406950</v>
      </c>
      <c r="AB16" s="133">
        <f t="shared" ca="1" si="7"/>
        <v>1</v>
      </c>
      <c r="AC16" s="134">
        <f t="shared" ca="1" si="8"/>
        <v>8627283.6600000001</v>
      </c>
      <c r="AD16" s="134">
        <v>15991812.68</v>
      </c>
      <c r="AE16" s="134">
        <v>15988876.68</v>
      </c>
      <c r="AF16" s="134">
        <f t="shared" ca="1" si="20"/>
        <v>7361593.0199999996</v>
      </c>
      <c r="AG16" s="134">
        <v>115496</v>
      </c>
      <c r="AH16" s="134">
        <v>1153410.8399999999</v>
      </c>
      <c r="AI16" s="135"/>
      <c r="AJ16" s="135"/>
      <c r="AK16" s="136" t="s">
        <v>113</v>
      </c>
      <c r="AL16" s="131">
        <f t="shared" ca="1" si="9"/>
        <v>0.98103576406338655</v>
      </c>
      <c r="AM16" s="132">
        <v>7508198.419999999</v>
      </c>
      <c r="AN16" s="131">
        <f t="shared" ca="1" si="10"/>
        <v>3.4008036177019142E-4</v>
      </c>
      <c r="AO16" s="132">
        <v>2602.75</v>
      </c>
      <c r="AP16" s="131">
        <f t="shared" ca="1" si="11"/>
        <v>0</v>
      </c>
      <c r="AQ16" s="132">
        <v>0</v>
      </c>
      <c r="AR16" s="131">
        <f t="shared" ca="1" si="12"/>
        <v>1.862415557484326E-2</v>
      </c>
      <c r="AS16" s="132">
        <v>142536.95999999996</v>
      </c>
      <c r="AT16" s="133">
        <f t="shared" ca="1" si="13"/>
        <v>1</v>
      </c>
      <c r="AU16" s="134">
        <f t="shared" ca="1" si="14"/>
        <v>7653338.129999999</v>
      </c>
      <c r="AV16" s="134">
        <v>12815952.029999999</v>
      </c>
      <c r="AW16" s="134">
        <v>12815952.029999999</v>
      </c>
      <c r="AX16" s="134">
        <f t="shared" ca="1" si="15"/>
        <v>5162613.9000000004</v>
      </c>
      <c r="AY16" s="134">
        <v>0</v>
      </c>
      <c r="AZ16" s="134">
        <v>809557.14</v>
      </c>
      <c r="CD16" s="104" t="s">
        <v>114</v>
      </c>
    </row>
    <row r="17" spans="1:82" x14ac:dyDescent="0.35">
      <c r="A17" s="129" t="s">
        <v>115</v>
      </c>
      <c r="B17" s="130" t="s">
        <v>37</v>
      </c>
      <c r="C17" s="131">
        <f t="shared" ca="1" si="16"/>
        <v>0.90638524346238214</v>
      </c>
      <c r="D17" s="132">
        <v>14314575.650000002</v>
      </c>
      <c r="E17" s="131">
        <f t="shared" ca="1" si="17"/>
        <v>8.0510154140739712E-2</v>
      </c>
      <c r="F17" s="132">
        <v>1271499.8399999996</v>
      </c>
      <c r="G17" s="131">
        <f t="shared" ca="1" si="0"/>
        <v>0</v>
      </c>
      <c r="H17" s="132">
        <v>0</v>
      </c>
      <c r="I17" s="131">
        <f t="shared" ca="1" si="1"/>
        <v>1.3104602396878069E-2</v>
      </c>
      <c r="J17" s="132">
        <v>206961.46999999997</v>
      </c>
      <c r="K17" s="133">
        <f t="shared" ca="1" si="2"/>
        <v>1</v>
      </c>
      <c r="L17" s="134">
        <f t="shared" ca="1" si="18"/>
        <v>15793036.960000003</v>
      </c>
      <c r="M17" s="134">
        <v>22526897.450000007</v>
      </c>
      <c r="N17" s="134">
        <v>19871278.449999999</v>
      </c>
      <c r="O17" s="134">
        <f t="shared" ca="1" si="19"/>
        <v>4078241.4899999965</v>
      </c>
      <c r="P17" s="134">
        <v>4904030</v>
      </c>
      <c r="Q17" s="134">
        <v>12886373.769999998</v>
      </c>
      <c r="S17" s="129" t="s">
        <v>115</v>
      </c>
      <c r="T17" s="131">
        <f t="shared" ca="1" si="3"/>
        <v>0.90638524346238214</v>
      </c>
      <c r="U17" s="132">
        <v>14314575.650000002</v>
      </c>
      <c r="V17" s="131">
        <f t="shared" ca="1" si="4"/>
        <v>8.0510154140739712E-2</v>
      </c>
      <c r="W17" s="132">
        <v>1271499.8399999996</v>
      </c>
      <c r="X17" s="131">
        <f t="shared" ca="1" si="5"/>
        <v>0</v>
      </c>
      <c r="Y17" s="132">
        <v>0</v>
      </c>
      <c r="Z17" s="131">
        <f t="shared" ca="1" si="6"/>
        <v>1.3104602396878069E-2</v>
      </c>
      <c r="AA17" s="132">
        <v>206961.46999999997</v>
      </c>
      <c r="AB17" s="133">
        <f t="shared" ca="1" si="7"/>
        <v>1</v>
      </c>
      <c r="AC17" s="134">
        <f t="shared" ca="1" si="8"/>
        <v>15793036.960000003</v>
      </c>
      <c r="AD17" s="134">
        <v>22526897.450000007</v>
      </c>
      <c r="AE17" s="134">
        <v>19871278.449999999</v>
      </c>
      <c r="AF17" s="134">
        <f t="shared" ca="1" si="20"/>
        <v>4078241.4899999965</v>
      </c>
      <c r="AG17" s="134">
        <v>4904030</v>
      </c>
      <c r="AH17" s="134">
        <v>12886373.769999998</v>
      </c>
      <c r="AI17" s="135"/>
      <c r="AJ17" s="135"/>
      <c r="AK17" s="137" t="s">
        <v>25</v>
      </c>
      <c r="AL17" s="138">
        <f ca="1">IFERROR((AM17/$AU17),0)</f>
        <v>0.97631579793991996</v>
      </c>
      <c r="AM17" s="139">
        <f ca="1">SUM(AM5:AM16)</f>
        <v>162939331.17999995</v>
      </c>
      <c r="AN17" s="138">
        <f ca="1">IFERROR((AO17/$AU17),0)</f>
        <v>9.1882263998660074E-3</v>
      </c>
      <c r="AO17" s="139">
        <f ca="1">SUM(AO5:AO16)</f>
        <v>1533441.8100000008</v>
      </c>
      <c r="AP17" s="138">
        <f ca="1">IFERROR((AQ17/$AU17),0)</f>
        <v>4.3975263177189793E-3</v>
      </c>
      <c r="AQ17" s="139">
        <f ca="1">SUM(AQ5:AQ16)</f>
        <v>733912.12000000011</v>
      </c>
      <c r="AR17" s="138">
        <f ca="1">IFERROR((AS17/$AU17),0)</f>
        <v>1.0098449342494775E-2</v>
      </c>
      <c r="AS17" s="139">
        <f ca="1">SUM(AS5:AS16)</f>
        <v>1685350.7700000003</v>
      </c>
      <c r="AT17" s="138">
        <f ca="1">IFERROR((AU17/AU17),0)</f>
        <v>1</v>
      </c>
      <c r="AU17" s="139">
        <f t="shared" ref="AU17:AZ17" ca="1" si="21">SUM(AU5:AU16)</f>
        <v>166892035.88</v>
      </c>
      <c r="AV17" s="140">
        <f t="shared" ca="1" si="21"/>
        <v>230173675.26000002</v>
      </c>
      <c r="AW17" s="140">
        <f t="shared" ca="1" si="21"/>
        <v>230173675.26000002</v>
      </c>
      <c r="AX17" s="140">
        <f t="shared" ca="1" si="21"/>
        <v>63281639.380000003</v>
      </c>
      <c r="AY17" s="140">
        <f t="shared" ca="1" si="21"/>
        <v>11387517.890000001</v>
      </c>
      <c r="AZ17" s="140">
        <f t="shared" ca="1" si="21"/>
        <v>24830892.130000003</v>
      </c>
      <c r="CD17" s="104" t="s">
        <v>116</v>
      </c>
    </row>
    <row r="18" spans="1:82" x14ac:dyDescent="0.35">
      <c r="A18" s="129" t="s">
        <v>117</v>
      </c>
      <c r="B18" s="130" t="s">
        <v>37</v>
      </c>
      <c r="C18" s="131">
        <f t="shared" ca="1" si="16"/>
        <v>0.97694542059062361</v>
      </c>
      <c r="D18" s="132">
        <v>15184225.030000001</v>
      </c>
      <c r="E18" s="131">
        <f t="shared" ca="1" si="17"/>
        <v>2.3054579409376438E-2</v>
      </c>
      <c r="F18" s="132">
        <v>358327</v>
      </c>
      <c r="G18" s="131">
        <f t="shared" ca="1" si="0"/>
        <v>0</v>
      </c>
      <c r="H18" s="132">
        <v>0</v>
      </c>
      <c r="I18" s="131">
        <f t="shared" ca="1" si="1"/>
        <v>0</v>
      </c>
      <c r="J18" s="132">
        <v>0</v>
      </c>
      <c r="K18" s="133">
        <f t="shared" ca="1" si="2"/>
        <v>1</v>
      </c>
      <c r="L18" s="134">
        <f t="shared" ca="1" si="18"/>
        <v>15542552.030000001</v>
      </c>
      <c r="M18" s="134">
        <v>24398194</v>
      </c>
      <c r="N18" s="134">
        <v>23456739</v>
      </c>
      <c r="O18" s="134">
        <f t="shared" ca="1" si="19"/>
        <v>7914186.9699999988</v>
      </c>
      <c r="P18" s="134">
        <v>764849.04</v>
      </c>
      <c r="Q18" s="134">
        <v>1894600.63</v>
      </c>
      <c r="S18" s="129" t="s">
        <v>117</v>
      </c>
      <c r="T18" s="131">
        <f t="shared" ca="1" si="3"/>
        <v>0.97694542059062361</v>
      </c>
      <c r="U18" s="132">
        <v>15184225.030000001</v>
      </c>
      <c r="V18" s="131">
        <f t="shared" ca="1" si="4"/>
        <v>2.3054579409376438E-2</v>
      </c>
      <c r="W18" s="132">
        <v>358327</v>
      </c>
      <c r="X18" s="131">
        <f t="shared" ca="1" si="5"/>
        <v>0</v>
      </c>
      <c r="Y18" s="132">
        <v>0</v>
      </c>
      <c r="Z18" s="131">
        <f t="shared" ca="1" si="6"/>
        <v>0</v>
      </c>
      <c r="AA18" s="132">
        <v>0</v>
      </c>
      <c r="AB18" s="133">
        <f t="shared" ca="1" si="7"/>
        <v>1</v>
      </c>
      <c r="AC18" s="134">
        <f t="shared" ca="1" si="8"/>
        <v>15542552.030000001</v>
      </c>
      <c r="AD18" s="134">
        <v>24398194</v>
      </c>
      <c r="AE18" s="134">
        <v>23456739</v>
      </c>
      <c r="AF18" s="134">
        <f t="shared" ca="1" si="20"/>
        <v>7914186.9699999988</v>
      </c>
      <c r="AG18" s="134">
        <v>764849.04</v>
      </c>
      <c r="AH18" s="134">
        <v>1894600.63</v>
      </c>
      <c r="AI18" s="135"/>
      <c r="AJ18" s="135"/>
      <c r="CD18" s="104" t="s">
        <v>118</v>
      </c>
    </row>
    <row r="19" spans="1:82" x14ac:dyDescent="0.35">
      <c r="A19" s="129" t="s">
        <v>119</v>
      </c>
      <c r="B19" s="130" t="s">
        <v>37</v>
      </c>
      <c r="C19" s="131">
        <f t="shared" ca="1" si="16"/>
        <v>0.9129032083453793</v>
      </c>
      <c r="D19" s="132">
        <v>7005814.290000001</v>
      </c>
      <c r="E19" s="131">
        <f t="shared" ca="1" si="17"/>
        <v>6.5346903397665093E-2</v>
      </c>
      <c r="F19" s="132">
        <v>501486.1</v>
      </c>
      <c r="G19" s="131">
        <f t="shared" ca="1" si="0"/>
        <v>0</v>
      </c>
      <c r="H19" s="132">
        <v>0</v>
      </c>
      <c r="I19" s="131">
        <f t="shared" ca="1" si="1"/>
        <v>2.1749888256955601E-2</v>
      </c>
      <c r="J19" s="132">
        <v>166913.29000000004</v>
      </c>
      <c r="K19" s="133">
        <f t="shared" ca="1" si="2"/>
        <v>1</v>
      </c>
      <c r="L19" s="134">
        <f t="shared" ca="1" si="18"/>
        <v>7674213.6800000006</v>
      </c>
      <c r="M19" s="134">
        <v>13232585</v>
      </c>
      <c r="N19" s="134">
        <v>13139188</v>
      </c>
      <c r="O19" s="134">
        <f t="shared" ca="1" si="19"/>
        <v>5464974.3199999994</v>
      </c>
      <c r="P19" s="134">
        <v>834630.76</v>
      </c>
      <c r="Q19" s="134">
        <v>940270.6</v>
      </c>
      <c r="S19" s="129" t="s">
        <v>119</v>
      </c>
      <c r="T19" s="131">
        <f t="shared" ca="1" si="3"/>
        <v>0.9129032083453793</v>
      </c>
      <c r="U19" s="132">
        <v>7005814.290000001</v>
      </c>
      <c r="V19" s="131">
        <f t="shared" ca="1" si="4"/>
        <v>6.5346903397665093E-2</v>
      </c>
      <c r="W19" s="132">
        <v>501486.1</v>
      </c>
      <c r="X19" s="131">
        <f t="shared" ca="1" si="5"/>
        <v>0</v>
      </c>
      <c r="Y19" s="132">
        <v>0</v>
      </c>
      <c r="Z19" s="131">
        <f t="shared" ca="1" si="6"/>
        <v>2.1749888256955601E-2</v>
      </c>
      <c r="AA19" s="132">
        <v>166913.29000000004</v>
      </c>
      <c r="AB19" s="133">
        <f t="shared" ca="1" si="7"/>
        <v>1</v>
      </c>
      <c r="AC19" s="134">
        <f t="shared" ca="1" si="8"/>
        <v>7674213.6800000006</v>
      </c>
      <c r="AD19" s="134">
        <v>13232585</v>
      </c>
      <c r="AE19" s="134">
        <v>13139188</v>
      </c>
      <c r="AF19" s="134">
        <f t="shared" ca="1" si="20"/>
        <v>5464974.3199999994</v>
      </c>
      <c r="AG19" s="134">
        <v>834630.76</v>
      </c>
      <c r="AH19" s="134">
        <v>940270.6</v>
      </c>
      <c r="AI19" s="135"/>
      <c r="AJ19" s="135"/>
      <c r="CD19" s="104" t="s">
        <v>120</v>
      </c>
    </row>
    <row r="20" spans="1:82" x14ac:dyDescent="0.35">
      <c r="A20" s="129" t="s">
        <v>121</v>
      </c>
      <c r="B20" s="130" t="s">
        <v>37</v>
      </c>
      <c r="C20" s="131">
        <f t="shared" ca="1" si="16"/>
        <v>0.94915049228135762</v>
      </c>
      <c r="D20" s="132">
        <v>18476651.459999997</v>
      </c>
      <c r="E20" s="131">
        <f t="shared" ca="1" si="17"/>
        <v>2.076203975239508E-2</v>
      </c>
      <c r="F20" s="132">
        <v>404164.54000000004</v>
      </c>
      <c r="G20" s="131">
        <f t="shared" ca="1" si="0"/>
        <v>0</v>
      </c>
      <c r="H20" s="132">
        <v>0</v>
      </c>
      <c r="I20" s="131">
        <f t="shared" ca="1" si="1"/>
        <v>3.0087467966247259E-2</v>
      </c>
      <c r="J20" s="132">
        <v>585698.11999999988</v>
      </c>
      <c r="K20" s="133">
        <f t="shared" ca="1" si="2"/>
        <v>1</v>
      </c>
      <c r="L20" s="134">
        <f t="shared" ca="1" si="18"/>
        <v>19466514.119999997</v>
      </c>
      <c r="M20" s="134">
        <v>34307683.150000006</v>
      </c>
      <c r="N20" s="134">
        <v>34304665.150000006</v>
      </c>
      <c r="O20" s="134">
        <f t="shared" ca="1" si="19"/>
        <v>14838151.030000009</v>
      </c>
      <c r="P20" s="134">
        <v>3002346.88</v>
      </c>
      <c r="Q20" s="134">
        <v>1900761.17</v>
      </c>
      <c r="S20" s="129" t="s">
        <v>121</v>
      </c>
      <c r="T20" s="131">
        <f t="shared" ca="1" si="3"/>
        <v>0.94915049228135762</v>
      </c>
      <c r="U20" s="132">
        <v>18476651.459999997</v>
      </c>
      <c r="V20" s="131">
        <f t="shared" ca="1" si="4"/>
        <v>2.076203975239508E-2</v>
      </c>
      <c r="W20" s="132">
        <v>404164.54000000004</v>
      </c>
      <c r="X20" s="131">
        <f t="shared" ca="1" si="5"/>
        <v>0</v>
      </c>
      <c r="Y20" s="132">
        <v>0</v>
      </c>
      <c r="Z20" s="131">
        <f t="shared" ca="1" si="6"/>
        <v>3.0087467966247259E-2</v>
      </c>
      <c r="AA20" s="132">
        <v>585698.11999999988</v>
      </c>
      <c r="AB20" s="133">
        <f t="shared" ca="1" si="7"/>
        <v>1</v>
      </c>
      <c r="AC20" s="134">
        <f t="shared" ca="1" si="8"/>
        <v>19466514.119999997</v>
      </c>
      <c r="AD20" s="134">
        <v>34307683.150000006</v>
      </c>
      <c r="AE20" s="134">
        <v>34304665.150000006</v>
      </c>
      <c r="AF20" s="134">
        <f t="shared" ca="1" si="20"/>
        <v>14838151.030000009</v>
      </c>
      <c r="AG20" s="134">
        <v>3002346.88</v>
      </c>
      <c r="AH20" s="134">
        <v>1900761.17</v>
      </c>
      <c r="AI20" s="135"/>
      <c r="AJ20" s="135"/>
      <c r="CD20" s="104" t="s">
        <v>122</v>
      </c>
    </row>
    <row r="21" spans="1:82" x14ac:dyDescent="0.35">
      <c r="A21" s="129" t="s">
        <v>123</v>
      </c>
      <c r="B21" s="130" t="s">
        <v>37</v>
      </c>
      <c r="C21" s="131">
        <f t="shared" ca="1" si="16"/>
        <v>0.98050096311599411</v>
      </c>
      <c r="D21" s="132">
        <v>37113707.029999994</v>
      </c>
      <c r="E21" s="131">
        <f t="shared" ca="1" si="17"/>
        <v>1.0929972298008394E-2</v>
      </c>
      <c r="F21" s="132">
        <v>413718.91000000003</v>
      </c>
      <c r="G21" s="131">
        <f t="shared" ca="1" si="0"/>
        <v>5.6912493507448704E-3</v>
      </c>
      <c r="H21" s="132">
        <v>215423.91999999993</v>
      </c>
      <c r="I21" s="131">
        <f t="shared" ca="1" si="1"/>
        <v>2.8778152352527042E-3</v>
      </c>
      <c r="J21" s="132">
        <v>108930.43</v>
      </c>
      <c r="K21" s="133">
        <f t="shared" ca="1" si="2"/>
        <v>1</v>
      </c>
      <c r="L21" s="134">
        <f t="shared" ca="1" si="18"/>
        <v>37851780.289999992</v>
      </c>
      <c r="M21" s="134">
        <v>48793859.700000003</v>
      </c>
      <c r="N21" s="134">
        <v>47128653.700000003</v>
      </c>
      <c r="O21" s="134">
        <f t="shared" ca="1" si="19"/>
        <v>9276873.4100000113</v>
      </c>
      <c r="P21" s="134">
        <v>3695674.92</v>
      </c>
      <c r="Q21" s="134">
        <v>5689526.5099999998</v>
      </c>
      <c r="S21" s="129" t="s">
        <v>123</v>
      </c>
      <c r="T21" s="131">
        <f t="shared" ca="1" si="3"/>
        <v>0.98050096311599411</v>
      </c>
      <c r="U21" s="132">
        <v>37113707.029999994</v>
      </c>
      <c r="V21" s="131">
        <f t="shared" ca="1" si="4"/>
        <v>1.0929972298008394E-2</v>
      </c>
      <c r="W21" s="132">
        <v>413718.91000000003</v>
      </c>
      <c r="X21" s="131">
        <f t="shared" ca="1" si="5"/>
        <v>5.6912493507448704E-3</v>
      </c>
      <c r="Y21" s="132">
        <v>215423.91999999993</v>
      </c>
      <c r="Z21" s="131">
        <f t="shared" ca="1" si="6"/>
        <v>2.8778152352527042E-3</v>
      </c>
      <c r="AA21" s="132">
        <v>108930.43</v>
      </c>
      <c r="AB21" s="133">
        <f t="shared" ca="1" si="7"/>
        <v>1</v>
      </c>
      <c r="AC21" s="134">
        <f t="shared" ca="1" si="8"/>
        <v>37851780.289999992</v>
      </c>
      <c r="AD21" s="134">
        <v>48793859.700000003</v>
      </c>
      <c r="AE21" s="134">
        <v>47128653.700000003</v>
      </c>
      <c r="AF21" s="134">
        <f t="shared" ca="1" si="20"/>
        <v>9276873.4100000113</v>
      </c>
      <c r="AG21" s="134">
        <v>3695674.92</v>
      </c>
      <c r="AH21" s="134">
        <v>5689526.5099999998</v>
      </c>
      <c r="AI21" s="135"/>
      <c r="AJ21" s="135"/>
      <c r="CD21" s="104" t="s">
        <v>124</v>
      </c>
    </row>
    <row r="22" spans="1:82" x14ac:dyDescent="0.35">
      <c r="A22" s="129" t="s">
        <v>125</v>
      </c>
      <c r="B22" s="130" t="s">
        <v>37</v>
      </c>
      <c r="C22" s="131">
        <f t="shared" ca="1" si="16"/>
        <v>0.94452938961794231</v>
      </c>
      <c r="D22" s="132">
        <v>18293357.25</v>
      </c>
      <c r="E22" s="131">
        <f t="shared" ca="1" si="17"/>
        <v>4.5643214875224651E-2</v>
      </c>
      <c r="F22" s="132">
        <v>884003.86999999988</v>
      </c>
      <c r="G22" s="131">
        <f t="shared" ca="1" si="0"/>
        <v>0</v>
      </c>
      <c r="H22" s="132">
        <v>0</v>
      </c>
      <c r="I22" s="131">
        <f t="shared" ca="1" si="1"/>
        <v>9.8273955068330296E-3</v>
      </c>
      <c r="J22" s="132">
        <v>190334</v>
      </c>
      <c r="K22" s="133">
        <f t="shared" ca="1" si="2"/>
        <v>1</v>
      </c>
      <c r="L22" s="134">
        <f t="shared" ca="1" si="18"/>
        <v>19367695.120000001</v>
      </c>
      <c r="M22" s="134">
        <v>20367536</v>
      </c>
      <c r="N22" s="134">
        <v>19567536</v>
      </c>
      <c r="O22" s="134">
        <f t="shared" ca="1" si="19"/>
        <v>199840.87999999896</v>
      </c>
      <c r="P22" s="134">
        <v>898717.99</v>
      </c>
      <c r="Q22" s="134">
        <v>1219568.7799999998</v>
      </c>
      <c r="S22" s="129" t="s">
        <v>125</v>
      </c>
      <c r="T22" s="131">
        <f t="shared" ca="1" si="3"/>
        <v>0.94452938961794231</v>
      </c>
      <c r="U22" s="132">
        <v>18293357.25</v>
      </c>
      <c r="V22" s="131">
        <f t="shared" ca="1" si="4"/>
        <v>4.5643214875224651E-2</v>
      </c>
      <c r="W22" s="132">
        <v>884003.86999999988</v>
      </c>
      <c r="X22" s="131">
        <f t="shared" ca="1" si="5"/>
        <v>0</v>
      </c>
      <c r="Y22" s="132">
        <v>0</v>
      </c>
      <c r="Z22" s="131">
        <f t="shared" ca="1" si="6"/>
        <v>9.8273955068330296E-3</v>
      </c>
      <c r="AA22" s="132">
        <v>190334</v>
      </c>
      <c r="AB22" s="133">
        <f t="shared" ca="1" si="7"/>
        <v>1</v>
      </c>
      <c r="AC22" s="134">
        <f t="shared" ca="1" si="8"/>
        <v>19367695.120000001</v>
      </c>
      <c r="AD22" s="134">
        <v>20367536</v>
      </c>
      <c r="AE22" s="134">
        <v>19567536</v>
      </c>
      <c r="AF22" s="134">
        <f t="shared" ca="1" si="20"/>
        <v>199840.87999999896</v>
      </c>
      <c r="AG22" s="134">
        <v>898717.99</v>
      </c>
      <c r="AH22" s="134">
        <v>1219568.7799999998</v>
      </c>
      <c r="AI22" s="135"/>
      <c r="AJ22" s="135"/>
      <c r="CD22" s="104" t="s">
        <v>126</v>
      </c>
    </row>
    <row r="23" spans="1:82" x14ac:dyDescent="0.35">
      <c r="A23" s="129" t="s">
        <v>127</v>
      </c>
      <c r="B23" s="130" t="s">
        <v>37</v>
      </c>
      <c r="C23" s="131">
        <f t="shared" ca="1" si="16"/>
        <v>0.98630621652087158</v>
      </c>
      <c r="D23" s="132">
        <v>8080436.7600000016</v>
      </c>
      <c r="E23" s="131">
        <f t="shared" ca="1" si="17"/>
        <v>2.6707313664245418E-4</v>
      </c>
      <c r="F23" s="132">
        <v>2188.0300000000279</v>
      </c>
      <c r="G23" s="131">
        <f t="shared" ca="1" si="0"/>
        <v>1.0985490280215796E-2</v>
      </c>
      <c r="H23" s="132">
        <v>90000</v>
      </c>
      <c r="I23" s="131">
        <f t="shared" ca="1" si="1"/>
        <v>2.4412200622701769E-3</v>
      </c>
      <c r="J23" s="132">
        <v>20000</v>
      </c>
      <c r="K23" s="133">
        <f t="shared" ca="1" si="2"/>
        <v>1</v>
      </c>
      <c r="L23" s="134">
        <f t="shared" ca="1" si="18"/>
        <v>8192624.7900000019</v>
      </c>
      <c r="M23" s="134">
        <v>13109149.119999999</v>
      </c>
      <c r="N23" s="134">
        <v>12739757.119999999</v>
      </c>
      <c r="O23" s="134">
        <f t="shared" ca="1" si="19"/>
        <v>4547132.3299999973</v>
      </c>
      <c r="P23" s="134">
        <v>1593289.9300000002</v>
      </c>
      <c r="Q23" s="134">
        <v>1310142.8</v>
      </c>
      <c r="S23" s="129" t="s">
        <v>127</v>
      </c>
      <c r="T23" s="131">
        <f t="shared" ca="1" si="3"/>
        <v>0.98630621652087158</v>
      </c>
      <c r="U23" s="132">
        <v>8080436.7600000016</v>
      </c>
      <c r="V23" s="131">
        <f t="shared" ca="1" si="4"/>
        <v>2.6707313664245418E-4</v>
      </c>
      <c r="W23" s="132">
        <v>2188.0300000000279</v>
      </c>
      <c r="X23" s="131">
        <f t="shared" ca="1" si="5"/>
        <v>1.0985490280215796E-2</v>
      </c>
      <c r="Y23" s="132">
        <v>90000</v>
      </c>
      <c r="Z23" s="131">
        <f t="shared" ca="1" si="6"/>
        <v>2.4412200622701769E-3</v>
      </c>
      <c r="AA23" s="132">
        <v>20000</v>
      </c>
      <c r="AB23" s="133">
        <f t="shared" ca="1" si="7"/>
        <v>1</v>
      </c>
      <c r="AC23" s="134">
        <f t="shared" ca="1" si="8"/>
        <v>8192624.7900000019</v>
      </c>
      <c r="AD23" s="134">
        <v>13109149.119999999</v>
      </c>
      <c r="AE23" s="134">
        <v>12739757.119999999</v>
      </c>
      <c r="AF23" s="134">
        <f t="shared" ca="1" si="20"/>
        <v>4547132.3299999973</v>
      </c>
      <c r="AG23" s="134">
        <v>1593289.9300000002</v>
      </c>
      <c r="AH23" s="134">
        <v>1310142.8</v>
      </c>
      <c r="AI23" s="135"/>
      <c r="AJ23" s="135"/>
      <c r="CD23" s="104" t="s">
        <v>128</v>
      </c>
    </row>
    <row r="24" spans="1:82" x14ac:dyDescent="0.35">
      <c r="A24" s="129" t="s">
        <v>129</v>
      </c>
      <c r="B24" s="130" t="s">
        <v>37</v>
      </c>
      <c r="C24" s="131">
        <f t="shared" ca="1" si="16"/>
        <v>0.97419190487510043</v>
      </c>
      <c r="D24" s="132">
        <v>17764491.129999999</v>
      </c>
      <c r="E24" s="131">
        <f t="shared" ca="1" si="17"/>
        <v>1.0923157619161952E-2</v>
      </c>
      <c r="F24" s="132">
        <v>199184.91999999993</v>
      </c>
      <c r="G24" s="131">
        <f t="shared" ca="1" si="0"/>
        <v>0</v>
      </c>
      <c r="H24" s="132">
        <v>0</v>
      </c>
      <c r="I24" s="131">
        <f t="shared" ca="1" si="1"/>
        <v>1.4884937505737694E-2</v>
      </c>
      <c r="J24" s="132">
        <v>271428.3899999999</v>
      </c>
      <c r="K24" s="133">
        <f t="shared" ca="1" si="2"/>
        <v>1</v>
      </c>
      <c r="L24" s="134">
        <f t="shared" ca="1" si="18"/>
        <v>18235104.439999998</v>
      </c>
      <c r="M24" s="134">
        <v>32970272.320000004</v>
      </c>
      <c r="N24" s="134">
        <v>31995625.010000002</v>
      </c>
      <c r="O24" s="134">
        <f t="shared" ca="1" si="19"/>
        <v>13760520.570000004</v>
      </c>
      <c r="P24" s="134">
        <v>1865929.98</v>
      </c>
      <c r="Q24" s="134">
        <v>3993075.2800000003</v>
      </c>
      <c r="S24" s="129" t="s">
        <v>129</v>
      </c>
      <c r="T24" s="131">
        <f t="shared" ca="1" si="3"/>
        <v>0.97419190487510043</v>
      </c>
      <c r="U24" s="132">
        <v>17764491.129999999</v>
      </c>
      <c r="V24" s="131">
        <f t="shared" ca="1" si="4"/>
        <v>1.0923157619161952E-2</v>
      </c>
      <c r="W24" s="132">
        <v>199184.91999999993</v>
      </c>
      <c r="X24" s="131">
        <f t="shared" ca="1" si="5"/>
        <v>0</v>
      </c>
      <c r="Y24" s="132">
        <v>0</v>
      </c>
      <c r="Z24" s="131">
        <f t="shared" ca="1" si="6"/>
        <v>1.4884937505737694E-2</v>
      </c>
      <c r="AA24" s="132">
        <v>271428.3899999999</v>
      </c>
      <c r="AB24" s="133">
        <f t="shared" ca="1" si="7"/>
        <v>1</v>
      </c>
      <c r="AC24" s="134">
        <f t="shared" ca="1" si="8"/>
        <v>18235104.439999998</v>
      </c>
      <c r="AD24" s="134">
        <v>32970272.320000004</v>
      </c>
      <c r="AE24" s="134">
        <v>31995625.010000002</v>
      </c>
      <c r="AF24" s="134">
        <f t="shared" ca="1" si="20"/>
        <v>13760520.570000004</v>
      </c>
      <c r="AG24" s="134">
        <v>1865929.98</v>
      </c>
      <c r="AH24" s="134">
        <v>3993075.2800000003</v>
      </c>
      <c r="AI24" s="135"/>
      <c r="AJ24" s="135"/>
      <c r="CD24" s="104" t="s">
        <v>130</v>
      </c>
    </row>
    <row r="25" spans="1:82" x14ac:dyDescent="0.35">
      <c r="A25" s="129" t="s">
        <v>131</v>
      </c>
      <c r="B25" s="130" t="s">
        <v>37</v>
      </c>
      <c r="C25" s="131">
        <f t="shared" ca="1" si="16"/>
        <v>0.9062014013666001</v>
      </c>
      <c r="D25" s="132">
        <v>17867720.950000003</v>
      </c>
      <c r="E25" s="131">
        <f t="shared" ca="1" si="17"/>
        <v>8.0476753247429478E-2</v>
      </c>
      <c r="F25" s="132">
        <v>1586773.28</v>
      </c>
      <c r="G25" s="131">
        <f t="shared" ca="1" si="0"/>
        <v>0</v>
      </c>
      <c r="H25" s="132">
        <v>0</v>
      </c>
      <c r="I25" s="131">
        <f t="shared" ca="1" si="1"/>
        <v>1.332184538597036E-2</v>
      </c>
      <c r="J25" s="132">
        <v>262669</v>
      </c>
      <c r="K25" s="133">
        <f t="shared" ca="1" si="2"/>
        <v>1</v>
      </c>
      <c r="L25" s="134">
        <f t="shared" ca="1" si="18"/>
        <v>19717163.230000004</v>
      </c>
      <c r="M25" s="134">
        <v>39133322.020000003</v>
      </c>
      <c r="N25" s="134">
        <v>35147532.019999996</v>
      </c>
      <c r="O25" s="134">
        <f t="shared" ca="1" si="19"/>
        <v>15430368.789999992</v>
      </c>
      <c r="P25" s="134">
        <v>1210832</v>
      </c>
      <c r="Q25" s="134">
        <v>5792110</v>
      </c>
      <c r="S25" s="129" t="s">
        <v>131</v>
      </c>
      <c r="T25" s="131">
        <f t="shared" ca="1" si="3"/>
        <v>0.9062014013666001</v>
      </c>
      <c r="U25" s="132">
        <v>17867720.950000003</v>
      </c>
      <c r="V25" s="131">
        <f t="shared" ca="1" si="4"/>
        <v>8.0476753247429478E-2</v>
      </c>
      <c r="W25" s="132">
        <v>1586773.28</v>
      </c>
      <c r="X25" s="131">
        <f t="shared" ca="1" si="5"/>
        <v>0</v>
      </c>
      <c r="Y25" s="132">
        <v>0</v>
      </c>
      <c r="Z25" s="131">
        <f t="shared" ca="1" si="6"/>
        <v>1.332184538597036E-2</v>
      </c>
      <c r="AA25" s="132">
        <v>262669</v>
      </c>
      <c r="AB25" s="133">
        <f t="shared" ca="1" si="7"/>
        <v>1</v>
      </c>
      <c r="AC25" s="134">
        <f t="shared" ca="1" si="8"/>
        <v>19717163.230000004</v>
      </c>
      <c r="AD25" s="134">
        <v>39133322.020000003</v>
      </c>
      <c r="AE25" s="134">
        <v>35147532.019999996</v>
      </c>
      <c r="AF25" s="134">
        <f t="shared" ca="1" si="20"/>
        <v>15430368.789999992</v>
      </c>
      <c r="AG25" s="134">
        <v>1210832</v>
      </c>
      <c r="AH25" s="134">
        <v>5792110</v>
      </c>
      <c r="AI25" s="135"/>
      <c r="AJ25" s="135"/>
      <c r="CD25" s="104" t="s">
        <v>132</v>
      </c>
    </row>
    <row r="26" spans="1:82" x14ac:dyDescent="0.35">
      <c r="A26" s="129" t="s">
        <v>133</v>
      </c>
      <c r="B26" s="130" t="s">
        <v>37</v>
      </c>
      <c r="C26" s="131">
        <f t="shared" ca="1" si="16"/>
        <v>0</v>
      </c>
      <c r="D26" s="132">
        <v>0</v>
      </c>
      <c r="E26" s="131">
        <f t="shared" ca="1" si="17"/>
        <v>0</v>
      </c>
      <c r="F26" s="132">
        <v>0</v>
      </c>
      <c r="G26" s="131">
        <f t="shared" ca="1" si="0"/>
        <v>0</v>
      </c>
      <c r="H26" s="132">
        <v>0</v>
      </c>
      <c r="I26" s="131">
        <f t="shared" ca="1" si="1"/>
        <v>0</v>
      </c>
      <c r="J26" s="132">
        <v>0</v>
      </c>
      <c r="K26" s="133">
        <f t="shared" ca="1" si="2"/>
        <v>0</v>
      </c>
      <c r="L26" s="134">
        <f t="shared" ca="1" si="18"/>
        <v>0</v>
      </c>
      <c r="M26" s="134">
        <v>0</v>
      </c>
      <c r="N26" s="134">
        <v>0</v>
      </c>
      <c r="O26" s="134">
        <f t="shared" ca="1" si="19"/>
        <v>0</v>
      </c>
      <c r="P26" s="134">
        <v>0</v>
      </c>
      <c r="Q26" s="134">
        <v>0</v>
      </c>
      <c r="S26" s="129" t="s">
        <v>133</v>
      </c>
      <c r="T26" s="131">
        <f t="shared" ca="1" si="3"/>
        <v>0</v>
      </c>
      <c r="U26" s="132">
        <v>0</v>
      </c>
      <c r="V26" s="131">
        <f t="shared" ca="1" si="4"/>
        <v>0</v>
      </c>
      <c r="W26" s="132">
        <v>0</v>
      </c>
      <c r="X26" s="131">
        <f t="shared" ca="1" si="5"/>
        <v>0</v>
      </c>
      <c r="Y26" s="132">
        <v>0</v>
      </c>
      <c r="Z26" s="131">
        <f t="shared" ca="1" si="6"/>
        <v>0</v>
      </c>
      <c r="AA26" s="132">
        <v>0</v>
      </c>
      <c r="AB26" s="133">
        <f t="shared" ca="1" si="7"/>
        <v>0</v>
      </c>
      <c r="AC26" s="134">
        <f t="shared" ca="1" si="8"/>
        <v>0</v>
      </c>
      <c r="AD26" s="134">
        <v>0</v>
      </c>
      <c r="AE26" s="134">
        <v>0</v>
      </c>
      <c r="AF26" s="134">
        <f t="shared" ca="1" si="20"/>
        <v>0</v>
      </c>
      <c r="AG26" s="134">
        <v>0</v>
      </c>
      <c r="AH26" s="134">
        <v>0</v>
      </c>
      <c r="AI26" s="135"/>
      <c r="AJ26" s="135"/>
      <c r="CD26" s="104" t="s">
        <v>134</v>
      </c>
    </row>
    <row r="27" spans="1:82" x14ac:dyDescent="0.35">
      <c r="A27" s="129" t="s">
        <v>135</v>
      </c>
      <c r="B27" s="130" t="s">
        <v>37</v>
      </c>
      <c r="C27" s="131">
        <f t="shared" ca="1" si="16"/>
        <v>0.98400555448930838</v>
      </c>
      <c r="D27" s="132">
        <v>33098308.029999994</v>
      </c>
      <c r="E27" s="131">
        <f t="shared" ca="1" si="17"/>
        <v>9.251225052101842E-3</v>
      </c>
      <c r="F27" s="132">
        <v>311177</v>
      </c>
      <c r="G27" s="131">
        <f t="shared" ca="1" si="0"/>
        <v>2.6244858879333833E-3</v>
      </c>
      <c r="H27" s="132">
        <v>88278</v>
      </c>
      <c r="I27" s="131">
        <f t="shared" ca="1" si="1"/>
        <v>4.11873457065637E-3</v>
      </c>
      <c r="J27" s="132">
        <v>138539</v>
      </c>
      <c r="K27" s="133">
        <f t="shared" ca="1" si="2"/>
        <v>1</v>
      </c>
      <c r="L27" s="134">
        <f t="shared" ca="1" si="18"/>
        <v>33636302.029999994</v>
      </c>
      <c r="M27" s="134">
        <v>52490113.649999991</v>
      </c>
      <c r="N27" s="134">
        <v>52490113.649999991</v>
      </c>
      <c r="O27" s="134">
        <f t="shared" ca="1" si="19"/>
        <v>18853811.619999997</v>
      </c>
      <c r="P27" s="134">
        <v>2966512.1399999997</v>
      </c>
      <c r="Q27" s="134">
        <v>5752351.0000000019</v>
      </c>
      <c r="S27" s="129" t="s">
        <v>135</v>
      </c>
      <c r="T27" s="131">
        <f t="shared" ca="1" si="3"/>
        <v>0.98400555448930838</v>
      </c>
      <c r="U27" s="132">
        <v>33098308.029999994</v>
      </c>
      <c r="V27" s="131">
        <f t="shared" ca="1" si="4"/>
        <v>9.251225052101842E-3</v>
      </c>
      <c r="W27" s="132">
        <v>311177</v>
      </c>
      <c r="X27" s="131">
        <f t="shared" ca="1" si="5"/>
        <v>2.6244858879333833E-3</v>
      </c>
      <c r="Y27" s="132">
        <v>88278</v>
      </c>
      <c r="Z27" s="131">
        <f t="shared" ca="1" si="6"/>
        <v>4.11873457065637E-3</v>
      </c>
      <c r="AA27" s="132">
        <v>138539</v>
      </c>
      <c r="AB27" s="133">
        <f t="shared" ca="1" si="7"/>
        <v>1</v>
      </c>
      <c r="AC27" s="134">
        <f t="shared" ca="1" si="8"/>
        <v>33636302.029999994</v>
      </c>
      <c r="AD27" s="134">
        <v>52490113.649999991</v>
      </c>
      <c r="AE27" s="134">
        <v>52490113.649999991</v>
      </c>
      <c r="AF27" s="134">
        <f t="shared" ca="1" si="20"/>
        <v>18853811.619999997</v>
      </c>
      <c r="AG27" s="134">
        <v>2966512.1399999997</v>
      </c>
      <c r="AH27" s="134">
        <v>5752351.0000000019</v>
      </c>
      <c r="AI27" s="135"/>
      <c r="AJ27" s="135"/>
      <c r="CD27" s="104" t="s">
        <v>136</v>
      </c>
    </row>
    <row r="28" spans="1:82" x14ac:dyDescent="0.35">
      <c r="A28" s="129" t="s">
        <v>137</v>
      </c>
      <c r="B28" s="130" t="s">
        <v>37</v>
      </c>
      <c r="C28" s="131">
        <f t="shared" ca="1" si="16"/>
        <v>0</v>
      </c>
      <c r="D28" s="132">
        <v>0</v>
      </c>
      <c r="E28" s="131">
        <f t="shared" ca="1" si="17"/>
        <v>0</v>
      </c>
      <c r="F28" s="132">
        <v>0</v>
      </c>
      <c r="G28" s="131">
        <f t="shared" ca="1" si="0"/>
        <v>0</v>
      </c>
      <c r="H28" s="132">
        <v>0</v>
      </c>
      <c r="I28" s="131">
        <f t="shared" ca="1" si="1"/>
        <v>0</v>
      </c>
      <c r="J28" s="132">
        <v>0</v>
      </c>
      <c r="K28" s="133">
        <f t="shared" ca="1" si="2"/>
        <v>0</v>
      </c>
      <c r="L28" s="134">
        <f t="shared" ca="1" si="18"/>
        <v>0</v>
      </c>
      <c r="M28" s="134">
        <v>0</v>
      </c>
      <c r="N28" s="134">
        <v>0</v>
      </c>
      <c r="O28" s="134">
        <f t="shared" ca="1" si="19"/>
        <v>0</v>
      </c>
      <c r="P28" s="134">
        <v>0</v>
      </c>
      <c r="Q28" s="134">
        <v>0</v>
      </c>
      <c r="S28" s="129" t="s">
        <v>137</v>
      </c>
      <c r="T28" s="131">
        <f t="shared" ca="1" si="3"/>
        <v>0</v>
      </c>
      <c r="U28" s="132">
        <v>0</v>
      </c>
      <c r="V28" s="131">
        <f t="shared" ca="1" si="4"/>
        <v>0</v>
      </c>
      <c r="W28" s="132">
        <v>0</v>
      </c>
      <c r="X28" s="131">
        <f t="shared" ca="1" si="5"/>
        <v>0</v>
      </c>
      <c r="Y28" s="132">
        <v>0</v>
      </c>
      <c r="Z28" s="131">
        <f t="shared" ca="1" si="6"/>
        <v>0</v>
      </c>
      <c r="AA28" s="132">
        <v>0</v>
      </c>
      <c r="AB28" s="133">
        <f t="shared" ca="1" si="7"/>
        <v>0</v>
      </c>
      <c r="AC28" s="134">
        <f t="shared" ca="1" si="8"/>
        <v>0</v>
      </c>
      <c r="AD28" s="134">
        <v>0</v>
      </c>
      <c r="AE28" s="134">
        <v>0</v>
      </c>
      <c r="AF28" s="134">
        <f t="shared" ca="1" si="20"/>
        <v>0</v>
      </c>
      <c r="AG28" s="134">
        <v>0</v>
      </c>
      <c r="AH28" s="134">
        <v>0</v>
      </c>
      <c r="AI28" s="135"/>
      <c r="AJ28" s="135"/>
      <c r="CD28" s="104" t="s">
        <v>138</v>
      </c>
    </row>
    <row r="29" spans="1:82" x14ac:dyDescent="0.35">
      <c r="A29" s="129" t="s">
        <v>139</v>
      </c>
      <c r="B29" s="130" t="s">
        <v>37</v>
      </c>
      <c r="C29" s="131">
        <f t="shared" ca="1" si="16"/>
        <v>0.91930604283542983</v>
      </c>
      <c r="D29" s="132">
        <v>9305703.7699999996</v>
      </c>
      <c r="E29" s="131">
        <f t="shared" ca="1" si="17"/>
        <v>4.9524373689139589E-2</v>
      </c>
      <c r="F29" s="132">
        <v>501312.00000000006</v>
      </c>
      <c r="G29" s="131">
        <f t="shared" ca="1" si="0"/>
        <v>0</v>
      </c>
      <c r="H29" s="132">
        <v>0</v>
      </c>
      <c r="I29" s="131">
        <f t="shared" ca="1" si="1"/>
        <v>3.1169583475430532E-2</v>
      </c>
      <c r="J29" s="132">
        <v>315515.06999999995</v>
      </c>
      <c r="K29" s="133">
        <f t="shared" ca="1" si="2"/>
        <v>1</v>
      </c>
      <c r="L29" s="134">
        <f t="shared" ca="1" si="18"/>
        <v>10122530.84</v>
      </c>
      <c r="M29" s="134">
        <v>21268762.369999994</v>
      </c>
      <c r="N29" s="134">
        <v>21267034.369999994</v>
      </c>
      <c r="O29" s="134">
        <f t="shared" ca="1" si="19"/>
        <v>11144503.529999994</v>
      </c>
      <c r="P29" s="134">
        <v>1561007.29</v>
      </c>
      <c r="Q29" s="134">
        <v>1232326.78</v>
      </c>
      <c r="S29" s="129" t="s">
        <v>139</v>
      </c>
      <c r="T29" s="131">
        <f t="shared" ca="1" si="3"/>
        <v>0.91930604283542983</v>
      </c>
      <c r="U29" s="132">
        <v>9305703.7699999996</v>
      </c>
      <c r="V29" s="131">
        <f t="shared" ca="1" si="4"/>
        <v>4.9524373689139589E-2</v>
      </c>
      <c r="W29" s="132">
        <v>501312.00000000006</v>
      </c>
      <c r="X29" s="131">
        <f t="shared" ca="1" si="5"/>
        <v>0</v>
      </c>
      <c r="Y29" s="132">
        <v>0</v>
      </c>
      <c r="Z29" s="131">
        <f t="shared" ca="1" si="6"/>
        <v>3.1169583475430532E-2</v>
      </c>
      <c r="AA29" s="132">
        <v>315515.06999999995</v>
      </c>
      <c r="AB29" s="133">
        <f t="shared" ca="1" si="7"/>
        <v>1</v>
      </c>
      <c r="AC29" s="134">
        <f t="shared" ca="1" si="8"/>
        <v>10122530.84</v>
      </c>
      <c r="AD29" s="134">
        <v>21268762.369999994</v>
      </c>
      <c r="AE29" s="134">
        <v>21267034.369999994</v>
      </c>
      <c r="AF29" s="134">
        <f t="shared" ca="1" si="20"/>
        <v>11144503.529999994</v>
      </c>
      <c r="AG29" s="134">
        <v>1561007.29</v>
      </c>
      <c r="AH29" s="134">
        <v>1232326.78</v>
      </c>
      <c r="AI29" s="135"/>
      <c r="AJ29" s="135"/>
      <c r="CD29" s="104" t="s">
        <v>140</v>
      </c>
    </row>
    <row r="30" spans="1:82" x14ac:dyDescent="0.35">
      <c r="A30" s="129" t="s">
        <v>141</v>
      </c>
      <c r="B30" s="130" t="s">
        <v>37</v>
      </c>
      <c r="C30" s="131">
        <f t="shared" ca="1" si="16"/>
        <v>0.91195330738972824</v>
      </c>
      <c r="D30" s="132">
        <v>23800988.990000002</v>
      </c>
      <c r="E30" s="131">
        <f t="shared" ca="1" si="17"/>
        <v>5.7746118615383535E-2</v>
      </c>
      <c r="F30" s="132">
        <v>1507110.86</v>
      </c>
      <c r="G30" s="131">
        <f t="shared" ca="1" si="0"/>
        <v>0</v>
      </c>
      <c r="H30" s="132">
        <v>0</v>
      </c>
      <c r="I30" s="131">
        <f t="shared" ca="1" si="1"/>
        <v>3.0300573994888374E-2</v>
      </c>
      <c r="J30" s="132">
        <v>790812.00999999978</v>
      </c>
      <c r="K30" s="133">
        <f t="shared" ca="1" si="2"/>
        <v>1</v>
      </c>
      <c r="L30" s="134">
        <f t="shared" ca="1" si="18"/>
        <v>26098911.859999999</v>
      </c>
      <c r="M30" s="134">
        <v>34013639.969999999</v>
      </c>
      <c r="N30" s="134">
        <v>33027287.469999999</v>
      </c>
      <c r="O30" s="134">
        <f t="shared" ca="1" si="19"/>
        <v>6928375.6099999994</v>
      </c>
      <c r="P30" s="134">
        <v>2505563.7000000002</v>
      </c>
      <c r="Q30" s="134">
        <v>1020916</v>
      </c>
      <c r="S30" s="129" t="s">
        <v>141</v>
      </c>
      <c r="T30" s="131">
        <f t="shared" ca="1" si="3"/>
        <v>0.91195330738972824</v>
      </c>
      <c r="U30" s="132">
        <v>23800988.990000002</v>
      </c>
      <c r="V30" s="131">
        <f t="shared" ca="1" si="4"/>
        <v>5.7746118615383535E-2</v>
      </c>
      <c r="W30" s="132">
        <v>1507110.86</v>
      </c>
      <c r="X30" s="131">
        <f t="shared" ca="1" si="5"/>
        <v>0</v>
      </c>
      <c r="Y30" s="132">
        <v>0</v>
      </c>
      <c r="Z30" s="131">
        <f t="shared" ca="1" si="6"/>
        <v>3.0300573994888374E-2</v>
      </c>
      <c r="AA30" s="132">
        <v>790812.00999999978</v>
      </c>
      <c r="AB30" s="133">
        <f t="shared" ca="1" si="7"/>
        <v>1</v>
      </c>
      <c r="AC30" s="134">
        <f t="shared" ca="1" si="8"/>
        <v>26098911.859999999</v>
      </c>
      <c r="AD30" s="134">
        <v>34013639.969999999</v>
      </c>
      <c r="AE30" s="134">
        <v>33027287.469999999</v>
      </c>
      <c r="AF30" s="134">
        <f t="shared" ca="1" si="20"/>
        <v>6928375.6099999994</v>
      </c>
      <c r="AG30" s="134">
        <v>2505563.7000000002</v>
      </c>
      <c r="AH30" s="134">
        <v>1020916</v>
      </c>
      <c r="AI30" s="135"/>
      <c r="AJ30" s="135"/>
      <c r="CD30" s="104" t="s">
        <v>142</v>
      </c>
    </row>
    <row r="31" spans="1:82" x14ac:dyDescent="0.35">
      <c r="A31" s="136" t="s">
        <v>80</v>
      </c>
      <c r="B31" s="141" t="s">
        <v>38</v>
      </c>
      <c r="C31" s="131">
        <f ca="1">IFERROR((D31/$L31),0)</f>
        <v>0.99929691418687461</v>
      </c>
      <c r="D31" s="132">
        <v>12233852.580000006</v>
      </c>
      <c r="E31" s="131">
        <f t="shared" ca="1" si="17"/>
        <v>7.0301393214756058E-4</v>
      </c>
      <c r="F31" s="132">
        <v>8606.6200000003446</v>
      </c>
      <c r="G31" s="131">
        <f t="shared" ca="1" si="0"/>
        <v>0</v>
      </c>
      <c r="H31" s="132">
        <v>0</v>
      </c>
      <c r="I31" s="131">
        <f t="shared" ca="1" si="1"/>
        <v>7.1880977709593755E-8</v>
      </c>
      <c r="J31" s="132">
        <v>0.88000000012107193</v>
      </c>
      <c r="K31" s="133">
        <f t="shared" ca="1" si="2"/>
        <v>1</v>
      </c>
      <c r="L31" s="134">
        <f t="shared" ca="1" si="18"/>
        <v>12242460.080000008</v>
      </c>
      <c r="M31" s="134">
        <v>16643828.949999999</v>
      </c>
      <c r="N31" s="134">
        <v>16643828.949999999</v>
      </c>
      <c r="O31" s="134">
        <f t="shared" ca="1" si="19"/>
        <v>4401368.8699999917</v>
      </c>
      <c r="P31" s="134">
        <v>484860</v>
      </c>
      <c r="Q31" s="134">
        <v>243748.5</v>
      </c>
      <c r="S31" s="137" t="s">
        <v>25</v>
      </c>
      <c r="T31" s="142">
        <f ca="1">IFERROR((U31/$AC31),0)</f>
        <v>0.95296895114716151</v>
      </c>
      <c r="U31" s="140">
        <f ca="1">SUM(U5:U29)</f>
        <v>382099230.82999992</v>
      </c>
      <c r="V31" s="142">
        <f ca="1">IFERROR((W31/$AC31),0)</f>
        <v>2.6447857978428389E-2</v>
      </c>
      <c r="W31" s="140">
        <f ca="1">SUM(W5:W29)</f>
        <v>10604444.33</v>
      </c>
      <c r="X31" s="142">
        <f ca="1">IFERROR((Y31/$AC31),0)</f>
        <v>4.3216016331171867E-3</v>
      </c>
      <c r="Y31" s="140">
        <f ca="1">SUM(Y5:Y29)</f>
        <v>1732774.88</v>
      </c>
      <c r="Z31" s="142">
        <f ca="1">IFERROR((AA31/$AC31),0)</f>
        <v>1.6261589241292541E-2</v>
      </c>
      <c r="AA31" s="140">
        <f ca="1">SUM(AA5:AA29)</f>
        <v>6520192.2199999997</v>
      </c>
      <c r="AB31" s="142">
        <f ca="1">IFERROR((AC31/AC31),0)</f>
        <v>1</v>
      </c>
      <c r="AC31" s="140">
        <f t="shared" ref="AC31:AH31" ca="1" si="22">SUM(AC5:AC29)</f>
        <v>400956642.26000005</v>
      </c>
      <c r="AD31" s="140">
        <f t="shared" ca="1" si="22"/>
        <v>659843870.08999991</v>
      </c>
      <c r="AE31" s="140">
        <f t="shared" ca="1" si="22"/>
        <v>636378630.09000003</v>
      </c>
      <c r="AF31" s="140">
        <f t="shared" ca="1" si="22"/>
        <v>235421987.82999992</v>
      </c>
      <c r="AG31" s="140">
        <f t="shared" ca="1" si="22"/>
        <v>47490707.619999997</v>
      </c>
      <c r="AH31" s="140">
        <f t="shared" ca="1" si="22"/>
        <v>79929050.98999998</v>
      </c>
      <c r="AI31" s="135"/>
      <c r="AJ31" s="135"/>
      <c r="CD31" s="104" t="s">
        <v>142</v>
      </c>
    </row>
    <row r="32" spans="1:82" x14ac:dyDescent="0.35">
      <c r="A32" s="136" t="s">
        <v>83</v>
      </c>
      <c r="B32" s="141" t="s">
        <v>38</v>
      </c>
      <c r="C32" s="131">
        <f t="shared" ca="1" si="16"/>
        <v>0.9675469903232945</v>
      </c>
      <c r="D32" s="132">
        <v>5326109.8099999996</v>
      </c>
      <c r="E32" s="131">
        <f t="shared" ca="1" si="17"/>
        <v>5.4481091685867102E-3</v>
      </c>
      <c r="F32" s="132">
        <v>29990.509999999951</v>
      </c>
      <c r="G32" s="131">
        <f t="shared" ca="1" si="0"/>
        <v>0</v>
      </c>
      <c r="H32" s="132">
        <v>0</v>
      </c>
      <c r="I32" s="131">
        <f t="shared" ca="1" si="1"/>
        <v>2.7004900508118799E-2</v>
      </c>
      <c r="J32" s="132">
        <v>148655.37999999983</v>
      </c>
      <c r="K32" s="133">
        <f t="shared" ca="1" si="2"/>
        <v>1</v>
      </c>
      <c r="L32" s="134">
        <f t="shared" ca="1" si="18"/>
        <v>5504755.6999999993</v>
      </c>
      <c r="M32" s="134">
        <v>14341894</v>
      </c>
      <c r="N32" s="134">
        <v>14341894</v>
      </c>
      <c r="O32" s="134">
        <f t="shared" ca="1" si="19"/>
        <v>8837138.3000000007</v>
      </c>
      <c r="P32" s="134">
        <v>969929.59</v>
      </c>
      <c r="Q32" s="134">
        <v>99299.15</v>
      </c>
      <c r="AE32" s="104"/>
      <c r="AF32" s="104"/>
      <c r="AG32" s="104"/>
      <c r="AH32" s="104"/>
      <c r="AJ32" s="135"/>
      <c r="CD32" s="104" t="s">
        <v>143</v>
      </c>
    </row>
    <row r="33" spans="1:82" ht="16.8" customHeight="1" x14ac:dyDescent="0.35">
      <c r="A33" s="136" t="s">
        <v>86</v>
      </c>
      <c r="B33" s="141" t="s">
        <v>38</v>
      </c>
      <c r="C33" s="131">
        <f t="shared" ca="1" si="16"/>
        <v>0.95859315030848136</v>
      </c>
      <c r="D33" s="132">
        <v>12775678.24</v>
      </c>
      <c r="E33" s="131">
        <f t="shared" ca="1" si="17"/>
        <v>0</v>
      </c>
      <c r="F33" s="132">
        <v>0</v>
      </c>
      <c r="G33" s="131">
        <f t="shared" ca="1" si="0"/>
        <v>2.6400317242898055E-2</v>
      </c>
      <c r="H33" s="132">
        <v>351851</v>
      </c>
      <c r="I33" s="131">
        <f t="shared" ca="1" si="1"/>
        <v>1.5006532448620611E-2</v>
      </c>
      <c r="J33" s="132">
        <v>200000</v>
      </c>
      <c r="K33" s="133">
        <f t="shared" ca="1" si="2"/>
        <v>1</v>
      </c>
      <c r="L33" s="134">
        <f t="shared" ca="1" si="18"/>
        <v>13327529.24</v>
      </c>
      <c r="M33" s="134">
        <v>14016010</v>
      </c>
      <c r="N33" s="134">
        <v>14016010</v>
      </c>
      <c r="O33" s="134">
        <f t="shared" ca="1" si="19"/>
        <v>688480.75999999978</v>
      </c>
      <c r="P33" s="134">
        <v>0</v>
      </c>
      <c r="Q33" s="134">
        <v>5386493.1099999994</v>
      </c>
      <c r="AE33" s="104"/>
      <c r="AF33" s="104"/>
      <c r="AG33" s="104"/>
      <c r="AH33" s="104"/>
      <c r="AI33" s="105"/>
      <c r="CD33" s="104" t="s">
        <v>144</v>
      </c>
    </row>
    <row r="34" spans="1:82" x14ac:dyDescent="0.35">
      <c r="A34" s="136" t="s">
        <v>89</v>
      </c>
      <c r="B34" s="141" t="s">
        <v>38</v>
      </c>
      <c r="C34" s="131">
        <f ca="1">IFERROR((D34/$L34),0)</f>
        <v>0.99347481595128984</v>
      </c>
      <c r="D34" s="132">
        <v>45961327.959999986</v>
      </c>
      <c r="E34" s="131">
        <f ca="1">IFERROR((F34/$L34),0)</f>
        <v>5.7789155868553837E-3</v>
      </c>
      <c r="F34" s="132">
        <v>267351.15000000037</v>
      </c>
      <c r="G34" s="131">
        <f ca="1">IFERROR((H34/$L34),0)</f>
        <v>7.0455561366970353E-5</v>
      </c>
      <c r="H34" s="132">
        <v>3259.5</v>
      </c>
      <c r="I34" s="131">
        <f ca="1">IFERROR((J34/$L34),0)</f>
        <v>6.7581290048777368E-4</v>
      </c>
      <c r="J34" s="132">
        <v>31265.270000000019</v>
      </c>
      <c r="K34" s="133">
        <f ca="1">IFERROR((L34/L34),0)</f>
        <v>1</v>
      </c>
      <c r="L34" s="134">
        <f ca="1">D34+F34+H34+J34</f>
        <v>46263203.879999988</v>
      </c>
      <c r="M34" s="134">
        <v>51015909</v>
      </c>
      <c r="N34" s="134">
        <v>51015909</v>
      </c>
      <c r="O34" s="134">
        <f ca="1">+N34-L34</f>
        <v>4752705.1200000122</v>
      </c>
      <c r="P34" s="134">
        <v>1740311</v>
      </c>
      <c r="Q34" s="134">
        <v>2501956</v>
      </c>
      <c r="AE34" s="104"/>
      <c r="AF34" s="104"/>
      <c r="AG34" s="104"/>
      <c r="AH34" s="104"/>
      <c r="AI34" s="105"/>
      <c r="AJ34" s="105"/>
      <c r="CD34" s="104" t="s">
        <v>145</v>
      </c>
    </row>
    <row r="35" spans="1:82" x14ac:dyDescent="0.35">
      <c r="A35" s="136" t="s">
        <v>92</v>
      </c>
      <c r="B35" s="141" t="s">
        <v>38</v>
      </c>
      <c r="C35" s="131">
        <f ca="1">IFERROR((D35/$L35),0)</f>
        <v>0.94672364140885468</v>
      </c>
      <c r="D35" s="132">
        <v>6196993.8099999996</v>
      </c>
      <c r="E35" s="131">
        <f ca="1">IFERROR((F35/$L35),0)</f>
        <v>1.8695629018412954E-2</v>
      </c>
      <c r="F35" s="132">
        <v>122376.46999999997</v>
      </c>
      <c r="G35" s="131">
        <f ca="1">IFERROR((H35/$L35),0)</f>
        <v>0</v>
      </c>
      <c r="H35" s="132">
        <v>0</v>
      </c>
      <c r="I35" s="131">
        <f ca="1">IFERROR((J35/$L35),0)</f>
        <v>3.4580729572732387E-2</v>
      </c>
      <c r="J35" s="132">
        <v>226355.99000000022</v>
      </c>
      <c r="K35" s="133">
        <f ca="1">IFERROR((L35/L35),0)</f>
        <v>1</v>
      </c>
      <c r="L35" s="134">
        <f ca="1">D35+F35+H35+J35</f>
        <v>6545726.2699999996</v>
      </c>
      <c r="M35" s="134">
        <v>12682658.540000001</v>
      </c>
      <c r="N35" s="134">
        <v>12682658.540000001</v>
      </c>
      <c r="O35" s="134">
        <f ca="1">+N35-L35</f>
        <v>6136932.2700000014</v>
      </c>
      <c r="P35" s="134">
        <v>685047</v>
      </c>
      <c r="Q35" s="134">
        <v>449237</v>
      </c>
      <c r="AE35" s="104"/>
      <c r="AF35" s="104"/>
      <c r="AG35" s="104"/>
      <c r="AH35" s="104"/>
      <c r="AI35" s="105"/>
      <c r="AJ35" s="105"/>
      <c r="CD35" s="104" t="s">
        <v>146</v>
      </c>
    </row>
    <row r="36" spans="1:82" x14ac:dyDescent="0.35">
      <c r="A36" s="136" t="s">
        <v>95</v>
      </c>
      <c r="B36" s="141" t="s">
        <v>38</v>
      </c>
      <c r="C36" s="131">
        <f t="shared" ca="1" si="16"/>
        <v>0.97205225709709819</v>
      </c>
      <c r="D36" s="132">
        <v>20878921.210000001</v>
      </c>
      <c r="E36" s="131">
        <f t="shared" ca="1" si="17"/>
        <v>8.1346541310860949E-3</v>
      </c>
      <c r="F36" s="132">
        <v>174726</v>
      </c>
      <c r="G36" s="131">
        <f t="shared" ca="1" si="0"/>
        <v>0</v>
      </c>
      <c r="H36" s="132">
        <v>0</v>
      </c>
      <c r="I36" s="131">
        <f t="shared" ca="1" si="1"/>
        <v>1.981308877181575E-2</v>
      </c>
      <c r="J36" s="132">
        <v>425569.62999999977</v>
      </c>
      <c r="K36" s="133">
        <f t="shared" ca="1" si="2"/>
        <v>1</v>
      </c>
      <c r="L36" s="134">
        <f t="shared" ca="1" si="18"/>
        <v>21479216.84</v>
      </c>
      <c r="M36" s="134">
        <v>18119549.120000005</v>
      </c>
      <c r="N36" s="134">
        <v>18119549.120000005</v>
      </c>
      <c r="O36" s="134">
        <f t="shared" ca="1" si="19"/>
        <v>-3359667.7199999951</v>
      </c>
      <c r="P36" s="134">
        <v>61221</v>
      </c>
      <c r="Q36" s="134">
        <v>2895004</v>
      </c>
      <c r="AE36" s="104"/>
      <c r="AF36" s="104"/>
      <c r="AG36" s="104"/>
      <c r="AH36" s="104"/>
      <c r="AI36" s="105"/>
      <c r="AJ36" s="105"/>
      <c r="CD36" s="104" t="s">
        <v>147</v>
      </c>
    </row>
    <row r="37" spans="1:82" x14ac:dyDescent="0.35">
      <c r="A37" s="136" t="s">
        <v>98</v>
      </c>
      <c r="B37" s="141" t="s">
        <v>38</v>
      </c>
      <c r="C37" s="131">
        <f t="shared" ca="1" si="16"/>
        <v>0.99898079859222477</v>
      </c>
      <c r="D37" s="132">
        <v>18441893.23</v>
      </c>
      <c r="E37" s="131">
        <f t="shared" ca="1" si="17"/>
        <v>1.7478419182723087E-4</v>
      </c>
      <c r="F37" s="132">
        <v>3226.640000000014</v>
      </c>
      <c r="G37" s="131">
        <f t="shared" ca="1" si="0"/>
        <v>8.4441721594800045E-4</v>
      </c>
      <c r="H37" s="132">
        <v>15588.540000000037</v>
      </c>
      <c r="I37" s="131">
        <f t="shared" ca="1" si="1"/>
        <v>0</v>
      </c>
      <c r="J37" s="132">
        <v>0</v>
      </c>
      <c r="K37" s="133">
        <f t="shared" ca="1" si="2"/>
        <v>1</v>
      </c>
      <c r="L37" s="134">
        <f t="shared" ca="1" si="18"/>
        <v>18460708.41</v>
      </c>
      <c r="M37" s="134">
        <v>25721251</v>
      </c>
      <c r="N37" s="134">
        <v>25721251</v>
      </c>
      <c r="O37" s="134">
        <f t="shared" ca="1" si="19"/>
        <v>7260542.5899999999</v>
      </c>
      <c r="P37" s="134">
        <v>4723081</v>
      </c>
      <c r="Q37" s="134">
        <v>17188.689999999999</v>
      </c>
      <c r="AE37" s="104"/>
      <c r="AF37" s="104"/>
      <c r="AG37" s="104"/>
      <c r="AH37" s="104"/>
      <c r="AI37" s="105"/>
      <c r="AJ37" s="105"/>
    </row>
    <row r="38" spans="1:82" x14ac:dyDescent="0.35">
      <c r="A38" s="136" t="s">
        <v>101</v>
      </c>
      <c r="B38" s="141" t="s">
        <v>38</v>
      </c>
      <c r="C38" s="131">
        <f t="shared" ca="1" si="16"/>
        <v>0.9860523365219277</v>
      </c>
      <c r="D38" s="132">
        <v>8777397.4400000013</v>
      </c>
      <c r="E38" s="131">
        <f t="shared" ca="1" si="17"/>
        <v>1.3841568511597211E-2</v>
      </c>
      <c r="F38" s="132">
        <v>123211.45999999996</v>
      </c>
      <c r="G38" s="131">
        <f t="shared" ca="1" si="0"/>
        <v>0</v>
      </c>
      <c r="H38" s="132">
        <v>0</v>
      </c>
      <c r="I38" s="131">
        <f t="shared" ca="1" si="1"/>
        <v>1.0609496647501764E-4</v>
      </c>
      <c r="J38" s="132">
        <v>944.4100000000326</v>
      </c>
      <c r="K38" s="133">
        <f t="shared" ca="1" si="2"/>
        <v>1</v>
      </c>
      <c r="L38" s="134">
        <f t="shared" ca="1" si="18"/>
        <v>8901553.3100000024</v>
      </c>
      <c r="M38" s="134">
        <v>22401864.369999997</v>
      </c>
      <c r="N38" s="134">
        <v>22401864.369999997</v>
      </c>
      <c r="O38" s="134">
        <f t="shared" ca="1" si="19"/>
        <v>13500311.059999995</v>
      </c>
      <c r="P38" s="134">
        <v>561337</v>
      </c>
      <c r="Q38" s="134">
        <v>6778712.9000000004</v>
      </c>
      <c r="AE38" s="104"/>
      <c r="AF38" s="104"/>
      <c r="AG38" s="104"/>
      <c r="AH38" s="104"/>
      <c r="AI38" s="105"/>
      <c r="AJ38" s="105"/>
    </row>
    <row r="39" spans="1:82" x14ac:dyDescent="0.35">
      <c r="A39" s="136" t="s">
        <v>104</v>
      </c>
      <c r="B39" s="141" t="s">
        <v>38</v>
      </c>
      <c r="C39" s="131">
        <f t="shared" ca="1" si="16"/>
        <v>0.99586049046884417</v>
      </c>
      <c r="D39" s="132">
        <v>9128359.3300000001</v>
      </c>
      <c r="E39" s="131">
        <f t="shared" ca="1" si="17"/>
        <v>0</v>
      </c>
      <c r="F39" s="132">
        <v>0</v>
      </c>
      <c r="G39" s="131">
        <f t="shared" ca="1" si="0"/>
        <v>4.1395095311557838E-3</v>
      </c>
      <c r="H39" s="132">
        <v>37944</v>
      </c>
      <c r="I39" s="131">
        <f t="shared" ca="1" si="1"/>
        <v>0</v>
      </c>
      <c r="J39" s="132">
        <v>0</v>
      </c>
      <c r="K39" s="133">
        <f t="shared" ca="1" si="2"/>
        <v>1</v>
      </c>
      <c r="L39" s="134">
        <f t="shared" ca="1" si="18"/>
        <v>9166303.3300000001</v>
      </c>
      <c r="M39" s="134">
        <v>11209028.300000001</v>
      </c>
      <c r="N39" s="134">
        <v>11209028.300000001</v>
      </c>
      <c r="O39" s="134">
        <f t="shared" ca="1" si="19"/>
        <v>2042724.9700000007</v>
      </c>
      <c r="P39" s="134">
        <v>322333.90000000002</v>
      </c>
      <c r="Q39" s="134">
        <v>956990</v>
      </c>
      <c r="AE39" s="104"/>
      <c r="AF39" s="104"/>
      <c r="AG39" s="104"/>
      <c r="AH39" s="104"/>
      <c r="AI39" s="105"/>
      <c r="AJ39" s="105"/>
      <c r="CD39" s="104" t="s">
        <v>148</v>
      </c>
    </row>
    <row r="40" spans="1:82" x14ac:dyDescent="0.35">
      <c r="A40" s="136" t="s">
        <v>107</v>
      </c>
      <c r="B40" s="141" t="s">
        <v>38</v>
      </c>
      <c r="C40" s="131">
        <f t="shared" ca="1" si="16"/>
        <v>0.96802538252139447</v>
      </c>
      <c r="D40" s="132">
        <v>9328427.4200000018</v>
      </c>
      <c r="E40" s="131">
        <f t="shared" ca="1" si="17"/>
        <v>6.6761842474266581E-3</v>
      </c>
      <c r="F40" s="132">
        <v>64335.399999999994</v>
      </c>
      <c r="G40" s="131">
        <f t="shared" ca="1" si="0"/>
        <v>3.3734055825470202E-5</v>
      </c>
      <c r="H40" s="132">
        <v>325.08000000007451</v>
      </c>
      <c r="I40" s="131">
        <f t="shared" ca="1" si="1"/>
        <v>2.5264699175353431E-2</v>
      </c>
      <c r="J40" s="132">
        <v>243464.60000000009</v>
      </c>
      <c r="K40" s="133">
        <f t="shared" ca="1" si="2"/>
        <v>1</v>
      </c>
      <c r="L40" s="134">
        <f t="shared" ca="1" si="18"/>
        <v>9636552.5000000019</v>
      </c>
      <c r="M40" s="134">
        <v>16974683</v>
      </c>
      <c r="N40" s="134">
        <v>16974683</v>
      </c>
      <c r="O40" s="134">
        <f t="shared" ca="1" si="19"/>
        <v>7338130.4999999981</v>
      </c>
      <c r="P40" s="134">
        <v>1538608</v>
      </c>
      <c r="Q40" s="134">
        <v>1778612.6</v>
      </c>
      <c r="AE40" s="104"/>
      <c r="AF40" s="104"/>
      <c r="AG40" s="104"/>
      <c r="AH40" s="104"/>
      <c r="AI40" s="105"/>
      <c r="AJ40" s="105"/>
      <c r="CD40" s="104" t="s">
        <v>149</v>
      </c>
    </row>
    <row r="41" spans="1:82" x14ac:dyDescent="0.35">
      <c r="A41" s="136" t="s">
        <v>110</v>
      </c>
      <c r="B41" s="141" t="s">
        <v>38</v>
      </c>
      <c r="C41" s="131">
        <f t="shared" ca="1" si="16"/>
        <v>0.82770455408598231</v>
      </c>
      <c r="D41" s="132">
        <v>6382171.7300000014</v>
      </c>
      <c r="E41" s="131">
        <f t="shared" ca="1" si="17"/>
        <v>9.5583531824803294E-2</v>
      </c>
      <c r="F41" s="132">
        <v>737014.81</v>
      </c>
      <c r="G41" s="131">
        <f t="shared" ca="1" si="0"/>
        <v>4.2142023123360142E-2</v>
      </c>
      <c r="H41" s="132">
        <v>324944</v>
      </c>
      <c r="I41" s="131">
        <f t="shared" ca="1" si="1"/>
        <v>3.456989096585425E-2</v>
      </c>
      <c r="J41" s="132">
        <v>266557.65000000008</v>
      </c>
      <c r="K41" s="133">
        <f t="shared" ca="1" si="2"/>
        <v>1</v>
      </c>
      <c r="L41" s="134">
        <f t="shared" ca="1" si="18"/>
        <v>7710688.1900000013</v>
      </c>
      <c r="M41" s="134">
        <v>14231046.949999999</v>
      </c>
      <c r="N41" s="134">
        <v>14231046.949999999</v>
      </c>
      <c r="O41" s="134">
        <f t="shared" ca="1" si="19"/>
        <v>6520358.7599999979</v>
      </c>
      <c r="P41" s="134">
        <v>300789.40000000002</v>
      </c>
      <c r="Q41" s="134">
        <v>2914093.04</v>
      </c>
      <c r="AE41" s="104"/>
      <c r="AF41" s="104"/>
      <c r="AG41" s="104"/>
      <c r="AH41" s="104"/>
      <c r="AI41" s="105"/>
      <c r="AJ41" s="105"/>
      <c r="CD41" s="104" t="s">
        <v>150</v>
      </c>
    </row>
    <row r="42" spans="1:82" x14ac:dyDescent="0.35">
      <c r="A42" s="136" t="s">
        <v>113</v>
      </c>
      <c r="B42" s="141" t="s">
        <v>38</v>
      </c>
      <c r="C42" s="131">
        <f t="shared" ca="1" si="16"/>
        <v>0.98103576406338655</v>
      </c>
      <c r="D42" s="132">
        <v>7508198.419999999</v>
      </c>
      <c r="E42" s="131">
        <f t="shared" ca="1" si="17"/>
        <v>3.4008036177019142E-4</v>
      </c>
      <c r="F42" s="132">
        <v>2602.75</v>
      </c>
      <c r="G42" s="131">
        <f t="shared" ca="1" si="0"/>
        <v>0</v>
      </c>
      <c r="H42" s="132">
        <v>0</v>
      </c>
      <c r="I42" s="131">
        <f t="shared" ca="1" si="1"/>
        <v>1.862415557484326E-2</v>
      </c>
      <c r="J42" s="132">
        <v>142536.95999999996</v>
      </c>
      <c r="K42" s="133">
        <f t="shared" ca="1" si="2"/>
        <v>1</v>
      </c>
      <c r="L42" s="134">
        <f t="shared" ca="1" si="18"/>
        <v>7653338.129999999</v>
      </c>
      <c r="M42" s="134">
        <v>12815952.029999999</v>
      </c>
      <c r="N42" s="134">
        <v>12815952.029999999</v>
      </c>
      <c r="O42" s="134">
        <f t="shared" ca="1" si="19"/>
        <v>5162613.9000000004</v>
      </c>
      <c r="P42" s="134">
        <v>0</v>
      </c>
      <c r="Q42" s="134">
        <v>809557.14</v>
      </c>
      <c r="AE42" s="104"/>
      <c r="AF42" s="104"/>
      <c r="AG42" s="104"/>
      <c r="AH42" s="104"/>
      <c r="AI42" s="105"/>
      <c r="AJ42" s="105"/>
      <c r="CD42" s="104" t="s">
        <v>151</v>
      </c>
    </row>
    <row r="43" spans="1:82" x14ac:dyDescent="0.35">
      <c r="A43" s="137" t="s">
        <v>25</v>
      </c>
      <c r="B43" s="143" t="s">
        <v>152</v>
      </c>
      <c r="C43" s="138">
        <f ca="1">IFERROR((D43/$L43),0)</f>
        <v>0.95772684421532861</v>
      </c>
      <c r="D43" s="140">
        <f ca="1">SUM(D5:D42)</f>
        <v>568839550.99999988</v>
      </c>
      <c r="E43" s="138">
        <f ca="1">IFERROR((F43/$L43),0)</f>
        <v>2.2973402417543278E-2</v>
      </c>
      <c r="F43" s="140">
        <f ca="1">SUM(F5:F42)</f>
        <v>13644997.000000004</v>
      </c>
      <c r="G43" s="138">
        <f ca="1">IFERROR((H43/$L43),0)</f>
        <v>4.1530381493761091E-3</v>
      </c>
      <c r="H43" s="140">
        <f ca="1">SUM(H5:H42)</f>
        <v>2466687</v>
      </c>
      <c r="I43" s="138">
        <f ca="1">IFERROR((J43/$L43),0)</f>
        <v>1.5146715217751789E-2</v>
      </c>
      <c r="J43" s="140">
        <f ca="1">SUM(J5:J42)</f>
        <v>8996355</v>
      </c>
      <c r="K43" s="143">
        <f ca="1">IFERROR((L43/L43),0)</f>
        <v>1</v>
      </c>
      <c r="L43" s="140">
        <f t="shared" ref="L43:Q43" ca="1" si="23">SUM(L5:L42)</f>
        <v>593947590</v>
      </c>
      <c r="M43" s="140">
        <f t="shared" ca="1" si="23"/>
        <v>921538845.65999997</v>
      </c>
      <c r="N43" s="140">
        <f t="shared" ca="1" si="23"/>
        <v>899579592.82000005</v>
      </c>
      <c r="O43" s="140">
        <f t="shared" ca="1" si="23"/>
        <v>305632002.81999993</v>
      </c>
      <c r="P43" s="140">
        <f t="shared" ca="1" si="23"/>
        <v>61383789.210000001</v>
      </c>
      <c r="Q43" s="140">
        <f t="shared" ca="1" si="23"/>
        <v>105780859.11999999</v>
      </c>
      <c r="AE43" s="104"/>
      <c r="AF43" s="104"/>
      <c r="AG43" s="104"/>
      <c r="AH43" s="104"/>
      <c r="AI43" s="105"/>
      <c r="AJ43" s="105"/>
      <c r="CD43" s="104" t="s">
        <v>153</v>
      </c>
    </row>
    <row r="44" spans="1:82" x14ac:dyDescent="0.35">
      <c r="AI44" s="105"/>
      <c r="AJ44" s="105"/>
      <c r="CD44" s="104" t="s">
        <v>154</v>
      </c>
    </row>
    <row r="45" spans="1:82" x14ac:dyDescent="0.35">
      <c r="AI45" s="105"/>
      <c r="AJ45" s="105"/>
      <c r="CD45" s="104" t="s">
        <v>155</v>
      </c>
    </row>
    <row r="46" spans="1:82" x14ac:dyDescent="0.35">
      <c r="AJ46" s="105"/>
      <c r="CD46" s="104" t="s">
        <v>156</v>
      </c>
    </row>
    <row r="47" spans="1:82" x14ac:dyDescent="0.35">
      <c r="CD47" s="104" t="s">
        <v>157</v>
      </c>
    </row>
    <row r="48" spans="1:82" x14ac:dyDescent="0.35">
      <c r="CD48" s="144" t="s">
        <v>158</v>
      </c>
    </row>
    <row r="49" spans="81:82" x14ac:dyDescent="0.35">
      <c r="CC49" s="104" t="str">
        <f ca="1">+TEXT(CD49,"mmm-yy")</f>
        <v>Feb-26</v>
      </c>
      <c r="CD49" s="144" t="s">
        <v>159</v>
      </c>
    </row>
    <row r="50" spans="81:82" x14ac:dyDescent="0.35">
      <c r="CC50" s="104" t="str">
        <f ca="1">+TEXT(CD50,"mmm-yy")</f>
        <v>Mar-26</v>
      </c>
      <c r="CD50" s="144" t="s">
        <v>160</v>
      </c>
    </row>
    <row r="51" spans="81:82" x14ac:dyDescent="0.35">
      <c r="CC51" s="104" t="str">
        <f ca="1">+TEXT(CD51,"mmm-yy")</f>
        <v>Apr-26</v>
      </c>
      <c r="CD51" s="144" t="s">
        <v>59</v>
      </c>
    </row>
    <row r="122" spans="12:67" x14ac:dyDescent="0.35">
      <c r="L122" s="105">
        <f ca="1">IFERROR((K122/K$132),0)</f>
        <v>0</v>
      </c>
      <c r="N122" s="105">
        <f ca="1">IFERROR((M122/M$132),0)</f>
        <v>0</v>
      </c>
      <c r="AD122" s="105">
        <f ca="1">IFERROR((AC122/AC$132),0)</f>
        <v>0</v>
      </c>
      <c r="AF122" s="105">
        <f ca="1">IFERROR((AE122/AE$132),0)</f>
        <v>0</v>
      </c>
      <c r="AV122" s="105">
        <f ca="1">IFERROR((AU122/AU$132),0)</f>
        <v>0</v>
      </c>
      <c r="AX122" s="105">
        <f ca="1">IFERROR((AW122/AW$132),0)</f>
        <v>0</v>
      </c>
      <c r="BM122" s="104">
        <f ca="1">IFERROR((BL122/BL$132),0)</f>
        <v>0</v>
      </c>
      <c r="BO122" s="104">
        <f ca="1">IFERROR((BN122/BN$132),0)</f>
        <v>0</v>
      </c>
    </row>
    <row r="123" spans="12:67" x14ac:dyDescent="0.35">
      <c r="L123" s="105">
        <f t="shared" ref="L123:L131" ca="1" si="24">IFERROR((K123/K$132),0)</f>
        <v>0</v>
      </c>
      <c r="N123" s="105">
        <f t="shared" ref="N123:N131" ca="1" si="25">IFERROR((M123/M$132),0)</f>
        <v>0</v>
      </c>
      <c r="AD123" s="105">
        <f t="shared" ref="AD123:AD131" ca="1" si="26">IFERROR((AC123/AC$132),0)</f>
        <v>0</v>
      </c>
      <c r="AF123" s="105">
        <f t="shared" ref="AF123:AF131" ca="1" si="27">IFERROR((AE123/AE$132),0)</f>
        <v>0</v>
      </c>
      <c r="AV123" s="105">
        <f t="shared" ref="AV123:AV131" ca="1" si="28">IFERROR((AU123/AU$132),0)</f>
        <v>0</v>
      </c>
      <c r="AX123" s="105">
        <f t="shared" ref="AX123:AX131" ca="1" si="29">IFERROR((AW123/AW$132),0)</f>
        <v>0</v>
      </c>
      <c r="BM123" s="104">
        <f t="shared" ref="BM123:BM132" ca="1" si="30">IFERROR((BL123/BL$132),0)</f>
        <v>0</v>
      </c>
      <c r="BO123" s="104">
        <f t="shared" ref="BO123:BO132" ca="1" si="31">IFERROR((BN123/BN$132),0)</f>
        <v>0</v>
      </c>
    </row>
    <row r="124" spans="12:67" x14ac:dyDescent="0.35">
      <c r="L124" s="105">
        <f t="shared" ca="1" si="24"/>
        <v>0</v>
      </c>
      <c r="N124" s="105">
        <f t="shared" ca="1" si="25"/>
        <v>0</v>
      </c>
      <c r="AD124" s="105">
        <f t="shared" ca="1" si="26"/>
        <v>0</v>
      </c>
      <c r="AF124" s="105">
        <f t="shared" ca="1" si="27"/>
        <v>0</v>
      </c>
      <c r="AV124" s="105">
        <f t="shared" ca="1" si="28"/>
        <v>0</v>
      </c>
      <c r="AX124" s="105">
        <f t="shared" ca="1" si="29"/>
        <v>0</v>
      </c>
      <c r="BM124" s="104">
        <f t="shared" ca="1" si="30"/>
        <v>0</v>
      </c>
      <c r="BO124" s="104">
        <f t="shared" ca="1" si="31"/>
        <v>0</v>
      </c>
    </row>
    <row r="125" spans="12:67" x14ac:dyDescent="0.35">
      <c r="L125" s="105">
        <f t="shared" ca="1" si="24"/>
        <v>0</v>
      </c>
      <c r="N125" s="105">
        <f t="shared" ca="1" si="25"/>
        <v>0</v>
      </c>
      <c r="AD125" s="105">
        <f t="shared" ca="1" si="26"/>
        <v>0</v>
      </c>
      <c r="AF125" s="105">
        <f t="shared" ca="1" si="27"/>
        <v>0</v>
      </c>
      <c r="AV125" s="105">
        <f t="shared" ca="1" si="28"/>
        <v>0</v>
      </c>
      <c r="AX125" s="105">
        <f t="shared" ca="1" si="29"/>
        <v>0</v>
      </c>
      <c r="BM125" s="104">
        <f t="shared" ca="1" si="30"/>
        <v>0</v>
      </c>
      <c r="BO125" s="104">
        <f t="shared" ca="1" si="31"/>
        <v>0</v>
      </c>
    </row>
    <row r="126" spans="12:67" x14ac:dyDescent="0.35">
      <c r="L126" s="105">
        <f t="shared" ca="1" si="24"/>
        <v>0</v>
      </c>
      <c r="N126" s="105">
        <f t="shared" ca="1" si="25"/>
        <v>0</v>
      </c>
      <c r="AD126" s="105">
        <f t="shared" ca="1" si="26"/>
        <v>0</v>
      </c>
      <c r="AF126" s="105">
        <f t="shared" ca="1" si="27"/>
        <v>0</v>
      </c>
      <c r="AV126" s="105">
        <f t="shared" ca="1" si="28"/>
        <v>0</v>
      </c>
      <c r="AX126" s="105">
        <f t="shared" ca="1" si="29"/>
        <v>0</v>
      </c>
      <c r="BM126" s="104">
        <f t="shared" ca="1" si="30"/>
        <v>0</v>
      </c>
      <c r="BO126" s="104">
        <f t="shared" ca="1" si="31"/>
        <v>0</v>
      </c>
    </row>
    <row r="127" spans="12:67" x14ac:dyDescent="0.35">
      <c r="L127" s="105">
        <f t="shared" ca="1" si="24"/>
        <v>0</v>
      </c>
      <c r="N127" s="105">
        <f t="shared" ca="1" si="25"/>
        <v>0</v>
      </c>
      <c r="AD127" s="105">
        <f t="shared" ca="1" si="26"/>
        <v>0</v>
      </c>
      <c r="AF127" s="105">
        <f t="shared" ca="1" si="27"/>
        <v>0</v>
      </c>
      <c r="AV127" s="105">
        <f t="shared" ca="1" si="28"/>
        <v>0</v>
      </c>
      <c r="AX127" s="105">
        <f t="shared" ca="1" si="29"/>
        <v>0</v>
      </c>
      <c r="BM127" s="104">
        <f t="shared" ca="1" si="30"/>
        <v>0</v>
      </c>
      <c r="BO127" s="104">
        <f t="shared" ca="1" si="31"/>
        <v>0</v>
      </c>
    </row>
    <row r="128" spans="12:67" x14ac:dyDescent="0.35">
      <c r="L128" s="105">
        <f t="shared" ca="1" si="24"/>
        <v>0</v>
      </c>
      <c r="N128" s="105">
        <f t="shared" ca="1" si="25"/>
        <v>0</v>
      </c>
      <c r="AD128" s="105">
        <f t="shared" ca="1" si="26"/>
        <v>0</v>
      </c>
      <c r="AF128" s="105">
        <f t="shared" ca="1" si="27"/>
        <v>0</v>
      </c>
      <c r="AV128" s="105">
        <f t="shared" ca="1" si="28"/>
        <v>0</v>
      </c>
      <c r="AX128" s="105">
        <f t="shared" ca="1" si="29"/>
        <v>0</v>
      </c>
      <c r="BM128" s="104">
        <f t="shared" ca="1" si="30"/>
        <v>0</v>
      </c>
      <c r="BO128" s="104">
        <f t="shared" ca="1" si="31"/>
        <v>0</v>
      </c>
    </row>
    <row r="129" spans="12:67" x14ac:dyDescent="0.35">
      <c r="L129" s="105">
        <f t="shared" ca="1" si="24"/>
        <v>0</v>
      </c>
      <c r="N129" s="105">
        <f t="shared" ca="1" si="25"/>
        <v>0</v>
      </c>
      <c r="AD129" s="105">
        <f t="shared" ca="1" si="26"/>
        <v>0</v>
      </c>
      <c r="AF129" s="105">
        <f t="shared" ca="1" si="27"/>
        <v>0</v>
      </c>
      <c r="AV129" s="105">
        <f t="shared" ca="1" si="28"/>
        <v>0</v>
      </c>
      <c r="AX129" s="105">
        <f t="shared" ca="1" si="29"/>
        <v>0</v>
      </c>
      <c r="BM129" s="104">
        <f t="shared" ca="1" si="30"/>
        <v>0</v>
      </c>
      <c r="BO129" s="104">
        <f t="shared" ca="1" si="31"/>
        <v>0</v>
      </c>
    </row>
    <row r="130" spans="12:67" x14ac:dyDescent="0.35">
      <c r="L130" s="105">
        <f t="shared" ca="1" si="24"/>
        <v>0</v>
      </c>
      <c r="N130" s="105">
        <f t="shared" ca="1" si="25"/>
        <v>0</v>
      </c>
      <c r="AD130" s="105">
        <f t="shared" ca="1" si="26"/>
        <v>0</v>
      </c>
      <c r="AF130" s="105">
        <f t="shared" ca="1" si="27"/>
        <v>0</v>
      </c>
      <c r="AV130" s="105">
        <f t="shared" ca="1" si="28"/>
        <v>0</v>
      </c>
      <c r="AX130" s="105">
        <f t="shared" ca="1" si="29"/>
        <v>0</v>
      </c>
      <c r="BM130" s="104">
        <f t="shared" ca="1" si="30"/>
        <v>0</v>
      </c>
      <c r="BO130" s="104">
        <f t="shared" ca="1" si="31"/>
        <v>0</v>
      </c>
    </row>
    <row r="131" spans="12:67" x14ac:dyDescent="0.35">
      <c r="L131" s="105">
        <f t="shared" ca="1" si="24"/>
        <v>0</v>
      </c>
      <c r="N131" s="105">
        <f t="shared" ca="1" si="25"/>
        <v>0</v>
      </c>
      <c r="AD131" s="105">
        <f t="shared" ca="1" si="26"/>
        <v>0</v>
      </c>
      <c r="AF131" s="105">
        <f t="shared" ca="1" si="27"/>
        <v>0</v>
      </c>
      <c r="AV131" s="105">
        <f t="shared" ca="1" si="28"/>
        <v>0</v>
      </c>
      <c r="AX131" s="105">
        <f t="shared" ca="1" si="29"/>
        <v>0</v>
      </c>
      <c r="BM131" s="104">
        <f t="shared" ca="1" si="30"/>
        <v>0</v>
      </c>
      <c r="BO131" s="104">
        <f t="shared" ca="1" si="31"/>
        <v>0</v>
      </c>
    </row>
    <row r="132" spans="12:67" x14ac:dyDescent="0.35">
      <c r="BM132" s="104">
        <f t="shared" ca="1" si="30"/>
        <v>0</v>
      </c>
      <c r="BO132" s="104">
        <f t="shared" ca="1" si="31"/>
        <v>0</v>
      </c>
    </row>
    <row r="472" spans="12:30" x14ac:dyDescent="0.35">
      <c r="L472" s="105">
        <f ca="1">IFERROR((K472/K$482),0)</f>
        <v>0</v>
      </c>
      <c r="AD472" s="105">
        <f ca="1">IFERROR((AC472/AC$482),0)</f>
        <v>0</v>
      </c>
    </row>
    <row r="473" spans="12:30" x14ac:dyDescent="0.35">
      <c r="L473" s="105">
        <f t="shared" ref="L473:L482" ca="1" si="32">IFERROR((K473/K$482),0)</f>
        <v>0</v>
      </c>
      <c r="AD473" s="105">
        <f t="shared" ref="AD473:AD482" ca="1" si="33">IFERROR((AC473/AC$482),0)</f>
        <v>0</v>
      </c>
    </row>
    <row r="474" spans="12:30" x14ac:dyDescent="0.35">
      <c r="L474" s="105">
        <f t="shared" ca="1" si="32"/>
        <v>0</v>
      </c>
      <c r="AD474" s="105">
        <f t="shared" ca="1" si="33"/>
        <v>0</v>
      </c>
    </row>
    <row r="475" spans="12:30" x14ac:dyDescent="0.35">
      <c r="L475" s="105">
        <f t="shared" ca="1" si="32"/>
        <v>0</v>
      </c>
      <c r="AD475" s="105">
        <f t="shared" ca="1" si="33"/>
        <v>0</v>
      </c>
    </row>
    <row r="476" spans="12:30" x14ac:dyDescent="0.35">
      <c r="L476" s="105">
        <f t="shared" ca="1" si="32"/>
        <v>0</v>
      </c>
      <c r="AD476" s="105">
        <f t="shared" ca="1" si="33"/>
        <v>0</v>
      </c>
    </row>
    <row r="477" spans="12:30" x14ac:dyDescent="0.35">
      <c r="L477" s="105">
        <f t="shared" ca="1" si="32"/>
        <v>0</v>
      </c>
      <c r="AD477" s="105">
        <f t="shared" ca="1" si="33"/>
        <v>0</v>
      </c>
    </row>
    <row r="478" spans="12:30" x14ac:dyDescent="0.35">
      <c r="L478" s="105">
        <f t="shared" ca="1" si="32"/>
        <v>0</v>
      </c>
      <c r="AD478" s="105">
        <f t="shared" ca="1" si="33"/>
        <v>0</v>
      </c>
    </row>
    <row r="479" spans="12:30" x14ac:dyDescent="0.35">
      <c r="L479" s="105">
        <f t="shared" ca="1" si="32"/>
        <v>0</v>
      </c>
      <c r="AD479" s="105">
        <f t="shared" ca="1" si="33"/>
        <v>0</v>
      </c>
    </row>
    <row r="480" spans="12:30" x14ac:dyDescent="0.35">
      <c r="L480" s="105">
        <f t="shared" ca="1" si="32"/>
        <v>0</v>
      </c>
      <c r="AD480" s="105">
        <f t="shared" ca="1" si="33"/>
        <v>0</v>
      </c>
    </row>
    <row r="481" spans="12:30" x14ac:dyDescent="0.35">
      <c r="L481" s="105">
        <f t="shared" ca="1" si="32"/>
        <v>0</v>
      </c>
      <c r="AD481" s="105">
        <f t="shared" ca="1" si="33"/>
        <v>0</v>
      </c>
    </row>
    <row r="482" spans="12:30" x14ac:dyDescent="0.35">
      <c r="L482" s="105">
        <f t="shared" ca="1" si="32"/>
        <v>0</v>
      </c>
      <c r="AD482" s="105">
        <f t="shared" ca="1" si="33"/>
        <v>0</v>
      </c>
    </row>
    <row r="522" spans="12:30" x14ac:dyDescent="0.35">
      <c r="L522" s="105">
        <f ca="1">IFERROR((K522/K$532),0)</f>
        <v>0</v>
      </c>
      <c r="AD522" s="105">
        <f ca="1">IFERROR((AC522/AC$532),0)</f>
        <v>0</v>
      </c>
    </row>
    <row r="523" spans="12:30" x14ac:dyDescent="0.35">
      <c r="L523" s="105">
        <f t="shared" ref="L523:L532" ca="1" si="34">IFERROR((K523/K$532),0)</f>
        <v>0</v>
      </c>
      <c r="AD523" s="105">
        <f t="shared" ref="AD523:AD532" ca="1" si="35">IFERROR((AC523/AC$532),0)</f>
        <v>0</v>
      </c>
    </row>
    <row r="524" spans="12:30" x14ac:dyDescent="0.35">
      <c r="L524" s="105">
        <f t="shared" ca="1" si="34"/>
        <v>0</v>
      </c>
      <c r="AD524" s="105">
        <f t="shared" ca="1" si="35"/>
        <v>0</v>
      </c>
    </row>
    <row r="525" spans="12:30" x14ac:dyDescent="0.35">
      <c r="L525" s="105">
        <f t="shared" ca="1" si="34"/>
        <v>0</v>
      </c>
      <c r="AD525" s="105">
        <f t="shared" ca="1" si="35"/>
        <v>0</v>
      </c>
    </row>
    <row r="526" spans="12:30" x14ac:dyDescent="0.35">
      <c r="L526" s="105">
        <f t="shared" ca="1" si="34"/>
        <v>0</v>
      </c>
      <c r="AD526" s="105">
        <f t="shared" ca="1" si="35"/>
        <v>0</v>
      </c>
    </row>
    <row r="527" spans="12:30" x14ac:dyDescent="0.35">
      <c r="L527" s="105">
        <f t="shared" ca="1" si="34"/>
        <v>0</v>
      </c>
      <c r="AD527" s="105">
        <f t="shared" ca="1" si="35"/>
        <v>0</v>
      </c>
    </row>
    <row r="528" spans="12:30" x14ac:dyDescent="0.35">
      <c r="L528" s="105">
        <f t="shared" ca="1" si="34"/>
        <v>0</v>
      </c>
      <c r="AD528" s="105">
        <f t="shared" ca="1" si="35"/>
        <v>0</v>
      </c>
    </row>
    <row r="529" spans="12:30" x14ac:dyDescent="0.35">
      <c r="L529" s="105">
        <f t="shared" ca="1" si="34"/>
        <v>0</v>
      </c>
      <c r="AD529" s="105">
        <f t="shared" ca="1" si="35"/>
        <v>0</v>
      </c>
    </row>
    <row r="530" spans="12:30" x14ac:dyDescent="0.35">
      <c r="L530" s="105">
        <f t="shared" ca="1" si="34"/>
        <v>0</v>
      </c>
      <c r="AD530" s="105">
        <f t="shared" ca="1" si="35"/>
        <v>0</v>
      </c>
    </row>
    <row r="531" spans="12:30" x14ac:dyDescent="0.35">
      <c r="L531" s="105">
        <f t="shared" ca="1" si="34"/>
        <v>0</v>
      </c>
      <c r="AD531" s="105">
        <f t="shared" ca="1" si="35"/>
        <v>0</v>
      </c>
    </row>
    <row r="532" spans="12:30" x14ac:dyDescent="0.35">
      <c r="L532" s="105">
        <f t="shared" ca="1" si="34"/>
        <v>0</v>
      </c>
      <c r="AD532" s="105">
        <f t="shared" ca="1" si="35"/>
        <v>0</v>
      </c>
    </row>
    <row r="19436" spans="14:14" x14ac:dyDescent="0.35">
      <c r="N19436" s="105" t="s">
        <v>15</v>
      </c>
    </row>
  </sheetData>
  <mergeCells count="21">
    <mergeCell ref="AN3:AO3"/>
    <mergeCell ref="AP3:AQ3"/>
    <mergeCell ref="AR3:AS3"/>
    <mergeCell ref="AT3:AU3"/>
    <mergeCell ref="AY3:AZ3"/>
    <mergeCell ref="V3:W3"/>
    <mergeCell ref="X3:Y3"/>
    <mergeCell ref="Z3:AA3"/>
    <mergeCell ref="AB3:AC3"/>
    <mergeCell ref="AG3:AH3"/>
    <mergeCell ref="AL3:AM3"/>
    <mergeCell ref="C2:L2"/>
    <mergeCell ref="T2:AC2"/>
    <mergeCell ref="AL2:AU2"/>
    <mergeCell ref="C3:D3"/>
    <mergeCell ref="E3:F3"/>
    <mergeCell ref="G3:H3"/>
    <mergeCell ref="I3:J3"/>
    <mergeCell ref="K3:L3"/>
    <mergeCell ref="P3:Q3"/>
    <mergeCell ref="T3:U3"/>
  </mergeCells>
  <dataValidations count="2">
    <dataValidation type="list" allowBlank="1" showInputMessage="1" showErrorMessage="1" sqref="A1" xr:uid="{0E0EE2C8-F6A9-4F91-830D-B95210C415E5}">
      <formula1>$CD$2:$CD$52</formula1>
    </dataValidation>
    <dataValidation type="list" allowBlank="1" showInputMessage="1" showErrorMessage="1" sqref="CD2:CD47" xr:uid="{0E32021C-9A1F-487F-A05C-F2E2B489676F}">
      <formula1>$CD$2:$CD$47</formula1>
    </dataValidation>
  </dataValidations>
  <pageMargins left="0.7" right="0.7" top="0.75" bottom="0.75" header="0.3" footer="0.3"/>
  <pageSetup scale="28" orientation="portrait" r:id="rId1"/>
  <colBreaks count="3" manualBreakCount="3">
    <brk id="17" max="1048575" man="1"/>
    <brk id="35" max="52" man="1"/>
    <brk id="53" max="4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- Overview</vt:lpstr>
      <vt:lpstr>Collection Wise summary</vt:lpstr>
      <vt:lpstr>'Collection Wise summary'!Print_Area</vt:lpstr>
      <vt:lpstr>'Summary -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Sharma</dc:creator>
  <cp:lastModifiedBy>Rajesh Kumar Sharma</cp:lastModifiedBy>
  <dcterms:created xsi:type="dcterms:W3CDTF">2026-04-28T12:34:41Z</dcterms:created>
  <dcterms:modified xsi:type="dcterms:W3CDTF">2026-04-28T12:35:25Z</dcterms:modified>
</cp:coreProperties>
</file>