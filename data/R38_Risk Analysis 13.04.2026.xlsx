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jam.hemachalam\Desktop\Risk Analysis\"/>
    </mc:Choice>
  </mc:AlternateContent>
  <xr:revisionPtr revIDLastSave="0" documentId="8_{A5CFB7F1-8C59-4903-903F-9FEAFCCFE0A2}" xr6:coauthVersionLast="47" xr6:coauthVersionMax="47" xr10:uidLastSave="{00000000-0000-0000-0000-000000000000}"/>
  <bookViews>
    <workbookView xWindow="-120" yWindow="-120" windowWidth="29040" windowHeight="15720" xr2:uid="{57708E59-CD49-4187-A8A4-47960F538D05}"/>
  </bookViews>
  <sheets>
    <sheet name="Index" sheetId="1" r:id="rId1"/>
    <sheet name="projectwise_total" sheetId="2" r:id="rId2"/>
    <sheet name="investment_total" sheetId="3" r:id="rId3"/>
    <sheet name="less than 5mil" sheetId="4" r:id="rId4"/>
    <sheet name="10mil to 15mil" sheetId="5" r:id="rId5"/>
    <sheet name="5mil to 10mil" sheetId="6" r:id="rId6"/>
    <sheet name="15mil to 30mil" sheetId="7" r:id="rId7"/>
    <sheet name="30mil to 60mil" sheetId="8" r:id="rId8"/>
    <sheet name="60mil to 100mil" sheetId="9" r:id="rId9"/>
    <sheet name="100mil+" sheetId="10" r:id="rId10"/>
  </sheets>
  <definedNames>
    <definedName name="_xlnm._FilterDatabase" localSheetId="5" hidden="1">'5mil to 10mil'!$A$105:$P$397</definedName>
    <definedName name="_xlnm._FilterDatabase" localSheetId="2" hidden="1">investment_total!$B$28:$T$89</definedName>
    <definedName name="_xlcn.WorksheetConnection_Sheet19A1E16961" localSheetId="9" hidden="1">#REF!</definedName>
    <definedName name="_xlcn.WorksheetConnection_Sheet19A1E16961" localSheetId="4" hidden="1">#REF!</definedName>
    <definedName name="_xlcn.WorksheetConnection_Sheet19A1E16961" localSheetId="6" hidden="1">#REF!</definedName>
    <definedName name="_xlcn.WorksheetConnection_Sheet19A1E16961" localSheetId="7" hidden="1">#REF!</definedName>
    <definedName name="_xlcn.WorksheetConnection_Sheet19A1E16961" localSheetId="5" hidden="1">#REF!</definedName>
    <definedName name="_xlcn.WorksheetConnection_Sheet19A1E16961" localSheetId="8" hidden="1">#REF!</definedName>
    <definedName name="_xlcn.WorksheetConnection_Sheet19A1E16961" localSheetId="2" hidden="1">#REF!</definedName>
    <definedName name="_xlcn.WorksheetConnection_Sheet19A1E16961" localSheetId="3" hidden="1">#REF!</definedName>
    <definedName name="_xlcn.WorksheetConnection_Sheet19A1E16961" localSheetId="1" hidden="1">#REF!</definedName>
    <definedName name="_xlcn.WorksheetConnection_Sheet19A1E16961" hidden="1">#REF!</definedName>
    <definedName name="Ak" localSheetId="9">#REF!</definedName>
    <definedName name="Ak" localSheetId="4">#REF!</definedName>
    <definedName name="Ak" localSheetId="6">#REF!</definedName>
    <definedName name="Ak" localSheetId="7">#REF!</definedName>
    <definedName name="Ak" localSheetId="5">#REF!</definedName>
    <definedName name="Ak" localSheetId="8">#REF!</definedName>
    <definedName name="Ak" localSheetId="2">#REF!</definedName>
    <definedName name="Ak" localSheetId="3">#REF!</definedName>
    <definedName name="Ak" localSheetId="1">#REF!</definedName>
    <definedName name="Ak">#REF!</definedName>
    <definedName name="NOB" localSheetId="9">#REF!</definedName>
    <definedName name="NOB" localSheetId="4">#REF!</definedName>
    <definedName name="NOB" localSheetId="6">#REF!</definedName>
    <definedName name="NOB" localSheetId="7">#REF!</definedName>
    <definedName name="NOB" localSheetId="5">#REF!</definedName>
    <definedName name="NOB" localSheetId="8">#REF!</definedName>
    <definedName name="NOB" localSheetId="2">#REF!</definedName>
    <definedName name="NOB" localSheetId="3">#REF!</definedName>
    <definedName name="NOB" localSheetId="1">#REF!</definedName>
    <definedName name="NOB">#REF!</definedName>
    <definedName name="_xlnm.Print_Area" localSheetId="9">'100mil+'!$B$1:$P$398</definedName>
    <definedName name="_xlnm.Print_Area" localSheetId="4">'10mil to 15mil'!$B$1:$P$399</definedName>
    <definedName name="_xlnm.Print_Area" localSheetId="6">'15mil to 30mil'!$B$1:$P$399</definedName>
    <definedName name="_xlnm.Print_Area" localSheetId="7">'30mil to 60mil'!$B$1:$P$398</definedName>
    <definedName name="_xlnm.Print_Area" localSheetId="5">'5mil to 10mil'!$B$1:$P$399</definedName>
    <definedName name="_xlnm.Print_Area" localSheetId="8">'60mil to 100mil'!$B$3:$P$399</definedName>
    <definedName name="_xlnm.Print_Area" localSheetId="2">investment_total!$B$1:$O$89</definedName>
    <definedName name="_xlnm.Print_Area" localSheetId="3">'less than 5mil'!$B$1:$P$399</definedName>
    <definedName name="_xlnm.Print_Area" localSheetId="1">projectwise_total!$B$1:$P$395</definedName>
    <definedName name="Source" localSheetId="9">#REF!</definedName>
    <definedName name="Source" localSheetId="4">#REF!</definedName>
    <definedName name="Source" localSheetId="6">#REF!</definedName>
    <definedName name="Source" localSheetId="7">#REF!</definedName>
    <definedName name="Source" localSheetId="5">#REF!</definedName>
    <definedName name="Source" localSheetId="8">#REF!</definedName>
    <definedName name="Source" localSheetId="2">#REF!</definedName>
    <definedName name="Source" localSheetId="3">#REF!</definedName>
    <definedName name="Source" localSheetId="1">#REF!</definedName>
    <definedName name="Source">#REF!</definedName>
    <definedName name="SRCE" localSheetId="9">#REF!</definedName>
    <definedName name="SRCE" localSheetId="4">#REF!</definedName>
    <definedName name="SRCE" localSheetId="6">#REF!</definedName>
    <definedName name="SRCE" localSheetId="7">#REF!</definedName>
    <definedName name="SRCE" localSheetId="5">#REF!</definedName>
    <definedName name="SRCE" localSheetId="8">#REF!</definedName>
    <definedName name="SRCE" localSheetId="2">#REF!</definedName>
    <definedName name="SRCE" localSheetId="3">#REF!</definedName>
    <definedName name="SRCE" localSheetId="1">#REF!</definedName>
    <definedName name="SRCE">#REF!</definedName>
    <definedName name="Style" localSheetId="9">#REF!</definedName>
    <definedName name="Style" localSheetId="4">#REF!</definedName>
    <definedName name="Style" localSheetId="6">#REF!</definedName>
    <definedName name="Style" localSheetId="7">#REF!</definedName>
    <definedName name="Style" localSheetId="5">#REF!</definedName>
    <definedName name="Style" localSheetId="8">#REF!</definedName>
    <definedName name="Style" localSheetId="2">#REF!</definedName>
    <definedName name="Style" localSheetId="3">#REF!</definedName>
    <definedName name="Style" localSheetId="1">#REF!</definedName>
    <definedName name="Style">#REF!</definedName>
    <definedName name="TOS" localSheetId="9">#REF!</definedName>
    <definedName name="TOS" localSheetId="4">#REF!</definedName>
    <definedName name="TOS" localSheetId="6">#REF!</definedName>
    <definedName name="TOS" localSheetId="7">#REF!</definedName>
    <definedName name="TOS" localSheetId="5">#REF!</definedName>
    <definedName name="TOS" localSheetId="8">#REF!</definedName>
    <definedName name="TOS" localSheetId="2">#REF!</definedName>
    <definedName name="TOS" localSheetId="3">#REF!</definedName>
    <definedName name="TOS" localSheetId="1">#REF!</definedName>
    <definedName name="TOS">#REF!</definedName>
    <definedName name="Type" localSheetId="9">#REF!</definedName>
    <definedName name="Type" localSheetId="4">#REF!</definedName>
    <definedName name="Type" localSheetId="6">#REF!</definedName>
    <definedName name="Type" localSheetId="7">#REF!</definedName>
    <definedName name="Type" localSheetId="5">#REF!</definedName>
    <definedName name="Type" localSheetId="8">#REF!</definedName>
    <definedName name="Type" localSheetId="2">#REF!</definedName>
    <definedName name="Type" localSheetId="3">#REF!</definedName>
    <definedName name="Type" localSheetId="1">#REF!</definedName>
    <definedName name="Type">#REF!</definedName>
    <definedName name="VLOOKUP" localSheetId="9">#REF!</definedName>
    <definedName name="VLOOKUP" localSheetId="4">#REF!</definedName>
    <definedName name="VLOOKUP" localSheetId="6">#REF!</definedName>
    <definedName name="VLOOKUP" localSheetId="7">#REF!</definedName>
    <definedName name="VLOOKUP" localSheetId="5">#REF!</definedName>
    <definedName name="VLOOKUP" localSheetId="8">#REF!</definedName>
    <definedName name="VLOOKUP" localSheetId="2">#REF!</definedName>
    <definedName name="VLOOKUP" localSheetId="3">#REF!</definedName>
    <definedName name="VLOOKUP" localSheetId="1">#REF!</definedName>
    <definedName name="V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5" i="10" l="1"/>
  <c r="F395" i="10"/>
  <c r="O396" i="10"/>
  <c r="M396" i="10"/>
  <c r="L396" i="10"/>
  <c r="I396" i="10"/>
  <c r="J394" i="10"/>
  <c r="G396" i="10"/>
  <c r="E396" i="10"/>
  <c r="D396" i="10"/>
  <c r="J391" i="10"/>
  <c r="O393" i="10"/>
  <c r="N393" i="10"/>
  <c r="M393" i="10"/>
  <c r="F390" i="10"/>
  <c r="D393" i="10"/>
  <c r="J388" i="10"/>
  <c r="F388" i="10"/>
  <c r="J387" i="10"/>
  <c r="J386" i="10"/>
  <c r="F386" i="10"/>
  <c r="F385" i="10"/>
  <c r="J384" i="10"/>
  <c r="F384" i="10"/>
  <c r="J383" i="10"/>
  <c r="K383" i="10" s="1"/>
  <c r="F383" i="10"/>
  <c r="J382" i="10"/>
  <c r="J381" i="10"/>
  <c r="F381" i="10"/>
  <c r="J380" i="10"/>
  <c r="F380" i="10"/>
  <c r="J379" i="10"/>
  <c r="F379" i="10"/>
  <c r="J378" i="10"/>
  <c r="F378" i="10"/>
  <c r="J377" i="10"/>
  <c r="F376" i="10"/>
  <c r="F375" i="10"/>
  <c r="J374" i="10"/>
  <c r="F374" i="10"/>
  <c r="F372" i="10"/>
  <c r="F371" i="10"/>
  <c r="J370" i="10"/>
  <c r="J369" i="10"/>
  <c r="F369" i="10"/>
  <c r="J368" i="10"/>
  <c r="J367" i="10"/>
  <c r="J366" i="10"/>
  <c r="F366" i="10"/>
  <c r="J365" i="10"/>
  <c r="F365" i="10"/>
  <c r="J363" i="10"/>
  <c r="J362" i="10"/>
  <c r="F362" i="10"/>
  <c r="F361" i="10"/>
  <c r="F360" i="10"/>
  <c r="J359" i="10"/>
  <c r="K359" i="10" s="1"/>
  <c r="F359" i="10"/>
  <c r="J358" i="10"/>
  <c r="J357" i="10"/>
  <c r="F357" i="10"/>
  <c r="J356" i="10"/>
  <c r="F356" i="10"/>
  <c r="J355" i="10"/>
  <c r="F355" i="10"/>
  <c r="J354" i="10"/>
  <c r="J353" i="10"/>
  <c r="F353" i="10"/>
  <c r="O389" i="10"/>
  <c r="O397" i="10" s="1"/>
  <c r="F352" i="10"/>
  <c r="J346" i="10"/>
  <c r="K346" i="10" s="1"/>
  <c r="M347" i="10"/>
  <c r="L347" i="10"/>
  <c r="I347" i="10"/>
  <c r="H347" i="10"/>
  <c r="F345" i="10"/>
  <c r="E347" i="10"/>
  <c r="D347" i="10"/>
  <c r="M344" i="10"/>
  <c r="J343" i="10"/>
  <c r="J342" i="10"/>
  <c r="F342" i="10"/>
  <c r="P344" i="10"/>
  <c r="F341" i="10"/>
  <c r="J339" i="10"/>
  <c r="K339" i="10" s="1"/>
  <c r="J338" i="10"/>
  <c r="J337" i="10"/>
  <c r="F337" i="10"/>
  <c r="J336" i="10"/>
  <c r="J335" i="10"/>
  <c r="F335" i="10"/>
  <c r="J334" i="10"/>
  <c r="F334" i="10"/>
  <c r="J333" i="10"/>
  <c r="F333" i="10"/>
  <c r="J332" i="10"/>
  <c r="F331" i="10"/>
  <c r="F329" i="10"/>
  <c r="J329" i="10"/>
  <c r="K329" i="10" s="1"/>
  <c r="J327" i="10"/>
  <c r="J326" i="10"/>
  <c r="J323" i="10"/>
  <c r="F323" i="10"/>
  <c r="F322" i="10"/>
  <c r="J322" i="10"/>
  <c r="J321" i="10"/>
  <c r="J320" i="10"/>
  <c r="J318" i="10"/>
  <c r="J317" i="10"/>
  <c r="K317" i="10" s="1"/>
  <c r="F316" i="10"/>
  <c r="J315" i="10"/>
  <c r="F315" i="10"/>
  <c r="J313" i="10"/>
  <c r="J312" i="10"/>
  <c r="F310" i="10"/>
  <c r="J309" i="10"/>
  <c r="F309" i="10"/>
  <c r="J308" i="10"/>
  <c r="F307" i="10"/>
  <c r="J306" i="10"/>
  <c r="F305" i="10"/>
  <c r="J305" i="10"/>
  <c r="K305" i="10" s="1"/>
  <c r="M340" i="10"/>
  <c r="M348" i="10" s="1"/>
  <c r="F303" i="10"/>
  <c r="N298" i="10"/>
  <c r="M298" i="10"/>
  <c r="F297" i="10"/>
  <c r="P298" i="10"/>
  <c r="O298" i="10"/>
  <c r="L298" i="10"/>
  <c r="D298" i="10"/>
  <c r="O295" i="10"/>
  <c r="J294" i="10"/>
  <c r="F294" i="10"/>
  <c r="N295" i="10"/>
  <c r="M295" i="10"/>
  <c r="J293" i="10"/>
  <c r="K293" i="10" s="1"/>
  <c r="L295" i="10"/>
  <c r="F292" i="10"/>
  <c r="J289" i="10"/>
  <c r="F287" i="10"/>
  <c r="J286" i="10"/>
  <c r="F286" i="10"/>
  <c r="J285" i="10"/>
  <c r="J284" i="10"/>
  <c r="K284" i="10" s="1"/>
  <c r="F284" i="10"/>
  <c r="J283" i="10"/>
  <c r="J282" i="10"/>
  <c r="F282" i="10"/>
  <c r="J281" i="10"/>
  <c r="J280" i="10"/>
  <c r="F280" i="10"/>
  <c r="F279" i="10"/>
  <c r="J279" i="10"/>
  <c r="F278" i="10"/>
  <c r="F277" i="10"/>
  <c r="J275" i="10"/>
  <c r="F275" i="10"/>
  <c r="J274" i="10"/>
  <c r="F274" i="10"/>
  <c r="J273" i="10"/>
  <c r="F273" i="10"/>
  <c r="J272" i="10"/>
  <c r="K272" i="10" s="1"/>
  <c r="F272" i="10"/>
  <c r="J271" i="10"/>
  <c r="F271" i="10"/>
  <c r="J270" i="10"/>
  <c r="F270" i="10"/>
  <c r="J268" i="10"/>
  <c r="F268" i="10"/>
  <c r="J267" i="10"/>
  <c r="J266" i="10"/>
  <c r="F265" i="10"/>
  <c r="J264" i="10"/>
  <c r="F264" i="10"/>
  <c r="F263" i="10"/>
  <c r="J262" i="10"/>
  <c r="J261" i="10"/>
  <c r="F261" i="10"/>
  <c r="J260" i="10"/>
  <c r="K260" i="10" s="1"/>
  <c r="F260" i="10"/>
  <c r="J259" i="10"/>
  <c r="J258" i="10"/>
  <c r="F258" i="10"/>
  <c r="F256" i="10"/>
  <c r="F255" i="10"/>
  <c r="J254" i="10"/>
  <c r="O249" i="10"/>
  <c r="N249" i="10"/>
  <c r="H249" i="10"/>
  <c r="M249" i="10"/>
  <c r="I249" i="10"/>
  <c r="P249" i="10"/>
  <c r="E249" i="10"/>
  <c r="H246" i="10"/>
  <c r="I246" i="10"/>
  <c r="P246" i="10"/>
  <c r="K244" i="10"/>
  <c r="J244" i="10"/>
  <c r="F244" i="10"/>
  <c r="M246" i="10"/>
  <c r="J243" i="10"/>
  <c r="F243" i="10"/>
  <c r="E246" i="10"/>
  <c r="J241" i="10"/>
  <c r="J239" i="10"/>
  <c r="F239" i="10"/>
  <c r="J237" i="10"/>
  <c r="F237" i="10"/>
  <c r="J236" i="10"/>
  <c r="F236" i="10"/>
  <c r="F235" i="10"/>
  <c r="F234" i="10"/>
  <c r="J233" i="10"/>
  <c r="J232" i="10"/>
  <c r="K232" i="10" s="1"/>
  <c r="F232" i="10"/>
  <c r="F231" i="10"/>
  <c r="J230" i="10"/>
  <c r="K230" i="10" s="1"/>
  <c r="F230" i="10"/>
  <c r="J228" i="10"/>
  <c r="F227" i="10"/>
  <c r="F225" i="10"/>
  <c r="J224" i="10"/>
  <c r="F224" i="10"/>
  <c r="J223" i="10"/>
  <c r="K223" i="10" s="1"/>
  <c r="F223" i="10"/>
  <c r="J221" i="10"/>
  <c r="J220" i="10"/>
  <c r="F220" i="10"/>
  <c r="F219" i="10"/>
  <c r="J218" i="10"/>
  <c r="K218" i="10" s="1"/>
  <c r="F218" i="10"/>
  <c r="F216" i="10"/>
  <c r="J215" i="10"/>
  <c r="F215" i="10"/>
  <c r="J214" i="10"/>
  <c r="F214" i="10"/>
  <c r="J213" i="10"/>
  <c r="F213" i="10"/>
  <c r="J212" i="10"/>
  <c r="J211" i="10"/>
  <c r="K211" i="10" s="1"/>
  <c r="F211" i="10"/>
  <c r="J208" i="10"/>
  <c r="F208" i="10"/>
  <c r="J207" i="10"/>
  <c r="N242" i="10"/>
  <c r="J206" i="10"/>
  <c r="K206" i="10" s="1"/>
  <c r="N199" i="10"/>
  <c r="I199" i="10"/>
  <c r="J197" i="10"/>
  <c r="D199" i="10"/>
  <c r="J194" i="10"/>
  <c r="F194" i="10"/>
  <c r="L196" i="10"/>
  <c r="F193" i="10"/>
  <c r="G196" i="10"/>
  <c r="D196" i="10"/>
  <c r="J191" i="10"/>
  <c r="F190" i="10"/>
  <c r="J188" i="10"/>
  <c r="K188" i="10" s="1"/>
  <c r="F188" i="10"/>
  <c r="J185" i="10"/>
  <c r="F185" i="10"/>
  <c r="F184" i="10"/>
  <c r="J183" i="10"/>
  <c r="K183" i="10" s="1"/>
  <c r="F183" i="10"/>
  <c r="J181" i="10"/>
  <c r="F181" i="10"/>
  <c r="F179" i="10"/>
  <c r="J178" i="10"/>
  <c r="F178" i="10"/>
  <c r="J177" i="10"/>
  <c r="F177" i="10"/>
  <c r="J176" i="10"/>
  <c r="F176" i="10"/>
  <c r="J175" i="10"/>
  <c r="J173" i="10"/>
  <c r="F173" i="10"/>
  <c r="J172" i="10"/>
  <c r="F172" i="10"/>
  <c r="J171" i="10"/>
  <c r="F171" i="10"/>
  <c r="J170" i="10"/>
  <c r="J168" i="10"/>
  <c r="K168" i="10" s="1"/>
  <c r="J167" i="10"/>
  <c r="F167" i="10"/>
  <c r="F166" i="10"/>
  <c r="J165" i="10"/>
  <c r="F165" i="10"/>
  <c r="J164" i="10"/>
  <c r="F164" i="10"/>
  <c r="J163" i="10"/>
  <c r="F163" i="10"/>
  <c r="J162" i="10"/>
  <c r="J161" i="10"/>
  <c r="F161" i="10"/>
  <c r="J160" i="10"/>
  <c r="F160" i="10"/>
  <c r="F159" i="10"/>
  <c r="F158" i="10"/>
  <c r="F157" i="10"/>
  <c r="F156" i="10"/>
  <c r="O192" i="10"/>
  <c r="E150" i="10"/>
  <c r="F149" i="10"/>
  <c r="J149" i="10"/>
  <c r="K149" i="10" s="1"/>
  <c r="P150" i="10"/>
  <c r="O150" i="10"/>
  <c r="N150" i="10"/>
  <c r="J148" i="10"/>
  <c r="D150" i="10"/>
  <c r="G147" i="10"/>
  <c r="J146" i="10"/>
  <c r="F146" i="10"/>
  <c r="F145" i="10"/>
  <c r="P147" i="10"/>
  <c r="F142" i="10"/>
  <c r="J141" i="10"/>
  <c r="F141" i="10"/>
  <c r="J140" i="10"/>
  <c r="F140" i="10"/>
  <c r="J139" i="10"/>
  <c r="K139" i="10" s="1"/>
  <c r="F139" i="10"/>
  <c r="J138" i="10"/>
  <c r="F138" i="10"/>
  <c r="F136" i="10"/>
  <c r="J135" i="10"/>
  <c r="F133" i="10"/>
  <c r="J133" i="10"/>
  <c r="K133" i="10" s="1"/>
  <c r="F131" i="10"/>
  <c r="F130" i="10"/>
  <c r="J129" i="10"/>
  <c r="F129" i="10"/>
  <c r="J128" i="10"/>
  <c r="F128" i="10"/>
  <c r="J127" i="10"/>
  <c r="F127" i="10"/>
  <c r="J126" i="10"/>
  <c r="F126" i="10"/>
  <c r="F125" i="10"/>
  <c r="F124" i="10"/>
  <c r="J124" i="10"/>
  <c r="J122" i="10"/>
  <c r="F121" i="10"/>
  <c r="J121" i="10"/>
  <c r="K121" i="10" s="1"/>
  <c r="F119" i="10"/>
  <c r="F118" i="10"/>
  <c r="J117" i="10"/>
  <c r="J116" i="10"/>
  <c r="F116" i="10"/>
  <c r="J115" i="10"/>
  <c r="J114" i="10"/>
  <c r="F114" i="10"/>
  <c r="F113" i="10"/>
  <c r="F112" i="10"/>
  <c r="J112" i="10"/>
  <c r="F111" i="10"/>
  <c r="J110" i="10"/>
  <c r="F110" i="10"/>
  <c r="F109" i="10"/>
  <c r="F107" i="10"/>
  <c r="J106" i="10"/>
  <c r="F106" i="10"/>
  <c r="O101" i="10"/>
  <c r="L101" i="10"/>
  <c r="J101" i="10"/>
  <c r="H101" i="10"/>
  <c r="G101" i="10"/>
  <c r="E101" i="10"/>
  <c r="M98" i="10"/>
  <c r="L98" i="10"/>
  <c r="K98" i="10"/>
  <c r="J98" i="10"/>
  <c r="H98" i="10"/>
  <c r="E98" i="10"/>
  <c r="D98" i="10"/>
  <c r="N98" i="10"/>
  <c r="I98" i="10"/>
  <c r="G98" i="10"/>
  <c r="F98" i="10"/>
  <c r="N94" i="10"/>
  <c r="I94" i="10"/>
  <c r="O94" i="10"/>
  <c r="J49" i="10"/>
  <c r="K49" i="10"/>
  <c r="F49" i="10"/>
  <c r="E49" i="10"/>
  <c r="O46" i="10"/>
  <c r="N46" i="10"/>
  <c r="M46" i="10"/>
  <c r="H46" i="10"/>
  <c r="G46" i="10"/>
  <c r="L46" i="10"/>
  <c r="J46" i="10"/>
  <c r="F46" i="10"/>
  <c r="D46" i="10"/>
  <c r="M42" i="10"/>
  <c r="O42" i="10"/>
  <c r="N42" i="10"/>
  <c r="F42" i="10"/>
  <c r="G396" i="9"/>
  <c r="D396" i="9"/>
  <c r="O396" i="9"/>
  <c r="N396" i="9"/>
  <c r="M396" i="9"/>
  <c r="J394" i="9"/>
  <c r="E396" i="9"/>
  <c r="J392" i="9"/>
  <c r="J391" i="9"/>
  <c r="F390" i="9"/>
  <c r="J388" i="9"/>
  <c r="J387" i="9"/>
  <c r="J385" i="9"/>
  <c r="F385" i="9"/>
  <c r="J384" i="9"/>
  <c r="F384" i="9"/>
  <c r="F383" i="9"/>
  <c r="J383" i="9"/>
  <c r="J382" i="9"/>
  <c r="F382" i="9"/>
  <c r="J381" i="9"/>
  <c r="F381" i="9"/>
  <c r="J380" i="9"/>
  <c r="J379" i="9"/>
  <c r="F379" i="9"/>
  <c r="F377" i="9"/>
  <c r="F376" i="9"/>
  <c r="J375" i="9"/>
  <c r="F375" i="9"/>
  <c r="F374" i="9"/>
  <c r="J372" i="9"/>
  <c r="K372" i="9" s="1"/>
  <c r="J371" i="9"/>
  <c r="F371" i="9"/>
  <c r="J370" i="9"/>
  <c r="F370" i="9"/>
  <c r="J368" i="9"/>
  <c r="J366" i="9"/>
  <c r="F366" i="9"/>
  <c r="J365" i="9"/>
  <c r="K365" i="9" s="1"/>
  <c r="F365" i="9"/>
  <c r="F364" i="9"/>
  <c r="J362" i="9"/>
  <c r="F362" i="9"/>
  <c r="J361" i="9"/>
  <c r="K361" i="9" s="1"/>
  <c r="F361" i="9"/>
  <c r="F360" i="9"/>
  <c r="J358" i="9"/>
  <c r="F358" i="9"/>
  <c r="J356" i="9"/>
  <c r="F356" i="9"/>
  <c r="J354" i="9"/>
  <c r="K354" i="9" s="1"/>
  <c r="F354" i="9"/>
  <c r="J353" i="9"/>
  <c r="E389" i="9"/>
  <c r="M347" i="9"/>
  <c r="D347" i="9"/>
  <c r="P347" i="9"/>
  <c r="O347" i="9"/>
  <c r="N347" i="9"/>
  <c r="J345" i="9"/>
  <c r="O344" i="9"/>
  <c r="J343" i="9"/>
  <c r="F343" i="9"/>
  <c r="N344" i="9"/>
  <c r="D344" i="9"/>
  <c r="L344" i="9"/>
  <c r="F339" i="9"/>
  <c r="J338" i="9"/>
  <c r="J337" i="9"/>
  <c r="F336" i="9"/>
  <c r="F335" i="9"/>
  <c r="F333" i="9"/>
  <c r="J332" i="9"/>
  <c r="F332" i="9"/>
  <c r="F330" i="9"/>
  <c r="J330" i="9"/>
  <c r="J329" i="9"/>
  <c r="F329" i="9"/>
  <c r="F327" i="9"/>
  <c r="J327" i="9"/>
  <c r="F326" i="9"/>
  <c r="J325" i="9"/>
  <c r="J324" i="9"/>
  <c r="F323" i="9"/>
  <c r="J323" i="9"/>
  <c r="F322" i="9"/>
  <c r="J322" i="9"/>
  <c r="J321" i="9"/>
  <c r="J320" i="9"/>
  <c r="F320" i="9"/>
  <c r="J319" i="9"/>
  <c r="F319" i="9"/>
  <c r="J318" i="9"/>
  <c r="J317" i="9"/>
  <c r="J316" i="9"/>
  <c r="F316" i="9"/>
  <c r="F315" i="9"/>
  <c r="J314" i="9"/>
  <c r="J313" i="9"/>
  <c r="F313" i="9"/>
  <c r="J312" i="9"/>
  <c r="F312" i="9"/>
  <c r="J311" i="9"/>
  <c r="F311" i="9"/>
  <c r="J310" i="9"/>
  <c r="F310" i="9"/>
  <c r="J309" i="9"/>
  <c r="F309" i="9"/>
  <c r="F308" i="9"/>
  <c r="J306" i="9"/>
  <c r="O340" i="9"/>
  <c r="J304" i="9"/>
  <c r="P298" i="9"/>
  <c r="J297" i="9"/>
  <c r="O298" i="9"/>
  <c r="N298" i="9"/>
  <c r="M298" i="9"/>
  <c r="I298" i="9"/>
  <c r="J296" i="9"/>
  <c r="E298" i="9"/>
  <c r="D298" i="9"/>
  <c r="O295" i="9"/>
  <c r="J294" i="9"/>
  <c r="F294" i="9"/>
  <c r="J293" i="9"/>
  <c r="F293" i="9"/>
  <c r="L295" i="9"/>
  <c r="D295" i="9"/>
  <c r="J290" i="9"/>
  <c r="J288" i="9"/>
  <c r="F287" i="9"/>
  <c r="J287" i="9"/>
  <c r="J286" i="9"/>
  <c r="F286" i="9"/>
  <c r="J285" i="9"/>
  <c r="F285" i="9"/>
  <c r="J284" i="9"/>
  <c r="J283" i="9"/>
  <c r="J281" i="9"/>
  <c r="F281" i="9"/>
  <c r="J279" i="9"/>
  <c r="J277" i="9"/>
  <c r="F277" i="9"/>
  <c r="J275" i="9"/>
  <c r="F275" i="9"/>
  <c r="J274" i="9"/>
  <c r="F274" i="9"/>
  <c r="J273" i="9"/>
  <c r="F273" i="9"/>
  <c r="F272" i="9"/>
  <c r="J271" i="9"/>
  <c r="F270" i="9"/>
  <c r="J269" i="9"/>
  <c r="F269" i="9"/>
  <c r="J268" i="9"/>
  <c r="F268" i="9"/>
  <c r="J265" i="9"/>
  <c r="F265" i="9"/>
  <c r="K263" i="9"/>
  <c r="J263" i="9"/>
  <c r="F263" i="9"/>
  <c r="J261" i="9"/>
  <c r="F261" i="9"/>
  <c r="J260" i="9"/>
  <c r="F259" i="9"/>
  <c r="J259" i="9"/>
  <c r="F257" i="9"/>
  <c r="J256" i="9"/>
  <c r="J255" i="9"/>
  <c r="F255" i="9"/>
  <c r="P249" i="9"/>
  <c r="I249" i="9"/>
  <c r="E249" i="9"/>
  <c r="D249" i="9"/>
  <c r="L246" i="9"/>
  <c r="K245" i="9"/>
  <c r="J245" i="9"/>
  <c r="O246" i="9"/>
  <c r="J244" i="9"/>
  <c r="F244" i="9"/>
  <c r="N246" i="9"/>
  <c r="I246" i="9"/>
  <c r="D246" i="9"/>
  <c r="J241" i="9"/>
  <c r="J240" i="9"/>
  <c r="F240" i="9"/>
  <c r="J239" i="9"/>
  <c r="F239" i="9"/>
  <c r="J238" i="9"/>
  <c r="K238" i="9" s="1"/>
  <c r="F238" i="9"/>
  <c r="F237" i="9"/>
  <c r="J237" i="9"/>
  <c r="J236" i="9"/>
  <c r="F236" i="9"/>
  <c r="F235" i="9"/>
  <c r="F234" i="9"/>
  <c r="F229" i="9"/>
  <c r="F228" i="9"/>
  <c r="J227" i="9"/>
  <c r="J226" i="9"/>
  <c r="F226" i="9"/>
  <c r="J225" i="9"/>
  <c r="J224" i="9"/>
  <c r="F223" i="9"/>
  <c r="F221" i="9"/>
  <c r="J220" i="9"/>
  <c r="F220" i="9"/>
  <c r="J219" i="9"/>
  <c r="F219" i="9"/>
  <c r="J218" i="9"/>
  <c r="F218" i="9"/>
  <c r="F216" i="9"/>
  <c r="J215" i="9"/>
  <c r="K214" i="9"/>
  <c r="J214" i="9"/>
  <c r="F214" i="9"/>
  <c r="J213" i="9"/>
  <c r="F213" i="9"/>
  <c r="J212" i="9"/>
  <c r="F212" i="9"/>
  <c r="J211" i="9"/>
  <c r="F211" i="9"/>
  <c r="F209" i="9"/>
  <c r="J208" i="9"/>
  <c r="F208" i="9"/>
  <c r="J206" i="9"/>
  <c r="F206" i="9"/>
  <c r="F205" i="9"/>
  <c r="M199" i="9"/>
  <c r="G199" i="9"/>
  <c r="F198" i="9"/>
  <c r="E199" i="9"/>
  <c r="J197" i="9"/>
  <c r="F197" i="9"/>
  <c r="F199" i="9" s="1"/>
  <c r="D199" i="9"/>
  <c r="F195" i="9"/>
  <c r="D196" i="9"/>
  <c r="L196" i="9"/>
  <c r="J194" i="9"/>
  <c r="P196" i="9"/>
  <c r="O196" i="9"/>
  <c r="N196" i="9"/>
  <c r="J191" i="9"/>
  <c r="F191" i="9"/>
  <c r="J190" i="9"/>
  <c r="F190" i="9"/>
  <c r="F188" i="9"/>
  <c r="F187" i="9"/>
  <c r="F184" i="9"/>
  <c r="F183" i="9"/>
  <c r="J181" i="9"/>
  <c r="F181" i="9"/>
  <c r="J180" i="9"/>
  <c r="F180" i="9"/>
  <c r="J179" i="9"/>
  <c r="F179" i="9"/>
  <c r="J178" i="9"/>
  <c r="F178" i="9"/>
  <c r="J177" i="9"/>
  <c r="F176" i="9"/>
  <c r="J175" i="9"/>
  <c r="J174" i="9"/>
  <c r="F174" i="9"/>
  <c r="J172" i="9"/>
  <c r="J171" i="9"/>
  <c r="F171" i="9"/>
  <c r="J169" i="9"/>
  <c r="F169" i="9"/>
  <c r="J168" i="9"/>
  <c r="F168" i="9"/>
  <c r="J167" i="9"/>
  <c r="F167" i="9"/>
  <c r="J166" i="9"/>
  <c r="F166" i="9"/>
  <c r="J165" i="9"/>
  <c r="K165" i="9" s="1"/>
  <c r="F164" i="9"/>
  <c r="J162" i="9"/>
  <c r="F157" i="9"/>
  <c r="J156" i="9"/>
  <c r="L192" i="9"/>
  <c r="F155" i="9"/>
  <c r="M150" i="9"/>
  <c r="J149" i="9"/>
  <c r="D150" i="9"/>
  <c r="P150" i="9"/>
  <c r="N150" i="9"/>
  <c r="I150" i="9"/>
  <c r="H150" i="9"/>
  <c r="G150" i="9"/>
  <c r="E150" i="9"/>
  <c r="N147" i="9"/>
  <c r="L147" i="9"/>
  <c r="G147" i="9"/>
  <c r="F142" i="9"/>
  <c r="J141" i="9"/>
  <c r="F141" i="9"/>
  <c r="J139" i="9"/>
  <c r="F139" i="9"/>
  <c r="F138" i="9"/>
  <c r="J137" i="9"/>
  <c r="K137" i="9" s="1"/>
  <c r="F137" i="9"/>
  <c r="J135" i="9"/>
  <c r="K135" i="9" s="1"/>
  <c r="K134" i="9"/>
  <c r="J134" i="9"/>
  <c r="J133" i="9"/>
  <c r="J132" i="9"/>
  <c r="F132" i="9"/>
  <c r="F131" i="9"/>
  <c r="F130" i="9"/>
  <c r="F129" i="9"/>
  <c r="J128" i="9"/>
  <c r="F127" i="9"/>
  <c r="J125" i="9"/>
  <c r="F124" i="9"/>
  <c r="J123" i="9"/>
  <c r="F123" i="9"/>
  <c r="J121" i="9"/>
  <c r="F121" i="9"/>
  <c r="J120" i="9"/>
  <c r="F120" i="9"/>
  <c r="J119" i="9"/>
  <c r="F119" i="9"/>
  <c r="J117" i="9"/>
  <c r="F117" i="9"/>
  <c r="F116" i="9"/>
  <c r="F115" i="9"/>
  <c r="F114" i="9"/>
  <c r="J114" i="9"/>
  <c r="J113" i="9"/>
  <c r="J112" i="9"/>
  <c r="F112" i="9"/>
  <c r="J111" i="9"/>
  <c r="K111" i="9" s="1"/>
  <c r="J110" i="9"/>
  <c r="F109" i="9"/>
  <c r="F107" i="9"/>
  <c r="F106" i="9"/>
  <c r="O101" i="9"/>
  <c r="N101" i="9"/>
  <c r="M101" i="9"/>
  <c r="L101" i="9"/>
  <c r="J101" i="9"/>
  <c r="I101" i="9"/>
  <c r="G101" i="9"/>
  <c r="F101" i="9"/>
  <c r="E101" i="9"/>
  <c r="D101" i="9"/>
  <c r="H98" i="9"/>
  <c r="G98" i="9"/>
  <c r="N98" i="9"/>
  <c r="F98" i="9"/>
  <c r="E98" i="9"/>
  <c r="O94" i="9"/>
  <c r="L94" i="9"/>
  <c r="K94" i="9"/>
  <c r="J94" i="9"/>
  <c r="I94" i="9"/>
  <c r="H94" i="9"/>
  <c r="G94" i="9"/>
  <c r="F94" i="9"/>
  <c r="F102" i="9" s="1"/>
  <c r="O49" i="9"/>
  <c r="L49" i="9"/>
  <c r="K49" i="9"/>
  <c r="J49" i="9"/>
  <c r="I49" i="9"/>
  <c r="H49" i="9"/>
  <c r="G49" i="9"/>
  <c r="F49" i="9"/>
  <c r="O46" i="9"/>
  <c r="N46" i="9"/>
  <c r="M46" i="9"/>
  <c r="K46" i="9"/>
  <c r="E46" i="9"/>
  <c r="J42" i="9"/>
  <c r="M42" i="9"/>
  <c r="L42" i="9"/>
  <c r="K42" i="9"/>
  <c r="I42" i="9"/>
  <c r="H42" i="9"/>
  <c r="E42" i="9"/>
  <c r="N396" i="8"/>
  <c r="G396" i="8"/>
  <c r="J395" i="8"/>
  <c r="F395" i="8"/>
  <c r="M396" i="8"/>
  <c r="L396" i="8"/>
  <c r="F394" i="8"/>
  <c r="D396" i="8"/>
  <c r="J392" i="8"/>
  <c r="F392" i="8"/>
  <c r="J391" i="8"/>
  <c r="K391" i="8" s="1"/>
  <c r="F391" i="8"/>
  <c r="N393" i="8"/>
  <c r="F390" i="8"/>
  <c r="J390" i="8"/>
  <c r="J388" i="8"/>
  <c r="F384" i="8"/>
  <c r="J383" i="8"/>
  <c r="F382" i="8"/>
  <c r="J382" i="8"/>
  <c r="J381" i="8"/>
  <c r="F380" i="8"/>
  <c r="J380" i="8"/>
  <c r="J379" i="8"/>
  <c r="J378" i="8"/>
  <c r="F378" i="8"/>
  <c r="J377" i="8"/>
  <c r="F377" i="8"/>
  <c r="J375" i="8"/>
  <c r="J374" i="8"/>
  <c r="F374" i="8"/>
  <c r="J373" i="8"/>
  <c r="F373" i="8"/>
  <c r="J372" i="8"/>
  <c r="F372" i="8"/>
  <c r="J371" i="8"/>
  <c r="J370" i="8"/>
  <c r="F370" i="8"/>
  <c r="J369" i="8"/>
  <c r="F369" i="8"/>
  <c r="F367" i="8"/>
  <c r="J366" i="8"/>
  <c r="F366" i="8"/>
  <c r="J365" i="8"/>
  <c r="F365" i="8"/>
  <c r="F364" i="8"/>
  <c r="J363" i="8"/>
  <c r="F362" i="8"/>
  <c r="J361" i="8"/>
  <c r="K361" i="8" s="1"/>
  <c r="F361" i="8"/>
  <c r="J360" i="8"/>
  <c r="F360" i="8"/>
  <c r="F358" i="8"/>
  <c r="J357" i="8"/>
  <c r="F357" i="8"/>
  <c r="J356" i="8"/>
  <c r="F355" i="8"/>
  <c r="J355" i="8"/>
  <c r="K355" i="8" s="1"/>
  <c r="J354" i="8"/>
  <c r="K354" i="8" s="1"/>
  <c r="J353" i="8"/>
  <c r="F353" i="8"/>
  <c r="H347" i="8"/>
  <c r="D347" i="8"/>
  <c r="N347" i="8"/>
  <c r="L347" i="8"/>
  <c r="F345" i="8"/>
  <c r="D344" i="8"/>
  <c r="J342" i="8"/>
  <c r="F342" i="8"/>
  <c r="O344" i="8"/>
  <c r="N344" i="8"/>
  <c r="I344" i="8"/>
  <c r="E344" i="8"/>
  <c r="J339" i="8"/>
  <c r="J338" i="8"/>
  <c r="F338" i="8"/>
  <c r="J337" i="8"/>
  <c r="F336" i="8"/>
  <c r="J333" i="8"/>
  <c r="K333" i="8" s="1"/>
  <c r="F333" i="8"/>
  <c r="F332" i="8"/>
  <c r="J330" i="8"/>
  <c r="J328" i="8"/>
  <c r="F328" i="8"/>
  <c r="J327" i="8"/>
  <c r="J326" i="8"/>
  <c r="F326" i="8"/>
  <c r="J325" i="8"/>
  <c r="J324" i="8"/>
  <c r="F324" i="8"/>
  <c r="J322" i="8"/>
  <c r="F322" i="8"/>
  <c r="J321" i="8"/>
  <c r="F321" i="8"/>
  <c r="J319" i="8"/>
  <c r="J318" i="8"/>
  <c r="F318" i="8"/>
  <c r="F317" i="8"/>
  <c r="F316" i="8"/>
  <c r="J315" i="8"/>
  <c r="J314" i="8"/>
  <c r="F314" i="8"/>
  <c r="J313" i="8"/>
  <c r="F312" i="8"/>
  <c r="J311" i="8"/>
  <c r="F311" i="8"/>
  <c r="J310" i="8"/>
  <c r="J308" i="8"/>
  <c r="F308" i="8"/>
  <c r="F307" i="8"/>
  <c r="F306" i="8"/>
  <c r="J305" i="8"/>
  <c r="K305" i="8" s="1"/>
  <c r="F303" i="8"/>
  <c r="P298" i="8"/>
  <c r="J297" i="8"/>
  <c r="O298" i="8"/>
  <c r="N298" i="8"/>
  <c r="M298" i="8"/>
  <c r="I295" i="8"/>
  <c r="J294" i="8"/>
  <c r="L295" i="8"/>
  <c r="J293" i="8"/>
  <c r="F293" i="8"/>
  <c r="P295" i="8"/>
  <c r="J292" i="8"/>
  <c r="E295" i="8"/>
  <c r="J290" i="8"/>
  <c r="F290" i="8"/>
  <c r="J289" i="8"/>
  <c r="F289" i="8"/>
  <c r="F288" i="8"/>
  <c r="J287" i="8"/>
  <c r="F287" i="8"/>
  <c r="F285" i="8"/>
  <c r="J284" i="8"/>
  <c r="F284" i="8"/>
  <c r="J283" i="8"/>
  <c r="F283" i="8"/>
  <c r="J282" i="8"/>
  <c r="J281" i="8"/>
  <c r="J280" i="8"/>
  <c r="F280" i="8"/>
  <c r="F279" i="8"/>
  <c r="J278" i="8"/>
  <c r="K278" i="8" s="1"/>
  <c r="F278" i="8"/>
  <c r="J277" i="8"/>
  <c r="F275" i="8"/>
  <c r="F273" i="8"/>
  <c r="F272" i="8"/>
  <c r="J271" i="8"/>
  <c r="F270" i="8"/>
  <c r="J270" i="8"/>
  <c r="J269" i="8"/>
  <c r="F269" i="8"/>
  <c r="J267" i="8"/>
  <c r="F267" i="8"/>
  <c r="J266" i="8"/>
  <c r="K266" i="8" s="1"/>
  <c r="F263" i="8"/>
  <c r="J261" i="8"/>
  <c r="F260" i="8"/>
  <c r="J259" i="8"/>
  <c r="J257" i="8"/>
  <c r="F257" i="8"/>
  <c r="J256" i="8"/>
  <c r="F256" i="8"/>
  <c r="J255" i="8"/>
  <c r="F255" i="8"/>
  <c r="P249" i="8"/>
  <c r="M249" i="8"/>
  <c r="J248" i="8"/>
  <c r="F248" i="8"/>
  <c r="O249" i="8"/>
  <c r="J247" i="8"/>
  <c r="D249" i="8"/>
  <c r="J245" i="8"/>
  <c r="F245" i="8"/>
  <c r="O246" i="8"/>
  <c r="L246" i="8"/>
  <c r="F244" i="8"/>
  <c r="J244" i="8"/>
  <c r="P246" i="8"/>
  <c r="N246" i="8"/>
  <c r="M246" i="8"/>
  <c r="D246" i="8"/>
  <c r="J241" i="8"/>
  <c r="F241" i="8"/>
  <c r="J240" i="8"/>
  <c r="J239" i="8"/>
  <c r="J236" i="8"/>
  <c r="K236" i="8" s="1"/>
  <c r="F236" i="8"/>
  <c r="J234" i="8"/>
  <c r="F232" i="8"/>
  <c r="J231" i="8"/>
  <c r="F231" i="8"/>
  <c r="J230" i="8"/>
  <c r="J228" i="8"/>
  <c r="J227" i="8"/>
  <c r="K227" i="8" s="1"/>
  <c r="F227" i="8"/>
  <c r="F226" i="8"/>
  <c r="J226" i="8"/>
  <c r="J225" i="8"/>
  <c r="J224" i="8"/>
  <c r="F224" i="8"/>
  <c r="J223" i="8"/>
  <c r="F223" i="8"/>
  <c r="J222" i="8"/>
  <c r="F222" i="8"/>
  <c r="J221" i="8"/>
  <c r="F220" i="8"/>
  <c r="J219" i="8"/>
  <c r="F219" i="8"/>
  <c r="J218" i="8"/>
  <c r="F218" i="8"/>
  <c r="F217" i="8"/>
  <c r="J216" i="8"/>
  <c r="J215" i="8"/>
  <c r="K215" i="8" s="1"/>
  <c r="F213" i="8"/>
  <c r="J212" i="8"/>
  <c r="F212" i="8"/>
  <c r="F211" i="8"/>
  <c r="J210" i="8"/>
  <c r="F209" i="8"/>
  <c r="J208" i="8"/>
  <c r="F208" i="8"/>
  <c r="J207" i="8"/>
  <c r="F206" i="8"/>
  <c r="J206" i="8"/>
  <c r="O242" i="8"/>
  <c r="O250" i="8" s="1"/>
  <c r="M199" i="8"/>
  <c r="L199" i="8"/>
  <c r="P199" i="8"/>
  <c r="I199" i="8"/>
  <c r="G199" i="8"/>
  <c r="L196" i="8"/>
  <c r="D196" i="8"/>
  <c r="J195" i="8"/>
  <c r="F195" i="8"/>
  <c r="J194" i="8"/>
  <c r="F194" i="8"/>
  <c r="E196" i="8"/>
  <c r="P196" i="8"/>
  <c r="F193" i="8"/>
  <c r="K191" i="8"/>
  <c r="J191" i="8"/>
  <c r="F191" i="8"/>
  <c r="J190" i="8"/>
  <c r="J189" i="8"/>
  <c r="F189" i="8"/>
  <c r="F188" i="8"/>
  <c r="J188" i="8"/>
  <c r="J186" i="8"/>
  <c r="J185" i="8"/>
  <c r="F185" i="8"/>
  <c r="J184" i="8"/>
  <c r="F184" i="8"/>
  <c r="F182" i="8"/>
  <c r="J181" i="8"/>
  <c r="K181" i="8" s="1"/>
  <c r="J180" i="8"/>
  <c r="K180" i="8" s="1"/>
  <c r="F179" i="8"/>
  <c r="J178" i="8"/>
  <c r="J177" i="8"/>
  <c r="J176" i="8"/>
  <c r="F176" i="8"/>
  <c r="J175" i="8"/>
  <c r="K175" i="8" s="1"/>
  <c r="F175" i="8"/>
  <c r="J174" i="8"/>
  <c r="J173" i="8"/>
  <c r="J172" i="8"/>
  <c r="J169" i="8"/>
  <c r="F169" i="8"/>
  <c r="J168" i="8"/>
  <c r="K168" i="8" s="1"/>
  <c r="F168" i="8"/>
  <c r="F167" i="8"/>
  <c r="F166" i="8"/>
  <c r="F165" i="8"/>
  <c r="J164" i="8"/>
  <c r="F164" i="8"/>
  <c r="F163" i="8"/>
  <c r="J161" i="8"/>
  <c r="J159" i="8"/>
  <c r="K159" i="8" s="1"/>
  <c r="J158" i="8"/>
  <c r="F158" i="8"/>
  <c r="F157" i="8"/>
  <c r="J156" i="8"/>
  <c r="F156" i="8"/>
  <c r="F155" i="8"/>
  <c r="M150" i="8"/>
  <c r="J149" i="8"/>
  <c r="K149" i="8" s="1"/>
  <c r="F149" i="8"/>
  <c r="P150" i="8"/>
  <c r="N150" i="8"/>
  <c r="H150" i="8"/>
  <c r="G150" i="8"/>
  <c r="D150" i="8"/>
  <c r="O147" i="8"/>
  <c r="F146" i="8"/>
  <c r="J145" i="8"/>
  <c r="F145" i="8"/>
  <c r="P147" i="8"/>
  <c r="N147" i="8"/>
  <c r="H147" i="8"/>
  <c r="D147" i="8"/>
  <c r="J142" i="8"/>
  <c r="F142" i="8"/>
  <c r="J141" i="8"/>
  <c r="F140" i="8"/>
  <c r="J139" i="8"/>
  <c r="F138" i="8"/>
  <c r="J137" i="8"/>
  <c r="F136" i="8"/>
  <c r="J136" i="8"/>
  <c r="J135" i="8"/>
  <c r="F135" i="8"/>
  <c r="J134" i="8"/>
  <c r="F134" i="8"/>
  <c r="F133" i="8"/>
  <c r="J133" i="8"/>
  <c r="J132" i="8"/>
  <c r="J131" i="8"/>
  <c r="J129" i="8"/>
  <c r="K129" i="8" s="1"/>
  <c r="F129" i="8"/>
  <c r="J127" i="8"/>
  <c r="F127" i="8"/>
  <c r="J126" i="8"/>
  <c r="F126" i="8"/>
  <c r="F125" i="8"/>
  <c r="J124" i="8"/>
  <c r="J123" i="8"/>
  <c r="F123" i="8"/>
  <c r="F122" i="8"/>
  <c r="F121" i="8"/>
  <c r="J120" i="8"/>
  <c r="F120" i="8"/>
  <c r="F119" i="8"/>
  <c r="J118" i="8"/>
  <c r="F118" i="8"/>
  <c r="J117" i="8"/>
  <c r="K117" i="8" s="1"/>
  <c r="F117" i="8"/>
  <c r="J115" i="8"/>
  <c r="F115" i="8"/>
  <c r="F114" i="8"/>
  <c r="J113" i="8"/>
  <c r="F113" i="8"/>
  <c r="F112" i="8"/>
  <c r="J111" i="8"/>
  <c r="F110" i="8"/>
  <c r="J109" i="8"/>
  <c r="F109" i="8"/>
  <c r="J108" i="8"/>
  <c r="F108" i="8"/>
  <c r="F107" i="8"/>
  <c r="O101" i="8"/>
  <c r="N101" i="8"/>
  <c r="J101" i="8"/>
  <c r="I101" i="8"/>
  <c r="F101" i="8"/>
  <c r="J98" i="8"/>
  <c r="F98" i="8"/>
  <c r="L98" i="8"/>
  <c r="K98" i="8"/>
  <c r="H98" i="8"/>
  <c r="G98" i="8"/>
  <c r="E94" i="8"/>
  <c r="D94" i="8"/>
  <c r="O94" i="8"/>
  <c r="N94" i="8"/>
  <c r="J94" i="8"/>
  <c r="J102" i="8" s="1"/>
  <c r="I94" i="8"/>
  <c r="F94" i="8"/>
  <c r="F102" i="8" s="1"/>
  <c r="E49" i="8"/>
  <c r="O49" i="8"/>
  <c r="L49" i="8"/>
  <c r="K49" i="8"/>
  <c r="H49" i="8"/>
  <c r="H46" i="8"/>
  <c r="O46" i="8"/>
  <c r="M46" i="8"/>
  <c r="G46" i="8"/>
  <c r="E46" i="8"/>
  <c r="I42" i="8"/>
  <c r="F42" i="8"/>
  <c r="D42" i="8"/>
  <c r="L42" i="8"/>
  <c r="K42" i="8"/>
  <c r="P396" i="7"/>
  <c r="O396" i="7"/>
  <c r="M396" i="7"/>
  <c r="F395" i="7"/>
  <c r="J395" i="7"/>
  <c r="D396" i="7"/>
  <c r="N396" i="7"/>
  <c r="G396" i="7"/>
  <c r="I393" i="7"/>
  <c r="O393" i="7"/>
  <c r="M393" i="7"/>
  <c r="J391" i="7"/>
  <c r="F391" i="7"/>
  <c r="J390" i="7"/>
  <c r="G393" i="7"/>
  <c r="E393" i="7"/>
  <c r="F388" i="7"/>
  <c r="J388" i="7"/>
  <c r="F387" i="7"/>
  <c r="J386" i="7"/>
  <c r="J384" i="7"/>
  <c r="F384" i="7"/>
  <c r="J383" i="7"/>
  <c r="F383" i="7"/>
  <c r="F382" i="7"/>
  <c r="J380" i="7"/>
  <c r="F378" i="7"/>
  <c r="F377" i="7"/>
  <c r="F376" i="7"/>
  <c r="F375" i="7"/>
  <c r="J374" i="7"/>
  <c r="F374" i="7"/>
  <c r="F373" i="7"/>
  <c r="F372" i="7"/>
  <c r="F371" i="7"/>
  <c r="J368" i="7"/>
  <c r="F368" i="7"/>
  <c r="F366" i="7"/>
  <c r="J366" i="7"/>
  <c r="J365" i="7"/>
  <c r="F365" i="7"/>
  <c r="K363" i="7"/>
  <c r="J363" i="7"/>
  <c r="J362" i="7"/>
  <c r="J361" i="7"/>
  <c r="F361" i="7"/>
  <c r="J360" i="7"/>
  <c r="F360" i="7"/>
  <c r="J359" i="7"/>
  <c r="F359" i="7"/>
  <c r="J358" i="7"/>
  <c r="K357" i="7"/>
  <c r="J357" i="7"/>
  <c r="F357" i="7"/>
  <c r="J356" i="7"/>
  <c r="J355" i="7"/>
  <c r="F355" i="7"/>
  <c r="J354" i="7"/>
  <c r="F354" i="7"/>
  <c r="J353" i="7"/>
  <c r="P347" i="7"/>
  <c r="O347" i="7"/>
  <c r="I347" i="7"/>
  <c r="L347" i="7"/>
  <c r="J346" i="7"/>
  <c r="F346" i="7"/>
  <c r="E347" i="7"/>
  <c r="G347" i="7"/>
  <c r="D347" i="7"/>
  <c r="J343" i="7"/>
  <c r="F343" i="7"/>
  <c r="N344" i="7"/>
  <c r="J342" i="7"/>
  <c r="F342" i="7"/>
  <c r="J341" i="7"/>
  <c r="J344" i="7" s="1"/>
  <c r="F341" i="7"/>
  <c r="E344" i="7"/>
  <c r="J339" i="7"/>
  <c r="F339" i="7"/>
  <c r="F338" i="7"/>
  <c r="F337" i="7"/>
  <c r="J336" i="7"/>
  <c r="F335" i="7"/>
  <c r="F334" i="7"/>
  <c r="K333" i="7"/>
  <c r="J333" i="7"/>
  <c r="J331" i="7"/>
  <c r="F331" i="7"/>
  <c r="J330" i="7"/>
  <c r="F330" i="7"/>
  <c r="J329" i="7"/>
  <c r="J327" i="7"/>
  <c r="F327" i="7"/>
  <c r="J326" i="7"/>
  <c r="F326" i="7"/>
  <c r="J325" i="7"/>
  <c r="J324" i="7"/>
  <c r="K324" i="7" s="1"/>
  <c r="J322" i="7"/>
  <c r="K321" i="7"/>
  <c r="J321" i="7"/>
  <c r="F321" i="7"/>
  <c r="F319" i="7"/>
  <c r="J318" i="7"/>
  <c r="J317" i="7"/>
  <c r="F317" i="7"/>
  <c r="J316" i="7"/>
  <c r="J315" i="7"/>
  <c r="F315" i="7"/>
  <c r="J314" i="7"/>
  <c r="F314" i="7"/>
  <c r="F313" i="7"/>
  <c r="J310" i="7"/>
  <c r="K309" i="7"/>
  <c r="J309" i="7"/>
  <c r="F309" i="7"/>
  <c r="J307" i="7"/>
  <c r="F307" i="7"/>
  <c r="F306" i="7"/>
  <c r="J305" i="7"/>
  <c r="D298" i="7"/>
  <c r="J297" i="7"/>
  <c r="F297" i="7"/>
  <c r="E298" i="7"/>
  <c r="O298" i="7"/>
  <c r="M298" i="7"/>
  <c r="I298" i="7"/>
  <c r="J296" i="7"/>
  <c r="J298" i="7" s="1"/>
  <c r="J294" i="7"/>
  <c r="F294" i="7"/>
  <c r="J293" i="7"/>
  <c r="F293" i="7"/>
  <c r="N295" i="7"/>
  <c r="I295" i="7"/>
  <c r="J292" i="7"/>
  <c r="F292" i="7"/>
  <c r="J290" i="7"/>
  <c r="F290" i="7"/>
  <c r="F289" i="7"/>
  <c r="F288" i="7"/>
  <c r="J287" i="7"/>
  <c r="F287" i="7"/>
  <c r="J284" i="7"/>
  <c r="F284" i="7"/>
  <c r="F282" i="7"/>
  <c r="J280" i="7"/>
  <c r="F278" i="7"/>
  <c r="J277" i="7"/>
  <c r="F277" i="7"/>
  <c r="J276" i="7"/>
  <c r="F276" i="7"/>
  <c r="J275" i="7"/>
  <c r="F275" i="7"/>
  <c r="F274" i="7"/>
  <c r="F273" i="7"/>
  <c r="J272" i="7"/>
  <c r="K272" i="7" s="1"/>
  <c r="F272" i="7"/>
  <c r="J270" i="7"/>
  <c r="J269" i="7"/>
  <c r="F269" i="7"/>
  <c r="J268" i="7"/>
  <c r="K268" i="7" s="1"/>
  <c r="F268" i="7"/>
  <c r="J267" i="7"/>
  <c r="F267" i="7"/>
  <c r="J265" i="7"/>
  <c r="J264" i="7"/>
  <c r="F264" i="7"/>
  <c r="F263" i="7"/>
  <c r="J262" i="7"/>
  <c r="F261" i="7"/>
  <c r="J260" i="7"/>
  <c r="K257" i="7"/>
  <c r="J257" i="7"/>
  <c r="F257" i="7"/>
  <c r="J256" i="7"/>
  <c r="F254" i="7"/>
  <c r="J248" i="7"/>
  <c r="K248" i="7" s="1"/>
  <c r="P249" i="7"/>
  <c r="M249" i="7"/>
  <c r="H249" i="7"/>
  <c r="E249" i="7"/>
  <c r="F245" i="7"/>
  <c r="E246" i="7"/>
  <c r="J241" i="7"/>
  <c r="K241" i="7" s="1"/>
  <c r="F241" i="7"/>
  <c r="J240" i="7"/>
  <c r="F240" i="7"/>
  <c r="J239" i="7"/>
  <c r="F239" i="7"/>
  <c r="J238" i="7"/>
  <c r="J237" i="7"/>
  <c r="K236" i="7"/>
  <c r="J236" i="7"/>
  <c r="F236" i="7"/>
  <c r="J235" i="7"/>
  <c r="F235" i="7"/>
  <c r="J233" i="7"/>
  <c r="F233" i="7"/>
  <c r="J230" i="7"/>
  <c r="K230" i="7" s="1"/>
  <c r="F230" i="7"/>
  <c r="J229" i="7"/>
  <c r="J228" i="7"/>
  <c r="F227" i="7"/>
  <c r="J225" i="7"/>
  <c r="F225" i="7"/>
  <c r="J224" i="7"/>
  <c r="F224" i="7"/>
  <c r="J223" i="7"/>
  <c r="F223" i="7"/>
  <c r="J222" i="7"/>
  <c r="F222" i="7"/>
  <c r="J221" i="7"/>
  <c r="F221" i="7"/>
  <c r="J218" i="7"/>
  <c r="J217" i="7"/>
  <c r="F217" i="7"/>
  <c r="J216" i="7"/>
  <c r="F216" i="7"/>
  <c r="J215" i="7"/>
  <c r="F215" i="7"/>
  <c r="F214" i="7"/>
  <c r="F212" i="7"/>
  <c r="J212" i="7"/>
  <c r="F211" i="7"/>
  <c r="J210" i="7"/>
  <c r="J209" i="7"/>
  <c r="F209" i="7"/>
  <c r="F208" i="7"/>
  <c r="J206" i="7"/>
  <c r="F206" i="7"/>
  <c r="J205" i="7"/>
  <c r="F205" i="7"/>
  <c r="P199" i="7"/>
  <c r="L199" i="7"/>
  <c r="J198" i="7"/>
  <c r="F198" i="7"/>
  <c r="N199" i="7"/>
  <c r="I199" i="7"/>
  <c r="G199" i="7"/>
  <c r="E199" i="7"/>
  <c r="D199" i="7"/>
  <c r="J195" i="7"/>
  <c r="P196" i="7"/>
  <c r="O196" i="7"/>
  <c r="L196" i="7"/>
  <c r="G196" i="7"/>
  <c r="E196" i="7"/>
  <c r="D196" i="7"/>
  <c r="J189" i="7"/>
  <c r="J188" i="7"/>
  <c r="J187" i="7"/>
  <c r="F186" i="7"/>
  <c r="J186" i="7"/>
  <c r="F185" i="7"/>
  <c r="J184" i="7"/>
  <c r="J182" i="7"/>
  <c r="F182" i="7"/>
  <c r="F180" i="7"/>
  <c r="F178" i="7"/>
  <c r="J176" i="7"/>
  <c r="F176" i="7"/>
  <c r="J174" i="7"/>
  <c r="F174" i="7"/>
  <c r="J173" i="7"/>
  <c r="F173" i="7"/>
  <c r="J170" i="7"/>
  <c r="J168" i="7"/>
  <c r="F168" i="7"/>
  <c r="J167" i="7"/>
  <c r="F167" i="7"/>
  <c r="J166" i="7"/>
  <c r="F166" i="7"/>
  <c r="J165" i="7"/>
  <c r="K165" i="7" s="1"/>
  <c r="J163" i="7"/>
  <c r="F163" i="7"/>
  <c r="F162" i="7"/>
  <c r="J161" i="7"/>
  <c r="J159" i="7"/>
  <c r="F159" i="7"/>
  <c r="J158" i="7"/>
  <c r="F158" i="7"/>
  <c r="J157" i="7"/>
  <c r="F157" i="7"/>
  <c r="J156" i="7"/>
  <c r="F156" i="7"/>
  <c r="L150" i="7"/>
  <c r="J149" i="7"/>
  <c r="M150" i="7"/>
  <c r="I150" i="7"/>
  <c r="J148" i="7"/>
  <c r="J146" i="7"/>
  <c r="F146" i="7"/>
  <c r="E147" i="7"/>
  <c r="P147" i="7"/>
  <c r="N147" i="7"/>
  <c r="M147" i="7"/>
  <c r="O147" i="7"/>
  <c r="L147" i="7"/>
  <c r="F144" i="7"/>
  <c r="J142" i="7"/>
  <c r="J141" i="7"/>
  <c r="F141" i="7"/>
  <c r="J140" i="7"/>
  <c r="K140" i="7" s="1"/>
  <c r="F140" i="7"/>
  <c r="F139" i="7"/>
  <c r="J138" i="7"/>
  <c r="F137" i="7"/>
  <c r="F136" i="7"/>
  <c r="J134" i="7"/>
  <c r="F134" i="7"/>
  <c r="J133" i="7"/>
  <c r="J131" i="7"/>
  <c r="J130" i="7"/>
  <c r="F130" i="7"/>
  <c r="F129" i="7"/>
  <c r="J128" i="7"/>
  <c r="K128" i="7" s="1"/>
  <c r="F127" i="7"/>
  <c r="F126" i="7"/>
  <c r="J125" i="7"/>
  <c r="J124" i="7"/>
  <c r="F122" i="7"/>
  <c r="F120" i="7"/>
  <c r="J119" i="7"/>
  <c r="F119" i="7"/>
  <c r="J118" i="7"/>
  <c r="J117" i="7"/>
  <c r="F117" i="7"/>
  <c r="K116" i="7"/>
  <c r="J116" i="7"/>
  <c r="F116" i="7"/>
  <c r="J115" i="7"/>
  <c r="F115" i="7"/>
  <c r="J114" i="7"/>
  <c r="F114" i="7"/>
  <c r="J113" i="7"/>
  <c r="F113" i="7"/>
  <c r="F112" i="7"/>
  <c r="F110" i="7"/>
  <c r="J110" i="7"/>
  <c r="J108" i="7"/>
  <c r="F108" i="7"/>
  <c r="J106" i="7"/>
  <c r="L101" i="7"/>
  <c r="G101" i="7"/>
  <c r="F101" i="7"/>
  <c r="E101" i="7"/>
  <c r="F98" i="7"/>
  <c r="D98" i="7"/>
  <c r="N98" i="7"/>
  <c r="L98" i="7"/>
  <c r="K98" i="7"/>
  <c r="J98" i="7"/>
  <c r="I98" i="7"/>
  <c r="E98" i="7"/>
  <c r="M94" i="7"/>
  <c r="H94" i="7"/>
  <c r="G94" i="7"/>
  <c r="F94" i="7"/>
  <c r="D94" i="7"/>
  <c r="I49" i="7"/>
  <c r="H49" i="7"/>
  <c r="G49" i="7"/>
  <c r="F49" i="7"/>
  <c r="E49" i="7"/>
  <c r="D46" i="7"/>
  <c r="O46" i="7"/>
  <c r="N46" i="7"/>
  <c r="M46" i="7"/>
  <c r="L46" i="7"/>
  <c r="K46" i="7"/>
  <c r="J46" i="7"/>
  <c r="E46" i="7"/>
  <c r="J42" i="7"/>
  <c r="F42" i="7"/>
  <c r="M42" i="7"/>
  <c r="K42" i="7"/>
  <c r="I42" i="7"/>
  <c r="H42" i="7"/>
  <c r="G42" i="7"/>
  <c r="E42" i="7"/>
  <c r="E50" i="7" s="1"/>
  <c r="H396" i="6"/>
  <c r="I396" i="6"/>
  <c r="F395" i="6"/>
  <c r="M396" i="6"/>
  <c r="J394" i="6"/>
  <c r="D396" i="6"/>
  <c r="G393" i="6"/>
  <c r="E393" i="6"/>
  <c r="J391" i="6"/>
  <c r="F391" i="6"/>
  <c r="I393" i="6"/>
  <c r="F388" i="6"/>
  <c r="J388" i="6"/>
  <c r="F387" i="6"/>
  <c r="J386" i="6"/>
  <c r="F386" i="6"/>
  <c r="F385" i="6"/>
  <c r="F384" i="6"/>
  <c r="J384" i="6"/>
  <c r="F383" i="6"/>
  <c r="J383" i="6"/>
  <c r="J382" i="6"/>
  <c r="F382" i="6"/>
  <c r="F380" i="6"/>
  <c r="J379" i="6"/>
  <c r="F379" i="6"/>
  <c r="J378" i="6"/>
  <c r="F378" i="6"/>
  <c r="J377" i="6"/>
  <c r="F377" i="6"/>
  <c r="J376" i="6"/>
  <c r="F376" i="6"/>
  <c r="F375" i="6"/>
  <c r="J374" i="6"/>
  <c r="J373" i="6"/>
  <c r="F373" i="6"/>
  <c r="J371" i="6"/>
  <c r="F371" i="6"/>
  <c r="J370" i="6"/>
  <c r="K370" i="6" s="1"/>
  <c r="F369" i="6"/>
  <c r="J369" i="6"/>
  <c r="J368" i="6"/>
  <c r="F368" i="6"/>
  <c r="J367" i="6"/>
  <c r="F367" i="6"/>
  <c r="F366" i="6"/>
  <c r="F364" i="6"/>
  <c r="J363" i="6"/>
  <c r="J362" i="6"/>
  <c r="F361" i="6"/>
  <c r="J360" i="6"/>
  <c r="J359" i="6"/>
  <c r="F359" i="6"/>
  <c r="J358" i="6"/>
  <c r="F358" i="6"/>
  <c r="F357" i="6"/>
  <c r="J355" i="6"/>
  <c r="J353" i="6"/>
  <c r="J352" i="6"/>
  <c r="H347" i="6"/>
  <c r="G347" i="6"/>
  <c r="E347" i="6"/>
  <c r="O347" i="6"/>
  <c r="M347" i="6"/>
  <c r="L347" i="6"/>
  <c r="F345" i="6"/>
  <c r="H344" i="6"/>
  <c r="D344" i="6"/>
  <c r="M344" i="6"/>
  <c r="J343" i="6"/>
  <c r="F343" i="6"/>
  <c r="N344" i="6"/>
  <c r="J339" i="6"/>
  <c r="F339" i="6"/>
  <c r="J334" i="6"/>
  <c r="F334" i="6"/>
  <c r="F333" i="6"/>
  <c r="J333" i="6"/>
  <c r="K333" i="6" s="1"/>
  <c r="F331" i="6"/>
  <c r="J330" i="6"/>
  <c r="F330" i="6"/>
  <c r="J329" i="6"/>
  <c r="F329" i="6"/>
  <c r="J328" i="6"/>
  <c r="F327" i="6"/>
  <c r="F326" i="6"/>
  <c r="J326" i="6"/>
  <c r="K326" i="6" s="1"/>
  <c r="J325" i="6"/>
  <c r="F325" i="6"/>
  <c r="F324" i="6"/>
  <c r="J323" i="6"/>
  <c r="J322" i="6"/>
  <c r="F322" i="6"/>
  <c r="J318" i="6"/>
  <c r="F318" i="6"/>
  <c r="F317" i="6"/>
  <c r="J317" i="6"/>
  <c r="K317" i="6" s="1"/>
  <c r="J315" i="6"/>
  <c r="K314" i="6"/>
  <c r="J314" i="6"/>
  <c r="F314" i="6"/>
  <c r="J313" i="6"/>
  <c r="F313" i="6"/>
  <c r="J311" i="6"/>
  <c r="J310" i="6"/>
  <c r="J309" i="6"/>
  <c r="F309" i="6"/>
  <c r="J308" i="6"/>
  <c r="F306" i="6"/>
  <c r="J305" i="6"/>
  <c r="J304" i="6"/>
  <c r="F304" i="6"/>
  <c r="J303" i="6"/>
  <c r="P298" i="6"/>
  <c r="F297" i="6"/>
  <c r="L298" i="6"/>
  <c r="J296" i="6"/>
  <c r="D298" i="6"/>
  <c r="P295" i="6"/>
  <c r="J294" i="6"/>
  <c r="F294" i="6"/>
  <c r="F293" i="6"/>
  <c r="O295" i="6"/>
  <c r="M295" i="6"/>
  <c r="I295" i="6"/>
  <c r="F289" i="6"/>
  <c r="J288" i="6"/>
  <c r="F288" i="6"/>
  <c r="F287" i="6"/>
  <c r="J286" i="6"/>
  <c r="J285" i="6"/>
  <c r="F284" i="6"/>
  <c r="F283" i="6"/>
  <c r="F282" i="6"/>
  <c r="J282" i="6"/>
  <c r="J281" i="6"/>
  <c r="J278" i="6"/>
  <c r="K278" i="6" s="1"/>
  <c r="J277" i="6"/>
  <c r="F277" i="6"/>
  <c r="J276" i="6"/>
  <c r="F276" i="6"/>
  <c r="F275" i="6"/>
  <c r="J274" i="6"/>
  <c r="F274" i="6"/>
  <c r="F273" i="6"/>
  <c r="J272" i="6"/>
  <c r="F272" i="6"/>
  <c r="F271" i="6"/>
  <c r="F270" i="6"/>
  <c r="J270" i="6"/>
  <c r="J269" i="6"/>
  <c r="K269" i="6" s="1"/>
  <c r="F269" i="6"/>
  <c r="J268" i="6"/>
  <c r="F268" i="6"/>
  <c r="J267" i="6"/>
  <c r="F267" i="6"/>
  <c r="J266" i="6"/>
  <c r="K266" i="6" s="1"/>
  <c r="F266" i="6"/>
  <c r="J265" i="6"/>
  <c r="F265" i="6"/>
  <c r="J264" i="6"/>
  <c r="F264" i="6"/>
  <c r="F263" i="6"/>
  <c r="F262" i="6"/>
  <c r="J262" i="6"/>
  <c r="F260" i="6"/>
  <c r="F258" i="6"/>
  <c r="J257" i="6"/>
  <c r="K257" i="6" s="1"/>
  <c r="F257" i="6"/>
  <c r="J256" i="6"/>
  <c r="F256" i="6"/>
  <c r="J255" i="6"/>
  <c r="F255" i="6"/>
  <c r="J254" i="6"/>
  <c r="D249" i="6"/>
  <c r="P249" i="6"/>
  <c r="F247" i="6"/>
  <c r="O246" i="6"/>
  <c r="J244" i="6"/>
  <c r="D246" i="6"/>
  <c r="L246" i="6"/>
  <c r="J243" i="6"/>
  <c r="G246" i="6"/>
  <c r="F243" i="6"/>
  <c r="J240" i="6"/>
  <c r="F240" i="6"/>
  <c r="J239" i="6"/>
  <c r="J238" i="6"/>
  <c r="F238" i="6"/>
  <c r="F237" i="6"/>
  <c r="J237" i="6"/>
  <c r="J236" i="6"/>
  <c r="F236" i="6"/>
  <c r="J235" i="6"/>
  <c r="F235" i="6"/>
  <c r="F234" i="6"/>
  <c r="J232" i="6"/>
  <c r="F231" i="6"/>
  <c r="F230" i="6"/>
  <c r="F228" i="6"/>
  <c r="J227" i="6"/>
  <c r="F227" i="6"/>
  <c r="K226" i="6"/>
  <c r="J226" i="6"/>
  <c r="F226" i="6"/>
  <c r="J225" i="6"/>
  <c r="F225" i="6"/>
  <c r="J219" i="6"/>
  <c r="F219" i="6"/>
  <c r="F218" i="6"/>
  <c r="F217" i="6"/>
  <c r="J216" i="6"/>
  <c r="F216" i="6"/>
  <c r="J215" i="6"/>
  <c r="K215" i="6" s="1"/>
  <c r="J214" i="6"/>
  <c r="K214" i="6" s="1"/>
  <c r="J213" i="6"/>
  <c r="F211" i="6"/>
  <c r="J211" i="6"/>
  <c r="F210" i="6"/>
  <c r="J209" i="6"/>
  <c r="F209" i="6"/>
  <c r="F208" i="6"/>
  <c r="J206" i="6"/>
  <c r="F206" i="6"/>
  <c r="L199" i="6"/>
  <c r="P199" i="6"/>
  <c r="E199" i="6"/>
  <c r="D199" i="6"/>
  <c r="J194" i="6"/>
  <c r="N196" i="6"/>
  <c r="J191" i="6"/>
  <c r="J190" i="6"/>
  <c r="J189" i="6"/>
  <c r="F189" i="6"/>
  <c r="F188" i="6"/>
  <c r="J188" i="6"/>
  <c r="J187" i="6"/>
  <c r="F186" i="6"/>
  <c r="J185" i="6"/>
  <c r="K184" i="6"/>
  <c r="J184" i="6"/>
  <c r="F181" i="6"/>
  <c r="J181" i="6"/>
  <c r="J180" i="6"/>
  <c r="F180" i="6"/>
  <c r="J179" i="6"/>
  <c r="F179" i="6"/>
  <c r="F178" i="6"/>
  <c r="J177" i="6"/>
  <c r="J176" i="6"/>
  <c r="F176" i="6"/>
  <c r="J175" i="6"/>
  <c r="F175" i="6"/>
  <c r="J174" i="6"/>
  <c r="F174" i="6"/>
  <c r="F172" i="6"/>
  <c r="J172" i="6"/>
  <c r="F171" i="6"/>
  <c r="J170" i="6"/>
  <c r="F169" i="6"/>
  <c r="F168" i="6"/>
  <c r="J167" i="6"/>
  <c r="J166" i="6"/>
  <c r="F166" i="6"/>
  <c r="J165" i="6"/>
  <c r="J164" i="6"/>
  <c r="J163" i="6"/>
  <c r="F163" i="6"/>
  <c r="J162" i="6"/>
  <c r="F162" i="6"/>
  <c r="F161" i="6"/>
  <c r="J160" i="6"/>
  <c r="F158" i="6"/>
  <c r="J157" i="6"/>
  <c r="F156" i="6"/>
  <c r="N150" i="6"/>
  <c r="M150" i="6"/>
  <c r="L150" i="6"/>
  <c r="O150" i="6"/>
  <c r="I150" i="6"/>
  <c r="D150" i="6"/>
  <c r="J145" i="6"/>
  <c r="F145" i="6"/>
  <c r="M147" i="6"/>
  <c r="I147" i="6"/>
  <c r="E147" i="6"/>
  <c r="F142" i="6"/>
  <c r="F141" i="6"/>
  <c r="F140" i="6"/>
  <c r="J140" i="6"/>
  <c r="J139" i="6"/>
  <c r="J138" i="6"/>
  <c r="F138" i="6"/>
  <c r="F137" i="6"/>
  <c r="J135" i="6"/>
  <c r="F134" i="6"/>
  <c r="J133" i="6"/>
  <c r="F133" i="6"/>
  <c r="J132" i="6"/>
  <c r="F132" i="6"/>
  <c r="F131" i="6"/>
  <c r="F130" i="6"/>
  <c r="F129" i="6"/>
  <c r="J128" i="6"/>
  <c r="F127" i="6"/>
  <c r="J126" i="6"/>
  <c r="K126" i="6" s="1"/>
  <c r="F125" i="6"/>
  <c r="J123" i="6"/>
  <c r="J121" i="6"/>
  <c r="F121" i="6"/>
  <c r="J120" i="6"/>
  <c r="F120" i="6"/>
  <c r="F119" i="6"/>
  <c r="J118" i="6"/>
  <c r="F118" i="6"/>
  <c r="J117" i="6"/>
  <c r="F117" i="6"/>
  <c r="J116" i="6"/>
  <c r="J115" i="6"/>
  <c r="F113" i="6"/>
  <c r="F112" i="6"/>
  <c r="J111" i="6"/>
  <c r="K111" i="6" s="1"/>
  <c r="J109" i="6"/>
  <c r="F109" i="6"/>
  <c r="J108" i="6"/>
  <c r="F107" i="6"/>
  <c r="O101" i="6"/>
  <c r="I101" i="6"/>
  <c r="H101" i="6"/>
  <c r="E101" i="6"/>
  <c r="K98" i="6"/>
  <c r="F98" i="6"/>
  <c r="E98" i="6"/>
  <c r="D98" i="6"/>
  <c r="O98" i="6"/>
  <c r="M98" i="6"/>
  <c r="G98" i="6"/>
  <c r="O94" i="6"/>
  <c r="M94" i="6"/>
  <c r="L94" i="6"/>
  <c r="J94" i="6"/>
  <c r="I94" i="6"/>
  <c r="N49" i="6"/>
  <c r="M49" i="6"/>
  <c r="J49" i="6"/>
  <c r="E49" i="6"/>
  <c r="L46" i="6"/>
  <c r="K46" i="6"/>
  <c r="J46" i="6"/>
  <c r="H46" i="6"/>
  <c r="G46" i="6"/>
  <c r="F46" i="6"/>
  <c r="E46" i="6"/>
  <c r="D46" i="6"/>
  <c r="O42" i="6"/>
  <c r="I42" i="6"/>
  <c r="G42" i="6"/>
  <c r="M42" i="6"/>
  <c r="F42" i="6"/>
  <c r="F395" i="5"/>
  <c r="E396" i="5"/>
  <c r="M396" i="5"/>
  <c r="L396" i="5"/>
  <c r="F394" i="5"/>
  <c r="F396" i="5" s="1"/>
  <c r="H396" i="5"/>
  <c r="G396" i="5"/>
  <c r="D396" i="5"/>
  <c r="J392" i="5"/>
  <c r="O393" i="5"/>
  <c r="J391" i="5"/>
  <c r="F391" i="5"/>
  <c r="N393" i="5"/>
  <c r="I393" i="5"/>
  <c r="H393" i="5"/>
  <c r="F388" i="5"/>
  <c r="J387" i="5"/>
  <c r="F387" i="5"/>
  <c r="J385" i="5"/>
  <c r="F385" i="5"/>
  <c r="J384" i="5"/>
  <c r="F384" i="5"/>
  <c r="J383" i="5"/>
  <c r="K383" i="5" s="1"/>
  <c r="F382" i="5"/>
  <c r="J381" i="5"/>
  <c r="K381" i="5" s="1"/>
  <c r="F381" i="5"/>
  <c r="J380" i="5"/>
  <c r="F380" i="5"/>
  <c r="J379" i="5"/>
  <c r="K379" i="5" s="1"/>
  <c r="F379" i="5"/>
  <c r="J378" i="5"/>
  <c r="J375" i="5"/>
  <c r="F375" i="5"/>
  <c r="J374" i="5"/>
  <c r="J373" i="5"/>
  <c r="F373" i="5"/>
  <c r="F372" i="5"/>
  <c r="J371" i="5"/>
  <c r="J370" i="5"/>
  <c r="F370" i="5"/>
  <c r="J369" i="5"/>
  <c r="K369" i="5" s="1"/>
  <c r="F369" i="5"/>
  <c r="J368" i="5"/>
  <c r="F368" i="5"/>
  <c r="J365" i="5"/>
  <c r="F365" i="5"/>
  <c r="J364" i="5"/>
  <c r="J359" i="5"/>
  <c r="K359" i="5" s="1"/>
  <c r="F359" i="5"/>
  <c r="J358" i="5"/>
  <c r="J357" i="5"/>
  <c r="F357" i="5"/>
  <c r="J355" i="5"/>
  <c r="F355" i="5"/>
  <c r="F353" i="5"/>
  <c r="F352" i="5"/>
  <c r="J346" i="5"/>
  <c r="F346" i="5"/>
  <c r="P347" i="5"/>
  <c r="O347" i="5"/>
  <c r="N347" i="5"/>
  <c r="M347" i="5"/>
  <c r="L347" i="5"/>
  <c r="I347" i="5"/>
  <c r="H347" i="5"/>
  <c r="J343" i="5"/>
  <c r="F343" i="5"/>
  <c r="E344" i="5"/>
  <c r="G344" i="5"/>
  <c r="J339" i="5"/>
  <c r="K339" i="5" s="1"/>
  <c r="F339" i="5"/>
  <c r="J338" i="5"/>
  <c r="J337" i="5"/>
  <c r="K337" i="5" s="1"/>
  <c r="F337" i="5"/>
  <c r="J336" i="5"/>
  <c r="J335" i="5"/>
  <c r="F335" i="5"/>
  <c r="J334" i="5"/>
  <c r="F334" i="5"/>
  <c r="J332" i="5"/>
  <c r="K332" i="5" s="1"/>
  <c r="F332" i="5"/>
  <c r="F331" i="5"/>
  <c r="J331" i="5"/>
  <c r="J330" i="5"/>
  <c r="K330" i="5" s="1"/>
  <c r="F330" i="5"/>
  <c r="J328" i="5"/>
  <c r="J327" i="5"/>
  <c r="F327" i="5"/>
  <c r="J325" i="5"/>
  <c r="F325" i="5"/>
  <c r="J323" i="5"/>
  <c r="F322" i="5"/>
  <c r="J321" i="5"/>
  <c r="F321" i="5"/>
  <c r="J320" i="5"/>
  <c r="F320" i="5"/>
  <c r="J318" i="5"/>
  <c r="F318" i="5"/>
  <c r="F316" i="5"/>
  <c r="J316" i="5"/>
  <c r="J314" i="5"/>
  <c r="J313" i="5"/>
  <c r="K313" i="5" s="1"/>
  <c r="F313" i="5"/>
  <c r="J312" i="5"/>
  <c r="J310" i="5"/>
  <c r="J308" i="5"/>
  <c r="F308" i="5"/>
  <c r="J307" i="5"/>
  <c r="F307" i="5"/>
  <c r="F306" i="5"/>
  <c r="F305" i="5"/>
  <c r="J305" i="5"/>
  <c r="K305" i="5" s="1"/>
  <c r="J297" i="5"/>
  <c r="P298" i="5"/>
  <c r="N298" i="5"/>
  <c r="M298" i="5"/>
  <c r="L298" i="5"/>
  <c r="I298" i="5"/>
  <c r="H298" i="5"/>
  <c r="E298" i="5"/>
  <c r="J294" i="5"/>
  <c r="F294" i="5"/>
  <c r="N295" i="5"/>
  <c r="M295" i="5"/>
  <c r="J293" i="5"/>
  <c r="F293" i="5"/>
  <c r="J292" i="5"/>
  <c r="I295" i="5"/>
  <c r="F292" i="5"/>
  <c r="F290" i="5"/>
  <c r="J289" i="5"/>
  <c r="K289" i="5" s="1"/>
  <c r="F288" i="5"/>
  <c r="J286" i="5"/>
  <c r="F286" i="5"/>
  <c r="F285" i="5"/>
  <c r="J283" i="5"/>
  <c r="J282" i="5"/>
  <c r="F282" i="5"/>
  <c r="J281" i="5"/>
  <c r="J280" i="5"/>
  <c r="F280" i="5"/>
  <c r="J279" i="5"/>
  <c r="F279" i="5"/>
  <c r="J278" i="5"/>
  <c r="J273" i="5"/>
  <c r="F273" i="5"/>
  <c r="J272" i="5"/>
  <c r="F272" i="5"/>
  <c r="J271" i="5"/>
  <c r="F270" i="5"/>
  <c r="J269" i="5"/>
  <c r="F269" i="5"/>
  <c r="J268" i="5"/>
  <c r="K268" i="5" s="1"/>
  <c r="F268" i="5"/>
  <c r="J267" i="5"/>
  <c r="F267" i="5"/>
  <c r="J266" i="5"/>
  <c r="J264" i="5"/>
  <c r="J263" i="5"/>
  <c r="J261" i="5"/>
  <c r="F261" i="5"/>
  <c r="J259" i="5"/>
  <c r="J258" i="5"/>
  <c r="F258" i="5"/>
  <c r="J256" i="5"/>
  <c r="K256" i="5" s="1"/>
  <c r="F256" i="5"/>
  <c r="J255" i="5"/>
  <c r="F255" i="5"/>
  <c r="N249" i="5"/>
  <c r="M249" i="5"/>
  <c r="L249" i="5"/>
  <c r="O249" i="5"/>
  <c r="G249" i="5"/>
  <c r="J247" i="5"/>
  <c r="K247" i="5" s="1"/>
  <c r="H249" i="5"/>
  <c r="F247" i="5"/>
  <c r="E249" i="5"/>
  <c r="N246" i="5"/>
  <c r="H246" i="5"/>
  <c r="E246" i="5"/>
  <c r="F245" i="5"/>
  <c r="I246" i="5"/>
  <c r="O246" i="5"/>
  <c r="M246" i="5"/>
  <c r="J243" i="5"/>
  <c r="G246" i="5"/>
  <c r="D246" i="5"/>
  <c r="F241" i="5"/>
  <c r="J240" i="5"/>
  <c r="F239" i="5"/>
  <c r="J238" i="5"/>
  <c r="F238" i="5"/>
  <c r="J237" i="5"/>
  <c r="F237" i="5"/>
  <c r="J234" i="5"/>
  <c r="F233" i="5"/>
  <c r="J232" i="5"/>
  <c r="J231" i="5"/>
  <c r="F231" i="5"/>
  <c r="J229" i="5"/>
  <c r="J228" i="5"/>
  <c r="K228" i="5" s="1"/>
  <c r="F227" i="5"/>
  <c r="J225" i="5"/>
  <c r="F225" i="5"/>
  <c r="F224" i="5"/>
  <c r="J223" i="5"/>
  <c r="J222" i="5"/>
  <c r="F222" i="5"/>
  <c r="F221" i="5"/>
  <c r="F220" i="5"/>
  <c r="J219" i="5"/>
  <c r="F219" i="5"/>
  <c r="J217" i="5"/>
  <c r="F216" i="5"/>
  <c r="F215" i="5"/>
  <c r="J214" i="5"/>
  <c r="K213" i="5"/>
  <c r="J213" i="5"/>
  <c r="F213" i="5"/>
  <c r="J211" i="5"/>
  <c r="J210" i="5"/>
  <c r="F209" i="5"/>
  <c r="J207" i="5"/>
  <c r="K207" i="5" s="1"/>
  <c r="F207" i="5"/>
  <c r="N199" i="5"/>
  <c r="O199" i="5"/>
  <c r="J198" i="5"/>
  <c r="F198" i="5"/>
  <c r="E199" i="5"/>
  <c r="P199" i="5"/>
  <c r="M199" i="5"/>
  <c r="L199" i="5"/>
  <c r="J197" i="5"/>
  <c r="J199" i="5" s="1"/>
  <c r="F197" i="5"/>
  <c r="F199" i="5" s="1"/>
  <c r="J195" i="5"/>
  <c r="F195" i="5"/>
  <c r="H196" i="5"/>
  <c r="F194" i="5"/>
  <c r="O196" i="5"/>
  <c r="N196" i="5"/>
  <c r="L196" i="5"/>
  <c r="D196" i="5"/>
  <c r="J190" i="5"/>
  <c r="F190" i="5"/>
  <c r="F188" i="5"/>
  <c r="J187" i="5"/>
  <c r="F187" i="5"/>
  <c r="F185" i="5"/>
  <c r="F184" i="5"/>
  <c r="J182" i="5"/>
  <c r="J181" i="5"/>
  <c r="F181" i="5"/>
  <c r="F180" i="5"/>
  <c r="F179" i="5"/>
  <c r="J178" i="5"/>
  <c r="F178" i="5"/>
  <c r="F176" i="5"/>
  <c r="J175" i="5"/>
  <c r="K175" i="5" s="1"/>
  <c r="F175" i="5"/>
  <c r="F174" i="5"/>
  <c r="F173" i="5"/>
  <c r="J170" i="5"/>
  <c r="F170" i="5"/>
  <c r="J169" i="5"/>
  <c r="F169" i="5"/>
  <c r="J167" i="5"/>
  <c r="J166" i="5"/>
  <c r="K166" i="5" s="1"/>
  <c r="F166" i="5"/>
  <c r="J165" i="5"/>
  <c r="F165" i="5"/>
  <c r="J164" i="5"/>
  <c r="F164" i="5"/>
  <c r="J163" i="5"/>
  <c r="F163" i="5"/>
  <c r="F162" i="5"/>
  <c r="J160" i="5"/>
  <c r="F160" i="5"/>
  <c r="J157" i="5"/>
  <c r="K157" i="5" s="1"/>
  <c r="F157" i="5"/>
  <c r="F156" i="5"/>
  <c r="J155" i="5"/>
  <c r="N150" i="5"/>
  <c r="I150" i="5"/>
  <c r="L150" i="5"/>
  <c r="J148" i="5"/>
  <c r="G150" i="5"/>
  <c r="F148" i="5"/>
  <c r="O147" i="5"/>
  <c r="J145" i="5"/>
  <c r="G147" i="5"/>
  <c r="E147" i="5"/>
  <c r="N147" i="5"/>
  <c r="M147" i="5"/>
  <c r="J141" i="5"/>
  <c r="K141" i="5" s="1"/>
  <c r="F141" i="5"/>
  <c r="J140" i="5"/>
  <c r="J138" i="5"/>
  <c r="J137" i="5"/>
  <c r="J136" i="5"/>
  <c r="F136" i="5"/>
  <c r="F135" i="5"/>
  <c r="F133" i="5"/>
  <c r="F132" i="5"/>
  <c r="J131" i="5"/>
  <c r="J129" i="5"/>
  <c r="F129" i="5"/>
  <c r="J128" i="5"/>
  <c r="F128" i="5"/>
  <c r="F127" i="5"/>
  <c r="J126" i="5"/>
  <c r="J125" i="5"/>
  <c r="J124" i="5"/>
  <c r="F124" i="5"/>
  <c r="J123" i="5"/>
  <c r="F123" i="5"/>
  <c r="J122" i="5"/>
  <c r="F120" i="5"/>
  <c r="F116" i="5"/>
  <c r="F114" i="5"/>
  <c r="J114" i="5"/>
  <c r="K114" i="5" s="1"/>
  <c r="F111" i="5"/>
  <c r="J109" i="5"/>
  <c r="K109" i="5" s="1"/>
  <c r="N101" i="5"/>
  <c r="O98" i="5"/>
  <c r="E98" i="5"/>
  <c r="I98" i="5"/>
  <c r="H98" i="5"/>
  <c r="G98" i="5"/>
  <c r="F98" i="5"/>
  <c r="O94" i="5"/>
  <c r="N94" i="5"/>
  <c r="M94" i="5"/>
  <c r="J94" i="5"/>
  <c r="G94" i="5"/>
  <c r="F94" i="5"/>
  <c r="D94" i="5"/>
  <c r="M49" i="5"/>
  <c r="L49" i="5"/>
  <c r="G49" i="5"/>
  <c r="E49" i="5"/>
  <c r="D49" i="5"/>
  <c r="O46" i="5"/>
  <c r="N46" i="5"/>
  <c r="M46" i="5"/>
  <c r="L46" i="5"/>
  <c r="K46" i="5"/>
  <c r="J46" i="5"/>
  <c r="I46" i="5"/>
  <c r="G46" i="5"/>
  <c r="M42" i="5"/>
  <c r="M50" i="5" s="1"/>
  <c r="H42" i="5"/>
  <c r="F42" i="5"/>
  <c r="D42" i="5"/>
  <c r="N396" i="4"/>
  <c r="F395" i="4"/>
  <c r="H396" i="4"/>
  <c r="P396" i="4"/>
  <c r="D396" i="4"/>
  <c r="O393" i="4"/>
  <c r="J392" i="4"/>
  <c r="N393" i="4"/>
  <c r="D393" i="4"/>
  <c r="J388" i="4"/>
  <c r="F388" i="4"/>
  <c r="F386" i="4"/>
  <c r="F385" i="4"/>
  <c r="J384" i="4"/>
  <c r="F383" i="4"/>
  <c r="J383" i="4"/>
  <c r="F382" i="4"/>
  <c r="J381" i="4"/>
  <c r="F381" i="4"/>
  <c r="J379" i="4"/>
  <c r="K379" i="4" s="1"/>
  <c r="F379" i="4"/>
  <c r="J378" i="4"/>
  <c r="F378" i="4"/>
  <c r="F377" i="4"/>
  <c r="J377" i="4"/>
  <c r="J375" i="4"/>
  <c r="F375" i="4"/>
  <c r="J374" i="4"/>
  <c r="F374" i="4"/>
  <c r="F373" i="4"/>
  <c r="F372" i="4"/>
  <c r="J371" i="4"/>
  <c r="F371" i="4"/>
  <c r="J370" i="4"/>
  <c r="F370" i="4"/>
  <c r="J369" i="4"/>
  <c r="F369" i="4"/>
  <c r="J367" i="4"/>
  <c r="F367" i="4"/>
  <c r="J366" i="4"/>
  <c r="F366" i="4"/>
  <c r="F364" i="4"/>
  <c r="F363" i="4"/>
  <c r="J362" i="4"/>
  <c r="F362" i="4"/>
  <c r="F361" i="4"/>
  <c r="J359" i="4"/>
  <c r="K359" i="4" s="1"/>
  <c r="F359" i="4"/>
  <c r="F358" i="4"/>
  <c r="J357" i="4"/>
  <c r="K357" i="4" s="1"/>
  <c r="F357" i="4"/>
  <c r="F356" i="4"/>
  <c r="J356" i="4"/>
  <c r="J355" i="4"/>
  <c r="K355" i="4" s="1"/>
  <c r="J353" i="4"/>
  <c r="K353" i="4" s="1"/>
  <c r="F353" i="4"/>
  <c r="M347" i="4"/>
  <c r="L347" i="4"/>
  <c r="F346" i="4"/>
  <c r="O347" i="4"/>
  <c r="H347" i="4"/>
  <c r="G347" i="4"/>
  <c r="D347" i="4"/>
  <c r="L344" i="4"/>
  <c r="J342" i="4"/>
  <c r="F342" i="4"/>
  <c r="O344" i="4"/>
  <c r="N344" i="4"/>
  <c r="I344" i="4"/>
  <c r="J339" i="4"/>
  <c r="F339" i="4"/>
  <c r="J338" i="4"/>
  <c r="F338" i="4"/>
  <c r="J337" i="4"/>
  <c r="K337" i="4" s="1"/>
  <c r="F337" i="4"/>
  <c r="F336" i="4"/>
  <c r="F333" i="4"/>
  <c r="F332" i="4"/>
  <c r="J332" i="4"/>
  <c r="K332" i="4" s="1"/>
  <c r="F331" i="4"/>
  <c r="F330" i="4"/>
  <c r="F329" i="4"/>
  <c r="F328" i="4"/>
  <c r="J328" i="4"/>
  <c r="K328" i="4" s="1"/>
  <c r="J325" i="4"/>
  <c r="K325" i="4" s="1"/>
  <c r="F325" i="4"/>
  <c r="F324" i="4"/>
  <c r="J322" i="4"/>
  <c r="K321" i="4"/>
  <c r="J321" i="4"/>
  <c r="F321" i="4"/>
  <c r="J319" i="4"/>
  <c r="F319" i="4"/>
  <c r="J317" i="4"/>
  <c r="F317" i="4"/>
  <c r="F316" i="4"/>
  <c r="J315" i="4"/>
  <c r="F315" i="4"/>
  <c r="F314" i="4"/>
  <c r="K313" i="4"/>
  <c r="J313" i="4"/>
  <c r="F312" i="4"/>
  <c r="J311" i="4"/>
  <c r="F310" i="4"/>
  <c r="J309" i="4"/>
  <c r="K309" i="4" s="1"/>
  <c r="F309" i="4"/>
  <c r="F308" i="4"/>
  <c r="J308" i="4"/>
  <c r="K308" i="4" s="1"/>
  <c r="J307" i="4"/>
  <c r="F307" i="4"/>
  <c r="J306" i="4"/>
  <c r="F305" i="4"/>
  <c r="F304" i="4"/>
  <c r="J303" i="4"/>
  <c r="P298" i="4"/>
  <c r="N298" i="4"/>
  <c r="F297" i="4"/>
  <c r="O298" i="4"/>
  <c r="M298" i="4"/>
  <c r="J296" i="4"/>
  <c r="F296" i="4"/>
  <c r="J294" i="4"/>
  <c r="K294" i="4" s="1"/>
  <c r="F294" i="4"/>
  <c r="D295" i="4"/>
  <c r="O295" i="4"/>
  <c r="N295" i="4"/>
  <c r="M295" i="4"/>
  <c r="F293" i="4"/>
  <c r="P295" i="4"/>
  <c r="I295" i="4"/>
  <c r="H295" i="4"/>
  <c r="G295" i="4"/>
  <c r="F290" i="4"/>
  <c r="F289" i="4"/>
  <c r="J287" i="4"/>
  <c r="J286" i="4"/>
  <c r="J285" i="4"/>
  <c r="F285" i="4"/>
  <c r="J284" i="4"/>
  <c r="J283" i="4"/>
  <c r="F283" i="4"/>
  <c r="J282" i="4"/>
  <c r="F282" i="4"/>
  <c r="J281" i="4"/>
  <c r="K281" i="4" s="1"/>
  <c r="J280" i="4"/>
  <c r="J279" i="4"/>
  <c r="J278" i="4"/>
  <c r="J277" i="4"/>
  <c r="J276" i="4"/>
  <c r="F276" i="4"/>
  <c r="F275" i="4"/>
  <c r="F274" i="4"/>
  <c r="F273" i="4"/>
  <c r="J271" i="4"/>
  <c r="F271" i="4"/>
  <c r="F270" i="4"/>
  <c r="J269" i="4"/>
  <c r="F269" i="4"/>
  <c r="J268" i="4"/>
  <c r="F268" i="4"/>
  <c r="J267" i="4"/>
  <c r="J266" i="4"/>
  <c r="F265" i="4"/>
  <c r="J264" i="4"/>
  <c r="J261" i="4"/>
  <c r="F261" i="4"/>
  <c r="J259" i="4"/>
  <c r="F259" i="4"/>
  <c r="F258" i="4"/>
  <c r="J257" i="4"/>
  <c r="K257" i="4" s="1"/>
  <c r="F256" i="4"/>
  <c r="J256" i="4"/>
  <c r="J255" i="4"/>
  <c r="F254" i="4"/>
  <c r="O249" i="4"/>
  <c r="H249" i="4"/>
  <c r="J248" i="4"/>
  <c r="P249" i="4"/>
  <c r="N249" i="4"/>
  <c r="F247" i="4"/>
  <c r="J244" i="4"/>
  <c r="F244" i="4"/>
  <c r="D246" i="4"/>
  <c r="N246" i="4"/>
  <c r="M246" i="4"/>
  <c r="G246" i="4"/>
  <c r="J238" i="4"/>
  <c r="K238" i="4" s="1"/>
  <c r="F238" i="4"/>
  <c r="J236" i="4"/>
  <c r="F236" i="4"/>
  <c r="J235" i="4"/>
  <c r="K235" i="4" s="1"/>
  <c r="F235" i="4"/>
  <c r="J234" i="4"/>
  <c r="F234" i="4"/>
  <c r="J233" i="4"/>
  <c r="F233" i="4"/>
  <c r="F232" i="4"/>
  <c r="J231" i="4"/>
  <c r="F231" i="4"/>
  <c r="F230" i="4"/>
  <c r="F229" i="4"/>
  <c r="J228" i="4"/>
  <c r="F228" i="4"/>
  <c r="J227" i="4"/>
  <c r="F226" i="4"/>
  <c r="J226" i="4"/>
  <c r="F225" i="4"/>
  <c r="J224" i="4"/>
  <c r="K224" i="4" s="1"/>
  <c r="F224" i="4"/>
  <c r="J223" i="4"/>
  <c r="F223" i="4"/>
  <c r="J222" i="4"/>
  <c r="F222" i="4"/>
  <c r="J221" i="4"/>
  <c r="F221" i="4"/>
  <c r="F220" i="4"/>
  <c r="F219" i="4"/>
  <c r="J218" i="4"/>
  <c r="F217" i="4"/>
  <c r="J216" i="4"/>
  <c r="F216" i="4"/>
  <c r="J215" i="4"/>
  <c r="F215" i="4"/>
  <c r="J214" i="4"/>
  <c r="F214" i="4"/>
  <c r="J213" i="4"/>
  <c r="F213" i="4"/>
  <c r="J212" i="4"/>
  <c r="F212" i="4"/>
  <c r="J210" i="4"/>
  <c r="M242" i="4"/>
  <c r="J208" i="4"/>
  <c r="F207" i="4"/>
  <c r="J207" i="4"/>
  <c r="E242" i="4"/>
  <c r="F206" i="4"/>
  <c r="J206" i="4"/>
  <c r="G242" i="4"/>
  <c r="G199" i="4"/>
  <c r="J198" i="4"/>
  <c r="K198" i="4" s="1"/>
  <c r="F198" i="4"/>
  <c r="P199" i="4"/>
  <c r="O199" i="4"/>
  <c r="N199" i="4"/>
  <c r="M199" i="4"/>
  <c r="L199" i="4"/>
  <c r="I199" i="4"/>
  <c r="J197" i="4"/>
  <c r="K197" i="4" s="1"/>
  <c r="E199" i="4"/>
  <c r="D199" i="4"/>
  <c r="I196" i="4"/>
  <c r="F194" i="4"/>
  <c r="O196" i="4"/>
  <c r="F193" i="4"/>
  <c r="E196" i="4"/>
  <c r="J191" i="4"/>
  <c r="K191" i="4" s="1"/>
  <c r="F191" i="4"/>
  <c r="F190" i="4"/>
  <c r="J189" i="4"/>
  <c r="K189" i="4" s="1"/>
  <c r="F189" i="4"/>
  <c r="F187" i="4"/>
  <c r="F186" i="4"/>
  <c r="J186" i="4"/>
  <c r="F185" i="4"/>
  <c r="J185" i="4"/>
  <c r="J184" i="4"/>
  <c r="F184" i="4"/>
  <c r="J183" i="4"/>
  <c r="F183" i="4"/>
  <c r="J182" i="4"/>
  <c r="F182" i="4"/>
  <c r="J181" i="4"/>
  <c r="F181" i="4"/>
  <c r="J180" i="4"/>
  <c r="F180" i="4"/>
  <c r="J179" i="4"/>
  <c r="F179" i="4"/>
  <c r="J178" i="4"/>
  <c r="F178" i="4"/>
  <c r="J177" i="4"/>
  <c r="F177" i="4"/>
  <c r="J175" i="4"/>
  <c r="F175" i="4"/>
  <c r="J173" i="4"/>
  <c r="J172" i="4"/>
  <c r="F172" i="4"/>
  <c r="J171" i="4"/>
  <c r="F171" i="4"/>
  <c r="F170" i="4"/>
  <c r="J169" i="4"/>
  <c r="F169" i="4"/>
  <c r="F168" i="4"/>
  <c r="J167" i="4"/>
  <c r="F167" i="4"/>
  <c r="J165" i="4"/>
  <c r="F165" i="4"/>
  <c r="J164" i="4"/>
  <c r="F164" i="4"/>
  <c r="F163" i="4"/>
  <c r="J162" i="4"/>
  <c r="F162" i="4"/>
  <c r="J161" i="4"/>
  <c r="F161" i="4"/>
  <c r="J160" i="4"/>
  <c r="F160" i="4"/>
  <c r="J159" i="4"/>
  <c r="K159" i="4" s="1"/>
  <c r="J158" i="4"/>
  <c r="J157" i="4"/>
  <c r="J156" i="4"/>
  <c r="F156" i="4"/>
  <c r="O150" i="4"/>
  <c r="F149" i="4"/>
  <c r="G150" i="4"/>
  <c r="N150" i="4"/>
  <c r="M150" i="4"/>
  <c r="L150" i="4"/>
  <c r="F148" i="4"/>
  <c r="F150" i="4" s="1"/>
  <c r="H150" i="4"/>
  <c r="D150" i="4"/>
  <c r="F146" i="4"/>
  <c r="F145" i="4"/>
  <c r="J145" i="4"/>
  <c r="F144" i="4"/>
  <c r="G147" i="4"/>
  <c r="J142" i="4"/>
  <c r="J140" i="4"/>
  <c r="F140" i="4"/>
  <c r="J139" i="4"/>
  <c r="F139" i="4"/>
  <c r="F137" i="4"/>
  <c r="J136" i="4"/>
  <c r="F135" i="4"/>
  <c r="J134" i="4"/>
  <c r="K134" i="4" s="1"/>
  <c r="F133" i="4"/>
  <c r="F132" i="4"/>
  <c r="J131" i="4"/>
  <c r="K131" i="4" s="1"/>
  <c r="F130" i="4"/>
  <c r="J130" i="4"/>
  <c r="J128" i="4"/>
  <c r="J127" i="4"/>
  <c r="F127" i="4"/>
  <c r="F126" i="4"/>
  <c r="J125" i="4"/>
  <c r="F125" i="4"/>
  <c r="F123" i="4"/>
  <c r="J122" i="4"/>
  <c r="F122" i="4"/>
  <c r="J121" i="4"/>
  <c r="J118" i="4"/>
  <c r="F118" i="4"/>
  <c r="J117" i="4"/>
  <c r="F117" i="4"/>
  <c r="J116" i="4"/>
  <c r="K116" i="4" s="1"/>
  <c r="F116" i="4"/>
  <c r="F115" i="4"/>
  <c r="J114" i="4"/>
  <c r="J113" i="4"/>
  <c r="F113" i="4"/>
  <c r="F112" i="4"/>
  <c r="F111" i="4"/>
  <c r="J111" i="4"/>
  <c r="J110" i="4"/>
  <c r="F110" i="4"/>
  <c r="J109" i="4"/>
  <c r="F109" i="4"/>
  <c r="F108" i="4"/>
  <c r="J107" i="4"/>
  <c r="F106" i="4"/>
  <c r="H101" i="4"/>
  <c r="J101" i="4"/>
  <c r="G101" i="4"/>
  <c r="F101" i="4"/>
  <c r="E101" i="4"/>
  <c r="D101" i="4"/>
  <c r="I98" i="4"/>
  <c r="G98" i="4"/>
  <c r="F98" i="4"/>
  <c r="E98" i="4"/>
  <c r="D98" i="4"/>
  <c r="O98" i="4"/>
  <c r="N98" i="4"/>
  <c r="M98" i="4"/>
  <c r="K98" i="4"/>
  <c r="J98" i="4"/>
  <c r="F94" i="4"/>
  <c r="F102" i="4" s="1"/>
  <c r="N49" i="4"/>
  <c r="O49" i="4"/>
  <c r="L49" i="4"/>
  <c r="K49" i="4"/>
  <c r="J49" i="4"/>
  <c r="I49" i="4"/>
  <c r="H49" i="4"/>
  <c r="F49" i="4"/>
  <c r="D49" i="4"/>
  <c r="N46" i="4"/>
  <c r="J46" i="4"/>
  <c r="I46" i="4"/>
  <c r="G46" i="4"/>
  <c r="F46" i="4"/>
  <c r="M46" i="4"/>
  <c r="K46" i="4"/>
  <c r="E46" i="4"/>
  <c r="B46" i="3"/>
  <c r="B35" i="3"/>
  <c r="B32" i="3"/>
  <c r="B29" i="3"/>
  <c r="B24" i="3"/>
  <c r="B23" i="3"/>
  <c r="B22" i="3"/>
  <c r="B21" i="3"/>
  <c r="B20" i="3"/>
  <c r="B19" i="3"/>
  <c r="B18" i="3"/>
  <c r="M11" i="3"/>
  <c r="K11" i="3"/>
  <c r="I11" i="3"/>
  <c r="G11" i="3"/>
  <c r="L11" i="3"/>
  <c r="L12" i="3" s="1"/>
  <c r="J11" i="3"/>
  <c r="N11" i="3"/>
  <c r="H11" i="3"/>
  <c r="F11" i="3"/>
  <c r="E11" i="3"/>
  <c r="E12" i="3" s="1"/>
  <c r="D11" i="3"/>
  <c r="C11" i="3"/>
  <c r="O394" i="2"/>
  <c r="M394" i="2"/>
  <c r="L394" i="2"/>
  <c r="E394" i="2"/>
  <c r="J393" i="2"/>
  <c r="H394" i="2"/>
  <c r="G394" i="2"/>
  <c r="D394" i="2"/>
  <c r="P394" i="2"/>
  <c r="N394" i="2"/>
  <c r="F392" i="2"/>
  <c r="L391" i="2"/>
  <c r="I391" i="2"/>
  <c r="E391" i="2"/>
  <c r="D391" i="2"/>
  <c r="F390" i="2"/>
  <c r="J390" i="2"/>
  <c r="M391" i="2"/>
  <c r="J389" i="2"/>
  <c r="H391" i="2"/>
  <c r="F389" i="2"/>
  <c r="P391" i="2"/>
  <c r="O391" i="2"/>
  <c r="N391" i="2"/>
  <c r="J388" i="2"/>
  <c r="G391" i="2"/>
  <c r="F388" i="2"/>
  <c r="F386" i="2"/>
  <c r="J385" i="2"/>
  <c r="J384" i="2"/>
  <c r="F384" i="2"/>
  <c r="J383" i="2"/>
  <c r="K383" i="2" s="1"/>
  <c r="F383" i="2"/>
  <c r="K382" i="2"/>
  <c r="J382" i="2"/>
  <c r="F382" i="2"/>
  <c r="J381" i="2"/>
  <c r="F381" i="2"/>
  <c r="J380" i="2"/>
  <c r="F380" i="2"/>
  <c r="K379" i="2"/>
  <c r="J379" i="2"/>
  <c r="F379" i="2"/>
  <c r="J378" i="2"/>
  <c r="F378" i="2"/>
  <c r="J377" i="2"/>
  <c r="J376" i="2"/>
  <c r="F376" i="2"/>
  <c r="F375" i="2"/>
  <c r="F374" i="2"/>
  <c r="J373" i="2"/>
  <c r="K373" i="2" s="1"/>
  <c r="J372" i="2"/>
  <c r="F372" i="2"/>
  <c r="J371" i="2"/>
  <c r="K371" i="2" s="1"/>
  <c r="F371" i="2"/>
  <c r="K370" i="2"/>
  <c r="J370" i="2"/>
  <c r="F370" i="2"/>
  <c r="J369" i="2"/>
  <c r="F369" i="2"/>
  <c r="J368" i="2"/>
  <c r="F368" i="2"/>
  <c r="J367" i="2"/>
  <c r="F367" i="2"/>
  <c r="J366" i="2"/>
  <c r="K366" i="2" s="1"/>
  <c r="F366" i="2"/>
  <c r="J364" i="2"/>
  <c r="F364" i="2"/>
  <c r="F363" i="2"/>
  <c r="F362" i="2"/>
  <c r="J361" i="2"/>
  <c r="J360" i="2"/>
  <c r="F360" i="2"/>
  <c r="J359" i="2"/>
  <c r="K359" i="2" s="1"/>
  <c r="F359" i="2"/>
  <c r="F358" i="2"/>
  <c r="J357" i="2"/>
  <c r="F357" i="2"/>
  <c r="K356" i="2"/>
  <c r="J356" i="2"/>
  <c r="F356" i="2"/>
  <c r="J355" i="2"/>
  <c r="F355" i="2"/>
  <c r="J354" i="2"/>
  <c r="F354" i="2"/>
  <c r="J353" i="2"/>
  <c r="F353" i="2"/>
  <c r="J352" i="2"/>
  <c r="F352" i="2"/>
  <c r="L387" i="2"/>
  <c r="F351" i="2"/>
  <c r="I387" i="2"/>
  <c r="D387" i="2"/>
  <c r="O345" i="2"/>
  <c r="N345" i="2"/>
  <c r="L345" i="2"/>
  <c r="I345" i="2"/>
  <c r="H345" i="2"/>
  <c r="G345" i="2"/>
  <c r="F345" i="2"/>
  <c r="E345" i="2"/>
  <c r="J344" i="2"/>
  <c r="F344" i="2"/>
  <c r="P345" i="2"/>
  <c r="M345" i="2"/>
  <c r="K343" i="2"/>
  <c r="J343" i="2"/>
  <c r="F343" i="2"/>
  <c r="D345" i="2"/>
  <c r="H342" i="2"/>
  <c r="G342" i="2"/>
  <c r="J341" i="2"/>
  <c r="F341" i="2"/>
  <c r="F340" i="2"/>
  <c r="E342" i="2"/>
  <c r="D342" i="2"/>
  <c r="P342" i="2"/>
  <c r="F339" i="2"/>
  <c r="J339" i="2"/>
  <c r="J337" i="2"/>
  <c r="F337" i="2"/>
  <c r="J336" i="2"/>
  <c r="F336" i="2"/>
  <c r="J335" i="2"/>
  <c r="F335" i="2"/>
  <c r="J334" i="2"/>
  <c r="J333" i="2"/>
  <c r="F333" i="2"/>
  <c r="J332" i="2"/>
  <c r="K332" i="2" s="1"/>
  <c r="F332" i="2"/>
  <c r="J331" i="2"/>
  <c r="J330" i="2"/>
  <c r="F330" i="2"/>
  <c r="J329" i="2"/>
  <c r="F329" i="2"/>
  <c r="J328" i="2"/>
  <c r="F328" i="2"/>
  <c r="J327" i="2"/>
  <c r="F327" i="2"/>
  <c r="F326" i="2"/>
  <c r="J325" i="2"/>
  <c r="F325" i="2"/>
  <c r="K324" i="2"/>
  <c r="J324" i="2"/>
  <c r="F324" i="2"/>
  <c r="F323" i="2"/>
  <c r="J322" i="2"/>
  <c r="J321" i="2"/>
  <c r="F321" i="2"/>
  <c r="J320" i="2"/>
  <c r="K320" i="2" s="1"/>
  <c r="F320" i="2"/>
  <c r="J319" i="2"/>
  <c r="F319" i="2"/>
  <c r="J318" i="2"/>
  <c r="F318" i="2"/>
  <c r="J317" i="2"/>
  <c r="F317" i="2"/>
  <c r="J316" i="2"/>
  <c r="J315" i="2"/>
  <c r="K315" i="2" s="1"/>
  <c r="F315" i="2"/>
  <c r="F314" i="2"/>
  <c r="J313" i="2"/>
  <c r="F313" i="2"/>
  <c r="K312" i="2"/>
  <c r="J312" i="2"/>
  <c r="F312" i="2"/>
  <c r="J311" i="2"/>
  <c r="F311" i="2"/>
  <c r="J310" i="2"/>
  <c r="J309" i="2"/>
  <c r="F309" i="2"/>
  <c r="J308" i="2"/>
  <c r="K308" i="2" s="1"/>
  <c r="F308" i="2"/>
  <c r="J307" i="2"/>
  <c r="F307" i="2"/>
  <c r="J306" i="2"/>
  <c r="F306" i="2"/>
  <c r="J305" i="2"/>
  <c r="F305" i="2"/>
  <c r="J304" i="2"/>
  <c r="J303" i="2"/>
  <c r="K303" i="2" s="1"/>
  <c r="F303" i="2"/>
  <c r="O338" i="2"/>
  <c r="L338" i="2"/>
  <c r="I338" i="2"/>
  <c r="H338" i="2"/>
  <c r="F302" i="2"/>
  <c r="J301" i="2"/>
  <c r="F301" i="2"/>
  <c r="E338" i="2"/>
  <c r="D338" i="2"/>
  <c r="H296" i="2"/>
  <c r="D296" i="2"/>
  <c r="J295" i="2"/>
  <c r="F295" i="2"/>
  <c r="N296" i="2"/>
  <c r="M296" i="2"/>
  <c r="L296" i="2"/>
  <c r="I296" i="2"/>
  <c r="F294" i="2"/>
  <c r="F296" i="2" s="1"/>
  <c r="E296" i="2"/>
  <c r="E293" i="2"/>
  <c r="F292" i="2"/>
  <c r="G293" i="2"/>
  <c r="F291" i="2"/>
  <c r="D293" i="2"/>
  <c r="P293" i="2"/>
  <c r="O293" i="2"/>
  <c r="N293" i="2"/>
  <c r="M293" i="2"/>
  <c r="L293" i="2"/>
  <c r="I293" i="2"/>
  <c r="J290" i="2"/>
  <c r="F290" i="2"/>
  <c r="F293" i="2" s="1"/>
  <c r="J288" i="2"/>
  <c r="K288" i="2" s="1"/>
  <c r="F288" i="2"/>
  <c r="F287" i="2"/>
  <c r="J286" i="2"/>
  <c r="F286" i="2"/>
  <c r="J285" i="2"/>
  <c r="K285" i="2" s="1"/>
  <c r="F285" i="2"/>
  <c r="J284" i="2"/>
  <c r="F284" i="2"/>
  <c r="J283" i="2"/>
  <c r="J282" i="2"/>
  <c r="F282" i="2"/>
  <c r="J281" i="2"/>
  <c r="K281" i="2" s="1"/>
  <c r="F281" i="2"/>
  <c r="J280" i="2"/>
  <c r="F280" i="2"/>
  <c r="J279" i="2"/>
  <c r="F279" i="2"/>
  <c r="J278" i="2"/>
  <c r="F278" i="2"/>
  <c r="J277" i="2"/>
  <c r="J276" i="2"/>
  <c r="K276" i="2" s="1"/>
  <c r="F276" i="2"/>
  <c r="J275" i="2"/>
  <c r="F275" i="2"/>
  <c r="F274" i="2"/>
  <c r="F273" i="2"/>
  <c r="F272" i="2"/>
  <c r="J272" i="2"/>
  <c r="J271" i="2"/>
  <c r="K271" i="2" s="1"/>
  <c r="J270" i="2"/>
  <c r="F270" i="2"/>
  <c r="J269" i="2"/>
  <c r="K269" i="2" s="1"/>
  <c r="F269" i="2"/>
  <c r="J268" i="2"/>
  <c r="K268" i="2" s="1"/>
  <c r="F268" i="2"/>
  <c r="J267" i="2"/>
  <c r="F267" i="2"/>
  <c r="J266" i="2"/>
  <c r="K266" i="2" s="1"/>
  <c r="F266" i="2"/>
  <c r="J265" i="2"/>
  <c r="F265" i="2"/>
  <c r="J264" i="2"/>
  <c r="F264" i="2"/>
  <c r="F263" i="2"/>
  <c r="F262" i="2"/>
  <c r="J261" i="2"/>
  <c r="F261" i="2"/>
  <c r="J260" i="2"/>
  <c r="F260" i="2"/>
  <c r="J259" i="2"/>
  <c r="F259" i="2"/>
  <c r="J258" i="2"/>
  <c r="K258" i="2" s="1"/>
  <c r="F258" i="2"/>
  <c r="J257" i="2"/>
  <c r="K257" i="2" s="1"/>
  <c r="F257" i="2"/>
  <c r="K256" i="2"/>
  <c r="J256" i="2"/>
  <c r="F256" i="2"/>
  <c r="J255" i="2"/>
  <c r="F255" i="2"/>
  <c r="N289" i="2"/>
  <c r="J254" i="2"/>
  <c r="F254" i="2"/>
  <c r="L289" i="2"/>
  <c r="I289" i="2"/>
  <c r="H289" i="2"/>
  <c r="F253" i="2"/>
  <c r="J252" i="2"/>
  <c r="F252" i="2"/>
  <c r="E289" i="2"/>
  <c r="D289" i="2"/>
  <c r="H247" i="2"/>
  <c r="P247" i="2"/>
  <c r="J246" i="2"/>
  <c r="F246" i="2"/>
  <c r="O247" i="2"/>
  <c r="N247" i="2"/>
  <c r="M247" i="2"/>
  <c r="L247" i="2"/>
  <c r="I247" i="2"/>
  <c r="J245" i="2"/>
  <c r="E247" i="2"/>
  <c r="D247" i="2"/>
  <c r="O244" i="2"/>
  <c r="J243" i="2"/>
  <c r="F243" i="2"/>
  <c r="J242" i="2"/>
  <c r="F242" i="2"/>
  <c r="D244" i="2"/>
  <c r="P244" i="2"/>
  <c r="N244" i="2"/>
  <c r="M244" i="2"/>
  <c r="E244" i="2"/>
  <c r="K239" i="2"/>
  <c r="J239" i="2"/>
  <c r="F239" i="2"/>
  <c r="J238" i="2"/>
  <c r="J237" i="2"/>
  <c r="K237" i="2" s="1"/>
  <c r="F237" i="2"/>
  <c r="K236" i="2"/>
  <c r="J236" i="2"/>
  <c r="F236" i="2"/>
  <c r="J235" i="2"/>
  <c r="F235" i="2"/>
  <c r="F234" i="2"/>
  <c r="J233" i="2"/>
  <c r="F233" i="2"/>
  <c r="J232" i="2"/>
  <c r="F232" i="2"/>
  <c r="J231" i="2"/>
  <c r="F231" i="2"/>
  <c r="J230" i="2"/>
  <c r="K230" i="2" s="1"/>
  <c r="F230" i="2"/>
  <c r="J229" i="2"/>
  <c r="J228" i="2"/>
  <c r="F228" i="2"/>
  <c r="K227" i="2"/>
  <c r="J227" i="2"/>
  <c r="F227" i="2"/>
  <c r="J226" i="2"/>
  <c r="F226" i="2"/>
  <c r="J225" i="2"/>
  <c r="F225" i="2"/>
  <c r="F224" i="2"/>
  <c r="F223" i="2"/>
  <c r="K222" i="2"/>
  <c r="J222" i="2"/>
  <c r="F222" i="2"/>
  <c r="K221" i="2"/>
  <c r="J221" i="2"/>
  <c r="F221" i="2"/>
  <c r="J220" i="2"/>
  <c r="F220" i="2"/>
  <c r="J219" i="2"/>
  <c r="F219" i="2"/>
  <c r="J218" i="2"/>
  <c r="F218" i="2"/>
  <c r="J217" i="2"/>
  <c r="K217" i="2" s="1"/>
  <c r="J216" i="2"/>
  <c r="F216" i="2"/>
  <c r="J215" i="2"/>
  <c r="F215" i="2"/>
  <c r="J214" i="2"/>
  <c r="F214" i="2"/>
  <c r="J213" i="2"/>
  <c r="F213" i="2"/>
  <c r="J212" i="2"/>
  <c r="F212" i="2"/>
  <c r="F211" i="2"/>
  <c r="F210" i="2"/>
  <c r="J209" i="2"/>
  <c r="F209" i="2"/>
  <c r="J208" i="2"/>
  <c r="F208" i="2"/>
  <c r="J207" i="2"/>
  <c r="F207" i="2"/>
  <c r="J206" i="2"/>
  <c r="F206" i="2"/>
  <c r="J205" i="2"/>
  <c r="I240" i="2"/>
  <c r="J204" i="2"/>
  <c r="F204" i="2"/>
  <c r="E240" i="2"/>
  <c r="K203" i="2"/>
  <c r="J203" i="2"/>
  <c r="F203" i="2"/>
  <c r="D240" i="2"/>
  <c r="N198" i="2"/>
  <c r="M198" i="2"/>
  <c r="D198" i="2"/>
  <c r="O198" i="2"/>
  <c r="L198" i="2"/>
  <c r="J197" i="2"/>
  <c r="I198" i="2"/>
  <c r="H198" i="2"/>
  <c r="G198" i="2"/>
  <c r="E198" i="2"/>
  <c r="L195" i="2"/>
  <c r="J194" i="2"/>
  <c r="F194" i="2"/>
  <c r="K193" i="2"/>
  <c r="J193" i="2"/>
  <c r="F193" i="2"/>
  <c r="P195" i="2"/>
  <c r="O195" i="2"/>
  <c r="N195" i="2"/>
  <c r="M195" i="2"/>
  <c r="I195" i="2"/>
  <c r="H195" i="2"/>
  <c r="F192" i="2"/>
  <c r="F195" i="2" s="1"/>
  <c r="J190" i="2"/>
  <c r="F190" i="2"/>
  <c r="J189" i="2"/>
  <c r="F189" i="2"/>
  <c r="J188" i="2"/>
  <c r="F188" i="2"/>
  <c r="J187" i="2"/>
  <c r="F187" i="2"/>
  <c r="J186" i="2"/>
  <c r="F186" i="2"/>
  <c r="J185" i="2"/>
  <c r="F185" i="2"/>
  <c r="F184" i="2"/>
  <c r="K183" i="2"/>
  <c r="J183" i="2"/>
  <c r="F183" i="2"/>
  <c r="K182" i="2"/>
  <c r="J182" i="2"/>
  <c r="F182" i="2"/>
  <c r="J181" i="2"/>
  <c r="K181" i="2" s="1"/>
  <c r="F181" i="2"/>
  <c r="J180" i="2"/>
  <c r="J179" i="2"/>
  <c r="F179" i="2"/>
  <c r="J178" i="2"/>
  <c r="J177" i="2"/>
  <c r="F177" i="2"/>
  <c r="J176" i="2"/>
  <c r="F176" i="2"/>
  <c r="J175" i="2"/>
  <c r="F175" i="2"/>
  <c r="J174" i="2"/>
  <c r="F174" i="2"/>
  <c r="J173" i="2"/>
  <c r="F173" i="2"/>
  <c r="J172" i="2"/>
  <c r="F172" i="2"/>
  <c r="K171" i="2"/>
  <c r="J171" i="2"/>
  <c r="F171" i="2"/>
  <c r="K170" i="2"/>
  <c r="J170" i="2"/>
  <c r="F170" i="2"/>
  <c r="J169" i="2"/>
  <c r="K169" i="2" s="1"/>
  <c r="F169" i="2"/>
  <c r="J168" i="2"/>
  <c r="F168" i="2"/>
  <c r="J167" i="2"/>
  <c r="F167" i="2"/>
  <c r="J166" i="2"/>
  <c r="J165" i="2"/>
  <c r="F165" i="2"/>
  <c r="F164" i="2"/>
  <c r="J163" i="2"/>
  <c r="F163" i="2"/>
  <c r="J162" i="2"/>
  <c r="F162" i="2"/>
  <c r="J161" i="2"/>
  <c r="J160" i="2"/>
  <c r="K160" i="2" s="1"/>
  <c r="F160" i="2"/>
  <c r="J159" i="2"/>
  <c r="F159" i="2"/>
  <c r="J158" i="2"/>
  <c r="F158" i="2"/>
  <c r="K157" i="2"/>
  <c r="J157" i="2"/>
  <c r="F157" i="2"/>
  <c r="J156" i="2"/>
  <c r="F156" i="2"/>
  <c r="N191" i="2"/>
  <c r="J155" i="2"/>
  <c r="F155" i="2"/>
  <c r="M191" i="2"/>
  <c r="F154" i="2"/>
  <c r="E191" i="2"/>
  <c r="D191" i="2"/>
  <c r="P149" i="2"/>
  <c r="I149" i="2"/>
  <c r="H149" i="2"/>
  <c r="D149" i="2"/>
  <c r="J148" i="2"/>
  <c r="F148" i="2"/>
  <c r="E149" i="2"/>
  <c r="O149" i="2"/>
  <c r="N149" i="2"/>
  <c r="M149" i="2"/>
  <c r="L149" i="2"/>
  <c r="F147" i="2"/>
  <c r="F149" i="2" s="1"/>
  <c r="J147" i="2"/>
  <c r="G149" i="2"/>
  <c r="M146" i="2"/>
  <c r="I146" i="2"/>
  <c r="H146" i="2"/>
  <c r="D146" i="2"/>
  <c r="J145" i="2"/>
  <c r="F145" i="2"/>
  <c r="P146" i="2"/>
  <c r="J144" i="2"/>
  <c r="F144" i="2"/>
  <c r="O146" i="2"/>
  <c r="N146" i="2"/>
  <c r="L146" i="2"/>
  <c r="J143" i="2"/>
  <c r="G146" i="2"/>
  <c r="F143" i="2"/>
  <c r="J141" i="2"/>
  <c r="F141" i="2"/>
  <c r="J140" i="2"/>
  <c r="F140" i="2"/>
  <c r="F139" i="2"/>
  <c r="J139" i="2"/>
  <c r="J138" i="2"/>
  <c r="F138" i="2"/>
  <c r="J137" i="2"/>
  <c r="F137" i="2"/>
  <c r="J136" i="2"/>
  <c r="F136" i="2"/>
  <c r="K135" i="2"/>
  <c r="J135" i="2"/>
  <c r="F135" i="2"/>
  <c r="J134" i="2"/>
  <c r="F134" i="2"/>
  <c r="J133" i="2"/>
  <c r="K133" i="2" s="1"/>
  <c r="F133" i="2"/>
  <c r="J132" i="2"/>
  <c r="F132" i="2"/>
  <c r="J131" i="2"/>
  <c r="F131" i="2"/>
  <c r="J130" i="2"/>
  <c r="F130" i="2"/>
  <c r="J129" i="2"/>
  <c r="F129" i="2"/>
  <c r="J128" i="2"/>
  <c r="F128" i="2"/>
  <c r="F127" i="2"/>
  <c r="J127" i="2"/>
  <c r="J126" i="2"/>
  <c r="F126" i="2"/>
  <c r="J125" i="2"/>
  <c r="F125" i="2"/>
  <c r="J124" i="2"/>
  <c r="F124" i="2"/>
  <c r="K123" i="2"/>
  <c r="J123" i="2"/>
  <c r="F123" i="2"/>
  <c r="J122" i="2"/>
  <c r="F122" i="2"/>
  <c r="J121" i="2"/>
  <c r="K121" i="2" s="1"/>
  <c r="F121" i="2"/>
  <c r="J120" i="2"/>
  <c r="F120" i="2"/>
  <c r="J119" i="2"/>
  <c r="F119" i="2"/>
  <c r="J118" i="2"/>
  <c r="F118" i="2"/>
  <c r="J117" i="2"/>
  <c r="F117" i="2"/>
  <c r="J116" i="2"/>
  <c r="F116" i="2"/>
  <c r="F115" i="2"/>
  <c r="J115" i="2"/>
  <c r="J114" i="2"/>
  <c r="F114" i="2"/>
  <c r="J113" i="2"/>
  <c r="F113" i="2"/>
  <c r="J112" i="2"/>
  <c r="F112" i="2"/>
  <c r="K111" i="2"/>
  <c r="J111" i="2"/>
  <c r="F111" i="2"/>
  <c r="J110" i="2"/>
  <c r="F110" i="2"/>
  <c r="J109" i="2"/>
  <c r="K109" i="2" s="1"/>
  <c r="F109" i="2"/>
  <c r="J108" i="2"/>
  <c r="F108" i="2"/>
  <c r="J107" i="2"/>
  <c r="F107" i="2"/>
  <c r="O142" i="2"/>
  <c r="N142" i="2"/>
  <c r="F106" i="2"/>
  <c r="O150" i="2"/>
  <c r="J105" i="2"/>
  <c r="G142" i="2"/>
  <c r="E142" i="2"/>
  <c r="D142" i="2"/>
  <c r="D150" i="2" s="1"/>
  <c r="O100" i="2"/>
  <c r="K100" i="2"/>
  <c r="J100" i="2"/>
  <c r="E100" i="2"/>
  <c r="D100" i="2"/>
  <c r="N100" i="2"/>
  <c r="M100" i="2"/>
  <c r="L100" i="2"/>
  <c r="I100" i="2"/>
  <c r="H100" i="2"/>
  <c r="G100" i="2"/>
  <c r="F100" i="2"/>
  <c r="N97" i="2"/>
  <c r="K97" i="2"/>
  <c r="E97" i="2"/>
  <c r="D97" i="2"/>
  <c r="O97" i="2"/>
  <c r="M97" i="2"/>
  <c r="L97" i="2"/>
  <c r="J97" i="2"/>
  <c r="I97" i="2"/>
  <c r="H97" i="2"/>
  <c r="G97" i="2"/>
  <c r="F97" i="2"/>
  <c r="N93" i="2"/>
  <c r="K93" i="2"/>
  <c r="E93" i="2"/>
  <c r="O93" i="2"/>
  <c r="M93" i="2"/>
  <c r="L93" i="2"/>
  <c r="J93" i="2"/>
  <c r="I93" i="2"/>
  <c r="H93" i="2"/>
  <c r="G93" i="2"/>
  <c r="F93" i="2"/>
  <c r="D93" i="2"/>
  <c r="O48" i="2"/>
  <c r="N48" i="2"/>
  <c r="M48" i="2"/>
  <c r="L48" i="2"/>
  <c r="K48" i="2"/>
  <c r="J48" i="2"/>
  <c r="I48" i="2"/>
  <c r="H48" i="2"/>
  <c r="G48" i="2"/>
  <c r="F48" i="2"/>
  <c r="E48" i="2"/>
  <c r="D48" i="2"/>
  <c r="N45" i="2"/>
  <c r="M45" i="2"/>
  <c r="K45" i="2"/>
  <c r="E45" i="2"/>
  <c r="D45" i="2"/>
  <c r="O45" i="2"/>
  <c r="L45" i="2"/>
  <c r="J45" i="2"/>
  <c r="I45" i="2"/>
  <c r="H45" i="2"/>
  <c r="G45" i="2"/>
  <c r="F45" i="2"/>
  <c r="N41" i="2"/>
  <c r="K41" i="2"/>
  <c r="E41" i="2"/>
  <c r="O41" i="2"/>
  <c r="M41" i="2"/>
  <c r="L41" i="2"/>
  <c r="J41" i="2"/>
  <c r="I41" i="2"/>
  <c r="H41" i="2"/>
  <c r="G41" i="2"/>
  <c r="F41" i="2"/>
  <c r="D41" i="2"/>
  <c r="K199" i="4" l="1"/>
  <c r="F138" i="4"/>
  <c r="N94" i="4"/>
  <c r="J144" i="4"/>
  <c r="O46" i="4"/>
  <c r="D42" i="4"/>
  <c r="D46" i="4"/>
  <c r="H98" i="4"/>
  <c r="F114" i="4"/>
  <c r="F121" i="4"/>
  <c r="J123" i="4"/>
  <c r="P147" i="4"/>
  <c r="I150" i="4"/>
  <c r="F159" i="4"/>
  <c r="F188" i="4"/>
  <c r="M196" i="4"/>
  <c r="F209" i="4"/>
  <c r="F243" i="4"/>
  <c r="O291" i="4"/>
  <c r="J260" i="4"/>
  <c r="F281" i="4"/>
  <c r="L295" i="4"/>
  <c r="I298" i="4"/>
  <c r="J324" i="4"/>
  <c r="G344" i="4"/>
  <c r="F365" i="4"/>
  <c r="J98" i="5"/>
  <c r="H101" i="5"/>
  <c r="K136" i="5"/>
  <c r="F161" i="5"/>
  <c r="F168" i="5"/>
  <c r="F186" i="5"/>
  <c r="L340" i="5"/>
  <c r="D340" i="5"/>
  <c r="F317" i="5"/>
  <c r="F324" i="5"/>
  <c r="E347" i="5"/>
  <c r="H389" i="5"/>
  <c r="H397" i="5" s="1"/>
  <c r="J352" i="5"/>
  <c r="K352" i="5" s="1"/>
  <c r="F390" i="5"/>
  <c r="F144" i="6"/>
  <c r="O42" i="4"/>
  <c r="O50" i="4" s="1"/>
  <c r="F124" i="4"/>
  <c r="L94" i="4"/>
  <c r="F147" i="4"/>
  <c r="G249" i="4"/>
  <c r="M101" i="4"/>
  <c r="E42" i="4"/>
  <c r="I94" i="4"/>
  <c r="J137" i="4"/>
  <c r="D147" i="4"/>
  <c r="E192" i="4"/>
  <c r="E200" i="4" s="1"/>
  <c r="J188" i="4"/>
  <c r="J209" i="4"/>
  <c r="K209" i="4" s="1"/>
  <c r="K233" i="4"/>
  <c r="P291" i="4"/>
  <c r="P299" i="4" s="1"/>
  <c r="J331" i="4"/>
  <c r="J365" i="4"/>
  <c r="K365" i="4" s="1"/>
  <c r="J391" i="4"/>
  <c r="K94" i="5"/>
  <c r="K98" i="5"/>
  <c r="I101" i="5"/>
  <c r="F134" i="5"/>
  <c r="L147" i="5"/>
  <c r="H150" i="5"/>
  <c r="J161" i="5"/>
  <c r="J168" i="5"/>
  <c r="F177" i="5"/>
  <c r="J186" i="5"/>
  <c r="F214" i="5"/>
  <c r="J216" i="5"/>
  <c r="K234" i="5"/>
  <c r="J296" i="5"/>
  <c r="K296" i="5" s="1"/>
  <c r="M340" i="5"/>
  <c r="J329" i="5"/>
  <c r="J366" i="5"/>
  <c r="F110" i="6"/>
  <c r="M396" i="4"/>
  <c r="J127" i="5"/>
  <c r="K127" i="5" s="1"/>
  <c r="J177" i="5"/>
  <c r="E242" i="5"/>
  <c r="E250" i="5" s="1"/>
  <c r="J257" i="5"/>
  <c r="N340" i="5"/>
  <c r="K181" i="4"/>
  <c r="D192" i="4"/>
  <c r="D200" i="4" s="1"/>
  <c r="J170" i="4"/>
  <c r="F279" i="4"/>
  <c r="K338" i="4"/>
  <c r="N143" i="5"/>
  <c r="N151" i="5" s="1"/>
  <c r="F228" i="5"/>
  <c r="O340" i="5"/>
  <c r="I396" i="5"/>
  <c r="F157" i="4"/>
  <c r="P196" i="4"/>
  <c r="F197" i="4"/>
  <c r="F199" i="4" s="1"/>
  <c r="J290" i="4"/>
  <c r="H46" i="4"/>
  <c r="E49" i="4"/>
  <c r="L98" i="4"/>
  <c r="J112" i="4"/>
  <c r="F119" i="4"/>
  <c r="F166" i="4"/>
  <c r="J168" i="4"/>
  <c r="D196" i="4"/>
  <c r="F218" i="4"/>
  <c r="J229" i="4"/>
  <c r="J240" i="4"/>
  <c r="J265" i="4"/>
  <c r="F272" i="4"/>
  <c r="J288" i="4"/>
  <c r="F313" i="4"/>
  <c r="P347" i="4"/>
  <c r="F118" i="5"/>
  <c r="F125" i="5"/>
  <c r="H242" i="5"/>
  <c r="H250" i="5" s="1"/>
  <c r="F212" i="5"/>
  <c r="F235" i="5"/>
  <c r="F243" i="5"/>
  <c r="J345" i="5"/>
  <c r="K380" i="5"/>
  <c r="P246" i="4"/>
  <c r="F263" i="4"/>
  <c r="K290" i="4"/>
  <c r="P340" i="4"/>
  <c r="F306" i="4"/>
  <c r="F354" i="4"/>
  <c r="J132" i="5"/>
  <c r="K132" i="5" s="1"/>
  <c r="J194" i="5"/>
  <c r="F108" i="6"/>
  <c r="J263" i="4"/>
  <c r="J272" i="4"/>
  <c r="K272" i="4" s="1"/>
  <c r="D340" i="4"/>
  <c r="F327" i="4"/>
  <c r="J354" i="4"/>
  <c r="J342" i="5"/>
  <c r="H344" i="5"/>
  <c r="J166" i="4"/>
  <c r="G250" i="4"/>
  <c r="F277" i="4"/>
  <c r="F139" i="5"/>
  <c r="H192" i="5"/>
  <c r="F276" i="5"/>
  <c r="J290" i="5"/>
  <c r="H242" i="4"/>
  <c r="H291" i="4"/>
  <c r="J327" i="4"/>
  <c r="J334" i="4"/>
  <c r="J361" i="4"/>
  <c r="K123" i="5"/>
  <c r="F130" i="5"/>
  <c r="F137" i="5"/>
  <c r="F240" i="5"/>
  <c r="K255" i="5"/>
  <c r="F281" i="5"/>
  <c r="F383" i="5"/>
  <c r="H94" i="6"/>
  <c r="K120" i="6"/>
  <c r="J386" i="4"/>
  <c r="G102" i="5"/>
  <c r="J116" i="5"/>
  <c r="J130" i="5"/>
  <c r="K130" i="5" s="1"/>
  <c r="F217" i="5"/>
  <c r="F274" i="5"/>
  <c r="J288" i="5"/>
  <c r="F304" i="5"/>
  <c r="J304" i="5"/>
  <c r="F360" i="5"/>
  <c r="M192" i="4"/>
  <c r="M200" i="4" s="1"/>
  <c r="I143" i="5"/>
  <c r="K194" i="5"/>
  <c r="J274" i="5"/>
  <c r="K274" i="5" s="1"/>
  <c r="F297" i="5"/>
  <c r="G298" i="5"/>
  <c r="K304" i="5"/>
  <c r="J311" i="5"/>
  <c r="K311" i="5" s="1"/>
  <c r="J367" i="5"/>
  <c r="M143" i="5"/>
  <c r="F121" i="5"/>
  <c r="J135" i="4"/>
  <c r="K142" i="4"/>
  <c r="F384" i="4"/>
  <c r="J135" i="5"/>
  <c r="K135" i="5" s="1"/>
  <c r="K231" i="5"/>
  <c r="J265" i="5"/>
  <c r="K267" i="5"/>
  <c r="K286" i="5"/>
  <c r="L42" i="4"/>
  <c r="J345" i="4"/>
  <c r="F210" i="4"/>
  <c r="J94" i="4"/>
  <c r="H143" i="4"/>
  <c r="P242" i="4"/>
  <c r="P250" i="4" s="1"/>
  <c r="F208" i="4"/>
  <c r="J232" i="4"/>
  <c r="F257" i="4"/>
  <c r="F266" i="4"/>
  <c r="J323" i="4"/>
  <c r="K323" i="4" s="1"/>
  <c r="O389" i="4"/>
  <c r="N42" i="5"/>
  <c r="J112" i="5"/>
  <c r="F229" i="5"/>
  <c r="F236" i="5"/>
  <c r="E295" i="5"/>
  <c r="F328" i="5"/>
  <c r="J119" i="4"/>
  <c r="K119" i="4" s="1"/>
  <c r="F173" i="4"/>
  <c r="F131" i="4"/>
  <c r="K221" i="4"/>
  <c r="F42" i="4"/>
  <c r="F50" i="4" s="1"/>
  <c r="F120" i="4"/>
  <c r="G42" i="4"/>
  <c r="K94" i="4"/>
  <c r="I101" i="4"/>
  <c r="J120" i="4"/>
  <c r="K120" i="4" s="1"/>
  <c r="F129" i="4"/>
  <c r="J149" i="4"/>
  <c r="J187" i="4"/>
  <c r="J219" i="4"/>
  <c r="J230" i="4"/>
  <c r="O246" i="4"/>
  <c r="J273" i="4"/>
  <c r="J314" i="4"/>
  <c r="P389" i="4"/>
  <c r="F355" i="4"/>
  <c r="J364" i="4"/>
  <c r="J373" i="4"/>
  <c r="J382" i="4"/>
  <c r="F126" i="5"/>
  <c r="D150" i="5"/>
  <c r="J236" i="5"/>
  <c r="F263" i="5"/>
  <c r="K316" i="5"/>
  <c r="K323" i="5"/>
  <c r="F142" i="4"/>
  <c r="I242" i="4"/>
  <c r="F195" i="4"/>
  <c r="F380" i="4"/>
  <c r="F110" i="5"/>
  <c r="O298" i="5"/>
  <c r="F377" i="5"/>
  <c r="O242" i="4"/>
  <c r="O250" i="4" s="1"/>
  <c r="J247" i="4"/>
  <c r="L298" i="4"/>
  <c r="M340" i="4"/>
  <c r="H42" i="4"/>
  <c r="H50" i="4" s="1"/>
  <c r="I42" i="4"/>
  <c r="I50" i="4" s="1"/>
  <c r="M94" i="4"/>
  <c r="M102" i="4" s="1"/>
  <c r="K101" i="4"/>
  <c r="J129" i="4"/>
  <c r="F134" i="4"/>
  <c r="H147" i="4"/>
  <c r="J195" i="4"/>
  <c r="J217" i="4"/>
  <c r="J239" i="4"/>
  <c r="E249" i="4"/>
  <c r="F255" i="4"/>
  <c r="F278" i="4"/>
  <c r="F287" i="4"/>
  <c r="F335" i="4"/>
  <c r="E389" i="4"/>
  <c r="L393" i="4"/>
  <c r="E42" i="5"/>
  <c r="J110" i="5"/>
  <c r="F234" i="5"/>
  <c r="K346" i="5"/>
  <c r="D98" i="5"/>
  <c r="K187" i="5"/>
  <c r="M196" i="5"/>
  <c r="J270" i="5"/>
  <c r="F326" i="5"/>
  <c r="K118" i="6"/>
  <c r="J133" i="4"/>
  <c r="D143" i="4"/>
  <c r="G42" i="5"/>
  <c r="G50" i="5" s="1"/>
  <c r="F49" i="5"/>
  <c r="E94" i="5"/>
  <c r="L295" i="5"/>
  <c r="F319" i="5"/>
  <c r="J326" i="5"/>
  <c r="F341" i="5"/>
  <c r="F361" i="5"/>
  <c r="K42" i="4"/>
  <c r="K50" i="4" s="1"/>
  <c r="E143" i="4"/>
  <c r="G94" i="4"/>
  <c r="G102" i="4" s="1"/>
  <c r="J42" i="4"/>
  <c r="J50" i="4" s="1"/>
  <c r="F174" i="4"/>
  <c r="H196" i="4"/>
  <c r="F237" i="4"/>
  <c r="J312" i="4"/>
  <c r="J387" i="4"/>
  <c r="K222" i="5"/>
  <c r="J241" i="5"/>
  <c r="L291" i="5"/>
  <c r="L299" i="5" s="1"/>
  <c r="F289" i="5"/>
  <c r="J319" i="5"/>
  <c r="J354" i="5"/>
  <c r="J361" i="5"/>
  <c r="H98" i="6"/>
  <c r="J114" i="6"/>
  <c r="F114" i="6"/>
  <c r="H94" i="4"/>
  <c r="H102" i="4" s="1"/>
  <c r="L101" i="4"/>
  <c r="O94" i="4"/>
  <c r="O143" i="4"/>
  <c r="F141" i="4"/>
  <c r="M147" i="4"/>
  <c r="P150" i="4"/>
  <c r="J245" i="4"/>
  <c r="F262" i="4"/>
  <c r="G340" i="4"/>
  <c r="G348" i="4" s="1"/>
  <c r="D344" i="4"/>
  <c r="D348" i="4" s="1"/>
  <c r="E143" i="5"/>
  <c r="M192" i="5"/>
  <c r="F218" i="5"/>
  <c r="G340" i="5"/>
  <c r="I344" i="5"/>
  <c r="J318" i="4"/>
  <c r="K318" i="4" s="1"/>
  <c r="J335" i="4"/>
  <c r="L46" i="4"/>
  <c r="E94" i="4"/>
  <c r="O101" i="4"/>
  <c r="N42" i="4"/>
  <c r="N50" i="4" s="1"/>
  <c r="J132" i="4"/>
  <c r="J163" i="4"/>
  <c r="J190" i="4"/>
  <c r="J193" i="4"/>
  <c r="N242" i="4"/>
  <c r="N250" i="4" s="1"/>
  <c r="J211" i="4"/>
  <c r="J293" i="4"/>
  <c r="J310" i="4"/>
  <c r="J326" i="4"/>
  <c r="J333" i="4"/>
  <c r="J343" i="4"/>
  <c r="J360" i="4"/>
  <c r="K367" i="4"/>
  <c r="F101" i="5"/>
  <c r="K190" i="5"/>
  <c r="G199" i="5"/>
  <c r="L344" i="5"/>
  <c r="J42" i="6"/>
  <c r="J50" i="6" s="1"/>
  <c r="K138" i="6"/>
  <c r="M291" i="4"/>
  <c r="M299" i="4" s="1"/>
  <c r="E150" i="4"/>
  <c r="D94" i="4"/>
  <c r="N101" i="4"/>
  <c r="M42" i="4"/>
  <c r="F107" i="4"/>
  <c r="O147" i="4"/>
  <c r="F341" i="4"/>
  <c r="I347" i="4"/>
  <c r="F360" i="4"/>
  <c r="J49" i="5"/>
  <c r="I94" i="5"/>
  <c r="G101" i="5"/>
  <c r="J106" i="5"/>
  <c r="J113" i="5"/>
  <c r="J115" i="5"/>
  <c r="K124" i="5"/>
  <c r="O150" i="5"/>
  <c r="K163" i="5"/>
  <c r="J179" i="5"/>
  <c r="J188" i="5"/>
  <c r="J209" i="5"/>
  <c r="F223" i="5"/>
  <c r="F232" i="5"/>
  <c r="P246" i="5"/>
  <c r="K280" i="5"/>
  <c r="P340" i="5"/>
  <c r="J317" i="5"/>
  <c r="K317" i="5" s="1"/>
  <c r="J324" i="5"/>
  <c r="K324" i="5" s="1"/>
  <c r="G389" i="5"/>
  <c r="F366" i="5"/>
  <c r="K368" i="5"/>
  <c r="K163" i="6"/>
  <c r="K281" i="6"/>
  <c r="F128" i="7"/>
  <c r="J164" i="7"/>
  <c r="F164" i="7"/>
  <c r="L249" i="7"/>
  <c r="K290" i="7"/>
  <c r="F267" i="4"/>
  <c r="J305" i="4"/>
  <c r="J330" i="4"/>
  <c r="F368" i="4"/>
  <c r="H46" i="5"/>
  <c r="F109" i="5"/>
  <c r="J118" i="5"/>
  <c r="J134" i="5"/>
  <c r="N192" i="5"/>
  <c r="N200" i="5" s="1"/>
  <c r="F172" i="5"/>
  <c r="F183" i="5"/>
  <c r="F211" i="5"/>
  <c r="J220" i="5"/>
  <c r="J276" i="5"/>
  <c r="J285" i="5"/>
  <c r="E340" i="5"/>
  <c r="E348" i="5" s="1"/>
  <c r="G347" i="5"/>
  <c r="E389" i="5"/>
  <c r="F354" i="5"/>
  <c r="D393" i="5"/>
  <c r="D42" i="6"/>
  <c r="D49" i="6"/>
  <c r="N98" i="6"/>
  <c r="F116" i="6"/>
  <c r="J129" i="6"/>
  <c r="F136" i="6"/>
  <c r="F149" i="6"/>
  <c r="F184" i="6"/>
  <c r="J263" i="6"/>
  <c r="F279" i="6"/>
  <c r="J380" i="6"/>
  <c r="L393" i="6"/>
  <c r="J137" i="7"/>
  <c r="F183" i="7"/>
  <c r="F190" i="7"/>
  <c r="M196" i="7"/>
  <c r="J207" i="7"/>
  <c r="J214" i="7"/>
  <c r="F281" i="7"/>
  <c r="P298" i="7"/>
  <c r="J345" i="7"/>
  <c r="J347" i="7" s="1"/>
  <c r="H347" i="7"/>
  <c r="J136" i="6"/>
  <c r="D147" i="6"/>
  <c r="F146" i="6"/>
  <c r="J168" i="6"/>
  <c r="F213" i="6"/>
  <c r="F215" i="6"/>
  <c r="J279" i="6"/>
  <c r="F286" i="6"/>
  <c r="J297" i="6"/>
  <c r="F336" i="6"/>
  <c r="J387" i="6"/>
  <c r="K387" i="6" s="1"/>
  <c r="J162" i="7"/>
  <c r="J169" i="7"/>
  <c r="J183" i="7"/>
  <c r="J190" i="7"/>
  <c r="N196" i="7"/>
  <c r="D246" i="7"/>
  <c r="J281" i="7"/>
  <c r="K281" i="7" s="1"/>
  <c r="F318" i="7"/>
  <c r="J112" i="6"/>
  <c r="J125" i="6"/>
  <c r="K125" i="6" s="1"/>
  <c r="J134" i="6"/>
  <c r="K134" i="6" s="1"/>
  <c r="J182" i="6"/>
  <c r="J222" i="6"/>
  <c r="J231" i="6"/>
  <c r="N246" i="6"/>
  <c r="E295" i="6"/>
  <c r="J320" i="6"/>
  <c r="J327" i="6"/>
  <c r="J126" i="7"/>
  <c r="L192" i="7"/>
  <c r="L200" i="7" s="1"/>
  <c r="F188" i="7"/>
  <c r="E143" i="6"/>
  <c r="E151" i="6" s="1"/>
  <c r="F164" i="6"/>
  <c r="F173" i="6"/>
  <c r="F182" i="6"/>
  <c r="F187" i="6"/>
  <c r="O196" i="6"/>
  <c r="F222" i="6"/>
  <c r="K309" i="6"/>
  <c r="K334" i="6"/>
  <c r="I344" i="6"/>
  <c r="F342" i="6"/>
  <c r="F181" i="7"/>
  <c r="F226" i="7"/>
  <c r="F286" i="7"/>
  <c r="J288" i="7"/>
  <c r="K354" i="7"/>
  <c r="J382" i="7"/>
  <c r="F303" i="5"/>
  <c r="F310" i="5"/>
  <c r="F312" i="5"/>
  <c r="J377" i="5"/>
  <c r="J394" i="5"/>
  <c r="I46" i="6"/>
  <c r="I50" i="6" s="1"/>
  <c r="I49" i="6"/>
  <c r="D101" i="6"/>
  <c r="J110" i="6"/>
  <c r="F123" i="6"/>
  <c r="J144" i="6"/>
  <c r="K144" i="6" s="1"/>
  <c r="F157" i="6"/>
  <c r="K175" i="6"/>
  <c r="K222" i="6"/>
  <c r="K238" i="6"/>
  <c r="F261" i="6"/>
  <c r="G340" i="6"/>
  <c r="J342" i="6"/>
  <c r="O389" i="6"/>
  <c r="F355" i="6"/>
  <c r="F46" i="7"/>
  <c r="E94" i="7"/>
  <c r="D101" i="7"/>
  <c r="J181" i="7"/>
  <c r="L242" i="7"/>
  <c r="P242" i="7"/>
  <c r="J226" i="7"/>
  <c r="F243" i="7"/>
  <c r="E291" i="7"/>
  <c r="J279" i="7"/>
  <c r="J286" i="7"/>
  <c r="K286" i="7" s="1"/>
  <c r="K359" i="7"/>
  <c r="F102" i="7"/>
  <c r="L246" i="7"/>
  <c r="M344" i="7"/>
  <c r="O389" i="7"/>
  <c r="O397" i="7" s="1"/>
  <c r="E396" i="7"/>
  <c r="J171" i="6"/>
  <c r="J198" i="6"/>
  <c r="K213" i="6"/>
  <c r="I249" i="6"/>
  <c r="J275" i="6"/>
  <c r="J307" i="6"/>
  <c r="N347" i="6"/>
  <c r="K371" i="6"/>
  <c r="N150" i="7"/>
  <c r="P192" i="7"/>
  <c r="P200" i="7" s="1"/>
  <c r="N242" i="7"/>
  <c r="D249" i="7"/>
  <c r="J254" i="7"/>
  <c r="K254" i="7" s="1"/>
  <c r="K368" i="7"/>
  <c r="L147" i="6"/>
  <c r="K189" i="6"/>
  <c r="I298" i="6"/>
  <c r="I340" i="6"/>
  <c r="O150" i="7"/>
  <c r="F194" i="7"/>
  <c r="M199" i="7"/>
  <c r="I291" i="7"/>
  <c r="K294" i="7"/>
  <c r="F364" i="5"/>
  <c r="H143" i="6"/>
  <c r="K132" i="6"/>
  <c r="J141" i="6"/>
  <c r="J178" i="6"/>
  <c r="J234" i="6"/>
  <c r="O291" i="6"/>
  <c r="F259" i="6"/>
  <c r="J289" i="6"/>
  <c r="N295" i="6"/>
  <c r="O344" i="6"/>
  <c r="P347" i="6"/>
  <c r="F353" i="6"/>
  <c r="J49" i="7"/>
  <c r="F138" i="7"/>
  <c r="P150" i="7"/>
  <c r="F165" i="7"/>
  <c r="J208" i="7"/>
  <c r="O246" i="7"/>
  <c r="L291" i="7"/>
  <c r="F259" i="7"/>
  <c r="J261" i="7"/>
  <c r="E389" i="7"/>
  <c r="E397" i="7" s="1"/>
  <c r="F364" i="7"/>
  <c r="F386" i="5"/>
  <c r="F106" i="6"/>
  <c r="F139" i="6"/>
  <c r="K227" i="6"/>
  <c r="P291" i="6"/>
  <c r="P299" i="6" s="1"/>
  <c r="F360" i="6"/>
  <c r="K367" i="6"/>
  <c r="J381" i="6"/>
  <c r="K49" i="7"/>
  <c r="J122" i="7"/>
  <c r="F191" i="7"/>
  <c r="D242" i="7"/>
  <c r="J259" i="7"/>
  <c r="K284" i="7"/>
  <c r="J364" i="7"/>
  <c r="J184" i="5"/>
  <c r="J191" i="5"/>
  <c r="J212" i="5"/>
  <c r="J221" i="5"/>
  <c r="F230" i="5"/>
  <c r="J239" i="5"/>
  <c r="J277" i="5"/>
  <c r="K279" i="5"/>
  <c r="D295" i="5"/>
  <c r="D389" i="5"/>
  <c r="O46" i="6"/>
  <c r="O49" i="6"/>
  <c r="N94" i="6"/>
  <c r="J101" i="6"/>
  <c r="J119" i="6"/>
  <c r="E150" i="6"/>
  <c r="J169" i="6"/>
  <c r="J280" i="6"/>
  <c r="J337" i="6"/>
  <c r="K339" i="6"/>
  <c r="L396" i="6"/>
  <c r="L42" i="7"/>
  <c r="K131" i="7"/>
  <c r="J191" i="7"/>
  <c r="E242" i="7"/>
  <c r="J335" i="7"/>
  <c r="K355" i="7"/>
  <c r="J385" i="7"/>
  <c r="F385" i="7"/>
  <c r="F126" i="6"/>
  <c r="F128" i="6"/>
  <c r="G196" i="6"/>
  <c r="F193" i="6"/>
  <c r="F214" i="6"/>
  <c r="D295" i="6"/>
  <c r="K303" i="6"/>
  <c r="K156" i="7"/>
  <c r="F241" i="4"/>
  <c r="L246" i="4"/>
  <c r="M249" i="4"/>
  <c r="M250" i="4" s="1"/>
  <c r="N291" i="4"/>
  <c r="N299" i="4" s="1"/>
  <c r="J275" i="4"/>
  <c r="K275" i="4" s="1"/>
  <c r="F286" i="4"/>
  <c r="F311" i="4"/>
  <c r="J329" i="4"/>
  <c r="N347" i="4"/>
  <c r="J358" i="4"/>
  <c r="F376" i="4"/>
  <c r="P393" i="4"/>
  <c r="E396" i="4"/>
  <c r="I42" i="5"/>
  <c r="H49" i="5"/>
  <c r="J108" i="5"/>
  <c r="F117" i="5"/>
  <c r="F142" i="5"/>
  <c r="M150" i="5"/>
  <c r="J162" i="5"/>
  <c r="F189" i="5"/>
  <c r="N242" i="5"/>
  <c r="N250" i="5" s="1"/>
  <c r="F210" i="5"/>
  <c r="F275" i="5"/>
  <c r="F284" i="5"/>
  <c r="J306" i="5"/>
  <c r="F315" i="5"/>
  <c r="D344" i="5"/>
  <c r="F362" i="5"/>
  <c r="F371" i="5"/>
  <c r="J382" i="5"/>
  <c r="F392" i="5"/>
  <c r="E42" i="6"/>
  <c r="E50" i="6" s="1"/>
  <c r="D94" i="6"/>
  <c r="D102" i="6" s="1"/>
  <c r="L101" i="6"/>
  <c r="F115" i="6"/>
  <c r="F135" i="6"/>
  <c r="F160" i="6"/>
  <c r="F207" i="6"/>
  <c r="F241" i="6"/>
  <c r="F278" i="6"/>
  <c r="J287" i="6"/>
  <c r="F372" i="6"/>
  <c r="M393" i="6"/>
  <c r="O143" i="7"/>
  <c r="J129" i="7"/>
  <c r="J177" i="7"/>
  <c r="P291" i="7"/>
  <c r="J289" i="7"/>
  <c r="M295" i="7"/>
  <c r="F333" i="7"/>
  <c r="M389" i="7"/>
  <c r="M397" i="7" s="1"/>
  <c r="K383" i="7"/>
  <c r="E295" i="4"/>
  <c r="H298" i="4"/>
  <c r="J304" i="4"/>
  <c r="F320" i="4"/>
  <c r="J336" i="4"/>
  <c r="M344" i="4"/>
  <c r="J376" i="4"/>
  <c r="J385" i="4"/>
  <c r="I49" i="5"/>
  <c r="H94" i="5"/>
  <c r="H102" i="5" s="1"/>
  <c r="E101" i="5"/>
  <c r="E102" i="5" s="1"/>
  <c r="D143" i="5"/>
  <c r="F108" i="5"/>
  <c r="J117" i="5"/>
  <c r="K117" i="5" s="1"/>
  <c r="J142" i="5"/>
  <c r="J189" i="5"/>
  <c r="O242" i="5"/>
  <c r="O250" i="5" s="1"/>
  <c r="K270" i="5"/>
  <c r="J275" i="5"/>
  <c r="J284" i="5"/>
  <c r="G295" i="5"/>
  <c r="K319" i="5"/>
  <c r="J322" i="5"/>
  <c r="F333" i="5"/>
  <c r="K355" i="5"/>
  <c r="F378" i="5"/>
  <c r="E94" i="6"/>
  <c r="E102" i="6" s="1"/>
  <c r="M101" i="6"/>
  <c r="O143" i="6"/>
  <c r="F111" i="6"/>
  <c r="F190" i="6"/>
  <c r="F223" i="6"/>
  <c r="K225" i="6"/>
  <c r="F239" i="6"/>
  <c r="N340" i="6"/>
  <c r="J335" i="6"/>
  <c r="I347" i="6"/>
  <c r="N389" i="6"/>
  <c r="J372" i="6"/>
  <c r="N94" i="7"/>
  <c r="M101" i="7"/>
  <c r="J120" i="7"/>
  <c r="J127" i="7"/>
  <c r="K127" i="7" s="1"/>
  <c r="J136" i="7"/>
  <c r="F177" i="7"/>
  <c r="J244" i="7"/>
  <c r="N249" i="7"/>
  <c r="H295" i="7"/>
  <c r="P340" i="7"/>
  <c r="P348" i="7" s="1"/>
  <c r="F310" i="7"/>
  <c r="L393" i="7"/>
  <c r="F94" i="6"/>
  <c r="N101" i="6"/>
  <c r="F124" i="6"/>
  <c r="F165" i="6"/>
  <c r="F212" i="6"/>
  <c r="M340" i="6"/>
  <c r="M348" i="6" s="1"/>
  <c r="F319" i="6"/>
  <c r="E344" i="6"/>
  <c r="F370" i="6"/>
  <c r="F109" i="7"/>
  <c r="F118" i="7"/>
  <c r="F125" i="7"/>
  <c r="K168" i="7"/>
  <c r="F175" i="7"/>
  <c r="F344" i="7"/>
  <c r="J376" i="7"/>
  <c r="F391" i="4"/>
  <c r="I396" i="4"/>
  <c r="L42" i="5"/>
  <c r="L50" i="5" s="1"/>
  <c r="K49" i="5"/>
  <c r="F106" i="5"/>
  <c r="F113" i="5"/>
  <c r="F140" i="5"/>
  <c r="P150" i="5"/>
  <c r="D199" i="5"/>
  <c r="J226" i="5"/>
  <c r="J235" i="5"/>
  <c r="F257" i="5"/>
  <c r="F311" i="5"/>
  <c r="K326" i="5"/>
  <c r="F329" i="5"/>
  <c r="J341" i="5"/>
  <c r="J353" i="5"/>
  <c r="F367" i="5"/>
  <c r="H42" i="6"/>
  <c r="G94" i="6"/>
  <c r="J124" i="6"/>
  <c r="J158" i="6"/>
  <c r="M196" i="6"/>
  <c r="J212" i="6"/>
  <c r="J230" i="6"/>
  <c r="F308" i="6"/>
  <c r="J319" i="6"/>
  <c r="F363" i="6"/>
  <c r="J175" i="7"/>
  <c r="J227" i="7"/>
  <c r="F234" i="7"/>
  <c r="G291" i="7"/>
  <c r="J303" i="7"/>
  <c r="P389" i="7"/>
  <c r="P340" i="6"/>
  <c r="N246" i="7"/>
  <c r="L340" i="7"/>
  <c r="F280" i="4"/>
  <c r="J289" i="4"/>
  <c r="K289" i="4" s="1"/>
  <c r="K311" i="4"/>
  <c r="F323" i="4"/>
  <c r="E347" i="4"/>
  <c r="F352" i="4"/>
  <c r="J363" i="4"/>
  <c r="J372" i="4"/>
  <c r="O42" i="5"/>
  <c r="N49" i="5"/>
  <c r="L98" i="5"/>
  <c r="L143" i="5"/>
  <c r="F138" i="5"/>
  <c r="F149" i="5"/>
  <c r="J158" i="5"/>
  <c r="K178" i="5"/>
  <c r="E196" i="5"/>
  <c r="H199" i="5"/>
  <c r="F208" i="5"/>
  <c r="J224" i="5"/>
  <c r="J233" i="5"/>
  <c r="J248" i="5"/>
  <c r="F264" i="5"/>
  <c r="F287" i="5"/>
  <c r="F309" i="5"/>
  <c r="F336" i="5"/>
  <c r="F338" i="5"/>
  <c r="M344" i="5"/>
  <c r="F358" i="5"/>
  <c r="J376" i="5"/>
  <c r="K376" i="5" s="1"/>
  <c r="L393" i="5"/>
  <c r="K42" i="6"/>
  <c r="J131" i="6"/>
  <c r="P150" i="6"/>
  <c r="K172" i="6"/>
  <c r="J186" i="6"/>
  <c r="P196" i="6"/>
  <c r="L242" i="6"/>
  <c r="J228" i="6"/>
  <c r="M249" i="6"/>
  <c r="J260" i="6"/>
  <c r="N298" i="6"/>
  <c r="F315" i="6"/>
  <c r="F338" i="6"/>
  <c r="F354" i="6"/>
  <c r="F392" i="6"/>
  <c r="H46" i="7"/>
  <c r="G98" i="7"/>
  <c r="F132" i="7"/>
  <c r="K134" i="7"/>
  <c r="J211" i="7"/>
  <c r="F232" i="7"/>
  <c r="F248" i="7"/>
  <c r="F260" i="7"/>
  <c r="M340" i="7"/>
  <c r="P344" i="7"/>
  <c r="O396" i="4"/>
  <c r="D46" i="5"/>
  <c r="D50" i="5" s="1"/>
  <c r="O49" i="5"/>
  <c r="M98" i="5"/>
  <c r="K101" i="5"/>
  <c r="J120" i="5"/>
  <c r="J149" i="5"/>
  <c r="K149" i="5" s="1"/>
  <c r="J156" i="5"/>
  <c r="K156" i="5" s="1"/>
  <c r="J174" i="5"/>
  <c r="J176" i="5"/>
  <c r="K176" i="5" s="1"/>
  <c r="J185" i="5"/>
  <c r="G196" i="5"/>
  <c r="I199" i="5"/>
  <c r="F206" i="5"/>
  <c r="K282" i="5"/>
  <c r="J287" i="5"/>
  <c r="J309" i="5"/>
  <c r="N344" i="5"/>
  <c r="F376" i="5"/>
  <c r="M393" i="5"/>
  <c r="P396" i="5"/>
  <c r="L42" i="6"/>
  <c r="K94" i="6"/>
  <c r="J98" i="6"/>
  <c r="J107" i="6"/>
  <c r="J122" i="6"/>
  <c r="N147" i="6"/>
  <c r="J156" i="6"/>
  <c r="D196" i="6"/>
  <c r="J210" i="6"/>
  <c r="N249" i="6"/>
  <c r="F290" i="6"/>
  <c r="J324" i="6"/>
  <c r="K324" i="6" s="1"/>
  <c r="P344" i="6"/>
  <c r="J354" i="6"/>
  <c r="K354" i="6" s="1"/>
  <c r="J375" i="6"/>
  <c r="I46" i="7"/>
  <c r="H98" i="7"/>
  <c r="H102" i="7" s="1"/>
  <c r="O199" i="7"/>
  <c r="J232" i="7"/>
  <c r="P246" i="7"/>
  <c r="J285" i="7"/>
  <c r="K285" i="7" s="1"/>
  <c r="F285" i="7"/>
  <c r="L298" i="7"/>
  <c r="E46" i="5"/>
  <c r="N98" i="5"/>
  <c r="L101" i="5"/>
  <c r="H147" i="5"/>
  <c r="K210" i="5"/>
  <c r="F262" i="5"/>
  <c r="O295" i="5"/>
  <c r="O344" i="5"/>
  <c r="F356" i="5"/>
  <c r="F363" i="5"/>
  <c r="P393" i="5"/>
  <c r="M46" i="6"/>
  <c r="M50" i="6" s="1"/>
  <c r="K170" i="6"/>
  <c r="F177" i="6"/>
  <c r="O249" i="6"/>
  <c r="F390" i="6"/>
  <c r="J50" i="7"/>
  <c r="I50" i="8"/>
  <c r="F46" i="5"/>
  <c r="F50" i="5" s="1"/>
  <c r="M101" i="5"/>
  <c r="O143" i="5"/>
  <c r="O151" i="5" s="1"/>
  <c r="J111" i="5"/>
  <c r="D147" i="5"/>
  <c r="F146" i="5"/>
  <c r="J193" i="5"/>
  <c r="K193" i="5" s="1"/>
  <c r="J262" i="5"/>
  <c r="K262" i="5" s="1"/>
  <c r="K292" i="5"/>
  <c r="D298" i="5"/>
  <c r="P344" i="5"/>
  <c r="D347" i="5"/>
  <c r="J356" i="5"/>
  <c r="J363" i="5"/>
  <c r="F374" i="5"/>
  <c r="N46" i="6"/>
  <c r="L98" i="6"/>
  <c r="L102" i="6" s="1"/>
  <c r="J161" i="6"/>
  <c r="F170" i="6"/>
  <c r="K188" i="6"/>
  <c r="K237" i="6"/>
  <c r="J258" i="6"/>
  <c r="J306" i="6"/>
  <c r="J139" i="7"/>
  <c r="J171" i="7"/>
  <c r="J193" i="7"/>
  <c r="O291" i="7"/>
  <c r="J274" i="7"/>
  <c r="L295" i="7"/>
  <c r="J306" i="7"/>
  <c r="J313" i="7"/>
  <c r="F345" i="7"/>
  <c r="J392" i="7"/>
  <c r="H393" i="7"/>
  <c r="G143" i="8"/>
  <c r="D192" i="8"/>
  <c r="K176" i="8"/>
  <c r="P291" i="8"/>
  <c r="P299" i="8" s="1"/>
  <c r="I46" i="8"/>
  <c r="I49" i="8"/>
  <c r="G94" i="8"/>
  <c r="G101" i="8"/>
  <c r="H143" i="8"/>
  <c r="H151" i="8" s="1"/>
  <c r="F181" i="8"/>
  <c r="J183" i="8"/>
  <c r="P242" i="8"/>
  <c r="P250" i="8" s="1"/>
  <c r="F238" i="8"/>
  <c r="I249" i="8"/>
  <c r="J260" i="8"/>
  <c r="K269" i="8"/>
  <c r="K293" i="8"/>
  <c r="K98" i="9"/>
  <c r="M143" i="9"/>
  <c r="M192" i="9"/>
  <c r="F160" i="9"/>
  <c r="K218" i="9"/>
  <c r="F262" i="9"/>
  <c r="J207" i="6"/>
  <c r="J223" i="6"/>
  <c r="K234" i="6"/>
  <c r="L291" i="6"/>
  <c r="F281" i="6"/>
  <c r="J290" i="6"/>
  <c r="O340" i="6"/>
  <c r="F310" i="6"/>
  <c r="F321" i="6"/>
  <c r="F328" i="6"/>
  <c r="F337" i="6"/>
  <c r="L344" i="6"/>
  <c r="P389" i="6"/>
  <c r="J364" i="6"/>
  <c r="J392" i="6"/>
  <c r="G46" i="7"/>
  <c r="G50" i="7" s="1"/>
  <c r="O94" i="7"/>
  <c r="O98" i="7"/>
  <c r="N101" i="7"/>
  <c r="F142" i="7"/>
  <c r="F169" i="7"/>
  <c r="J178" i="7"/>
  <c r="J185" i="7"/>
  <c r="F218" i="7"/>
  <c r="G249" i="7"/>
  <c r="J263" i="7"/>
  <c r="K263" i="7" s="1"/>
  <c r="J283" i="7"/>
  <c r="J319" i="7"/>
  <c r="J328" i="7"/>
  <c r="J337" i="7"/>
  <c r="J370" i="7"/>
  <c r="N393" i="7"/>
  <c r="J42" i="8"/>
  <c r="J46" i="8"/>
  <c r="J49" i="8"/>
  <c r="H94" i="8"/>
  <c r="H102" i="8" s="1"/>
  <c r="H101" i="8"/>
  <c r="F124" i="8"/>
  <c r="F131" i="8"/>
  <c r="J140" i="8"/>
  <c r="J165" i="8"/>
  <c r="F229" i="8"/>
  <c r="J238" i="8"/>
  <c r="F258" i="8"/>
  <c r="J274" i="8"/>
  <c r="F281" i="8"/>
  <c r="N295" i="8"/>
  <c r="F304" i="8"/>
  <c r="L389" i="8"/>
  <c r="J368" i="8"/>
  <c r="L46" i="9"/>
  <c r="L98" i="9"/>
  <c r="N143" i="9"/>
  <c r="N151" i="9" s="1"/>
  <c r="J145" i="9"/>
  <c r="J160" i="9"/>
  <c r="J176" i="9"/>
  <c r="F230" i="9"/>
  <c r="K311" i="9"/>
  <c r="L143" i="8"/>
  <c r="G192" i="8"/>
  <c r="J229" i="8"/>
  <c r="M98" i="9"/>
  <c r="K190" i="9"/>
  <c r="J230" i="9"/>
  <c r="K230" i="9" s="1"/>
  <c r="M143" i="8"/>
  <c r="E298" i="8"/>
  <c r="K325" i="8"/>
  <c r="K178" i="9"/>
  <c r="K239" i="9"/>
  <c r="N298" i="7"/>
  <c r="N340" i="7"/>
  <c r="F308" i="7"/>
  <c r="F324" i="7"/>
  <c r="J377" i="7"/>
  <c r="M42" i="8"/>
  <c r="M50" i="8" s="1"/>
  <c r="M49" i="8"/>
  <c r="K94" i="8"/>
  <c r="K101" i="8"/>
  <c r="N143" i="8"/>
  <c r="F111" i="8"/>
  <c r="J122" i="8"/>
  <c r="J138" i="8"/>
  <c r="J146" i="8"/>
  <c r="J163" i="8"/>
  <c r="J179" i="8"/>
  <c r="F225" i="8"/>
  <c r="F234" i="8"/>
  <c r="E291" i="8"/>
  <c r="E299" i="8" s="1"/>
  <c r="J272" i="8"/>
  <c r="D42" i="9"/>
  <c r="K110" i="9"/>
  <c r="F126" i="9"/>
  <c r="O150" i="9"/>
  <c r="K225" i="9"/>
  <c r="F260" i="9"/>
  <c r="J373" i="9"/>
  <c r="F373" i="9"/>
  <c r="K384" i="7"/>
  <c r="N42" i="8"/>
  <c r="N50" i="8" s="1"/>
  <c r="N46" i="8"/>
  <c r="N49" i="8"/>
  <c r="L94" i="8"/>
  <c r="L101" i="8"/>
  <c r="O143" i="8"/>
  <c r="F170" i="8"/>
  <c r="F186" i="8"/>
  <c r="K188" i="8"/>
  <c r="K190" i="8"/>
  <c r="F254" i="8"/>
  <c r="K267" i="8"/>
  <c r="F309" i="8"/>
  <c r="F330" i="8"/>
  <c r="F385" i="8"/>
  <c r="F140" i="9"/>
  <c r="J207" i="9"/>
  <c r="D344" i="7"/>
  <c r="F353" i="7"/>
  <c r="J375" i="7"/>
  <c r="K375" i="7" s="1"/>
  <c r="F392" i="7"/>
  <c r="O42" i="8"/>
  <c r="O50" i="8" s="1"/>
  <c r="M98" i="8"/>
  <c r="M101" i="8"/>
  <c r="P143" i="8"/>
  <c r="E147" i="8"/>
  <c r="F161" i="8"/>
  <c r="J170" i="8"/>
  <c r="F177" i="8"/>
  <c r="E199" i="8"/>
  <c r="F205" i="8"/>
  <c r="F214" i="8"/>
  <c r="K218" i="8"/>
  <c r="J263" i="8"/>
  <c r="F294" i="8"/>
  <c r="J309" i="8"/>
  <c r="F337" i="8"/>
  <c r="D389" i="8"/>
  <c r="J364" i="8"/>
  <c r="J385" i="8"/>
  <c r="E396" i="8"/>
  <c r="E49" i="9"/>
  <c r="E50" i="9" s="1"/>
  <c r="E51" i="9" s="1"/>
  <c r="E94" i="9"/>
  <c r="K119" i="9"/>
  <c r="J140" i="9"/>
  <c r="J272" i="9"/>
  <c r="K272" i="9" s="1"/>
  <c r="G147" i="8"/>
  <c r="K225" i="8"/>
  <c r="K270" i="8"/>
  <c r="D295" i="8"/>
  <c r="P347" i="8"/>
  <c r="F396" i="8"/>
  <c r="K284" i="9"/>
  <c r="O102" i="8"/>
  <c r="O192" i="8"/>
  <c r="F196" i="8"/>
  <c r="K223" i="8"/>
  <c r="K117" i="9"/>
  <c r="J124" i="9"/>
  <c r="L242" i="8"/>
  <c r="F259" i="8"/>
  <c r="F292" i="8"/>
  <c r="G295" i="8"/>
  <c r="G389" i="8"/>
  <c r="F163" i="9"/>
  <c r="M246" i="9"/>
  <c r="P242" i="6"/>
  <c r="G295" i="6"/>
  <c r="F311" i="6"/>
  <c r="F341" i="6"/>
  <c r="F356" i="6"/>
  <c r="F365" i="6"/>
  <c r="F374" i="6"/>
  <c r="J385" i="6"/>
  <c r="D393" i="6"/>
  <c r="D147" i="7"/>
  <c r="J172" i="7"/>
  <c r="F179" i="7"/>
  <c r="D291" i="7"/>
  <c r="F266" i="7"/>
  <c r="K275" i="7"/>
  <c r="F320" i="7"/>
  <c r="F329" i="7"/>
  <c r="J373" i="7"/>
  <c r="F380" i="7"/>
  <c r="J393" i="7"/>
  <c r="F141" i="8"/>
  <c r="L147" i="8"/>
  <c r="O150" i="8"/>
  <c r="I196" i="8"/>
  <c r="M242" i="8"/>
  <c r="M250" i="8" s="1"/>
  <c r="F239" i="8"/>
  <c r="F335" i="8"/>
  <c r="F376" i="8"/>
  <c r="F186" i="9"/>
  <c r="J173" i="6"/>
  <c r="K177" i="6"/>
  <c r="F191" i="6"/>
  <c r="F194" i="6"/>
  <c r="J208" i="6"/>
  <c r="J224" i="6"/>
  <c r="J248" i="6"/>
  <c r="J273" i="6"/>
  <c r="J284" i="6"/>
  <c r="H295" i="6"/>
  <c r="M298" i="6"/>
  <c r="J331" i="6"/>
  <c r="K331" i="6" s="1"/>
  <c r="J341" i="6"/>
  <c r="J356" i="6"/>
  <c r="L389" i="6"/>
  <c r="J365" i="6"/>
  <c r="D49" i="7"/>
  <c r="M98" i="7"/>
  <c r="M102" i="7" s="1"/>
  <c r="J112" i="7"/>
  <c r="F161" i="7"/>
  <c r="F170" i="7"/>
  <c r="J179" i="7"/>
  <c r="H199" i="7"/>
  <c r="F228" i="7"/>
  <c r="E295" i="7"/>
  <c r="J304" i="7"/>
  <c r="F311" i="7"/>
  <c r="J320" i="7"/>
  <c r="F336" i="7"/>
  <c r="J338" i="7"/>
  <c r="O344" i="7"/>
  <c r="J371" i="7"/>
  <c r="K371" i="7" s="1"/>
  <c r="H42" i="8"/>
  <c r="H50" i="8" s="1"/>
  <c r="J107" i="8"/>
  <c r="F116" i="8"/>
  <c r="J125" i="8"/>
  <c r="F132" i="8"/>
  <c r="M147" i="8"/>
  <c r="J166" i="8"/>
  <c r="F173" i="8"/>
  <c r="F210" i="8"/>
  <c r="F266" i="8"/>
  <c r="J275" i="8"/>
  <c r="F305" i="8"/>
  <c r="F319" i="8"/>
  <c r="J335" i="8"/>
  <c r="F381" i="8"/>
  <c r="H101" i="9"/>
  <c r="J106" i="9"/>
  <c r="J115" i="9"/>
  <c r="J122" i="9"/>
  <c r="K149" i="9"/>
  <c r="F231" i="9"/>
  <c r="E340" i="9"/>
  <c r="K321" i="8"/>
  <c r="I340" i="9"/>
  <c r="O348" i="9"/>
  <c r="J233" i="6"/>
  <c r="E246" i="6"/>
  <c r="L249" i="6"/>
  <c r="F280" i="6"/>
  <c r="L295" i="6"/>
  <c r="O298" i="6"/>
  <c r="F320" i="6"/>
  <c r="J338" i="6"/>
  <c r="F381" i="6"/>
  <c r="F394" i="6"/>
  <c r="F396" i="6" s="1"/>
  <c r="J132" i="7"/>
  <c r="J144" i="7"/>
  <c r="N192" i="7"/>
  <c r="N200" i="7" s="1"/>
  <c r="J194" i="7"/>
  <c r="M242" i="7"/>
  <c r="F210" i="7"/>
  <c r="J219" i="7"/>
  <c r="J245" i="7"/>
  <c r="J255" i="7"/>
  <c r="F262" i="7"/>
  <c r="J271" i="7"/>
  <c r="J273" i="7"/>
  <c r="K277" i="7"/>
  <c r="G295" i="7"/>
  <c r="J311" i="7"/>
  <c r="J114" i="8"/>
  <c r="F139" i="8"/>
  <c r="J157" i="8"/>
  <c r="L192" i="8"/>
  <c r="L200" i="8" s="1"/>
  <c r="F180" i="8"/>
  <c r="J182" i="8"/>
  <c r="K182" i="8" s="1"/>
  <c r="N196" i="8"/>
  <c r="O199" i="8"/>
  <c r="K294" i="8"/>
  <c r="M389" i="8"/>
  <c r="E147" i="9"/>
  <c r="O192" i="9"/>
  <c r="N242" i="9"/>
  <c r="K275" i="9"/>
  <c r="K46" i="8"/>
  <c r="K50" i="8" s="1"/>
  <c r="I98" i="8"/>
  <c r="E192" i="8"/>
  <c r="E200" i="8" s="1"/>
  <c r="M192" i="8"/>
  <c r="N42" i="9"/>
  <c r="M49" i="9"/>
  <c r="M94" i="9"/>
  <c r="F280" i="7"/>
  <c r="F325" i="7"/>
  <c r="J334" i="7"/>
  <c r="K334" i="7" s="1"/>
  <c r="F356" i="7"/>
  <c r="J369" i="7"/>
  <c r="J378" i="7"/>
  <c r="K380" i="7"/>
  <c r="L46" i="8"/>
  <c r="L50" i="8" s="1"/>
  <c r="F130" i="8"/>
  <c r="E150" i="8"/>
  <c r="F171" i="8"/>
  <c r="F187" i="8"/>
  <c r="F235" i="8"/>
  <c r="J237" i="8"/>
  <c r="K282" i="8"/>
  <c r="J367" i="8"/>
  <c r="K367" i="8" s="1"/>
  <c r="F386" i="8"/>
  <c r="O42" i="9"/>
  <c r="K168" i="9"/>
  <c r="F182" i="9"/>
  <c r="F189" i="9"/>
  <c r="P199" i="9"/>
  <c r="P242" i="9"/>
  <c r="J308" i="9"/>
  <c r="J112" i="8"/>
  <c r="J121" i="8"/>
  <c r="J130" i="8"/>
  <c r="F137" i="8"/>
  <c r="F148" i="8"/>
  <c r="J171" i="8"/>
  <c r="J187" i="8"/>
  <c r="J235" i="8"/>
  <c r="K257" i="8"/>
  <c r="K379" i="8"/>
  <c r="J386" i="8"/>
  <c r="O143" i="9"/>
  <c r="I147" i="9"/>
  <c r="F175" i="9"/>
  <c r="J189" i="9"/>
  <c r="D242" i="9"/>
  <c r="D250" i="9" s="1"/>
  <c r="J339" i="9"/>
  <c r="P143" i="9"/>
  <c r="K117" i="10"/>
  <c r="J162" i="8"/>
  <c r="N291" i="9"/>
  <c r="F306" i="9"/>
  <c r="M246" i="6"/>
  <c r="E298" i="6"/>
  <c r="F305" i="6"/>
  <c r="J316" i="6"/>
  <c r="J361" i="6"/>
  <c r="N393" i="6"/>
  <c r="N396" i="6"/>
  <c r="N42" i="7"/>
  <c r="N50" i="7" s="1"/>
  <c r="L49" i="7"/>
  <c r="I94" i="7"/>
  <c r="I102" i="7" s="1"/>
  <c r="H101" i="7"/>
  <c r="D192" i="7"/>
  <c r="O295" i="7"/>
  <c r="F332" i="7"/>
  <c r="H396" i="7"/>
  <c r="D46" i="8"/>
  <c r="D50" i="8" s="1"/>
  <c r="D49" i="8"/>
  <c r="N98" i="8"/>
  <c r="N102" i="8" s="1"/>
  <c r="J119" i="8"/>
  <c r="F128" i="8"/>
  <c r="I150" i="8"/>
  <c r="F198" i="8"/>
  <c r="L249" i="8"/>
  <c r="H298" i="8"/>
  <c r="D393" i="8"/>
  <c r="F46" i="9"/>
  <c r="K141" i="9"/>
  <c r="J157" i="9"/>
  <c r="J164" i="9"/>
  <c r="O291" i="9"/>
  <c r="O299" i="9" s="1"/>
  <c r="J278" i="9"/>
  <c r="F290" i="9"/>
  <c r="J346" i="9"/>
  <c r="I347" i="9"/>
  <c r="F185" i="6"/>
  <c r="K187" i="6"/>
  <c r="M199" i="6"/>
  <c r="J220" i="6"/>
  <c r="K220" i="6" s="1"/>
  <c r="F229" i="6"/>
  <c r="E291" i="6"/>
  <c r="E299" i="6" s="1"/>
  <c r="G298" i="6"/>
  <c r="F303" i="6"/>
  <c r="F352" i="6"/>
  <c r="O393" i="6"/>
  <c r="O396" i="6"/>
  <c r="O42" i="7"/>
  <c r="O50" i="7" s="1"/>
  <c r="M49" i="7"/>
  <c r="J94" i="7"/>
  <c r="J102" i="7" s="1"/>
  <c r="I101" i="7"/>
  <c r="K115" i="7"/>
  <c r="D150" i="7"/>
  <c r="E192" i="7"/>
  <c r="E200" i="7" s="1"/>
  <c r="K287" i="7"/>
  <c r="J323" i="7"/>
  <c r="G389" i="7"/>
  <c r="G397" i="7" s="1"/>
  <c r="K356" i="7"/>
  <c r="E42" i="8"/>
  <c r="E50" i="8" s="1"/>
  <c r="O98" i="8"/>
  <c r="J110" i="8"/>
  <c r="L150" i="8"/>
  <c r="J262" i="8"/>
  <c r="I298" i="8"/>
  <c r="P344" i="8"/>
  <c r="F393" i="8"/>
  <c r="G46" i="9"/>
  <c r="O147" i="9"/>
  <c r="F162" i="9"/>
  <c r="M249" i="9"/>
  <c r="P291" i="9"/>
  <c r="P299" i="9" s="1"/>
  <c r="K290" i="9"/>
  <c r="K133" i="6"/>
  <c r="E196" i="6"/>
  <c r="N199" i="6"/>
  <c r="F285" i="6"/>
  <c r="H298" i="6"/>
  <c r="L340" i="6"/>
  <c r="L348" i="6" s="1"/>
  <c r="F312" i="6"/>
  <c r="G344" i="6"/>
  <c r="P396" i="6"/>
  <c r="D42" i="7"/>
  <c r="N49" i="7"/>
  <c r="K94" i="7"/>
  <c r="J101" i="7"/>
  <c r="L143" i="7"/>
  <c r="L151" i="7" s="1"/>
  <c r="F124" i="7"/>
  <c r="E150" i="7"/>
  <c r="F213" i="7"/>
  <c r="F220" i="7"/>
  <c r="F229" i="7"/>
  <c r="F238" i="7"/>
  <c r="F258" i="7"/>
  <c r="K269" i="7"/>
  <c r="D295" i="7"/>
  <c r="F305" i="7"/>
  <c r="F312" i="7"/>
  <c r="I344" i="7"/>
  <c r="M347" i="7"/>
  <c r="F381" i="7"/>
  <c r="L396" i="7"/>
  <c r="F46" i="8"/>
  <c r="F50" i="8" s="1"/>
  <c r="F49" i="8"/>
  <c r="D98" i="8"/>
  <c r="D102" i="8" s="1"/>
  <c r="D101" i="8"/>
  <c r="D143" i="8"/>
  <c r="F174" i="8"/>
  <c r="F240" i="8"/>
  <c r="F243" i="8"/>
  <c r="N291" i="8"/>
  <c r="N299" i="8" s="1"/>
  <c r="L298" i="8"/>
  <c r="F313" i="8"/>
  <c r="F320" i="8"/>
  <c r="F148" i="9"/>
  <c r="H192" i="9"/>
  <c r="I199" i="9"/>
  <c r="J198" i="9"/>
  <c r="K198" i="9" s="1"/>
  <c r="K213" i="9"/>
  <c r="K241" i="9"/>
  <c r="H393" i="9"/>
  <c r="I98" i="6"/>
  <c r="I102" i="6" s="1"/>
  <c r="F122" i="6"/>
  <c r="F183" i="6"/>
  <c r="L196" i="6"/>
  <c r="O199" i="6"/>
  <c r="J218" i="6"/>
  <c r="E249" i="6"/>
  <c r="H291" i="6"/>
  <c r="J293" i="6"/>
  <c r="J312" i="6"/>
  <c r="F332" i="6"/>
  <c r="J345" i="6"/>
  <c r="K345" i="6" s="1"/>
  <c r="M389" i="6"/>
  <c r="M397" i="6" s="1"/>
  <c r="J357" i="6"/>
  <c r="J366" i="6"/>
  <c r="K366" i="6" s="1"/>
  <c r="O49" i="7"/>
  <c r="L94" i="7"/>
  <c r="L102" i="7" s="1"/>
  <c r="K101" i="7"/>
  <c r="F133" i="7"/>
  <c r="F148" i="7"/>
  <c r="F171" i="7"/>
  <c r="J180" i="7"/>
  <c r="F187" i="7"/>
  <c r="F189" i="7"/>
  <c r="F195" i="7"/>
  <c r="J213" i="7"/>
  <c r="J220" i="7"/>
  <c r="J231" i="7"/>
  <c r="F256" i="7"/>
  <c r="F296" i="7"/>
  <c r="F298" i="7" s="1"/>
  <c r="F303" i="7"/>
  <c r="O340" i="7"/>
  <c r="O348" i="7" s="1"/>
  <c r="J312" i="7"/>
  <c r="K312" i="7" s="1"/>
  <c r="N347" i="7"/>
  <c r="F363" i="7"/>
  <c r="J372" i="7"/>
  <c r="K372" i="7" s="1"/>
  <c r="K374" i="7"/>
  <c r="J381" i="7"/>
  <c r="G42" i="8"/>
  <c r="G50" i="8" s="1"/>
  <c r="G49" i="8"/>
  <c r="E98" i="8"/>
  <c r="E101" i="8"/>
  <c r="E143" i="8"/>
  <c r="E151" i="8" s="1"/>
  <c r="J160" i="8"/>
  <c r="F183" i="8"/>
  <c r="J193" i="8"/>
  <c r="K193" i="8" s="1"/>
  <c r="J213" i="8"/>
  <c r="K213" i="8" s="1"/>
  <c r="F276" i="8"/>
  <c r="P340" i="8"/>
  <c r="J320" i="8"/>
  <c r="K320" i="8" s="1"/>
  <c r="E347" i="8"/>
  <c r="F375" i="8"/>
  <c r="I393" i="8"/>
  <c r="M242" i="9"/>
  <c r="F225" i="9"/>
  <c r="O249" i="9"/>
  <c r="H347" i="9"/>
  <c r="J376" i="9"/>
  <c r="I396" i="9"/>
  <c r="G42" i="10"/>
  <c r="D49" i="10"/>
  <c r="O98" i="10"/>
  <c r="G199" i="10"/>
  <c r="E340" i="10"/>
  <c r="F373" i="10"/>
  <c r="J390" i="10"/>
  <c r="F284" i="9"/>
  <c r="F338" i="9"/>
  <c r="M344" i="9"/>
  <c r="K385" i="9"/>
  <c r="I150" i="10"/>
  <c r="J159" i="10"/>
  <c r="J186" i="10"/>
  <c r="H242" i="10"/>
  <c r="H250" i="10" s="1"/>
  <c r="L249" i="10"/>
  <c r="L291" i="10"/>
  <c r="E298" i="10"/>
  <c r="H344" i="10"/>
  <c r="L396" i="9"/>
  <c r="F117" i="10"/>
  <c r="F135" i="10"/>
  <c r="E147" i="10"/>
  <c r="M291" i="10"/>
  <c r="M299" i="10" s="1"/>
  <c r="F293" i="10"/>
  <c r="G298" i="10"/>
  <c r="H340" i="10"/>
  <c r="F317" i="10"/>
  <c r="F319" i="10"/>
  <c r="I344" i="10"/>
  <c r="L393" i="10"/>
  <c r="J211" i="8"/>
  <c r="K224" i="8"/>
  <c r="K226" i="8"/>
  <c r="J233" i="8"/>
  <c r="E246" i="8"/>
  <c r="F264" i="8"/>
  <c r="J336" i="8"/>
  <c r="F354" i="8"/>
  <c r="F356" i="8"/>
  <c r="F42" i="9"/>
  <c r="F50" i="9" s="1"/>
  <c r="D46" i="9"/>
  <c r="O98" i="9"/>
  <c r="J130" i="9"/>
  <c r="J161" i="9"/>
  <c r="F172" i="9"/>
  <c r="J195" i="9"/>
  <c r="K195" i="9" s="1"/>
  <c r="J228" i="9"/>
  <c r="J235" i="9"/>
  <c r="J257" i="9"/>
  <c r="F266" i="9"/>
  <c r="F307" i="9"/>
  <c r="F318" i="9"/>
  <c r="J336" i="9"/>
  <c r="F363" i="9"/>
  <c r="J374" i="9"/>
  <c r="F391" i="9"/>
  <c r="J42" i="10"/>
  <c r="J50" i="10" s="1"/>
  <c r="I46" i="10"/>
  <c r="G49" i="10"/>
  <c r="F94" i="10"/>
  <c r="F115" i="10"/>
  <c r="J157" i="10"/>
  <c r="F182" i="10"/>
  <c r="J184" i="10"/>
  <c r="L199" i="10"/>
  <c r="L242" i="10"/>
  <c r="N291" i="10"/>
  <c r="F259" i="10"/>
  <c r="J263" i="10"/>
  <c r="F281" i="10"/>
  <c r="H298" i="10"/>
  <c r="F324" i="10"/>
  <c r="F338" i="10"/>
  <c r="J341" i="10"/>
  <c r="K341" i="10" s="1"/>
  <c r="F358" i="10"/>
  <c r="F367" i="10"/>
  <c r="J371" i="10"/>
  <c r="F271" i="8"/>
  <c r="F282" i="8"/>
  <c r="F325" i="8"/>
  <c r="F363" i="8"/>
  <c r="I396" i="8"/>
  <c r="G42" i="9"/>
  <c r="G50" i="9" s="1"/>
  <c r="D49" i="9"/>
  <c r="D94" i="9"/>
  <c r="D98" i="9"/>
  <c r="K114" i="9"/>
  <c r="J183" i="9"/>
  <c r="K183" i="9" s="1"/>
  <c r="F193" i="9"/>
  <c r="H199" i="9"/>
  <c r="F217" i="9"/>
  <c r="F224" i="9"/>
  <c r="J266" i="9"/>
  <c r="K266" i="9" s="1"/>
  <c r="F282" i="9"/>
  <c r="J307" i="9"/>
  <c r="P344" i="9"/>
  <c r="G347" i="9"/>
  <c r="J363" i="9"/>
  <c r="F372" i="9"/>
  <c r="K42" i="10"/>
  <c r="G94" i="10"/>
  <c r="G102" i="10" s="1"/>
  <c r="J166" i="10"/>
  <c r="J182" i="10"/>
  <c r="F191" i="10"/>
  <c r="M199" i="10"/>
  <c r="F212" i="10"/>
  <c r="F228" i="10"/>
  <c r="D246" i="10"/>
  <c r="O291" i="10"/>
  <c r="O299" i="10" s="1"/>
  <c r="F290" i="10"/>
  <c r="F296" i="10"/>
  <c r="F298" i="10" s="1"/>
  <c r="J303" i="10"/>
  <c r="K303" i="10" s="1"/>
  <c r="J310" i="10"/>
  <c r="J324" i="10"/>
  <c r="L344" i="10"/>
  <c r="N347" i="10"/>
  <c r="K322" i="9"/>
  <c r="K324" i="9"/>
  <c r="D389" i="9"/>
  <c r="F245" i="10"/>
  <c r="P291" i="10"/>
  <c r="P299" i="10" s="1"/>
  <c r="K274" i="10"/>
  <c r="K283" i="10"/>
  <c r="L340" i="10"/>
  <c r="J360" i="10"/>
  <c r="F387" i="10"/>
  <c r="K156" i="9"/>
  <c r="I196" i="9"/>
  <c r="J217" i="9"/>
  <c r="K217" i="9" s="1"/>
  <c r="F280" i="9"/>
  <c r="F289" i="9"/>
  <c r="M295" i="9"/>
  <c r="H298" i="9"/>
  <c r="F305" i="9"/>
  <c r="E344" i="9"/>
  <c r="N393" i="9"/>
  <c r="P396" i="9"/>
  <c r="F101" i="10"/>
  <c r="J145" i="10"/>
  <c r="O199" i="10"/>
  <c r="J290" i="10"/>
  <c r="P347" i="10"/>
  <c r="J376" i="10"/>
  <c r="P393" i="10"/>
  <c r="I147" i="8"/>
  <c r="P192" i="8"/>
  <c r="P200" i="8" s="1"/>
  <c r="F159" i="8"/>
  <c r="D199" i="8"/>
  <c r="J209" i="8"/>
  <c r="F216" i="8"/>
  <c r="O291" i="8"/>
  <c r="O299" i="8" s="1"/>
  <c r="O295" i="8"/>
  <c r="J307" i="8"/>
  <c r="K307" i="8" s="1"/>
  <c r="J316" i="8"/>
  <c r="F323" i="8"/>
  <c r="J332" i="8"/>
  <c r="K332" i="8" s="1"/>
  <c r="J334" i="8"/>
  <c r="G347" i="8"/>
  <c r="J352" i="8"/>
  <c r="K352" i="8" s="1"/>
  <c r="F379" i="8"/>
  <c r="F388" i="8"/>
  <c r="G102" i="9"/>
  <c r="F108" i="9"/>
  <c r="F135" i="9"/>
  <c r="J159" i="9"/>
  <c r="K159" i="9" s="1"/>
  <c r="J188" i="9"/>
  <c r="F215" i="9"/>
  <c r="F233" i="9"/>
  <c r="K237" i="9"/>
  <c r="G246" i="9"/>
  <c r="F245" i="9"/>
  <c r="J248" i="9"/>
  <c r="F264" i="9"/>
  <c r="F271" i="9"/>
  <c r="J280" i="9"/>
  <c r="J289" i="9"/>
  <c r="N295" i="9"/>
  <c r="J305" i="9"/>
  <c r="J334" i="9"/>
  <c r="F342" i="9"/>
  <c r="L347" i="9"/>
  <c r="F352" i="9"/>
  <c r="F359" i="9"/>
  <c r="F388" i="9"/>
  <c r="J142" i="10"/>
  <c r="K142" i="10" s="1"/>
  <c r="L150" i="10"/>
  <c r="J155" i="10"/>
  <c r="F180" i="10"/>
  <c r="F189" i="10"/>
  <c r="P199" i="10"/>
  <c r="P242" i="10"/>
  <c r="F217" i="10"/>
  <c r="J219" i="10"/>
  <c r="J257" i="10"/>
  <c r="N340" i="10"/>
  <c r="F336" i="10"/>
  <c r="O344" i="10"/>
  <c r="F354" i="10"/>
  <c r="J385" i="10"/>
  <c r="K309" i="8"/>
  <c r="J323" i="8"/>
  <c r="K323" i="8" s="1"/>
  <c r="J345" i="8"/>
  <c r="F352" i="8"/>
  <c r="K50" i="9"/>
  <c r="H102" i="9"/>
  <c r="E143" i="9"/>
  <c r="J108" i="9"/>
  <c r="K108" i="9" s="1"/>
  <c r="F159" i="9"/>
  <c r="F170" i="9"/>
  <c r="F177" i="9"/>
  <c r="K226" i="9"/>
  <c r="J264" i="9"/>
  <c r="P295" i="9"/>
  <c r="F325" i="9"/>
  <c r="J342" i="9"/>
  <c r="H389" i="9"/>
  <c r="J359" i="9"/>
  <c r="F386" i="9"/>
  <c r="F122" i="10"/>
  <c r="J180" i="10"/>
  <c r="J189" i="10"/>
  <c r="P196" i="10"/>
  <c r="J217" i="10"/>
  <c r="F226" i="10"/>
  <c r="F248" i="10"/>
  <c r="F266" i="10"/>
  <c r="F288" i="10"/>
  <c r="O340" i="10"/>
  <c r="K315" i="10"/>
  <c r="D389" i="10"/>
  <c r="D397" i="10" s="1"/>
  <c r="K378" i="10"/>
  <c r="F314" i="9"/>
  <c r="F395" i="9"/>
  <c r="K115" i="10"/>
  <c r="J226" i="10"/>
  <c r="J235" i="10"/>
  <c r="K235" i="10" s="1"/>
  <c r="J245" i="10"/>
  <c r="K245" i="10" s="1"/>
  <c r="J255" i="10"/>
  <c r="K259" i="10"/>
  <c r="J277" i="10"/>
  <c r="J288" i="10"/>
  <c r="D295" i="10"/>
  <c r="P340" i="10"/>
  <c r="P348" i="10" s="1"/>
  <c r="F313" i="10"/>
  <c r="F327" i="10"/>
  <c r="E389" i="10"/>
  <c r="F145" i="9"/>
  <c r="J231" i="9"/>
  <c r="N249" i="9"/>
  <c r="J262" i="9"/>
  <c r="F278" i="9"/>
  <c r="F321" i="9"/>
  <c r="L389" i="9"/>
  <c r="F357" i="9"/>
  <c r="J377" i="9"/>
  <c r="J386" i="9"/>
  <c r="H396" i="9"/>
  <c r="K140" i="10"/>
  <c r="F169" i="10"/>
  <c r="F198" i="10"/>
  <c r="F206" i="10"/>
  <c r="F240" i="10"/>
  <c r="G389" i="10"/>
  <c r="K356" i="10"/>
  <c r="N396" i="10"/>
  <c r="J357" i="9"/>
  <c r="E46" i="10"/>
  <c r="K101" i="10"/>
  <c r="L143" i="10"/>
  <c r="J111" i="10"/>
  <c r="J136" i="10"/>
  <c r="J169" i="10"/>
  <c r="J198" i="10"/>
  <c r="J240" i="10"/>
  <c r="J352" i="10"/>
  <c r="F391" i="10"/>
  <c r="K327" i="10"/>
  <c r="P396" i="10"/>
  <c r="F258" i="9"/>
  <c r="G295" i="9"/>
  <c r="O389" i="9"/>
  <c r="D393" i="9"/>
  <c r="H42" i="10"/>
  <c r="D94" i="10"/>
  <c r="P192" i="10"/>
  <c r="J195" i="10"/>
  <c r="N246" i="10"/>
  <c r="N250" i="10" s="1"/>
  <c r="F262" i="10"/>
  <c r="F311" i="10"/>
  <c r="F325" i="10"/>
  <c r="F339" i="10"/>
  <c r="L389" i="10"/>
  <c r="L397" i="10" s="1"/>
  <c r="F370" i="10"/>
  <c r="J384" i="8"/>
  <c r="E393" i="8"/>
  <c r="N49" i="9"/>
  <c r="N94" i="9"/>
  <c r="N102" i="9" s="1"/>
  <c r="K101" i="9"/>
  <c r="F111" i="9"/>
  <c r="F122" i="9"/>
  <c r="J131" i="9"/>
  <c r="K131" i="9" s="1"/>
  <c r="K166" i="9"/>
  <c r="F173" i="9"/>
  <c r="J184" i="9"/>
  <c r="F194" i="9"/>
  <c r="F196" i="9" s="1"/>
  <c r="J229" i="9"/>
  <c r="K229" i="9" s="1"/>
  <c r="F276" i="9"/>
  <c r="F283" i="9"/>
  <c r="K323" i="9"/>
  <c r="F328" i="9"/>
  <c r="K332" i="9"/>
  <c r="F337" i="9"/>
  <c r="F346" i="9"/>
  <c r="P389" i="9"/>
  <c r="F355" i="9"/>
  <c r="J364" i="9"/>
  <c r="E393" i="9"/>
  <c r="E397" i="9" s="1"/>
  <c r="I42" i="10"/>
  <c r="E94" i="10"/>
  <c r="F134" i="10"/>
  <c r="F229" i="10"/>
  <c r="J231" i="10"/>
  <c r="F238" i="10"/>
  <c r="O246" i="10"/>
  <c r="G295" i="10"/>
  <c r="J297" i="10"/>
  <c r="J304" i="10"/>
  <c r="K304" i="10" s="1"/>
  <c r="J311" i="10"/>
  <c r="J325" i="10"/>
  <c r="J345" i="10"/>
  <c r="J347" i="10" s="1"/>
  <c r="M389" i="10"/>
  <c r="M397" i="10" s="1"/>
  <c r="J361" i="10"/>
  <c r="F368" i="10"/>
  <c r="J372" i="10"/>
  <c r="J173" i="9"/>
  <c r="F207" i="9"/>
  <c r="K215" i="9"/>
  <c r="F227" i="9"/>
  <c r="F256" i="9"/>
  <c r="J276" i="9"/>
  <c r="L298" i="9"/>
  <c r="F317" i="9"/>
  <c r="J328" i="9"/>
  <c r="J355" i="9"/>
  <c r="K355" i="9" s="1"/>
  <c r="F380" i="9"/>
  <c r="K384" i="9"/>
  <c r="G393" i="9"/>
  <c r="J109" i="10"/>
  <c r="K109" i="10" s="1"/>
  <c r="J134" i="10"/>
  <c r="J193" i="10"/>
  <c r="J229" i="10"/>
  <c r="J238" i="10"/>
  <c r="G246" i="10"/>
  <c r="K286" i="10"/>
  <c r="J292" i="10"/>
  <c r="N389" i="10"/>
  <c r="D143" i="10"/>
  <c r="F295" i="10"/>
  <c r="J335" i="9"/>
  <c r="L42" i="10"/>
  <c r="K46" i="10"/>
  <c r="H94" i="10"/>
  <c r="J118" i="10"/>
  <c r="K118" i="10" s="1"/>
  <c r="K127" i="10"/>
  <c r="J269" i="10"/>
  <c r="P389" i="10"/>
  <c r="P397" i="10" s="1"/>
  <c r="F377" i="10"/>
  <c r="K353" i="9"/>
  <c r="H147" i="10"/>
  <c r="J174" i="10"/>
  <c r="M196" i="10"/>
  <c r="J316" i="10"/>
  <c r="O347" i="10"/>
  <c r="K241" i="8"/>
  <c r="K263" i="8"/>
  <c r="F268" i="8"/>
  <c r="K281" i="8"/>
  <c r="D340" i="8"/>
  <c r="D348" i="8" s="1"/>
  <c r="F331" i="8"/>
  <c r="G344" i="8"/>
  <c r="F343" i="8"/>
  <c r="F346" i="8"/>
  <c r="F347" i="8" s="1"/>
  <c r="J362" i="8"/>
  <c r="F387" i="8"/>
  <c r="L393" i="8"/>
  <c r="O396" i="8"/>
  <c r="H46" i="9"/>
  <c r="J109" i="9"/>
  <c r="F118" i="9"/>
  <c r="F136" i="9"/>
  <c r="M196" i="9"/>
  <c r="L199" i="9"/>
  <c r="L200" i="9" s="1"/>
  <c r="J216" i="9"/>
  <c r="K216" i="9" s="1"/>
  <c r="J223" i="9"/>
  <c r="F232" i="9"/>
  <c r="F254" i="9"/>
  <c r="J326" i="9"/>
  <c r="I344" i="9"/>
  <c r="F353" i="9"/>
  <c r="J360" i="9"/>
  <c r="K366" i="9"/>
  <c r="F369" i="9"/>
  <c r="F378" i="9"/>
  <c r="M393" i="9"/>
  <c r="J94" i="10"/>
  <c r="H143" i="10"/>
  <c r="J123" i="10"/>
  <c r="F144" i="10"/>
  <c r="L147" i="10"/>
  <c r="J190" i="10"/>
  <c r="N196" i="10"/>
  <c r="H199" i="10"/>
  <c r="J227" i="10"/>
  <c r="K262" i="10"/>
  <c r="K271" i="10"/>
  <c r="H295" i="10"/>
  <c r="F314" i="10"/>
  <c r="F382" i="10"/>
  <c r="F392" i="10"/>
  <c r="F215" i="8"/>
  <c r="J217" i="8"/>
  <c r="F228" i="8"/>
  <c r="F230" i="8"/>
  <c r="J268" i="8"/>
  <c r="F277" i="8"/>
  <c r="J279" i="8"/>
  <c r="K279" i="8" s="1"/>
  <c r="J288" i="8"/>
  <c r="D298" i="8"/>
  <c r="E340" i="8"/>
  <c r="E348" i="8" s="1"/>
  <c r="J331" i="8"/>
  <c r="H344" i="8"/>
  <c r="J387" i="8"/>
  <c r="P396" i="8"/>
  <c r="I46" i="9"/>
  <c r="I50" i="9" s="1"/>
  <c r="F134" i="9"/>
  <c r="J136" i="9"/>
  <c r="F149" i="9"/>
  <c r="F158" i="9"/>
  <c r="F165" i="9"/>
  <c r="J187" i="9"/>
  <c r="K227" i="9"/>
  <c r="J232" i="9"/>
  <c r="J254" i="9"/>
  <c r="F279" i="9"/>
  <c r="F288" i="9"/>
  <c r="F304" i="9"/>
  <c r="K310" i="9"/>
  <c r="K312" i="9"/>
  <c r="J315" i="9"/>
  <c r="J333" i="9"/>
  <c r="K333" i="9" s="1"/>
  <c r="K362" i="9"/>
  <c r="J369" i="9"/>
  <c r="K373" i="9"/>
  <c r="J378" i="9"/>
  <c r="K378" i="9" s="1"/>
  <c r="F387" i="9"/>
  <c r="K94" i="10"/>
  <c r="K102" i="10" s="1"/>
  <c r="I143" i="10"/>
  <c r="F123" i="10"/>
  <c r="K146" i="10"/>
  <c r="F170" i="10"/>
  <c r="O196" i="10"/>
  <c r="O200" i="10" s="1"/>
  <c r="F241" i="10"/>
  <c r="D249" i="10"/>
  <c r="D291" i="10"/>
  <c r="D299" i="10" s="1"/>
  <c r="J256" i="10"/>
  <c r="F267" i="10"/>
  <c r="J278" i="10"/>
  <c r="F289" i="10"/>
  <c r="J314" i="10"/>
  <c r="F321" i="10"/>
  <c r="F328" i="10"/>
  <c r="J330" i="10"/>
  <c r="F364" i="10"/>
  <c r="K368" i="10"/>
  <c r="J375" i="10"/>
  <c r="J392" i="10"/>
  <c r="J46" i="9"/>
  <c r="J50" i="9" s="1"/>
  <c r="I98" i="9"/>
  <c r="I102" i="9" s="1"/>
  <c r="F125" i="9"/>
  <c r="K191" i="9"/>
  <c r="L242" i="9"/>
  <c r="F324" i="9"/>
  <c r="F331" i="9"/>
  <c r="M389" i="9"/>
  <c r="M397" i="9" s="1"/>
  <c r="O393" i="9"/>
  <c r="D42" i="10"/>
  <c r="L94" i="10"/>
  <c r="L102" i="10" s="1"/>
  <c r="N192" i="10"/>
  <c r="F207" i="10"/>
  <c r="E291" i="10"/>
  <c r="P295" i="10"/>
  <c r="J364" i="10"/>
  <c r="F237" i="8"/>
  <c r="F297" i="8"/>
  <c r="J304" i="8"/>
  <c r="J306" i="8"/>
  <c r="F329" i="8"/>
  <c r="L344" i="8"/>
  <c r="J376" i="8"/>
  <c r="O393" i="8"/>
  <c r="J98" i="9"/>
  <c r="J107" i="9"/>
  <c r="J116" i="9"/>
  <c r="D147" i="9"/>
  <c r="F156" i="9"/>
  <c r="O199" i="9"/>
  <c r="F297" i="9"/>
  <c r="J331" i="9"/>
  <c r="J341" i="9"/>
  <c r="P393" i="9"/>
  <c r="F394" i="9"/>
  <c r="F396" i="9" s="1"/>
  <c r="M94" i="10"/>
  <c r="N147" i="10"/>
  <c r="J179" i="10"/>
  <c r="E199" i="10"/>
  <c r="D242" i="10"/>
  <c r="J209" i="10"/>
  <c r="J216" i="10"/>
  <c r="L246" i="10"/>
  <c r="G249" i="10"/>
  <c r="F254" i="10"/>
  <c r="F276" i="10"/>
  <c r="F285" i="10"/>
  <c r="J328" i="10"/>
  <c r="D344" i="10"/>
  <c r="F346" i="10"/>
  <c r="F347" i="10" s="1"/>
  <c r="E393" i="10"/>
  <c r="J130" i="10"/>
  <c r="K130" i="10" s="1"/>
  <c r="F168" i="10"/>
  <c r="E196" i="10"/>
  <c r="F197" i="10"/>
  <c r="F199" i="10" s="1"/>
  <c r="J225" i="10"/>
  <c r="J247" i="10"/>
  <c r="H291" i="10"/>
  <c r="H299" i="10" s="1"/>
  <c r="J265" i="10"/>
  <c r="J276" i="10"/>
  <c r="F283" i="10"/>
  <c r="J287" i="10"/>
  <c r="E295" i="10"/>
  <c r="D340" i="10"/>
  <c r="F312" i="10"/>
  <c r="F326" i="10"/>
  <c r="E344" i="10"/>
  <c r="F343" i="10"/>
  <c r="F344" i="10" s="1"/>
  <c r="J373" i="10"/>
  <c r="G393" i="10"/>
  <c r="N150" i="2"/>
  <c r="K119" i="2"/>
  <c r="K161" i="2"/>
  <c r="K139" i="2"/>
  <c r="K328" i="2"/>
  <c r="K110" i="2"/>
  <c r="K128" i="2"/>
  <c r="K219" i="2"/>
  <c r="E297" i="2"/>
  <c r="K319" i="2"/>
  <c r="K117" i="2"/>
  <c r="K159" i="2"/>
  <c r="K137" i="2"/>
  <c r="K145" i="2"/>
  <c r="K177" i="2"/>
  <c r="K243" i="2"/>
  <c r="K260" i="2"/>
  <c r="K166" i="2"/>
  <c r="I297" i="2"/>
  <c r="K126" i="2"/>
  <c r="F146" i="2"/>
  <c r="L297" i="2"/>
  <c r="N101" i="2"/>
  <c r="K115" i="2"/>
  <c r="K197" i="2"/>
  <c r="K226" i="2"/>
  <c r="O101" i="2"/>
  <c r="K143" i="2"/>
  <c r="J146" i="2"/>
  <c r="K175" i="2"/>
  <c r="K267" i="2"/>
  <c r="N297" i="2"/>
  <c r="K331" i="2"/>
  <c r="M150" i="2"/>
  <c r="D49" i="2"/>
  <c r="D101" i="2"/>
  <c r="K131" i="2"/>
  <c r="K155" i="2"/>
  <c r="E49" i="2"/>
  <c r="E101" i="2"/>
  <c r="K113" i="2"/>
  <c r="K162" i="2"/>
  <c r="K204" i="2"/>
  <c r="K233" i="2"/>
  <c r="F49" i="2"/>
  <c r="F101" i="2"/>
  <c r="J101" i="2"/>
  <c r="K122" i="2"/>
  <c r="K140" i="2"/>
  <c r="K279" i="2"/>
  <c r="G49" i="2"/>
  <c r="G101" i="2"/>
  <c r="K101" i="2"/>
  <c r="K129" i="2"/>
  <c r="K238" i="2"/>
  <c r="D248" i="2"/>
  <c r="H49" i="2"/>
  <c r="H101" i="2"/>
  <c r="K180" i="2"/>
  <c r="K231" i="2"/>
  <c r="E248" i="2"/>
  <c r="K272" i="2"/>
  <c r="K304" i="2"/>
  <c r="I49" i="2"/>
  <c r="I50" i="2" s="1"/>
  <c r="I101" i="2"/>
  <c r="K178" i="2"/>
  <c r="J49" i="2"/>
  <c r="K107" i="2"/>
  <c r="K138" i="2"/>
  <c r="M199" i="2"/>
  <c r="J247" i="2"/>
  <c r="K245" i="2"/>
  <c r="K247" i="2" s="1"/>
  <c r="K277" i="2"/>
  <c r="K49" i="2"/>
  <c r="K127" i="2"/>
  <c r="K158" i="2"/>
  <c r="K189" i="2"/>
  <c r="N199" i="2"/>
  <c r="K216" i="2"/>
  <c r="L49" i="2"/>
  <c r="L101" i="2"/>
  <c r="K116" i="2"/>
  <c r="K284" i="2"/>
  <c r="M49" i="2"/>
  <c r="M101" i="2"/>
  <c r="K144" i="2"/>
  <c r="K147" i="2"/>
  <c r="K149" i="2" s="1"/>
  <c r="J149" i="2"/>
  <c r="F240" i="2"/>
  <c r="N49" i="2"/>
  <c r="N50" i="2" s="1"/>
  <c r="K105" i="2"/>
  <c r="K125" i="2"/>
  <c r="K156" i="2"/>
  <c r="K187" i="2"/>
  <c r="N248" i="2"/>
  <c r="K307" i="2"/>
  <c r="P346" i="2"/>
  <c r="O49" i="2"/>
  <c r="K134" i="2"/>
  <c r="K205" i="2"/>
  <c r="K214" i="2"/>
  <c r="K114" i="2"/>
  <c r="K141" i="2"/>
  <c r="K255" i="2"/>
  <c r="K280" i="2"/>
  <c r="K282" i="2"/>
  <c r="K316" i="2"/>
  <c r="H142" i="2"/>
  <c r="H150" i="2" s="1"/>
  <c r="F166" i="2"/>
  <c r="K225" i="2"/>
  <c r="K290" i="2"/>
  <c r="J292" i="2"/>
  <c r="P338" i="2"/>
  <c r="K337" i="2"/>
  <c r="E346" i="2"/>
  <c r="K368" i="2"/>
  <c r="F377" i="2"/>
  <c r="J386" i="2"/>
  <c r="F394" i="2"/>
  <c r="F12" i="3"/>
  <c r="I142" i="2"/>
  <c r="I150" i="2" s="1"/>
  <c r="J184" i="2"/>
  <c r="F196" i="2"/>
  <c r="F198" i="2" s="1"/>
  <c r="K208" i="2"/>
  <c r="J223" i="2"/>
  <c r="H244" i="2"/>
  <c r="H248" i="2" s="1"/>
  <c r="K335" i="2"/>
  <c r="D346" i="2"/>
  <c r="K377" i="2"/>
  <c r="J102" i="4"/>
  <c r="I244" i="2"/>
  <c r="I248" i="2" s="1"/>
  <c r="F241" i="2"/>
  <c r="F244" i="2" s="1"/>
  <c r="K295" i="2"/>
  <c r="K327" i="2"/>
  <c r="G346" i="2"/>
  <c r="K355" i="2"/>
  <c r="H12" i="3"/>
  <c r="K102" i="4"/>
  <c r="K118" i="2"/>
  <c r="K130" i="2"/>
  <c r="H191" i="2"/>
  <c r="H199" i="2" s="1"/>
  <c r="F161" i="2"/>
  <c r="F191" i="2" s="1"/>
  <c r="K173" i="2"/>
  <c r="K186" i="2"/>
  <c r="J192" i="2"/>
  <c r="J210" i="2"/>
  <c r="J240" i="2" s="1"/>
  <c r="K229" i="2"/>
  <c r="J241" i="2"/>
  <c r="K270" i="2"/>
  <c r="J274" i="2"/>
  <c r="K278" i="2"/>
  <c r="K329" i="2"/>
  <c r="H346" i="2"/>
  <c r="K353" i="2"/>
  <c r="L142" i="2"/>
  <c r="L150" i="2" s="1"/>
  <c r="I191" i="2"/>
  <c r="I199" i="2" s="1"/>
  <c r="K188" i="2"/>
  <c r="K212" i="2"/>
  <c r="J253" i="2"/>
  <c r="K333" i="2"/>
  <c r="M142" i="2"/>
  <c r="J154" i="2"/>
  <c r="J196" i="2"/>
  <c r="F205" i="2"/>
  <c r="L244" i="2"/>
  <c r="K305" i="2"/>
  <c r="K317" i="2"/>
  <c r="J323" i="2"/>
  <c r="K325" i="2"/>
  <c r="J351" i="2"/>
  <c r="K111" i="4"/>
  <c r="K286" i="2"/>
  <c r="K301" i="2"/>
  <c r="K313" i="2"/>
  <c r="I342" i="2"/>
  <c r="I346" i="2" s="1"/>
  <c r="J340" i="2"/>
  <c r="J345" i="2"/>
  <c r="K364" i="2"/>
  <c r="D395" i="2"/>
  <c r="K120" i="2"/>
  <c r="L191" i="2"/>
  <c r="L199" i="2" s="1"/>
  <c r="K168" i="2"/>
  <c r="K190" i="2"/>
  <c r="K194" i="2"/>
  <c r="L240" i="2"/>
  <c r="K235" i="2"/>
  <c r="M289" i="2"/>
  <c r="M297" i="2" s="1"/>
  <c r="K311" i="2"/>
  <c r="O346" i="2"/>
  <c r="D102" i="4"/>
  <c r="J106" i="2"/>
  <c r="K132" i="2"/>
  <c r="F105" i="2"/>
  <c r="P142" i="2"/>
  <c r="P150" i="2" s="1"/>
  <c r="K179" i="2"/>
  <c r="M240" i="2"/>
  <c r="M248" i="2" s="1"/>
  <c r="K218" i="2"/>
  <c r="K309" i="2"/>
  <c r="K321" i="2"/>
  <c r="M387" i="2"/>
  <c r="M395" i="2" s="1"/>
  <c r="J358" i="2"/>
  <c r="J362" i="2"/>
  <c r="K380" i="2"/>
  <c r="G395" i="2"/>
  <c r="N12" i="3"/>
  <c r="E102" i="4"/>
  <c r="N240" i="2"/>
  <c r="K246" i="2"/>
  <c r="K259" i="2"/>
  <c r="J263" i="2"/>
  <c r="G338" i="2"/>
  <c r="F391" i="2"/>
  <c r="K390" i="2"/>
  <c r="H395" i="2"/>
  <c r="K132" i="4"/>
  <c r="K108" i="2"/>
  <c r="E146" i="2"/>
  <c r="E150" i="2" s="1"/>
  <c r="G150" i="2"/>
  <c r="O191" i="2"/>
  <c r="O199" i="2" s="1"/>
  <c r="O240" i="2"/>
  <c r="O248" i="2" s="1"/>
  <c r="D297" i="2"/>
  <c r="O342" i="2"/>
  <c r="O387" i="2"/>
  <c r="K369" i="2"/>
  <c r="I12" i="3"/>
  <c r="P191" i="2"/>
  <c r="P198" i="2"/>
  <c r="P240" i="2"/>
  <c r="P248" i="2" s="1"/>
  <c r="K220" i="2"/>
  <c r="K261" i="2"/>
  <c r="K265" i="2"/>
  <c r="H293" i="2"/>
  <c r="H297" i="2" s="1"/>
  <c r="J291" i="2"/>
  <c r="P387" i="2"/>
  <c r="P395" i="2" s="1"/>
  <c r="K360" i="2"/>
  <c r="K378" i="2"/>
  <c r="K388" i="2"/>
  <c r="J391" i="2"/>
  <c r="K12" i="3"/>
  <c r="K123" i="4"/>
  <c r="K148" i="2"/>
  <c r="K163" i="2"/>
  <c r="K207" i="2"/>
  <c r="J224" i="2"/>
  <c r="F277" i="2"/>
  <c r="G296" i="2"/>
  <c r="G297" i="2" s="1"/>
  <c r="M12" i="3"/>
  <c r="E50" i="4"/>
  <c r="K137" i="4"/>
  <c r="K172" i="2"/>
  <c r="K330" i="2"/>
  <c r="K354" i="2"/>
  <c r="K130" i="4"/>
  <c r="G244" i="2"/>
  <c r="G289" i="2"/>
  <c r="F304" i="2"/>
  <c r="F316" i="2"/>
  <c r="K334" i="2"/>
  <c r="K336" i="2"/>
  <c r="E387" i="2"/>
  <c r="E395" i="2" s="1"/>
  <c r="K112" i="2"/>
  <c r="K124" i="2"/>
  <c r="K136" i="2"/>
  <c r="K165" i="2"/>
  <c r="K174" i="2"/>
  <c r="F178" i="2"/>
  <c r="K185" i="2"/>
  <c r="G195" i="2"/>
  <c r="F197" i="2"/>
  <c r="K209" i="2"/>
  <c r="J211" i="2"/>
  <c r="F217" i="2"/>
  <c r="K228" i="2"/>
  <c r="K242" i="2"/>
  <c r="K252" i="2"/>
  <c r="J273" i="2"/>
  <c r="J294" i="2"/>
  <c r="K341" i="2"/>
  <c r="F350" i="2"/>
  <c r="F365" i="2"/>
  <c r="K367" i="2"/>
  <c r="K376" i="2"/>
  <c r="K385" i="2"/>
  <c r="K176" i="2"/>
  <c r="K213" i="2"/>
  <c r="K215" i="2"/>
  <c r="F238" i="2"/>
  <c r="K254" i="2"/>
  <c r="K275" i="2"/>
  <c r="K306" i="2"/>
  <c r="K318" i="2"/>
  <c r="J326" i="2"/>
  <c r="G387" i="2"/>
  <c r="K352" i="2"/>
  <c r="J365" i="2"/>
  <c r="J12" i="3"/>
  <c r="L13" i="3" s="1"/>
  <c r="K167" i="2"/>
  <c r="F180" i="2"/>
  <c r="G191" i="2"/>
  <c r="G199" i="2" s="1"/>
  <c r="G240" i="2"/>
  <c r="J287" i="2"/>
  <c r="J302" i="2"/>
  <c r="J314" i="2"/>
  <c r="K339" i="2"/>
  <c r="J342" i="2"/>
  <c r="K344" i="2"/>
  <c r="J350" i="2"/>
  <c r="K232" i="2"/>
  <c r="H240" i="2"/>
  <c r="F245" i="2"/>
  <c r="F247" i="2" s="1"/>
  <c r="F248" i="2" s="1"/>
  <c r="K283" i="2"/>
  <c r="K310" i="2"/>
  <c r="K322" i="2"/>
  <c r="F342" i="2"/>
  <c r="J374" i="2"/>
  <c r="K381" i="2"/>
  <c r="L395" i="2"/>
  <c r="N13" i="3"/>
  <c r="J234" i="2"/>
  <c r="G247" i="2"/>
  <c r="G248" i="2" s="1"/>
  <c r="L342" i="2"/>
  <c r="L346" i="2" s="1"/>
  <c r="O289" i="2"/>
  <c r="M342" i="2"/>
  <c r="O395" i="2"/>
  <c r="K117" i="4"/>
  <c r="D195" i="2"/>
  <c r="D199" i="2" s="1"/>
  <c r="P289" i="2"/>
  <c r="K264" i="2"/>
  <c r="O296" i="2"/>
  <c r="O297" i="2" s="1"/>
  <c r="M338" i="2"/>
  <c r="M346" i="2" s="1"/>
  <c r="N342" i="2"/>
  <c r="N346" i="2" s="1"/>
  <c r="N387" i="2"/>
  <c r="N395" i="2" s="1"/>
  <c r="K361" i="2"/>
  <c r="K372" i="2"/>
  <c r="C12" i="3"/>
  <c r="E195" i="2"/>
  <c r="E199" i="2" s="1"/>
  <c r="K206" i="2"/>
  <c r="J262" i="2"/>
  <c r="P296" i="2"/>
  <c r="P297" i="2" s="1"/>
  <c r="N338" i="2"/>
  <c r="F331" i="2"/>
  <c r="K357" i="2"/>
  <c r="D12" i="3"/>
  <c r="D151" i="4"/>
  <c r="J164" i="2"/>
  <c r="F229" i="2"/>
  <c r="I394" i="2"/>
  <c r="I395" i="2" s="1"/>
  <c r="G12" i="3"/>
  <c r="I32" i="3"/>
  <c r="K110" i="4"/>
  <c r="K112" i="4"/>
  <c r="P192" i="4"/>
  <c r="P200" i="4" s="1"/>
  <c r="K171" i="4"/>
  <c r="K312" i="4"/>
  <c r="H387" i="2"/>
  <c r="N102" i="4"/>
  <c r="L143" i="4"/>
  <c r="K136" i="4"/>
  <c r="K160" i="4"/>
  <c r="K182" i="4"/>
  <c r="K256" i="4"/>
  <c r="B30" i="3"/>
  <c r="O102" i="4"/>
  <c r="M143" i="4"/>
  <c r="M151" i="4" s="1"/>
  <c r="K114" i="4"/>
  <c r="G192" i="4"/>
  <c r="F158" i="4"/>
  <c r="K310" i="4"/>
  <c r="K366" i="4"/>
  <c r="J363" i="2"/>
  <c r="J375" i="2"/>
  <c r="N143" i="4"/>
  <c r="K118" i="4"/>
  <c r="K122" i="4"/>
  <c r="J124" i="4"/>
  <c r="K128" i="4"/>
  <c r="K180" i="4"/>
  <c r="K234" i="4"/>
  <c r="K244" i="4"/>
  <c r="K247" i="4"/>
  <c r="J249" i="4"/>
  <c r="K288" i="4"/>
  <c r="K392" i="4"/>
  <c r="K158" i="4"/>
  <c r="K317" i="4"/>
  <c r="K326" i="4"/>
  <c r="J176" i="4"/>
  <c r="K187" i="4"/>
  <c r="K210" i="4"/>
  <c r="K324" i="4"/>
  <c r="K156" i="4"/>
  <c r="K167" i="4"/>
  <c r="K389" i="2"/>
  <c r="L192" i="4"/>
  <c r="K165" i="4"/>
  <c r="K232" i="4"/>
  <c r="K261" i="4"/>
  <c r="K343" i="4"/>
  <c r="F393" i="2"/>
  <c r="J25" i="3"/>
  <c r="B31" i="3"/>
  <c r="B33" i="3"/>
  <c r="K195" i="4"/>
  <c r="K230" i="4"/>
  <c r="K322" i="4"/>
  <c r="B40" i="3"/>
  <c r="J148" i="4"/>
  <c r="K208" i="4"/>
  <c r="K384" i="2"/>
  <c r="N25" i="3"/>
  <c r="G49" i="4"/>
  <c r="G50" i="4" s="1"/>
  <c r="K163" i="4"/>
  <c r="K217" i="4"/>
  <c r="K239" i="4"/>
  <c r="K259" i="4"/>
  <c r="K266" i="4"/>
  <c r="J141" i="4"/>
  <c r="K183" i="4"/>
  <c r="K206" i="4"/>
  <c r="K329" i="4"/>
  <c r="K378" i="4"/>
  <c r="K107" i="4"/>
  <c r="K109" i="4"/>
  <c r="J115" i="4"/>
  <c r="K215" i="4"/>
  <c r="K273" i="4"/>
  <c r="K336" i="4"/>
  <c r="K387" i="4"/>
  <c r="K393" i="2"/>
  <c r="K280" i="4"/>
  <c r="C25" i="3"/>
  <c r="I35" i="3"/>
  <c r="B56" i="3"/>
  <c r="K113" i="4"/>
  <c r="K129" i="4"/>
  <c r="K133" i="4"/>
  <c r="K135" i="4"/>
  <c r="K139" i="4"/>
  <c r="K222" i="4"/>
  <c r="M348" i="4"/>
  <c r="F25" i="3"/>
  <c r="K121" i="4"/>
  <c r="K170" i="4"/>
  <c r="K188" i="4"/>
  <c r="K211" i="4"/>
  <c r="K327" i="4"/>
  <c r="K334" i="4"/>
  <c r="G25" i="3"/>
  <c r="I46" i="3"/>
  <c r="M49" i="4"/>
  <c r="M50" i="4" s="1"/>
  <c r="K127" i="4"/>
  <c r="K168" i="4"/>
  <c r="K177" i="4"/>
  <c r="K271" i="4"/>
  <c r="K278" i="4"/>
  <c r="H25" i="3"/>
  <c r="P143" i="4"/>
  <c r="P151" i="4" s="1"/>
  <c r="K125" i="4"/>
  <c r="K144" i="4"/>
  <c r="H192" i="4"/>
  <c r="L147" i="4"/>
  <c r="J146" i="4"/>
  <c r="I192" i="4"/>
  <c r="I200" i="4" s="1"/>
  <c r="K166" i="4"/>
  <c r="F271" i="2"/>
  <c r="F283" i="2"/>
  <c r="F310" i="2"/>
  <c r="F322" i="2"/>
  <c r="F334" i="2"/>
  <c r="F361" i="2"/>
  <c r="F373" i="2"/>
  <c r="F385" i="2"/>
  <c r="K149" i="4"/>
  <c r="K175" i="4"/>
  <c r="K307" i="4"/>
  <c r="K363" i="4"/>
  <c r="N147" i="4"/>
  <c r="O299" i="4"/>
  <c r="K276" i="4"/>
  <c r="K314" i="4"/>
  <c r="J392" i="2"/>
  <c r="L25" i="3"/>
  <c r="B34" i="3"/>
  <c r="G143" i="4"/>
  <c r="G151" i="4" s="1"/>
  <c r="K173" i="4"/>
  <c r="F196" i="4"/>
  <c r="K240" i="4"/>
  <c r="K293" i="4"/>
  <c r="K361" i="4"/>
  <c r="B43" i="3"/>
  <c r="J106" i="4"/>
  <c r="J108" i="4"/>
  <c r="N192" i="4"/>
  <c r="N200" i="4" s="1"/>
  <c r="K227" i="4"/>
  <c r="K305" i="4"/>
  <c r="E32" i="3"/>
  <c r="I143" i="4"/>
  <c r="I151" i="4" s="1"/>
  <c r="F136" i="4"/>
  <c r="J138" i="4"/>
  <c r="K339" i="4"/>
  <c r="F205" i="4"/>
  <c r="K216" i="4"/>
  <c r="K245" i="4"/>
  <c r="J316" i="4"/>
  <c r="J320" i="4"/>
  <c r="K360" i="4"/>
  <c r="K362" i="4"/>
  <c r="I393" i="4"/>
  <c r="F390" i="4"/>
  <c r="K145" i="5"/>
  <c r="K268" i="4"/>
  <c r="F326" i="4"/>
  <c r="K342" i="4"/>
  <c r="K358" i="4"/>
  <c r="K155" i="5"/>
  <c r="K185" i="4"/>
  <c r="K218" i="4"/>
  <c r="J220" i="4"/>
  <c r="J241" i="4"/>
  <c r="J270" i="4"/>
  <c r="J274" i="4"/>
  <c r="F303" i="4"/>
  <c r="F334" i="4"/>
  <c r="L389" i="4"/>
  <c r="K354" i="4"/>
  <c r="K356" i="4"/>
  <c r="K42" i="5"/>
  <c r="K50" i="5" s="1"/>
  <c r="K184" i="5"/>
  <c r="K191" i="5"/>
  <c r="M389" i="4"/>
  <c r="K385" i="4"/>
  <c r="M393" i="4"/>
  <c r="K232" i="5"/>
  <c r="H199" i="4"/>
  <c r="J205" i="4"/>
  <c r="K207" i="4"/>
  <c r="F211" i="4"/>
  <c r="F292" i="4"/>
  <c r="F295" i="4" s="1"/>
  <c r="D298" i="4"/>
  <c r="H340" i="4"/>
  <c r="F345" i="4"/>
  <c r="F347" i="4" s="1"/>
  <c r="N389" i="4"/>
  <c r="N397" i="4" s="1"/>
  <c r="K383" i="4"/>
  <c r="K122" i="5"/>
  <c r="L242" i="4"/>
  <c r="E298" i="4"/>
  <c r="I340" i="4"/>
  <c r="I348" i="4" s="1"/>
  <c r="K377" i="4"/>
  <c r="K381" i="4"/>
  <c r="K115" i="5"/>
  <c r="K178" i="4"/>
  <c r="K193" i="4"/>
  <c r="J199" i="4"/>
  <c r="F298" i="4"/>
  <c r="L151" i="5"/>
  <c r="F155" i="4"/>
  <c r="L196" i="4"/>
  <c r="K226" i="4"/>
  <c r="F248" i="4"/>
  <c r="F249" i="4" s="1"/>
  <c r="K255" i="4"/>
  <c r="F284" i="4"/>
  <c r="F288" i="4"/>
  <c r="G298" i="4"/>
  <c r="K303" i="4"/>
  <c r="K330" i="4"/>
  <c r="E344" i="4"/>
  <c r="K228" i="4"/>
  <c r="K282" i="4"/>
  <c r="J292" i="4"/>
  <c r="L340" i="4"/>
  <c r="L348" i="4" s="1"/>
  <c r="K345" i="4"/>
  <c r="K375" i="4"/>
  <c r="K169" i="4"/>
  <c r="N196" i="4"/>
  <c r="K248" i="4"/>
  <c r="K284" i="4"/>
  <c r="G396" i="4"/>
  <c r="F394" i="4"/>
  <c r="F396" i="4" s="1"/>
  <c r="K167" i="5"/>
  <c r="K162" i="4"/>
  <c r="K213" i="4"/>
  <c r="H246" i="4"/>
  <c r="H250" i="4" s="1"/>
  <c r="K265" i="4"/>
  <c r="K286" i="4"/>
  <c r="K296" i="4"/>
  <c r="N340" i="4"/>
  <c r="N348" i="4" s="1"/>
  <c r="J341" i="4"/>
  <c r="H344" i="4"/>
  <c r="H348" i="4" s="1"/>
  <c r="F343" i="4"/>
  <c r="F344" i="4" s="1"/>
  <c r="K373" i="4"/>
  <c r="K388" i="4"/>
  <c r="K158" i="5"/>
  <c r="K226" i="5"/>
  <c r="J155" i="4"/>
  <c r="K184" i="4"/>
  <c r="F240" i="4"/>
  <c r="I246" i="4"/>
  <c r="D291" i="4"/>
  <c r="D299" i="4" s="1"/>
  <c r="K263" i="4"/>
  <c r="O340" i="4"/>
  <c r="O348" i="4" s="1"/>
  <c r="G389" i="4"/>
  <c r="K371" i="4"/>
  <c r="K391" i="4"/>
  <c r="K134" i="5"/>
  <c r="K185" i="5"/>
  <c r="K236" i="4"/>
  <c r="E291" i="4"/>
  <c r="K369" i="4"/>
  <c r="J394" i="4"/>
  <c r="K164" i="4"/>
  <c r="K186" i="4"/>
  <c r="K219" i="4"/>
  <c r="K267" i="4"/>
  <c r="K315" i="4"/>
  <c r="I389" i="4"/>
  <c r="K386" i="4"/>
  <c r="L396" i="4"/>
  <c r="K384" i="4"/>
  <c r="M200" i="5"/>
  <c r="K266" i="5"/>
  <c r="K157" i="4"/>
  <c r="K269" i="4"/>
  <c r="E340" i="4"/>
  <c r="E348" i="4" s="1"/>
  <c r="K319" i="4"/>
  <c r="J380" i="4"/>
  <c r="K382" i="4"/>
  <c r="I151" i="5"/>
  <c r="K145" i="4"/>
  <c r="I147" i="4"/>
  <c r="O192" i="4"/>
  <c r="O200" i="4" s="1"/>
  <c r="K223" i="4"/>
  <c r="J225" i="4"/>
  <c r="F227" i="4"/>
  <c r="D249" i="4"/>
  <c r="I291" i="4"/>
  <c r="I299" i="4" s="1"/>
  <c r="K277" i="4"/>
  <c r="K335" i="4"/>
  <c r="K190" i="4"/>
  <c r="J254" i="4"/>
  <c r="P344" i="4"/>
  <c r="P348" i="4" s="1"/>
  <c r="K376" i="4"/>
  <c r="M151" i="5"/>
  <c r="J194" i="4"/>
  <c r="K304" i="4"/>
  <c r="K331" i="4"/>
  <c r="K333" i="4"/>
  <c r="M102" i="5"/>
  <c r="K179" i="5"/>
  <c r="K220" i="5"/>
  <c r="K179" i="4"/>
  <c r="G196" i="4"/>
  <c r="K229" i="4"/>
  <c r="I249" i="4"/>
  <c r="L291" i="4"/>
  <c r="L299" i="4" s="1"/>
  <c r="F260" i="4"/>
  <c r="F264" i="4"/>
  <c r="K279" i="4"/>
  <c r="G291" i="4"/>
  <c r="K306" i="4"/>
  <c r="N102" i="5"/>
  <c r="K112" i="5"/>
  <c r="E147" i="4"/>
  <c r="E151" i="4" s="1"/>
  <c r="K231" i="4"/>
  <c r="E246" i="4"/>
  <c r="E250" i="4" s="1"/>
  <c r="J258" i="4"/>
  <c r="J262" i="4"/>
  <c r="D389" i="4"/>
  <c r="D397" i="4" s="1"/>
  <c r="K374" i="4"/>
  <c r="G393" i="4"/>
  <c r="F392" i="4"/>
  <c r="K278" i="5"/>
  <c r="J126" i="4"/>
  <c r="K140" i="4"/>
  <c r="K212" i="4"/>
  <c r="K260" i="4"/>
  <c r="J346" i="4"/>
  <c r="J368" i="4"/>
  <c r="K372" i="4"/>
  <c r="E393" i="4"/>
  <c r="E397" i="4" s="1"/>
  <c r="F128" i="4"/>
  <c r="K161" i="4"/>
  <c r="D242" i="4"/>
  <c r="F245" i="4"/>
  <c r="F246" i="4" s="1"/>
  <c r="K264" i="4"/>
  <c r="K364" i="4"/>
  <c r="K370" i="4"/>
  <c r="F387" i="4"/>
  <c r="F389" i="4" s="1"/>
  <c r="K110" i="5"/>
  <c r="K172" i="4"/>
  <c r="J174" i="4"/>
  <c r="F176" i="4"/>
  <c r="K214" i="4"/>
  <c r="J237" i="4"/>
  <c r="F239" i="4"/>
  <c r="J243" i="4"/>
  <c r="L249" i="4"/>
  <c r="K283" i="4"/>
  <c r="K285" i="4"/>
  <c r="K287" i="4"/>
  <c r="J297" i="4"/>
  <c r="F318" i="4"/>
  <c r="F322" i="4"/>
  <c r="H389" i="4"/>
  <c r="J352" i="4"/>
  <c r="H393" i="4"/>
  <c r="H50" i="5"/>
  <c r="F102" i="5"/>
  <c r="K131" i="5"/>
  <c r="K137" i="5"/>
  <c r="K174" i="5"/>
  <c r="I192" i="5"/>
  <c r="K214" i="5"/>
  <c r="F115" i="5"/>
  <c r="F119" i="5"/>
  <c r="J121" i="5"/>
  <c r="J139" i="5"/>
  <c r="K160" i="5"/>
  <c r="K168" i="5"/>
  <c r="J172" i="5"/>
  <c r="F182" i="5"/>
  <c r="K186" i="5"/>
  <c r="J208" i="5"/>
  <c r="K229" i="5"/>
  <c r="J245" i="5"/>
  <c r="M291" i="5"/>
  <c r="M299" i="5" s="1"/>
  <c r="K263" i="5"/>
  <c r="J295" i="5"/>
  <c r="K293" i="5"/>
  <c r="K325" i="5"/>
  <c r="K186" i="6"/>
  <c r="J395" i="4"/>
  <c r="G143" i="5"/>
  <c r="G151" i="5" s="1"/>
  <c r="F107" i="5"/>
  <c r="K111" i="5"/>
  <c r="J119" i="5"/>
  <c r="J143" i="5" s="1"/>
  <c r="K125" i="5"/>
  <c r="K129" i="5"/>
  <c r="L192" i="5"/>
  <c r="L200" i="5" s="1"/>
  <c r="K164" i="5"/>
  <c r="J180" i="5"/>
  <c r="K188" i="5"/>
  <c r="L242" i="5"/>
  <c r="J227" i="5"/>
  <c r="N291" i="5"/>
  <c r="N299" i="5" s="1"/>
  <c r="K179" i="6"/>
  <c r="J107" i="5"/>
  <c r="K170" i="5"/>
  <c r="O291" i="5"/>
  <c r="O299" i="5" s="1"/>
  <c r="K272" i="5"/>
  <c r="K283" i="5"/>
  <c r="K356" i="5"/>
  <c r="K363" i="5"/>
  <c r="K212" i="6"/>
  <c r="K113" i="5"/>
  <c r="K182" i="5"/>
  <c r="K248" i="5"/>
  <c r="K249" i="5" s="1"/>
  <c r="J249" i="5"/>
  <c r="P291" i="5"/>
  <c r="K261" i="5"/>
  <c r="K290" i="5"/>
  <c r="K342" i="5"/>
  <c r="K385" i="5"/>
  <c r="J390" i="4"/>
  <c r="J101" i="5"/>
  <c r="J102" i="5" s="1"/>
  <c r="F193" i="5"/>
  <c r="F196" i="5" s="1"/>
  <c r="K197" i="5"/>
  <c r="K223" i="5"/>
  <c r="K225" i="5"/>
  <c r="K240" i="5"/>
  <c r="K288" i="5"/>
  <c r="G348" i="5"/>
  <c r="K314" i="5"/>
  <c r="F144" i="5"/>
  <c r="F147" i="5" s="1"/>
  <c r="I147" i="5"/>
  <c r="J144" i="5"/>
  <c r="J146" i="5"/>
  <c r="K221" i="5"/>
  <c r="K243" i="5"/>
  <c r="E291" i="5"/>
  <c r="E299" i="5" s="1"/>
  <c r="F266" i="5"/>
  <c r="K312" i="5"/>
  <c r="F389" i="5"/>
  <c r="K354" i="5"/>
  <c r="K238" i="5"/>
  <c r="K277" i="5"/>
  <c r="K361" i="5"/>
  <c r="D192" i="5"/>
  <c r="D200" i="5" s="1"/>
  <c r="K219" i="5"/>
  <c r="K236" i="5"/>
  <c r="P348" i="5"/>
  <c r="H50" i="6"/>
  <c r="E192" i="5"/>
  <c r="E200" i="5" s="1"/>
  <c r="K217" i="5"/>
  <c r="K259" i="5"/>
  <c r="D348" i="5"/>
  <c r="K370" i="5"/>
  <c r="E50" i="5"/>
  <c r="O101" i="5"/>
  <c r="O102" i="5" s="1"/>
  <c r="F122" i="5"/>
  <c r="F155" i="5"/>
  <c r="J215" i="5"/>
  <c r="K275" i="5"/>
  <c r="N348" i="5"/>
  <c r="K328" i="5"/>
  <c r="K377" i="5"/>
  <c r="K162" i="6"/>
  <c r="F112" i="5"/>
  <c r="K142" i="5"/>
  <c r="P147" i="5"/>
  <c r="F167" i="5"/>
  <c r="D242" i="5"/>
  <c r="K264" i="5"/>
  <c r="K294" i="5"/>
  <c r="O348" i="5"/>
  <c r="F159" i="5"/>
  <c r="J159" i="5"/>
  <c r="F191" i="5"/>
  <c r="K209" i="5"/>
  <c r="K211" i="5"/>
  <c r="D249" i="5"/>
  <c r="K284" i="5"/>
  <c r="F295" i="5"/>
  <c r="K308" i="5"/>
  <c r="K335" i="5"/>
  <c r="L50" i="6"/>
  <c r="K138" i="5"/>
  <c r="K140" i="5"/>
  <c r="K161" i="5"/>
  <c r="F171" i="5"/>
  <c r="J171" i="5"/>
  <c r="J173" i="5"/>
  <c r="P196" i="5"/>
  <c r="G242" i="5"/>
  <c r="G250" i="5" s="1"/>
  <c r="F226" i="5"/>
  <c r="K273" i="5"/>
  <c r="K297" i="5"/>
  <c r="K298" i="5" s="1"/>
  <c r="K357" i="5"/>
  <c r="K364" i="5"/>
  <c r="K366" i="5"/>
  <c r="K120" i="5"/>
  <c r="F145" i="5"/>
  <c r="K165" i="5"/>
  <c r="K198" i="6"/>
  <c r="J42" i="5"/>
  <c r="J50" i="5" s="1"/>
  <c r="L94" i="5"/>
  <c r="L102" i="5" s="1"/>
  <c r="K108" i="5"/>
  <c r="K118" i="5"/>
  <c r="K126" i="5"/>
  <c r="K128" i="5"/>
  <c r="K169" i="5"/>
  <c r="K177" i="5"/>
  <c r="K189" i="5"/>
  <c r="J205" i="5"/>
  <c r="I242" i="5"/>
  <c r="K241" i="5"/>
  <c r="F278" i="5"/>
  <c r="K306" i="5"/>
  <c r="O50" i="6"/>
  <c r="K106" i="5"/>
  <c r="K181" i="5"/>
  <c r="K224" i="5"/>
  <c r="K322" i="5"/>
  <c r="D397" i="5"/>
  <c r="D50" i="6"/>
  <c r="K116" i="5"/>
  <c r="O192" i="5"/>
  <c r="O200" i="5" s="1"/>
  <c r="K198" i="5"/>
  <c r="M242" i="5"/>
  <c r="M250" i="5" s="1"/>
  <c r="K239" i="5"/>
  <c r="F260" i="5"/>
  <c r="K331" i="5"/>
  <c r="K373" i="5"/>
  <c r="P192" i="5"/>
  <c r="P200" i="5" s="1"/>
  <c r="D291" i="5"/>
  <c r="D299" i="5" s="1"/>
  <c r="J260" i="5"/>
  <c r="K271" i="5"/>
  <c r="J344" i="5"/>
  <c r="K341" i="5"/>
  <c r="K344" i="5" s="1"/>
  <c r="K382" i="5"/>
  <c r="K129" i="6"/>
  <c r="E150" i="5"/>
  <c r="E151" i="5" s="1"/>
  <c r="J196" i="5"/>
  <c r="K287" i="5"/>
  <c r="K167" i="6"/>
  <c r="H143" i="5"/>
  <c r="H151" i="5" s="1"/>
  <c r="F150" i="5"/>
  <c r="P242" i="5"/>
  <c r="K237" i="5"/>
  <c r="G291" i="5"/>
  <c r="G299" i="5" s="1"/>
  <c r="K276" i="5"/>
  <c r="K320" i="5"/>
  <c r="K338" i="5"/>
  <c r="K371" i="5"/>
  <c r="K235" i="5"/>
  <c r="H291" i="5"/>
  <c r="K353" i="5"/>
  <c r="P143" i="5"/>
  <c r="P151" i="5" s="1"/>
  <c r="J150" i="5"/>
  <c r="K148" i="5"/>
  <c r="K150" i="5" s="1"/>
  <c r="G192" i="5"/>
  <c r="G200" i="5" s="1"/>
  <c r="K216" i="5"/>
  <c r="K233" i="5"/>
  <c r="I291" i="5"/>
  <c r="I299" i="5" s="1"/>
  <c r="K265" i="5"/>
  <c r="K285" i="5"/>
  <c r="K309" i="5"/>
  <c r="K123" i="6"/>
  <c r="D101" i="5"/>
  <c r="D102" i="5" s="1"/>
  <c r="F131" i="5"/>
  <c r="J133" i="5"/>
  <c r="F158" i="5"/>
  <c r="K162" i="5"/>
  <c r="K212" i="5"/>
  <c r="P249" i="5"/>
  <c r="J254" i="5"/>
  <c r="K258" i="5"/>
  <c r="K318" i="5"/>
  <c r="K327" i="5"/>
  <c r="K358" i="5"/>
  <c r="J102" i="6"/>
  <c r="F244" i="5"/>
  <c r="F246" i="5" s="1"/>
  <c r="I249" i="5"/>
  <c r="F259" i="5"/>
  <c r="F271" i="5"/>
  <c r="F283" i="5"/>
  <c r="I389" i="5"/>
  <c r="I397" i="5" s="1"/>
  <c r="K233" i="6"/>
  <c r="K276" i="6"/>
  <c r="K307" i="6"/>
  <c r="K320" i="6"/>
  <c r="J183" i="5"/>
  <c r="K195" i="5"/>
  <c r="J206" i="5"/>
  <c r="J218" i="5"/>
  <c r="J230" i="5"/>
  <c r="K257" i="5"/>
  <c r="K269" i="5"/>
  <c r="K281" i="5"/>
  <c r="H295" i="5"/>
  <c r="J303" i="5"/>
  <c r="J315" i="5"/>
  <c r="K334" i="5"/>
  <c r="K367" i="5"/>
  <c r="K378" i="5"/>
  <c r="K387" i="5"/>
  <c r="J142" i="6"/>
  <c r="K145" i="6"/>
  <c r="K265" i="6"/>
  <c r="K285" i="6"/>
  <c r="K327" i="6"/>
  <c r="F254" i="5"/>
  <c r="F345" i="5"/>
  <c r="F347" i="5" s="1"/>
  <c r="K156" i="6"/>
  <c r="K171" i="6"/>
  <c r="K190" i="6"/>
  <c r="J193" i="6"/>
  <c r="H196" i="6"/>
  <c r="M242" i="6"/>
  <c r="M250" i="6" s="1"/>
  <c r="K218" i="6"/>
  <c r="K254" i="6"/>
  <c r="K274" i="6"/>
  <c r="K381" i="6"/>
  <c r="E393" i="5"/>
  <c r="E397" i="5" s="1"/>
  <c r="K101" i="6"/>
  <c r="K102" i="6" s="1"/>
  <c r="K136" i="6"/>
  <c r="G150" i="6"/>
  <c r="F148" i="6"/>
  <c r="F150" i="6" s="1"/>
  <c r="F167" i="6"/>
  <c r="I196" i="6"/>
  <c r="N242" i="6"/>
  <c r="N250" i="6" s="1"/>
  <c r="K216" i="6"/>
  <c r="K231" i="6"/>
  <c r="L299" i="6"/>
  <c r="K293" i="6"/>
  <c r="K316" i="6"/>
  <c r="K318" i="6"/>
  <c r="K372" i="6"/>
  <c r="J244" i="5"/>
  <c r="J246" i="5" s="1"/>
  <c r="K310" i="5"/>
  <c r="K329" i="5"/>
  <c r="K336" i="5"/>
  <c r="K343" i="5"/>
  <c r="J360" i="5"/>
  <c r="J389" i="5" s="1"/>
  <c r="F393" i="5"/>
  <c r="H150" i="6"/>
  <c r="H151" i="6" s="1"/>
  <c r="O242" i="6"/>
  <c r="O250" i="6" s="1"/>
  <c r="J229" i="6"/>
  <c r="F245" i="6"/>
  <c r="M291" i="6"/>
  <c r="M299" i="6" s="1"/>
  <c r="J362" i="5"/>
  <c r="G393" i="5"/>
  <c r="G397" i="5" s="1"/>
  <c r="K394" i="5"/>
  <c r="K169" i="6"/>
  <c r="J245" i="6"/>
  <c r="J246" i="6" s="1"/>
  <c r="G249" i="6"/>
  <c r="F248" i="6"/>
  <c r="N291" i="6"/>
  <c r="N299" i="6" s="1"/>
  <c r="J261" i="6"/>
  <c r="J130" i="6"/>
  <c r="K248" i="6"/>
  <c r="K290" i="6"/>
  <c r="K312" i="6"/>
  <c r="K323" i="6"/>
  <c r="K379" i="6"/>
  <c r="F205" i="5"/>
  <c r="F248" i="5"/>
  <c r="F249" i="5" s="1"/>
  <c r="F314" i="5"/>
  <c r="F340" i="5" s="1"/>
  <c r="K345" i="5"/>
  <c r="K347" i="5" s="1"/>
  <c r="F49" i="6"/>
  <c r="F50" i="6" s="1"/>
  <c r="J51" i="6" s="1"/>
  <c r="K124" i="6"/>
  <c r="K161" i="6"/>
  <c r="K182" i="6"/>
  <c r="D242" i="6"/>
  <c r="D250" i="6" s="1"/>
  <c r="K210" i="6"/>
  <c r="K223" i="6"/>
  <c r="K272" i="6"/>
  <c r="N348" i="6"/>
  <c r="K352" i="6"/>
  <c r="J389" i="6"/>
  <c r="K386" i="6"/>
  <c r="J390" i="5"/>
  <c r="N396" i="5"/>
  <c r="G49" i="6"/>
  <c r="G50" i="6" s="1"/>
  <c r="K208" i="6"/>
  <c r="K236" i="6"/>
  <c r="K243" i="6"/>
  <c r="K359" i="6"/>
  <c r="P295" i="5"/>
  <c r="J333" i="5"/>
  <c r="I340" i="5"/>
  <c r="I348" i="5" s="1"/>
  <c r="F342" i="5"/>
  <c r="F344" i="5" s="1"/>
  <c r="J347" i="5"/>
  <c r="K384" i="5"/>
  <c r="O396" i="5"/>
  <c r="H49" i="6"/>
  <c r="G143" i="6"/>
  <c r="K122" i="6"/>
  <c r="F159" i="6"/>
  <c r="K165" i="6"/>
  <c r="F221" i="6"/>
  <c r="I246" i="6"/>
  <c r="K268" i="6"/>
  <c r="K279" i="6"/>
  <c r="K288" i="6"/>
  <c r="O348" i="6"/>
  <c r="K330" i="6"/>
  <c r="L246" i="5"/>
  <c r="K307" i="5"/>
  <c r="J386" i="5"/>
  <c r="J388" i="5"/>
  <c r="K392" i="5"/>
  <c r="K112" i="6"/>
  <c r="K116" i="6"/>
  <c r="E192" i="6"/>
  <c r="E200" i="6" s="1"/>
  <c r="J159" i="6"/>
  <c r="K180" i="6"/>
  <c r="J221" i="6"/>
  <c r="P348" i="6"/>
  <c r="K357" i="6"/>
  <c r="I143" i="6"/>
  <c r="I151" i="6" s="1"/>
  <c r="K114" i="6"/>
  <c r="F147" i="6"/>
  <c r="G192" i="6"/>
  <c r="K174" i="6"/>
  <c r="K178" i="6"/>
  <c r="K206" i="6"/>
  <c r="K255" i="6"/>
  <c r="K277" i="6"/>
  <c r="K286" i="6"/>
  <c r="K308" i="6"/>
  <c r="K384" i="6"/>
  <c r="H50" i="7"/>
  <c r="F265" i="5"/>
  <c r="F277" i="5"/>
  <c r="F296" i="5"/>
  <c r="F298" i="5" s="1"/>
  <c r="F323" i="5"/>
  <c r="K375" i="5"/>
  <c r="K49" i="6"/>
  <c r="K50" i="6" s="1"/>
  <c r="J106" i="6"/>
  <c r="K110" i="6"/>
  <c r="G147" i="6"/>
  <c r="J146" i="6"/>
  <c r="J147" i="6" s="1"/>
  <c r="H147" i="6"/>
  <c r="H192" i="6"/>
  <c r="K176" i="6"/>
  <c r="K194" i="6"/>
  <c r="K328" i="6"/>
  <c r="K337" i="6"/>
  <c r="D102" i="7"/>
  <c r="I196" i="5"/>
  <c r="K321" i="5"/>
  <c r="L49" i="6"/>
  <c r="K108" i="6"/>
  <c r="I192" i="6"/>
  <c r="K157" i="6"/>
  <c r="H199" i="6"/>
  <c r="J197" i="6"/>
  <c r="K219" i="6"/>
  <c r="K297" i="6"/>
  <c r="K364" i="6"/>
  <c r="J395" i="5"/>
  <c r="L143" i="6"/>
  <c r="L151" i="6" s="1"/>
  <c r="J137" i="6"/>
  <c r="K141" i="6"/>
  <c r="J155" i="6"/>
  <c r="K191" i="6"/>
  <c r="I199" i="6"/>
  <c r="J217" i="6"/>
  <c r="K232" i="6"/>
  <c r="P246" i="6"/>
  <c r="P250" i="6" s="1"/>
  <c r="K264" i="6"/>
  <c r="K294" i="6"/>
  <c r="K355" i="6"/>
  <c r="M143" i="6"/>
  <c r="M151" i="6" s="1"/>
  <c r="J149" i="6"/>
  <c r="K185" i="6"/>
  <c r="K306" i="6"/>
  <c r="K335" i="6"/>
  <c r="L389" i="5"/>
  <c r="L397" i="5" s="1"/>
  <c r="N143" i="6"/>
  <c r="N151" i="6" s="1"/>
  <c r="K139" i="6"/>
  <c r="L192" i="6"/>
  <c r="L200" i="6" s="1"/>
  <c r="K211" i="6"/>
  <c r="F224" i="6"/>
  <c r="K230" i="6"/>
  <c r="K262" i="6"/>
  <c r="K273" i="6"/>
  <c r="K284" i="6"/>
  <c r="M389" i="5"/>
  <c r="M397" i="5" s="1"/>
  <c r="N42" i="6"/>
  <c r="N50" i="6" s="1"/>
  <c r="K131" i="6"/>
  <c r="K135" i="6"/>
  <c r="M192" i="6"/>
  <c r="M200" i="6" s="1"/>
  <c r="K224" i="6"/>
  <c r="K313" i="6"/>
  <c r="K315" i="6"/>
  <c r="K353" i="6"/>
  <c r="K362" i="6"/>
  <c r="N389" i="5"/>
  <c r="P143" i="6"/>
  <c r="N192" i="6"/>
  <c r="N200" i="6" s="1"/>
  <c r="K168" i="6"/>
  <c r="J183" i="6"/>
  <c r="F249" i="6"/>
  <c r="K369" i="6"/>
  <c r="O389" i="5"/>
  <c r="M102" i="6"/>
  <c r="D143" i="6"/>
  <c r="D151" i="6" s="1"/>
  <c r="O192" i="6"/>
  <c r="O200" i="6" s="1"/>
  <c r="K166" i="6"/>
  <c r="E242" i="6"/>
  <c r="E250" i="6" s="1"/>
  <c r="K209" i="6"/>
  <c r="K244" i="6"/>
  <c r="K280" i="6"/>
  <c r="F344" i="6"/>
  <c r="J298" i="5"/>
  <c r="P389" i="5"/>
  <c r="P397" i="5" s="1"/>
  <c r="J372" i="5"/>
  <c r="K391" i="5"/>
  <c r="N102" i="6"/>
  <c r="K121" i="6"/>
  <c r="J127" i="6"/>
  <c r="O147" i="6"/>
  <c r="O151" i="6" s="1"/>
  <c r="P192" i="6"/>
  <c r="P200" i="6" s="1"/>
  <c r="K164" i="6"/>
  <c r="G242" i="6"/>
  <c r="J241" i="6"/>
  <c r="H249" i="6"/>
  <c r="D291" i="6"/>
  <c r="D299" i="6" s="1"/>
  <c r="K260" i="6"/>
  <c r="K289" i="6"/>
  <c r="K341" i="6"/>
  <c r="J344" i="6"/>
  <c r="K374" i="5"/>
  <c r="O102" i="6"/>
  <c r="J113" i="6"/>
  <c r="K119" i="6"/>
  <c r="P147" i="6"/>
  <c r="K181" i="6"/>
  <c r="H242" i="6"/>
  <c r="H250" i="6" s="1"/>
  <c r="N397" i="6"/>
  <c r="F50" i="7"/>
  <c r="K365" i="5"/>
  <c r="F101" i="6"/>
  <c r="F102" i="6" s="1"/>
  <c r="K109" i="6"/>
  <c r="K117" i="6"/>
  <c r="D192" i="6"/>
  <c r="D200" i="6" s="1"/>
  <c r="K160" i="6"/>
  <c r="F195" i="6"/>
  <c r="F196" i="6" s="1"/>
  <c r="G199" i="6"/>
  <c r="F198" i="6"/>
  <c r="I242" i="6"/>
  <c r="I250" i="6" s="1"/>
  <c r="K207" i="6"/>
  <c r="K235" i="6"/>
  <c r="K239" i="6"/>
  <c r="K256" i="6"/>
  <c r="K376" i="6"/>
  <c r="H340" i="5"/>
  <c r="H348" i="5" s="1"/>
  <c r="G101" i="6"/>
  <c r="G102" i="6" s="1"/>
  <c r="K107" i="6"/>
  <c r="K115" i="6"/>
  <c r="K158" i="6"/>
  <c r="K173" i="6"/>
  <c r="J195" i="6"/>
  <c r="J205" i="6"/>
  <c r="F233" i="6"/>
  <c r="H299" i="6"/>
  <c r="I291" i="6"/>
  <c r="I299" i="6" s="1"/>
  <c r="K258" i="6"/>
  <c r="K267" i="6"/>
  <c r="L397" i="6"/>
  <c r="K365" i="6"/>
  <c r="O102" i="7"/>
  <c r="F155" i="6"/>
  <c r="F205" i="6"/>
  <c r="H246" i="6"/>
  <c r="G291" i="6"/>
  <c r="G299" i="6" s="1"/>
  <c r="K50" i="7"/>
  <c r="I192" i="7"/>
  <c r="K189" i="7"/>
  <c r="K198" i="7"/>
  <c r="K215" i="7"/>
  <c r="K224" i="7"/>
  <c r="K311" i="7"/>
  <c r="J259" i="6"/>
  <c r="J271" i="6"/>
  <c r="J283" i="6"/>
  <c r="F292" i="6"/>
  <c r="F295" i="6" s="1"/>
  <c r="F307" i="6"/>
  <c r="F340" i="6" s="1"/>
  <c r="J332" i="6"/>
  <c r="F362" i="6"/>
  <c r="F389" i="6" s="1"/>
  <c r="L50" i="7"/>
  <c r="K110" i="7"/>
  <c r="K125" i="7"/>
  <c r="K138" i="7"/>
  <c r="K164" i="7"/>
  <c r="K180" i="7"/>
  <c r="K206" i="7"/>
  <c r="K289" i="7"/>
  <c r="K128" i="6"/>
  <c r="K140" i="6"/>
  <c r="K305" i="6"/>
  <c r="F316" i="6"/>
  <c r="K358" i="6"/>
  <c r="K373" i="6"/>
  <c r="K375" i="6"/>
  <c r="K388" i="6"/>
  <c r="M50" i="7"/>
  <c r="K108" i="7"/>
  <c r="K136" i="7"/>
  <c r="M192" i="7"/>
  <c r="M200" i="7" s="1"/>
  <c r="K171" i="7"/>
  <c r="K195" i="7"/>
  <c r="O299" i="7"/>
  <c r="J336" i="6"/>
  <c r="E102" i="7"/>
  <c r="F121" i="7"/>
  <c r="J123" i="7"/>
  <c r="F123" i="7"/>
  <c r="K213" i="7"/>
  <c r="K220" i="7"/>
  <c r="K231" i="7"/>
  <c r="K325" i="7"/>
  <c r="K362" i="7"/>
  <c r="N143" i="7"/>
  <c r="N151" i="7" s="1"/>
  <c r="J121" i="7"/>
  <c r="O192" i="7"/>
  <c r="O200" i="7" s="1"/>
  <c r="K178" i="7"/>
  <c r="K185" i="7"/>
  <c r="K316" i="7"/>
  <c r="J292" i="6"/>
  <c r="K325" i="6"/>
  <c r="K360" i="6"/>
  <c r="K377" i="6"/>
  <c r="G102" i="7"/>
  <c r="K146" i="7"/>
  <c r="F149" i="7"/>
  <c r="G150" i="7"/>
  <c r="J160" i="7"/>
  <c r="F160" i="7"/>
  <c r="K169" i="7"/>
  <c r="K338" i="6"/>
  <c r="K119" i="7"/>
  <c r="K167" i="7"/>
  <c r="K193" i="7"/>
  <c r="J196" i="7"/>
  <c r="K218" i="7"/>
  <c r="K227" i="7"/>
  <c r="K256" i="7"/>
  <c r="K265" i="7"/>
  <c r="K274" i="7"/>
  <c r="K305" i="7"/>
  <c r="K323" i="7"/>
  <c r="K342" i="7"/>
  <c r="K369" i="7"/>
  <c r="F296" i="6"/>
  <c r="F298" i="6" s="1"/>
  <c r="F346" i="6"/>
  <c r="K368" i="6"/>
  <c r="H389" i="6"/>
  <c r="K117" i="7"/>
  <c r="K132" i="7"/>
  <c r="K183" i="7"/>
  <c r="K211" i="7"/>
  <c r="K244" i="7"/>
  <c r="K330" i="7"/>
  <c r="K102" i="7"/>
  <c r="F107" i="7"/>
  <c r="K144" i="7"/>
  <c r="K176" i="7"/>
  <c r="K283" i="7"/>
  <c r="K263" i="6"/>
  <c r="K275" i="6"/>
  <c r="K287" i="6"/>
  <c r="K311" i="6"/>
  <c r="K329" i="6"/>
  <c r="K342" i="6"/>
  <c r="K383" i="6"/>
  <c r="K113" i="7"/>
  <c r="I147" i="7"/>
  <c r="K190" i="7"/>
  <c r="K216" i="7"/>
  <c r="K225" i="7"/>
  <c r="K385" i="6"/>
  <c r="I143" i="7"/>
  <c r="K139" i="7"/>
  <c r="K141" i="7"/>
  <c r="K181" i="7"/>
  <c r="F197" i="6"/>
  <c r="K270" i="6"/>
  <c r="K282" i="6"/>
  <c r="K304" i="6"/>
  <c r="F335" i="6"/>
  <c r="J346" i="6"/>
  <c r="K391" i="6"/>
  <c r="J395" i="6"/>
  <c r="J107" i="7"/>
  <c r="J109" i="7"/>
  <c r="J111" i="7"/>
  <c r="F111" i="7"/>
  <c r="K126" i="7"/>
  <c r="K207" i="7"/>
  <c r="K232" i="7"/>
  <c r="I299" i="7"/>
  <c r="K270" i="7"/>
  <c r="K328" i="7"/>
  <c r="K337" i="7"/>
  <c r="K296" i="6"/>
  <c r="K172" i="7"/>
  <c r="K214" i="7"/>
  <c r="K261" i="7"/>
  <c r="K335" i="7"/>
  <c r="K124" i="7"/>
  <c r="K161" i="7"/>
  <c r="K179" i="7"/>
  <c r="K223" i="7"/>
  <c r="K239" i="7"/>
  <c r="K259" i="7"/>
  <c r="M348" i="7"/>
  <c r="K317" i="7"/>
  <c r="K228" i="6"/>
  <c r="K240" i="6"/>
  <c r="J298" i="6"/>
  <c r="D340" i="6"/>
  <c r="K322" i="6"/>
  <c r="K374" i="6"/>
  <c r="M143" i="7"/>
  <c r="M151" i="7" s="1"/>
  <c r="K188" i="7"/>
  <c r="K279" i="7"/>
  <c r="J247" i="6"/>
  <c r="E340" i="6"/>
  <c r="E348" i="6" s="1"/>
  <c r="D389" i="6"/>
  <c r="D397" i="6" s="1"/>
  <c r="K194" i="7"/>
  <c r="K288" i="7"/>
  <c r="K381" i="7"/>
  <c r="J148" i="6"/>
  <c r="E389" i="6"/>
  <c r="K361" i="6"/>
  <c r="K363" i="6"/>
  <c r="K380" i="6"/>
  <c r="P393" i="6"/>
  <c r="P397" i="6" s="1"/>
  <c r="K122" i="7"/>
  <c r="J135" i="7"/>
  <c r="F135" i="7"/>
  <c r="L250" i="7"/>
  <c r="P250" i="7"/>
  <c r="K212" i="7"/>
  <c r="K228" i="7"/>
  <c r="K237" i="7"/>
  <c r="K306" i="7"/>
  <c r="K388" i="7"/>
  <c r="F220" i="6"/>
  <c r="F232" i="6"/>
  <c r="F244" i="6"/>
  <c r="F246" i="6" s="1"/>
  <c r="D347" i="6"/>
  <c r="K378" i="6"/>
  <c r="P143" i="7"/>
  <c r="P151" i="7" s="1"/>
  <c r="K120" i="7"/>
  <c r="K133" i="7"/>
  <c r="K159" i="7"/>
  <c r="K177" i="7"/>
  <c r="K219" i="7"/>
  <c r="K245" i="7"/>
  <c r="D299" i="7"/>
  <c r="H340" i="6"/>
  <c r="H348" i="6" s="1"/>
  <c r="G389" i="6"/>
  <c r="G397" i="6" s="1"/>
  <c r="E396" i="6"/>
  <c r="O101" i="7"/>
  <c r="F131" i="7"/>
  <c r="F150" i="7"/>
  <c r="K184" i="7"/>
  <c r="K313" i="7"/>
  <c r="K382" i="6"/>
  <c r="D143" i="7"/>
  <c r="D151" i="7" s="1"/>
  <c r="J145" i="7"/>
  <c r="F145" i="7"/>
  <c r="F147" i="7" s="1"/>
  <c r="J150" i="7"/>
  <c r="K148" i="7"/>
  <c r="K150" i="7" s="1"/>
  <c r="D200" i="7"/>
  <c r="K191" i="7"/>
  <c r="K226" i="7"/>
  <c r="K322" i="7"/>
  <c r="K343" i="6"/>
  <c r="I389" i="6"/>
  <c r="I397" i="6" s="1"/>
  <c r="J390" i="6"/>
  <c r="H393" i="6"/>
  <c r="E143" i="7"/>
  <c r="E151" i="7" s="1"/>
  <c r="K157" i="7"/>
  <c r="K166" i="7"/>
  <c r="K208" i="7"/>
  <c r="K255" i="7"/>
  <c r="K271" i="7"/>
  <c r="K386" i="7"/>
  <c r="K310" i="6"/>
  <c r="K319" i="6"/>
  <c r="F347" i="6"/>
  <c r="K392" i="6"/>
  <c r="I50" i="7"/>
  <c r="F106" i="7"/>
  <c r="G143" i="7"/>
  <c r="K114" i="7"/>
  <c r="G192" i="7"/>
  <c r="G200" i="7" s="1"/>
  <c r="F155" i="7"/>
  <c r="K173" i="7"/>
  <c r="D250" i="7"/>
  <c r="K262" i="7"/>
  <c r="K304" i="7"/>
  <c r="F254" i="6"/>
  <c r="F291" i="6" s="1"/>
  <c r="J321" i="6"/>
  <c r="F323" i="6"/>
  <c r="K356" i="6"/>
  <c r="K394" i="6"/>
  <c r="H143" i="7"/>
  <c r="K112" i="7"/>
  <c r="K129" i="7"/>
  <c r="H192" i="7"/>
  <c r="E250" i="7"/>
  <c r="F246" i="7"/>
  <c r="K329" i="7"/>
  <c r="K395" i="7"/>
  <c r="H242" i="7"/>
  <c r="K280" i="7"/>
  <c r="K320" i="7"/>
  <c r="K361" i="7"/>
  <c r="K119" i="8"/>
  <c r="M200" i="8"/>
  <c r="K336" i="8"/>
  <c r="G396" i="6"/>
  <c r="H150" i="7"/>
  <c r="K163" i="7"/>
  <c r="K175" i="7"/>
  <c r="K187" i="7"/>
  <c r="I242" i="7"/>
  <c r="K210" i="7"/>
  <c r="K222" i="7"/>
  <c r="O249" i="7"/>
  <c r="M291" i="7"/>
  <c r="M299" i="7" s="1"/>
  <c r="K267" i="7"/>
  <c r="F271" i="7"/>
  <c r="J282" i="7"/>
  <c r="K318" i="7"/>
  <c r="K110" i="8"/>
  <c r="K145" i="8"/>
  <c r="K164" i="8"/>
  <c r="K385" i="8"/>
  <c r="F172" i="7"/>
  <c r="F184" i="7"/>
  <c r="F207" i="7"/>
  <c r="F219" i="7"/>
  <c r="F231" i="7"/>
  <c r="N291" i="7"/>
  <c r="N299" i="7" s="1"/>
  <c r="G298" i="7"/>
  <c r="G299" i="7" s="1"/>
  <c r="D389" i="7"/>
  <c r="D151" i="8"/>
  <c r="K108" i="8"/>
  <c r="K126" i="8"/>
  <c r="K158" i="7"/>
  <c r="K170" i="7"/>
  <c r="K182" i="7"/>
  <c r="H196" i="7"/>
  <c r="K205" i="7"/>
  <c r="K217" i="7"/>
  <c r="K229" i="7"/>
  <c r="K238" i="7"/>
  <c r="J258" i="7"/>
  <c r="H298" i="7"/>
  <c r="K303" i="7"/>
  <c r="F328" i="7"/>
  <c r="F386" i="7"/>
  <c r="K171" i="8"/>
  <c r="K189" i="8"/>
  <c r="K356" i="8"/>
  <c r="I196" i="7"/>
  <c r="F244" i="7"/>
  <c r="F295" i="7"/>
  <c r="K296" i="7"/>
  <c r="K307" i="7"/>
  <c r="K326" i="7"/>
  <c r="K346" i="7"/>
  <c r="F352" i="7"/>
  <c r="P393" i="7"/>
  <c r="P397" i="7" s="1"/>
  <c r="G151" i="8"/>
  <c r="K334" i="8"/>
  <c r="G242" i="7"/>
  <c r="H340" i="7"/>
  <c r="G344" i="7"/>
  <c r="G102" i="8"/>
  <c r="K115" i="8"/>
  <c r="K124" i="8"/>
  <c r="K133" i="8"/>
  <c r="K162" i="8"/>
  <c r="K187" i="8"/>
  <c r="K240" i="7"/>
  <c r="K260" i="7"/>
  <c r="K273" i="7"/>
  <c r="K292" i="7"/>
  <c r="I340" i="7"/>
  <c r="I348" i="7" s="1"/>
  <c r="H344" i="7"/>
  <c r="H389" i="7"/>
  <c r="H397" i="7" s="1"/>
  <c r="K382" i="7"/>
  <c r="K178" i="8"/>
  <c r="K210" i="8"/>
  <c r="K244" i="8"/>
  <c r="K363" i="8"/>
  <c r="G147" i="7"/>
  <c r="F193" i="7"/>
  <c r="F196" i="7" s="1"/>
  <c r="O242" i="7"/>
  <c r="G246" i="7"/>
  <c r="F279" i="7"/>
  <c r="I389" i="7"/>
  <c r="F370" i="7"/>
  <c r="K378" i="7"/>
  <c r="I102" i="8"/>
  <c r="K140" i="8"/>
  <c r="K169" i="8"/>
  <c r="H147" i="7"/>
  <c r="J155" i="7"/>
  <c r="I246" i="7"/>
  <c r="F255" i="7"/>
  <c r="J332" i="7"/>
  <c r="J352" i="7"/>
  <c r="F358" i="7"/>
  <c r="F362" i="7"/>
  <c r="J50" i="8"/>
  <c r="K113" i="8"/>
  <c r="K131" i="8"/>
  <c r="K160" i="8"/>
  <c r="F237" i="7"/>
  <c r="J266" i="7"/>
  <c r="K336" i="7"/>
  <c r="K338" i="7"/>
  <c r="K370" i="7"/>
  <c r="N151" i="8"/>
  <c r="K122" i="8"/>
  <c r="D200" i="8"/>
  <c r="F323" i="7"/>
  <c r="L389" i="7"/>
  <c r="L397" i="7" s="1"/>
  <c r="K358" i="7"/>
  <c r="K366" i="7"/>
  <c r="K376" i="7"/>
  <c r="K391" i="7"/>
  <c r="K120" i="8"/>
  <c r="K138" i="8"/>
  <c r="K290" i="8"/>
  <c r="K162" i="7"/>
  <c r="K174" i="7"/>
  <c r="K186" i="7"/>
  <c r="K209" i="7"/>
  <c r="K221" i="7"/>
  <c r="K233" i="7"/>
  <c r="K235" i="7"/>
  <c r="K264" i="7"/>
  <c r="F270" i="7"/>
  <c r="F283" i="7"/>
  <c r="F304" i="7"/>
  <c r="K315" i="7"/>
  <c r="M94" i="8"/>
  <c r="M102" i="8" s="1"/>
  <c r="P151" i="8"/>
  <c r="K146" i="8"/>
  <c r="P295" i="7"/>
  <c r="P299" i="7" s="1"/>
  <c r="K319" i="7"/>
  <c r="F347" i="7"/>
  <c r="K360" i="7"/>
  <c r="K364" i="7"/>
  <c r="G200" i="8"/>
  <c r="K165" i="8"/>
  <c r="K368" i="8"/>
  <c r="K109" i="8"/>
  <c r="K118" i="8"/>
  <c r="K127" i="8"/>
  <c r="K136" i="8"/>
  <c r="K156" i="8"/>
  <c r="K183" i="8"/>
  <c r="K237" i="8"/>
  <c r="K261" i="8"/>
  <c r="K375" i="8"/>
  <c r="K106" i="7"/>
  <c r="K118" i="7"/>
  <c r="K130" i="7"/>
  <c r="K142" i="7"/>
  <c r="K149" i="7"/>
  <c r="F197" i="7"/>
  <c r="F199" i="7" s="1"/>
  <c r="K345" i="7"/>
  <c r="K347" i="7" s="1"/>
  <c r="I396" i="7"/>
  <c r="F394" i="7"/>
  <c r="F396" i="7" s="1"/>
  <c r="K172" i="8"/>
  <c r="K288" i="8"/>
  <c r="K310" i="8"/>
  <c r="E102" i="8"/>
  <c r="K163" i="8"/>
  <c r="K137" i="7"/>
  <c r="H246" i="7"/>
  <c r="F247" i="7"/>
  <c r="F249" i="7" s="1"/>
  <c r="K297" i="7"/>
  <c r="J308" i="7"/>
  <c r="J340" i="7" s="1"/>
  <c r="J348" i="7" s="1"/>
  <c r="J387" i="7"/>
  <c r="K107" i="8"/>
  <c r="K125" i="8"/>
  <c r="K222" i="8"/>
  <c r="K134" i="8"/>
  <c r="K324" i="8"/>
  <c r="K373" i="8"/>
  <c r="J197" i="7"/>
  <c r="J243" i="7"/>
  <c r="K293" i="7"/>
  <c r="J295" i="7"/>
  <c r="K310" i="7"/>
  <c r="D393" i="7"/>
  <c r="K114" i="8"/>
  <c r="K132" i="8"/>
  <c r="I249" i="7"/>
  <c r="F265" i="7"/>
  <c r="H291" i="7"/>
  <c r="F316" i="7"/>
  <c r="K327" i="7"/>
  <c r="K341" i="7"/>
  <c r="K343" i="7"/>
  <c r="F369" i="7"/>
  <c r="K377" i="7"/>
  <c r="F379" i="7"/>
  <c r="J379" i="7"/>
  <c r="K385" i="7"/>
  <c r="K141" i="8"/>
  <c r="J247" i="7"/>
  <c r="J278" i="7"/>
  <c r="D340" i="7"/>
  <c r="D348" i="7" s="1"/>
  <c r="K314" i="7"/>
  <c r="K331" i="7"/>
  <c r="L344" i="7"/>
  <c r="L348" i="7" s="1"/>
  <c r="K353" i="7"/>
  <c r="F390" i="7"/>
  <c r="F393" i="7" s="1"/>
  <c r="K392" i="7"/>
  <c r="K139" i="8"/>
  <c r="K231" i="8"/>
  <c r="F246" i="8"/>
  <c r="K322" i="8"/>
  <c r="M246" i="7"/>
  <c r="M250" i="7" s="1"/>
  <c r="E340" i="7"/>
  <c r="E348" i="7" s="1"/>
  <c r="K112" i="8"/>
  <c r="K121" i="8"/>
  <c r="K130" i="8"/>
  <c r="K387" i="8"/>
  <c r="J234" i="7"/>
  <c r="K276" i="7"/>
  <c r="F322" i="7"/>
  <c r="F367" i="7"/>
  <c r="J367" i="7"/>
  <c r="K373" i="7"/>
  <c r="K390" i="7"/>
  <c r="K393" i="7" s="1"/>
  <c r="K166" i="8"/>
  <c r="K184" i="8"/>
  <c r="K194" i="8"/>
  <c r="J196" i="8"/>
  <c r="G340" i="7"/>
  <c r="G348" i="7" s="1"/>
  <c r="K339" i="7"/>
  <c r="N389" i="7"/>
  <c r="N397" i="7" s="1"/>
  <c r="K365" i="7"/>
  <c r="K137" i="8"/>
  <c r="F150" i="8"/>
  <c r="K157" i="8"/>
  <c r="K173" i="8"/>
  <c r="F106" i="8"/>
  <c r="F143" i="8" s="1"/>
  <c r="J116" i="8"/>
  <c r="J128" i="8"/>
  <c r="F144" i="8"/>
  <c r="F147" i="8" s="1"/>
  <c r="F233" i="8"/>
  <c r="H249" i="8"/>
  <c r="K260" i="8"/>
  <c r="J264" i="8"/>
  <c r="K268" i="8"/>
  <c r="J276" i="8"/>
  <c r="M295" i="8"/>
  <c r="F310" i="8"/>
  <c r="K316" i="8"/>
  <c r="K115" i="9"/>
  <c r="K124" i="9"/>
  <c r="J198" i="8"/>
  <c r="K229" i="8"/>
  <c r="K262" i="8"/>
  <c r="K284" i="8"/>
  <c r="K314" i="8"/>
  <c r="K374" i="8"/>
  <c r="O50" i="9"/>
  <c r="I192" i="8"/>
  <c r="I200" i="8" s="1"/>
  <c r="H196" i="8"/>
  <c r="K247" i="8"/>
  <c r="K274" i="8"/>
  <c r="K331" i="8"/>
  <c r="K335" i="8"/>
  <c r="O102" i="9"/>
  <c r="K113" i="9"/>
  <c r="K157" i="9"/>
  <c r="K164" i="9"/>
  <c r="I143" i="8"/>
  <c r="I151" i="8" s="1"/>
  <c r="K111" i="8"/>
  <c r="K123" i="8"/>
  <c r="K135" i="8"/>
  <c r="K142" i="8"/>
  <c r="K161" i="8"/>
  <c r="F172" i="8"/>
  <c r="K177" i="8"/>
  <c r="K206" i="8"/>
  <c r="K233" i="8"/>
  <c r="K235" i="8"/>
  <c r="J243" i="8"/>
  <c r="K272" i="8"/>
  <c r="K308" i="8"/>
  <c r="J312" i="8"/>
  <c r="J329" i="8"/>
  <c r="K337" i="8"/>
  <c r="K339" i="8"/>
  <c r="J359" i="8"/>
  <c r="J389" i="8" s="1"/>
  <c r="F359" i="8"/>
  <c r="K372" i="8"/>
  <c r="K390" i="8"/>
  <c r="J393" i="8"/>
  <c r="O151" i="9"/>
  <c r="J106" i="8"/>
  <c r="J144" i="8"/>
  <c r="K170" i="8"/>
  <c r="K179" i="8"/>
  <c r="K208" i="8"/>
  <c r="G298" i="8"/>
  <c r="K304" i="8"/>
  <c r="K306" i="8"/>
  <c r="F327" i="8"/>
  <c r="K342" i="8"/>
  <c r="F368" i="8"/>
  <c r="K395" i="8"/>
  <c r="K140" i="9"/>
  <c r="J214" i="8"/>
  <c r="K245" i="8"/>
  <c r="N249" i="8"/>
  <c r="K353" i="8"/>
  <c r="K345" i="8"/>
  <c r="I389" i="8"/>
  <c r="I397" i="8" s="1"/>
  <c r="K357" i="8"/>
  <c r="K370" i="8"/>
  <c r="M393" i="8"/>
  <c r="M397" i="8" s="1"/>
  <c r="K392" i="8"/>
  <c r="K109" i="9"/>
  <c r="K162" i="9"/>
  <c r="D242" i="8"/>
  <c r="D250" i="8" s="1"/>
  <c r="K212" i="8"/>
  <c r="K239" i="8"/>
  <c r="K289" i="8"/>
  <c r="K383" i="8"/>
  <c r="E242" i="8"/>
  <c r="E250" i="8" s="1"/>
  <c r="K319" i="8"/>
  <c r="K327" i="8"/>
  <c r="K136" i="9"/>
  <c r="K160" i="9"/>
  <c r="J148" i="8"/>
  <c r="F160" i="8"/>
  <c r="K216" i="8"/>
  <c r="J220" i="8"/>
  <c r="F261" i="8"/>
  <c r="F291" i="8" s="1"/>
  <c r="F265" i="8"/>
  <c r="K287" i="8"/>
  <c r="J317" i="8"/>
  <c r="M347" i="8"/>
  <c r="K364" i="8"/>
  <c r="K366" i="8"/>
  <c r="K107" i="9"/>
  <c r="K116" i="9"/>
  <c r="K158" i="8"/>
  <c r="J167" i="8"/>
  <c r="K174" i="8"/>
  <c r="K185" i="8"/>
  <c r="F197" i="8"/>
  <c r="F199" i="8" s="1"/>
  <c r="G242" i="8"/>
  <c r="K255" i="8"/>
  <c r="J265" i="8"/>
  <c r="K277" i="8"/>
  <c r="K292" i="8"/>
  <c r="K295" i="8" s="1"/>
  <c r="F315" i="8"/>
  <c r="K381" i="8"/>
  <c r="F178" i="8"/>
  <c r="H199" i="8"/>
  <c r="H242" i="8"/>
  <c r="J205" i="8"/>
  <c r="O347" i="8"/>
  <c r="K362" i="8"/>
  <c r="K377" i="8"/>
  <c r="F162" i="8"/>
  <c r="G196" i="8"/>
  <c r="F207" i="8"/>
  <c r="F242" i="8" s="1"/>
  <c r="F250" i="8" s="1"/>
  <c r="K259" i="8"/>
  <c r="K275" i="8"/>
  <c r="J285" i="8"/>
  <c r="F341" i="8"/>
  <c r="F344" i="8" s="1"/>
  <c r="D50" i="9"/>
  <c r="M151" i="9"/>
  <c r="J197" i="8"/>
  <c r="K248" i="8"/>
  <c r="K283" i="8"/>
  <c r="K311" i="8"/>
  <c r="F334" i="8"/>
  <c r="K360" i="8"/>
  <c r="K388" i="8"/>
  <c r="K167" i="9"/>
  <c r="H192" i="8"/>
  <c r="K228" i="8"/>
  <c r="J232" i="8"/>
  <c r="G246" i="8"/>
  <c r="D291" i="8"/>
  <c r="D299" i="8" s="1"/>
  <c r="J273" i="8"/>
  <c r="K313" i="8"/>
  <c r="K315" i="8"/>
  <c r="K338" i="8"/>
  <c r="J343" i="8"/>
  <c r="E389" i="8"/>
  <c r="E397" i="8" s="1"/>
  <c r="K123" i="9"/>
  <c r="K234" i="8"/>
  <c r="I242" i="8"/>
  <c r="I250" i="8" s="1"/>
  <c r="H246" i="8"/>
  <c r="K271" i="8"/>
  <c r="G340" i="8"/>
  <c r="G348" i="8" s="1"/>
  <c r="K386" i="8"/>
  <c r="H396" i="8"/>
  <c r="J394" i="8"/>
  <c r="J394" i="7"/>
  <c r="J155" i="8"/>
  <c r="K195" i="8"/>
  <c r="N242" i="8"/>
  <c r="N250" i="8" s="1"/>
  <c r="K207" i="8"/>
  <c r="K209" i="8"/>
  <c r="K230" i="8"/>
  <c r="I246" i="8"/>
  <c r="K330" i="8"/>
  <c r="J341" i="8"/>
  <c r="J358" i="8"/>
  <c r="H50" i="9"/>
  <c r="F51" i="9" s="1"/>
  <c r="E102" i="9"/>
  <c r="M196" i="8"/>
  <c r="N199" i="8"/>
  <c r="K211" i="8"/>
  <c r="K238" i="8"/>
  <c r="G291" i="8"/>
  <c r="I340" i="8"/>
  <c r="K328" i="8"/>
  <c r="K371" i="8"/>
  <c r="K384" i="8"/>
  <c r="K121" i="9"/>
  <c r="H291" i="8"/>
  <c r="J303" i="8"/>
  <c r="M344" i="8"/>
  <c r="I347" i="8"/>
  <c r="J346" i="8"/>
  <c r="K174" i="9"/>
  <c r="O196" i="8"/>
  <c r="O200" i="8" s="1"/>
  <c r="F221" i="8"/>
  <c r="K240" i="8"/>
  <c r="I291" i="8"/>
  <c r="I299" i="8" s="1"/>
  <c r="K297" i="8"/>
  <c r="K326" i="8"/>
  <c r="N192" i="8"/>
  <c r="K217" i="8"/>
  <c r="J254" i="8"/>
  <c r="H295" i="8"/>
  <c r="L340" i="8"/>
  <c r="L348" i="8" s="1"/>
  <c r="K369" i="8"/>
  <c r="K382" i="8"/>
  <c r="L50" i="9"/>
  <c r="K256" i="8"/>
  <c r="M340" i="8"/>
  <c r="N389" i="8"/>
  <c r="N397" i="8" s="1"/>
  <c r="K365" i="8"/>
  <c r="M50" i="9"/>
  <c r="J102" i="9"/>
  <c r="F150" i="9"/>
  <c r="K186" i="8"/>
  <c r="F190" i="8"/>
  <c r="K221" i="8"/>
  <c r="E249" i="8"/>
  <c r="L291" i="8"/>
  <c r="L299" i="8" s="1"/>
  <c r="J258" i="8"/>
  <c r="F262" i="8"/>
  <c r="J295" i="8"/>
  <c r="N340" i="8"/>
  <c r="N348" i="8" s="1"/>
  <c r="K318" i="8"/>
  <c r="O389" i="8"/>
  <c r="O397" i="8" s="1"/>
  <c r="K380" i="8"/>
  <c r="N50" i="9"/>
  <c r="K102" i="9"/>
  <c r="K181" i="9"/>
  <c r="K219" i="8"/>
  <c r="G249" i="8"/>
  <c r="F247" i="8"/>
  <c r="F249" i="8" s="1"/>
  <c r="J249" i="8"/>
  <c r="M291" i="8"/>
  <c r="F274" i="8"/>
  <c r="K280" i="8"/>
  <c r="J286" i="8"/>
  <c r="F286" i="8"/>
  <c r="O340" i="8"/>
  <c r="F339" i="8"/>
  <c r="P389" i="8"/>
  <c r="K376" i="8"/>
  <c r="K378" i="8"/>
  <c r="L102" i="9"/>
  <c r="K145" i="9"/>
  <c r="K112" i="9"/>
  <c r="E192" i="9"/>
  <c r="J205" i="9"/>
  <c r="I242" i="9"/>
  <c r="I250" i="9" s="1"/>
  <c r="H249" i="9"/>
  <c r="J247" i="9"/>
  <c r="K264" i="9"/>
  <c r="J292" i="9"/>
  <c r="K294" i="9"/>
  <c r="K315" i="9"/>
  <c r="J127" i="9"/>
  <c r="J129" i="9"/>
  <c r="K133" i="9"/>
  <c r="K189" i="9"/>
  <c r="K220" i="9"/>
  <c r="K235" i="9"/>
  <c r="K262" i="9"/>
  <c r="K273" i="9"/>
  <c r="F292" i="9"/>
  <c r="F295" i="9" s="1"/>
  <c r="I295" i="9"/>
  <c r="K304" i="9"/>
  <c r="K380" i="9"/>
  <c r="H143" i="9"/>
  <c r="L249" i="9"/>
  <c r="L250" i="9" s="1"/>
  <c r="J258" i="9"/>
  <c r="K280" i="9"/>
  <c r="K331" i="9"/>
  <c r="F393" i="9"/>
  <c r="F185" i="9"/>
  <c r="K187" i="9"/>
  <c r="K260" i="9"/>
  <c r="K289" i="9"/>
  <c r="K341" i="9"/>
  <c r="J344" i="9"/>
  <c r="K371" i="9"/>
  <c r="P393" i="8"/>
  <c r="J118" i="9"/>
  <c r="I192" i="9"/>
  <c r="I200" i="9" s="1"/>
  <c r="F161" i="9"/>
  <c r="F192" i="9" s="1"/>
  <c r="F200" i="9" s="1"/>
  <c r="J163" i="9"/>
  <c r="J185" i="9"/>
  <c r="O242" i="9"/>
  <c r="O250" i="9" s="1"/>
  <c r="F210" i="9"/>
  <c r="J233" i="9"/>
  <c r="K269" i="9"/>
  <c r="K313" i="9"/>
  <c r="K338" i="9"/>
  <c r="K360" i="9"/>
  <c r="K124" i="10"/>
  <c r="K139" i="9"/>
  <c r="J155" i="9"/>
  <c r="K161" i="9"/>
  <c r="P250" i="9"/>
  <c r="J210" i="9"/>
  <c r="K212" i="9"/>
  <c r="K278" i="9"/>
  <c r="N340" i="9"/>
  <c r="N348" i="9" s="1"/>
  <c r="K329" i="9"/>
  <c r="K369" i="9"/>
  <c r="J150" i="10"/>
  <c r="K148" i="10"/>
  <c r="K150" i="10" s="1"/>
  <c r="K231" i="9"/>
  <c r="D291" i="9"/>
  <c r="D299" i="9" s="1"/>
  <c r="K256" i="9"/>
  <c r="F267" i="9"/>
  <c r="F291" i="9" s="1"/>
  <c r="F299" i="9" s="1"/>
  <c r="H389" i="8"/>
  <c r="M102" i="9"/>
  <c r="K120" i="9"/>
  <c r="K177" i="9"/>
  <c r="K194" i="9"/>
  <c r="E291" i="9"/>
  <c r="J267" i="9"/>
  <c r="K336" i="9"/>
  <c r="K122" i="9"/>
  <c r="K173" i="9"/>
  <c r="E242" i="9"/>
  <c r="K208" i="9"/>
  <c r="K287" i="9"/>
  <c r="K307" i="9"/>
  <c r="K309" i="9"/>
  <c r="K383" i="9"/>
  <c r="K122" i="10"/>
  <c r="F113" i="9"/>
  <c r="F128" i="9"/>
  <c r="N192" i="9"/>
  <c r="K175" i="9"/>
  <c r="K179" i="9"/>
  <c r="F243" i="9"/>
  <c r="F246" i="9" s="1"/>
  <c r="F248" i="9"/>
  <c r="K254" i="9"/>
  <c r="K276" i="9"/>
  <c r="F296" i="9"/>
  <c r="F298" i="9" s="1"/>
  <c r="G298" i="9"/>
  <c r="K327" i="9"/>
  <c r="O102" i="10"/>
  <c r="J126" i="9"/>
  <c r="F144" i="9"/>
  <c r="F146" i="9"/>
  <c r="J148" i="9"/>
  <c r="K171" i="9"/>
  <c r="G192" i="9"/>
  <c r="G200" i="9" s="1"/>
  <c r="K223" i="9"/>
  <c r="K265" i="9"/>
  <c r="K285" i="9"/>
  <c r="J298" i="9"/>
  <c r="K296" i="9"/>
  <c r="K316" i="9"/>
  <c r="J347" i="9"/>
  <c r="K345" i="9"/>
  <c r="K356" i="9"/>
  <c r="F296" i="8"/>
  <c r="F298" i="8" s="1"/>
  <c r="J146" i="9"/>
  <c r="L150" i="9"/>
  <c r="K169" i="9"/>
  <c r="K206" i="9"/>
  <c r="J243" i="9"/>
  <c r="K248" i="9"/>
  <c r="L291" i="9"/>
  <c r="L299" i="9" s="1"/>
  <c r="K274" i="9"/>
  <c r="D340" i="9"/>
  <c r="D348" i="9" s="1"/>
  <c r="K305" i="9"/>
  <c r="K334" i="9"/>
  <c r="K381" i="9"/>
  <c r="K391" i="9"/>
  <c r="E102" i="10"/>
  <c r="K129" i="10"/>
  <c r="K136" i="10"/>
  <c r="H340" i="8"/>
  <c r="H348" i="8" s="1"/>
  <c r="K132" i="9"/>
  <c r="J144" i="9"/>
  <c r="K240" i="9"/>
  <c r="K374" i="9"/>
  <c r="G393" i="8"/>
  <c r="G397" i="8" s="1"/>
  <c r="D143" i="9"/>
  <c r="D151" i="9" s="1"/>
  <c r="K128" i="9"/>
  <c r="K188" i="9"/>
  <c r="K197" i="9"/>
  <c r="J221" i="9"/>
  <c r="J234" i="9"/>
  <c r="K236" i="9"/>
  <c r="J270" i="9"/>
  <c r="K281" i="9"/>
  <c r="K325" i="9"/>
  <c r="K342" i="9"/>
  <c r="K363" i="9"/>
  <c r="H393" i="8"/>
  <c r="K130" i="9"/>
  <c r="J138" i="9"/>
  <c r="P192" i="9"/>
  <c r="P200" i="9" s="1"/>
  <c r="H340" i="9"/>
  <c r="H348" i="9" s="1"/>
  <c r="H102" i="10"/>
  <c r="J296" i="8"/>
  <c r="M147" i="9"/>
  <c r="K219" i="9"/>
  <c r="K261" i="9"/>
  <c r="K314" i="9"/>
  <c r="K370" i="9"/>
  <c r="K388" i="9"/>
  <c r="K134" i="10"/>
  <c r="G143" i="9"/>
  <c r="G151" i="9" s="1"/>
  <c r="J142" i="9"/>
  <c r="J186" i="9"/>
  <c r="E196" i="9"/>
  <c r="N199" i="9"/>
  <c r="K232" i="9"/>
  <c r="K279" i="9"/>
  <c r="L340" i="9"/>
  <c r="L348" i="9" s="1"/>
  <c r="J102" i="10"/>
  <c r="H151" i="10"/>
  <c r="F371" i="8"/>
  <c r="F383" i="8"/>
  <c r="K211" i="9"/>
  <c r="P246" i="9"/>
  <c r="K257" i="9"/>
  <c r="K268" i="9"/>
  <c r="K288" i="9"/>
  <c r="M340" i="9"/>
  <c r="M348" i="9" s="1"/>
  <c r="K319" i="9"/>
  <c r="K321" i="9"/>
  <c r="H397" i="9"/>
  <c r="K359" i="9"/>
  <c r="I143" i="9"/>
  <c r="I151" i="9" s="1"/>
  <c r="P147" i="9"/>
  <c r="P151" i="9" s="1"/>
  <c r="J158" i="9"/>
  <c r="K184" i="9"/>
  <c r="H196" i="9"/>
  <c r="H200" i="9" s="1"/>
  <c r="J193" i="9"/>
  <c r="K106" i="9"/>
  <c r="F110" i="9"/>
  <c r="F143" i="9" s="1"/>
  <c r="K176" i="9"/>
  <c r="J182" i="9"/>
  <c r="E246" i="9"/>
  <c r="K277" i="9"/>
  <c r="K286" i="9"/>
  <c r="K328" i="9"/>
  <c r="K386" i="9"/>
  <c r="M102" i="10"/>
  <c r="K112" i="10"/>
  <c r="L143" i="9"/>
  <c r="J209" i="9"/>
  <c r="K255" i="9"/>
  <c r="K297" i="9"/>
  <c r="P340" i="9"/>
  <c r="P348" i="9" s="1"/>
  <c r="K317" i="9"/>
  <c r="K357" i="9"/>
  <c r="F50" i="10"/>
  <c r="N102" i="10"/>
  <c r="F133" i="9"/>
  <c r="H147" i="9"/>
  <c r="K180" i="9"/>
  <c r="F222" i="9"/>
  <c r="K228" i="9"/>
  <c r="F241" i="9"/>
  <c r="I291" i="9"/>
  <c r="K335" i="9"/>
  <c r="K375" i="9"/>
  <c r="G50" i="10"/>
  <c r="J170" i="9"/>
  <c r="G242" i="9"/>
  <c r="K207" i="9"/>
  <c r="J222" i="9"/>
  <c r="K224" i="9"/>
  <c r="J282" i="9"/>
  <c r="E295" i="9"/>
  <c r="O397" i="9"/>
  <c r="K382" i="9"/>
  <c r="K125" i="9"/>
  <c r="D192" i="9"/>
  <c r="D200" i="9" s="1"/>
  <c r="K172" i="9"/>
  <c r="G249" i="9"/>
  <c r="F247" i="9"/>
  <c r="F249" i="9" s="1"/>
  <c r="M291" i="9"/>
  <c r="M299" i="9" s="1"/>
  <c r="K326" i="9"/>
  <c r="K343" i="9"/>
  <c r="K364" i="9"/>
  <c r="K110" i="10"/>
  <c r="G291" i="9"/>
  <c r="G299" i="9" s="1"/>
  <c r="H344" i="9"/>
  <c r="F367" i="9"/>
  <c r="F389" i="9" s="1"/>
  <c r="K175" i="10"/>
  <c r="J199" i="10"/>
  <c r="K197" i="10"/>
  <c r="K220" i="10"/>
  <c r="K227" i="10"/>
  <c r="K280" i="10"/>
  <c r="K374" i="10"/>
  <c r="K391" i="10"/>
  <c r="H291" i="9"/>
  <c r="J367" i="9"/>
  <c r="M101" i="10"/>
  <c r="K164" i="10"/>
  <c r="K182" i="10"/>
  <c r="K184" i="10"/>
  <c r="K194" i="10"/>
  <c r="E242" i="10"/>
  <c r="E250" i="10" s="1"/>
  <c r="K209" i="10"/>
  <c r="K269" i="10"/>
  <c r="K311" i="10"/>
  <c r="K325" i="10"/>
  <c r="K352" i="10"/>
  <c r="J389" i="10"/>
  <c r="I393" i="9"/>
  <c r="L49" i="10"/>
  <c r="L50" i="10" s="1"/>
  <c r="N101" i="10"/>
  <c r="K162" i="10"/>
  <c r="F205" i="10"/>
  <c r="G242" i="10"/>
  <c r="G250" i="10" s="1"/>
  <c r="K216" i="10"/>
  <c r="K241" i="10"/>
  <c r="K363" i="10"/>
  <c r="K306" i="9"/>
  <c r="K318" i="9"/>
  <c r="K330" i="9"/>
  <c r="K337" i="9"/>
  <c r="K358" i="9"/>
  <c r="K376" i="9"/>
  <c r="K387" i="9"/>
  <c r="G389" i="9"/>
  <c r="G397" i="9" s="1"/>
  <c r="M49" i="10"/>
  <c r="M50" i="10" s="1"/>
  <c r="J158" i="10"/>
  <c r="K160" i="10"/>
  <c r="K171" i="10"/>
  <c r="K173" i="10"/>
  <c r="K191" i="10"/>
  <c r="K207" i="10"/>
  <c r="K267" i="10"/>
  <c r="K289" i="10"/>
  <c r="K318" i="10"/>
  <c r="K332" i="10"/>
  <c r="K379" i="10"/>
  <c r="F303" i="9"/>
  <c r="F340" i="9" s="1"/>
  <c r="F348" i="9" s="1"/>
  <c r="K346" i="9"/>
  <c r="J395" i="9"/>
  <c r="D50" i="10"/>
  <c r="N49" i="10"/>
  <c r="N50" i="10" s="1"/>
  <c r="F108" i="10"/>
  <c r="F120" i="10"/>
  <c r="F132" i="10"/>
  <c r="I242" i="10"/>
  <c r="I250" i="10" s="1"/>
  <c r="K225" i="10"/>
  <c r="J249" i="10"/>
  <c r="K247" i="10"/>
  <c r="K256" i="10"/>
  <c r="K278" i="10"/>
  <c r="K309" i="10"/>
  <c r="K361" i="10"/>
  <c r="K372" i="10"/>
  <c r="K388" i="10"/>
  <c r="F334" i="9"/>
  <c r="F341" i="9"/>
  <c r="F344" i="9" s="1"/>
  <c r="E42" i="10"/>
  <c r="E50" i="10" s="1"/>
  <c r="O49" i="10"/>
  <c r="O50" i="10" s="1"/>
  <c r="J108" i="10"/>
  <c r="J120" i="10"/>
  <c r="J132" i="10"/>
  <c r="J143" i="10" s="1"/>
  <c r="K145" i="10"/>
  <c r="F148" i="10"/>
  <c r="F150" i="10" s="1"/>
  <c r="G150" i="10"/>
  <c r="K169" i="10"/>
  <c r="K214" i="10"/>
  <c r="K316" i="10"/>
  <c r="K323" i="10"/>
  <c r="K337" i="10"/>
  <c r="H242" i="9"/>
  <c r="H250" i="9" s="1"/>
  <c r="K116" i="10"/>
  <c r="K128" i="10"/>
  <c r="H150" i="10"/>
  <c r="J156" i="10"/>
  <c r="H192" i="10"/>
  <c r="H200" i="10" s="1"/>
  <c r="K180" i="10"/>
  <c r="K189" i="10"/>
  <c r="M242" i="10"/>
  <c r="M250" i="10" s="1"/>
  <c r="K239" i="10"/>
  <c r="K377" i="10"/>
  <c r="K395" i="10"/>
  <c r="K293" i="9"/>
  <c r="K308" i="9"/>
  <c r="K320" i="9"/>
  <c r="K339" i="9"/>
  <c r="I192" i="10"/>
  <c r="K265" i="10"/>
  <c r="K276" i="10"/>
  <c r="K287" i="10"/>
  <c r="K314" i="10"/>
  <c r="K330" i="10"/>
  <c r="H295" i="9"/>
  <c r="J303" i="9"/>
  <c r="E347" i="9"/>
  <c r="E348" i="9" s="1"/>
  <c r="K106" i="10"/>
  <c r="K167" i="10"/>
  <c r="K178" i="10"/>
  <c r="K212" i="10"/>
  <c r="K254" i="10"/>
  <c r="J291" i="10"/>
  <c r="K321" i="10"/>
  <c r="K366" i="10"/>
  <c r="K386" i="10"/>
  <c r="F345" i="9"/>
  <c r="F347" i="9" s="1"/>
  <c r="L192" i="10"/>
  <c r="L200" i="10" s="1"/>
  <c r="F187" i="10"/>
  <c r="J187" i="10"/>
  <c r="J192" i="10" s="1"/>
  <c r="J200" i="10" s="1"/>
  <c r="P250" i="10"/>
  <c r="L299" i="10"/>
  <c r="K328" i="10"/>
  <c r="K335" i="10"/>
  <c r="M143" i="10"/>
  <c r="M150" i="10"/>
  <c r="M192" i="10"/>
  <c r="M200" i="10" s="1"/>
  <c r="K198" i="10"/>
  <c r="K221" i="10"/>
  <c r="K228" i="10"/>
  <c r="K237" i="10"/>
  <c r="K281" i="10"/>
  <c r="D348" i="10"/>
  <c r="K375" i="10"/>
  <c r="K392" i="10"/>
  <c r="K165" i="10"/>
  <c r="F210" i="10"/>
  <c r="J210" i="10"/>
  <c r="F246" i="10"/>
  <c r="N299" i="10"/>
  <c r="K263" i="10"/>
  <c r="K312" i="10"/>
  <c r="K326" i="10"/>
  <c r="K364" i="10"/>
  <c r="K244" i="9"/>
  <c r="K259" i="9"/>
  <c r="K271" i="9"/>
  <c r="K283" i="9"/>
  <c r="F368" i="9"/>
  <c r="F392" i="9"/>
  <c r="O143" i="10"/>
  <c r="D147" i="10"/>
  <c r="D151" i="10" s="1"/>
  <c r="K176" i="10"/>
  <c r="K195" i="10"/>
  <c r="K217" i="10"/>
  <c r="K219" i="10"/>
  <c r="K333" i="10"/>
  <c r="K353" i="10"/>
  <c r="H246" i="9"/>
  <c r="P143" i="10"/>
  <c r="P151" i="10" s="1"/>
  <c r="J137" i="10"/>
  <c r="F137" i="10"/>
  <c r="K163" i="10"/>
  <c r="K174" i="10"/>
  <c r="K185" i="10"/>
  <c r="K279" i="10"/>
  <c r="K373" i="10"/>
  <c r="K380" i="10"/>
  <c r="J390" i="9"/>
  <c r="J396" i="9"/>
  <c r="K111" i="10"/>
  <c r="K123" i="10"/>
  <c r="K135" i="10"/>
  <c r="K141" i="10"/>
  <c r="K193" i="10"/>
  <c r="J196" i="10"/>
  <c r="K226" i="10"/>
  <c r="K268" i="10"/>
  <c r="K290" i="10"/>
  <c r="K390" i="10"/>
  <c r="J393" i="10"/>
  <c r="K394" i="9"/>
  <c r="J113" i="10"/>
  <c r="J125" i="10"/>
  <c r="K159" i="10"/>
  <c r="K170" i="10"/>
  <c r="K172" i="10"/>
  <c r="K181" i="10"/>
  <c r="K208" i="10"/>
  <c r="K257" i="10"/>
  <c r="K310" i="10"/>
  <c r="K324" i="10"/>
  <c r="K362" i="10"/>
  <c r="F393" i="10"/>
  <c r="K368" i="9"/>
  <c r="K377" i="9"/>
  <c r="L393" i="9"/>
  <c r="L397" i="9" s="1"/>
  <c r="K392" i="9"/>
  <c r="D101" i="10"/>
  <c r="D102" i="10" s="1"/>
  <c r="E143" i="10"/>
  <c r="E151" i="10" s="1"/>
  <c r="F147" i="10"/>
  <c r="K161" i="10"/>
  <c r="K240" i="10"/>
  <c r="L348" i="10"/>
  <c r="K338" i="10"/>
  <c r="G340" i="9"/>
  <c r="I389" i="9"/>
  <c r="K379" i="9"/>
  <c r="J144" i="10"/>
  <c r="D192" i="10"/>
  <c r="D200" i="10" s="1"/>
  <c r="K157" i="10"/>
  <c r="K190" i="10"/>
  <c r="K215" i="10"/>
  <c r="K224" i="10"/>
  <c r="K233" i="10"/>
  <c r="K255" i="10"/>
  <c r="K277" i="10"/>
  <c r="K288" i="10"/>
  <c r="K371" i="10"/>
  <c r="G196" i="9"/>
  <c r="J352" i="9"/>
  <c r="G143" i="10"/>
  <c r="E192" i="10"/>
  <c r="E200" i="10" s="1"/>
  <c r="K179" i="10"/>
  <c r="K266" i="10"/>
  <c r="N348" i="10"/>
  <c r="K387" i="10"/>
  <c r="J107" i="10"/>
  <c r="J119" i="10"/>
  <c r="J131" i="10"/>
  <c r="M147" i="10"/>
  <c r="G192" i="10"/>
  <c r="G200" i="10" s="1"/>
  <c r="O242" i="10"/>
  <c r="O250" i="10" s="1"/>
  <c r="K213" i="10"/>
  <c r="K231" i="10"/>
  <c r="O348" i="10"/>
  <c r="K308" i="10"/>
  <c r="K322" i="10"/>
  <c r="K336" i="10"/>
  <c r="K360" i="10"/>
  <c r="I151" i="10"/>
  <c r="K155" i="10"/>
  <c r="F222" i="10"/>
  <c r="J222" i="10"/>
  <c r="K229" i="10"/>
  <c r="K238" i="10"/>
  <c r="K294" i="10"/>
  <c r="K376" i="10"/>
  <c r="K394" i="10"/>
  <c r="J396" i="10"/>
  <c r="I101" i="10"/>
  <c r="I102" i="10" s="1"/>
  <c r="O147" i="10"/>
  <c r="F175" i="10"/>
  <c r="K177" i="10"/>
  <c r="K264" i="10"/>
  <c r="K275" i="10"/>
  <c r="K313" i="10"/>
  <c r="K385" i="10"/>
  <c r="N389" i="9"/>
  <c r="N397" i="9" s="1"/>
  <c r="H49" i="10"/>
  <c r="H50" i="10" s="1"/>
  <c r="K166" i="10"/>
  <c r="K297" i="10"/>
  <c r="K354" i="10"/>
  <c r="K365" i="10"/>
  <c r="G344" i="9"/>
  <c r="I49" i="10"/>
  <c r="I50" i="10" s="1"/>
  <c r="N143" i="10"/>
  <c r="N151" i="10" s="1"/>
  <c r="K186" i="10"/>
  <c r="K236" i="10"/>
  <c r="J295" i="10"/>
  <c r="K292" i="10"/>
  <c r="K295" i="10" s="1"/>
  <c r="K306" i="10"/>
  <c r="K320" i="10"/>
  <c r="K334" i="10"/>
  <c r="H389" i="10"/>
  <c r="H396" i="10"/>
  <c r="J234" i="10"/>
  <c r="K261" i="10"/>
  <c r="K273" i="10"/>
  <c r="K285" i="10"/>
  <c r="J307" i="10"/>
  <c r="J319" i="10"/>
  <c r="J331" i="10"/>
  <c r="K343" i="10"/>
  <c r="K358" i="10"/>
  <c r="K370" i="10"/>
  <c r="K382" i="10"/>
  <c r="I389" i="10"/>
  <c r="I397" i="10" s="1"/>
  <c r="J205" i="10"/>
  <c r="J248" i="10"/>
  <c r="F304" i="10"/>
  <c r="H196" i="10"/>
  <c r="G340" i="10"/>
  <c r="K345" i="10"/>
  <c r="G347" i="10"/>
  <c r="F155" i="10"/>
  <c r="I196" i="10"/>
  <c r="K384" i="10"/>
  <c r="I340" i="10"/>
  <c r="I348" i="10" s="1"/>
  <c r="K114" i="10"/>
  <c r="K126" i="10"/>
  <c r="K138" i="10"/>
  <c r="F162" i="10"/>
  <c r="F174" i="10"/>
  <c r="F186" i="10"/>
  <c r="F209" i="10"/>
  <c r="F221" i="10"/>
  <c r="F233" i="10"/>
  <c r="K243" i="10"/>
  <c r="K246" i="10" s="1"/>
  <c r="K258" i="10"/>
  <c r="K270" i="10"/>
  <c r="K282" i="10"/>
  <c r="F306" i="10"/>
  <c r="F318" i="10"/>
  <c r="F330" i="10"/>
  <c r="K355" i="10"/>
  <c r="K367" i="10"/>
  <c r="H393" i="10"/>
  <c r="J296" i="10"/>
  <c r="I393" i="10"/>
  <c r="F247" i="10"/>
  <c r="F249" i="10" s="1"/>
  <c r="G291" i="10"/>
  <c r="G299" i="10" s="1"/>
  <c r="I147" i="10"/>
  <c r="I291" i="10"/>
  <c r="I298" i="10"/>
  <c r="F308" i="10"/>
  <c r="F320" i="10"/>
  <c r="F332" i="10"/>
  <c r="F340" i="10" s="1"/>
  <c r="K342" i="10"/>
  <c r="G344" i="10"/>
  <c r="K357" i="10"/>
  <c r="K369" i="10"/>
  <c r="K381" i="10"/>
  <c r="F195" i="10"/>
  <c r="F196" i="10" s="1"/>
  <c r="F257" i="10"/>
  <c r="F269" i="10"/>
  <c r="J344" i="10"/>
  <c r="I295" i="10"/>
  <c r="N344" i="10"/>
  <c r="F363" i="10"/>
  <c r="F389" i="10" s="1"/>
  <c r="F394" i="10"/>
  <c r="F396" i="10" s="1"/>
  <c r="F51" i="8" l="1"/>
  <c r="O51" i="8"/>
  <c r="E51" i="8"/>
  <c r="I51" i="8"/>
  <c r="M51" i="8"/>
  <c r="K51" i="8"/>
  <c r="D51" i="8"/>
  <c r="H51" i="8"/>
  <c r="N51" i="8"/>
  <c r="E299" i="10"/>
  <c r="J199" i="9"/>
  <c r="H299" i="9"/>
  <c r="L151" i="9"/>
  <c r="I250" i="5"/>
  <c r="F242" i="4"/>
  <c r="D102" i="9"/>
  <c r="I348" i="9"/>
  <c r="L250" i="8"/>
  <c r="D397" i="8"/>
  <c r="M200" i="9"/>
  <c r="N102" i="7"/>
  <c r="O151" i="7"/>
  <c r="L50" i="4"/>
  <c r="H200" i="5"/>
  <c r="H397" i="6"/>
  <c r="L397" i="4"/>
  <c r="N200" i="10"/>
  <c r="F102" i="10"/>
  <c r="P348" i="8"/>
  <c r="O151" i="4"/>
  <c r="L51" i="9"/>
  <c r="N299" i="9"/>
  <c r="M151" i="8"/>
  <c r="F143" i="6"/>
  <c r="F151" i="6" s="1"/>
  <c r="O397" i="6"/>
  <c r="F348" i="6"/>
  <c r="F397" i="5"/>
  <c r="M51" i="4"/>
  <c r="J246" i="10"/>
  <c r="L102" i="4"/>
  <c r="D151" i="5"/>
  <c r="G348" i="6"/>
  <c r="F192" i="8"/>
  <c r="F200" i="8" s="1"/>
  <c r="K196" i="8"/>
  <c r="H200" i="7"/>
  <c r="G151" i="6"/>
  <c r="E397" i="10"/>
  <c r="O51" i="10"/>
  <c r="L151" i="10"/>
  <c r="D250" i="4"/>
  <c r="P397" i="9"/>
  <c r="L151" i="8"/>
  <c r="I50" i="5"/>
  <c r="M51" i="5" s="1"/>
  <c r="E299" i="9"/>
  <c r="H151" i="7"/>
  <c r="K50" i="10"/>
  <c r="K51" i="10" s="1"/>
  <c r="N250" i="9"/>
  <c r="L299" i="7"/>
  <c r="H102" i="6"/>
  <c r="F340" i="7"/>
  <c r="F348" i="7" s="1"/>
  <c r="G250" i="7"/>
  <c r="J51" i="5"/>
  <c r="K295" i="5"/>
  <c r="F143" i="4"/>
  <c r="F151" i="4" s="1"/>
  <c r="E348" i="10"/>
  <c r="O200" i="9"/>
  <c r="O151" i="8"/>
  <c r="F393" i="6"/>
  <c r="F397" i="6" s="1"/>
  <c r="H348" i="10"/>
  <c r="G51" i="8"/>
  <c r="K102" i="5"/>
  <c r="F348" i="5"/>
  <c r="L102" i="8"/>
  <c r="P397" i="4"/>
  <c r="N50" i="5"/>
  <c r="F51" i="5" s="1"/>
  <c r="F348" i="10"/>
  <c r="F242" i="9"/>
  <c r="F250" i="9" s="1"/>
  <c r="H200" i="4"/>
  <c r="P200" i="10"/>
  <c r="G397" i="10"/>
  <c r="K102" i="8"/>
  <c r="I348" i="6"/>
  <c r="O397" i="4"/>
  <c r="F397" i="9"/>
  <c r="I299" i="10"/>
  <c r="H397" i="8"/>
  <c r="G51" i="7"/>
  <c r="J192" i="5"/>
  <c r="J200" i="5" s="1"/>
  <c r="N397" i="10"/>
  <c r="D397" i="9"/>
  <c r="L348" i="5"/>
  <c r="F291" i="10"/>
  <c r="F299" i="10" s="1"/>
  <c r="H397" i="10"/>
  <c r="O397" i="5"/>
  <c r="F389" i="8"/>
  <c r="F397" i="8" s="1"/>
  <c r="D50" i="7"/>
  <c r="J51" i="7" s="1"/>
  <c r="L250" i="6"/>
  <c r="E299" i="7"/>
  <c r="H51" i="6"/>
  <c r="D50" i="4"/>
  <c r="H51" i="4" s="1"/>
  <c r="L397" i="8"/>
  <c r="L250" i="10"/>
  <c r="N348" i="7"/>
  <c r="M250" i="9"/>
  <c r="N250" i="7"/>
  <c r="H151" i="4"/>
  <c r="H299" i="4"/>
  <c r="P151" i="6"/>
  <c r="D250" i="10"/>
  <c r="O50" i="5"/>
  <c r="O51" i="5" s="1"/>
  <c r="M348" i="5"/>
  <c r="G51" i="9"/>
  <c r="M151" i="10"/>
  <c r="F242" i="7"/>
  <c r="F250" i="7" s="1"/>
  <c r="G151" i="7"/>
  <c r="I151" i="7"/>
  <c r="N397" i="5"/>
  <c r="E151" i="9"/>
  <c r="F295" i="8"/>
  <c r="O299" i="6"/>
  <c r="I102" i="5"/>
  <c r="I102" i="4"/>
  <c r="L51" i="10"/>
  <c r="J51" i="10"/>
  <c r="K270" i="9"/>
  <c r="K298" i="6"/>
  <c r="K332" i="6"/>
  <c r="K395" i="5"/>
  <c r="J396" i="5"/>
  <c r="F192" i="10"/>
  <c r="F200" i="10" s="1"/>
  <c r="K389" i="6"/>
  <c r="K234" i="9"/>
  <c r="K286" i="8"/>
  <c r="K393" i="8"/>
  <c r="K367" i="7"/>
  <c r="K295" i="7"/>
  <c r="J295" i="6"/>
  <c r="K292" i="6"/>
  <c r="K295" i="6" s="1"/>
  <c r="K123" i="7"/>
  <c r="K283" i="6"/>
  <c r="F291" i="4"/>
  <c r="F299" i="4" s="1"/>
  <c r="J291" i="4"/>
  <c r="K254" i="4"/>
  <c r="K220" i="4"/>
  <c r="K144" i="9"/>
  <c r="J147" i="9"/>
  <c r="K128" i="8"/>
  <c r="K258" i="8"/>
  <c r="H250" i="8"/>
  <c r="K116" i="8"/>
  <c r="K389" i="8"/>
  <c r="K397" i="8" s="1"/>
  <c r="J199" i="8"/>
  <c r="K197" i="8"/>
  <c r="K347" i="10"/>
  <c r="K234" i="10"/>
  <c r="G151" i="10"/>
  <c r="K144" i="10"/>
  <c r="K147" i="10" s="1"/>
  <c r="J147" i="10"/>
  <c r="J151" i="10" s="1"/>
  <c r="K347" i="9"/>
  <c r="N200" i="8"/>
  <c r="K155" i="8"/>
  <c r="J192" i="8"/>
  <c r="J200" i="8" s="1"/>
  <c r="K266" i="7"/>
  <c r="K321" i="6"/>
  <c r="K271" i="6"/>
  <c r="K229" i="6"/>
  <c r="D51" i="6"/>
  <c r="G51" i="6"/>
  <c r="I51" i="6"/>
  <c r="M51" i="6"/>
  <c r="K319" i="10"/>
  <c r="K210" i="10"/>
  <c r="J396" i="7"/>
  <c r="K394" i="7"/>
  <c r="K396" i="7" s="1"/>
  <c r="K214" i="8"/>
  <c r="K198" i="8"/>
  <c r="K242" i="7"/>
  <c r="F250" i="4"/>
  <c r="I397" i="9"/>
  <c r="K187" i="10"/>
  <c r="J298" i="8"/>
  <c r="K296" i="8"/>
  <c r="K298" i="8" s="1"/>
  <c r="K51" i="9"/>
  <c r="I348" i="8"/>
  <c r="K317" i="8"/>
  <c r="H299" i="7"/>
  <c r="K336" i="6"/>
  <c r="K372" i="5"/>
  <c r="J143" i="6"/>
  <c r="K106" i="6"/>
  <c r="K388" i="5"/>
  <c r="K173" i="5"/>
  <c r="J147" i="5"/>
  <c r="J151" i="5" s="1"/>
  <c r="K144" i="5"/>
  <c r="K107" i="5"/>
  <c r="E299" i="4"/>
  <c r="K205" i="4"/>
  <c r="J242" i="4"/>
  <c r="J242" i="10"/>
  <c r="J250" i="10" s="1"/>
  <c r="K205" i="10"/>
  <c r="K331" i="10"/>
  <c r="K146" i="5"/>
  <c r="H51" i="10"/>
  <c r="G348" i="9"/>
  <c r="K120" i="10"/>
  <c r="K282" i="9"/>
  <c r="G299" i="8"/>
  <c r="K273" i="8"/>
  <c r="K285" i="8"/>
  <c r="K359" i="8"/>
  <c r="K196" i="7"/>
  <c r="G52" i="8"/>
  <c r="E52" i="8"/>
  <c r="K51" i="6"/>
  <c r="K386" i="5"/>
  <c r="K171" i="5"/>
  <c r="K215" i="5"/>
  <c r="F338" i="2"/>
  <c r="J147" i="8"/>
  <c r="K144" i="8"/>
  <c r="K147" i="8" s="1"/>
  <c r="K303" i="9"/>
  <c r="K340" i="9" s="1"/>
  <c r="J340" i="9"/>
  <c r="J348" i="9" s="1"/>
  <c r="K199" i="9"/>
  <c r="K292" i="9"/>
  <c r="K295" i="9" s="1"/>
  <c r="J295" i="9"/>
  <c r="D51" i="9"/>
  <c r="K196" i="10"/>
  <c r="K108" i="10"/>
  <c r="J249" i="9"/>
  <c r="K247" i="9"/>
  <c r="K249" i="9" s="1"/>
  <c r="M299" i="8"/>
  <c r="J396" i="8"/>
  <c r="K394" i="8"/>
  <c r="K396" i="8" s="1"/>
  <c r="K234" i="7"/>
  <c r="J242" i="7"/>
  <c r="K298" i="7"/>
  <c r="K333" i="5"/>
  <c r="K206" i="5"/>
  <c r="F192" i="5"/>
  <c r="F200" i="5" s="1"/>
  <c r="O151" i="10"/>
  <c r="M51" i="9"/>
  <c r="K145" i="7"/>
  <c r="K147" i="7" s="1"/>
  <c r="J147" i="7"/>
  <c r="J242" i="6"/>
  <c r="K205" i="6"/>
  <c r="K130" i="6"/>
  <c r="H51" i="5"/>
  <c r="J295" i="4"/>
  <c r="K292" i="4"/>
  <c r="K295" i="4" s="1"/>
  <c r="I29" i="3"/>
  <c r="E51" i="10"/>
  <c r="J51" i="9"/>
  <c r="K195" i="6"/>
  <c r="K183" i="5"/>
  <c r="K260" i="5"/>
  <c r="P299" i="5"/>
  <c r="L51" i="5"/>
  <c r="F289" i="2"/>
  <c r="F297" i="2" s="1"/>
  <c r="K137" i="10"/>
  <c r="F143" i="10"/>
  <c r="F151" i="10" s="1"/>
  <c r="K222" i="9"/>
  <c r="N200" i="9"/>
  <c r="K233" i="9"/>
  <c r="K121" i="7"/>
  <c r="E51" i="6"/>
  <c r="J389" i="4"/>
  <c r="K352" i="4"/>
  <c r="K262" i="4"/>
  <c r="K138" i="4"/>
  <c r="D25" i="3"/>
  <c r="K146" i="9"/>
  <c r="F51" i="10"/>
  <c r="K267" i="9"/>
  <c r="K232" i="8"/>
  <c r="K156" i="10"/>
  <c r="K344" i="10"/>
  <c r="N51" i="10"/>
  <c r="K158" i="10"/>
  <c r="K182" i="9"/>
  <c r="K186" i="9"/>
  <c r="K205" i="9"/>
  <c r="J242" i="9"/>
  <c r="K278" i="7"/>
  <c r="J51" i="8"/>
  <c r="L51" i="8"/>
  <c r="N52" i="8" s="1"/>
  <c r="O250" i="7"/>
  <c r="K135" i="7"/>
  <c r="M52" i="8"/>
  <c r="I200" i="6"/>
  <c r="K340" i="6"/>
  <c r="L51" i="6"/>
  <c r="D250" i="5"/>
  <c r="E51" i="5"/>
  <c r="G51" i="5"/>
  <c r="K258" i="4"/>
  <c r="K127" i="9"/>
  <c r="H200" i="8"/>
  <c r="K220" i="8"/>
  <c r="K312" i="8"/>
  <c r="D51" i="10"/>
  <c r="M51" i="10"/>
  <c r="K142" i="9"/>
  <c r="E200" i="9"/>
  <c r="M348" i="8"/>
  <c r="H51" i="9"/>
  <c r="F340" i="8"/>
  <c r="F348" i="8" s="1"/>
  <c r="J249" i="7"/>
  <c r="K247" i="7"/>
  <c r="K249" i="7" s="1"/>
  <c r="H250" i="7"/>
  <c r="J291" i="5"/>
  <c r="J299" i="5" s="1"/>
  <c r="K254" i="5"/>
  <c r="K291" i="5" s="1"/>
  <c r="K299" i="5" s="1"/>
  <c r="K208" i="5"/>
  <c r="K225" i="4"/>
  <c r="I397" i="4"/>
  <c r="K196" i="5"/>
  <c r="J340" i="10"/>
  <c r="J348" i="10" s="1"/>
  <c r="J389" i="9"/>
  <c r="K352" i="9"/>
  <c r="F242" i="10"/>
  <c r="F250" i="10" s="1"/>
  <c r="K119" i="10"/>
  <c r="K395" i="9"/>
  <c r="K396" i="9" s="1"/>
  <c r="K367" i="9"/>
  <c r="K185" i="9"/>
  <c r="K258" i="9"/>
  <c r="K291" i="9" s="1"/>
  <c r="J291" i="9"/>
  <c r="F192" i="7"/>
  <c r="F200" i="7" s="1"/>
  <c r="K163" i="9"/>
  <c r="K358" i="8"/>
  <c r="E52" i="9"/>
  <c r="G52" i="9"/>
  <c r="J150" i="8"/>
  <c r="K148" i="8"/>
  <c r="K150" i="8" s="1"/>
  <c r="J246" i="8"/>
  <c r="K243" i="8"/>
  <c r="K246" i="8" s="1"/>
  <c r="K249" i="8"/>
  <c r="K276" i="8"/>
  <c r="D397" i="7"/>
  <c r="K244" i="5"/>
  <c r="K246" i="5" s="1"/>
  <c r="J298" i="4"/>
  <c r="K297" i="4"/>
  <c r="I34" i="3"/>
  <c r="B45" i="3"/>
  <c r="K51" i="7"/>
  <c r="E51" i="7"/>
  <c r="K217" i="6"/>
  <c r="K346" i="8"/>
  <c r="J397" i="8"/>
  <c r="I200" i="10"/>
  <c r="G51" i="10"/>
  <c r="K243" i="9"/>
  <c r="K246" i="9" s="1"/>
  <c r="J246" i="9"/>
  <c r="N51" i="9"/>
  <c r="N52" i="9" s="1"/>
  <c r="J344" i="8"/>
  <c r="K341" i="8"/>
  <c r="K308" i="7"/>
  <c r="K111" i="7"/>
  <c r="K160" i="7"/>
  <c r="K221" i="6"/>
  <c r="K245" i="6"/>
  <c r="K246" i="6" s="1"/>
  <c r="K172" i="5"/>
  <c r="K118" i="9"/>
  <c r="K264" i="8"/>
  <c r="K109" i="7"/>
  <c r="K143" i="7" s="1"/>
  <c r="K151" i="7" s="1"/>
  <c r="D51" i="7"/>
  <c r="I250" i="4"/>
  <c r="L250" i="4"/>
  <c r="F346" i="2"/>
  <c r="K389" i="10"/>
  <c r="K113" i="10"/>
  <c r="K390" i="9"/>
  <c r="K393" i="9" s="1"/>
  <c r="J393" i="9"/>
  <c r="K209" i="9"/>
  <c r="J150" i="9"/>
  <c r="K148" i="9"/>
  <c r="K150" i="9" s="1"/>
  <c r="H151" i="9"/>
  <c r="K129" i="9"/>
  <c r="K167" i="8"/>
  <c r="O51" i="9"/>
  <c r="J291" i="7"/>
  <c r="J299" i="7" s="1"/>
  <c r="J192" i="7"/>
  <c r="K155" i="7"/>
  <c r="H348" i="7"/>
  <c r="I250" i="7"/>
  <c r="K390" i="6"/>
  <c r="K393" i="6" s="1"/>
  <c r="J393" i="6"/>
  <c r="K107" i="7"/>
  <c r="J143" i="7"/>
  <c r="G250" i="6"/>
  <c r="K142" i="6"/>
  <c r="K133" i="5"/>
  <c r="K194" i="4"/>
  <c r="K196" i="4" s="1"/>
  <c r="J196" i="4"/>
  <c r="I51" i="5"/>
  <c r="J46" i="3"/>
  <c r="H52" i="9"/>
  <c r="K347" i="8"/>
  <c r="J396" i="6"/>
  <c r="K395" i="6"/>
  <c r="F242" i="6"/>
  <c r="F250" i="6" s="1"/>
  <c r="K159" i="6"/>
  <c r="K139" i="5"/>
  <c r="K243" i="4"/>
  <c r="K246" i="4" s="1"/>
  <c r="J246" i="4"/>
  <c r="K368" i="4"/>
  <c r="G51" i="4"/>
  <c r="K51" i="4"/>
  <c r="F147" i="9"/>
  <c r="F151" i="9" s="1"/>
  <c r="J347" i="8"/>
  <c r="K379" i="7"/>
  <c r="K243" i="7"/>
  <c r="K246" i="7" s="1"/>
  <c r="J246" i="7"/>
  <c r="F299" i="8"/>
  <c r="J52" i="8"/>
  <c r="M51" i="7"/>
  <c r="F192" i="6"/>
  <c r="F242" i="5"/>
  <c r="F250" i="5" s="1"/>
  <c r="K396" i="5"/>
  <c r="K199" i="5"/>
  <c r="K119" i="5"/>
  <c r="K121" i="5"/>
  <c r="K346" i="4"/>
  <c r="J347" i="4"/>
  <c r="N51" i="5"/>
  <c r="J199" i="7"/>
  <c r="K197" i="7"/>
  <c r="K199" i="7" s="1"/>
  <c r="K346" i="6"/>
  <c r="K347" i="6" s="1"/>
  <c r="K137" i="6"/>
  <c r="D51" i="5"/>
  <c r="K380" i="4"/>
  <c r="K170" i="9"/>
  <c r="K307" i="10"/>
  <c r="K340" i="10" s="1"/>
  <c r="K158" i="9"/>
  <c r="J192" i="9"/>
  <c r="K155" i="9"/>
  <c r="P397" i="8"/>
  <c r="I51" i="9"/>
  <c r="K52" i="9" s="1"/>
  <c r="J143" i="8"/>
  <c r="J151" i="8" s="1"/>
  <c r="K106" i="8"/>
  <c r="K143" i="8" s="1"/>
  <c r="J347" i="6"/>
  <c r="K362" i="5"/>
  <c r="K205" i="5"/>
  <c r="J242" i="5"/>
  <c r="J250" i="5" s="1"/>
  <c r="F143" i="5"/>
  <c r="F151" i="5" s="1"/>
  <c r="F340" i="4"/>
  <c r="F348" i="4" s="1"/>
  <c r="K25" i="3"/>
  <c r="K126" i="9"/>
  <c r="K343" i="8"/>
  <c r="K344" i="9"/>
  <c r="J291" i="8"/>
  <c r="K254" i="8"/>
  <c r="J242" i="8"/>
  <c r="K205" i="8"/>
  <c r="K242" i="8" s="1"/>
  <c r="K250" i="8" s="1"/>
  <c r="K274" i="4"/>
  <c r="I43" i="3"/>
  <c r="B53" i="3"/>
  <c r="K125" i="10"/>
  <c r="K315" i="5"/>
  <c r="J298" i="10"/>
  <c r="J299" i="10" s="1"/>
  <c r="K296" i="10"/>
  <c r="K298" i="10" s="1"/>
  <c r="J340" i="6"/>
  <c r="K174" i="4"/>
  <c r="K320" i="4"/>
  <c r="J35" i="3"/>
  <c r="I25" i="3"/>
  <c r="K107" i="10"/>
  <c r="K291" i="10"/>
  <c r="K299" i="10" s="1"/>
  <c r="J143" i="9"/>
  <c r="I51" i="10"/>
  <c r="K396" i="6"/>
  <c r="F52" i="8"/>
  <c r="D52" i="8"/>
  <c r="J340" i="5"/>
  <c r="J348" i="5" s="1"/>
  <c r="K303" i="5"/>
  <c r="K396" i="10"/>
  <c r="F397" i="10"/>
  <c r="F151" i="8"/>
  <c r="K193" i="6"/>
  <c r="K196" i="6" s="1"/>
  <c r="J196" i="6"/>
  <c r="K159" i="5"/>
  <c r="I200" i="5"/>
  <c r="K316" i="4"/>
  <c r="J340" i="4"/>
  <c r="K146" i="4"/>
  <c r="M25" i="3"/>
  <c r="K314" i="2"/>
  <c r="E46" i="3"/>
  <c r="K176" i="4"/>
  <c r="K124" i="4"/>
  <c r="I30" i="3"/>
  <c r="B41" i="3"/>
  <c r="E30" i="3"/>
  <c r="D36" i="3"/>
  <c r="C36" i="3"/>
  <c r="O36" i="3"/>
  <c r="N36" i="3"/>
  <c r="M36" i="3"/>
  <c r="E35" i="3"/>
  <c r="K302" i="2"/>
  <c r="K223" i="2"/>
  <c r="E50" i="2"/>
  <c r="K387" i="7"/>
  <c r="K258" i="7"/>
  <c r="F143" i="7"/>
  <c r="F151" i="7" s="1"/>
  <c r="J249" i="6"/>
  <c r="K247" i="6"/>
  <c r="K249" i="6" s="1"/>
  <c r="K262" i="2"/>
  <c r="J289" i="2"/>
  <c r="K253" i="2"/>
  <c r="G50" i="2"/>
  <c r="I51" i="2" s="1"/>
  <c r="K52" i="8"/>
  <c r="K259" i="6"/>
  <c r="K127" i="6"/>
  <c r="K270" i="4"/>
  <c r="K108" i="4"/>
  <c r="K392" i="2"/>
  <c r="K394" i="2" s="1"/>
  <c r="J394" i="2"/>
  <c r="J395" i="2" s="1"/>
  <c r="G348" i="10"/>
  <c r="K393" i="10"/>
  <c r="J397" i="10"/>
  <c r="G250" i="9"/>
  <c r="K221" i="9"/>
  <c r="K210" i="9"/>
  <c r="I397" i="7"/>
  <c r="F389" i="7"/>
  <c r="F397" i="7" s="1"/>
  <c r="I51" i="7"/>
  <c r="K52" i="7" s="1"/>
  <c r="F199" i="6"/>
  <c r="O51" i="7"/>
  <c r="K113" i="6"/>
  <c r="J192" i="6"/>
  <c r="K155" i="6"/>
  <c r="K192" i="6" s="1"/>
  <c r="P250" i="5"/>
  <c r="K237" i="4"/>
  <c r="G397" i="4"/>
  <c r="K241" i="4"/>
  <c r="J143" i="4"/>
  <c r="K106" i="4"/>
  <c r="K287" i="2"/>
  <c r="F199" i="2"/>
  <c r="J150" i="4"/>
  <c r="K148" i="4"/>
  <c r="K150" i="4" s="1"/>
  <c r="L200" i="4"/>
  <c r="E51" i="4"/>
  <c r="K362" i="2"/>
  <c r="K184" i="2"/>
  <c r="K141" i="4"/>
  <c r="B50" i="3"/>
  <c r="N151" i="4"/>
  <c r="J32" i="3"/>
  <c r="C13" i="3"/>
  <c r="E13" i="3"/>
  <c r="K234" i="2"/>
  <c r="K358" i="2"/>
  <c r="K50" i="2"/>
  <c r="M51" i="2" s="1"/>
  <c r="O50" i="2"/>
  <c r="K375" i="2"/>
  <c r="K291" i="2"/>
  <c r="J13" i="3"/>
  <c r="H13" i="3"/>
  <c r="K363" i="2"/>
  <c r="F387" i="2"/>
  <c r="F395" i="2" s="1"/>
  <c r="K224" i="2"/>
  <c r="K351" i="2"/>
  <c r="M50" i="2"/>
  <c r="J248" i="2"/>
  <c r="D50" i="2"/>
  <c r="K138" i="9"/>
  <c r="K143" i="9" s="1"/>
  <c r="K298" i="9"/>
  <c r="E250" i="9"/>
  <c r="J340" i="8"/>
  <c r="K303" i="8"/>
  <c r="K265" i="8"/>
  <c r="K344" i="7"/>
  <c r="F299" i="6"/>
  <c r="K344" i="6"/>
  <c r="K183" i="6"/>
  <c r="N51" i="6"/>
  <c r="H200" i="6"/>
  <c r="O51" i="6"/>
  <c r="K227" i="5"/>
  <c r="G299" i="4"/>
  <c r="K147" i="4"/>
  <c r="I13" i="3"/>
  <c r="K386" i="2"/>
  <c r="J389" i="7"/>
  <c r="J397" i="7" s="1"/>
  <c r="K352" i="7"/>
  <c r="K261" i="6"/>
  <c r="K291" i="6" s="1"/>
  <c r="K299" i="6" s="1"/>
  <c r="L250" i="5"/>
  <c r="K245" i="5"/>
  <c r="K126" i="4"/>
  <c r="M397" i="4"/>
  <c r="J147" i="4"/>
  <c r="K374" i="2"/>
  <c r="K365" i="2"/>
  <c r="K294" i="2"/>
  <c r="K296" i="2" s="1"/>
  <c r="J296" i="2"/>
  <c r="I299" i="9"/>
  <c r="H299" i="8"/>
  <c r="G250" i="8"/>
  <c r="K329" i="8"/>
  <c r="K332" i="7"/>
  <c r="K340" i="7" s="1"/>
  <c r="J396" i="4"/>
  <c r="K394" i="4"/>
  <c r="J192" i="4"/>
  <c r="K155" i="4"/>
  <c r="B44" i="3"/>
  <c r="L151" i="4"/>
  <c r="K273" i="2"/>
  <c r="K323" i="2"/>
  <c r="F50" i="2"/>
  <c r="H51" i="2" s="1"/>
  <c r="E397" i="6"/>
  <c r="K149" i="6"/>
  <c r="K146" i="6"/>
  <c r="K147" i="6" s="1"/>
  <c r="K230" i="5"/>
  <c r="H299" i="5"/>
  <c r="K248" i="10"/>
  <c r="K249" i="10" s="1"/>
  <c r="K222" i="10"/>
  <c r="K131" i="10"/>
  <c r="K132" i="10"/>
  <c r="K199" i="10"/>
  <c r="J196" i="9"/>
  <c r="K193" i="9"/>
  <c r="K196" i="9" s="1"/>
  <c r="O348" i="8"/>
  <c r="F291" i="7"/>
  <c r="F299" i="7" s="1"/>
  <c r="K282" i="7"/>
  <c r="J150" i="6"/>
  <c r="K148" i="6"/>
  <c r="D348" i="6"/>
  <c r="I200" i="7"/>
  <c r="J393" i="5"/>
  <c r="J397" i="5" s="1"/>
  <c r="K390" i="5"/>
  <c r="K393" i="5" s="1"/>
  <c r="K360" i="5"/>
  <c r="F291" i="5"/>
  <c r="F299" i="5" s="1"/>
  <c r="K218" i="5"/>
  <c r="K180" i="5"/>
  <c r="K36" i="3"/>
  <c r="L36" i="3"/>
  <c r="H36" i="3"/>
  <c r="B42" i="3"/>
  <c r="G13" i="3"/>
  <c r="P199" i="2"/>
  <c r="F142" i="2"/>
  <c r="F150" i="2"/>
  <c r="K164" i="2"/>
  <c r="K326" i="2"/>
  <c r="L248" i="2"/>
  <c r="H50" i="2"/>
  <c r="B67" i="3"/>
  <c r="I56" i="3"/>
  <c r="E56" i="3"/>
  <c r="K115" i="4"/>
  <c r="K13" i="3"/>
  <c r="K106" i="2"/>
  <c r="K274" i="2"/>
  <c r="L50" i="2"/>
  <c r="L51" i="7"/>
  <c r="K241" i="6"/>
  <c r="J199" i="6"/>
  <c r="K197" i="6"/>
  <c r="K199" i="6" s="1"/>
  <c r="G200" i="6"/>
  <c r="J397" i="6"/>
  <c r="F51" i="6"/>
  <c r="H52" i="6" s="1"/>
  <c r="J393" i="4"/>
  <c r="K390" i="4"/>
  <c r="K393" i="4" s="1"/>
  <c r="H397" i="4"/>
  <c r="K249" i="4"/>
  <c r="G200" i="4"/>
  <c r="O51" i="4"/>
  <c r="J198" i="2"/>
  <c r="K196" i="2"/>
  <c r="K198" i="2" s="1"/>
  <c r="J50" i="2"/>
  <c r="K211" i="2"/>
  <c r="M13" i="3"/>
  <c r="K263" i="2"/>
  <c r="K340" i="2"/>
  <c r="J191" i="2"/>
  <c r="K154" i="2"/>
  <c r="K191" i="2" s="1"/>
  <c r="K350" i="2"/>
  <c r="J387" i="2"/>
  <c r="K345" i="2"/>
  <c r="J244" i="2"/>
  <c r="K241" i="2"/>
  <c r="K244" i="2" s="1"/>
  <c r="K292" i="2"/>
  <c r="E29" i="3"/>
  <c r="D13" i="3"/>
  <c r="F13" i="3"/>
  <c r="I51" i="4"/>
  <c r="K52" i="4" s="1"/>
  <c r="K293" i="2"/>
  <c r="J142" i="2"/>
  <c r="J150" i="2" s="1"/>
  <c r="K146" i="2"/>
  <c r="E25" i="3"/>
  <c r="K391" i="2"/>
  <c r="K210" i="2"/>
  <c r="K240" i="2" s="1"/>
  <c r="K142" i="2"/>
  <c r="K150" i="2" s="1"/>
  <c r="J195" i="2"/>
  <c r="K192" i="2"/>
  <c r="K195" i="2" s="1"/>
  <c r="J293" i="2"/>
  <c r="H51" i="7"/>
  <c r="J291" i="6"/>
  <c r="K395" i="4"/>
  <c r="J344" i="4"/>
  <c r="K341" i="4"/>
  <c r="K344" i="4" s="1"/>
  <c r="F192" i="4"/>
  <c r="F200" i="4" s="1"/>
  <c r="F393" i="4"/>
  <c r="F397" i="4" s="1"/>
  <c r="J338" i="2"/>
  <c r="J346" i="2" s="1"/>
  <c r="K348" i="7" l="1"/>
  <c r="O52" i="4"/>
  <c r="K348" i="10"/>
  <c r="K52" i="10"/>
  <c r="K299" i="9"/>
  <c r="K192" i="7"/>
  <c r="K200" i="7" s="1"/>
  <c r="J52" i="10"/>
  <c r="K340" i="8"/>
  <c r="K348" i="8" s="1"/>
  <c r="J250" i="8"/>
  <c r="K389" i="5"/>
  <c r="K397" i="5" s="1"/>
  <c r="J348" i="8"/>
  <c r="J299" i="8"/>
  <c r="H52" i="5"/>
  <c r="K150" i="6"/>
  <c r="K344" i="8"/>
  <c r="N51" i="7"/>
  <c r="N51" i="4"/>
  <c r="D51" i="4"/>
  <c r="J51" i="4"/>
  <c r="F51" i="4"/>
  <c r="K291" i="7"/>
  <c r="K299" i="7" s="1"/>
  <c r="K389" i="7"/>
  <c r="K397" i="7" s="1"/>
  <c r="K192" i="5"/>
  <c r="K200" i="5" s="1"/>
  <c r="O52" i="8"/>
  <c r="K51" i="5"/>
  <c r="M52" i="5" s="1"/>
  <c r="I52" i="8"/>
  <c r="K192" i="4"/>
  <c r="J200" i="4"/>
  <c r="K396" i="4"/>
  <c r="J52" i="9"/>
  <c r="L51" i="4"/>
  <c r="N52" i="4" s="1"/>
  <c r="H52" i="8"/>
  <c r="J151" i="7"/>
  <c r="F51" i="7"/>
  <c r="J52" i="7" s="1"/>
  <c r="L52" i="5"/>
  <c r="K248" i="2"/>
  <c r="J348" i="6"/>
  <c r="F52" i="10"/>
  <c r="D52" i="10"/>
  <c r="K143" i="10"/>
  <c r="K151" i="10" s="1"/>
  <c r="J30" i="3"/>
  <c r="J199" i="2"/>
  <c r="G52" i="4"/>
  <c r="E52" i="4"/>
  <c r="K298" i="4"/>
  <c r="K151" i="8"/>
  <c r="L52" i="8"/>
  <c r="F52" i="6"/>
  <c r="D52" i="6"/>
  <c r="E31" i="3"/>
  <c r="K387" i="2"/>
  <c r="K340" i="5"/>
  <c r="K348" i="5" s="1"/>
  <c r="N52" i="5"/>
  <c r="K147" i="5"/>
  <c r="K291" i="4"/>
  <c r="G51" i="2"/>
  <c r="E51" i="2"/>
  <c r="K338" i="2"/>
  <c r="K291" i="8"/>
  <c r="K299" i="8" s="1"/>
  <c r="K143" i="5"/>
  <c r="K242" i="6"/>
  <c r="K250" i="6" s="1"/>
  <c r="K347" i="4"/>
  <c r="J299" i="4"/>
  <c r="J56" i="3"/>
  <c r="K397" i="10"/>
  <c r="J250" i="9"/>
  <c r="J250" i="6"/>
  <c r="K199" i="8"/>
  <c r="K192" i="9"/>
  <c r="K200" i="9" s="1"/>
  <c r="J348" i="4"/>
  <c r="J200" i="7"/>
  <c r="J299" i="9"/>
  <c r="K242" i="9"/>
  <c r="K250" i="9" s="1"/>
  <c r="J200" i="9"/>
  <c r="K389" i="4"/>
  <c r="K397" i="4" s="1"/>
  <c r="O52" i="5"/>
  <c r="F36" i="3"/>
  <c r="K289" i="2"/>
  <c r="K200" i="4"/>
  <c r="K342" i="2"/>
  <c r="K346" i="2" s="1"/>
  <c r="B61" i="3"/>
  <c r="M52" i="4"/>
  <c r="K340" i="4"/>
  <c r="K250" i="7"/>
  <c r="E40" i="3"/>
  <c r="K143" i="4"/>
  <c r="K151" i="4" s="1"/>
  <c r="I52" i="4"/>
  <c r="J397" i="4"/>
  <c r="I40" i="3"/>
  <c r="I53" i="3"/>
  <c r="B64" i="3"/>
  <c r="O52" i="9"/>
  <c r="K143" i="6"/>
  <c r="K151" i="6" s="1"/>
  <c r="I31" i="3"/>
  <c r="J151" i="4"/>
  <c r="K51" i="2"/>
  <c r="J151" i="9"/>
  <c r="E43" i="3"/>
  <c r="D52" i="7"/>
  <c r="G52" i="7"/>
  <c r="E52" i="7"/>
  <c r="G52" i="6"/>
  <c r="E52" i="6"/>
  <c r="M52" i="6"/>
  <c r="J43" i="3"/>
  <c r="H52" i="7"/>
  <c r="M52" i="7"/>
  <c r="I52" i="5"/>
  <c r="F52" i="9"/>
  <c r="D52" i="9"/>
  <c r="J151" i="6"/>
  <c r="I45" i="3"/>
  <c r="B55" i="3"/>
  <c r="K192" i="8"/>
  <c r="J52" i="6"/>
  <c r="J34" i="3"/>
  <c r="E52" i="5"/>
  <c r="G52" i="5"/>
  <c r="L52" i="9"/>
  <c r="K192" i="10"/>
  <c r="K200" i="10" s="1"/>
  <c r="L52" i="6"/>
  <c r="K242" i="10"/>
  <c r="K250" i="10" s="1"/>
  <c r="N52" i="6"/>
  <c r="G52" i="10"/>
  <c r="E52" i="10"/>
  <c r="I52" i="9"/>
  <c r="K242" i="5"/>
  <c r="K250" i="5" s="1"/>
  <c r="K348" i="6"/>
  <c r="I36" i="3"/>
  <c r="J29" i="3"/>
  <c r="I52" i="7"/>
  <c r="L51" i="2"/>
  <c r="B77" i="3"/>
  <c r="E67" i="3"/>
  <c r="G36" i="3"/>
  <c r="C47" i="3"/>
  <c r="B51" i="3"/>
  <c r="D47" i="3"/>
  <c r="O47" i="3"/>
  <c r="N47" i="3"/>
  <c r="M47" i="3"/>
  <c r="L47" i="3"/>
  <c r="K47" i="3"/>
  <c r="H47" i="3"/>
  <c r="G47" i="3"/>
  <c r="F47" i="3"/>
  <c r="K199" i="2"/>
  <c r="N51" i="2"/>
  <c r="J51" i="2"/>
  <c r="F51" i="2"/>
  <c r="D51" i="2"/>
  <c r="K200" i="6"/>
  <c r="F52" i="5"/>
  <c r="D52" i="5"/>
  <c r="L52" i="10"/>
  <c r="J299" i="6"/>
  <c r="F200" i="6"/>
  <c r="K389" i="9"/>
  <c r="K397" i="9" s="1"/>
  <c r="K348" i="9"/>
  <c r="J250" i="4"/>
  <c r="N52" i="10"/>
  <c r="E33" i="3"/>
  <c r="E36" i="3" s="1"/>
  <c r="O51" i="2"/>
  <c r="J200" i="6"/>
  <c r="O52" i="7"/>
  <c r="E34" i="3"/>
  <c r="J397" i="9"/>
  <c r="J250" i="7"/>
  <c r="M52" i="9"/>
  <c r="O52" i="6"/>
  <c r="N52" i="7"/>
  <c r="I33" i="3"/>
  <c r="J297" i="2"/>
  <c r="O52" i="10"/>
  <c r="J52" i="5"/>
  <c r="K242" i="4"/>
  <c r="K250" i="4" s="1"/>
  <c r="K52" i="6"/>
  <c r="K147" i="9"/>
  <c r="K151" i="9" s="1"/>
  <c r="K397" i="6"/>
  <c r="M52" i="10"/>
  <c r="B52" i="3"/>
  <c r="E42" i="3"/>
  <c r="K395" i="2"/>
  <c r="E44" i="3"/>
  <c r="B54" i="3"/>
  <c r="I44" i="3"/>
  <c r="K297" i="2"/>
  <c r="I52" i="10"/>
  <c r="H52" i="10"/>
  <c r="I52" i="6"/>
  <c r="H52" i="4" l="1"/>
  <c r="L52" i="4"/>
  <c r="F52" i="4"/>
  <c r="D52" i="4"/>
  <c r="K348" i="4"/>
  <c r="K151" i="5"/>
  <c r="L52" i="7"/>
  <c r="K200" i="8"/>
  <c r="F52" i="7"/>
  <c r="K52" i="5"/>
  <c r="J52" i="4"/>
  <c r="I54" i="3"/>
  <c r="B65" i="3"/>
  <c r="J45" i="3"/>
  <c r="B88" i="3"/>
  <c r="L57" i="3"/>
  <c r="K57" i="3"/>
  <c r="B62" i="3"/>
  <c r="I67" i="3"/>
  <c r="J31" i="3"/>
  <c r="J33" i="3"/>
  <c r="B71" i="3"/>
  <c r="B74" i="3"/>
  <c r="E50" i="3"/>
  <c r="E53" i="3"/>
  <c r="I50" i="3"/>
  <c r="M57" i="3"/>
  <c r="H57" i="3"/>
  <c r="B63" i="3"/>
  <c r="F57" i="3"/>
  <c r="D57" i="3"/>
  <c r="C57" i="3"/>
  <c r="J53" i="3"/>
  <c r="O57" i="3"/>
  <c r="J44" i="3"/>
  <c r="N57" i="3"/>
  <c r="K299" i="4"/>
  <c r="I42" i="3"/>
  <c r="E41" i="3"/>
  <c r="E47" i="3" s="1"/>
  <c r="I55" i="3"/>
  <c r="B66" i="3"/>
  <c r="I41" i="3"/>
  <c r="I47" i="3" s="1"/>
  <c r="E45" i="3"/>
  <c r="J40" i="3"/>
  <c r="I52" i="3" l="1"/>
  <c r="J42" i="3"/>
  <c r="J36" i="3"/>
  <c r="I88" i="3"/>
  <c r="E88" i="3"/>
  <c r="J67" i="3"/>
  <c r="B82" i="3"/>
  <c r="E51" i="3"/>
  <c r="E61" i="3"/>
  <c r="I51" i="3"/>
  <c r="I61" i="3"/>
  <c r="C68" i="3"/>
  <c r="N68" i="3"/>
  <c r="M68" i="3"/>
  <c r="K68" i="3"/>
  <c r="B72" i="3"/>
  <c r="E62" i="3"/>
  <c r="D68" i="3"/>
  <c r="L68" i="3"/>
  <c r="G57" i="3"/>
  <c r="J41" i="3"/>
  <c r="J47" i="3" s="1"/>
  <c r="I57" i="3"/>
  <c r="J50" i="3"/>
  <c r="E55" i="3"/>
  <c r="J55" i="3"/>
  <c r="I74" i="3"/>
  <c r="E74" i="3"/>
  <c r="B85" i="3"/>
  <c r="E54" i="3"/>
  <c r="E64" i="3"/>
  <c r="I64" i="3"/>
  <c r="E77" i="3"/>
  <c r="B75" i="3"/>
  <c r="I77" i="3"/>
  <c r="E52" i="3"/>
  <c r="E63" i="3"/>
  <c r="H68" i="3"/>
  <c r="I63" i="3"/>
  <c r="B73" i="3"/>
  <c r="O68" i="3"/>
  <c r="I66" i="3"/>
  <c r="E66" i="3"/>
  <c r="B76" i="3"/>
  <c r="E57" i="3"/>
  <c r="J54" i="3"/>
  <c r="J51" i="3" l="1"/>
  <c r="I65" i="3"/>
  <c r="F68" i="3"/>
  <c r="I75" i="3"/>
  <c r="B86" i="3"/>
  <c r="E75" i="3"/>
  <c r="J88" i="3"/>
  <c r="E65" i="3"/>
  <c r="E68" i="3" s="1"/>
  <c r="L78" i="3"/>
  <c r="J64" i="3"/>
  <c r="I73" i="3"/>
  <c r="B84" i="3"/>
  <c r="I62" i="3"/>
  <c r="J63" i="3"/>
  <c r="D78" i="3"/>
  <c r="B83" i="3"/>
  <c r="O78" i="3"/>
  <c r="N78" i="3"/>
  <c r="M78" i="3"/>
  <c r="H78" i="3"/>
  <c r="I72" i="3"/>
  <c r="C78" i="3"/>
  <c r="E71" i="3"/>
  <c r="F78" i="3"/>
  <c r="E85" i="3"/>
  <c r="I71" i="3"/>
  <c r="J74" i="3"/>
  <c r="K78" i="3"/>
  <c r="B87" i="3"/>
  <c r="J52" i="3"/>
  <c r="J77" i="3"/>
  <c r="J66" i="3"/>
  <c r="J61" i="3"/>
  <c r="I68" i="3"/>
  <c r="G68" i="3"/>
  <c r="I87" i="3" l="1"/>
  <c r="E87" i="3"/>
  <c r="E76" i="3"/>
  <c r="J62" i="3"/>
  <c r="I76" i="3"/>
  <c r="E73" i="3"/>
  <c r="J72" i="3"/>
  <c r="J57" i="3"/>
  <c r="I84" i="3"/>
  <c r="E84" i="3"/>
  <c r="I83" i="3"/>
  <c r="O89" i="3"/>
  <c r="N89" i="3"/>
  <c r="M89" i="3"/>
  <c r="L89" i="3"/>
  <c r="K89" i="3"/>
  <c r="H89" i="3"/>
  <c r="E83" i="3"/>
  <c r="D89" i="3"/>
  <c r="C89" i="3"/>
  <c r="J73" i="3"/>
  <c r="I78" i="3"/>
  <c r="J71" i="3"/>
  <c r="E72" i="3"/>
  <c r="E78" i="3" s="1"/>
  <c r="G78" i="3"/>
  <c r="I86" i="3"/>
  <c r="E86" i="3"/>
  <c r="J68" i="3"/>
  <c r="E82" i="3"/>
  <c r="I82" i="3"/>
  <c r="J75" i="3"/>
  <c r="I85" i="3"/>
  <c r="J65" i="3"/>
  <c r="J86" i="3" l="1"/>
  <c r="I89" i="3"/>
  <c r="J82" i="3"/>
  <c r="E89" i="3"/>
  <c r="J85" i="3"/>
  <c r="G89" i="3"/>
  <c r="F89" i="3"/>
  <c r="J76" i="3"/>
  <c r="J78" i="3" s="1"/>
  <c r="J83" i="3"/>
  <c r="J87" i="3"/>
  <c r="J84" i="3"/>
  <c r="J89" i="3" l="1"/>
</calcChain>
</file>

<file path=xl/sharedStrings.xml><?xml version="1.0" encoding="utf-8"?>
<sst xmlns="http://schemas.openxmlformats.org/spreadsheetml/2006/main" count="4162" uniqueCount="107">
  <si>
    <t>MDO Executive Summary</t>
  </si>
  <si>
    <t>Pg.No</t>
  </si>
  <si>
    <t>Instructions:</t>
  </si>
  <si>
    <t>1. Projectwise Total</t>
  </si>
  <si>
    <t xml:space="preserve">        a) Paid % category</t>
  </si>
  <si>
    <t xml:space="preserve">        b) 0 to 10% paid category - Balance collectible and Dues details YOY</t>
  </si>
  <si>
    <t xml:space="preserve">        c) 10 to 20% paid category - Balance collectible and Dues details YOY</t>
  </si>
  <si>
    <t xml:space="preserve">        d) 20 to 30% paid category - Balance collectible and Dues details YOY</t>
  </si>
  <si>
    <t xml:space="preserve">        e) 30 to 40% paid category - Balance collectible and Dues details YOY</t>
  </si>
  <si>
    <t xml:space="preserve">        f) 40 to 60% paid category - Balance collectible and Dues details YOY</t>
  </si>
  <si>
    <t xml:space="preserve">        g) 60%+ paid category - Balance collectible and Dues details YOY</t>
  </si>
  <si>
    <t>2. Investment Total</t>
  </si>
  <si>
    <t>3. Less than 5 Million</t>
  </si>
  <si>
    <t>4.  5 Million to 10 Million</t>
  </si>
  <si>
    <t>5. 10 Million to 15 Million</t>
  </si>
  <si>
    <t>6. 15 Million to 30 Million</t>
  </si>
  <si>
    <t>6. 30 Million to 60 Million</t>
  </si>
  <si>
    <t>6. 60 Million to 100 Million</t>
  </si>
  <si>
    <t>6. 100+ Million</t>
  </si>
  <si>
    <t>Paid % category</t>
  </si>
  <si>
    <t>0-10%</t>
  </si>
  <si>
    <t>10-20%</t>
  </si>
  <si>
    <t>20-30%</t>
  </si>
  <si>
    <t>30-40%</t>
  </si>
  <si>
    <t>40-60%</t>
  </si>
  <si>
    <t>60%+</t>
  </si>
  <si>
    <t>Project</t>
  </si>
  <si>
    <t>Tower</t>
  </si>
  <si>
    <t>No. of units</t>
  </si>
  <si>
    <t>Sale Value</t>
  </si>
  <si>
    <t>SOBHA</t>
  </si>
  <si>
    <t>Creek vista Heights</t>
  </si>
  <si>
    <t>Creek Vistas Grande</t>
  </si>
  <si>
    <t>Crest</t>
  </si>
  <si>
    <t>Crest Grande</t>
  </si>
  <si>
    <t>CV &amp; CVR</t>
  </si>
  <si>
    <t>Elwood Villas</t>
  </si>
  <si>
    <t>Greens</t>
  </si>
  <si>
    <t>Hartland 1 plots</t>
  </si>
  <si>
    <t>Hartland 1 villas &amp; townhouses</t>
  </si>
  <si>
    <t>Hartland II Villas &amp; Mansion</t>
  </si>
  <si>
    <t>One Park Avenue Tower</t>
  </si>
  <si>
    <t>Riverside Crescent</t>
  </si>
  <si>
    <t>Sea Haven</t>
  </si>
  <si>
    <t>Skyscape</t>
  </si>
  <si>
    <t>Skyvue</t>
  </si>
  <si>
    <t>Sobha Central Mall</t>
  </si>
  <si>
    <t>Sobha One</t>
  </si>
  <si>
    <t>Sobha Orbis</t>
  </si>
  <si>
    <t>Sobha Reserve Villas</t>
  </si>
  <si>
    <t>Sobha Skyparks</t>
  </si>
  <si>
    <t>Sobha Solis</t>
  </si>
  <si>
    <t>The Eden</t>
  </si>
  <si>
    <t>The Element</t>
  </si>
  <si>
    <t>The Horizon</t>
  </si>
  <si>
    <t>The Mirage</t>
  </si>
  <si>
    <t>The Pinnacle</t>
  </si>
  <si>
    <t>The S</t>
  </si>
  <si>
    <t>The Serene</t>
  </si>
  <si>
    <t>The Tranquil</t>
  </si>
  <si>
    <t>The Greens</t>
  </si>
  <si>
    <t>The Brooks</t>
  </si>
  <si>
    <t>The Grove</t>
  </si>
  <si>
    <t>The Willows</t>
  </si>
  <si>
    <t>Verde</t>
  </si>
  <si>
    <t>Waves</t>
  </si>
  <si>
    <t>Waves Grande</t>
  </si>
  <si>
    <t>Waves Opulence</t>
  </si>
  <si>
    <t>Sobha Total</t>
  </si>
  <si>
    <t>Siniya</t>
  </si>
  <si>
    <t>Siniya Beach Residences</t>
  </si>
  <si>
    <t>Siniya Island-Villas &amp; Mansion</t>
  </si>
  <si>
    <t>Siniya Marina Residences</t>
  </si>
  <si>
    <t>Siniya Total</t>
  </si>
  <si>
    <t>DownTown</t>
  </si>
  <si>
    <t>Sobha Aquacrest</t>
  </si>
  <si>
    <t>Sobha Aquamont</t>
  </si>
  <si>
    <t>DownTown Total</t>
  </si>
  <si>
    <t>Grand Total</t>
  </si>
  <si>
    <t>% OF TOTAL</t>
  </si>
  <si>
    <t>Cumulative Total</t>
  </si>
  <si>
    <t>Paid till date</t>
  </si>
  <si>
    <t>Balance collectible</t>
  </si>
  <si>
    <t>SINIYA</t>
  </si>
  <si>
    <t>0 to 10% paid category - Balance collectible and Dues details YOY</t>
  </si>
  <si>
    <t>Milestone due till date</t>
  </si>
  <si>
    <t>Dues till date</t>
  </si>
  <si>
    <t>Future collectibles</t>
  </si>
  <si>
    <t>10 to 20% paid category - Balance collectible and Dues details YOY</t>
  </si>
  <si>
    <t>20 to 30% paid category - Balance collectible and Dues details YOY</t>
  </si>
  <si>
    <t>30 to 40% paid category - Balance collectible and Dues details YOY</t>
  </si>
  <si>
    <t>40 to 60% paid category - Balance collectible and Dues details YOY</t>
  </si>
  <si>
    <t>60%+ paid category - Balance collectible and Dues details YOY</t>
  </si>
  <si>
    <t>less than 5mil</t>
  </si>
  <si>
    <t>5mil to 10mil</t>
  </si>
  <si>
    <t>10mil to 15mil</t>
  </si>
  <si>
    <t>15mil to 30 mil</t>
  </si>
  <si>
    <t>30mil to 60mil</t>
  </si>
  <si>
    <t>60mil to 100mil</t>
  </si>
  <si>
    <t>100mil++</t>
  </si>
  <si>
    <t>Total</t>
  </si>
  <si>
    <t>`</t>
  </si>
  <si>
    <t>Towers</t>
  </si>
  <si>
    <t>SOBHA Total</t>
  </si>
  <si>
    <t>SINIYA Total</t>
  </si>
  <si>
    <t>DT</t>
  </si>
  <si>
    <t>DT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</si>
</sst>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Cambria"/>
      <family val="1"/>
    </font>
    <font>
      <b/>
      <sz val="13"/>
      <color rgb="FF4F81BD"/>
      <name val="Calibri"/>
      <family val="2"/>
    </font>
    <font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0F3FA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9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5" fillId="0" borderId="4" xfId="0" applyFont="1" applyBorder="1"/>
    <xf numFmtId="0" fontId="0" fillId="0" borderId="5" xfId="0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0" fillId="0" borderId="4" xfId="0" applyBorder="1"/>
    <xf numFmtId="0" fontId="7" fillId="0" borderId="0" xfId="3" applyFont="1" applyAlignment="1">
      <alignment horizontal="left"/>
    </xf>
    <xf numFmtId="0" fontId="3" fillId="0" borderId="0" xfId="3" applyAlignment="1">
      <alignment horizontal="left"/>
    </xf>
    <xf numFmtId="0" fontId="1" fillId="0" borderId="0" xfId="3" applyFont="1" applyAlignment="1">
      <alignment horizontal="left"/>
    </xf>
    <xf numFmtId="0" fontId="2" fillId="0" borderId="0" xfId="0" applyFont="1"/>
    <xf numFmtId="0" fontId="1" fillId="0" borderId="0" xfId="0" applyFont="1"/>
    <xf numFmtId="0" fontId="8" fillId="0" borderId="0" xfId="0" applyFont="1"/>
    <xf numFmtId="0" fontId="1" fillId="0" borderId="0" xfId="3" applyFont="1" applyAlignment="1"/>
    <xf numFmtId="0" fontId="0" fillId="0" borderId="0" xfId="3" applyFont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15" xfId="0" applyFont="1" applyFill="1" applyBorder="1"/>
    <xf numFmtId="0" fontId="9" fillId="2" borderId="16" xfId="0" applyFont="1" applyFill="1" applyBorder="1"/>
    <xf numFmtId="0" fontId="9" fillId="2" borderId="17" xfId="0" applyFont="1" applyFill="1" applyBorder="1"/>
    <xf numFmtId="0" fontId="9" fillId="2" borderId="18" xfId="0" applyFont="1" applyFill="1" applyBorder="1"/>
    <xf numFmtId="0" fontId="9" fillId="2" borderId="19" xfId="0" applyFont="1" applyFill="1" applyBorder="1"/>
    <xf numFmtId="0" fontId="9" fillId="0" borderId="0" xfId="0" applyFont="1"/>
    <xf numFmtId="0" fontId="9" fillId="2" borderId="20" xfId="0" applyFont="1" applyFill="1" applyBorder="1" applyAlignment="1">
      <alignment horizontal="center" vertical="center"/>
    </xf>
    <xf numFmtId="0" fontId="10" fillId="3" borderId="21" xfId="0" applyFont="1" applyFill="1" applyBorder="1"/>
    <xf numFmtId="165" fontId="10" fillId="0" borderId="22" xfId="1" applyNumberFormat="1" applyFont="1" applyBorder="1"/>
    <xf numFmtId="165" fontId="10" fillId="0" borderId="23" xfId="1" applyNumberFormat="1" applyFont="1" applyBorder="1"/>
    <xf numFmtId="165" fontId="10" fillId="0" borderId="0" xfId="1" applyNumberFormat="1" applyFont="1" applyFill="1" applyBorder="1"/>
    <xf numFmtId="0" fontId="9" fillId="2" borderId="24" xfId="0" applyFont="1" applyFill="1" applyBorder="1" applyAlignment="1">
      <alignment horizontal="center" vertical="center"/>
    </xf>
    <xf numFmtId="0" fontId="10" fillId="3" borderId="25" xfId="0" applyFont="1" applyFill="1" applyBorder="1"/>
    <xf numFmtId="0" fontId="10" fillId="3" borderId="26" xfId="0" applyFont="1" applyFill="1" applyBorder="1"/>
    <xf numFmtId="0" fontId="9" fillId="2" borderId="27" xfId="0" applyFont="1" applyFill="1" applyBorder="1" applyAlignment="1">
      <alignment horizontal="center" vertical="center"/>
    </xf>
    <xf numFmtId="165" fontId="9" fillId="2" borderId="16" xfId="1" applyNumberFormat="1" applyFont="1" applyFill="1" applyBorder="1"/>
    <xf numFmtId="165" fontId="9" fillId="2" borderId="17" xfId="1" applyNumberFormat="1" applyFont="1" applyFill="1" applyBorder="1"/>
    <xf numFmtId="165" fontId="9" fillId="2" borderId="18" xfId="1" applyNumberFormat="1" applyFont="1" applyFill="1" applyBorder="1"/>
    <xf numFmtId="165" fontId="9" fillId="2" borderId="19" xfId="1" applyNumberFormat="1" applyFont="1" applyFill="1" applyBorder="1"/>
    <xf numFmtId="165" fontId="9" fillId="0" borderId="0" xfId="1" applyNumberFormat="1" applyFont="1" applyFill="1" applyBorder="1"/>
    <xf numFmtId="0" fontId="9" fillId="2" borderId="28" xfId="0" applyFont="1" applyFill="1" applyBorder="1" applyAlignment="1">
      <alignment horizontal="left"/>
    </xf>
    <xf numFmtId="0" fontId="9" fillId="2" borderId="29" xfId="0" applyFont="1" applyFill="1" applyBorder="1" applyAlignment="1">
      <alignment horizontal="left"/>
    </xf>
    <xf numFmtId="9" fontId="9" fillId="2" borderId="16" xfId="2" applyFont="1" applyFill="1" applyBorder="1"/>
    <xf numFmtId="9" fontId="9" fillId="2" borderId="17" xfId="2" applyFont="1" applyFill="1" applyBorder="1"/>
    <xf numFmtId="9" fontId="9" fillId="0" borderId="0" xfId="2" applyFont="1" applyFill="1" applyBorder="1"/>
    <xf numFmtId="0" fontId="9" fillId="4" borderId="28" xfId="0" applyFont="1" applyFill="1" applyBorder="1" applyAlignment="1">
      <alignment horizontal="left"/>
    </xf>
    <xf numFmtId="0" fontId="9" fillId="4" borderId="29" xfId="0" applyFont="1" applyFill="1" applyBorder="1" applyAlignment="1">
      <alignment horizontal="left"/>
    </xf>
    <xf numFmtId="9" fontId="9" fillId="4" borderId="16" xfId="2" applyFont="1" applyFill="1" applyBorder="1"/>
    <xf numFmtId="9" fontId="9" fillId="4" borderId="17" xfId="2" applyFont="1" applyFill="1" applyBorder="1"/>
    <xf numFmtId="165" fontId="0" fillId="0" borderId="0" xfId="0" applyNumberFormat="1"/>
    <xf numFmtId="0" fontId="11" fillId="3" borderId="0" xfId="0" applyFont="1" applyFill="1"/>
    <xf numFmtId="0" fontId="9" fillId="2" borderId="30" xfId="0" applyFont="1" applyFill="1" applyBorder="1"/>
    <xf numFmtId="0" fontId="9" fillId="2" borderId="31" xfId="0" applyFont="1" applyFill="1" applyBorder="1"/>
    <xf numFmtId="0" fontId="9" fillId="2" borderId="32" xfId="0" applyFont="1" applyFill="1" applyBorder="1"/>
    <xf numFmtId="0" fontId="9" fillId="2" borderId="33" xfId="0" applyFont="1" applyFill="1" applyBorder="1"/>
    <xf numFmtId="165" fontId="10" fillId="0" borderId="34" xfId="1" applyNumberFormat="1" applyFont="1" applyBorder="1"/>
    <xf numFmtId="165" fontId="10" fillId="5" borderId="35" xfId="1" applyNumberFormat="1" applyFont="1" applyFill="1" applyBorder="1"/>
    <xf numFmtId="165" fontId="10" fillId="0" borderId="36" xfId="1" applyNumberFormat="1" applyFont="1" applyBorder="1"/>
    <xf numFmtId="165" fontId="9" fillId="2" borderId="30" xfId="1" applyNumberFormat="1" applyFont="1" applyFill="1" applyBorder="1"/>
    <xf numFmtId="165" fontId="9" fillId="2" borderId="31" xfId="1" applyNumberFormat="1" applyFont="1" applyFill="1" applyBorder="1"/>
    <xf numFmtId="165" fontId="9" fillId="2" borderId="37" xfId="1" applyNumberFormat="1" applyFont="1" applyFill="1" applyBorder="1"/>
    <xf numFmtId="165" fontId="9" fillId="2" borderId="38" xfId="1" applyNumberFormat="1" applyFont="1" applyFill="1" applyBorder="1"/>
    <xf numFmtId="165" fontId="0" fillId="0" borderId="0" xfId="1" applyNumberFormat="1" applyFont="1"/>
    <xf numFmtId="0" fontId="12" fillId="2" borderId="9" xfId="0" applyFont="1" applyFill="1" applyBorder="1"/>
    <xf numFmtId="0" fontId="12" fillId="2" borderId="11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2" borderId="15" xfId="0" applyFont="1" applyFill="1" applyBorder="1"/>
    <xf numFmtId="0" fontId="12" fillId="2" borderId="16" xfId="0" applyFont="1" applyFill="1" applyBorder="1"/>
    <xf numFmtId="0" fontId="12" fillId="2" borderId="17" xfId="0" applyFont="1" applyFill="1" applyBorder="1"/>
    <xf numFmtId="0" fontId="12" fillId="2" borderId="18" xfId="0" applyFont="1" applyFill="1" applyBorder="1"/>
    <xf numFmtId="0" fontId="12" fillId="2" borderId="19" xfId="0" applyFont="1" applyFill="1" applyBorder="1"/>
    <xf numFmtId="0" fontId="12" fillId="0" borderId="0" xfId="0" applyFont="1"/>
    <xf numFmtId="0" fontId="13" fillId="3" borderId="21" xfId="0" applyFont="1" applyFill="1" applyBorder="1"/>
    <xf numFmtId="165" fontId="13" fillId="0" borderId="22" xfId="1" applyNumberFormat="1" applyFont="1" applyBorder="1"/>
    <xf numFmtId="165" fontId="13" fillId="0" borderId="23" xfId="1" applyNumberFormat="1" applyFont="1" applyBorder="1"/>
    <xf numFmtId="165" fontId="13" fillId="0" borderId="0" xfId="1" applyNumberFormat="1" applyFont="1" applyFill="1" applyBorder="1"/>
    <xf numFmtId="0" fontId="13" fillId="3" borderId="25" xfId="0" applyFont="1" applyFill="1" applyBorder="1"/>
    <xf numFmtId="165" fontId="12" fillId="0" borderId="0" xfId="1" applyNumberFormat="1" applyFont="1" applyFill="1" applyBorder="1" applyAlignment="1">
      <alignment horizontal="center"/>
    </xf>
    <xf numFmtId="165" fontId="12" fillId="2" borderId="16" xfId="1" applyNumberFormat="1" applyFont="1" applyFill="1" applyBorder="1"/>
    <xf numFmtId="165" fontId="12" fillId="2" borderId="17" xfId="1" applyNumberFormat="1" applyFont="1" applyFill="1" applyBorder="1"/>
    <xf numFmtId="165" fontId="12" fillId="2" borderId="18" xfId="1" applyNumberFormat="1" applyFont="1" applyFill="1" applyBorder="1"/>
    <xf numFmtId="165" fontId="12" fillId="2" borderId="19" xfId="1" applyNumberFormat="1" applyFont="1" applyFill="1" applyBorder="1"/>
    <xf numFmtId="165" fontId="12" fillId="0" borderId="0" xfId="1" applyNumberFormat="1" applyFont="1" applyFill="1" applyBorder="1"/>
    <xf numFmtId="165" fontId="2" fillId="0" borderId="0" xfId="0" applyNumberFormat="1" applyFont="1"/>
    <xf numFmtId="4" fontId="2" fillId="0" borderId="0" xfId="0" applyNumberFormat="1" applyFont="1"/>
    <xf numFmtId="9" fontId="12" fillId="2" borderId="16" xfId="2" applyFont="1" applyFill="1" applyBorder="1"/>
    <xf numFmtId="9" fontId="12" fillId="2" borderId="17" xfId="2" applyFont="1" applyFill="1" applyBorder="1"/>
    <xf numFmtId="9" fontId="12" fillId="0" borderId="0" xfId="2" applyFont="1" applyFill="1" applyBorder="1"/>
    <xf numFmtId="165" fontId="12" fillId="0" borderId="0" xfId="2" applyNumberFormat="1" applyFont="1" applyFill="1" applyBorder="1"/>
    <xf numFmtId="0" fontId="12" fillId="4" borderId="15" xfId="0" applyFont="1" applyFill="1" applyBorder="1"/>
    <xf numFmtId="9" fontId="12" fillId="4" borderId="16" xfId="2" applyFont="1" applyFill="1" applyBorder="1"/>
    <xf numFmtId="9" fontId="12" fillId="4" borderId="17" xfId="2" applyFont="1" applyFill="1" applyBorder="1"/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0" fontId="12" fillId="3" borderId="0" xfId="0" applyFont="1" applyFill="1"/>
    <xf numFmtId="0" fontId="12" fillId="2" borderId="28" xfId="0" applyFont="1" applyFill="1" applyBorder="1"/>
    <xf numFmtId="0" fontId="12" fillId="2" borderId="30" xfId="0" applyFont="1" applyFill="1" applyBorder="1"/>
    <xf numFmtId="0" fontId="12" fillId="2" borderId="31" xfId="0" applyFont="1" applyFill="1" applyBorder="1"/>
    <xf numFmtId="0" fontId="12" fillId="2" borderId="32" xfId="0" applyFont="1" applyFill="1" applyBorder="1"/>
    <xf numFmtId="0" fontId="12" fillId="2" borderId="33" xfId="0" applyFont="1" applyFill="1" applyBorder="1"/>
    <xf numFmtId="165" fontId="13" fillId="0" borderId="34" xfId="1" applyNumberFormat="1" applyFont="1" applyBorder="1"/>
    <xf numFmtId="165" fontId="13" fillId="5" borderId="35" xfId="1" applyNumberFormat="1" applyFont="1" applyFill="1" applyBorder="1"/>
    <xf numFmtId="165" fontId="12" fillId="2" borderId="30" xfId="1" applyNumberFormat="1" applyFont="1" applyFill="1" applyBorder="1"/>
    <xf numFmtId="165" fontId="12" fillId="2" borderId="31" xfId="1" applyNumberFormat="1" applyFont="1" applyFill="1" applyBorder="1"/>
    <xf numFmtId="165" fontId="12" fillId="2" borderId="37" xfId="1" applyNumberFormat="1" applyFont="1" applyFill="1" applyBorder="1"/>
    <xf numFmtId="165" fontId="12" fillId="2" borderId="38" xfId="1" applyNumberFormat="1" applyFont="1" applyFill="1" applyBorder="1"/>
    <xf numFmtId="0" fontId="12" fillId="2" borderId="39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 vertical="center"/>
    </xf>
    <xf numFmtId="0" fontId="12" fillId="2" borderId="40" xfId="0" applyFont="1" applyFill="1" applyBorder="1"/>
    <xf numFmtId="0" fontId="16" fillId="2" borderId="41" xfId="0" applyFont="1" applyFill="1" applyBorder="1" applyAlignment="1">
      <alignment horizontal="center" vertical="center"/>
    </xf>
    <xf numFmtId="0" fontId="13" fillId="3" borderId="40" xfId="0" applyFont="1" applyFill="1" applyBorder="1"/>
    <xf numFmtId="0" fontId="16" fillId="2" borderId="4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2" fillId="2" borderId="43" xfId="0" applyFont="1" applyFill="1" applyBorder="1"/>
    <xf numFmtId="0" fontId="12" fillId="2" borderId="40" xfId="0" applyFont="1" applyFill="1" applyBorder="1"/>
    <xf numFmtId="0" fontId="12" fillId="4" borderId="16" xfId="0" applyFont="1" applyFill="1" applyBorder="1"/>
    <xf numFmtId="0" fontId="12" fillId="4" borderId="17" xfId="0" applyFont="1" applyFill="1" applyBorder="1"/>
    <xf numFmtId="0" fontId="16" fillId="2" borderId="11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7" fillId="3" borderId="0" xfId="0" applyFont="1" applyFill="1"/>
    <xf numFmtId="0" fontId="16" fillId="2" borderId="11" xfId="0" applyFont="1" applyFill="1" applyBorder="1" applyAlignment="1">
      <alignment vertical="center"/>
    </xf>
    <xf numFmtId="0" fontId="16" fillId="2" borderId="44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left"/>
    </xf>
    <xf numFmtId="0" fontId="12" fillId="2" borderId="47" xfId="0" applyFont="1" applyFill="1" applyBorder="1" applyAlignment="1">
      <alignment horizontal="left"/>
    </xf>
    <xf numFmtId="165" fontId="13" fillId="0" borderId="36" xfId="1" applyNumberFormat="1" applyFont="1" applyBorder="1"/>
    <xf numFmtId="165" fontId="12" fillId="0" borderId="22" xfId="1" applyNumberFormat="1" applyFont="1" applyBorder="1"/>
    <xf numFmtId="165" fontId="12" fillId="0" borderId="23" xfId="1" applyNumberFormat="1" applyFont="1" applyBorder="1"/>
    <xf numFmtId="165" fontId="12" fillId="0" borderId="34" xfId="1" applyNumberFormat="1" applyFont="1" applyBorder="1"/>
    <xf numFmtId="165" fontId="12" fillId="5" borderId="35" xfId="1" applyNumberFormat="1" applyFont="1" applyFill="1" applyBorder="1"/>
    <xf numFmtId="0" fontId="12" fillId="2" borderId="31" xfId="0" applyFont="1" applyFill="1" applyBorder="1" applyAlignment="1">
      <alignment horizontal="center" vertical="center"/>
    </xf>
    <xf numFmtId="0" fontId="12" fillId="2" borderId="48" xfId="0" applyFont="1" applyFill="1" applyBorder="1"/>
    <xf numFmtId="0" fontId="16" fillId="2" borderId="48" xfId="0" applyFont="1" applyFill="1" applyBorder="1" applyAlignment="1">
      <alignment horizontal="center" vertical="center"/>
    </xf>
    <xf numFmtId="0" fontId="13" fillId="3" borderId="48" xfId="0" applyFont="1" applyFill="1" applyBorder="1"/>
    <xf numFmtId="0" fontId="12" fillId="2" borderId="48" xfId="0" applyFont="1" applyFill="1" applyBorder="1"/>
    <xf numFmtId="0" fontId="12" fillId="4" borderId="49" xfId="0" applyFont="1" applyFill="1" applyBorder="1"/>
    <xf numFmtId="0" fontId="12" fillId="4" borderId="50" xfId="0" applyFont="1" applyFill="1" applyBorder="1"/>
    <xf numFmtId="0" fontId="16" fillId="2" borderId="48" xfId="0" applyFont="1" applyFill="1" applyBorder="1" applyAlignment="1">
      <alignment vertical="center"/>
    </xf>
    <xf numFmtId="0" fontId="12" fillId="2" borderId="48" xfId="0" applyFont="1" applyFill="1" applyBorder="1" applyAlignment="1">
      <alignment horizontal="left"/>
    </xf>
    <xf numFmtId="165" fontId="12" fillId="2" borderId="0" xfId="1" applyNumberFormat="1" applyFont="1" applyFill="1" applyBorder="1"/>
    <xf numFmtId="165" fontId="2" fillId="0" borderId="0" xfId="1" applyNumberFormat="1" applyFont="1"/>
    <xf numFmtId="0" fontId="16" fillId="0" borderId="0" xfId="0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65E5-7BB8-4470-B2B9-B82F281DB585}">
  <sheetPr>
    <pageSetUpPr fitToPage="1"/>
  </sheetPr>
  <dimension ref="A2:K99"/>
  <sheetViews>
    <sheetView showGridLines="0" tabSelected="1" topLeftCell="A2" zoomScale="115" zoomScaleNormal="115" workbookViewId="0">
      <selection activeCell="A2" sqref="A2"/>
    </sheetView>
  </sheetViews>
  <sheetFormatPr defaultColWidth="0" defaultRowHeight="15" zeroHeight="1" x14ac:dyDescent="0.25"/>
  <cols>
    <col min="1" max="1" width="1.42578125" customWidth="1"/>
    <col min="2" max="2" width="12.7109375" bestFit="1" customWidth="1"/>
    <col min="3" max="3" width="8.85546875" customWidth="1"/>
    <col min="4" max="4" width="61.85546875" customWidth="1"/>
    <col min="5" max="5" width="8.85546875" customWidth="1"/>
    <col min="6" max="6" width="31.28515625" customWidth="1"/>
    <col min="7" max="7" width="43.42578125" customWidth="1"/>
    <col min="8" max="8" width="9.5703125" bestFit="1" customWidth="1"/>
    <col min="9" max="9" width="1.7109375" customWidth="1"/>
    <col min="10" max="11" width="0" hidden="1" customWidth="1"/>
    <col min="12" max="16384" width="8.85546875" hidden="1"/>
  </cols>
  <sheetData>
    <row r="2" spans="2:11" ht="9.6" customHeight="1" thickBot="1" x14ac:dyDescent="0.3"/>
    <row r="3" spans="2:11" ht="24" thickBot="1" x14ac:dyDescent="0.4">
      <c r="B3" s="1" t="s">
        <v>0</v>
      </c>
      <c r="C3" s="2"/>
      <c r="D3" s="2"/>
      <c r="E3" s="2"/>
      <c r="F3" s="2"/>
      <c r="G3" s="2"/>
      <c r="H3" s="3" t="s">
        <v>1</v>
      </c>
      <c r="I3" s="4"/>
      <c r="J3" s="4"/>
      <c r="K3" s="4"/>
    </row>
    <row r="4" spans="2:11" x14ac:dyDescent="0.25">
      <c r="B4" s="5" t="s">
        <v>2</v>
      </c>
      <c r="H4" s="6"/>
    </row>
    <row r="5" spans="2:11" ht="17.25" x14ac:dyDescent="0.3">
      <c r="B5" s="7" t="s">
        <v>3</v>
      </c>
      <c r="C5" s="8"/>
      <c r="D5" s="8"/>
      <c r="E5" s="8"/>
      <c r="F5" s="8"/>
      <c r="G5" s="8"/>
      <c r="H5" s="9"/>
    </row>
    <row r="6" spans="2:11" x14ac:dyDescent="0.25">
      <c r="B6" s="10"/>
      <c r="C6" s="11" t="s">
        <v>4</v>
      </c>
      <c r="D6" s="11"/>
      <c r="H6" s="6">
        <v>2</v>
      </c>
    </row>
    <row r="7" spans="2:11" x14ac:dyDescent="0.25">
      <c r="B7" s="10"/>
      <c r="C7" s="12" t="s">
        <v>5</v>
      </c>
      <c r="D7" s="12"/>
      <c r="H7" s="6">
        <v>3</v>
      </c>
    </row>
    <row r="8" spans="2:11" x14ac:dyDescent="0.25">
      <c r="B8" s="10"/>
      <c r="C8" s="12" t="s">
        <v>6</v>
      </c>
      <c r="D8" s="12"/>
      <c r="H8" s="6">
        <v>3</v>
      </c>
    </row>
    <row r="9" spans="2:11" x14ac:dyDescent="0.25">
      <c r="B9" s="10"/>
      <c r="C9" s="12" t="s">
        <v>7</v>
      </c>
      <c r="D9" s="12"/>
      <c r="H9" s="6">
        <v>4</v>
      </c>
    </row>
    <row r="10" spans="2:11" x14ac:dyDescent="0.25">
      <c r="B10" s="10"/>
      <c r="C10" s="12" t="s">
        <v>8</v>
      </c>
      <c r="D10" s="12"/>
      <c r="H10" s="6">
        <v>4</v>
      </c>
    </row>
    <row r="11" spans="2:11" x14ac:dyDescent="0.25">
      <c r="B11" s="10"/>
      <c r="C11" s="12" t="s">
        <v>9</v>
      </c>
      <c r="D11" s="12"/>
      <c r="H11" s="6">
        <v>5</v>
      </c>
    </row>
    <row r="12" spans="2:11" x14ac:dyDescent="0.25">
      <c r="B12" s="10"/>
      <c r="C12" s="12" t="s">
        <v>10</v>
      </c>
      <c r="D12" s="12"/>
      <c r="H12" s="6">
        <v>5</v>
      </c>
    </row>
    <row r="13" spans="2:11" x14ac:dyDescent="0.25">
      <c r="B13" s="10"/>
      <c r="C13" s="13"/>
      <c r="D13" s="13"/>
      <c r="H13" s="6"/>
    </row>
    <row r="14" spans="2:11" x14ac:dyDescent="0.25">
      <c r="B14" s="10"/>
      <c r="C14" s="14"/>
      <c r="D14" s="15"/>
      <c r="H14" s="6"/>
    </row>
    <row r="15" spans="2:11" ht="17.25" x14ac:dyDescent="0.3">
      <c r="B15" s="7" t="s">
        <v>11</v>
      </c>
      <c r="C15" s="8"/>
      <c r="D15" s="8"/>
      <c r="E15" s="8"/>
      <c r="F15" s="8"/>
      <c r="G15" s="8"/>
      <c r="H15" s="9"/>
    </row>
    <row r="16" spans="2:11" x14ac:dyDescent="0.25">
      <c r="B16" s="10"/>
      <c r="C16" s="12" t="s">
        <v>4</v>
      </c>
      <c r="D16" s="12"/>
      <c r="E16" s="16"/>
      <c r="F16" s="16"/>
      <c r="G16" s="16"/>
      <c r="H16" s="6">
        <v>6</v>
      </c>
    </row>
    <row r="17" spans="2:8" x14ac:dyDescent="0.25">
      <c r="B17" s="10"/>
      <c r="C17" s="12" t="s">
        <v>5</v>
      </c>
      <c r="D17" s="12"/>
      <c r="E17" s="17"/>
      <c r="F17" s="17"/>
      <c r="H17" s="6">
        <v>6</v>
      </c>
    </row>
    <row r="18" spans="2:8" x14ac:dyDescent="0.25">
      <c r="B18" s="10"/>
      <c r="C18" s="12" t="s">
        <v>6</v>
      </c>
      <c r="D18" s="12"/>
      <c r="E18" s="17"/>
      <c r="F18" s="17"/>
      <c r="H18" s="6">
        <v>6</v>
      </c>
    </row>
    <row r="19" spans="2:8" x14ac:dyDescent="0.25">
      <c r="B19" s="10"/>
      <c r="C19" s="12" t="s">
        <v>7</v>
      </c>
      <c r="D19" s="12"/>
      <c r="H19" s="6">
        <v>6</v>
      </c>
    </row>
    <row r="20" spans="2:8" x14ac:dyDescent="0.25">
      <c r="B20" s="10"/>
      <c r="C20" s="12" t="s">
        <v>8</v>
      </c>
      <c r="D20" s="12"/>
      <c r="E20" s="16"/>
      <c r="F20" s="16"/>
      <c r="G20" s="16"/>
      <c r="H20" s="6">
        <v>6</v>
      </c>
    </row>
    <row r="21" spans="2:8" x14ac:dyDescent="0.25">
      <c r="B21" s="10"/>
      <c r="C21" s="12" t="s">
        <v>9</v>
      </c>
      <c r="D21" s="12"/>
      <c r="E21" s="17"/>
      <c r="F21" s="17"/>
      <c r="H21" s="6">
        <v>6</v>
      </c>
    </row>
    <row r="22" spans="2:8" x14ac:dyDescent="0.25">
      <c r="B22" s="10"/>
      <c r="C22" s="12" t="s">
        <v>10</v>
      </c>
      <c r="D22" s="12"/>
      <c r="H22" s="6">
        <v>6</v>
      </c>
    </row>
    <row r="23" spans="2:8" x14ac:dyDescent="0.25">
      <c r="B23" s="10"/>
      <c r="C23" s="18"/>
      <c r="D23" s="13"/>
      <c r="H23" s="6"/>
    </row>
    <row r="24" spans="2:8" x14ac:dyDescent="0.25">
      <c r="B24" s="10"/>
      <c r="C24" s="16"/>
      <c r="D24" s="16"/>
      <c r="E24" s="16"/>
      <c r="F24" s="16"/>
      <c r="G24" s="16"/>
      <c r="H24" s="6"/>
    </row>
    <row r="25" spans="2:8" ht="17.25" x14ac:dyDescent="0.3">
      <c r="B25" s="7" t="s">
        <v>12</v>
      </c>
      <c r="C25" s="8"/>
      <c r="D25" s="8"/>
      <c r="E25" s="8"/>
      <c r="F25" s="8"/>
      <c r="G25" s="8"/>
      <c r="H25" s="9"/>
    </row>
    <row r="26" spans="2:8" x14ac:dyDescent="0.25">
      <c r="B26" s="10"/>
      <c r="C26" s="12" t="s">
        <v>4</v>
      </c>
      <c r="D26" s="12"/>
      <c r="E26" s="17"/>
      <c r="F26" s="17"/>
      <c r="G26" s="17"/>
      <c r="H26" s="6">
        <v>7</v>
      </c>
    </row>
    <row r="27" spans="2:8" x14ac:dyDescent="0.25">
      <c r="B27" s="10"/>
      <c r="C27" s="12" t="s">
        <v>5</v>
      </c>
      <c r="D27" s="12"/>
      <c r="E27" s="17"/>
      <c r="F27" s="17"/>
      <c r="G27" s="17"/>
      <c r="H27" s="6">
        <v>8</v>
      </c>
    </row>
    <row r="28" spans="2:8" x14ac:dyDescent="0.25">
      <c r="B28" s="10"/>
      <c r="C28" s="12" t="s">
        <v>6</v>
      </c>
      <c r="D28" s="12"/>
      <c r="E28" s="17"/>
      <c r="F28" s="17"/>
      <c r="G28" s="17"/>
      <c r="H28" s="6">
        <v>8</v>
      </c>
    </row>
    <row r="29" spans="2:8" x14ac:dyDescent="0.25">
      <c r="B29" s="10"/>
      <c r="C29" s="12" t="s">
        <v>7</v>
      </c>
      <c r="D29" s="12"/>
      <c r="E29" s="17"/>
      <c r="F29" s="17"/>
      <c r="G29" s="17"/>
      <c r="H29" s="6">
        <v>9</v>
      </c>
    </row>
    <row r="30" spans="2:8" x14ac:dyDescent="0.25">
      <c r="B30" s="10"/>
      <c r="C30" s="12" t="s">
        <v>8</v>
      </c>
      <c r="D30" s="12"/>
      <c r="E30" s="13"/>
      <c r="F30" s="13"/>
      <c r="G30" s="13"/>
      <c r="H30" s="6">
        <v>9</v>
      </c>
    </row>
    <row r="31" spans="2:8" x14ac:dyDescent="0.25">
      <c r="B31" s="10"/>
      <c r="C31" s="12" t="s">
        <v>9</v>
      </c>
      <c r="D31" s="12"/>
      <c r="E31" s="13"/>
      <c r="F31" s="13"/>
      <c r="G31" s="13"/>
      <c r="H31" s="6">
        <v>10</v>
      </c>
    </row>
    <row r="32" spans="2:8" x14ac:dyDescent="0.25">
      <c r="B32" s="10"/>
      <c r="C32" s="12" t="s">
        <v>10</v>
      </c>
      <c r="D32" s="12"/>
      <c r="H32" s="6">
        <v>10</v>
      </c>
    </row>
    <row r="33" spans="2:8" x14ac:dyDescent="0.25">
      <c r="B33" s="10"/>
      <c r="C33" s="18"/>
      <c r="D33" s="13"/>
      <c r="H33" s="6"/>
    </row>
    <row r="34" spans="2:8" x14ac:dyDescent="0.25">
      <c r="B34" s="10"/>
      <c r="C34" s="18"/>
      <c r="D34" s="13"/>
      <c r="H34" s="6"/>
    </row>
    <row r="35" spans="2:8" ht="17.25" x14ac:dyDescent="0.3">
      <c r="B35" s="7" t="s">
        <v>13</v>
      </c>
      <c r="C35" s="8"/>
      <c r="D35" s="8"/>
      <c r="E35" s="8"/>
      <c r="F35" s="8"/>
      <c r="G35" s="8"/>
      <c r="H35" s="9"/>
    </row>
    <row r="36" spans="2:8" x14ac:dyDescent="0.25">
      <c r="B36" s="10"/>
      <c r="C36" s="12" t="s">
        <v>4</v>
      </c>
      <c r="D36" s="12"/>
      <c r="E36" s="17"/>
      <c r="F36" s="17"/>
      <c r="G36" s="17"/>
      <c r="H36" s="6">
        <v>11</v>
      </c>
    </row>
    <row r="37" spans="2:8" x14ac:dyDescent="0.25">
      <c r="B37" s="10"/>
      <c r="C37" s="12" t="s">
        <v>5</v>
      </c>
      <c r="D37" s="12"/>
      <c r="E37" s="17"/>
      <c r="F37" s="17"/>
      <c r="G37" s="17"/>
      <c r="H37" s="6">
        <v>12</v>
      </c>
    </row>
    <row r="38" spans="2:8" x14ac:dyDescent="0.25">
      <c r="B38" s="10"/>
      <c r="C38" s="12" t="s">
        <v>6</v>
      </c>
      <c r="D38" s="12"/>
      <c r="E38" s="17"/>
      <c r="F38" s="17"/>
      <c r="G38" s="17"/>
      <c r="H38" s="6">
        <v>12</v>
      </c>
    </row>
    <row r="39" spans="2:8" x14ac:dyDescent="0.25">
      <c r="B39" s="10"/>
      <c r="C39" s="12" t="s">
        <v>7</v>
      </c>
      <c r="D39" s="12"/>
      <c r="E39" s="17"/>
      <c r="F39" s="17"/>
      <c r="G39" s="17"/>
      <c r="H39" s="6">
        <v>13</v>
      </c>
    </row>
    <row r="40" spans="2:8" x14ac:dyDescent="0.25">
      <c r="B40" s="10"/>
      <c r="C40" s="12" t="s">
        <v>8</v>
      </c>
      <c r="D40" s="12"/>
      <c r="E40" s="13"/>
      <c r="F40" s="13"/>
      <c r="G40" s="13"/>
      <c r="H40" s="6">
        <v>13</v>
      </c>
    </row>
    <row r="41" spans="2:8" x14ac:dyDescent="0.25">
      <c r="B41" s="10"/>
      <c r="C41" s="12" t="s">
        <v>9</v>
      </c>
      <c r="D41" s="12"/>
      <c r="E41" s="13"/>
      <c r="F41" s="13"/>
      <c r="G41" s="13"/>
      <c r="H41" s="6">
        <v>14</v>
      </c>
    </row>
    <row r="42" spans="2:8" x14ac:dyDescent="0.25">
      <c r="B42" s="10"/>
      <c r="C42" s="12" t="s">
        <v>10</v>
      </c>
      <c r="D42" s="12"/>
      <c r="H42" s="6">
        <v>14</v>
      </c>
    </row>
    <row r="43" spans="2:8" x14ac:dyDescent="0.25">
      <c r="B43" s="10"/>
      <c r="C43" s="13"/>
      <c r="D43" s="13"/>
      <c r="E43" s="13"/>
      <c r="F43" s="13"/>
      <c r="G43" s="13"/>
      <c r="H43" s="6"/>
    </row>
    <row r="44" spans="2:8" x14ac:dyDescent="0.25">
      <c r="B44" s="10"/>
      <c r="C44" s="13"/>
      <c r="D44" s="13"/>
      <c r="E44" s="13"/>
      <c r="F44" s="13"/>
      <c r="G44" s="13"/>
      <c r="H44" s="6"/>
    </row>
    <row r="45" spans="2:8" ht="17.25" x14ac:dyDescent="0.3">
      <c r="B45" s="7" t="s">
        <v>14</v>
      </c>
      <c r="C45" s="8"/>
      <c r="D45" s="8"/>
      <c r="E45" s="8"/>
      <c r="F45" s="8"/>
      <c r="G45" s="8"/>
      <c r="H45" s="9"/>
    </row>
    <row r="46" spans="2:8" x14ac:dyDescent="0.25">
      <c r="B46" s="10"/>
      <c r="C46" s="12" t="s">
        <v>4</v>
      </c>
      <c r="D46" s="12"/>
      <c r="E46" s="17"/>
      <c r="F46" s="17"/>
      <c r="G46" s="17"/>
      <c r="H46" s="6">
        <v>15</v>
      </c>
    </row>
    <row r="47" spans="2:8" x14ac:dyDescent="0.25">
      <c r="B47" s="10"/>
      <c r="C47" s="12" t="s">
        <v>5</v>
      </c>
      <c r="D47" s="12"/>
      <c r="E47" s="17"/>
      <c r="F47" s="17"/>
      <c r="G47" s="17"/>
      <c r="H47" s="6">
        <v>16</v>
      </c>
    </row>
    <row r="48" spans="2:8" x14ac:dyDescent="0.25">
      <c r="B48" s="10"/>
      <c r="C48" s="12" t="s">
        <v>6</v>
      </c>
      <c r="D48" s="12"/>
      <c r="E48" s="17"/>
      <c r="F48" s="17"/>
      <c r="G48" s="17"/>
      <c r="H48" s="6">
        <v>16</v>
      </c>
    </row>
    <row r="49" spans="2:8" x14ac:dyDescent="0.25">
      <c r="B49" s="10"/>
      <c r="C49" s="12" t="s">
        <v>7</v>
      </c>
      <c r="D49" s="12"/>
      <c r="E49" s="17"/>
      <c r="F49" s="17"/>
      <c r="G49" s="17"/>
      <c r="H49" s="6">
        <v>17</v>
      </c>
    </row>
    <row r="50" spans="2:8" x14ac:dyDescent="0.25">
      <c r="B50" s="10"/>
      <c r="C50" s="12" t="s">
        <v>8</v>
      </c>
      <c r="D50" s="12"/>
      <c r="E50" s="13"/>
      <c r="F50" s="13"/>
      <c r="G50" s="13"/>
      <c r="H50" s="6">
        <v>17</v>
      </c>
    </row>
    <row r="51" spans="2:8" x14ac:dyDescent="0.25">
      <c r="B51" s="10"/>
      <c r="C51" s="12" t="s">
        <v>9</v>
      </c>
      <c r="D51" s="12"/>
      <c r="E51" s="13"/>
      <c r="F51" s="13"/>
      <c r="G51" s="13"/>
      <c r="H51" s="6">
        <v>18</v>
      </c>
    </row>
    <row r="52" spans="2:8" x14ac:dyDescent="0.25">
      <c r="B52" s="10"/>
      <c r="C52" s="12" t="s">
        <v>10</v>
      </c>
      <c r="D52" s="12"/>
      <c r="H52" s="6">
        <v>18</v>
      </c>
    </row>
    <row r="53" spans="2:8" x14ac:dyDescent="0.25">
      <c r="B53" s="10"/>
      <c r="H53" s="6"/>
    </row>
    <row r="54" spans="2:8" x14ac:dyDescent="0.25">
      <c r="B54" s="10"/>
      <c r="H54" s="6"/>
    </row>
    <row r="55" spans="2:8" ht="17.25" x14ac:dyDescent="0.3">
      <c r="B55" s="7" t="s">
        <v>15</v>
      </c>
      <c r="C55" s="8"/>
      <c r="D55" s="8"/>
      <c r="E55" s="8"/>
      <c r="F55" s="8"/>
      <c r="G55" s="8"/>
      <c r="H55" s="9"/>
    </row>
    <row r="56" spans="2:8" x14ac:dyDescent="0.25">
      <c r="B56" s="10"/>
      <c r="C56" s="12" t="s">
        <v>4</v>
      </c>
      <c r="D56" s="12"/>
      <c r="E56" s="17"/>
      <c r="F56" s="17"/>
      <c r="G56" s="17"/>
      <c r="H56" s="6">
        <v>19</v>
      </c>
    </row>
    <row r="57" spans="2:8" x14ac:dyDescent="0.25">
      <c r="B57" s="10"/>
      <c r="C57" s="12" t="s">
        <v>5</v>
      </c>
      <c r="D57" s="12"/>
      <c r="E57" s="17"/>
      <c r="F57" s="17"/>
      <c r="G57" s="17"/>
      <c r="H57" s="6">
        <v>20</v>
      </c>
    </row>
    <row r="58" spans="2:8" x14ac:dyDescent="0.25">
      <c r="B58" s="10"/>
      <c r="C58" s="12" t="s">
        <v>6</v>
      </c>
      <c r="D58" s="12"/>
      <c r="E58" s="17"/>
      <c r="F58" s="17"/>
      <c r="G58" s="17"/>
      <c r="H58" s="6">
        <v>20</v>
      </c>
    </row>
    <row r="59" spans="2:8" x14ac:dyDescent="0.25">
      <c r="B59" s="10"/>
      <c r="C59" s="12" t="s">
        <v>7</v>
      </c>
      <c r="D59" s="12"/>
      <c r="E59" s="17"/>
      <c r="F59" s="17"/>
      <c r="G59" s="17"/>
      <c r="H59" s="6">
        <v>21</v>
      </c>
    </row>
    <row r="60" spans="2:8" x14ac:dyDescent="0.25">
      <c r="B60" s="10"/>
      <c r="C60" s="12" t="s">
        <v>8</v>
      </c>
      <c r="D60" s="12"/>
      <c r="E60" s="13"/>
      <c r="F60" s="13"/>
      <c r="G60" s="13"/>
      <c r="H60" s="6">
        <v>21</v>
      </c>
    </row>
    <row r="61" spans="2:8" x14ac:dyDescent="0.25">
      <c r="B61" s="10"/>
      <c r="C61" s="12" t="s">
        <v>9</v>
      </c>
      <c r="D61" s="12"/>
      <c r="E61" s="13"/>
      <c r="F61" s="13"/>
      <c r="G61" s="13"/>
      <c r="H61" s="6">
        <v>22</v>
      </c>
    </row>
    <row r="62" spans="2:8" x14ac:dyDescent="0.25">
      <c r="B62" s="10"/>
      <c r="C62" s="12" t="s">
        <v>10</v>
      </c>
      <c r="D62" s="12"/>
      <c r="H62" s="6">
        <v>22</v>
      </c>
    </row>
    <row r="63" spans="2:8" x14ac:dyDescent="0.25">
      <c r="B63" s="10"/>
      <c r="H63" s="6"/>
    </row>
    <row r="64" spans="2:8" x14ac:dyDescent="0.25">
      <c r="B64" s="10"/>
      <c r="H64" s="6"/>
    </row>
    <row r="65" spans="2:8" ht="17.25" x14ac:dyDescent="0.3">
      <c r="B65" s="7" t="s">
        <v>16</v>
      </c>
      <c r="C65" s="8"/>
      <c r="D65" s="8"/>
      <c r="E65" s="8"/>
      <c r="F65" s="8"/>
      <c r="G65" s="8"/>
      <c r="H65" s="6"/>
    </row>
    <row r="66" spans="2:8" x14ac:dyDescent="0.25">
      <c r="B66" s="10"/>
      <c r="C66" s="12" t="s">
        <v>4</v>
      </c>
      <c r="D66" s="12"/>
      <c r="H66" s="6">
        <v>23</v>
      </c>
    </row>
    <row r="67" spans="2:8" x14ac:dyDescent="0.25">
      <c r="B67" s="10"/>
      <c r="C67" s="12" t="s">
        <v>5</v>
      </c>
      <c r="D67" s="12"/>
      <c r="H67" s="6">
        <v>24</v>
      </c>
    </row>
    <row r="68" spans="2:8" x14ac:dyDescent="0.25">
      <c r="B68" s="10"/>
      <c r="C68" s="12" t="s">
        <v>6</v>
      </c>
      <c r="D68" s="12"/>
      <c r="H68" s="6">
        <v>24</v>
      </c>
    </row>
    <row r="69" spans="2:8" x14ac:dyDescent="0.25">
      <c r="B69" s="10"/>
      <c r="C69" s="12" t="s">
        <v>7</v>
      </c>
      <c r="D69" s="12"/>
      <c r="H69" s="6">
        <v>25</v>
      </c>
    </row>
    <row r="70" spans="2:8" x14ac:dyDescent="0.25">
      <c r="B70" s="10"/>
      <c r="C70" s="12" t="s">
        <v>8</v>
      </c>
      <c r="D70" s="12"/>
      <c r="H70" s="6">
        <v>25</v>
      </c>
    </row>
    <row r="71" spans="2:8" x14ac:dyDescent="0.25">
      <c r="B71" s="10"/>
      <c r="C71" s="12" t="s">
        <v>9</v>
      </c>
      <c r="D71" s="12"/>
      <c r="H71" s="6">
        <v>26</v>
      </c>
    </row>
    <row r="72" spans="2:8" x14ac:dyDescent="0.25">
      <c r="B72" s="10"/>
      <c r="C72" s="12" t="s">
        <v>10</v>
      </c>
      <c r="D72" s="12"/>
      <c r="H72" s="6">
        <v>26</v>
      </c>
    </row>
    <row r="73" spans="2:8" x14ac:dyDescent="0.25">
      <c r="B73" s="10"/>
      <c r="H73" s="6"/>
    </row>
    <row r="74" spans="2:8" x14ac:dyDescent="0.25">
      <c r="B74" s="10"/>
      <c r="H74" s="6"/>
    </row>
    <row r="75" spans="2:8" ht="17.25" x14ac:dyDescent="0.3">
      <c r="B75" s="7" t="s">
        <v>17</v>
      </c>
      <c r="C75" s="8"/>
      <c r="D75" s="8"/>
      <c r="E75" s="8"/>
      <c r="F75" s="8"/>
      <c r="G75" s="8"/>
      <c r="H75" s="6"/>
    </row>
    <row r="76" spans="2:8" x14ac:dyDescent="0.25">
      <c r="B76" s="10"/>
      <c r="C76" s="12" t="s">
        <v>4</v>
      </c>
      <c r="D76" s="12"/>
      <c r="H76" s="6">
        <v>27</v>
      </c>
    </row>
    <row r="77" spans="2:8" x14ac:dyDescent="0.25">
      <c r="B77" s="10"/>
      <c r="C77" s="12" t="s">
        <v>5</v>
      </c>
      <c r="D77" s="12"/>
      <c r="H77" s="6">
        <v>28</v>
      </c>
    </row>
    <row r="78" spans="2:8" x14ac:dyDescent="0.25">
      <c r="B78" s="10"/>
      <c r="C78" s="12" t="s">
        <v>6</v>
      </c>
      <c r="D78" s="12"/>
      <c r="H78" s="6">
        <v>28</v>
      </c>
    </row>
    <row r="79" spans="2:8" x14ac:dyDescent="0.25">
      <c r="B79" s="10"/>
      <c r="C79" s="12" t="s">
        <v>7</v>
      </c>
      <c r="D79" s="12"/>
      <c r="H79" s="6">
        <v>29</v>
      </c>
    </row>
    <row r="80" spans="2:8" x14ac:dyDescent="0.25">
      <c r="B80" s="10"/>
      <c r="C80" s="12" t="s">
        <v>8</v>
      </c>
      <c r="D80" s="12"/>
      <c r="H80" s="6">
        <v>29</v>
      </c>
    </row>
    <row r="81" spans="2:8" x14ac:dyDescent="0.25">
      <c r="B81" s="10"/>
      <c r="C81" s="12" t="s">
        <v>9</v>
      </c>
      <c r="D81" s="12"/>
      <c r="H81" s="6">
        <v>30</v>
      </c>
    </row>
    <row r="82" spans="2:8" x14ac:dyDescent="0.25">
      <c r="B82" s="10"/>
      <c r="C82" s="12" t="s">
        <v>10</v>
      </c>
      <c r="D82" s="12"/>
      <c r="H82" s="6">
        <v>30</v>
      </c>
    </row>
    <row r="83" spans="2:8" x14ac:dyDescent="0.25">
      <c r="B83" s="10"/>
      <c r="H83" s="6"/>
    </row>
    <row r="84" spans="2:8" x14ac:dyDescent="0.25">
      <c r="B84" s="10"/>
      <c r="H84" s="6"/>
    </row>
    <row r="85" spans="2:8" ht="17.25" x14ac:dyDescent="0.3">
      <c r="B85" s="7" t="s">
        <v>18</v>
      </c>
      <c r="C85" s="8"/>
      <c r="D85" s="8"/>
      <c r="E85" s="8"/>
      <c r="F85" s="8"/>
      <c r="G85" s="8"/>
      <c r="H85" s="6"/>
    </row>
    <row r="86" spans="2:8" x14ac:dyDescent="0.25">
      <c r="B86" s="10"/>
      <c r="C86" s="12" t="s">
        <v>4</v>
      </c>
      <c r="D86" s="12"/>
      <c r="H86" s="6">
        <v>31</v>
      </c>
    </row>
    <row r="87" spans="2:8" x14ac:dyDescent="0.25">
      <c r="B87" s="10"/>
      <c r="C87" s="12" t="s">
        <v>5</v>
      </c>
      <c r="D87" s="12"/>
      <c r="H87" s="6">
        <v>32</v>
      </c>
    </row>
    <row r="88" spans="2:8" x14ac:dyDescent="0.25">
      <c r="B88" s="10"/>
      <c r="C88" s="12" t="s">
        <v>6</v>
      </c>
      <c r="D88" s="12"/>
      <c r="H88" s="6">
        <v>32</v>
      </c>
    </row>
    <row r="89" spans="2:8" x14ac:dyDescent="0.25">
      <c r="B89" s="10"/>
      <c r="C89" s="12" t="s">
        <v>7</v>
      </c>
      <c r="D89" s="12"/>
      <c r="H89" s="6">
        <v>33</v>
      </c>
    </row>
    <row r="90" spans="2:8" x14ac:dyDescent="0.25">
      <c r="B90" s="10"/>
      <c r="C90" s="12" t="s">
        <v>8</v>
      </c>
      <c r="D90" s="12"/>
      <c r="H90" s="6">
        <v>33</v>
      </c>
    </row>
    <row r="91" spans="2:8" x14ac:dyDescent="0.25">
      <c r="B91" s="10"/>
      <c r="C91" s="12" t="s">
        <v>9</v>
      </c>
      <c r="D91" s="12"/>
      <c r="H91" s="6">
        <v>34</v>
      </c>
    </row>
    <row r="92" spans="2:8" x14ac:dyDescent="0.25">
      <c r="B92" s="10"/>
      <c r="C92" s="12" t="s">
        <v>10</v>
      </c>
      <c r="D92" s="12"/>
      <c r="H92" s="6">
        <v>34</v>
      </c>
    </row>
    <row r="93" spans="2:8" x14ac:dyDescent="0.25">
      <c r="B93" s="10"/>
      <c r="C93" s="18"/>
      <c r="D93" s="13"/>
      <c r="H93" s="6"/>
    </row>
    <row r="94" spans="2:8" ht="15.75" thickBot="1" x14ac:dyDescent="0.3">
      <c r="B94" s="19"/>
      <c r="C94" s="20"/>
      <c r="D94" s="20"/>
      <c r="E94" s="20"/>
      <c r="F94" s="20"/>
      <c r="G94" s="20"/>
      <c r="H94" s="21"/>
    </row>
    <row r="95" spans="2:8" ht="8.4499999999999993" customHeight="1" x14ac:dyDescent="0.25"/>
    <row r="96" spans="2:8" x14ac:dyDescent="0.25"/>
    <row r="97" x14ac:dyDescent="0.25"/>
    <row r="98" x14ac:dyDescent="0.25"/>
    <row r="99" x14ac:dyDescent="0.25"/>
  </sheetData>
  <mergeCells count="73">
    <mergeCell ref="C92:D92"/>
    <mergeCell ref="C86:D86"/>
    <mergeCell ref="C87:D87"/>
    <mergeCell ref="C88:D88"/>
    <mergeCell ref="C89:D89"/>
    <mergeCell ref="C90:D90"/>
    <mergeCell ref="C91:D91"/>
    <mergeCell ref="C78:D78"/>
    <mergeCell ref="C79:D79"/>
    <mergeCell ref="C80:D80"/>
    <mergeCell ref="C81:D81"/>
    <mergeCell ref="C82:D82"/>
    <mergeCell ref="B85:G85"/>
    <mergeCell ref="C70:D70"/>
    <mergeCell ref="C71:D71"/>
    <mergeCell ref="C72:D72"/>
    <mergeCell ref="B75:G75"/>
    <mergeCell ref="C76:D76"/>
    <mergeCell ref="C77:D77"/>
    <mergeCell ref="C62:D62"/>
    <mergeCell ref="B65:G65"/>
    <mergeCell ref="C66:D66"/>
    <mergeCell ref="C67:D67"/>
    <mergeCell ref="C68:D68"/>
    <mergeCell ref="C69:D69"/>
    <mergeCell ref="C56:D56"/>
    <mergeCell ref="C57:D57"/>
    <mergeCell ref="C58:D58"/>
    <mergeCell ref="C59:D59"/>
    <mergeCell ref="C60:D60"/>
    <mergeCell ref="C61:D61"/>
    <mergeCell ref="C48:D48"/>
    <mergeCell ref="C49:D49"/>
    <mergeCell ref="C50:D50"/>
    <mergeCell ref="C51:D51"/>
    <mergeCell ref="C52:D52"/>
    <mergeCell ref="B55:G55"/>
    <mergeCell ref="C40:D40"/>
    <mergeCell ref="C41:D41"/>
    <mergeCell ref="C42:D42"/>
    <mergeCell ref="B45:G45"/>
    <mergeCell ref="C46:D46"/>
    <mergeCell ref="C47:D47"/>
    <mergeCell ref="C32:D32"/>
    <mergeCell ref="B35:G35"/>
    <mergeCell ref="C36:D36"/>
    <mergeCell ref="C37:D37"/>
    <mergeCell ref="C38:D38"/>
    <mergeCell ref="C39:D39"/>
    <mergeCell ref="C26:D26"/>
    <mergeCell ref="C27:D27"/>
    <mergeCell ref="C28:D28"/>
    <mergeCell ref="C29:D29"/>
    <mergeCell ref="C30:D30"/>
    <mergeCell ref="C31:D31"/>
    <mergeCell ref="C18:D18"/>
    <mergeCell ref="C19:D19"/>
    <mergeCell ref="C20:D20"/>
    <mergeCell ref="C21:D21"/>
    <mergeCell ref="C22:D22"/>
    <mergeCell ref="B25:G25"/>
    <mergeCell ref="C10:D10"/>
    <mergeCell ref="C11:D11"/>
    <mergeCell ref="C12:D12"/>
    <mergeCell ref="B15:G15"/>
    <mergeCell ref="C16:D16"/>
    <mergeCell ref="C17:D17"/>
    <mergeCell ref="B3:G3"/>
    <mergeCell ref="B5:G5"/>
    <mergeCell ref="C6:D6"/>
    <mergeCell ref="C7:D7"/>
    <mergeCell ref="C8:D8"/>
    <mergeCell ref="C9:D9"/>
  </mergeCells>
  <hyperlinks>
    <hyperlink ref="C7:D7" location="projectwise_total!A103" display="        b) 0 to 10% paid category - Balance collectible and Dues details YOY" xr:uid="{2F8B6CEF-8A89-4B98-AD6C-335492AA831C}"/>
    <hyperlink ref="C8:D8" location="projectwise_total!A152" display="        c) 10 to 20% paid category - Balance collectible and Dues details YOY" xr:uid="{23B55E60-98FD-4F30-9220-3ECBF5869BB2}"/>
    <hyperlink ref="C9:D9" location="projectwise_total!A203" display="        d) 20 to 30% paid category - Balance collectible and Dues details YOY" xr:uid="{FDD345FB-57B9-4952-B684-7263756F1784}"/>
    <hyperlink ref="C10:D10" location="projectwise_total!A251" display="        e) 30 to 40% paid category - Balance collectible and Dues details YOY" xr:uid="{6F3CED2B-6B92-450B-A0BD-D262D8278A2A}"/>
    <hyperlink ref="C11:D11" location="projectwise_total!A300" display="        f) 40 to 60% paid category - Balance collectible and Dues details YOY" xr:uid="{515B9EED-B674-45AF-9984-E386ED54DCFC}"/>
    <hyperlink ref="C12:D12" location="projectwise_total!A350" display="        g) 60%+ paid category - Balance collectible and Dues details YOY" xr:uid="{55C62C94-7D3D-4C9D-8565-4060BD11AE95}"/>
    <hyperlink ref="C16:D16" location="investment_total!A3" display="        a) Paid % category" xr:uid="{C3C845E8-260B-4801-9CA3-EBBE10AF01B5}"/>
    <hyperlink ref="C17:D17" location="investment_total!A28" display="        b) 0 to 10% paid category - Balance collectible and Dues details YOY" xr:uid="{FE169837-1185-44E1-A8DC-150FAA85743F}"/>
    <hyperlink ref="C18:D18" location="investment_total!A39" display="        c) 10 to 20% paid category - Balance collectible and Dues details YOY" xr:uid="{A69D1A8A-27A2-435A-974C-20BC6180E9F0}"/>
    <hyperlink ref="C20:D20" location="investment_total!A60" display="        e) 30 to 40% paid category - Balance collectible and Dues details YOY" xr:uid="{8792E088-45FF-4867-B541-9678FE76B36F}"/>
    <hyperlink ref="C21:D21" location="Index!A70" display="        f) 40 to 60% paid category - Balance collectible and Dues details YOY" xr:uid="{67A7F9EF-6B0F-4F4F-8D82-FC198179E7C3}"/>
    <hyperlink ref="C22:D22" location="investment_total!A81" display="        g) 60%+ paid category - Balance collectible and Dues details YOY" xr:uid="{4F80F6AE-C6A1-4A6A-9EAF-10D7BCE6B7BC}"/>
    <hyperlink ref="C26:D26" location="'less than 5mil'!A3" display="        a) Paid % category" xr:uid="{4C994AE5-7852-4AC7-B1ED-E5E029E3D572}"/>
    <hyperlink ref="C27:D27" location="'less than 5mil'!A105" display="        b) 0 to 10% paid category - Balance collectible and Dues details YOY" xr:uid="{0557C29A-7701-422C-B8E6-E538F7ACDAEF}"/>
    <hyperlink ref="C28:D28" location="'less than 5mil'!A154" display="        c) 10 to 20% paid category - Balance collectible and Dues details YOY" xr:uid="{94684708-4F22-4B29-B009-F186BAF6C9D0}"/>
    <hyperlink ref="C29:D29" location="'less than 5mil'!A204" display="        d) 20 to 30% paid category - Balance collectible and Dues details YOY" xr:uid="{AE4DB3E1-25A9-4A9E-8C66-74D89D457DE7}"/>
    <hyperlink ref="C30:D30" location="'less than 5mil'!A253" display="        e) 30 to 40% paid category - Balance collectible and Dues details YOY" xr:uid="{B40FC046-748E-4709-B4F5-B5CDB8C9B145}"/>
    <hyperlink ref="C31:D31" location="'less than 5mil'!A302" display="        f) 40 to 60% paid category - Balance collectible and Dues details YOY" xr:uid="{7423EAE6-12E3-4D54-95B2-CBA054132336}"/>
    <hyperlink ref="C32:D32" location="'less than 5mil'!A352" display="        g) 60%+ paid category - Balance collectible and Dues details YOY" xr:uid="{0DE5F585-4F58-459F-8F0D-ED6AEA7617E2}"/>
    <hyperlink ref="C6:D6" location="projectwise_total!A5" display="        a) Paid % category" xr:uid="{79BC5441-0FE5-4C8D-9BDE-56285257DADE}"/>
    <hyperlink ref="C19:D19" location="investment_total!A49" display="        d) 20 to 30% paid category - Balance collectible and Dues details YOY" xr:uid="{8E4851D0-4DBD-4C94-ACF8-4DB7D8DD2AFF}"/>
    <hyperlink ref="C36:D36" location="'5mil to 10mil'!A3" display="        a) Paid % category" xr:uid="{EB9B5D8B-3191-4D4F-9F31-740AB62D6540}"/>
    <hyperlink ref="C37:D37" location="'5mil to 10mil'!A105" display="        b) 0 to 10% paid category - Balance collectible and Dues details YOY" xr:uid="{60191115-E8C6-4132-8ED3-714DC03BF9BF}"/>
    <hyperlink ref="C38:D38" location="'5mil to 10mil'!A154" display="        c) 10 to 20% paid category - Balance collectible and Dues details YOY" xr:uid="{552C7F6C-C3C8-4E4D-B148-BB29A11364C8}"/>
    <hyperlink ref="C39:D39" location="'5mil to 10mil'!A204" display="        d) 20 to 30% paid category - Balance collectible and Dues details YOY" xr:uid="{7BC6E7C1-6305-481B-9D8A-C9186902EB85}"/>
    <hyperlink ref="C40:D40" location="'5mil to 10mil'!A253" display="        e) 30 to 40% paid category - Balance collectible and Dues details YOY" xr:uid="{AE0A9567-B51E-4B38-BB87-85CFC9EA07C9}"/>
    <hyperlink ref="C41:D41" location="'5mil to 10mil'!A302" display="        f) 40 to 60% paid category - Balance collectible and Dues details YOY" xr:uid="{CFCED624-3BA0-4B63-A237-DAF5959988BC}"/>
    <hyperlink ref="C42:D42" location="'5mil to 10mil'!A352" display="        g) 60%+ paid category - Balance collectible and Dues details YOY" xr:uid="{89C2EC57-510D-42B1-8B57-A07AA653EB0C}"/>
    <hyperlink ref="C46:D46" location="'10mil to 15mil'!A3" display="        a) Paid % category" xr:uid="{F7896F80-C11D-406C-A276-8351D75BB6D0}"/>
    <hyperlink ref="C47:D47" location="'10mil to 15mil'!A105" display="        b) 0 to 10% paid category - Balance collectible and Dues details YOY" xr:uid="{5905D8FB-4256-4BDD-9691-AF759685F14B}"/>
    <hyperlink ref="C48:D48" location="'10mil to 15mil'!A154" display="        c) 10 to 20% paid category - Balance collectible and Dues details YOY" xr:uid="{878F828E-E698-460D-83D6-992DDEC7692B}"/>
    <hyperlink ref="C49:D49" location="'10mil to 15mil'!A204" display="        d) 20 to 30% paid category - Balance collectible and Dues details YOY" xr:uid="{4D0D4F4F-928F-4916-B876-EF9E8FF3DA30}"/>
    <hyperlink ref="C50:D50" location="'10mil to 15mil'!A253" display="        e) 30 to 40% paid category - Balance collectible and Dues details YOY" xr:uid="{6DBD4ED3-2E0F-48DA-87A8-6A4782C6C2BE}"/>
    <hyperlink ref="C51:D51" location="'10mil to 15mil'!A302" display="        f) 40 to 60% paid category - Balance collectible and Dues details YOY" xr:uid="{0D3269FF-CFF8-46DE-92E6-0301E6AFDB95}"/>
    <hyperlink ref="C52:D52" location="'10mil to 15mil'!A352" display="        g) 60%+ paid category - Balance collectible and Dues details YOY" xr:uid="{5570CA97-E30D-4A1D-B93C-9C5F9A009155}"/>
    <hyperlink ref="C56:D56" location="'15mil to 30mil'!A3" display="        a) Paid % category" xr:uid="{287447B0-D7D8-4C47-84EA-DB8F1B2125F0}"/>
    <hyperlink ref="C57:D57" location="'15mil to 30mil'!A105" display="        b) 0 to 10% paid category - Balance collectible and Dues details YOY" xr:uid="{BCA9DBC8-D647-4537-8C40-507D87A4B25E}"/>
    <hyperlink ref="C58:D58" location="'15mil to 30mil'!A154" display="        c) 10 to 20% paid category - Balance collectible and Dues details YOY" xr:uid="{99F9B948-3660-4020-8D1B-7AF4B0A8BBD9}"/>
    <hyperlink ref="C59:D59" location="'15mil to 30mil'!A204" display="        d) 20 to 30% paid category - Balance collectible and Dues details YOY" xr:uid="{91C22CC8-5641-479C-A121-0579128B533D}"/>
    <hyperlink ref="C60:D60" location="'15mil to 30mil'!A253" display="        e) 30 to 40% paid category - Balance collectible and Dues details YOY" xr:uid="{04818AA3-628C-409F-AB85-46C99D5BEC11}"/>
    <hyperlink ref="C61:D61" location="'15mil to 30mil'!A302" display="        f) 40 to 60% paid category - Balance collectible and Dues details YOY" xr:uid="{3DC12BE1-4140-4422-8B99-243496BE45CE}"/>
    <hyperlink ref="C62:D62" location="'15mil to 30mil'!A352" display="        g) 60%+ paid category - Balance collectible and Dues details YOY" xr:uid="{6B866032-2D73-4869-9FDE-F4A7AD28419E}"/>
    <hyperlink ref="C66:D66" location="'30mil to 60mil'!A3" display="        a) Paid % category" xr:uid="{50A5DE19-137D-4888-89EB-EABDA25A72D6}"/>
    <hyperlink ref="C67:D67" location="'30mil to 60mil'!A105" display="        b) 0 to 10% paid category - Balance collectible and Dues details YOY" xr:uid="{A32E21DE-A22F-425D-801B-076308667635}"/>
    <hyperlink ref="C68:D68" location="'30mil to 60mil'!A154" display="        c) 10 to 20% paid category - Balance collectible and Dues details YOY" xr:uid="{67E364CD-8A18-436F-ADC1-8A5E3E3C8251}"/>
    <hyperlink ref="C69:D69" location="'30mil to 60mil'!A204" display="        d) 20 to 30% paid category - Balance collectible and Dues details YOY" xr:uid="{BC20DC14-9340-42B4-AED8-BD4B7FE4CF7B}"/>
    <hyperlink ref="C70:D70" location="'30mil to 60mil'!A253" display="        e) 30 to 40% paid category - Balance collectible and Dues details YOY" xr:uid="{E94CF94E-0661-4D1F-B2E9-1820EE31C7FB}"/>
    <hyperlink ref="C71:D71" location="'30mil to 60mil'!A302" display="        f) 40 to 60% paid category - Balance collectible and Dues details YOY" xr:uid="{67B9B3E1-61CB-4F51-9792-D4C4A12236B3}"/>
    <hyperlink ref="C72:D72" location="'30mil to 60mil'!A352" display="        g) 60%+ paid category - Balance collectible and Dues details YOY" xr:uid="{79E346F5-9D15-453A-BCF8-DA02CCD10952}"/>
    <hyperlink ref="C76:D76" location="'60mil to 100mil'!A3" display="        a) Paid % category" xr:uid="{E8BB51C9-6F3C-4AB2-B5F2-B4817B484FC3}"/>
    <hyperlink ref="C77:D77" location="'60mil to 100mil'!A105" display="        b) 0 to 10% paid category - Balance collectible and Dues details YOY" xr:uid="{08C64FA7-CD8E-4CCE-B7AC-708FE5F82DD8}"/>
    <hyperlink ref="C78:D78" location="'60mil to 100mil'!A154" display="        c) 10 to 20% paid category - Balance collectible and Dues details YOY" xr:uid="{78F967F2-AE72-4543-B864-362079815AD4}"/>
    <hyperlink ref="C79:D79" location="'60mil to 100mil'!A204" display="        d) 20 to 30% paid category - Balance collectible and Dues details YOY" xr:uid="{3A502066-35E9-4C55-8E1F-EBEFE59D4BAB}"/>
    <hyperlink ref="C80:D80" location="'60mil to 100mil'!A253" display="        e) 30 to 40% paid category - Balance collectible and Dues details YOY" xr:uid="{DA36FB52-4137-4027-B2D4-F769EA8F8534}"/>
    <hyperlink ref="C81:D81" location="'60mil to 100mil'!A302" display="        f) 40 to 60% paid category - Balance collectible and Dues details YOY" xr:uid="{79EA83F6-B28F-4A96-BCCB-DE318886E446}"/>
    <hyperlink ref="C82:D82" location="'60mil to 100mil'!A352" display="        g) 60%+ paid category - Balance collectible and Dues details YOY" xr:uid="{13977B9B-34B2-42BC-8EAF-D99CC6E4C132}"/>
    <hyperlink ref="C86:D86" location="'100mil+'!A3" display="        a) Paid % category" xr:uid="{F07E4D7D-B697-4FDB-ACF5-C68DCDF4942E}"/>
    <hyperlink ref="C87:D87" location="'100mil+'!A105" display="        b) 0 to 10% paid category - Balance collectible and Dues details YOY" xr:uid="{67297D85-0941-4AB0-A344-DB887FB65C97}"/>
    <hyperlink ref="C88:D88" location="'100mil+'!A154" display="        c) 10 to 20% paid category - Balance collectible and Dues details YOY" xr:uid="{1C0F7DF4-F06F-40A5-ABFE-A21C4DC673BC}"/>
    <hyperlink ref="C89:D89" location="'100mil+'!A204" display="        d) 20 to 30% paid category - Balance collectible and Dues details YOY" xr:uid="{2AD1D21A-7E8C-4F63-BC78-E0381E61E7D4}"/>
    <hyperlink ref="C90:D90" location="'100mil+'!A253" display="        e) 30 to 40% paid category - Balance collectible and Dues details YOY" xr:uid="{D92212D4-131E-4010-9CF0-88708DCCD1FC}"/>
    <hyperlink ref="C91:D91" location="'100mil+'!A302" display="        f) 40 to 60% paid category - Balance collectible and Dues details YOY" xr:uid="{F823E8BB-C57A-444D-861A-BEF5C4D05C44}"/>
    <hyperlink ref="C92:D92" location="'100mil+'!A352" display="        g) 60%+ paid category - Balance collectible and Dues details YOY" xr:uid="{481297B2-C4A3-49C7-882F-28205280E30D}"/>
  </hyperlinks>
  <pageMargins left="0.7" right="0.7" top="0.75" bottom="0.75" header="0.3" footer="0.3"/>
  <pageSetup paperSize="8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1FD4-2935-406A-9706-B22E563E5623}">
  <dimension ref="B2:U399"/>
  <sheetViews>
    <sheetView view="pageBreakPreview" topLeftCell="A153" zoomScaleNormal="100" zoomScaleSheetLayoutView="100" workbookViewId="0">
      <selection activeCell="U409" sqref="U409"/>
    </sheetView>
  </sheetViews>
  <sheetFormatPr defaultRowHeight="15" outlineLevelRow="1" x14ac:dyDescent="0.25"/>
  <cols>
    <col min="2" max="2" width="11" bestFit="1" customWidth="1"/>
    <col min="3" max="3" width="72.28515625" bestFit="1" customWidth="1"/>
    <col min="4" max="4" width="13.28515625" bestFit="1" customWidth="1"/>
    <col min="5" max="5" width="18.85546875" bestFit="1" customWidth="1"/>
    <col min="6" max="6" width="23.140625" bestFit="1" customWidth="1"/>
    <col min="7" max="9" width="18.85546875" bestFit="1" customWidth="1"/>
    <col min="10" max="10" width="18.7109375" bestFit="1" customWidth="1"/>
    <col min="11" max="11" width="18.85546875" bestFit="1" customWidth="1"/>
    <col min="12" max="12" width="17.42578125" bestFit="1" customWidth="1"/>
    <col min="13" max="13" width="18.85546875" bestFit="1" customWidth="1"/>
    <col min="14" max="14" width="18.7109375" bestFit="1" customWidth="1"/>
    <col min="15" max="15" width="18.85546875" bestFit="1" customWidth="1"/>
    <col min="16" max="16" width="14.140625" bestFit="1" customWidth="1"/>
    <col min="17" max="17" width="8.140625" bestFit="1" customWidth="1"/>
    <col min="18" max="18" width="17.42578125" customWidth="1"/>
    <col min="19" max="19" width="17.7109375" bestFit="1" customWidth="1"/>
    <col min="20" max="21" width="16.140625" bestFit="1" customWidth="1"/>
    <col min="23" max="23" width="18.42578125" customWidth="1"/>
  </cols>
  <sheetData>
    <row r="2" spans="2:18" ht="13.9" customHeight="1" x14ac:dyDescent="0.25">
      <c r="B2" s="22" t="s">
        <v>19</v>
      </c>
      <c r="C2" s="23"/>
      <c r="D2" s="24" t="s">
        <v>20</v>
      </c>
      <c r="E2" s="25"/>
      <c r="F2" s="26" t="s">
        <v>21</v>
      </c>
      <c r="G2" s="27"/>
      <c r="H2" s="24" t="s">
        <v>22</v>
      </c>
      <c r="I2" s="25"/>
      <c r="J2" s="26" t="s">
        <v>23</v>
      </c>
      <c r="K2" s="27"/>
      <c r="L2" s="24" t="s">
        <v>24</v>
      </c>
      <c r="M2" s="25"/>
      <c r="N2" s="24" t="s">
        <v>25</v>
      </c>
      <c r="O2" s="25"/>
      <c r="P2" s="28"/>
      <c r="Q2" s="28"/>
      <c r="R2" s="28"/>
    </row>
    <row r="3" spans="2:18" x14ac:dyDescent="0.25">
      <c r="B3" s="29" t="s">
        <v>26</v>
      </c>
      <c r="C3" s="29" t="s">
        <v>27</v>
      </c>
      <c r="D3" s="30" t="s">
        <v>28</v>
      </c>
      <c r="E3" s="31" t="s">
        <v>29</v>
      </c>
      <c r="F3" s="32" t="s">
        <v>28</v>
      </c>
      <c r="G3" s="33" t="s">
        <v>29</v>
      </c>
      <c r="H3" s="30" t="s">
        <v>28</v>
      </c>
      <c r="I3" s="31" t="s">
        <v>29</v>
      </c>
      <c r="J3" s="32" t="s">
        <v>28</v>
      </c>
      <c r="K3" s="33" t="s">
        <v>29</v>
      </c>
      <c r="L3" s="30" t="s">
        <v>28</v>
      </c>
      <c r="M3" s="31" t="s">
        <v>29</v>
      </c>
      <c r="N3" s="30" t="s">
        <v>28</v>
      </c>
      <c r="O3" s="31" t="s">
        <v>29</v>
      </c>
      <c r="P3" s="34"/>
      <c r="Q3" s="34"/>
      <c r="R3" s="34"/>
    </row>
    <row r="4" spans="2:18" ht="13.9" hidden="1" customHeight="1" outlineLevel="1" x14ac:dyDescent="0.25">
      <c r="B4" s="35" t="s">
        <v>30</v>
      </c>
      <c r="C4" s="36" t="s">
        <v>31</v>
      </c>
      <c r="D4" s="37">
        <v>5</v>
      </c>
      <c r="E4" s="38">
        <v>8418097.4800000004</v>
      </c>
      <c r="F4" s="37">
        <v>13</v>
      </c>
      <c r="G4" s="38">
        <v>25076813.290000007</v>
      </c>
      <c r="H4" s="37">
        <v>7</v>
      </c>
      <c r="I4" s="38">
        <v>15003494.780000001</v>
      </c>
      <c r="J4" s="37">
        <v>6</v>
      </c>
      <c r="K4" s="38">
        <v>9825205.9100000001</v>
      </c>
      <c r="L4" s="37">
        <v>337</v>
      </c>
      <c r="M4" s="38">
        <v>614064777.3299998</v>
      </c>
      <c r="N4" s="37">
        <v>956</v>
      </c>
      <c r="O4" s="38">
        <v>1868780373.5099998</v>
      </c>
      <c r="P4" s="39"/>
      <c r="Q4" s="39"/>
      <c r="R4" s="39"/>
    </row>
    <row r="5" spans="2:18" ht="13.9" hidden="1" customHeight="1" outlineLevel="1" x14ac:dyDescent="0.25">
      <c r="B5" s="40"/>
      <c r="C5" s="41" t="s">
        <v>32</v>
      </c>
      <c r="D5" s="37">
        <v>0</v>
      </c>
      <c r="E5" s="38">
        <v>0</v>
      </c>
      <c r="F5" s="37">
        <v>1</v>
      </c>
      <c r="G5" s="38">
        <v>1500624.5</v>
      </c>
      <c r="H5" s="37">
        <v>0</v>
      </c>
      <c r="I5" s="38">
        <v>0</v>
      </c>
      <c r="J5" s="37">
        <v>0</v>
      </c>
      <c r="K5" s="38">
        <v>0</v>
      </c>
      <c r="L5" s="37">
        <v>2</v>
      </c>
      <c r="M5" s="38">
        <v>3348126.7800000003</v>
      </c>
      <c r="N5" s="37">
        <v>396</v>
      </c>
      <c r="O5" s="38">
        <v>797786337.78999996</v>
      </c>
      <c r="P5" s="39"/>
      <c r="Q5" s="39"/>
      <c r="R5" s="39"/>
    </row>
    <row r="6" spans="2:18" ht="13.9" hidden="1" customHeight="1" outlineLevel="1" x14ac:dyDescent="0.25">
      <c r="B6" s="40"/>
      <c r="C6" s="41" t="s">
        <v>33</v>
      </c>
      <c r="D6" s="37">
        <v>2</v>
      </c>
      <c r="E6" s="38">
        <v>3577400.75</v>
      </c>
      <c r="F6" s="37">
        <v>5</v>
      </c>
      <c r="G6" s="38">
        <v>12536350.75</v>
      </c>
      <c r="H6" s="37">
        <v>3</v>
      </c>
      <c r="I6" s="38">
        <v>7653780.75</v>
      </c>
      <c r="J6" s="37">
        <v>5</v>
      </c>
      <c r="K6" s="38">
        <v>9820722.8599999994</v>
      </c>
      <c r="L6" s="37">
        <v>30</v>
      </c>
      <c r="M6" s="38">
        <v>47838078.75</v>
      </c>
      <c r="N6" s="37">
        <v>1465</v>
      </c>
      <c r="O6" s="38">
        <v>2440822082.0100007</v>
      </c>
      <c r="P6" s="39"/>
      <c r="Q6" s="39"/>
      <c r="R6" s="39"/>
    </row>
    <row r="7" spans="2:18" ht="13.9" hidden="1" customHeight="1" outlineLevel="1" x14ac:dyDescent="0.25">
      <c r="B7" s="40"/>
      <c r="C7" s="41" t="s">
        <v>34</v>
      </c>
      <c r="D7" s="37">
        <v>0</v>
      </c>
      <c r="E7" s="38">
        <v>0</v>
      </c>
      <c r="F7" s="37">
        <v>1</v>
      </c>
      <c r="G7" s="38">
        <v>4355029.5</v>
      </c>
      <c r="H7" s="37">
        <v>5</v>
      </c>
      <c r="I7" s="38">
        <v>11720364.43</v>
      </c>
      <c r="J7" s="37">
        <v>3</v>
      </c>
      <c r="K7" s="38">
        <v>7047807.25</v>
      </c>
      <c r="L7" s="37">
        <v>371</v>
      </c>
      <c r="M7" s="38">
        <v>940000087.55999994</v>
      </c>
      <c r="N7" s="37">
        <v>596</v>
      </c>
      <c r="O7" s="38">
        <v>1585618566.0299997</v>
      </c>
      <c r="P7" s="39"/>
      <c r="Q7" s="39"/>
      <c r="R7" s="39"/>
    </row>
    <row r="8" spans="2:18" ht="13.9" hidden="1" customHeight="1" outlineLevel="1" x14ac:dyDescent="0.25">
      <c r="B8" s="40"/>
      <c r="C8" s="41" t="s">
        <v>35</v>
      </c>
      <c r="D8" s="37">
        <v>0</v>
      </c>
      <c r="E8" s="38">
        <v>0</v>
      </c>
      <c r="F8" s="37">
        <v>2</v>
      </c>
      <c r="G8" s="38">
        <v>1746550.7</v>
      </c>
      <c r="H8" s="37">
        <v>1</v>
      </c>
      <c r="I8" s="38">
        <v>801125</v>
      </c>
      <c r="J8" s="37">
        <v>0</v>
      </c>
      <c r="K8" s="38">
        <v>0</v>
      </c>
      <c r="L8" s="37">
        <v>2</v>
      </c>
      <c r="M8" s="38">
        <v>2131696</v>
      </c>
      <c r="N8" s="37">
        <v>1557</v>
      </c>
      <c r="O8" s="38">
        <v>1632959750.9400027</v>
      </c>
      <c r="P8" s="39"/>
      <c r="Q8" s="39"/>
      <c r="R8" s="39"/>
    </row>
    <row r="9" spans="2:18" ht="13.9" hidden="1" customHeight="1" outlineLevel="1" x14ac:dyDescent="0.25">
      <c r="B9" s="40"/>
      <c r="C9" s="41" t="s">
        <v>36</v>
      </c>
      <c r="D9" s="37">
        <v>0</v>
      </c>
      <c r="E9" s="38">
        <v>0</v>
      </c>
      <c r="F9" s="37">
        <v>33</v>
      </c>
      <c r="G9" s="38">
        <v>345483481.77999997</v>
      </c>
      <c r="H9" s="37">
        <v>46</v>
      </c>
      <c r="I9" s="38">
        <v>413238728.23000002</v>
      </c>
      <c r="J9" s="37">
        <v>79</v>
      </c>
      <c r="K9" s="38">
        <v>706623935.41000009</v>
      </c>
      <c r="L9" s="37">
        <v>81</v>
      </c>
      <c r="M9" s="38">
        <v>700941899.71000004</v>
      </c>
      <c r="N9" s="37">
        <v>9</v>
      </c>
      <c r="O9" s="38">
        <v>80210117.650000006</v>
      </c>
      <c r="P9" s="39"/>
      <c r="Q9" s="39"/>
      <c r="R9" s="39"/>
    </row>
    <row r="10" spans="2:18" ht="13.9" hidden="1" customHeight="1" outlineLevel="1" x14ac:dyDescent="0.25">
      <c r="B10" s="40"/>
      <c r="C10" s="41" t="s">
        <v>37</v>
      </c>
      <c r="D10" s="37">
        <v>0</v>
      </c>
      <c r="E10" s="38">
        <v>0</v>
      </c>
      <c r="F10" s="37">
        <v>0</v>
      </c>
      <c r="G10" s="38">
        <v>0</v>
      </c>
      <c r="H10" s="37">
        <v>1</v>
      </c>
      <c r="I10" s="38">
        <v>1206348</v>
      </c>
      <c r="J10" s="37">
        <v>2</v>
      </c>
      <c r="K10" s="38">
        <v>2530925.7399999998</v>
      </c>
      <c r="L10" s="37">
        <v>2</v>
      </c>
      <c r="M10" s="38">
        <v>3855791.73</v>
      </c>
      <c r="N10" s="37">
        <v>1021</v>
      </c>
      <c r="O10" s="38">
        <v>1552415451.2799997</v>
      </c>
      <c r="P10" s="39"/>
      <c r="Q10" s="39"/>
      <c r="R10" s="39"/>
    </row>
    <row r="11" spans="2:18" ht="13.9" hidden="1" customHeight="1" outlineLevel="1" x14ac:dyDescent="0.25">
      <c r="B11" s="40"/>
      <c r="C11" s="41" t="s">
        <v>38</v>
      </c>
      <c r="D11" s="37">
        <v>0</v>
      </c>
      <c r="E11" s="38">
        <v>0</v>
      </c>
      <c r="F11" s="37">
        <v>0</v>
      </c>
      <c r="G11" s="38">
        <v>0</v>
      </c>
      <c r="H11" s="37">
        <v>0</v>
      </c>
      <c r="I11" s="38">
        <v>0</v>
      </c>
      <c r="J11" s="37">
        <v>0</v>
      </c>
      <c r="K11" s="38">
        <v>0</v>
      </c>
      <c r="L11" s="37">
        <v>0</v>
      </c>
      <c r="M11" s="38">
        <v>0</v>
      </c>
      <c r="N11" s="37">
        <v>200</v>
      </c>
      <c r="O11" s="38">
        <v>1082691659.5899997</v>
      </c>
      <c r="P11" s="39"/>
      <c r="Q11" s="39"/>
      <c r="R11" s="39"/>
    </row>
    <row r="12" spans="2:18" ht="13.9" hidden="1" customHeight="1" outlineLevel="1" x14ac:dyDescent="0.25">
      <c r="B12" s="40"/>
      <c r="C12" s="41" t="s">
        <v>39</v>
      </c>
      <c r="D12" s="37">
        <v>0</v>
      </c>
      <c r="E12" s="38">
        <v>0</v>
      </c>
      <c r="F12" s="37">
        <v>0</v>
      </c>
      <c r="G12" s="38">
        <v>0</v>
      </c>
      <c r="H12" s="37">
        <v>0</v>
      </c>
      <c r="I12" s="38">
        <v>0</v>
      </c>
      <c r="J12" s="37">
        <v>0</v>
      </c>
      <c r="K12" s="38">
        <v>0</v>
      </c>
      <c r="L12" s="37">
        <v>0</v>
      </c>
      <c r="M12" s="38">
        <v>0</v>
      </c>
      <c r="N12" s="37">
        <v>154</v>
      </c>
      <c r="O12" s="38">
        <v>1875287813.0100002</v>
      </c>
      <c r="P12" s="39"/>
      <c r="Q12" s="39"/>
      <c r="R12" s="39"/>
    </row>
    <row r="13" spans="2:18" ht="13.9" hidden="1" customHeight="1" outlineLevel="1" x14ac:dyDescent="0.25">
      <c r="B13" s="40"/>
      <c r="C13" s="41" t="s">
        <v>40</v>
      </c>
      <c r="D13" s="37">
        <v>0</v>
      </c>
      <c r="E13" s="38">
        <v>0</v>
      </c>
      <c r="F13" s="37">
        <v>12</v>
      </c>
      <c r="G13" s="38">
        <v>311996055</v>
      </c>
      <c r="H13" s="37">
        <v>12</v>
      </c>
      <c r="I13" s="38">
        <v>320351067</v>
      </c>
      <c r="J13" s="37">
        <v>10</v>
      </c>
      <c r="K13" s="38">
        <v>263317061</v>
      </c>
      <c r="L13" s="37">
        <v>21</v>
      </c>
      <c r="M13" s="38">
        <v>771660271.5</v>
      </c>
      <c r="N13" s="37">
        <v>49</v>
      </c>
      <c r="O13" s="38">
        <v>1298733066.26</v>
      </c>
      <c r="P13" s="39"/>
      <c r="Q13" s="39"/>
      <c r="R13" s="39"/>
    </row>
    <row r="14" spans="2:18" ht="13.9" hidden="1" customHeight="1" outlineLevel="1" x14ac:dyDescent="0.25">
      <c r="B14" s="40"/>
      <c r="C14" s="41" t="s">
        <v>41</v>
      </c>
      <c r="D14" s="37">
        <v>1</v>
      </c>
      <c r="E14" s="38">
        <v>1785113</v>
      </c>
      <c r="F14" s="37">
        <v>0</v>
      </c>
      <c r="G14" s="38">
        <v>0</v>
      </c>
      <c r="H14" s="37">
        <v>0</v>
      </c>
      <c r="I14" s="38">
        <v>0</v>
      </c>
      <c r="J14" s="37">
        <v>0</v>
      </c>
      <c r="K14" s="38">
        <v>0</v>
      </c>
      <c r="L14" s="37">
        <v>0</v>
      </c>
      <c r="M14" s="38">
        <v>0</v>
      </c>
      <c r="N14" s="37">
        <v>414</v>
      </c>
      <c r="O14" s="38">
        <v>774917749.11999893</v>
      </c>
      <c r="P14" s="39"/>
      <c r="Q14" s="39"/>
      <c r="R14" s="39"/>
    </row>
    <row r="15" spans="2:18" ht="13.9" hidden="1" customHeight="1" outlineLevel="1" x14ac:dyDescent="0.25">
      <c r="B15" s="40"/>
      <c r="C15" s="41" t="s">
        <v>42</v>
      </c>
      <c r="D15" s="37">
        <v>6</v>
      </c>
      <c r="E15" s="38">
        <v>30867288.550000001</v>
      </c>
      <c r="F15" s="37">
        <v>108</v>
      </c>
      <c r="G15" s="38">
        <v>251713609.84999999</v>
      </c>
      <c r="H15" s="37">
        <v>272</v>
      </c>
      <c r="I15" s="38">
        <v>582974897.0999999</v>
      </c>
      <c r="J15" s="37">
        <v>615</v>
      </c>
      <c r="K15" s="38">
        <v>1285665158.0699997</v>
      </c>
      <c r="L15" s="37">
        <v>2087</v>
      </c>
      <c r="M15" s="38">
        <v>4329625151.5599918</v>
      </c>
      <c r="N15" s="37">
        <v>1517</v>
      </c>
      <c r="O15" s="38">
        <v>2903542152.489996</v>
      </c>
      <c r="P15" s="39"/>
      <c r="Q15" s="39"/>
      <c r="R15" s="39"/>
    </row>
    <row r="16" spans="2:18" ht="13.9" hidden="1" customHeight="1" outlineLevel="1" x14ac:dyDescent="0.25">
      <c r="B16" s="40"/>
      <c r="C16" s="41" t="s">
        <v>43</v>
      </c>
      <c r="D16" s="37">
        <v>1</v>
      </c>
      <c r="E16" s="38">
        <v>5026055</v>
      </c>
      <c r="F16" s="37">
        <v>24</v>
      </c>
      <c r="G16" s="38">
        <v>229222205.5</v>
      </c>
      <c r="H16" s="37">
        <v>43</v>
      </c>
      <c r="I16" s="38">
        <v>492118935.60000002</v>
      </c>
      <c r="J16" s="37">
        <v>55</v>
      </c>
      <c r="K16" s="38">
        <v>465166450.67999995</v>
      </c>
      <c r="L16" s="37">
        <v>191</v>
      </c>
      <c r="M16" s="38">
        <v>1476775483.4200001</v>
      </c>
      <c r="N16" s="37">
        <v>365</v>
      </c>
      <c r="O16" s="38">
        <v>2599965435.0799999</v>
      </c>
      <c r="P16" s="39"/>
      <c r="Q16" s="39"/>
      <c r="R16" s="39"/>
    </row>
    <row r="17" spans="2:18" ht="13.9" hidden="1" customHeight="1" outlineLevel="1" x14ac:dyDescent="0.25">
      <c r="B17" s="40"/>
      <c r="C17" s="41" t="s">
        <v>44</v>
      </c>
      <c r="D17" s="37">
        <v>8</v>
      </c>
      <c r="E17" s="38">
        <v>26379544.600000001</v>
      </c>
      <c r="F17" s="37">
        <v>180</v>
      </c>
      <c r="G17" s="38">
        <v>531839954.79999995</v>
      </c>
      <c r="H17" s="37">
        <v>663</v>
      </c>
      <c r="I17" s="38">
        <v>1786593396.6299973</v>
      </c>
      <c r="J17" s="37">
        <v>460</v>
      </c>
      <c r="K17" s="38">
        <v>1149221606.8499997</v>
      </c>
      <c r="L17" s="37">
        <v>72</v>
      </c>
      <c r="M17" s="38">
        <v>178677248.24000001</v>
      </c>
      <c r="N17" s="37">
        <v>59</v>
      </c>
      <c r="O17" s="38">
        <v>159144821.23000002</v>
      </c>
      <c r="P17" s="39"/>
      <c r="Q17" s="39"/>
      <c r="R17" s="39"/>
    </row>
    <row r="18" spans="2:18" ht="13.9" hidden="1" customHeight="1" outlineLevel="1" x14ac:dyDescent="0.25">
      <c r="B18" s="40"/>
      <c r="C18" s="41" t="s">
        <v>45</v>
      </c>
      <c r="D18" s="37">
        <v>19</v>
      </c>
      <c r="E18" s="38">
        <v>43377095.149999999</v>
      </c>
      <c r="F18" s="37">
        <v>459</v>
      </c>
      <c r="G18" s="38">
        <v>1109211579.3900003</v>
      </c>
      <c r="H18" s="37">
        <v>1032</v>
      </c>
      <c r="I18" s="38">
        <v>2359968131.0800014</v>
      </c>
      <c r="J18" s="37">
        <v>478</v>
      </c>
      <c r="K18" s="38">
        <v>989486489.50999939</v>
      </c>
      <c r="L18" s="37">
        <v>47</v>
      </c>
      <c r="M18" s="38">
        <v>103306861.11999999</v>
      </c>
      <c r="N18" s="37">
        <v>22</v>
      </c>
      <c r="O18" s="38">
        <v>63502915.980000012</v>
      </c>
      <c r="P18" s="39"/>
      <c r="Q18" s="39"/>
      <c r="R18" s="39"/>
    </row>
    <row r="19" spans="2:18" ht="13.9" hidden="1" customHeight="1" outlineLevel="1" x14ac:dyDescent="0.25">
      <c r="B19" s="40"/>
      <c r="C19" s="41" t="s">
        <v>46</v>
      </c>
      <c r="D19" s="37">
        <v>3</v>
      </c>
      <c r="E19" s="38">
        <v>23742345</v>
      </c>
      <c r="F19" s="37">
        <v>25</v>
      </c>
      <c r="G19" s="38">
        <v>192898320</v>
      </c>
      <c r="H19" s="37">
        <v>19</v>
      </c>
      <c r="I19" s="38">
        <v>163225495.59999999</v>
      </c>
      <c r="J19" s="37">
        <v>0</v>
      </c>
      <c r="K19" s="38">
        <v>0</v>
      </c>
      <c r="L19" s="37">
        <v>0</v>
      </c>
      <c r="M19" s="38">
        <v>0</v>
      </c>
      <c r="N19" s="37">
        <v>0</v>
      </c>
      <c r="O19" s="38">
        <v>0</v>
      </c>
      <c r="P19" s="39"/>
      <c r="Q19" s="39"/>
      <c r="R19" s="39"/>
    </row>
    <row r="20" spans="2:18" ht="13.9" hidden="1" customHeight="1" outlineLevel="1" x14ac:dyDescent="0.25">
      <c r="B20" s="40"/>
      <c r="C20" s="41" t="s">
        <v>47</v>
      </c>
      <c r="D20" s="37">
        <v>8</v>
      </c>
      <c r="E20" s="38">
        <v>14586126.309999999</v>
      </c>
      <c r="F20" s="37">
        <v>60</v>
      </c>
      <c r="G20" s="38">
        <v>156842422.80000001</v>
      </c>
      <c r="H20" s="37">
        <v>110</v>
      </c>
      <c r="I20" s="38">
        <v>287546705.26999998</v>
      </c>
      <c r="J20" s="37">
        <v>261</v>
      </c>
      <c r="K20" s="38">
        <v>784141548.40000033</v>
      </c>
      <c r="L20" s="37">
        <v>1269</v>
      </c>
      <c r="M20" s="38">
        <v>3089673450.5</v>
      </c>
      <c r="N20" s="37">
        <v>1246</v>
      </c>
      <c r="O20" s="38">
        <v>2645029329.4499989</v>
      </c>
      <c r="P20" s="39"/>
      <c r="Q20" s="39"/>
      <c r="R20" s="39"/>
    </row>
    <row r="21" spans="2:18" ht="13.9" hidden="1" customHeight="1" outlineLevel="1" x14ac:dyDescent="0.25">
      <c r="B21" s="40"/>
      <c r="C21" s="41" t="s">
        <v>48</v>
      </c>
      <c r="D21" s="37">
        <v>1</v>
      </c>
      <c r="E21" s="38">
        <v>4967550</v>
      </c>
      <c r="F21" s="37">
        <v>79</v>
      </c>
      <c r="G21" s="38">
        <v>169344796.14999998</v>
      </c>
      <c r="H21" s="37">
        <v>434</v>
      </c>
      <c r="I21" s="38">
        <v>646695060.11000025</v>
      </c>
      <c r="J21" s="37">
        <v>747</v>
      </c>
      <c r="K21" s="38">
        <v>950087263.92999995</v>
      </c>
      <c r="L21" s="37">
        <v>1366</v>
      </c>
      <c r="M21" s="38">
        <v>1634483605.4399989</v>
      </c>
      <c r="N21" s="37">
        <v>279</v>
      </c>
      <c r="O21" s="38">
        <v>336316033.38</v>
      </c>
      <c r="P21" s="39"/>
      <c r="Q21" s="39"/>
      <c r="R21" s="39"/>
    </row>
    <row r="22" spans="2:18" ht="13.9" hidden="1" customHeight="1" outlineLevel="1" x14ac:dyDescent="0.25">
      <c r="B22" s="40"/>
      <c r="C22" s="41" t="s">
        <v>49</v>
      </c>
      <c r="D22" s="37">
        <v>2</v>
      </c>
      <c r="E22" s="38">
        <v>3581000.5</v>
      </c>
      <c r="F22" s="37">
        <v>12</v>
      </c>
      <c r="G22" s="38">
        <v>110566092.02</v>
      </c>
      <c r="H22" s="37">
        <v>8</v>
      </c>
      <c r="I22" s="38">
        <v>58565354.560000002</v>
      </c>
      <c r="J22" s="37">
        <v>8</v>
      </c>
      <c r="K22" s="38">
        <v>67994753.449999988</v>
      </c>
      <c r="L22" s="37">
        <v>96</v>
      </c>
      <c r="M22" s="38">
        <v>946843696.0799998</v>
      </c>
      <c r="N22" s="37">
        <v>219</v>
      </c>
      <c r="O22" s="38">
        <v>1996680970.4900029</v>
      </c>
      <c r="P22" s="39"/>
      <c r="Q22" s="39"/>
      <c r="R22" s="39"/>
    </row>
    <row r="23" spans="2:18" ht="13.9" hidden="1" customHeight="1" outlineLevel="1" x14ac:dyDescent="0.25">
      <c r="B23" s="40"/>
      <c r="C23" s="42" t="s">
        <v>50</v>
      </c>
      <c r="D23" s="37">
        <v>2</v>
      </c>
      <c r="E23" s="38">
        <v>13549939</v>
      </c>
      <c r="F23" s="37">
        <v>55</v>
      </c>
      <c r="G23" s="38">
        <v>261464870.5</v>
      </c>
      <c r="H23" s="37">
        <v>59</v>
      </c>
      <c r="I23" s="38">
        <v>281502263.75</v>
      </c>
      <c r="J23" s="37">
        <v>1</v>
      </c>
      <c r="K23" s="38">
        <v>25018050</v>
      </c>
      <c r="L23" s="37">
        <v>0</v>
      </c>
      <c r="M23" s="38">
        <v>0</v>
      </c>
      <c r="N23" s="37">
        <v>1</v>
      </c>
      <c r="O23" s="38">
        <v>10258466.75</v>
      </c>
      <c r="P23" s="39"/>
      <c r="Q23" s="39"/>
      <c r="R23" s="39"/>
    </row>
    <row r="24" spans="2:18" ht="13.9" hidden="1" customHeight="1" outlineLevel="1" x14ac:dyDescent="0.25">
      <c r="B24" s="40"/>
      <c r="C24" s="42" t="s">
        <v>51</v>
      </c>
      <c r="D24" s="37">
        <v>4</v>
      </c>
      <c r="E24" s="38">
        <v>8662893.4000000004</v>
      </c>
      <c r="F24" s="37">
        <v>166</v>
      </c>
      <c r="G24" s="38">
        <v>223935613.09999999</v>
      </c>
      <c r="H24" s="37">
        <v>702</v>
      </c>
      <c r="I24" s="38">
        <v>878623039.51999974</v>
      </c>
      <c r="J24" s="37">
        <v>920</v>
      </c>
      <c r="K24" s="38">
        <v>1119437875.7299988</v>
      </c>
      <c r="L24" s="37">
        <v>290</v>
      </c>
      <c r="M24" s="38">
        <v>365994468.52000004</v>
      </c>
      <c r="N24" s="37">
        <v>47</v>
      </c>
      <c r="O24" s="38">
        <v>60299859.949999996</v>
      </c>
      <c r="P24" s="39"/>
      <c r="Q24" s="39"/>
      <c r="R24" s="39"/>
    </row>
    <row r="25" spans="2:18" ht="13.9" hidden="1" customHeight="1" outlineLevel="1" x14ac:dyDescent="0.25">
      <c r="B25" s="40"/>
      <c r="C25" s="42" t="s">
        <v>52</v>
      </c>
      <c r="D25" s="37">
        <v>3</v>
      </c>
      <c r="E25" s="38">
        <v>7865099.5</v>
      </c>
      <c r="F25" s="37">
        <v>117</v>
      </c>
      <c r="G25" s="38">
        <v>252070725.04999998</v>
      </c>
      <c r="H25" s="37">
        <v>229</v>
      </c>
      <c r="I25" s="38">
        <v>510990219.03999978</v>
      </c>
      <c r="J25" s="37">
        <v>14</v>
      </c>
      <c r="K25" s="38">
        <v>32221960.140000001</v>
      </c>
      <c r="L25" s="37">
        <v>4</v>
      </c>
      <c r="M25" s="38">
        <v>10586301.6</v>
      </c>
      <c r="N25" s="37">
        <v>2</v>
      </c>
      <c r="O25" s="38">
        <v>3380637.9699999997</v>
      </c>
      <c r="P25" s="39"/>
      <c r="Q25" s="39"/>
      <c r="R25" s="39"/>
    </row>
    <row r="26" spans="2:18" ht="13.9" hidden="1" customHeight="1" outlineLevel="1" x14ac:dyDescent="0.25">
      <c r="B26" s="40"/>
      <c r="C26" s="42" t="s">
        <v>53</v>
      </c>
      <c r="D26" s="37">
        <v>4</v>
      </c>
      <c r="E26" s="38">
        <v>9481114.4000000004</v>
      </c>
      <c r="F26" s="37">
        <v>54</v>
      </c>
      <c r="G26" s="38">
        <v>220072100.75</v>
      </c>
      <c r="H26" s="37">
        <v>124</v>
      </c>
      <c r="I26" s="38">
        <v>442494971.08999991</v>
      </c>
      <c r="J26" s="37">
        <v>62</v>
      </c>
      <c r="K26" s="38">
        <v>221072532.03</v>
      </c>
      <c r="L26" s="37">
        <v>4</v>
      </c>
      <c r="M26" s="38">
        <v>18977280.600000001</v>
      </c>
      <c r="N26" s="37">
        <v>5</v>
      </c>
      <c r="O26" s="38">
        <v>21558164.800000001</v>
      </c>
      <c r="P26" s="39"/>
      <c r="Q26" s="39"/>
      <c r="R26" s="39"/>
    </row>
    <row r="27" spans="2:18" ht="13.9" hidden="1" customHeight="1" outlineLevel="1" x14ac:dyDescent="0.25">
      <c r="B27" s="40"/>
      <c r="C27" s="42" t="s">
        <v>54</v>
      </c>
      <c r="D27" s="37">
        <v>2</v>
      </c>
      <c r="E27" s="38">
        <v>4351033.0999999996</v>
      </c>
      <c r="F27" s="37">
        <v>255</v>
      </c>
      <c r="G27" s="38">
        <v>648136038.40999985</v>
      </c>
      <c r="H27" s="37">
        <v>361</v>
      </c>
      <c r="I27" s="38">
        <v>817562874.73000026</v>
      </c>
      <c r="J27" s="37">
        <v>28</v>
      </c>
      <c r="K27" s="38">
        <v>63467152.479999997</v>
      </c>
      <c r="L27" s="37">
        <v>11</v>
      </c>
      <c r="M27" s="38">
        <v>25457056.749999996</v>
      </c>
      <c r="N27" s="37">
        <v>11</v>
      </c>
      <c r="O27" s="38">
        <v>28231214.579999998</v>
      </c>
      <c r="P27" s="39"/>
      <c r="Q27" s="39"/>
      <c r="R27" s="39"/>
    </row>
    <row r="28" spans="2:18" ht="13.9" hidden="1" customHeight="1" outlineLevel="1" x14ac:dyDescent="0.25">
      <c r="B28" s="40"/>
      <c r="C28" s="42" t="s">
        <v>55</v>
      </c>
      <c r="D28" s="37">
        <v>11</v>
      </c>
      <c r="E28" s="38">
        <v>31143185.800000001</v>
      </c>
      <c r="F28" s="37">
        <v>140</v>
      </c>
      <c r="G28" s="38">
        <v>343325142.19000006</v>
      </c>
      <c r="H28" s="37">
        <v>56</v>
      </c>
      <c r="I28" s="38">
        <v>162091142.79999998</v>
      </c>
      <c r="J28" s="37">
        <v>2</v>
      </c>
      <c r="K28" s="38">
        <v>4816218.3499999996</v>
      </c>
      <c r="L28" s="37">
        <v>1</v>
      </c>
      <c r="M28" s="38">
        <v>2039951.2</v>
      </c>
      <c r="N28" s="37">
        <v>0</v>
      </c>
      <c r="O28" s="38">
        <v>0</v>
      </c>
      <c r="P28" s="39"/>
      <c r="Q28" s="39"/>
      <c r="R28" s="39"/>
    </row>
    <row r="29" spans="2:18" ht="13.9" hidden="1" customHeight="1" outlineLevel="1" x14ac:dyDescent="0.25">
      <c r="B29" s="40"/>
      <c r="C29" s="42" t="s">
        <v>56</v>
      </c>
      <c r="D29" s="37">
        <v>25</v>
      </c>
      <c r="E29" s="38">
        <v>57107191.140000008</v>
      </c>
      <c r="F29" s="37">
        <v>211</v>
      </c>
      <c r="G29" s="38">
        <v>476311395.62999958</v>
      </c>
      <c r="H29" s="37">
        <v>40</v>
      </c>
      <c r="I29" s="38">
        <v>92182997.920000032</v>
      </c>
      <c r="J29" s="37">
        <v>1</v>
      </c>
      <c r="K29" s="38">
        <v>2119087.7999999998</v>
      </c>
      <c r="L29" s="37">
        <v>2</v>
      </c>
      <c r="M29" s="38">
        <v>5326601</v>
      </c>
      <c r="N29" s="37">
        <v>0</v>
      </c>
      <c r="O29" s="38">
        <v>0</v>
      </c>
      <c r="P29" s="39"/>
      <c r="Q29" s="39"/>
      <c r="R29" s="39"/>
    </row>
    <row r="30" spans="2:18" ht="13.9" hidden="1" customHeight="1" outlineLevel="1" x14ac:dyDescent="0.25">
      <c r="B30" s="40"/>
      <c r="C30" s="42" t="s">
        <v>57</v>
      </c>
      <c r="D30" s="37">
        <v>0</v>
      </c>
      <c r="E30" s="38">
        <v>0</v>
      </c>
      <c r="F30" s="37">
        <v>1</v>
      </c>
      <c r="G30" s="38">
        <v>99865419.079999998</v>
      </c>
      <c r="H30" s="37">
        <v>1</v>
      </c>
      <c r="I30" s="38">
        <v>15812169.98</v>
      </c>
      <c r="J30" s="37">
        <v>0</v>
      </c>
      <c r="K30" s="38">
        <v>0</v>
      </c>
      <c r="L30" s="37">
        <v>0</v>
      </c>
      <c r="M30" s="38">
        <v>0</v>
      </c>
      <c r="N30" s="37">
        <v>88</v>
      </c>
      <c r="O30" s="38">
        <v>1439336233.97</v>
      </c>
      <c r="P30" s="39"/>
      <c r="Q30" s="39"/>
      <c r="R30" s="39"/>
    </row>
    <row r="31" spans="2:18" ht="13.9" hidden="1" customHeight="1" outlineLevel="1" x14ac:dyDescent="0.25">
      <c r="B31" s="40"/>
      <c r="C31" s="42" t="s">
        <v>58</v>
      </c>
      <c r="D31" s="37">
        <v>5</v>
      </c>
      <c r="E31" s="38">
        <v>12712415.100000001</v>
      </c>
      <c r="F31" s="37">
        <v>123</v>
      </c>
      <c r="G31" s="38">
        <v>264167516.47999999</v>
      </c>
      <c r="H31" s="37">
        <v>203</v>
      </c>
      <c r="I31" s="38">
        <v>446480081.30000001</v>
      </c>
      <c r="J31" s="37">
        <v>8</v>
      </c>
      <c r="K31" s="38">
        <v>16279837.800000001</v>
      </c>
      <c r="L31" s="37">
        <v>5</v>
      </c>
      <c r="M31" s="38">
        <v>10834269.449999999</v>
      </c>
      <c r="N31" s="37">
        <v>7</v>
      </c>
      <c r="O31" s="38">
        <v>15155485.729999999</v>
      </c>
      <c r="P31" s="39"/>
      <c r="Q31" s="39"/>
      <c r="R31" s="39"/>
    </row>
    <row r="32" spans="2:18" ht="13.9" hidden="1" customHeight="1" outlineLevel="1" x14ac:dyDescent="0.25">
      <c r="B32" s="40"/>
      <c r="C32" s="42" t="s">
        <v>59</v>
      </c>
      <c r="D32" s="37">
        <v>1</v>
      </c>
      <c r="E32" s="38">
        <v>2558460</v>
      </c>
      <c r="F32" s="37">
        <v>110</v>
      </c>
      <c r="G32" s="38">
        <v>243901847.86999989</v>
      </c>
      <c r="H32" s="37">
        <v>242</v>
      </c>
      <c r="I32" s="38">
        <v>518697667.77999991</v>
      </c>
      <c r="J32" s="37">
        <v>12</v>
      </c>
      <c r="K32" s="38">
        <v>26731656.149999999</v>
      </c>
      <c r="L32" s="37">
        <v>4</v>
      </c>
      <c r="M32" s="38">
        <v>10350553.300000001</v>
      </c>
      <c r="N32" s="37">
        <v>0</v>
      </c>
      <c r="O32" s="38">
        <v>0</v>
      </c>
      <c r="P32" s="39"/>
      <c r="Q32" s="39"/>
      <c r="R32" s="39"/>
    </row>
    <row r="33" spans="2:18" ht="13.9" hidden="1" customHeight="1" outlineLevel="1" x14ac:dyDescent="0.25">
      <c r="B33" s="40"/>
      <c r="C33" s="42" t="s">
        <v>60</v>
      </c>
      <c r="D33" s="37">
        <v>5</v>
      </c>
      <c r="E33" s="38">
        <v>21853311.59</v>
      </c>
      <c r="F33" s="37">
        <v>95</v>
      </c>
      <c r="G33" s="38">
        <v>430346885.81</v>
      </c>
      <c r="H33" s="37">
        <v>15</v>
      </c>
      <c r="I33" s="38">
        <v>67987587.5</v>
      </c>
      <c r="J33" s="37">
        <v>0</v>
      </c>
      <c r="K33" s="38">
        <v>0</v>
      </c>
      <c r="L33" s="37">
        <v>2</v>
      </c>
      <c r="M33" s="38">
        <v>8216884.5</v>
      </c>
      <c r="N33" s="37">
        <v>0</v>
      </c>
      <c r="O33" s="38">
        <v>0</v>
      </c>
      <c r="P33" s="39"/>
      <c r="Q33" s="39"/>
      <c r="R33" s="39"/>
    </row>
    <row r="34" spans="2:18" ht="13.5" hidden="1" customHeight="1" outlineLevel="1" x14ac:dyDescent="0.25">
      <c r="B34" s="40"/>
      <c r="C34" s="42" t="s">
        <v>61</v>
      </c>
      <c r="D34" s="37">
        <v>6</v>
      </c>
      <c r="E34" s="38">
        <v>39559509.5</v>
      </c>
      <c r="F34" s="37">
        <v>59</v>
      </c>
      <c r="G34" s="38">
        <v>308866959.10000002</v>
      </c>
      <c r="H34" s="37">
        <v>27</v>
      </c>
      <c r="I34" s="38">
        <v>131373667.5</v>
      </c>
      <c r="J34" s="37">
        <v>1</v>
      </c>
      <c r="K34" s="38">
        <v>3995907.5</v>
      </c>
      <c r="L34" s="37">
        <v>0</v>
      </c>
      <c r="M34" s="38">
        <v>0</v>
      </c>
      <c r="N34" s="37">
        <v>0</v>
      </c>
      <c r="O34" s="38">
        <v>0</v>
      </c>
      <c r="P34" s="39"/>
      <c r="Q34" s="39"/>
      <c r="R34" s="39"/>
    </row>
    <row r="35" spans="2:18" ht="13.9" hidden="1" customHeight="1" outlineLevel="1" x14ac:dyDescent="0.25">
      <c r="B35" s="40"/>
      <c r="C35" s="42" t="s">
        <v>62</v>
      </c>
      <c r="D35" s="37">
        <v>2</v>
      </c>
      <c r="E35" s="38">
        <v>23620308.25</v>
      </c>
      <c r="F35" s="37">
        <v>7</v>
      </c>
      <c r="G35" s="38">
        <v>72935066.5</v>
      </c>
      <c r="H35" s="37">
        <v>4</v>
      </c>
      <c r="I35" s="38">
        <v>39931507</v>
      </c>
      <c r="J35" s="37">
        <v>0</v>
      </c>
      <c r="K35" s="38">
        <v>0</v>
      </c>
      <c r="L35" s="37">
        <v>0</v>
      </c>
      <c r="M35" s="38">
        <v>0</v>
      </c>
      <c r="N35" s="37">
        <v>0</v>
      </c>
      <c r="O35" s="38">
        <v>0</v>
      </c>
      <c r="P35" s="39"/>
      <c r="Q35" s="39"/>
      <c r="R35" s="39"/>
    </row>
    <row r="36" spans="2:18" ht="13.9" hidden="1" customHeight="1" outlineLevel="1" x14ac:dyDescent="0.25">
      <c r="B36" s="40"/>
      <c r="C36" s="42" t="s">
        <v>63</v>
      </c>
      <c r="D36" s="37">
        <v>20</v>
      </c>
      <c r="E36" s="38">
        <v>88884419.920000002</v>
      </c>
      <c r="F36" s="37">
        <v>34</v>
      </c>
      <c r="G36" s="38">
        <v>149913899</v>
      </c>
      <c r="H36" s="37">
        <v>6</v>
      </c>
      <c r="I36" s="38">
        <v>27840816.5</v>
      </c>
      <c r="J36" s="37">
        <v>0</v>
      </c>
      <c r="K36" s="38">
        <v>0</v>
      </c>
      <c r="L36" s="37">
        <v>2</v>
      </c>
      <c r="M36" s="38">
        <v>9633022.5</v>
      </c>
      <c r="N36" s="37">
        <v>0</v>
      </c>
      <c r="O36" s="38">
        <v>0</v>
      </c>
      <c r="P36" s="39"/>
      <c r="Q36" s="39"/>
      <c r="R36" s="39"/>
    </row>
    <row r="37" spans="2:18" ht="13.9" hidden="1" customHeight="1" outlineLevel="1" x14ac:dyDescent="0.25">
      <c r="B37" s="40"/>
      <c r="C37" s="42" t="s">
        <v>64</v>
      </c>
      <c r="D37" s="37">
        <v>1</v>
      </c>
      <c r="E37" s="38">
        <v>3531650</v>
      </c>
      <c r="F37" s="37">
        <v>3</v>
      </c>
      <c r="G37" s="38">
        <v>8554677.3000000007</v>
      </c>
      <c r="H37" s="37">
        <v>12</v>
      </c>
      <c r="I37" s="38">
        <v>34074602.549999997</v>
      </c>
      <c r="J37" s="37">
        <v>39</v>
      </c>
      <c r="K37" s="38">
        <v>105855339.19000001</v>
      </c>
      <c r="L37" s="37">
        <v>217</v>
      </c>
      <c r="M37" s="38">
        <v>590513510.40999961</v>
      </c>
      <c r="N37" s="37">
        <v>334</v>
      </c>
      <c r="O37" s="38">
        <v>792999900.30999959</v>
      </c>
      <c r="P37" s="39"/>
      <c r="Q37" s="39"/>
      <c r="R37" s="39"/>
    </row>
    <row r="38" spans="2:18" ht="13.5" hidden="1" customHeight="1" outlineLevel="1" x14ac:dyDescent="0.25">
      <c r="B38" s="40"/>
      <c r="C38" s="42" t="s">
        <v>65</v>
      </c>
      <c r="D38" s="37">
        <v>0</v>
      </c>
      <c r="E38" s="38">
        <v>0</v>
      </c>
      <c r="F38" s="37">
        <v>0</v>
      </c>
      <c r="G38" s="38">
        <v>0</v>
      </c>
      <c r="H38" s="37">
        <v>0</v>
      </c>
      <c r="I38" s="38">
        <v>0</v>
      </c>
      <c r="J38" s="37">
        <v>0</v>
      </c>
      <c r="K38" s="38">
        <v>0</v>
      </c>
      <c r="L38" s="37">
        <v>0</v>
      </c>
      <c r="M38" s="38">
        <v>0</v>
      </c>
      <c r="N38" s="37">
        <v>600</v>
      </c>
      <c r="O38" s="38">
        <v>793673521.40999985</v>
      </c>
      <c r="P38" s="39"/>
      <c r="Q38" s="39"/>
      <c r="R38" s="39"/>
    </row>
    <row r="39" spans="2:18" ht="13.9" hidden="1" customHeight="1" outlineLevel="1" x14ac:dyDescent="0.25">
      <c r="B39" s="40"/>
      <c r="C39" s="42" t="s">
        <v>66</v>
      </c>
      <c r="D39" s="37">
        <v>0</v>
      </c>
      <c r="E39" s="38">
        <v>0</v>
      </c>
      <c r="F39" s="37">
        <v>0</v>
      </c>
      <c r="G39" s="38">
        <v>0</v>
      </c>
      <c r="H39" s="37">
        <v>0</v>
      </c>
      <c r="I39" s="38">
        <v>0</v>
      </c>
      <c r="J39" s="37">
        <v>1</v>
      </c>
      <c r="K39" s="38">
        <v>1297799.72</v>
      </c>
      <c r="L39" s="37">
        <v>0</v>
      </c>
      <c r="M39" s="38">
        <v>0</v>
      </c>
      <c r="N39" s="37">
        <v>437</v>
      </c>
      <c r="O39" s="38">
        <v>796690915.39999986</v>
      </c>
      <c r="P39" s="39"/>
      <c r="Q39" s="39"/>
      <c r="R39" s="39"/>
    </row>
    <row r="40" spans="2:18" ht="13.9" hidden="1" customHeight="1" outlineLevel="1" x14ac:dyDescent="0.25">
      <c r="B40" s="40"/>
      <c r="C40" s="42" t="s">
        <v>67</v>
      </c>
      <c r="D40" s="37">
        <v>0</v>
      </c>
      <c r="E40" s="38">
        <v>0</v>
      </c>
      <c r="F40" s="37">
        <v>11</v>
      </c>
      <c r="G40" s="38">
        <v>23620350</v>
      </c>
      <c r="H40" s="37">
        <v>2</v>
      </c>
      <c r="I40" s="38">
        <v>7965225</v>
      </c>
      <c r="J40" s="37">
        <v>3</v>
      </c>
      <c r="K40" s="38">
        <v>13162511</v>
      </c>
      <c r="L40" s="37">
        <v>117</v>
      </c>
      <c r="M40" s="38">
        <v>371396685.19999999</v>
      </c>
      <c r="N40" s="37">
        <v>224</v>
      </c>
      <c r="O40" s="38">
        <v>591215319.35000002</v>
      </c>
      <c r="P40" s="39"/>
      <c r="Q40" s="39"/>
      <c r="R40" s="39"/>
    </row>
    <row r="41" spans="2:18" ht="13.9" customHeight="1" collapsed="1" x14ac:dyDescent="0.25">
      <c r="B41" s="43"/>
      <c r="C41" s="29" t="s">
        <v>68</v>
      </c>
      <c r="D41" s="44">
        <f>SUM(D4:D40)</f>
        <v>147</v>
      </c>
      <c r="E41" s="45">
        <f t="shared" ref="E41:O41" si="0">SUM(E4:E40)</f>
        <v>491188147.04000002</v>
      </c>
      <c r="F41" s="46">
        <f t="shared" si="0"/>
        <v>2455</v>
      </c>
      <c r="G41" s="47">
        <f t="shared" si="0"/>
        <v>7481822392.8000002</v>
      </c>
      <c r="H41" s="44">
        <f t="shared" si="0"/>
        <v>4739</v>
      </c>
      <c r="I41" s="45">
        <f t="shared" si="0"/>
        <v>11623273718.099997</v>
      </c>
      <c r="J41" s="46">
        <f t="shared" si="0"/>
        <v>3821</v>
      </c>
      <c r="K41" s="47">
        <f t="shared" si="0"/>
        <v>8326404856.9499979</v>
      </c>
      <c r="L41" s="44">
        <f t="shared" si="0"/>
        <v>6633</v>
      </c>
      <c r="M41" s="45">
        <f t="shared" si="0"/>
        <v>16272552810.749994</v>
      </c>
      <c r="N41" s="44">
        <f t="shared" si="0"/>
        <v>12280</v>
      </c>
      <c r="O41" s="45">
        <f t="shared" si="0"/>
        <v>30247204345.510006</v>
      </c>
      <c r="P41" s="39"/>
      <c r="Q41" s="39"/>
      <c r="R41" s="39"/>
    </row>
    <row r="42" spans="2:18" ht="13.9" hidden="1" customHeight="1" outlineLevel="1" x14ac:dyDescent="0.25">
      <c r="B42" s="35" t="s">
        <v>69</v>
      </c>
      <c r="C42" s="42" t="s">
        <v>70</v>
      </c>
      <c r="D42" s="37">
        <v>24</v>
      </c>
      <c r="E42" s="38">
        <v>42872563.82</v>
      </c>
      <c r="F42" s="37">
        <v>184</v>
      </c>
      <c r="G42" s="38">
        <v>430393847.59999973</v>
      </c>
      <c r="H42" s="37">
        <v>513</v>
      </c>
      <c r="I42" s="38">
        <v>1121527446.49</v>
      </c>
      <c r="J42" s="37">
        <v>1009</v>
      </c>
      <c r="K42" s="38">
        <v>1774110826.189997</v>
      </c>
      <c r="L42" s="37">
        <v>1536</v>
      </c>
      <c r="M42" s="38">
        <v>2465090270.0100098</v>
      </c>
      <c r="N42" s="37">
        <v>152</v>
      </c>
      <c r="O42" s="38">
        <v>269184881.62000012</v>
      </c>
      <c r="P42" s="39"/>
      <c r="Q42" s="39"/>
      <c r="R42" s="39"/>
    </row>
    <row r="43" spans="2:18" ht="13.9" hidden="1" customHeight="1" outlineLevel="1" x14ac:dyDescent="0.25">
      <c r="B43" s="40"/>
      <c r="C43" s="42" t="s">
        <v>71</v>
      </c>
      <c r="D43" s="37">
        <v>3</v>
      </c>
      <c r="E43" s="38">
        <v>46734822.25</v>
      </c>
      <c r="F43" s="37">
        <v>57</v>
      </c>
      <c r="G43" s="38">
        <v>812316335.30000007</v>
      </c>
      <c r="H43" s="37">
        <v>45</v>
      </c>
      <c r="I43" s="38">
        <v>657116306.71000004</v>
      </c>
      <c r="J43" s="37">
        <v>34</v>
      </c>
      <c r="K43" s="38">
        <v>514917065.65999997</v>
      </c>
      <c r="L43" s="37">
        <v>33</v>
      </c>
      <c r="M43" s="38">
        <v>506475734.09999996</v>
      </c>
      <c r="N43" s="37">
        <v>3</v>
      </c>
      <c r="O43" s="38">
        <v>45654277</v>
      </c>
      <c r="P43" s="39"/>
      <c r="Q43" s="39"/>
      <c r="R43" s="39"/>
    </row>
    <row r="44" spans="2:18" ht="13.9" hidden="1" customHeight="1" outlineLevel="1" x14ac:dyDescent="0.25">
      <c r="B44" s="40"/>
      <c r="C44" s="42" t="s">
        <v>72</v>
      </c>
      <c r="D44" s="37">
        <v>12</v>
      </c>
      <c r="E44" s="38">
        <v>21168107.77</v>
      </c>
      <c r="F44" s="37">
        <v>342</v>
      </c>
      <c r="G44" s="38">
        <v>562730736.5799998</v>
      </c>
      <c r="H44" s="37">
        <v>605</v>
      </c>
      <c r="I44" s="38">
        <v>986570605.54000127</v>
      </c>
      <c r="J44" s="37">
        <v>438</v>
      </c>
      <c r="K44" s="38">
        <v>706789070.85999978</v>
      </c>
      <c r="L44" s="37">
        <v>205</v>
      </c>
      <c r="M44" s="38">
        <v>322130400.63999993</v>
      </c>
      <c r="N44" s="37">
        <v>20</v>
      </c>
      <c r="O44" s="38">
        <v>35232260.570000008</v>
      </c>
      <c r="P44" s="39"/>
      <c r="Q44" s="39"/>
      <c r="R44" s="39"/>
    </row>
    <row r="45" spans="2:18" ht="13.9" customHeight="1" collapsed="1" x14ac:dyDescent="0.25">
      <c r="B45" s="43"/>
      <c r="C45" s="29" t="s">
        <v>73</v>
      </c>
      <c r="D45" s="44">
        <f>SUM(D42:D44)</f>
        <v>39</v>
      </c>
      <c r="E45" s="45">
        <f t="shared" ref="E45:O45" si="1">SUM(E42:E44)</f>
        <v>110775493.83999999</v>
      </c>
      <c r="F45" s="46">
        <f t="shared" si="1"/>
        <v>583</v>
      </c>
      <c r="G45" s="47">
        <f t="shared" si="1"/>
        <v>1805440919.4799995</v>
      </c>
      <c r="H45" s="44">
        <f t="shared" si="1"/>
        <v>1163</v>
      </c>
      <c r="I45" s="45">
        <f t="shared" si="1"/>
        <v>2765214358.7400012</v>
      </c>
      <c r="J45" s="46">
        <f t="shared" si="1"/>
        <v>1481</v>
      </c>
      <c r="K45" s="47">
        <f t="shared" si="1"/>
        <v>2995816962.7099967</v>
      </c>
      <c r="L45" s="44">
        <f t="shared" si="1"/>
        <v>1774</v>
      </c>
      <c r="M45" s="45">
        <f t="shared" si="1"/>
        <v>3293696404.7500095</v>
      </c>
      <c r="N45" s="44">
        <f t="shared" si="1"/>
        <v>175</v>
      </c>
      <c r="O45" s="45">
        <f t="shared" si="1"/>
        <v>350071419.19000012</v>
      </c>
      <c r="P45" s="39"/>
      <c r="Q45" s="39"/>
      <c r="R45" s="39"/>
    </row>
    <row r="46" spans="2:18" ht="13.9" hidden="1" customHeight="1" outlineLevel="1" x14ac:dyDescent="0.25">
      <c r="B46" s="35" t="s">
        <v>74</v>
      </c>
      <c r="C46" s="42" t="s">
        <v>75</v>
      </c>
      <c r="D46" s="37">
        <v>1</v>
      </c>
      <c r="E46" s="38">
        <v>1215914.42</v>
      </c>
      <c r="F46" s="37">
        <v>43</v>
      </c>
      <c r="G46" s="38">
        <v>57177188.160000011</v>
      </c>
      <c r="H46" s="37">
        <v>72</v>
      </c>
      <c r="I46" s="38">
        <v>103236768.99000008</v>
      </c>
      <c r="J46" s="37">
        <v>2</v>
      </c>
      <c r="K46" s="38">
        <v>3314125</v>
      </c>
      <c r="L46" s="37">
        <v>2</v>
      </c>
      <c r="M46" s="38">
        <v>2480464.48</v>
      </c>
      <c r="N46" s="37">
        <v>2</v>
      </c>
      <c r="O46" s="38">
        <v>2469430.94</v>
      </c>
      <c r="P46" s="39"/>
      <c r="Q46" s="39"/>
      <c r="R46" s="39"/>
    </row>
    <row r="47" spans="2:18" ht="13.9" hidden="1" customHeight="1" outlineLevel="1" x14ac:dyDescent="0.25">
      <c r="B47" s="40"/>
      <c r="C47" s="42" t="s">
        <v>76</v>
      </c>
      <c r="D47" s="37">
        <v>5</v>
      </c>
      <c r="E47" s="38">
        <v>6497452.0099999998</v>
      </c>
      <c r="F47" s="37">
        <v>86</v>
      </c>
      <c r="G47" s="38">
        <v>119660377.11999999</v>
      </c>
      <c r="H47" s="37">
        <v>266</v>
      </c>
      <c r="I47" s="38">
        <v>376861125.71999997</v>
      </c>
      <c r="J47" s="37">
        <v>302</v>
      </c>
      <c r="K47" s="38">
        <v>424157360.10000002</v>
      </c>
      <c r="L47" s="37">
        <v>31</v>
      </c>
      <c r="M47" s="38">
        <v>42557647.230000012</v>
      </c>
      <c r="N47" s="37">
        <v>16</v>
      </c>
      <c r="O47" s="38">
        <v>25680515.960000001</v>
      </c>
      <c r="P47" s="39"/>
      <c r="Q47" s="39"/>
      <c r="R47" s="39"/>
    </row>
    <row r="48" spans="2:18" ht="13.9" customHeight="1" collapsed="1" x14ac:dyDescent="0.25">
      <c r="B48" s="43"/>
      <c r="C48" s="29" t="s">
        <v>77</v>
      </c>
      <c r="D48" s="44">
        <f>SUM(D46:D47)</f>
        <v>6</v>
      </c>
      <c r="E48" s="45">
        <f t="shared" ref="E48:O48" si="2">SUM(E46:E47)</f>
        <v>7713366.4299999997</v>
      </c>
      <c r="F48" s="46">
        <f t="shared" si="2"/>
        <v>129</v>
      </c>
      <c r="G48" s="47">
        <f t="shared" si="2"/>
        <v>176837565.28</v>
      </c>
      <c r="H48" s="44">
        <f t="shared" si="2"/>
        <v>338</v>
      </c>
      <c r="I48" s="45">
        <f t="shared" si="2"/>
        <v>480097894.71000004</v>
      </c>
      <c r="J48" s="46">
        <f t="shared" si="2"/>
        <v>304</v>
      </c>
      <c r="K48" s="47">
        <f t="shared" si="2"/>
        <v>427471485.10000002</v>
      </c>
      <c r="L48" s="44">
        <f t="shared" si="2"/>
        <v>33</v>
      </c>
      <c r="M48" s="45">
        <f t="shared" si="2"/>
        <v>45038111.710000008</v>
      </c>
      <c r="N48" s="44">
        <f t="shared" si="2"/>
        <v>18</v>
      </c>
      <c r="O48" s="45">
        <f t="shared" si="2"/>
        <v>28149946.900000002</v>
      </c>
      <c r="P48" s="48"/>
      <c r="Q48" s="48"/>
      <c r="R48" s="48"/>
    </row>
    <row r="49" spans="2:18" ht="13.9" customHeight="1" x14ac:dyDescent="0.25">
      <c r="B49" s="49" t="s">
        <v>78</v>
      </c>
      <c r="C49" s="50"/>
      <c r="D49" s="44">
        <f>D48+D45+D41</f>
        <v>192</v>
      </c>
      <c r="E49" s="45">
        <f t="shared" ref="E49:O49" si="3">E48+E45+E41</f>
        <v>609677007.30999994</v>
      </c>
      <c r="F49" s="46">
        <f t="shared" si="3"/>
        <v>3167</v>
      </c>
      <c r="G49" s="47">
        <f t="shared" si="3"/>
        <v>9464100877.5599995</v>
      </c>
      <c r="H49" s="44">
        <f t="shared" si="3"/>
        <v>6240</v>
      </c>
      <c r="I49" s="45">
        <f t="shared" si="3"/>
        <v>14868585971.549997</v>
      </c>
      <c r="J49" s="46">
        <f t="shared" si="3"/>
        <v>5606</v>
      </c>
      <c r="K49" s="47">
        <f t="shared" si="3"/>
        <v>11749693304.759995</v>
      </c>
      <c r="L49" s="44">
        <f t="shared" si="3"/>
        <v>8440</v>
      </c>
      <c r="M49" s="45">
        <f t="shared" si="3"/>
        <v>19611287327.210003</v>
      </c>
      <c r="N49" s="44">
        <f t="shared" si="3"/>
        <v>12473</v>
      </c>
      <c r="O49" s="45">
        <f t="shared" si="3"/>
        <v>30625425711.600006</v>
      </c>
      <c r="P49" s="48"/>
      <c r="Q49" s="48"/>
      <c r="R49" s="48"/>
    </row>
    <row r="50" spans="2:18" ht="13.9" customHeight="1" x14ac:dyDescent="0.25">
      <c r="B50" s="49" t="s">
        <v>79</v>
      </c>
      <c r="C50" s="50"/>
      <c r="D50" s="51">
        <f>D49/SUM($D$49,$F$49,$H$49,$J$49,$L$49,$N$49)</f>
        <v>5.3159089650589731E-3</v>
      </c>
      <c r="E50" s="52">
        <f>E49/SUM($E$49,$G$49,$I$49,$K$49,$M$49,$O$49)</f>
        <v>7.0135238990194533E-3</v>
      </c>
      <c r="F50" s="51">
        <f>F49/SUM($D$49,$F$49,$H$49,$J$49,$L$49,$N$49)</f>
        <v>8.7684810897613374E-2</v>
      </c>
      <c r="G50" s="52">
        <f>G49/SUM($E$49,$G$49,$I$49,$K$49,$M$49,$O$49)</f>
        <v>0.10887190576591278</v>
      </c>
      <c r="H50" s="51">
        <f>H49/SUM($D$49,$F$49,$H$49,$J$49,$L$49,$N$49)</f>
        <v>0.17276704136441665</v>
      </c>
      <c r="I50" s="52">
        <f>I49/SUM($E$49,$G$49,$I$49,$K$49,$M$49,$O$49)</f>
        <v>0.17104332590168989</v>
      </c>
      <c r="J50" s="51">
        <f>J49/SUM($D$49,$F$49,$H$49,$J$49,$L$49,$N$49)</f>
        <v>0.15521346696937816</v>
      </c>
      <c r="K50" s="52">
        <f>K49/SUM($E$49,$G$49,$I$49,$K$49,$M$49,$O$49)</f>
        <v>0.13516460980327252</v>
      </c>
      <c r="L50" s="51">
        <f>L49/SUM($D$49,$F$49,$H$49,$J$49,$L$49,$N$49)</f>
        <v>0.23367849825571738</v>
      </c>
      <c r="M50" s="52">
        <f>M49/SUM($E$49,$G$49,$I$49,$K$49,$M$49,$O$49)</f>
        <v>0.22560180343161298</v>
      </c>
      <c r="N50" s="51">
        <f>N49/SUM($D$49,$F$49,$H$49,$J$49,$L$49,$N$49)</f>
        <v>0.34534027354781549</v>
      </c>
      <c r="O50" s="52">
        <f>O49/SUM($E$49,$G$49,$I$49,$K$49,$M$49,$O$49)</f>
        <v>0.35230483119849232</v>
      </c>
      <c r="P50" s="53"/>
      <c r="Q50" s="53"/>
      <c r="R50" s="53"/>
    </row>
    <row r="51" spans="2:18" ht="13.9" customHeight="1" x14ac:dyDescent="0.25">
      <c r="B51" s="54" t="s">
        <v>80</v>
      </c>
      <c r="C51" s="55"/>
      <c r="D51" s="56">
        <f>D50</f>
        <v>5.3159089650589731E-3</v>
      </c>
      <c r="E51" s="57">
        <f>E50</f>
        <v>7.0135238990194533E-3</v>
      </c>
      <c r="F51" s="56">
        <f>D50+F50</f>
        <v>9.3000719862672346E-2</v>
      </c>
      <c r="G51" s="57">
        <f>E50+G50</f>
        <v>0.11588542966493223</v>
      </c>
      <c r="H51" s="56">
        <f>F50+H50+D50</f>
        <v>0.26576776122708901</v>
      </c>
      <c r="I51" s="57">
        <f>G50+I50+E50</f>
        <v>0.28692875556662212</v>
      </c>
      <c r="J51" s="56">
        <f>H50+J50+F50+D50</f>
        <v>0.42098122819646711</v>
      </c>
      <c r="K51" s="57">
        <f>I50+K50+G50+E50</f>
        <v>0.42209336536989461</v>
      </c>
      <c r="L51" s="56">
        <f>J50+L50+H50+F50+D50</f>
        <v>0.65465972645218451</v>
      </c>
      <c r="M51" s="57">
        <f>K50+M50+I50+G50+E50</f>
        <v>0.64769516880150757</v>
      </c>
      <c r="N51" s="56">
        <f>L50+N50+J50+H50+F50+D50</f>
        <v>1</v>
      </c>
      <c r="O51" s="57">
        <f>M50+O50+K50+I50+G50+E50</f>
        <v>0.99999999999999989</v>
      </c>
      <c r="P51" s="53"/>
      <c r="Q51" s="53"/>
      <c r="R51" s="53"/>
    </row>
    <row r="52" spans="2:18" ht="13.9" customHeight="1" x14ac:dyDescent="0.25"/>
    <row r="53" spans="2:18" ht="13.9" customHeight="1" x14ac:dyDescent="0.25"/>
    <row r="54" spans="2:18" ht="13.9" customHeight="1" x14ac:dyDescent="0.25">
      <c r="B54" s="22" t="s">
        <v>19</v>
      </c>
      <c r="C54" s="23"/>
      <c r="D54" s="24" t="s">
        <v>20</v>
      </c>
      <c r="E54" s="25"/>
      <c r="F54" s="26" t="s">
        <v>21</v>
      </c>
      <c r="G54" s="27"/>
      <c r="H54" s="24" t="s">
        <v>22</v>
      </c>
      <c r="I54" s="25"/>
      <c r="J54" s="26" t="s">
        <v>23</v>
      </c>
      <c r="K54" s="27"/>
      <c r="L54" s="24" t="s">
        <v>24</v>
      </c>
      <c r="M54" s="25"/>
      <c r="N54" s="24" t="s">
        <v>25</v>
      </c>
      <c r="O54" s="25"/>
      <c r="P54" s="28"/>
      <c r="Q54" s="28"/>
      <c r="R54" s="28"/>
    </row>
    <row r="55" spans="2:18" ht="13.9" customHeight="1" x14ac:dyDescent="0.25">
      <c r="B55" s="29" t="s">
        <v>26</v>
      </c>
      <c r="C55" s="29" t="s">
        <v>27</v>
      </c>
      <c r="D55" s="30" t="s">
        <v>81</v>
      </c>
      <c r="E55" s="31" t="s">
        <v>82</v>
      </c>
      <c r="F55" s="30" t="s">
        <v>81</v>
      </c>
      <c r="G55" s="31" t="s">
        <v>82</v>
      </c>
      <c r="H55" s="30" t="s">
        <v>81</v>
      </c>
      <c r="I55" s="31" t="s">
        <v>82</v>
      </c>
      <c r="J55" s="30" t="s">
        <v>81</v>
      </c>
      <c r="K55" s="31" t="s">
        <v>82</v>
      </c>
      <c r="L55" s="30" t="s">
        <v>81</v>
      </c>
      <c r="M55" s="31" t="s">
        <v>82</v>
      </c>
      <c r="N55" s="30" t="s">
        <v>81</v>
      </c>
      <c r="O55" s="31" t="s">
        <v>82</v>
      </c>
      <c r="P55" s="34"/>
      <c r="Q55" s="34"/>
      <c r="R55" s="34"/>
    </row>
    <row r="56" spans="2:18" ht="13.9" hidden="1" customHeight="1" outlineLevel="1" x14ac:dyDescent="0.25">
      <c r="B56" s="35" t="s">
        <v>30</v>
      </c>
      <c r="C56" s="36" t="s">
        <v>31</v>
      </c>
      <c r="D56" s="37">
        <v>178635.03</v>
      </c>
      <c r="E56" s="38">
        <v>8239462.4499999993</v>
      </c>
      <c r="F56" s="37">
        <v>3251627.5200000005</v>
      </c>
      <c r="G56" s="38">
        <v>21825185.770000003</v>
      </c>
      <c r="H56" s="37">
        <v>3507830.2</v>
      </c>
      <c r="I56" s="38">
        <v>11495664.58</v>
      </c>
      <c r="J56" s="37">
        <v>3461127.04</v>
      </c>
      <c r="K56" s="38">
        <v>6364078.8700000001</v>
      </c>
      <c r="L56" s="37">
        <v>361596825.88000011</v>
      </c>
      <c r="M56" s="38">
        <v>252618551.45000002</v>
      </c>
      <c r="N56" s="37">
        <v>1313060774.2199991</v>
      </c>
      <c r="O56" s="38">
        <v>557291357.6425004</v>
      </c>
      <c r="P56" s="39"/>
      <c r="Q56" s="39"/>
      <c r="R56" s="39"/>
    </row>
    <row r="57" spans="2:18" ht="13.9" hidden="1" customHeight="1" outlineLevel="1" x14ac:dyDescent="0.25">
      <c r="B57" s="40"/>
      <c r="C57" s="36" t="s">
        <v>32</v>
      </c>
      <c r="D57" s="37">
        <v>0</v>
      </c>
      <c r="E57" s="38">
        <v>0</v>
      </c>
      <c r="F57" s="37">
        <v>150000</v>
      </c>
      <c r="G57" s="38">
        <v>1350624.5</v>
      </c>
      <c r="H57" s="37">
        <v>0</v>
      </c>
      <c r="I57" s="38">
        <v>0</v>
      </c>
      <c r="J57" s="37">
        <v>0</v>
      </c>
      <c r="K57" s="38">
        <v>0</v>
      </c>
      <c r="L57" s="37">
        <v>1618414</v>
      </c>
      <c r="M57" s="38">
        <v>1729712.78</v>
      </c>
      <c r="N57" s="37">
        <v>715872058.11999977</v>
      </c>
      <c r="O57" s="38">
        <v>84627186.280000001</v>
      </c>
      <c r="P57" s="39"/>
      <c r="Q57" s="39"/>
      <c r="R57" s="39"/>
    </row>
    <row r="58" spans="2:18" ht="13.9" hidden="1" customHeight="1" outlineLevel="1" x14ac:dyDescent="0.25">
      <c r="B58" s="40"/>
      <c r="C58" s="36" t="s">
        <v>33</v>
      </c>
      <c r="D58" s="37">
        <v>134439.29999999999</v>
      </c>
      <c r="E58" s="38">
        <v>3442961.45</v>
      </c>
      <c r="F58" s="37">
        <v>2030234.45</v>
      </c>
      <c r="G58" s="38">
        <v>10506116.300000001</v>
      </c>
      <c r="H58" s="37">
        <v>1793174.75</v>
      </c>
      <c r="I58" s="38">
        <v>5860606</v>
      </c>
      <c r="J58" s="37">
        <v>3458382.5599999996</v>
      </c>
      <c r="K58" s="38">
        <v>6362340.3000000007</v>
      </c>
      <c r="L58" s="37">
        <v>24843247.109999999</v>
      </c>
      <c r="M58" s="38">
        <v>22994831.640000001</v>
      </c>
      <c r="N58" s="37">
        <v>1938714417.7399991</v>
      </c>
      <c r="O58" s="38">
        <v>506309221.38</v>
      </c>
      <c r="P58" s="39"/>
      <c r="Q58" s="39"/>
      <c r="R58" s="39"/>
    </row>
    <row r="59" spans="2:18" ht="13.9" hidden="1" customHeight="1" outlineLevel="1" x14ac:dyDescent="0.25">
      <c r="B59" s="40"/>
      <c r="C59" s="36" t="s">
        <v>34</v>
      </c>
      <c r="D59" s="37">
        <v>0</v>
      </c>
      <c r="E59" s="38">
        <v>0</v>
      </c>
      <c r="F59" s="37">
        <v>682713.82</v>
      </c>
      <c r="G59" s="38">
        <v>3672315.68</v>
      </c>
      <c r="H59" s="37">
        <v>2860981.15</v>
      </c>
      <c r="I59" s="38">
        <v>9048122.8440000005</v>
      </c>
      <c r="J59" s="37">
        <v>2425047.67</v>
      </c>
      <c r="K59" s="38">
        <v>4622759.58</v>
      </c>
      <c r="L59" s="37">
        <v>530396767.36999977</v>
      </c>
      <c r="M59" s="38">
        <v>409603320.19000024</v>
      </c>
      <c r="N59" s="37">
        <v>1250375490.9599984</v>
      </c>
      <c r="O59" s="38">
        <v>337966233.81999981</v>
      </c>
      <c r="P59" s="39"/>
      <c r="Q59" s="39"/>
      <c r="R59" s="39"/>
    </row>
    <row r="60" spans="2:18" ht="13.9" hidden="1" customHeight="1" outlineLevel="1" x14ac:dyDescent="0.25">
      <c r="B60" s="40"/>
      <c r="C60" s="36" t="s">
        <v>35</v>
      </c>
      <c r="D60" s="37">
        <v>0</v>
      </c>
      <c r="E60" s="38">
        <v>0</v>
      </c>
      <c r="F60" s="37">
        <v>177643.4</v>
      </c>
      <c r="G60" s="38">
        <v>1568907.2999999998</v>
      </c>
      <c r="H60" s="37">
        <v>160335</v>
      </c>
      <c r="I60" s="38">
        <v>640790</v>
      </c>
      <c r="J60" s="37">
        <v>0</v>
      </c>
      <c r="K60" s="38">
        <v>0</v>
      </c>
      <c r="L60" s="37">
        <v>1279017.2</v>
      </c>
      <c r="M60" s="38">
        <v>852678.8</v>
      </c>
      <c r="N60" s="37">
        <v>1644987770.2099996</v>
      </c>
      <c r="O60" s="38">
        <v>2235220.453999998</v>
      </c>
      <c r="P60" s="39"/>
      <c r="Q60" s="39"/>
      <c r="R60" s="39"/>
    </row>
    <row r="61" spans="2:18" ht="13.9" hidden="1" customHeight="1" outlineLevel="1" x14ac:dyDescent="0.25">
      <c r="B61" s="40"/>
      <c r="C61" s="36" t="s">
        <v>36</v>
      </c>
      <c r="D61" s="37">
        <v>0</v>
      </c>
      <c r="E61" s="38">
        <v>0</v>
      </c>
      <c r="F61" s="37">
        <v>47136822.5</v>
      </c>
      <c r="G61" s="38">
        <v>298346659.27999997</v>
      </c>
      <c r="H61" s="37">
        <v>111615064.22999999</v>
      </c>
      <c r="I61" s="38">
        <v>301623664</v>
      </c>
      <c r="J61" s="37">
        <v>255739907.83000004</v>
      </c>
      <c r="K61" s="38">
        <v>450884027.57999992</v>
      </c>
      <c r="L61" s="37">
        <v>320687095.56999999</v>
      </c>
      <c r="M61" s="38">
        <v>380254804.13999993</v>
      </c>
      <c r="N61" s="37">
        <v>69887918.50999999</v>
      </c>
      <c r="O61" s="38">
        <v>10322201.74</v>
      </c>
      <c r="P61" s="39"/>
      <c r="Q61" s="39"/>
      <c r="R61" s="39"/>
    </row>
    <row r="62" spans="2:18" ht="13.9" hidden="1" customHeight="1" outlineLevel="1" x14ac:dyDescent="0.25">
      <c r="B62" s="40"/>
      <c r="C62" s="36" t="s">
        <v>37</v>
      </c>
      <c r="D62" s="37">
        <v>0</v>
      </c>
      <c r="E62" s="38">
        <v>0</v>
      </c>
      <c r="F62" s="37">
        <v>0</v>
      </c>
      <c r="G62" s="38">
        <v>0</v>
      </c>
      <c r="H62" s="37">
        <v>315830</v>
      </c>
      <c r="I62" s="38">
        <v>890518</v>
      </c>
      <c r="J62" s="37">
        <v>824529</v>
      </c>
      <c r="K62" s="38">
        <v>1706396.7399999998</v>
      </c>
      <c r="L62" s="37">
        <v>1673753</v>
      </c>
      <c r="M62" s="38">
        <v>2182038.73</v>
      </c>
      <c r="N62" s="37">
        <v>1596978543.5100007</v>
      </c>
      <c r="O62" s="38">
        <v>1164232.5400000003</v>
      </c>
      <c r="P62" s="39"/>
      <c r="Q62" s="39"/>
      <c r="R62" s="39"/>
    </row>
    <row r="63" spans="2:18" ht="13.9" hidden="1" customHeight="1" outlineLevel="1" x14ac:dyDescent="0.25">
      <c r="B63" s="40"/>
      <c r="C63" s="36" t="s">
        <v>38</v>
      </c>
      <c r="D63" s="37">
        <v>0</v>
      </c>
      <c r="E63" s="38">
        <v>0</v>
      </c>
      <c r="F63" s="37">
        <v>0</v>
      </c>
      <c r="G63" s="38">
        <v>0</v>
      </c>
      <c r="H63" s="37">
        <v>0</v>
      </c>
      <c r="I63" s="38">
        <v>0</v>
      </c>
      <c r="J63" s="37">
        <v>0</v>
      </c>
      <c r="K63" s="38">
        <v>0</v>
      </c>
      <c r="L63" s="37">
        <v>0</v>
      </c>
      <c r="M63" s="38">
        <v>0</v>
      </c>
      <c r="N63" s="37">
        <v>1085070425.8200006</v>
      </c>
      <c r="O63" s="38">
        <v>2854.0900000017136</v>
      </c>
      <c r="P63" s="39"/>
      <c r="Q63" s="39"/>
      <c r="R63" s="39"/>
    </row>
    <row r="64" spans="2:18" ht="13.9" hidden="1" customHeight="1" outlineLevel="1" x14ac:dyDescent="0.25">
      <c r="B64" s="40"/>
      <c r="C64" s="36" t="s">
        <v>39</v>
      </c>
      <c r="D64" s="37">
        <v>0</v>
      </c>
      <c r="E64" s="38">
        <v>0</v>
      </c>
      <c r="F64" s="37">
        <v>0</v>
      </c>
      <c r="G64" s="38">
        <v>0</v>
      </c>
      <c r="H64" s="37">
        <v>0</v>
      </c>
      <c r="I64" s="38">
        <v>0</v>
      </c>
      <c r="J64" s="37">
        <v>0</v>
      </c>
      <c r="K64" s="38">
        <v>0</v>
      </c>
      <c r="L64" s="37">
        <v>0</v>
      </c>
      <c r="M64" s="38">
        <v>0</v>
      </c>
      <c r="N64" s="37">
        <v>1887024986.2499998</v>
      </c>
      <c r="O64" s="38">
        <v>12207020.589999989</v>
      </c>
      <c r="P64" s="39"/>
      <c r="Q64" s="39"/>
      <c r="R64" s="39"/>
    </row>
    <row r="65" spans="2:18" ht="13.9" hidden="1" customHeight="1" outlineLevel="1" x14ac:dyDescent="0.25">
      <c r="B65" s="40"/>
      <c r="C65" s="36" t="s">
        <v>40</v>
      </c>
      <c r="D65" s="37">
        <v>0</v>
      </c>
      <c r="E65" s="38">
        <v>0</v>
      </c>
      <c r="F65" s="37">
        <v>57082896.640000001</v>
      </c>
      <c r="G65" s="38">
        <v>254913158.36000001</v>
      </c>
      <c r="H65" s="37">
        <v>77744377.540000007</v>
      </c>
      <c r="I65" s="38">
        <v>242606689.46000001</v>
      </c>
      <c r="J65" s="37">
        <v>93046340.830000013</v>
      </c>
      <c r="K65" s="38">
        <v>170270720.16999999</v>
      </c>
      <c r="L65" s="37">
        <v>390059710.72000003</v>
      </c>
      <c r="M65" s="38">
        <v>381600560.78000003</v>
      </c>
      <c r="N65" s="37">
        <v>1072036435.2700001</v>
      </c>
      <c r="O65" s="38">
        <v>226696636.42999998</v>
      </c>
      <c r="P65" s="39"/>
      <c r="Q65" s="39"/>
      <c r="R65" s="39"/>
    </row>
    <row r="66" spans="2:18" ht="13.9" hidden="1" customHeight="1" outlineLevel="1" x14ac:dyDescent="0.25">
      <c r="B66" s="40"/>
      <c r="C66" s="36" t="s">
        <v>41</v>
      </c>
      <c r="D66" s="37">
        <v>0</v>
      </c>
      <c r="E66" s="38">
        <v>1785113</v>
      </c>
      <c r="F66" s="37">
        <v>0</v>
      </c>
      <c r="G66" s="38">
        <v>0</v>
      </c>
      <c r="H66" s="37">
        <v>0</v>
      </c>
      <c r="I66" s="38">
        <v>0</v>
      </c>
      <c r="J66" s="37">
        <v>0</v>
      </c>
      <c r="K66" s="38">
        <v>0</v>
      </c>
      <c r="L66" s="37">
        <v>0</v>
      </c>
      <c r="M66" s="38">
        <v>0</v>
      </c>
      <c r="N66" s="37">
        <v>780717387.29999959</v>
      </c>
      <c r="O66" s="38">
        <v>295303.5849999995</v>
      </c>
      <c r="P66" s="39"/>
      <c r="Q66" s="39"/>
      <c r="R66" s="39"/>
    </row>
    <row r="67" spans="2:18" ht="13.9" hidden="1" customHeight="1" outlineLevel="1" x14ac:dyDescent="0.25">
      <c r="B67" s="40"/>
      <c r="C67" s="36" t="s">
        <v>42</v>
      </c>
      <c r="D67" s="37">
        <v>343513.44</v>
      </c>
      <c r="E67" s="38">
        <v>30523775.109999999</v>
      </c>
      <c r="F67" s="37">
        <v>35925512.460000001</v>
      </c>
      <c r="G67" s="38">
        <v>215788097.39000002</v>
      </c>
      <c r="H67" s="37">
        <v>149585153.88</v>
      </c>
      <c r="I67" s="38">
        <v>433389743.22000009</v>
      </c>
      <c r="J67" s="37">
        <v>443288549.07000035</v>
      </c>
      <c r="K67" s="38">
        <v>842376609.00000048</v>
      </c>
      <c r="L67" s="37">
        <v>2162403953.670002</v>
      </c>
      <c r="M67" s="38">
        <v>2167221197.8900032</v>
      </c>
      <c r="N67" s="37">
        <v>2021990360.9700017</v>
      </c>
      <c r="O67" s="38">
        <v>882084036.13999844</v>
      </c>
      <c r="P67" s="39"/>
      <c r="Q67" s="39"/>
      <c r="R67" s="39"/>
    </row>
    <row r="68" spans="2:18" ht="13.9" hidden="1" customHeight="1" outlineLevel="1" x14ac:dyDescent="0.25">
      <c r="B68" s="40"/>
      <c r="C68" s="36" t="s">
        <v>43</v>
      </c>
      <c r="D68" s="37">
        <v>472599</v>
      </c>
      <c r="E68" s="38">
        <v>4553456</v>
      </c>
      <c r="F68" s="37">
        <v>38003168.18</v>
      </c>
      <c r="G68" s="38">
        <v>191219037.31999999</v>
      </c>
      <c r="H68" s="37">
        <v>119567248.65999998</v>
      </c>
      <c r="I68" s="38">
        <v>372551686.93999994</v>
      </c>
      <c r="J68" s="37">
        <v>163188542.41999999</v>
      </c>
      <c r="K68" s="38">
        <v>301977908.26000005</v>
      </c>
      <c r="L68" s="37">
        <v>738223983.01000011</v>
      </c>
      <c r="M68" s="38">
        <v>738551500.40999997</v>
      </c>
      <c r="N68" s="37">
        <v>1973908992.5899999</v>
      </c>
      <c r="O68" s="38">
        <v>626619410.45000005</v>
      </c>
      <c r="P68" s="39"/>
      <c r="Q68" s="39"/>
      <c r="R68" s="39"/>
    </row>
    <row r="69" spans="2:18" ht="13.9" hidden="1" customHeight="1" outlineLevel="1" x14ac:dyDescent="0.25">
      <c r="B69" s="40"/>
      <c r="C69" s="36" t="s">
        <v>44</v>
      </c>
      <c r="D69" s="37">
        <v>755087</v>
      </c>
      <c r="E69" s="38">
        <v>25624457.600000001</v>
      </c>
      <c r="F69" s="37">
        <v>87330025.579999968</v>
      </c>
      <c r="G69" s="38">
        <v>444509929.21999997</v>
      </c>
      <c r="H69" s="37">
        <v>467233980.96999985</v>
      </c>
      <c r="I69" s="38">
        <v>1319359415.6599987</v>
      </c>
      <c r="J69" s="37">
        <v>353028782.52999985</v>
      </c>
      <c r="K69" s="38">
        <v>796192824.32000041</v>
      </c>
      <c r="L69" s="37">
        <v>79879764.400000006</v>
      </c>
      <c r="M69" s="38">
        <v>98797483.840000004</v>
      </c>
      <c r="N69" s="37">
        <v>143526940.89000002</v>
      </c>
      <c r="O69" s="38">
        <v>15737782.240000004</v>
      </c>
      <c r="P69" s="39"/>
      <c r="Q69" s="39"/>
      <c r="R69" s="39"/>
    </row>
    <row r="70" spans="2:18" ht="13.9" hidden="1" customHeight="1" outlineLevel="1" x14ac:dyDescent="0.25">
      <c r="B70" s="40"/>
      <c r="C70" s="36" t="s">
        <v>45</v>
      </c>
      <c r="D70" s="37">
        <v>1083624.2</v>
      </c>
      <c r="E70" s="38">
        <v>42293470.949999996</v>
      </c>
      <c r="F70" s="37">
        <v>193247572.14000008</v>
      </c>
      <c r="G70" s="38">
        <v>915964007.25000024</v>
      </c>
      <c r="H70" s="37">
        <v>542171890.22000062</v>
      </c>
      <c r="I70" s="38">
        <v>1817796240.8600004</v>
      </c>
      <c r="J70" s="37">
        <v>303361944.02000016</v>
      </c>
      <c r="K70" s="38">
        <v>686124545.48999977</v>
      </c>
      <c r="L70" s="37">
        <v>47573035.409999989</v>
      </c>
      <c r="M70" s="38">
        <v>55733825.710000008</v>
      </c>
      <c r="N70" s="37">
        <v>58064959.870000005</v>
      </c>
      <c r="O70" s="38">
        <v>5437958.9600000009</v>
      </c>
      <c r="P70" s="39"/>
      <c r="Q70" s="39"/>
      <c r="R70" s="39"/>
    </row>
    <row r="71" spans="2:18" ht="13.9" hidden="1" customHeight="1" outlineLevel="1" x14ac:dyDescent="0.25">
      <c r="B71" s="40"/>
      <c r="C71" s="36" t="s">
        <v>46</v>
      </c>
      <c r="D71" s="37">
        <v>502000</v>
      </c>
      <c r="E71" s="38">
        <v>23240345</v>
      </c>
      <c r="F71" s="37">
        <v>23722071.780000001</v>
      </c>
      <c r="G71" s="38">
        <v>169176248.22</v>
      </c>
      <c r="H71" s="37">
        <v>34230366.960000001</v>
      </c>
      <c r="I71" s="38">
        <v>128995128.64</v>
      </c>
      <c r="J71" s="37">
        <v>0</v>
      </c>
      <c r="K71" s="38">
        <v>0</v>
      </c>
      <c r="L71" s="37">
        <v>0</v>
      </c>
      <c r="M71" s="38">
        <v>0</v>
      </c>
      <c r="N71" s="37">
        <v>0</v>
      </c>
      <c r="O71" s="38">
        <v>0</v>
      </c>
      <c r="P71" s="39"/>
      <c r="Q71" s="39"/>
      <c r="R71" s="39"/>
    </row>
    <row r="72" spans="2:18" ht="13.9" hidden="1" customHeight="1" outlineLevel="1" x14ac:dyDescent="0.25">
      <c r="B72" s="40"/>
      <c r="C72" s="36" t="s">
        <v>47</v>
      </c>
      <c r="D72" s="37">
        <v>371662.68</v>
      </c>
      <c r="E72" s="38">
        <v>14214463.629999999</v>
      </c>
      <c r="F72" s="37">
        <v>22725373.52</v>
      </c>
      <c r="G72" s="38">
        <v>134117049.28</v>
      </c>
      <c r="H72" s="37">
        <v>76649969.610000029</v>
      </c>
      <c r="I72" s="38">
        <v>210896735.65999997</v>
      </c>
      <c r="J72" s="37">
        <v>282318964.86000007</v>
      </c>
      <c r="K72" s="38">
        <v>501822583.54000014</v>
      </c>
      <c r="L72" s="37">
        <v>1620250030.6800013</v>
      </c>
      <c r="M72" s="38">
        <v>1469423419.8199999</v>
      </c>
      <c r="N72" s="37">
        <v>1842272428.9500029</v>
      </c>
      <c r="O72" s="38">
        <v>804194775.05999994</v>
      </c>
      <c r="P72" s="39"/>
      <c r="Q72" s="39"/>
      <c r="R72" s="39"/>
    </row>
    <row r="73" spans="2:18" ht="13.9" hidden="1" customHeight="1" outlineLevel="1" x14ac:dyDescent="0.25">
      <c r="B73" s="40"/>
      <c r="C73" s="36" t="s">
        <v>48</v>
      </c>
      <c r="D73" s="37">
        <v>0</v>
      </c>
      <c r="E73" s="38">
        <v>4967550</v>
      </c>
      <c r="F73" s="37">
        <v>23072449.169999998</v>
      </c>
      <c r="G73" s="38">
        <v>146272346.98000002</v>
      </c>
      <c r="H73" s="37">
        <v>168847691.8300001</v>
      </c>
      <c r="I73" s="38">
        <v>477847368.28000003</v>
      </c>
      <c r="J73" s="37">
        <v>308960224.13999993</v>
      </c>
      <c r="K73" s="38">
        <v>641127039.79000056</v>
      </c>
      <c r="L73" s="37">
        <v>794794072.03999996</v>
      </c>
      <c r="M73" s="38">
        <v>839689533.40000033</v>
      </c>
      <c r="N73" s="37">
        <v>235931101.24000007</v>
      </c>
      <c r="O73" s="38">
        <v>100400566.96999997</v>
      </c>
      <c r="P73" s="39"/>
      <c r="Q73" s="39"/>
      <c r="R73" s="39"/>
    </row>
    <row r="74" spans="2:18" ht="13.9" hidden="1" customHeight="1" outlineLevel="1" x14ac:dyDescent="0.25">
      <c r="B74" s="40"/>
      <c r="C74" s="36" t="s">
        <v>49</v>
      </c>
      <c r="D74" s="37">
        <v>71620.009999999995</v>
      </c>
      <c r="E74" s="38">
        <v>3509380.49</v>
      </c>
      <c r="F74" s="37">
        <v>16469782.16</v>
      </c>
      <c r="G74" s="38">
        <v>94096309.859999999</v>
      </c>
      <c r="H74" s="37">
        <v>14077761.870000001</v>
      </c>
      <c r="I74" s="38">
        <v>44487592.690000005</v>
      </c>
      <c r="J74" s="37">
        <v>23666501.960000001</v>
      </c>
      <c r="K74" s="38">
        <v>44328251.489999995</v>
      </c>
      <c r="L74" s="37">
        <v>523635406.62000006</v>
      </c>
      <c r="M74" s="38">
        <v>423208289.46000016</v>
      </c>
      <c r="N74" s="37">
        <v>1486371240.2200005</v>
      </c>
      <c r="O74" s="38">
        <v>510539250.89000022</v>
      </c>
      <c r="P74" s="39"/>
      <c r="Q74" s="39"/>
      <c r="R74" s="39"/>
    </row>
    <row r="75" spans="2:18" ht="13.9" hidden="1" customHeight="1" outlineLevel="1" x14ac:dyDescent="0.25">
      <c r="B75" s="40"/>
      <c r="C75" s="36" t="s">
        <v>50</v>
      </c>
      <c r="D75" s="37">
        <v>373845.64</v>
      </c>
      <c r="E75" s="38">
        <v>13176093.359999999</v>
      </c>
      <c r="F75" s="37">
        <v>37168285.360000014</v>
      </c>
      <c r="G75" s="38">
        <v>224296585.13999999</v>
      </c>
      <c r="H75" s="37">
        <v>56910231.379999988</v>
      </c>
      <c r="I75" s="38">
        <v>224592032.37</v>
      </c>
      <c r="J75" s="37">
        <v>7513222.3899999997</v>
      </c>
      <c r="K75" s="38">
        <v>17504827.609999999</v>
      </c>
      <c r="L75" s="37">
        <v>0</v>
      </c>
      <c r="M75" s="38">
        <v>0</v>
      </c>
      <c r="N75" s="37">
        <v>10258474.220000001</v>
      </c>
      <c r="O75" s="38">
        <v>0</v>
      </c>
      <c r="P75" s="39"/>
      <c r="Q75" s="39"/>
      <c r="R75" s="39"/>
    </row>
    <row r="76" spans="2:18" ht="13.9" hidden="1" customHeight="1" outlineLevel="1" x14ac:dyDescent="0.25">
      <c r="B76" s="40"/>
      <c r="C76" s="36" t="s">
        <v>51</v>
      </c>
      <c r="D76" s="37">
        <v>230498.51</v>
      </c>
      <c r="E76" s="38">
        <v>8432394.8900000006</v>
      </c>
      <c r="F76" s="37">
        <v>37374015.380000003</v>
      </c>
      <c r="G76" s="38">
        <v>186561597.71999991</v>
      </c>
      <c r="H76" s="37">
        <v>230451780.37999988</v>
      </c>
      <c r="I76" s="38">
        <v>648171259.14000046</v>
      </c>
      <c r="J76" s="37">
        <v>351312930.34999979</v>
      </c>
      <c r="K76" s="38">
        <v>768124945.38000047</v>
      </c>
      <c r="L76" s="37">
        <v>158509062.39000002</v>
      </c>
      <c r="M76" s="38">
        <v>207485406.12999994</v>
      </c>
      <c r="N76" s="37">
        <v>51921587.520000011</v>
      </c>
      <c r="O76" s="38">
        <v>8386158.3499999987</v>
      </c>
      <c r="P76" s="39"/>
      <c r="Q76" s="39"/>
      <c r="R76" s="39"/>
    </row>
    <row r="77" spans="2:18" ht="13.9" hidden="1" customHeight="1" outlineLevel="1" x14ac:dyDescent="0.25">
      <c r="B77" s="40"/>
      <c r="C77" s="36" t="s">
        <v>52</v>
      </c>
      <c r="D77" s="37">
        <v>444111</v>
      </c>
      <c r="E77" s="38">
        <v>7420988.5</v>
      </c>
      <c r="F77" s="37">
        <v>45750663.870000012</v>
      </c>
      <c r="G77" s="38">
        <v>206320061.18000004</v>
      </c>
      <c r="H77" s="37">
        <v>103588813.06000003</v>
      </c>
      <c r="I77" s="38">
        <v>407401405.97999972</v>
      </c>
      <c r="J77" s="37">
        <v>10048682.51</v>
      </c>
      <c r="K77" s="38">
        <v>22173277.629999999</v>
      </c>
      <c r="L77" s="37">
        <v>4857671.7</v>
      </c>
      <c r="M77" s="38">
        <v>5728629.9000000004</v>
      </c>
      <c r="N77" s="37">
        <v>2849584</v>
      </c>
      <c r="O77" s="38">
        <v>531054.25</v>
      </c>
      <c r="P77" s="39"/>
      <c r="Q77" s="39"/>
      <c r="R77" s="39"/>
    </row>
    <row r="78" spans="2:18" ht="13.9" hidden="1" customHeight="1" outlineLevel="1" x14ac:dyDescent="0.25">
      <c r="B78" s="40"/>
      <c r="C78" s="36" t="s">
        <v>53</v>
      </c>
      <c r="D78" s="37">
        <v>509571.05</v>
      </c>
      <c r="E78" s="38">
        <v>8971543.3499999996</v>
      </c>
      <c r="F78" s="37">
        <v>35953496.159999996</v>
      </c>
      <c r="G78" s="38">
        <v>184118604.59</v>
      </c>
      <c r="H78" s="37">
        <v>100098209.52999999</v>
      </c>
      <c r="I78" s="38">
        <v>342396761.55999988</v>
      </c>
      <c r="J78" s="37">
        <v>67353549.209999993</v>
      </c>
      <c r="K78" s="38">
        <v>153718982.82000002</v>
      </c>
      <c r="L78" s="37">
        <v>7727376.29</v>
      </c>
      <c r="M78" s="38">
        <v>11249904.309999999</v>
      </c>
      <c r="N78" s="37">
        <v>17669400.98</v>
      </c>
      <c r="O78" s="38">
        <v>3888765.0700000003</v>
      </c>
      <c r="P78" s="39"/>
      <c r="Q78" s="39"/>
      <c r="R78" s="39"/>
    </row>
    <row r="79" spans="2:18" ht="13.9" hidden="1" customHeight="1" outlineLevel="1" x14ac:dyDescent="0.25">
      <c r="B79" s="40"/>
      <c r="C79" s="36" t="s">
        <v>54</v>
      </c>
      <c r="D79" s="37">
        <v>54000</v>
      </c>
      <c r="E79" s="38">
        <v>4297033.0999999996</v>
      </c>
      <c r="F79" s="37">
        <v>120476470.25000001</v>
      </c>
      <c r="G79" s="38">
        <v>527659568.15999997</v>
      </c>
      <c r="H79" s="37">
        <v>166216825.79000002</v>
      </c>
      <c r="I79" s="38">
        <v>651346048.94000006</v>
      </c>
      <c r="J79" s="37">
        <v>19751881.420000002</v>
      </c>
      <c r="K79" s="38">
        <v>43715271.060000002</v>
      </c>
      <c r="L79" s="37">
        <v>12369119.789999999</v>
      </c>
      <c r="M79" s="38">
        <v>13087936.960000001</v>
      </c>
      <c r="N79" s="37">
        <v>27716075.960000001</v>
      </c>
      <c r="O79" s="38">
        <v>515140.48999999976</v>
      </c>
      <c r="P79" s="39"/>
      <c r="Q79" s="39"/>
      <c r="R79" s="39"/>
    </row>
    <row r="80" spans="2:18" ht="13.9" hidden="1" customHeight="1" outlineLevel="1" x14ac:dyDescent="0.25">
      <c r="B80" s="40"/>
      <c r="C80" s="36" t="s">
        <v>55</v>
      </c>
      <c r="D80" s="37">
        <v>733937</v>
      </c>
      <c r="E80" s="38">
        <v>30409248.800000001</v>
      </c>
      <c r="F80" s="37">
        <v>58670164.680000022</v>
      </c>
      <c r="G80" s="38">
        <v>284654977.51000005</v>
      </c>
      <c r="H80" s="37">
        <v>33008771.459999993</v>
      </c>
      <c r="I80" s="38">
        <v>129082371.33999999</v>
      </c>
      <c r="J80" s="37">
        <v>1508337.26</v>
      </c>
      <c r="K80" s="38">
        <v>3307881.09</v>
      </c>
      <c r="L80" s="37">
        <v>831090.88</v>
      </c>
      <c r="M80" s="38">
        <v>1208860.3199999998</v>
      </c>
      <c r="N80" s="37">
        <v>0</v>
      </c>
      <c r="O80" s="38">
        <v>0</v>
      </c>
      <c r="P80" s="39"/>
      <c r="Q80" s="39"/>
      <c r="R80" s="39"/>
    </row>
    <row r="81" spans="2:18" ht="13.9" hidden="1" customHeight="1" outlineLevel="1" x14ac:dyDescent="0.25">
      <c r="B81" s="40"/>
      <c r="C81" s="36" t="s">
        <v>56</v>
      </c>
      <c r="D81" s="37">
        <v>1166178.6200000001</v>
      </c>
      <c r="E81" s="38">
        <v>55941012.520000003</v>
      </c>
      <c r="F81" s="37">
        <v>64313223.250000015</v>
      </c>
      <c r="G81" s="38">
        <v>411998172.37999988</v>
      </c>
      <c r="H81" s="37">
        <v>18571464.210000005</v>
      </c>
      <c r="I81" s="38">
        <v>73611533.710000008</v>
      </c>
      <c r="J81" s="37">
        <v>641495.98</v>
      </c>
      <c r="K81" s="38">
        <v>1477591.8199999998</v>
      </c>
      <c r="L81" s="37">
        <v>2507986.2400000002</v>
      </c>
      <c r="M81" s="38">
        <v>2818614.76</v>
      </c>
      <c r="N81" s="37">
        <v>0</v>
      </c>
      <c r="O81" s="38">
        <v>0</v>
      </c>
      <c r="P81" s="39"/>
      <c r="Q81" s="39"/>
      <c r="R81" s="39"/>
    </row>
    <row r="82" spans="2:18" ht="13.9" hidden="1" customHeight="1" outlineLevel="1" x14ac:dyDescent="0.25">
      <c r="B82" s="40"/>
      <c r="C82" s="36" t="s">
        <v>57</v>
      </c>
      <c r="D82" s="37">
        <v>0</v>
      </c>
      <c r="E82" s="38">
        <v>0</v>
      </c>
      <c r="F82" s="37">
        <v>10000115.82</v>
      </c>
      <c r="G82" s="38">
        <v>89865303.25999999</v>
      </c>
      <c r="H82" s="37">
        <v>3162850</v>
      </c>
      <c r="I82" s="38">
        <v>12649319.98</v>
      </c>
      <c r="J82" s="37">
        <v>0</v>
      </c>
      <c r="K82" s="38">
        <v>0</v>
      </c>
      <c r="L82" s="37">
        <v>0</v>
      </c>
      <c r="M82" s="38">
        <v>0</v>
      </c>
      <c r="N82" s="37">
        <v>1449824598.9399998</v>
      </c>
      <c r="O82" s="38">
        <v>1293335.2699999977</v>
      </c>
      <c r="P82" s="39"/>
      <c r="Q82" s="39"/>
      <c r="R82" s="39"/>
    </row>
    <row r="83" spans="2:18" ht="13.9" hidden="1" customHeight="1" outlineLevel="1" x14ac:dyDescent="0.25">
      <c r="B83" s="40"/>
      <c r="C83" s="36" t="s">
        <v>58</v>
      </c>
      <c r="D83" s="37">
        <v>181338</v>
      </c>
      <c r="E83" s="38">
        <v>12531077.100000001</v>
      </c>
      <c r="F83" s="37">
        <v>46719939.030000001</v>
      </c>
      <c r="G83" s="38">
        <v>217447577.44999999</v>
      </c>
      <c r="H83" s="37">
        <v>90583369.870000005</v>
      </c>
      <c r="I83" s="38">
        <v>355896711.42999977</v>
      </c>
      <c r="J83" s="37">
        <v>5051252.7</v>
      </c>
      <c r="K83" s="38">
        <v>11228585.100000001</v>
      </c>
      <c r="L83" s="37">
        <v>5000437.62</v>
      </c>
      <c r="M83" s="38">
        <v>5833831.8300000001</v>
      </c>
      <c r="N83" s="37">
        <v>15155496.1</v>
      </c>
      <c r="O83" s="38">
        <v>0</v>
      </c>
      <c r="P83" s="39"/>
      <c r="Q83" s="39"/>
      <c r="R83" s="39"/>
    </row>
    <row r="84" spans="2:18" ht="13.9" hidden="1" customHeight="1" outlineLevel="1" x14ac:dyDescent="0.25">
      <c r="B84" s="40"/>
      <c r="C84" s="36" t="s">
        <v>59</v>
      </c>
      <c r="D84" s="37">
        <v>0</v>
      </c>
      <c r="E84" s="38">
        <v>2558460</v>
      </c>
      <c r="F84" s="37">
        <v>42632901.829999998</v>
      </c>
      <c r="G84" s="38">
        <v>201268946.03999993</v>
      </c>
      <c r="H84" s="37">
        <v>106907640.14000006</v>
      </c>
      <c r="I84" s="38">
        <v>411790027.63999999</v>
      </c>
      <c r="J84" s="37">
        <v>8139387.9700000007</v>
      </c>
      <c r="K84" s="38">
        <v>18592268.18</v>
      </c>
      <c r="L84" s="37">
        <v>4746269.5600000005</v>
      </c>
      <c r="M84" s="38">
        <v>5604283.7400000002</v>
      </c>
      <c r="N84" s="37">
        <v>0</v>
      </c>
      <c r="O84" s="38">
        <v>0</v>
      </c>
      <c r="P84" s="39"/>
      <c r="Q84" s="39"/>
      <c r="R84" s="39"/>
    </row>
    <row r="85" spans="2:18" ht="13.9" hidden="1" customHeight="1" outlineLevel="1" x14ac:dyDescent="0.25">
      <c r="B85" s="40"/>
      <c r="C85" s="36" t="s">
        <v>60</v>
      </c>
      <c r="D85" s="37">
        <v>120000</v>
      </c>
      <c r="E85" s="38">
        <v>21733311.59</v>
      </c>
      <c r="F85" s="37">
        <v>49917804.479999989</v>
      </c>
      <c r="G85" s="38">
        <v>380429081.33000004</v>
      </c>
      <c r="H85" s="37">
        <v>13620447.850000001</v>
      </c>
      <c r="I85" s="38">
        <v>54367139.649999999</v>
      </c>
      <c r="J85" s="37">
        <v>0</v>
      </c>
      <c r="K85" s="38">
        <v>0</v>
      </c>
      <c r="L85" s="37">
        <v>4165739</v>
      </c>
      <c r="M85" s="38">
        <v>4051145.5</v>
      </c>
      <c r="N85" s="37">
        <v>0</v>
      </c>
      <c r="O85" s="38">
        <v>0</v>
      </c>
      <c r="P85" s="39"/>
      <c r="Q85" s="39"/>
      <c r="R85" s="39"/>
    </row>
    <row r="86" spans="2:18" ht="13.9" hidden="1" customHeight="1" outlineLevel="1" x14ac:dyDescent="0.25">
      <c r="B86" s="40"/>
      <c r="C86" s="36" t="s">
        <v>61</v>
      </c>
      <c r="D86" s="37">
        <v>1136336</v>
      </c>
      <c r="E86" s="38">
        <v>38423173.5</v>
      </c>
      <c r="F86" s="37">
        <v>40108499.039999999</v>
      </c>
      <c r="G86" s="38">
        <v>268758460.06</v>
      </c>
      <c r="H86" s="37">
        <v>26332342.600000001</v>
      </c>
      <c r="I86" s="38">
        <v>105041324.90000001</v>
      </c>
      <c r="J86" s="37">
        <v>1207173</v>
      </c>
      <c r="K86" s="38">
        <v>2788734.5</v>
      </c>
      <c r="L86" s="37">
        <v>0</v>
      </c>
      <c r="M86" s="38">
        <v>0</v>
      </c>
      <c r="N86" s="37">
        <v>0</v>
      </c>
      <c r="O86" s="38">
        <v>0</v>
      </c>
      <c r="P86" s="39"/>
      <c r="Q86" s="39"/>
      <c r="R86" s="39"/>
    </row>
    <row r="87" spans="2:18" ht="13.9" hidden="1" customHeight="1" outlineLevel="1" x14ac:dyDescent="0.25">
      <c r="B87" s="40"/>
      <c r="C87" s="36" t="s">
        <v>62</v>
      </c>
      <c r="D87" s="37">
        <v>819698</v>
      </c>
      <c r="E87" s="38">
        <v>22800610.25</v>
      </c>
      <c r="F87" s="37">
        <v>11089173.32</v>
      </c>
      <c r="G87" s="38">
        <v>61845893.18</v>
      </c>
      <c r="H87" s="37">
        <v>8186328.0800000001</v>
      </c>
      <c r="I87" s="38">
        <v>31745178.920000002</v>
      </c>
      <c r="J87" s="37">
        <v>0</v>
      </c>
      <c r="K87" s="38">
        <v>0</v>
      </c>
      <c r="L87" s="37">
        <v>0</v>
      </c>
      <c r="M87" s="38">
        <v>0</v>
      </c>
      <c r="N87" s="37">
        <v>0</v>
      </c>
      <c r="O87" s="38">
        <v>0</v>
      </c>
      <c r="P87" s="39"/>
      <c r="Q87" s="39"/>
      <c r="R87" s="39"/>
    </row>
    <row r="88" spans="2:18" ht="13.9" hidden="1" customHeight="1" outlineLevel="1" x14ac:dyDescent="0.25">
      <c r="B88" s="40"/>
      <c r="C88" s="36" t="s">
        <v>63</v>
      </c>
      <c r="D88" s="37">
        <v>1717866</v>
      </c>
      <c r="E88" s="38">
        <v>87166553.920000002</v>
      </c>
      <c r="F88" s="37">
        <v>16825579.060000002</v>
      </c>
      <c r="G88" s="38">
        <v>133088319.93999998</v>
      </c>
      <c r="H88" s="37">
        <v>5581219.96</v>
      </c>
      <c r="I88" s="38">
        <v>22259596.540000003</v>
      </c>
      <c r="J88" s="37">
        <v>0</v>
      </c>
      <c r="K88" s="38">
        <v>0</v>
      </c>
      <c r="L88" s="37">
        <v>4474347.3</v>
      </c>
      <c r="M88" s="38">
        <v>5158675.2</v>
      </c>
      <c r="N88" s="37">
        <v>0</v>
      </c>
      <c r="O88" s="38">
        <v>0</v>
      </c>
      <c r="P88" s="39"/>
      <c r="Q88" s="39"/>
      <c r="R88" s="39"/>
    </row>
    <row r="89" spans="2:18" ht="13.9" hidden="1" customHeight="1" outlineLevel="1" x14ac:dyDescent="0.25">
      <c r="B89" s="40"/>
      <c r="C89" s="36" t="s">
        <v>64</v>
      </c>
      <c r="D89" s="37">
        <v>77776.73</v>
      </c>
      <c r="E89" s="38">
        <v>3453873.27</v>
      </c>
      <c r="F89" s="37">
        <v>1250297.56</v>
      </c>
      <c r="G89" s="38">
        <v>7304379.7400000002</v>
      </c>
      <c r="H89" s="37">
        <v>8205750.4699999988</v>
      </c>
      <c r="I89" s="38">
        <v>25868852.080000002</v>
      </c>
      <c r="J89" s="37">
        <v>39049142.310000002</v>
      </c>
      <c r="K89" s="38">
        <v>66806196.879999995</v>
      </c>
      <c r="L89" s="37">
        <v>275324387.49999994</v>
      </c>
      <c r="M89" s="38">
        <v>315189122.91000003</v>
      </c>
      <c r="N89" s="37">
        <v>577845639.98000026</v>
      </c>
      <c r="O89" s="38">
        <v>215198526.04999992</v>
      </c>
      <c r="P89" s="39"/>
      <c r="Q89" s="39"/>
      <c r="R89" s="39"/>
    </row>
    <row r="90" spans="2:18" ht="13.9" hidden="1" customHeight="1" outlineLevel="1" x14ac:dyDescent="0.25">
      <c r="B90" s="40"/>
      <c r="C90" s="36" t="s">
        <v>65</v>
      </c>
      <c r="D90" s="37">
        <v>0</v>
      </c>
      <c r="E90" s="38">
        <v>0</v>
      </c>
      <c r="F90" s="37">
        <v>0</v>
      </c>
      <c r="G90" s="38">
        <v>0</v>
      </c>
      <c r="H90" s="37">
        <v>0</v>
      </c>
      <c r="I90" s="38">
        <v>0</v>
      </c>
      <c r="J90" s="37">
        <v>0</v>
      </c>
      <c r="K90" s="38">
        <v>0</v>
      </c>
      <c r="L90" s="37">
        <v>0</v>
      </c>
      <c r="M90" s="38">
        <v>0</v>
      </c>
      <c r="N90" s="37">
        <v>799573888.9600004</v>
      </c>
      <c r="O90" s="38">
        <v>958131.20999999787</v>
      </c>
      <c r="P90" s="39"/>
      <c r="Q90" s="39"/>
      <c r="R90" s="39"/>
    </row>
    <row r="91" spans="2:18" ht="13.9" hidden="1" customHeight="1" outlineLevel="1" x14ac:dyDescent="0.25">
      <c r="B91" s="40"/>
      <c r="C91" s="36" t="s">
        <v>66</v>
      </c>
      <c r="D91" s="37">
        <v>0</v>
      </c>
      <c r="E91" s="38">
        <v>0</v>
      </c>
      <c r="F91" s="37">
        <v>0</v>
      </c>
      <c r="G91" s="38">
        <v>0</v>
      </c>
      <c r="H91" s="37">
        <v>0</v>
      </c>
      <c r="I91" s="38">
        <v>0</v>
      </c>
      <c r="J91" s="37">
        <v>519119.88</v>
      </c>
      <c r="K91" s="38">
        <v>778679.84</v>
      </c>
      <c r="L91" s="37">
        <v>0</v>
      </c>
      <c r="M91" s="38">
        <v>0</v>
      </c>
      <c r="N91" s="37">
        <v>802732453.50000012</v>
      </c>
      <c r="O91" s="38">
        <v>1528847.7000000011</v>
      </c>
      <c r="P91" s="39"/>
      <c r="Q91" s="39"/>
      <c r="R91" s="39"/>
    </row>
    <row r="92" spans="2:18" ht="13.9" hidden="1" customHeight="1" outlineLevel="1" x14ac:dyDescent="0.25">
      <c r="B92" s="40"/>
      <c r="C92" s="36" t="s">
        <v>67</v>
      </c>
      <c r="D92" s="37">
        <v>0</v>
      </c>
      <c r="E92" s="38">
        <v>0</v>
      </c>
      <c r="F92" s="37">
        <v>3855576.5000000005</v>
      </c>
      <c r="G92" s="38">
        <v>19764773.5</v>
      </c>
      <c r="H92" s="37">
        <v>1934165.6</v>
      </c>
      <c r="I92" s="38">
        <v>6031059.4000000004</v>
      </c>
      <c r="J92" s="37">
        <v>5185265</v>
      </c>
      <c r="K92" s="38">
        <v>7977246</v>
      </c>
      <c r="L92" s="37">
        <v>206826056.26999995</v>
      </c>
      <c r="M92" s="38">
        <v>164570628.93000001</v>
      </c>
      <c r="N92" s="37">
        <v>436206347.71999991</v>
      </c>
      <c r="O92" s="38">
        <v>155213075.11000001</v>
      </c>
      <c r="P92" s="39"/>
      <c r="Q92" s="39"/>
      <c r="R92" s="39"/>
    </row>
    <row r="93" spans="2:18" ht="13.9" customHeight="1" collapsed="1" x14ac:dyDescent="0.25">
      <c r="B93" s="43"/>
      <c r="C93" s="29" t="s">
        <v>68</v>
      </c>
      <c r="D93" s="44">
        <f t="shared" ref="D93:O93" si="4">SUM(D56:D92)</f>
        <v>11478337.210000001</v>
      </c>
      <c r="E93" s="45">
        <f t="shared" si="4"/>
        <v>479709809.82999998</v>
      </c>
      <c r="F93" s="46">
        <f t="shared" si="4"/>
        <v>1173114098.9099998</v>
      </c>
      <c r="G93" s="47">
        <f t="shared" si="4"/>
        <v>6308708293.8900003</v>
      </c>
      <c r="H93" s="44">
        <f t="shared" si="4"/>
        <v>2743721867.25</v>
      </c>
      <c r="I93" s="45">
        <f t="shared" si="4"/>
        <v>8879740590.4139957</v>
      </c>
      <c r="J93" s="46">
        <f t="shared" si="4"/>
        <v>2754050283.9100008</v>
      </c>
      <c r="K93" s="47">
        <f t="shared" si="4"/>
        <v>5572354573.0400019</v>
      </c>
      <c r="L93" s="44">
        <f t="shared" si="4"/>
        <v>8286254621.2200022</v>
      </c>
      <c r="M93" s="45">
        <f t="shared" si="4"/>
        <v>7986448789.5300035</v>
      </c>
      <c r="N93" s="44">
        <f t="shared" si="4"/>
        <v>25308545780.52</v>
      </c>
      <c r="O93" s="45">
        <f t="shared" si="4"/>
        <v>5071644282.7614985</v>
      </c>
      <c r="P93" s="39"/>
      <c r="Q93" s="39"/>
      <c r="R93" s="39"/>
    </row>
    <row r="94" spans="2:18" ht="13.9" hidden="1" customHeight="1" outlineLevel="1" x14ac:dyDescent="0.25">
      <c r="B94" s="35" t="s">
        <v>83</v>
      </c>
      <c r="C94" s="36" t="s">
        <v>70</v>
      </c>
      <c r="D94" s="37">
        <v>671604.9</v>
      </c>
      <c r="E94" s="38">
        <v>42200958.920000002</v>
      </c>
      <c r="F94" s="37">
        <v>69712358.890000001</v>
      </c>
      <c r="G94" s="38">
        <v>360681488.70999998</v>
      </c>
      <c r="H94" s="37">
        <v>273889409.66999996</v>
      </c>
      <c r="I94" s="38">
        <v>847638036.82000053</v>
      </c>
      <c r="J94" s="37">
        <v>626241607.89000022</v>
      </c>
      <c r="K94" s="38">
        <v>1147869218.2999976</v>
      </c>
      <c r="L94" s="37">
        <v>1085038074.7799995</v>
      </c>
      <c r="M94" s="38">
        <v>1380052195.2299991</v>
      </c>
      <c r="N94" s="37">
        <v>205608988.63999996</v>
      </c>
      <c r="O94" s="38">
        <v>63585116.619999953</v>
      </c>
      <c r="P94" s="39"/>
      <c r="Q94" s="39"/>
      <c r="R94" s="39"/>
    </row>
    <row r="95" spans="2:18" ht="13.9" hidden="1" customHeight="1" outlineLevel="1" x14ac:dyDescent="0.25">
      <c r="B95" s="40"/>
      <c r="C95" s="36" t="s">
        <v>71</v>
      </c>
      <c r="D95" s="37">
        <v>108000</v>
      </c>
      <c r="E95" s="38">
        <v>46626822.25</v>
      </c>
      <c r="F95" s="37">
        <v>126115901.98999999</v>
      </c>
      <c r="G95" s="38">
        <v>686200433.30999982</v>
      </c>
      <c r="H95" s="37">
        <v>144331481.31</v>
      </c>
      <c r="I95" s="38">
        <v>512784825.39999998</v>
      </c>
      <c r="J95" s="37">
        <v>175104585.79000002</v>
      </c>
      <c r="K95" s="38">
        <v>339812479.87</v>
      </c>
      <c r="L95" s="37">
        <v>220427822.87</v>
      </c>
      <c r="M95" s="38">
        <v>286047911.2299999</v>
      </c>
      <c r="N95" s="37">
        <v>45656275.009999998</v>
      </c>
      <c r="O95" s="38">
        <v>2.1900000013411045</v>
      </c>
      <c r="P95" s="39"/>
      <c r="Q95" s="39"/>
      <c r="R95" s="39"/>
    </row>
    <row r="96" spans="2:18" ht="13.9" hidden="1" customHeight="1" outlineLevel="1" x14ac:dyDescent="0.25">
      <c r="B96" s="40"/>
      <c r="C96" s="36" t="s">
        <v>72</v>
      </c>
      <c r="D96" s="37">
        <v>392882.86</v>
      </c>
      <c r="E96" s="38">
        <v>20775224.909999996</v>
      </c>
      <c r="F96" s="37">
        <v>91644527.059999943</v>
      </c>
      <c r="G96" s="38">
        <v>471086209.5199998</v>
      </c>
      <c r="H96" s="37">
        <v>225560060.8599999</v>
      </c>
      <c r="I96" s="38">
        <v>761010544.68000162</v>
      </c>
      <c r="J96" s="37">
        <v>229901958.74999991</v>
      </c>
      <c r="K96" s="38">
        <v>476887112.11000001</v>
      </c>
      <c r="L96" s="37">
        <v>134241315.40000004</v>
      </c>
      <c r="M96" s="38">
        <v>187889085.23999992</v>
      </c>
      <c r="N96" s="37">
        <v>29077128.629999999</v>
      </c>
      <c r="O96" s="38">
        <v>6275133.0099999988</v>
      </c>
      <c r="P96" s="39"/>
      <c r="Q96" s="39"/>
      <c r="R96" s="39"/>
    </row>
    <row r="97" spans="2:21" ht="13.9" customHeight="1" collapsed="1" x14ac:dyDescent="0.25">
      <c r="B97" s="43"/>
      <c r="C97" s="29" t="s">
        <v>73</v>
      </c>
      <c r="D97" s="44">
        <f t="shared" ref="D97:O97" si="5">SUM(D94:D96)</f>
        <v>1172487.76</v>
      </c>
      <c r="E97" s="45">
        <f t="shared" si="5"/>
        <v>109603006.08</v>
      </c>
      <c r="F97" s="46">
        <f t="shared" si="5"/>
        <v>287472787.93999994</v>
      </c>
      <c r="G97" s="47">
        <f t="shared" si="5"/>
        <v>1517968131.5399995</v>
      </c>
      <c r="H97" s="44">
        <f t="shared" si="5"/>
        <v>643780951.83999991</v>
      </c>
      <c r="I97" s="45">
        <f t="shared" si="5"/>
        <v>2121433406.900002</v>
      </c>
      <c r="J97" s="46">
        <f t="shared" si="5"/>
        <v>1031248152.4300002</v>
      </c>
      <c r="K97" s="47">
        <f t="shared" si="5"/>
        <v>1964568810.2799978</v>
      </c>
      <c r="L97" s="44">
        <f t="shared" si="5"/>
        <v>1439707213.0499997</v>
      </c>
      <c r="M97" s="45">
        <f t="shared" si="5"/>
        <v>1853989191.6999991</v>
      </c>
      <c r="N97" s="44">
        <f t="shared" si="5"/>
        <v>280342392.27999997</v>
      </c>
      <c r="O97" s="45">
        <f t="shared" si="5"/>
        <v>69860251.819999963</v>
      </c>
      <c r="P97" s="39"/>
      <c r="Q97" s="39"/>
      <c r="R97" s="39"/>
    </row>
    <row r="98" spans="2:21" ht="13.9" hidden="1" customHeight="1" outlineLevel="1" x14ac:dyDescent="0.25">
      <c r="B98" s="35" t="s">
        <v>74</v>
      </c>
      <c r="C98" s="36" t="s">
        <v>75</v>
      </c>
      <c r="D98" s="37">
        <v>24350</v>
      </c>
      <c r="E98" s="38">
        <v>1191564.42</v>
      </c>
      <c r="F98" s="37">
        <v>8900405.1100000013</v>
      </c>
      <c r="G98" s="38">
        <v>48276783.049999997</v>
      </c>
      <c r="H98" s="37">
        <v>21007676.440000001</v>
      </c>
      <c r="I98" s="38">
        <v>82229092.550000027</v>
      </c>
      <c r="J98" s="37">
        <v>1116453.97</v>
      </c>
      <c r="K98" s="38">
        <v>2197671.0300000003</v>
      </c>
      <c r="L98" s="37">
        <v>1001695.11</v>
      </c>
      <c r="M98" s="38">
        <v>1478769.37</v>
      </c>
      <c r="N98" s="37">
        <v>1517197.65</v>
      </c>
      <c r="O98" s="38">
        <v>952233.28999999992</v>
      </c>
      <c r="P98" s="39"/>
      <c r="Q98" s="39"/>
      <c r="R98" s="39"/>
    </row>
    <row r="99" spans="2:21" ht="13.9" hidden="1" customHeight="1" outlineLevel="1" x14ac:dyDescent="0.25">
      <c r="B99" s="40"/>
      <c r="C99" s="36" t="s">
        <v>76</v>
      </c>
      <c r="D99" s="37">
        <v>102141.5</v>
      </c>
      <c r="E99" s="38">
        <v>6395310.5099999998</v>
      </c>
      <c r="F99" s="37">
        <v>19444021.510000002</v>
      </c>
      <c r="G99" s="38">
        <v>100216355.61</v>
      </c>
      <c r="H99" s="37">
        <v>88886172.560000032</v>
      </c>
      <c r="I99" s="38">
        <v>287974953.16000015</v>
      </c>
      <c r="J99" s="37">
        <v>128786098.03000002</v>
      </c>
      <c r="K99" s="38">
        <v>295371262.06999981</v>
      </c>
      <c r="L99" s="37">
        <v>18767298.509999994</v>
      </c>
      <c r="M99" s="38">
        <v>23790348.720000003</v>
      </c>
      <c r="N99" s="37">
        <v>20741789.469999999</v>
      </c>
      <c r="O99" s="38">
        <v>4942445.7</v>
      </c>
      <c r="P99" s="39"/>
      <c r="Q99" s="39"/>
      <c r="R99" s="39"/>
    </row>
    <row r="100" spans="2:21" ht="13.9" customHeight="1" collapsed="1" x14ac:dyDescent="0.25">
      <c r="B100" s="43"/>
      <c r="C100" s="29" t="s">
        <v>77</v>
      </c>
      <c r="D100" s="44">
        <f t="shared" ref="D100:O100" si="6">SUM(D98:D99)</f>
        <v>126491.5</v>
      </c>
      <c r="E100" s="45">
        <f t="shared" si="6"/>
        <v>7586874.9299999997</v>
      </c>
      <c r="F100" s="46">
        <f t="shared" si="6"/>
        <v>28344426.620000005</v>
      </c>
      <c r="G100" s="47">
        <f t="shared" si="6"/>
        <v>148493138.66</v>
      </c>
      <c r="H100" s="44">
        <f t="shared" si="6"/>
        <v>109893849.00000003</v>
      </c>
      <c r="I100" s="45">
        <f t="shared" si="6"/>
        <v>370204045.71000016</v>
      </c>
      <c r="J100" s="46">
        <f t="shared" si="6"/>
        <v>129902552.00000001</v>
      </c>
      <c r="K100" s="47">
        <f t="shared" si="6"/>
        <v>297568933.09999979</v>
      </c>
      <c r="L100" s="44">
        <f t="shared" si="6"/>
        <v>19768993.619999994</v>
      </c>
      <c r="M100" s="45">
        <f t="shared" si="6"/>
        <v>25269118.090000004</v>
      </c>
      <c r="N100" s="44">
        <f t="shared" si="6"/>
        <v>22258987.119999997</v>
      </c>
      <c r="O100" s="45">
        <f t="shared" si="6"/>
        <v>5894678.9900000002</v>
      </c>
      <c r="P100" s="48"/>
      <c r="Q100" s="48"/>
      <c r="R100" s="48"/>
    </row>
    <row r="101" spans="2:21" ht="13.9" customHeight="1" x14ac:dyDescent="0.25">
      <c r="B101" s="49" t="s">
        <v>78</v>
      </c>
      <c r="C101" s="50"/>
      <c r="D101" s="44">
        <f t="shared" ref="D101:O101" si="7">D100+D97+D93</f>
        <v>12777316.470000001</v>
      </c>
      <c r="E101" s="45">
        <f t="shared" si="7"/>
        <v>596899690.83999991</v>
      </c>
      <c r="F101" s="46">
        <f t="shared" si="7"/>
        <v>1488931313.4699998</v>
      </c>
      <c r="G101" s="47">
        <f t="shared" si="7"/>
        <v>7975169564.0900002</v>
      </c>
      <c r="H101" s="44">
        <f t="shared" si="7"/>
        <v>3497396668.0900002</v>
      </c>
      <c r="I101" s="45">
        <f t="shared" si="7"/>
        <v>11371378043.023998</v>
      </c>
      <c r="J101" s="46">
        <f t="shared" si="7"/>
        <v>3915200988.3400011</v>
      </c>
      <c r="K101" s="47">
        <f t="shared" si="7"/>
        <v>7834492316.4200001</v>
      </c>
      <c r="L101" s="44">
        <f t="shared" si="7"/>
        <v>9745730827.8900013</v>
      </c>
      <c r="M101" s="45">
        <f t="shared" si="7"/>
        <v>9865707099.3200035</v>
      </c>
      <c r="N101" s="44">
        <f t="shared" si="7"/>
        <v>25611147159.920002</v>
      </c>
      <c r="O101" s="45">
        <f t="shared" si="7"/>
        <v>5147399213.5714989</v>
      </c>
      <c r="P101" s="48"/>
      <c r="Q101" s="48"/>
      <c r="R101" s="48"/>
      <c r="T101" s="58"/>
      <c r="U101" s="58"/>
    </row>
    <row r="102" spans="2:21" ht="13.9" customHeight="1" x14ac:dyDescent="0.25"/>
    <row r="103" spans="2:21" ht="13.9" customHeight="1" x14ac:dyDescent="0.25">
      <c r="B103" s="59" t="s">
        <v>84</v>
      </c>
      <c r="C103" s="59"/>
    </row>
    <row r="104" spans="2:21" ht="13.9" customHeight="1" x14ac:dyDescent="0.25">
      <c r="B104" s="29" t="s">
        <v>26</v>
      </c>
      <c r="C104" s="29" t="s">
        <v>27</v>
      </c>
      <c r="D104" s="60" t="s">
        <v>28</v>
      </c>
      <c r="E104" s="61" t="s">
        <v>29</v>
      </c>
      <c r="F104" s="62" t="s">
        <v>85</v>
      </c>
      <c r="G104" s="63" t="s">
        <v>81</v>
      </c>
      <c r="H104" s="61" t="s">
        <v>82</v>
      </c>
      <c r="I104" s="63" t="s">
        <v>86</v>
      </c>
      <c r="J104" s="61" t="s">
        <v>87</v>
      </c>
      <c r="K104" s="63">
        <v>2026</v>
      </c>
      <c r="L104" s="63">
        <v>2027</v>
      </c>
      <c r="M104" s="61">
        <v>2028</v>
      </c>
      <c r="N104" s="63">
        <v>2029</v>
      </c>
      <c r="O104" s="61">
        <v>2030</v>
      </c>
      <c r="P104" s="63">
        <v>2031</v>
      </c>
    </row>
    <row r="105" spans="2:21" ht="13.9" hidden="1" customHeight="1" outlineLevel="1" x14ac:dyDescent="0.25">
      <c r="B105" s="35" t="s">
        <v>30</v>
      </c>
      <c r="C105" s="36" t="s">
        <v>31</v>
      </c>
      <c r="D105" s="37">
        <v>5</v>
      </c>
      <c r="E105" s="38">
        <v>8418097.4800000004</v>
      </c>
      <c r="F105" s="64">
        <f t="shared" ref="F105:F133" si="8">G105+I105</f>
        <v>3247462.8</v>
      </c>
      <c r="G105" s="64">
        <v>178635.03</v>
      </c>
      <c r="H105" s="38">
        <v>8239462.4499999993</v>
      </c>
      <c r="I105" s="64">
        <v>3068827.77</v>
      </c>
      <c r="J105" s="65">
        <f t="shared" ref="J105:J133" si="9">H105-I105</f>
        <v>5170634.68</v>
      </c>
      <c r="K105" s="64">
        <f t="shared" ref="K105:K148" si="10">MAX(J105-SUM(L105:P105),0)</f>
        <v>5170634.68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58"/>
    </row>
    <row r="106" spans="2:21" ht="13.9" hidden="1" customHeight="1" outlineLevel="1" x14ac:dyDescent="0.25">
      <c r="B106" s="40"/>
      <c r="C106" s="36" t="s">
        <v>32</v>
      </c>
      <c r="D106" s="37">
        <v>0</v>
      </c>
      <c r="E106" s="38">
        <v>0</v>
      </c>
      <c r="F106" s="64">
        <f t="shared" si="8"/>
        <v>0</v>
      </c>
      <c r="G106" s="64">
        <v>0</v>
      </c>
      <c r="H106" s="38">
        <v>0</v>
      </c>
      <c r="I106" s="64">
        <v>0</v>
      </c>
      <c r="J106" s="65">
        <f t="shared" si="9"/>
        <v>0</v>
      </c>
      <c r="K106" s="64">
        <f t="shared" si="10"/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58"/>
    </row>
    <row r="107" spans="2:21" ht="13.9" hidden="1" customHeight="1" outlineLevel="1" x14ac:dyDescent="0.25">
      <c r="B107" s="40"/>
      <c r="C107" s="36" t="s">
        <v>33</v>
      </c>
      <c r="D107" s="37">
        <v>2</v>
      </c>
      <c r="E107" s="38">
        <v>3577400.75</v>
      </c>
      <c r="F107" s="64">
        <f t="shared" si="8"/>
        <v>3166978.7199999997</v>
      </c>
      <c r="G107" s="64">
        <v>134439.29999999999</v>
      </c>
      <c r="H107" s="38">
        <v>3442961.45</v>
      </c>
      <c r="I107" s="64">
        <v>3032539.42</v>
      </c>
      <c r="J107" s="65">
        <f t="shared" si="9"/>
        <v>410422.03000000026</v>
      </c>
      <c r="K107" s="64">
        <f t="shared" si="10"/>
        <v>273614.69000000029</v>
      </c>
      <c r="L107" s="64">
        <v>136807.34</v>
      </c>
      <c r="M107" s="64">
        <v>0</v>
      </c>
      <c r="N107" s="64">
        <v>0</v>
      </c>
      <c r="O107" s="64">
        <v>0</v>
      </c>
      <c r="P107" s="64">
        <v>0</v>
      </c>
      <c r="Q107" s="58"/>
    </row>
    <row r="108" spans="2:21" ht="13.9" hidden="1" customHeight="1" outlineLevel="1" x14ac:dyDescent="0.25">
      <c r="B108" s="40"/>
      <c r="C108" s="36" t="s">
        <v>34</v>
      </c>
      <c r="D108" s="37">
        <v>0</v>
      </c>
      <c r="E108" s="38">
        <v>0</v>
      </c>
      <c r="F108" s="64">
        <f t="shared" si="8"/>
        <v>0</v>
      </c>
      <c r="G108" s="64">
        <v>0</v>
      </c>
      <c r="H108" s="38">
        <v>0</v>
      </c>
      <c r="I108" s="64">
        <v>0</v>
      </c>
      <c r="J108" s="65">
        <f t="shared" si="9"/>
        <v>0</v>
      </c>
      <c r="K108" s="64">
        <f t="shared" si="10"/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58"/>
    </row>
    <row r="109" spans="2:21" ht="13.9" hidden="1" customHeight="1" outlineLevel="1" x14ac:dyDescent="0.25">
      <c r="B109" s="40"/>
      <c r="C109" s="36" t="s">
        <v>35</v>
      </c>
      <c r="D109" s="37">
        <v>0</v>
      </c>
      <c r="E109" s="38">
        <v>0</v>
      </c>
      <c r="F109" s="64">
        <f t="shared" si="8"/>
        <v>0</v>
      </c>
      <c r="G109" s="64">
        <v>0</v>
      </c>
      <c r="H109" s="38">
        <v>0</v>
      </c>
      <c r="I109" s="64">
        <v>0</v>
      </c>
      <c r="J109" s="65">
        <f t="shared" si="9"/>
        <v>0</v>
      </c>
      <c r="K109" s="64">
        <f t="shared" si="10"/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58"/>
    </row>
    <row r="110" spans="2:21" ht="13.9" hidden="1" customHeight="1" outlineLevel="1" x14ac:dyDescent="0.25">
      <c r="B110" s="40"/>
      <c r="C110" s="36" t="s">
        <v>36</v>
      </c>
      <c r="D110" s="37">
        <v>0</v>
      </c>
      <c r="E110" s="38">
        <v>0</v>
      </c>
      <c r="F110" s="64">
        <f t="shared" si="8"/>
        <v>0</v>
      </c>
      <c r="G110" s="64">
        <v>0</v>
      </c>
      <c r="H110" s="38">
        <v>0</v>
      </c>
      <c r="I110" s="64">
        <v>0</v>
      </c>
      <c r="J110" s="65">
        <f t="shared" si="9"/>
        <v>0</v>
      </c>
      <c r="K110" s="64">
        <f t="shared" si="10"/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58"/>
    </row>
    <row r="111" spans="2:21" ht="13.9" hidden="1" customHeight="1" outlineLevel="1" x14ac:dyDescent="0.25">
      <c r="B111" s="40"/>
      <c r="C111" s="36" t="s">
        <v>37</v>
      </c>
      <c r="D111" s="37">
        <v>0</v>
      </c>
      <c r="E111" s="38">
        <v>0</v>
      </c>
      <c r="F111" s="64">
        <f t="shared" si="8"/>
        <v>0</v>
      </c>
      <c r="G111" s="64">
        <v>0</v>
      </c>
      <c r="H111" s="38">
        <v>0</v>
      </c>
      <c r="I111" s="64">
        <v>0</v>
      </c>
      <c r="J111" s="65">
        <f t="shared" si="9"/>
        <v>0</v>
      </c>
      <c r="K111" s="64">
        <f t="shared" si="10"/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58"/>
    </row>
    <row r="112" spans="2:21" ht="13.9" hidden="1" customHeight="1" outlineLevel="1" x14ac:dyDescent="0.25">
      <c r="B112" s="40"/>
      <c r="C112" s="36" t="s">
        <v>38</v>
      </c>
      <c r="D112" s="37">
        <v>0</v>
      </c>
      <c r="E112" s="38">
        <v>0</v>
      </c>
      <c r="F112" s="64">
        <f t="shared" si="8"/>
        <v>0</v>
      </c>
      <c r="G112" s="64">
        <v>0</v>
      </c>
      <c r="H112" s="38">
        <v>0</v>
      </c>
      <c r="I112" s="64">
        <v>0</v>
      </c>
      <c r="J112" s="65">
        <f t="shared" si="9"/>
        <v>0</v>
      </c>
      <c r="K112" s="64">
        <f t="shared" si="10"/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58"/>
    </row>
    <row r="113" spans="2:17" ht="13.9" hidden="1" customHeight="1" outlineLevel="1" x14ac:dyDescent="0.25">
      <c r="B113" s="40"/>
      <c r="C113" s="36" t="s">
        <v>39</v>
      </c>
      <c r="D113" s="37">
        <v>0</v>
      </c>
      <c r="E113" s="38">
        <v>0</v>
      </c>
      <c r="F113" s="64">
        <f t="shared" si="8"/>
        <v>0</v>
      </c>
      <c r="G113" s="64">
        <v>0</v>
      </c>
      <c r="H113" s="38">
        <v>0</v>
      </c>
      <c r="I113" s="64">
        <v>0</v>
      </c>
      <c r="J113" s="65">
        <f t="shared" si="9"/>
        <v>0</v>
      </c>
      <c r="K113" s="64">
        <f t="shared" si="10"/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58"/>
    </row>
    <row r="114" spans="2:17" ht="13.9" hidden="1" customHeight="1" outlineLevel="1" x14ac:dyDescent="0.25">
      <c r="B114" s="40"/>
      <c r="C114" s="36" t="s">
        <v>40</v>
      </c>
      <c r="D114" s="37">
        <v>0</v>
      </c>
      <c r="E114" s="38">
        <v>0</v>
      </c>
      <c r="F114" s="64">
        <f t="shared" si="8"/>
        <v>0</v>
      </c>
      <c r="G114" s="64">
        <v>0</v>
      </c>
      <c r="H114" s="38">
        <v>0</v>
      </c>
      <c r="I114" s="64">
        <v>0</v>
      </c>
      <c r="J114" s="65">
        <f t="shared" si="9"/>
        <v>0</v>
      </c>
      <c r="K114" s="64">
        <f t="shared" si="10"/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58"/>
    </row>
    <row r="115" spans="2:17" ht="13.9" hidden="1" customHeight="1" outlineLevel="1" x14ac:dyDescent="0.25">
      <c r="B115" s="40"/>
      <c r="C115" s="36" t="s">
        <v>41</v>
      </c>
      <c r="D115" s="37">
        <v>1</v>
      </c>
      <c r="E115" s="38">
        <v>1785113</v>
      </c>
      <c r="F115" s="64">
        <f t="shared" si="8"/>
        <v>1785113</v>
      </c>
      <c r="G115" s="64">
        <v>0</v>
      </c>
      <c r="H115" s="38">
        <v>1785113</v>
      </c>
      <c r="I115" s="64">
        <v>1785113</v>
      </c>
      <c r="J115" s="65">
        <f t="shared" si="9"/>
        <v>0</v>
      </c>
      <c r="K115" s="64">
        <f t="shared" si="10"/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58"/>
    </row>
    <row r="116" spans="2:17" ht="13.9" hidden="1" customHeight="1" outlineLevel="1" x14ac:dyDescent="0.25">
      <c r="B116" s="40"/>
      <c r="C116" s="36" t="s">
        <v>42</v>
      </c>
      <c r="D116" s="37">
        <v>6</v>
      </c>
      <c r="E116" s="38">
        <v>30867288.550000001</v>
      </c>
      <c r="F116" s="64">
        <f t="shared" si="8"/>
        <v>4344952.1400000006</v>
      </c>
      <c r="G116" s="64">
        <v>343513.44</v>
      </c>
      <c r="H116" s="38">
        <v>30523775.109999999</v>
      </c>
      <c r="I116" s="64">
        <v>4001438.7</v>
      </c>
      <c r="J116" s="65">
        <f t="shared" si="9"/>
        <v>26522336.41</v>
      </c>
      <c r="K116" s="64">
        <f t="shared" si="10"/>
        <v>4907426.0199999996</v>
      </c>
      <c r="L116" s="64">
        <v>21614910.390000001</v>
      </c>
      <c r="M116" s="64">
        <v>0</v>
      </c>
      <c r="N116" s="64">
        <v>0</v>
      </c>
      <c r="O116" s="64">
        <v>0</v>
      </c>
      <c r="P116" s="64">
        <v>0</v>
      </c>
      <c r="Q116" s="58"/>
    </row>
    <row r="117" spans="2:17" ht="13.9" hidden="1" customHeight="1" outlineLevel="1" x14ac:dyDescent="0.25">
      <c r="B117" s="40"/>
      <c r="C117" s="36" t="s">
        <v>43</v>
      </c>
      <c r="D117" s="37">
        <v>1</v>
      </c>
      <c r="E117" s="38">
        <v>5026055</v>
      </c>
      <c r="F117" s="64">
        <f t="shared" si="8"/>
        <v>1507816.5</v>
      </c>
      <c r="G117" s="64">
        <v>472599</v>
      </c>
      <c r="H117" s="38">
        <v>4553456</v>
      </c>
      <c r="I117" s="64">
        <v>1035217.5</v>
      </c>
      <c r="J117" s="65">
        <f t="shared" si="9"/>
        <v>3518238.5</v>
      </c>
      <c r="K117" s="64">
        <f t="shared" si="10"/>
        <v>3518238.5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58"/>
    </row>
    <row r="118" spans="2:17" ht="13.9" hidden="1" customHeight="1" outlineLevel="1" x14ac:dyDescent="0.25">
      <c r="B118" s="40"/>
      <c r="C118" s="36" t="s">
        <v>44</v>
      </c>
      <c r="D118" s="37">
        <v>8</v>
      </c>
      <c r="E118" s="38">
        <v>26379544.600000001</v>
      </c>
      <c r="F118" s="64">
        <f t="shared" si="8"/>
        <v>4589400.46</v>
      </c>
      <c r="G118" s="64">
        <v>755087</v>
      </c>
      <c r="H118" s="38">
        <v>25624457.600000001</v>
      </c>
      <c r="I118" s="64">
        <v>3834313.46</v>
      </c>
      <c r="J118" s="65">
        <f t="shared" si="9"/>
        <v>21790144.140000001</v>
      </c>
      <c r="K118" s="64">
        <f t="shared" si="10"/>
        <v>2297125.34</v>
      </c>
      <c r="L118" s="64">
        <v>4459460.8100000005</v>
      </c>
      <c r="M118" s="64">
        <v>15033557.99</v>
      </c>
      <c r="N118" s="64">
        <v>0</v>
      </c>
      <c r="O118" s="64">
        <v>0</v>
      </c>
      <c r="P118" s="64">
        <v>0</v>
      </c>
      <c r="Q118" s="58"/>
    </row>
    <row r="119" spans="2:17" ht="13.9" hidden="1" customHeight="1" outlineLevel="1" x14ac:dyDescent="0.25">
      <c r="B119" s="40"/>
      <c r="C119" s="36" t="s">
        <v>45</v>
      </c>
      <c r="D119" s="37">
        <v>19</v>
      </c>
      <c r="E119" s="38">
        <v>43377095.149999999</v>
      </c>
      <c r="F119" s="64">
        <f t="shared" si="8"/>
        <v>5525261.6100000013</v>
      </c>
      <c r="G119" s="64">
        <v>1083624.2</v>
      </c>
      <c r="H119" s="38">
        <v>42293470.949999996</v>
      </c>
      <c r="I119" s="64">
        <v>4441637.4100000011</v>
      </c>
      <c r="J119" s="65">
        <f t="shared" si="9"/>
        <v>37851833.539999992</v>
      </c>
      <c r="K119" s="64">
        <f t="shared" si="10"/>
        <v>3821454.5399999917</v>
      </c>
      <c r="L119" s="64">
        <v>4608730.5600000005</v>
      </c>
      <c r="M119" s="64">
        <v>5618743.3500000006</v>
      </c>
      <c r="N119" s="64">
        <v>8392758.5500000007</v>
      </c>
      <c r="O119" s="64">
        <v>15410146.539999999</v>
      </c>
      <c r="P119" s="64">
        <v>0</v>
      </c>
      <c r="Q119" s="58"/>
    </row>
    <row r="120" spans="2:17" ht="13.9" hidden="1" customHeight="1" outlineLevel="1" x14ac:dyDescent="0.25">
      <c r="B120" s="40"/>
      <c r="C120" s="36" t="s">
        <v>46</v>
      </c>
      <c r="D120" s="37">
        <v>3</v>
      </c>
      <c r="E120" s="38">
        <v>23742345</v>
      </c>
      <c r="F120" s="64">
        <f t="shared" si="8"/>
        <v>4985893</v>
      </c>
      <c r="G120" s="64">
        <v>502000</v>
      </c>
      <c r="H120" s="38">
        <v>23240345</v>
      </c>
      <c r="I120" s="64">
        <v>4483893</v>
      </c>
      <c r="J120" s="65">
        <f t="shared" si="9"/>
        <v>18756452</v>
      </c>
      <c r="K120" s="64">
        <f t="shared" si="10"/>
        <v>0</v>
      </c>
      <c r="L120" s="64">
        <v>4985893</v>
      </c>
      <c r="M120" s="64">
        <v>2492946.5</v>
      </c>
      <c r="N120" s="64">
        <v>2492946.5</v>
      </c>
      <c r="O120" s="64">
        <v>9971785</v>
      </c>
      <c r="P120" s="64">
        <v>0</v>
      </c>
      <c r="Q120" s="58"/>
    </row>
    <row r="121" spans="2:17" ht="13.9" hidden="1" customHeight="1" outlineLevel="1" x14ac:dyDescent="0.25">
      <c r="B121" s="40"/>
      <c r="C121" s="36" t="s">
        <v>47</v>
      </c>
      <c r="D121" s="37">
        <v>8</v>
      </c>
      <c r="E121" s="38">
        <v>14586126.309999999</v>
      </c>
      <c r="F121" s="64">
        <f t="shared" si="8"/>
        <v>2629019.1300000004</v>
      </c>
      <c r="G121" s="64">
        <v>371662.68</v>
      </c>
      <c r="H121" s="38">
        <v>14214463.629999999</v>
      </c>
      <c r="I121" s="64">
        <v>2257356.4500000002</v>
      </c>
      <c r="J121" s="65">
        <f t="shared" si="9"/>
        <v>11957107.18</v>
      </c>
      <c r="K121" s="64">
        <f t="shared" si="10"/>
        <v>11957107.18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58"/>
    </row>
    <row r="122" spans="2:17" ht="13.9" hidden="1" customHeight="1" outlineLevel="1" x14ac:dyDescent="0.25">
      <c r="B122" s="40"/>
      <c r="C122" s="36" t="s">
        <v>48</v>
      </c>
      <c r="D122" s="37">
        <v>1</v>
      </c>
      <c r="E122" s="38">
        <v>4967550</v>
      </c>
      <c r="F122" s="66">
        <f t="shared" si="8"/>
        <v>521593</v>
      </c>
      <c r="G122" s="64">
        <v>0</v>
      </c>
      <c r="H122" s="38">
        <v>4967550</v>
      </c>
      <c r="I122" s="64">
        <v>521593</v>
      </c>
      <c r="J122" s="65">
        <f t="shared" si="9"/>
        <v>4445957</v>
      </c>
      <c r="K122" s="64">
        <f t="shared" si="10"/>
        <v>794807</v>
      </c>
      <c r="L122" s="64">
        <v>3651150</v>
      </c>
      <c r="M122" s="64">
        <v>0</v>
      </c>
      <c r="N122" s="64">
        <v>0</v>
      </c>
      <c r="O122" s="64">
        <v>0</v>
      </c>
      <c r="P122" s="64">
        <v>0</v>
      </c>
      <c r="Q122" s="58"/>
    </row>
    <row r="123" spans="2:17" ht="13.9" hidden="1" customHeight="1" outlineLevel="1" x14ac:dyDescent="0.25">
      <c r="B123" s="40"/>
      <c r="C123" s="36" t="s">
        <v>49</v>
      </c>
      <c r="D123" s="37">
        <v>2</v>
      </c>
      <c r="E123" s="38">
        <v>3581000.5</v>
      </c>
      <c r="F123" s="66">
        <f t="shared" si="8"/>
        <v>1128015.1499999999</v>
      </c>
      <c r="G123" s="64">
        <v>71620.009999999995</v>
      </c>
      <c r="H123" s="38">
        <v>3509380.49</v>
      </c>
      <c r="I123" s="64">
        <v>1056395.1399999999</v>
      </c>
      <c r="J123" s="65">
        <f t="shared" si="9"/>
        <v>2452985.3500000006</v>
      </c>
      <c r="K123" s="64">
        <f t="shared" si="10"/>
        <v>948965.15000000037</v>
      </c>
      <c r="L123" s="64">
        <v>1504020.2000000002</v>
      </c>
      <c r="M123" s="64">
        <v>0</v>
      </c>
      <c r="N123" s="64">
        <v>0</v>
      </c>
      <c r="O123" s="64">
        <v>0</v>
      </c>
      <c r="P123" s="64">
        <v>0</v>
      </c>
      <c r="Q123" s="58"/>
    </row>
    <row r="124" spans="2:17" ht="13.9" hidden="1" customHeight="1" outlineLevel="1" x14ac:dyDescent="0.25">
      <c r="B124" s="40"/>
      <c r="C124" s="36" t="s">
        <v>50</v>
      </c>
      <c r="D124" s="37">
        <v>2</v>
      </c>
      <c r="E124" s="38">
        <v>13549939</v>
      </c>
      <c r="F124" s="66">
        <f t="shared" si="8"/>
        <v>1354993.9</v>
      </c>
      <c r="G124" s="64">
        <v>373845.64</v>
      </c>
      <c r="H124" s="38">
        <v>13176093.359999999</v>
      </c>
      <c r="I124" s="64">
        <v>981148.26</v>
      </c>
      <c r="J124" s="65">
        <f t="shared" si="9"/>
        <v>12194945.1</v>
      </c>
      <c r="K124" s="64">
        <f t="shared" si="10"/>
        <v>1354993.9000000004</v>
      </c>
      <c r="L124" s="64">
        <v>1354993.9</v>
      </c>
      <c r="M124" s="64">
        <v>1354993.9</v>
      </c>
      <c r="N124" s="64">
        <v>2348871.4</v>
      </c>
      <c r="O124" s="64">
        <v>1354993.9</v>
      </c>
      <c r="P124" s="64">
        <v>4426098.0999999996</v>
      </c>
      <c r="Q124" s="58"/>
    </row>
    <row r="125" spans="2:17" ht="13.9" hidden="1" customHeight="1" outlineLevel="1" x14ac:dyDescent="0.25">
      <c r="B125" s="40"/>
      <c r="C125" s="36" t="s">
        <v>51</v>
      </c>
      <c r="D125" s="37">
        <v>4</v>
      </c>
      <c r="E125" s="38">
        <v>8662893.4000000004</v>
      </c>
      <c r="F125" s="66">
        <f t="shared" si="8"/>
        <v>1378271.18</v>
      </c>
      <c r="G125" s="64">
        <v>230498.51</v>
      </c>
      <c r="H125" s="38">
        <v>8432394.8900000006</v>
      </c>
      <c r="I125" s="64">
        <v>1147772.67</v>
      </c>
      <c r="J125" s="65">
        <f t="shared" si="9"/>
        <v>7284622.2200000007</v>
      </c>
      <c r="K125" s="64">
        <f t="shared" si="10"/>
        <v>1017687.8400000008</v>
      </c>
      <c r="L125" s="64">
        <v>6266934.3799999999</v>
      </c>
      <c r="M125" s="64">
        <v>0</v>
      </c>
      <c r="N125" s="64">
        <v>0</v>
      </c>
      <c r="O125" s="64">
        <v>0</v>
      </c>
      <c r="P125" s="64">
        <v>0</v>
      </c>
      <c r="Q125" s="58"/>
    </row>
    <row r="126" spans="2:17" ht="13.9" hidden="1" customHeight="1" outlineLevel="1" x14ac:dyDescent="0.25">
      <c r="B126" s="40"/>
      <c r="C126" s="36" t="s">
        <v>52</v>
      </c>
      <c r="D126" s="37">
        <v>3</v>
      </c>
      <c r="E126" s="38">
        <v>7865099.5</v>
      </c>
      <c r="F126" s="66">
        <f t="shared" si="8"/>
        <v>1006405.5</v>
      </c>
      <c r="G126" s="64">
        <v>444111</v>
      </c>
      <c r="H126" s="38">
        <v>7420988.5</v>
      </c>
      <c r="I126" s="64">
        <v>562294.5</v>
      </c>
      <c r="J126" s="65">
        <f t="shared" si="9"/>
        <v>6858694</v>
      </c>
      <c r="K126" s="64">
        <f t="shared" si="10"/>
        <v>997329.3900000006</v>
      </c>
      <c r="L126" s="64">
        <v>786509.95</v>
      </c>
      <c r="M126" s="64">
        <v>795586.06</v>
      </c>
      <c r="N126" s="64">
        <v>4279268.5999999996</v>
      </c>
      <c r="O126" s="64">
        <v>0</v>
      </c>
      <c r="P126" s="64">
        <v>0</v>
      </c>
      <c r="Q126" s="58"/>
    </row>
    <row r="127" spans="2:17" ht="13.9" hidden="1" customHeight="1" outlineLevel="1" x14ac:dyDescent="0.25">
      <c r="B127" s="40"/>
      <c r="C127" s="36" t="s">
        <v>53</v>
      </c>
      <c r="D127" s="37">
        <v>4</v>
      </c>
      <c r="E127" s="38">
        <v>9481114.4000000004</v>
      </c>
      <c r="F127" s="66">
        <f t="shared" si="8"/>
        <v>1138121.96</v>
      </c>
      <c r="G127" s="64">
        <v>509571.05</v>
      </c>
      <c r="H127" s="38">
        <v>8971543.3499999996</v>
      </c>
      <c r="I127" s="64">
        <v>628550.91</v>
      </c>
      <c r="J127" s="65">
        <f t="shared" si="9"/>
        <v>8342992.4399999995</v>
      </c>
      <c r="K127" s="64">
        <f t="shared" si="10"/>
        <v>948111.43999999948</v>
      </c>
      <c r="L127" s="64">
        <v>1558965.68</v>
      </c>
      <c r="M127" s="64">
        <v>5835915.3200000003</v>
      </c>
      <c r="N127" s="64">
        <v>0</v>
      </c>
      <c r="O127" s="64">
        <v>0</v>
      </c>
      <c r="P127" s="64">
        <v>0</v>
      </c>
      <c r="Q127" s="58"/>
    </row>
    <row r="128" spans="2:17" ht="13.9" hidden="1" customHeight="1" outlineLevel="1" x14ac:dyDescent="0.25">
      <c r="B128" s="40"/>
      <c r="C128" s="36" t="s">
        <v>54</v>
      </c>
      <c r="D128" s="37">
        <v>2</v>
      </c>
      <c r="E128" s="38">
        <v>4351033.0999999996</v>
      </c>
      <c r="F128" s="66">
        <f t="shared" si="8"/>
        <v>435103.31</v>
      </c>
      <c r="G128" s="64">
        <v>54000</v>
      </c>
      <c r="H128" s="38">
        <v>4297033.0999999996</v>
      </c>
      <c r="I128" s="64">
        <v>381103.31</v>
      </c>
      <c r="J128" s="65">
        <f t="shared" si="9"/>
        <v>3915929.7899999996</v>
      </c>
      <c r="K128" s="64">
        <f t="shared" si="10"/>
        <v>605584.00999999978</v>
      </c>
      <c r="L128" s="64">
        <v>435103.31</v>
      </c>
      <c r="M128" s="64">
        <v>264622.61</v>
      </c>
      <c r="N128" s="64">
        <v>2610619.86</v>
      </c>
      <c r="O128" s="64">
        <v>0</v>
      </c>
      <c r="P128" s="64">
        <v>0</v>
      </c>
      <c r="Q128" s="58"/>
    </row>
    <row r="129" spans="2:18" ht="13.9" hidden="1" customHeight="1" outlineLevel="1" x14ac:dyDescent="0.25">
      <c r="B129" s="40"/>
      <c r="C129" s="36" t="s">
        <v>55</v>
      </c>
      <c r="D129" s="37">
        <v>11</v>
      </c>
      <c r="E129" s="38">
        <v>31143185.800000001</v>
      </c>
      <c r="F129" s="66">
        <f>G129+I129</f>
        <v>3108264.52</v>
      </c>
      <c r="G129" s="64">
        <v>733937</v>
      </c>
      <c r="H129" s="38">
        <v>30409248.800000001</v>
      </c>
      <c r="I129" s="64">
        <v>2374327.52</v>
      </c>
      <c r="J129" s="65">
        <f>H129-I129</f>
        <v>28034921.280000001</v>
      </c>
      <c r="K129" s="64">
        <f t="shared" si="10"/>
        <v>3527314.8200000003</v>
      </c>
      <c r="L129" s="64">
        <v>3320372.74</v>
      </c>
      <c r="M129" s="64">
        <v>2501322.2400000002</v>
      </c>
      <c r="N129" s="64">
        <v>3900479.38</v>
      </c>
      <c r="O129" s="64">
        <v>14785432.100000001</v>
      </c>
      <c r="P129" s="64">
        <v>0</v>
      </c>
      <c r="Q129" s="58"/>
    </row>
    <row r="130" spans="2:18" ht="13.9" hidden="1" customHeight="1" outlineLevel="1" x14ac:dyDescent="0.25">
      <c r="B130" s="40"/>
      <c r="C130" s="36" t="s">
        <v>56</v>
      </c>
      <c r="D130" s="37">
        <v>25</v>
      </c>
      <c r="E130" s="38">
        <v>57107191.140000008</v>
      </c>
      <c r="F130" s="66">
        <f>G130+I130</f>
        <v>6122644.4299999997</v>
      </c>
      <c r="G130" s="64">
        <v>1166178.6200000001</v>
      </c>
      <c r="H130" s="38">
        <v>55941012.520000003</v>
      </c>
      <c r="I130" s="64">
        <v>4956465.8099999996</v>
      </c>
      <c r="J130" s="65">
        <f>H130-I130</f>
        <v>50984546.710000001</v>
      </c>
      <c r="K130" s="64">
        <f t="shared" si="10"/>
        <v>6217906.1000000089</v>
      </c>
      <c r="L130" s="64">
        <v>5899998.1499999985</v>
      </c>
      <c r="M130" s="64">
        <v>4616171.79</v>
      </c>
      <c r="N130" s="64">
        <v>7112786.2599999979</v>
      </c>
      <c r="O130" s="64">
        <v>27137684.409999996</v>
      </c>
      <c r="P130" s="64">
        <v>0</v>
      </c>
      <c r="Q130" s="58"/>
    </row>
    <row r="131" spans="2:18" ht="13.9" hidden="1" customHeight="1" outlineLevel="1" x14ac:dyDescent="0.25">
      <c r="B131" s="40"/>
      <c r="C131" s="36" t="s">
        <v>57</v>
      </c>
      <c r="D131" s="37">
        <v>0</v>
      </c>
      <c r="E131" s="38">
        <v>0</v>
      </c>
      <c r="F131" s="66">
        <f>G131+I131</f>
        <v>0</v>
      </c>
      <c r="G131" s="64">
        <v>0</v>
      </c>
      <c r="H131" s="38">
        <v>0</v>
      </c>
      <c r="I131" s="64">
        <v>0</v>
      </c>
      <c r="J131" s="65">
        <f>H131-I131</f>
        <v>0</v>
      </c>
      <c r="K131" s="64">
        <f t="shared" si="10"/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58"/>
    </row>
    <row r="132" spans="2:18" ht="13.9" hidden="1" customHeight="1" outlineLevel="1" x14ac:dyDescent="0.25">
      <c r="B132" s="40"/>
      <c r="C132" s="36" t="s">
        <v>58</v>
      </c>
      <c r="D132" s="37">
        <v>5</v>
      </c>
      <c r="E132" s="38">
        <v>12712415.100000001</v>
      </c>
      <c r="F132" s="66">
        <f>G132+I132</f>
        <v>1778970.78</v>
      </c>
      <c r="G132" s="64">
        <v>181338</v>
      </c>
      <c r="H132" s="38">
        <v>12531077.100000001</v>
      </c>
      <c r="I132" s="64">
        <v>1597632.78</v>
      </c>
      <c r="J132" s="65">
        <f>H132-I132</f>
        <v>10933444.320000002</v>
      </c>
      <c r="K132" s="64">
        <f t="shared" si="10"/>
        <v>1277636.0200000014</v>
      </c>
      <c r="L132" s="64">
        <v>1271241.53</v>
      </c>
      <c r="M132" s="64">
        <v>757117.69</v>
      </c>
      <c r="N132" s="64">
        <v>7627449.0800000001</v>
      </c>
      <c r="O132" s="64">
        <v>0</v>
      </c>
      <c r="P132" s="64">
        <v>0</v>
      </c>
      <c r="Q132" s="58"/>
    </row>
    <row r="133" spans="2:18" ht="13.9" hidden="1" customHeight="1" outlineLevel="1" x14ac:dyDescent="0.25">
      <c r="B133" s="40"/>
      <c r="C133" s="36" t="s">
        <v>59</v>
      </c>
      <c r="D133" s="37">
        <v>1</v>
      </c>
      <c r="E133" s="38">
        <v>2558460</v>
      </c>
      <c r="F133" s="66">
        <f t="shared" si="8"/>
        <v>255846</v>
      </c>
      <c r="G133" s="64">
        <v>0</v>
      </c>
      <c r="H133" s="38">
        <v>2558460</v>
      </c>
      <c r="I133" s="64">
        <v>255846</v>
      </c>
      <c r="J133" s="65">
        <f t="shared" si="9"/>
        <v>2302614</v>
      </c>
      <c r="K133" s="64">
        <f t="shared" si="10"/>
        <v>511692</v>
      </c>
      <c r="L133" s="64">
        <v>255846</v>
      </c>
      <c r="M133" s="64">
        <v>0</v>
      </c>
      <c r="N133" s="64">
        <v>1535076</v>
      </c>
      <c r="O133" s="64">
        <v>0</v>
      </c>
      <c r="P133" s="64">
        <v>0</v>
      </c>
      <c r="Q133" s="58"/>
    </row>
    <row r="134" spans="2:18" ht="13.9" hidden="1" customHeight="1" outlineLevel="1" x14ac:dyDescent="0.25">
      <c r="B134" s="40"/>
      <c r="C134" s="36" t="s">
        <v>60</v>
      </c>
      <c r="D134" s="37">
        <v>5</v>
      </c>
      <c r="E134" s="38">
        <v>21853311.59</v>
      </c>
      <c r="F134" s="66">
        <f>G134+I134</f>
        <v>3159465.0999999996</v>
      </c>
      <c r="G134" s="64">
        <v>120000</v>
      </c>
      <c r="H134" s="38">
        <v>21733311.59</v>
      </c>
      <c r="I134" s="64">
        <v>3039465.0999999996</v>
      </c>
      <c r="J134" s="65">
        <f>H134-I134</f>
        <v>18693846.490000002</v>
      </c>
      <c r="K134" s="64">
        <f t="shared" si="10"/>
        <v>2591069.4600000009</v>
      </c>
      <c r="L134" s="64">
        <v>2990790.0800000005</v>
      </c>
      <c r="M134" s="64">
        <v>1948267.8800000001</v>
      </c>
      <c r="N134" s="64">
        <v>11163719.07</v>
      </c>
      <c r="O134" s="64">
        <v>0</v>
      </c>
      <c r="P134" s="64">
        <v>0</v>
      </c>
      <c r="Q134" s="58"/>
    </row>
    <row r="135" spans="2:18" ht="13.9" hidden="1" customHeight="1" outlineLevel="1" x14ac:dyDescent="0.25">
      <c r="B135" s="40"/>
      <c r="C135" s="36" t="s">
        <v>61</v>
      </c>
      <c r="D135" s="37">
        <v>6</v>
      </c>
      <c r="E135" s="38">
        <v>39559509.5</v>
      </c>
      <c r="F135" s="66">
        <f>G135+I135</f>
        <v>3955950.9699999997</v>
      </c>
      <c r="G135" s="64">
        <v>1136336</v>
      </c>
      <c r="H135" s="38">
        <v>38423173.5</v>
      </c>
      <c r="I135" s="64">
        <v>2819614.9699999997</v>
      </c>
      <c r="J135" s="65">
        <f>H135-I135</f>
        <v>35603558.530000001</v>
      </c>
      <c r="K135" s="64">
        <f t="shared" si="10"/>
        <v>6767003.5500000045</v>
      </c>
      <c r="L135" s="64">
        <v>4684899.0999999996</v>
      </c>
      <c r="M135" s="64">
        <v>4518558.0199999996</v>
      </c>
      <c r="N135" s="64">
        <v>19633097.859999999</v>
      </c>
      <c r="O135" s="64">
        <v>0</v>
      </c>
      <c r="P135" s="64">
        <v>0</v>
      </c>
      <c r="Q135" s="58"/>
    </row>
    <row r="136" spans="2:18" ht="13.9" hidden="1" customHeight="1" outlineLevel="1" x14ac:dyDescent="0.25">
      <c r="B136" s="40"/>
      <c r="C136" s="36" t="s">
        <v>62</v>
      </c>
      <c r="D136" s="37">
        <v>2</v>
      </c>
      <c r="E136" s="38">
        <v>23620308.25</v>
      </c>
      <c r="F136" s="66">
        <f>G136+I136</f>
        <v>3764431.83</v>
      </c>
      <c r="G136" s="64">
        <v>819698</v>
      </c>
      <c r="H136" s="38">
        <v>22800610.25</v>
      </c>
      <c r="I136" s="64">
        <v>2944733.83</v>
      </c>
      <c r="J136" s="65">
        <f>H136-I136</f>
        <v>19855876.420000002</v>
      </c>
      <c r="K136" s="64">
        <f t="shared" si="10"/>
        <v>2362030.8000000007</v>
      </c>
      <c r="L136" s="64">
        <v>3321660.66</v>
      </c>
      <c r="M136" s="64">
        <v>4724061.66</v>
      </c>
      <c r="N136" s="64">
        <v>9448123.3000000007</v>
      </c>
      <c r="O136" s="64">
        <v>0</v>
      </c>
      <c r="P136" s="64">
        <v>0</v>
      </c>
      <c r="Q136" s="58"/>
    </row>
    <row r="137" spans="2:18" ht="13.9" hidden="1" customHeight="1" outlineLevel="1" x14ac:dyDescent="0.25">
      <c r="B137" s="40"/>
      <c r="C137" s="36" t="s">
        <v>63</v>
      </c>
      <c r="D137" s="37">
        <v>20</v>
      </c>
      <c r="E137" s="38">
        <v>88884419.920000002</v>
      </c>
      <c r="F137" s="66">
        <f t="shared" ref="F137:F147" si="11">G137+I137</f>
        <v>8888441.9899999984</v>
      </c>
      <c r="G137" s="64">
        <v>1717866</v>
      </c>
      <c r="H137" s="38">
        <v>87166553.920000002</v>
      </c>
      <c r="I137" s="64">
        <v>7170575.9899999993</v>
      </c>
      <c r="J137" s="65">
        <f t="shared" ref="J137:J147" si="12">H137-I137</f>
        <v>79995977.930000007</v>
      </c>
      <c r="K137" s="64">
        <f t="shared" si="10"/>
        <v>12530000.799999997</v>
      </c>
      <c r="L137" s="64">
        <v>10869368.890000002</v>
      </c>
      <c r="M137" s="64">
        <v>9471582.7900000028</v>
      </c>
      <c r="N137" s="64">
        <v>47125025.450000003</v>
      </c>
      <c r="O137" s="64">
        <v>0</v>
      </c>
      <c r="P137" s="64">
        <v>0</v>
      </c>
      <c r="Q137" s="58"/>
    </row>
    <row r="138" spans="2:18" ht="13.9" hidden="1" customHeight="1" outlineLevel="1" x14ac:dyDescent="0.25">
      <c r="B138" s="40"/>
      <c r="C138" s="36" t="s">
        <v>64</v>
      </c>
      <c r="D138" s="37">
        <v>1</v>
      </c>
      <c r="E138" s="38">
        <v>3531650</v>
      </c>
      <c r="F138" s="66">
        <f t="shared" si="11"/>
        <v>741646</v>
      </c>
      <c r="G138" s="64">
        <v>77776.73</v>
      </c>
      <c r="H138" s="38">
        <v>3453873.27</v>
      </c>
      <c r="I138" s="64">
        <v>663869.27</v>
      </c>
      <c r="J138" s="65">
        <f t="shared" si="12"/>
        <v>2790004</v>
      </c>
      <c r="K138" s="64">
        <f t="shared" si="10"/>
        <v>2790004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58"/>
    </row>
    <row r="139" spans="2:18" ht="13.9" hidden="1" customHeight="1" outlineLevel="1" x14ac:dyDescent="0.25">
      <c r="B139" s="40"/>
      <c r="C139" s="36" t="s">
        <v>65</v>
      </c>
      <c r="D139" s="37">
        <v>0</v>
      </c>
      <c r="E139" s="38">
        <v>0</v>
      </c>
      <c r="F139" s="66">
        <f t="shared" si="11"/>
        <v>0</v>
      </c>
      <c r="G139" s="64">
        <v>0</v>
      </c>
      <c r="H139" s="38">
        <v>0</v>
      </c>
      <c r="I139" s="64">
        <v>0</v>
      </c>
      <c r="J139" s="65">
        <f t="shared" si="12"/>
        <v>0</v>
      </c>
      <c r="K139" s="64">
        <f t="shared" si="10"/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58"/>
    </row>
    <row r="140" spans="2:18" ht="13.9" hidden="1" customHeight="1" outlineLevel="1" x14ac:dyDescent="0.25">
      <c r="B140" s="40"/>
      <c r="C140" s="36" t="s">
        <v>66</v>
      </c>
      <c r="D140" s="37">
        <v>0</v>
      </c>
      <c r="E140" s="38">
        <v>0</v>
      </c>
      <c r="F140" s="66">
        <f t="shared" si="11"/>
        <v>0</v>
      </c>
      <c r="G140" s="64">
        <v>0</v>
      </c>
      <c r="H140" s="38">
        <v>0</v>
      </c>
      <c r="I140" s="64">
        <v>0</v>
      </c>
      <c r="J140" s="65">
        <f t="shared" si="12"/>
        <v>0</v>
      </c>
      <c r="K140" s="64">
        <f t="shared" si="10"/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58"/>
    </row>
    <row r="141" spans="2:18" ht="13.9" hidden="1" customHeight="1" outlineLevel="1" x14ac:dyDescent="0.25">
      <c r="B141" s="40"/>
      <c r="C141" s="36" t="s">
        <v>67</v>
      </c>
      <c r="D141" s="37">
        <v>0</v>
      </c>
      <c r="E141" s="38">
        <v>0</v>
      </c>
      <c r="F141" s="66">
        <f t="shared" si="11"/>
        <v>0</v>
      </c>
      <c r="G141" s="64">
        <v>0</v>
      </c>
      <c r="H141" s="38">
        <v>0</v>
      </c>
      <c r="I141" s="64">
        <v>0</v>
      </c>
      <c r="J141" s="65">
        <f t="shared" si="12"/>
        <v>0</v>
      </c>
      <c r="K141" s="64">
        <f t="shared" si="10"/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58"/>
    </row>
    <row r="142" spans="2:18" ht="13.9" customHeight="1" collapsed="1" x14ac:dyDescent="0.25">
      <c r="B142" s="43"/>
      <c r="C142" s="29" t="s">
        <v>68</v>
      </c>
      <c r="D142" s="44">
        <f t="shared" ref="D142:P142" si="13">SUM(D105:D141)</f>
        <v>147</v>
      </c>
      <c r="E142" s="45">
        <f t="shared" si="13"/>
        <v>491188147.04000002</v>
      </c>
      <c r="F142" s="46">
        <f t="shared" si="13"/>
        <v>70520062.980000004</v>
      </c>
      <c r="G142" s="47">
        <f t="shared" si="13"/>
        <v>11478337.210000001</v>
      </c>
      <c r="H142" s="44">
        <f t="shared" si="13"/>
        <v>479709809.82999998</v>
      </c>
      <c r="I142" s="45">
        <f t="shared" si="13"/>
        <v>59041725.770000011</v>
      </c>
      <c r="J142" s="46">
        <f t="shared" si="13"/>
        <v>420668084.05999994</v>
      </c>
      <c r="K142" s="47">
        <f t="shared" si="13"/>
        <v>77187737.230000004</v>
      </c>
      <c r="L142" s="44">
        <f t="shared" si="13"/>
        <v>83977656.670000002</v>
      </c>
      <c r="M142" s="45">
        <f t="shared" si="13"/>
        <v>59933447.799999997</v>
      </c>
      <c r="N142" s="44">
        <f t="shared" si="13"/>
        <v>127670221.31</v>
      </c>
      <c r="O142" s="45">
        <f t="shared" si="13"/>
        <v>68660041.949999988</v>
      </c>
      <c r="P142" s="45">
        <f t="shared" si="13"/>
        <v>4426098.0999999996</v>
      </c>
      <c r="Q142" s="39"/>
      <c r="R142" s="39"/>
    </row>
    <row r="143" spans="2:18" ht="13.9" hidden="1" customHeight="1" outlineLevel="1" x14ac:dyDescent="0.25">
      <c r="B143" s="35" t="s">
        <v>83</v>
      </c>
      <c r="C143" s="36" t="s">
        <v>70</v>
      </c>
      <c r="D143" s="37">
        <v>24</v>
      </c>
      <c r="E143" s="38">
        <v>42872563.82</v>
      </c>
      <c r="F143" s="66">
        <f t="shared" si="11"/>
        <v>4783493.1100000003</v>
      </c>
      <c r="G143" s="64">
        <v>671604.9</v>
      </c>
      <c r="H143" s="38">
        <v>42200958.920000002</v>
      </c>
      <c r="I143" s="64">
        <v>4111888.21</v>
      </c>
      <c r="J143" s="65">
        <f t="shared" si="12"/>
        <v>38089070.710000001</v>
      </c>
      <c r="K143" s="64">
        <f t="shared" si="10"/>
        <v>6687940.6100000031</v>
      </c>
      <c r="L143" s="64">
        <v>8260659.1799999997</v>
      </c>
      <c r="M143" s="64">
        <v>2606454.3299999996</v>
      </c>
      <c r="N143" s="64">
        <v>5293862.2100000009</v>
      </c>
      <c r="O143" s="64">
        <v>15240154.379999997</v>
      </c>
      <c r="P143" s="64">
        <v>0</v>
      </c>
      <c r="Q143" s="58"/>
    </row>
    <row r="144" spans="2:18" ht="13.9" hidden="1" customHeight="1" outlineLevel="1" x14ac:dyDescent="0.25">
      <c r="B144" s="40"/>
      <c r="C144" s="36" t="s">
        <v>71</v>
      </c>
      <c r="D144" s="37">
        <v>3</v>
      </c>
      <c r="E144" s="38">
        <v>46734822.25</v>
      </c>
      <c r="F144" s="66">
        <f t="shared" si="11"/>
        <v>5027563.09</v>
      </c>
      <c r="G144" s="64">
        <v>108000</v>
      </c>
      <c r="H144" s="38">
        <v>46626822.25</v>
      </c>
      <c r="I144" s="64">
        <v>4919563.09</v>
      </c>
      <c r="J144" s="65">
        <f t="shared" si="12"/>
        <v>41707259.159999996</v>
      </c>
      <c r="K144" s="64">
        <f t="shared" si="10"/>
        <v>5027563.0699999928</v>
      </c>
      <c r="L144" s="64">
        <v>8638802.7400000002</v>
      </c>
      <c r="M144" s="64">
        <v>28040893.350000001</v>
      </c>
      <c r="N144" s="64">
        <v>0</v>
      </c>
      <c r="O144" s="64">
        <v>0</v>
      </c>
      <c r="P144" s="64">
        <v>0</v>
      </c>
      <c r="Q144" s="58"/>
    </row>
    <row r="145" spans="2:18" ht="13.9" hidden="1" customHeight="1" outlineLevel="1" x14ac:dyDescent="0.25">
      <c r="B145" s="40"/>
      <c r="C145" s="36" t="s">
        <v>72</v>
      </c>
      <c r="D145" s="37">
        <v>12</v>
      </c>
      <c r="E145" s="38">
        <v>21168107.77</v>
      </c>
      <c r="F145" s="66">
        <f t="shared" si="11"/>
        <v>2116810.7800000003</v>
      </c>
      <c r="G145" s="64">
        <v>392882.86</v>
      </c>
      <c r="H145" s="38">
        <v>20775224.909999996</v>
      </c>
      <c r="I145" s="64">
        <v>1723927.9200000002</v>
      </c>
      <c r="J145" s="65">
        <f t="shared" si="12"/>
        <v>19051296.989999995</v>
      </c>
      <c r="K145" s="64">
        <f t="shared" si="10"/>
        <v>3047271.519999994</v>
      </c>
      <c r="L145" s="64">
        <v>3924803.54</v>
      </c>
      <c r="M145" s="64">
        <v>1732320.41</v>
      </c>
      <c r="N145" s="64">
        <v>6394896.4500000002</v>
      </c>
      <c r="O145" s="64">
        <v>3952005.0700000003</v>
      </c>
      <c r="P145" s="64">
        <v>0</v>
      </c>
      <c r="Q145" s="58"/>
    </row>
    <row r="146" spans="2:18" ht="13.9" customHeight="1" collapsed="1" x14ac:dyDescent="0.25">
      <c r="B146" s="43"/>
      <c r="C146" s="29" t="s">
        <v>73</v>
      </c>
      <c r="D146" s="44">
        <f t="shared" ref="D146:P146" si="14">SUM(D143:D145)</f>
        <v>39</v>
      </c>
      <c r="E146" s="45">
        <f t="shared" si="14"/>
        <v>110775493.83999999</v>
      </c>
      <c r="F146" s="46">
        <f t="shared" si="14"/>
        <v>11927866.98</v>
      </c>
      <c r="G146" s="47">
        <f t="shared" si="14"/>
        <v>1172487.76</v>
      </c>
      <c r="H146" s="44">
        <f t="shared" si="14"/>
        <v>109603006.08</v>
      </c>
      <c r="I146" s="45">
        <f t="shared" si="14"/>
        <v>10755379.220000001</v>
      </c>
      <c r="J146" s="46">
        <f t="shared" si="14"/>
        <v>98847626.859999999</v>
      </c>
      <c r="K146" s="47">
        <f t="shared" si="14"/>
        <v>14762775.19999999</v>
      </c>
      <c r="L146" s="44">
        <f t="shared" si="14"/>
        <v>20824265.460000001</v>
      </c>
      <c r="M146" s="45">
        <f t="shared" si="14"/>
        <v>32379668.09</v>
      </c>
      <c r="N146" s="44">
        <f t="shared" si="14"/>
        <v>11688758.66</v>
      </c>
      <c r="O146" s="45">
        <f t="shared" si="14"/>
        <v>19192159.449999996</v>
      </c>
      <c r="P146" s="45">
        <f t="shared" si="14"/>
        <v>0</v>
      </c>
      <c r="Q146" s="39"/>
      <c r="R146" s="39"/>
    </row>
    <row r="147" spans="2:18" ht="13.9" hidden="1" customHeight="1" outlineLevel="1" x14ac:dyDescent="0.25">
      <c r="B147" s="35" t="s">
        <v>74</v>
      </c>
      <c r="C147" s="36" t="s">
        <v>75</v>
      </c>
      <c r="D147" s="37">
        <v>1</v>
      </c>
      <c r="E147" s="38">
        <v>1215914.42</v>
      </c>
      <c r="F147" s="66">
        <f t="shared" si="11"/>
        <v>121591.44</v>
      </c>
      <c r="G147" s="64">
        <v>24350</v>
      </c>
      <c r="H147" s="38">
        <v>1191564.42</v>
      </c>
      <c r="I147" s="64">
        <v>97241.44</v>
      </c>
      <c r="J147" s="65">
        <f t="shared" si="12"/>
        <v>1094322.98</v>
      </c>
      <c r="K147" s="64">
        <f t="shared" si="10"/>
        <v>243182.8899999999</v>
      </c>
      <c r="L147" s="64">
        <v>121591.44</v>
      </c>
      <c r="M147" s="64">
        <v>0</v>
      </c>
      <c r="N147" s="64">
        <v>729548.65</v>
      </c>
      <c r="O147" s="64">
        <v>0</v>
      </c>
      <c r="P147" s="64">
        <v>0</v>
      </c>
      <c r="Q147" s="58"/>
    </row>
    <row r="148" spans="2:18" ht="13.9" hidden="1" customHeight="1" outlineLevel="1" x14ac:dyDescent="0.25">
      <c r="B148" s="40"/>
      <c r="C148" s="36" t="s">
        <v>76</v>
      </c>
      <c r="D148" s="37">
        <v>5</v>
      </c>
      <c r="E148" s="38">
        <v>6497452.0099999998</v>
      </c>
      <c r="F148" s="66">
        <f>G148+I148</f>
        <v>798669.28</v>
      </c>
      <c r="G148" s="64">
        <v>102141.5</v>
      </c>
      <c r="H148" s="38">
        <v>6395310.5099999998</v>
      </c>
      <c r="I148" s="64">
        <v>696527.78</v>
      </c>
      <c r="J148" s="65">
        <f>H148-I148</f>
        <v>5698782.7299999995</v>
      </c>
      <c r="K148" s="64">
        <f t="shared" si="10"/>
        <v>1299490.3799999999</v>
      </c>
      <c r="L148" s="64">
        <v>947989.87999999989</v>
      </c>
      <c r="M148" s="64">
        <v>3451302.47</v>
      </c>
      <c r="N148" s="64">
        <v>0</v>
      </c>
      <c r="O148" s="64">
        <v>0</v>
      </c>
      <c r="P148" s="64">
        <v>0</v>
      </c>
      <c r="Q148" s="58"/>
    </row>
    <row r="149" spans="2:18" ht="13.9" customHeight="1" collapsed="1" x14ac:dyDescent="0.25">
      <c r="B149" s="43"/>
      <c r="C149" s="29" t="s">
        <v>77</v>
      </c>
      <c r="D149" s="44">
        <f t="shared" ref="D149:P149" si="15">SUM(D147:D148)</f>
        <v>6</v>
      </c>
      <c r="E149" s="45">
        <f t="shared" si="15"/>
        <v>7713366.4299999997</v>
      </c>
      <c r="F149" s="46">
        <f t="shared" si="15"/>
        <v>920260.72</v>
      </c>
      <c r="G149" s="47">
        <f t="shared" si="15"/>
        <v>126491.5</v>
      </c>
      <c r="H149" s="44">
        <f t="shared" si="15"/>
        <v>7586874.9299999997</v>
      </c>
      <c r="I149" s="45">
        <f t="shared" si="15"/>
        <v>793769.22</v>
      </c>
      <c r="J149" s="46">
        <f t="shared" si="15"/>
        <v>6793105.709999999</v>
      </c>
      <c r="K149" s="47">
        <f t="shared" si="15"/>
        <v>1542673.2699999998</v>
      </c>
      <c r="L149" s="44">
        <f t="shared" si="15"/>
        <v>1069581.3199999998</v>
      </c>
      <c r="M149" s="45">
        <f t="shared" si="15"/>
        <v>3451302.47</v>
      </c>
      <c r="N149" s="44">
        <f t="shared" si="15"/>
        <v>729548.65</v>
      </c>
      <c r="O149" s="45">
        <f t="shared" si="15"/>
        <v>0</v>
      </c>
      <c r="P149" s="45">
        <f t="shared" si="15"/>
        <v>0</v>
      </c>
      <c r="Q149" s="48"/>
      <c r="R149" s="48"/>
    </row>
    <row r="150" spans="2:18" ht="13.9" customHeight="1" x14ac:dyDescent="0.25">
      <c r="B150" s="49" t="s">
        <v>78</v>
      </c>
      <c r="C150" s="50"/>
      <c r="D150" s="67">
        <f>D149+D146+D142</f>
        <v>192</v>
      </c>
      <c r="E150" s="68">
        <f t="shared" ref="E150:P150" si="16">SUM(E105:E148)</f>
        <v>1211640648.1900001</v>
      </c>
      <c r="F150" s="69">
        <f t="shared" si="16"/>
        <v>165816120.64000002</v>
      </c>
      <c r="G150" s="70">
        <f t="shared" si="16"/>
        <v>25428141.440000001</v>
      </c>
      <c r="H150" s="68">
        <f t="shared" si="16"/>
        <v>1186212506.75</v>
      </c>
      <c r="I150" s="70">
        <f t="shared" si="16"/>
        <v>140387979.20000002</v>
      </c>
      <c r="J150" s="68">
        <f t="shared" si="16"/>
        <v>1045824527.55</v>
      </c>
      <c r="K150" s="70">
        <f t="shared" si="16"/>
        <v>185443698.12999997</v>
      </c>
      <c r="L150" s="70">
        <f t="shared" si="16"/>
        <v>210673425.58000001</v>
      </c>
      <c r="M150" s="68">
        <f t="shared" si="16"/>
        <v>188077534.25</v>
      </c>
      <c r="N150" s="68">
        <f t="shared" si="16"/>
        <v>279447508.58999997</v>
      </c>
      <c r="O150" s="68">
        <f t="shared" si="16"/>
        <v>175704402.79999995</v>
      </c>
      <c r="P150" s="68">
        <f t="shared" si="16"/>
        <v>8852196.1999999993</v>
      </c>
      <c r="Q150" s="58"/>
    </row>
    <row r="151" spans="2:18" ht="13.9" customHeight="1" x14ac:dyDescent="0.25">
      <c r="Q151" s="58"/>
    </row>
    <row r="152" spans="2:18" ht="13.9" customHeight="1" x14ac:dyDescent="0.25">
      <c r="B152" s="59" t="s">
        <v>88</v>
      </c>
      <c r="C152" s="59"/>
      <c r="Q152" s="58"/>
    </row>
    <row r="153" spans="2:18" ht="13.9" customHeight="1" x14ac:dyDescent="0.25">
      <c r="B153" s="29" t="s">
        <v>26</v>
      </c>
      <c r="C153" s="29" t="s">
        <v>27</v>
      </c>
      <c r="D153" s="60" t="s">
        <v>28</v>
      </c>
      <c r="E153" s="61" t="s">
        <v>29</v>
      </c>
      <c r="F153" s="62" t="s">
        <v>85</v>
      </c>
      <c r="G153" s="63" t="s">
        <v>81</v>
      </c>
      <c r="H153" s="61" t="s">
        <v>82</v>
      </c>
      <c r="I153" s="63" t="s">
        <v>86</v>
      </c>
      <c r="J153" s="61" t="s">
        <v>87</v>
      </c>
      <c r="K153" s="63">
        <v>2026</v>
      </c>
      <c r="L153" s="63">
        <v>2027</v>
      </c>
      <c r="M153" s="61">
        <v>2028</v>
      </c>
      <c r="N153" s="63">
        <v>2029</v>
      </c>
      <c r="O153" s="61">
        <v>2030</v>
      </c>
      <c r="P153" s="63">
        <v>2031</v>
      </c>
      <c r="Q153" s="58"/>
    </row>
    <row r="154" spans="2:18" ht="13.9" hidden="1" customHeight="1" outlineLevel="1" x14ac:dyDescent="0.25">
      <c r="B154" s="35" t="s">
        <v>30</v>
      </c>
      <c r="C154" s="36" t="s">
        <v>31</v>
      </c>
      <c r="D154" s="37">
        <v>13</v>
      </c>
      <c r="E154" s="38">
        <v>25076813.290000007</v>
      </c>
      <c r="F154" s="66">
        <f>G154+I154</f>
        <v>13320653.579999998</v>
      </c>
      <c r="G154" s="64">
        <v>3251627.5200000005</v>
      </c>
      <c r="H154" s="38">
        <v>21825185.770000003</v>
      </c>
      <c r="I154" s="64">
        <v>10069026.059999999</v>
      </c>
      <c r="J154" s="65">
        <f>H154-I154</f>
        <v>11756159.710000005</v>
      </c>
      <c r="K154" s="64">
        <f t="shared" ref="K154:K197" si="17">MAX(J154-SUM(L154:P154),0)</f>
        <v>11756159.710000005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58"/>
    </row>
    <row r="155" spans="2:18" ht="13.9" hidden="1" customHeight="1" outlineLevel="1" x14ac:dyDescent="0.25">
      <c r="B155" s="40"/>
      <c r="C155" s="36" t="s">
        <v>32</v>
      </c>
      <c r="D155" s="37">
        <v>1</v>
      </c>
      <c r="E155" s="38">
        <v>1500624.5</v>
      </c>
      <c r="F155" s="66">
        <f t="shared" ref="F155:F190" si="18">G155+I155</f>
        <v>1200499.6000000001</v>
      </c>
      <c r="G155" s="64">
        <v>150000</v>
      </c>
      <c r="H155" s="38">
        <v>1350624.5</v>
      </c>
      <c r="I155" s="64">
        <v>1050499.6000000001</v>
      </c>
      <c r="J155" s="65">
        <f t="shared" ref="J155:J190" si="19">H155-I155</f>
        <v>300124.89999999991</v>
      </c>
      <c r="K155" s="64">
        <f t="shared" si="17"/>
        <v>300124.89999999991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58"/>
    </row>
    <row r="156" spans="2:18" ht="13.9" hidden="1" customHeight="1" outlineLevel="1" x14ac:dyDescent="0.25">
      <c r="B156" s="40"/>
      <c r="C156" s="36" t="s">
        <v>33</v>
      </c>
      <c r="D156" s="37">
        <v>5</v>
      </c>
      <c r="E156" s="38">
        <v>12536350.75</v>
      </c>
      <c r="F156" s="66">
        <f t="shared" si="18"/>
        <v>9445764.3199999984</v>
      </c>
      <c r="G156" s="64">
        <v>2030234.45</v>
      </c>
      <c r="H156" s="38">
        <v>10506116.300000001</v>
      </c>
      <c r="I156" s="64">
        <v>7415529.8699999992</v>
      </c>
      <c r="J156" s="65">
        <f t="shared" si="19"/>
        <v>3090586.4300000016</v>
      </c>
      <c r="K156" s="64">
        <f t="shared" si="17"/>
        <v>2060390.9000000015</v>
      </c>
      <c r="L156" s="64">
        <v>1030195.53</v>
      </c>
      <c r="M156" s="64">
        <v>0</v>
      </c>
      <c r="N156" s="64">
        <v>0</v>
      </c>
      <c r="O156" s="64">
        <v>0</v>
      </c>
      <c r="P156" s="64">
        <v>0</v>
      </c>
      <c r="Q156" s="58"/>
    </row>
    <row r="157" spans="2:18" ht="13.9" hidden="1" customHeight="1" outlineLevel="1" x14ac:dyDescent="0.25">
      <c r="B157" s="40"/>
      <c r="C157" s="36" t="s">
        <v>34</v>
      </c>
      <c r="D157" s="37">
        <v>1</v>
      </c>
      <c r="E157" s="38">
        <v>4355029.5</v>
      </c>
      <c r="F157" s="66">
        <f t="shared" si="18"/>
        <v>2613017.6999999997</v>
      </c>
      <c r="G157" s="64">
        <v>682713.82</v>
      </c>
      <c r="H157" s="38">
        <v>3672315.68</v>
      </c>
      <c r="I157" s="64">
        <v>1930303.88</v>
      </c>
      <c r="J157" s="65">
        <f t="shared" si="19"/>
        <v>1742011.8000000003</v>
      </c>
      <c r="K157" s="64">
        <f t="shared" si="17"/>
        <v>435502.95000000019</v>
      </c>
      <c r="L157" s="64">
        <v>871005.9</v>
      </c>
      <c r="M157" s="64">
        <v>435502.95</v>
      </c>
      <c r="N157" s="64">
        <v>0</v>
      </c>
      <c r="O157" s="64">
        <v>0</v>
      </c>
      <c r="P157" s="64">
        <v>0</v>
      </c>
      <c r="Q157" s="58"/>
    </row>
    <row r="158" spans="2:18" ht="13.9" hidden="1" customHeight="1" outlineLevel="1" x14ac:dyDescent="0.25">
      <c r="B158" s="40"/>
      <c r="C158" s="36" t="s">
        <v>35</v>
      </c>
      <c r="D158" s="37">
        <v>2</v>
      </c>
      <c r="E158" s="38">
        <v>1746550.7</v>
      </c>
      <c r="F158" s="66">
        <f t="shared" si="18"/>
        <v>1107107.6299999999</v>
      </c>
      <c r="G158" s="64">
        <v>177643.4</v>
      </c>
      <c r="H158" s="38">
        <v>1568907.2999999998</v>
      </c>
      <c r="I158" s="64">
        <v>929464.23</v>
      </c>
      <c r="J158" s="65">
        <f t="shared" si="19"/>
        <v>639443.06999999983</v>
      </c>
      <c r="K158" s="64">
        <f t="shared" si="17"/>
        <v>91349.069999999832</v>
      </c>
      <c r="L158" s="64">
        <v>182698</v>
      </c>
      <c r="M158" s="64">
        <v>365396</v>
      </c>
      <c r="N158" s="64">
        <v>0</v>
      </c>
      <c r="O158" s="64">
        <v>0</v>
      </c>
      <c r="P158" s="64">
        <v>0</v>
      </c>
      <c r="Q158" s="58"/>
    </row>
    <row r="159" spans="2:18" ht="13.9" hidden="1" customHeight="1" outlineLevel="1" x14ac:dyDescent="0.25">
      <c r="B159" s="40"/>
      <c r="C159" s="36" t="s">
        <v>36</v>
      </c>
      <c r="D159" s="37">
        <v>33</v>
      </c>
      <c r="E159" s="38">
        <v>345483481.77999997</v>
      </c>
      <c r="F159" s="66">
        <f t="shared" si="18"/>
        <v>83024677.650000006</v>
      </c>
      <c r="G159" s="64">
        <v>47136822.5</v>
      </c>
      <c r="H159" s="38">
        <v>298346659.27999997</v>
      </c>
      <c r="I159" s="64">
        <v>35887855.150000006</v>
      </c>
      <c r="J159" s="65">
        <f t="shared" si="19"/>
        <v>262458804.12999997</v>
      </c>
      <c r="K159" s="64">
        <f t="shared" si="17"/>
        <v>62370255.439999968</v>
      </c>
      <c r="L159" s="64">
        <v>130833484.69</v>
      </c>
      <c r="M159" s="64">
        <v>69255064</v>
      </c>
      <c r="N159" s="64">
        <v>0</v>
      </c>
      <c r="O159" s="64">
        <v>0</v>
      </c>
      <c r="P159" s="64">
        <v>0</v>
      </c>
      <c r="Q159" s="58"/>
    </row>
    <row r="160" spans="2:18" ht="13.9" hidden="1" customHeight="1" outlineLevel="1" x14ac:dyDescent="0.25">
      <c r="B160" s="40"/>
      <c r="C160" s="36" t="s">
        <v>37</v>
      </c>
      <c r="D160" s="37">
        <v>0</v>
      </c>
      <c r="E160" s="38">
        <v>0</v>
      </c>
      <c r="F160" s="66">
        <f t="shared" si="18"/>
        <v>0</v>
      </c>
      <c r="G160" s="64">
        <v>0</v>
      </c>
      <c r="H160" s="38">
        <v>0</v>
      </c>
      <c r="I160" s="64">
        <v>0</v>
      </c>
      <c r="J160" s="65">
        <f t="shared" si="19"/>
        <v>0</v>
      </c>
      <c r="K160" s="64">
        <f t="shared" si="17"/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58"/>
    </row>
    <row r="161" spans="2:17" ht="13.9" hidden="1" customHeight="1" outlineLevel="1" x14ac:dyDescent="0.25">
      <c r="B161" s="40"/>
      <c r="C161" s="36" t="s">
        <v>38</v>
      </c>
      <c r="D161" s="37">
        <v>0</v>
      </c>
      <c r="E161" s="38">
        <v>0</v>
      </c>
      <c r="F161" s="66">
        <f t="shared" si="18"/>
        <v>0</v>
      </c>
      <c r="G161" s="64">
        <v>0</v>
      </c>
      <c r="H161" s="38">
        <v>0</v>
      </c>
      <c r="I161" s="64">
        <v>0</v>
      </c>
      <c r="J161" s="65">
        <f t="shared" si="19"/>
        <v>0</v>
      </c>
      <c r="K161" s="64">
        <f t="shared" si="17"/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58"/>
    </row>
    <row r="162" spans="2:17" ht="13.9" hidden="1" customHeight="1" outlineLevel="1" x14ac:dyDescent="0.25">
      <c r="B162" s="40"/>
      <c r="C162" s="36" t="s">
        <v>39</v>
      </c>
      <c r="D162" s="37">
        <v>0</v>
      </c>
      <c r="E162" s="38">
        <v>0</v>
      </c>
      <c r="F162" s="66">
        <f t="shared" si="18"/>
        <v>0</v>
      </c>
      <c r="G162" s="64">
        <v>0</v>
      </c>
      <c r="H162" s="38">
        <v>0</v>
      </c>
      <c r="I162" s="64">
        <v>0</v>
      </c>
      <c r="J162" s="65">
        <f t="shared" si="19"/>
        <v>0</v>
      </c>
      <c r="K162" s="64">
        <f t="shared" si="17"/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58"/>
    </row>
    <row r="163" spans="2:17" ht="13.9" hidden="1" customHeight="1" outlineLevel="1" x14ac:dyDescent="0.25">
      <c r="B163" s="40"/>
      <c r="C163" s="36" t="s">
        <v>40</v>
      </c>
      <c r="D163" s="37">
        <v>12</v>
      </c>
      <c r="E163" s="38">
        <v>311996055</v>
      </c>
      <c r="F163" s="66">
        <f t="shared" si="18"/>
        <v>101317606.5</v>
      </c>
      <c r="G163" s="64">
        <v>57082896.640000001</v>
      </c>
      <c r="H163" s="38">
        <v>254913158.36000001</v>
      </c>
      <c r="I163" s="64">
        <v>44234709.859999999</v>
      </c>
      <c r="J163" s="65">
        <f t="shared" si="19"/>
        <v>210678448.5</v>
      </c>
      <c r="K163" s="64">
        <f t="shared" si="17"/>
        <v>57398010.599999994</v>
      </c>
      <c r="L163" s="64">
        <v>153280437.90000001</v>
      </c>
      <c r="M163" s="64">
        <v>0</v>
      </c>
      <c r="N163" s="64">
        <v>0</v>
      </c>
      <c r="O163" s="64">
        <v>0</v>
      </c>
      <c r="P163" s="64">
        <v>0</v>
      </c>
      <c r="Q163" s="58"/>
    </row>
    <row r="164" spans="2:17" ht="13.9" hidden="1" customHeight="1" outlineLevel="1" x14ac:dyDescent="0.25">
      <c r="B164" s="40"/>
      <c r="C164" s="36" t="s">
        <v>41</v>
      </c>
      <c r="D164" s="37">
        <v>0</v>
      </c>
      <c r="E164" s="38">
        <v>0</v>
      </c>
      <c r="F164" s="66">
        <f t="shared" si="18"/>
        <v>0</v>
      </c>
      <c r="G164" s="64">
        <v>0</v>
      </c>
      <c r="H164" s="38">
        <v>0</v>
      </c>
      <c r="I164" s="64">
        <v>0</v>
      </c>
      <c r="J164" s="65">
        <f t="shared" si="19"/>
        <v>0</v>
      </c>
      <c r="K164" s="64">
        <f t="shared" si="17"/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58"/>
    </row>
    <row r="165" spans="2:17" ht="13.9" hidden="1" customHeight="1" outlineLevel="1" x14ac:dyDescent="0.25">
      <c r="B165" s="40"/>
      <c r="C165" s="36" t="s">
        <v>42</v>
      </c>
      <c r="D165" s="37">
        <v>108</v>
      </c>
      <c r="E165" s="38">
        <v>251713609.84999999</v>
      </c>
      <c r="F165" s="66">
        <f t="shared" si="18"/>
        <v>86192953.409999996</v>
      </c>
      <c r="G165" s="64">
        <v>35925512.460000001</v>
      </c>
      <c r="H165" s="38">
        <v>215788097.39000002</v>
      </c>
      <c r="I165" s="64">
        <v>50267440.950000003</v>
      </c>
      <c r="J165" s="65">
        <f t="shared" si="19"/>
        <v>165520656.44</v>
      </c>
      <c r="K165" s="64">
        <f t="shared" si="17"/>
        <v>33184364.059999973</v>
      </c>
      <c r="L165" s="64">
        <v>132336292.38000003</v>
      </c>
      <c r="M165" s="64">
        <v>0</v>
      </c>
      <c r="N165" s="64">
        <v>0</v>
      </c>
      <c r="O165" s="64">
        <v>0</v>
      </c>
      <c r="P165" s="64">
        <v>0</v>
      </c>
      <c r="Q165" s="58"/>
    </row>
    <row r="166" spans="2:17" ht="13.9" hidden="1" customHeight="1" outlineLevel="1" x14ac:dyDescent="0.25">
      <c r="B166" s="40"/>
      <c r="C166" s="36" t="s">
        <v>43</v>
      </c>
      <c r="D166" s="37">
        <v>24</v>
      </c>
      <c r="E166" s="38">
        <v>229222205.5</v>
      </c>
      <c r="F166" s="66">
        <f t="shared" si="18"/>
        <v>82108158.540000007</v>
      </c>
      <c r="G166" s="64">
        <v>38003168.18</v>
      </c>
      <c r="H166" s="38">
        <v>191219037.31999999</v>
      </c>
      <c r="I166" s="64">
        <v>44104990.360000007</v>
      </c>
      <c r="J166" s="65">
        <f t="shared" si="19"/>
        <v>147114046.95999998</v>
      </c>
      <c r="K166" s="64">
        <f t="shared" si="17"/>
        <v>93114464.259999976</v>
      </c>
      <c r="L166" s="64">
        <v>53999582.700000003</v>
      </c>
      <c r="M166" s="64">
        <v>0</v>
      </c>
      <c r="N166" s="64">
        <v>0</v>
      </c>
      <c r="O166" s="64">
        <v>0</v>
      </c>
      <c r="P166" s="64">
        <v>0</v>
      </c>
      <c r="Q166" s="58"/>
    </row>
    <row r="167" spans="2:17" ht="13.9" hidden="1" customHeight="1" outlineLevel="1" x14ac:dyDescent="0.25">
      <c r="B167" s="40"/>
      <c r="C167" s="36" t="s">
        <v>44</v>
      </c>
      <c r="D167" s="37">
        <v>180</v>
      </c>
      <c r="E167" s="38">
        <v>531839954.79999995</v>
      </c>
      <c r="F167" s="66">
        <f t="shared" si="18"/>
        <v>109832306.83999997</v>
      </c>
      <c r="G167" s="64">
        <v>87330025.579999968</v>
      </c>
      <c r="H167" s="38">
        <v>444509929.21999997</v>
      </c>
      <c r="I167" s="64">
        <v>22502281.260000002</v>
      </c>
      <c r="J167" s="65">
        <f t="shared" si="19"/>
        <v>422007647.95999998</v>
      </c>
      <c r="K167" s="64">
        <f t="shared" si="17"/>
        <v>48270858.99999994</v>
      </c>
      <c r="L167" s="64">
        <v>81355203.329999968</v>
      </c>
      <c r="M167" s="64">
        <v>292381585.63000005</v>
      </c>
      <c r="N167" s="64">
        <v>0</v>
      </c>
      <c r="O167" s="64">
        <v>0</v>
      </c>
      <c r="P167" s="64">
        <v>0</v>
      </c>
      <c r="Q167" s="58"/>
    </row>
    <row r="168" spans="2:17" ht="13.9" hidden="1" customHeight="1" outlineLevel="1" x14ac:dyDescent="0.25">
      <c r="B168" s="40"/>
      <c r="C168" s="36" t="s">
        <v>45</v>
      </c>
      <c r="D168" s="37">
        <v>459</v>
      </c>
      <c r="E168" s="38">
        <v>1109211579.3900003</v>
      </c>
      <c r="F168" s="66">
        <f t="shared" si="18"/>
        <v>231451809.56000003</v>
      </c>
      <c r="G168" s="64">
        <v>193247572.14000008</v>
      </c>
      <c r="H168" s="38">
        <v>915964007.25000024</v>
      </c>
      <c r="I168" s="64">
        <v>38204237.419999957</v>
      </c>
      <c r="J168" s="65">
        <f t="shared" si="19"/>
        <v>877759769.83000028</v>
      </c>
      <c r="K168" s="64">
        <f t="shared" si="17"/>
        <v>87012023.299999952</v>
      </c>
      <c r="L168" s="64">
        <v>110825890.19000009</v>
      </c>
      <c r="M168" s="64">
        <v>173859688.77999979</v>
      </c>
      <c r="N168" s="64">
        <v>353039500.44000047</v>
      </c>
      <c r="O168" s="64">
        <v>153022667.12</v>
      </c>
      <c r="P168" s="64">
        <v>0</v>
      </c>
      <c r="Q168" s="58"/>
    </row>
    <row r="169" spans="2:17" ht="13.9" hidden="1" customHeight="1" outlineLevel="1" x14ac:dyDescent="0.25">
      <c r="B169" s="40"/>
      <c r="C169" s="36" t="s">
        <v>46</v>
      </c>
      <c r="D169" s="37">
        <v>25</v>
      </c>
      <c r="E169" s="38">
        <v>192898320</v>
      </c>
      <c r="F169" s="66">
        <f t="shared" si="18"/>
        <v>27062783.039999999</v>
      </c>
      <c r="G169" s="64">
        <v>23722071.780000001</v>
      </c>
      <c r="H169" s="38">
        <v>169176248.22</v>
      </c>
      <c r="I169" s="64">
        <v>3340711.26</v>
      </c>
      <c r="J169" s="65">
        <f t="shared" si="19"/>
        <v>165835536.96000001</v>
      </c>
      <c r="K169" s="64">
        <f t="shared" si="17"/>
        <v>8652571.5</v>
      </c>
      <c r="L169" s="64">
        <v>38736357.960000001</v>
      </c>
      <c r="M169" s="64">
        <v>21595470.539999999</v>
      </c>
      <c r="N169" s="64">
        <v>13723082.41</v>
      </c>
      <c r="O169" s="64">
        <v>83128054.550000012</v>
      </c>
      <c r="P169" s="64">
        <v>0</v>
      </c>
      <c r="Q169" s="58"/>
    </row>
    <row r="170" spans="2:17" ht="13.9" hidden="1" customHeight="1" outlineLevel="1" x14ac:dyDescent="0.25">
      <c r="B170" s="40"/>
      <c r="C170" s="36" t="s">
        <v>47</v>
      </c>
      <c r="D170" s="37">
        <v>60</v>
      </c>
      <c r="E170" s="38">
        <v>156842422.80000001</v>
      </c>
      <c r="F170" s="66">
        <f t="shared" si="18"/>
        <v>62534407.989999995</v>
      </c>
      <c r="G170" s="64">
        <v>22725373.52</v>
      </c>
      <c r="H170" s="38">
        <v>134117049.28</v>
      </c>
      <c r="I170" s="64">
        <v>39809034.469999999</v>
      </c>
      <c r="J170" s="65">
        <f t="shared" si="19"/>
        <v>94308014.810000002</v>
      </c>
      <c r="K170" s="64">
        <f t="shared" si="17"/>
        <v>94308014.810000002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58"/>
    </row>
    <row r="171" spans="2:17" ht="13.9" hidden="1" customHeight="1" outlineLevel="1" x14ac:dyDescent="0.25">
      <c r="B171" s="40"/>
      <c r="C171" s="36" t="s">
        <v>48</v>
      </c>
      <c r="D171" s="37">
        <v>79</v>
      </c>
      <c r="E171" s="38">
        <v>169344796.14999998</v>
      </c>
      <c r="F171" s="66">
        <f t="shared" si="18"/>
        <v>44251613.849999994</v>
      </c>
      <c r="G171" s="64">
        <v>23072449.169999998</v>
      </c>
      <c r="H171" s="38">
        <v>146272346.98000002</v>
      </c>
      <c r="I171" s="64">
        <v>21179164.679999996</v>
      </c>
      <c r="J171" s="65">
        <f t="shared" si="19"/>
        <v>125093182.30000003</v>
      </c>
      <c r="K171" s="64">
        <f t="shared" si="17"/>
        <v>24795366.980000019</v>
      </c>
      <c r="L171" s="64">
        <v>100297815.32000001</v>
      </c>
      <c r="M171" s="64">
        <v>0</v>
      </c>
      <c r="N171" s="64">
        <v>0</v>
      </c>
      <c r="O171" s="64">
        <v>0</v>
      </c>
      <c r="P171" s="64">
        <v>0</v>
      </c>
      <c r="Q171" s="58"/>
    </row>
    <row r="172" spans="2:17" ht="13.9" hidden="1" customHeight="1" outlineLevel="1" x14ac:dyDescent="0.25">
      <c r="B172" s="40"/>
      <c r="C172" s="36" t="s">
        <v>49</v>
      </c>
      <c r="D172" s="37">
        <v>12</v>
      </c>
      <c r="E172" s="38">
        <v>110566092.02</v>
      </c>
      <c r="F172" s="66">
        <f t="shared" si="18"/>
        <v>61094368.189999998</v>
      </c>
      <c r="G172" s="64">
        <v>16469782.16</v>
      </c>
      <c r="H172" s="38">
        <v>94096309.859999999</v>
      </c>
      <c r="I172" s="64">
        <v>44624586.030000001</v>
      </c>
      <c r="J172" s="65">
        <f t="shared" si="19"/>
        <v>49471723.829999998</v>
      </c>
      <c r="K172" s="64">
        <f t="shared" si="17"/>
        <v>23006879.649999999</v>
      </c>
      <c r="L172" s="64">
        <v>26464844.18</v>
      </c>
      <c r="M172" s="64">
        <v>0</v>
      </c>
      <c r="N172" s="64">
        <v>0</v>
      </c>
      <c r="O172" s="64">
        <v>0</v>
      </c>
      <c r="P172" s="64">
        <v>0</v>
      </c>
      <c r="Q172" s="58"/>
    </row>
    <row r="173" spans="2:17" ht="13.9" hidden="1" customHeight="1" outlineLevel="1" x14ac:dyDescent="0.25">
      <c r="B173" s="40"/>
      <c r="C173" s="36" t="s">
        <v>50</v>
      </c>
      <c r="D173" s="37">
        <v>55</v>
      </c>
      <c r="E173" s="38">
        <v>261464870.5</v>
      </c>
      <c r="F173" s="66">
        <f t="shared" si="18"/>
        <v>41488611.850000016</v>
      </c>
      <c r="G173" s="64">
        <v>37168285.360000014</v>
      </c>
      <c r="H173" s="38">
        <v>224296585.13999999</v>
      </c>
      <c r="I173" s="64">
        <v>4320326.49</v>
      </c>
      <c r="J173" s="65">
        <f t="shared" si="19"/>
        <v>219976258.64999998</v>
      </c>
      <c r="K173" s="64">
        <f t="shared" si="17"/>
        <v>33358100.74999994</v>
      </c>
      <c r="L173" s="64">
        <v>26318665.490000006</v>
      </c>
      <c r="M173" s="64">
        <v>26344126.770000007</v>
      </c>
      <c r="N173" s="64">
        <v>25833900.870000005</v>
      </c>
      <c r="O173" s="64">
        <v>25438621.590000004</v>
      </c>
      <c r="P173" s="64">
        <v>82682843.180000007</v>
      </c>
      <c r="Q173" s="58"/>
    </row>
    <row r="174" spans="2:17" ht="13.9" hidden="1" customHeight="1" outlineLevel="1" x14ac:dyDescent="0.25">
      <c r="B174" s="40"/>
      <c r="C174" s="36" t="s">
        <v>51</v>
      </c>
      <c r="D174" s="37">
        <v>166</v>
      </c>
      <c r="E174" s="38">
        <v>223935613.09999999</v>
      </c>
      <c r="F174" s="66">
        <f t="shared" si="18"/>
        <v>53408110.5</v>
      </c>
      <c r="G174" s="64">
        <v>37374015.380000003</v>
      </c>
      <c r="H174" s="38">
        <v>186561597.71999991</v>
      </c>
      <c r="I174" s="64">
        <v>16034095.119999999</v>
      </c>
      <c r="J174" s="65">
        <f t="shared" si="19"/>
        <v>170527502.5999999</v>
      </c>
      <c r="K174" s="64">
        <f t="shared" si="17"/>
        <v>33272006.409999967</v>
      </c>
      <c r="L174" s="64">
        <v>137255496.18999994</v>
      </c>
      <c r="M174" s="64">
        <v>0</v>
      </c>
      <c r="N174" s="64">
        <v>0</v>
      </c>
      <c r="O174" s="64">
        <v>0</v>
      </c>
      <c r="P174" s="64">
        <v>0</v>
      </c>
      <c r="Q174" s="58"/>
    </row>
    <row r="175" spans="2:17" ht="13.9" hidden="1" customHeight="1" outlineLevel="1" x14ac:dyDescent="0.25">
      <c r="B175" s="40"/>
      <c r="C175" s="36" t="s">
        <v>52</v>
      </c>
      <c r="D175" s="37">
        <v>117</v>
      </c>
      <c r="E175" s="38">
        <v>252070725.04999998</v>
      </c>
      <c r="F175" s="66">
        <f t="shared" si="18"/>
        <v>48536695.720000014</v>
      </c>
      <c r="G175" s="64">
        <v>45750663.870000012</v>
      </c>
      <c r="H175" s="38">
        <v>206320061.18000004</v>
      </c>
      <c r="I175" s="64">
        <v>2786031.85</v>
      </c>
      <c r="J175" s="65">
        <f t="shared" si="19"/>
        <v>203534029.33000004</v>
      </c>
      <c r="K175" s="64">
        <f t="shared" si="17"/>
        <v>24244862.920000106</v>
      </c>
      <c r="L175" s="64">
        <v>25388350.550000001</v>
      </c>
      <c r="M175" s="64">
        <v>37536271.859999985</v>
      </c>
      <c r="N175" s="64">
        <v>116364543.99999996</v>
      </c>
      <c r="O175" s="64">
        <v>0</v>
      </c>
      <c r="P175" s="64">
        <v>0</v>
      </c>
      <c r="Q175" s="58"/>
    </row>
    <row r="176" spans="2:17" ht="13.9" hidden="1" customHeight="1" outlineLevel="1" x14ac:dyDescent="0.25">
      <c r="B176" s="40"/>
      <c r="C176" s="36" t="s">
        <v>53</v>
      </c>
      <c r="D176" s="37">
        <v>54</v>
      </c>
      <c r="E176" s="38">
        <v>220072100.75</v>
      </c>
      <c r="F176" s="66">
        <f t="shared" si="18"/>
        <v>47243597.989999995</v>
      </c>
      <c r="G176" s="64">
        <v>35953496.159999996</v>
      </c>
      <c r="H176" s="38">
        <v>184118604.59</v>
      </c>
      <c r="I176" s="64">
        <v>11290101.829999998</v>
      </c>
      <c r="J176" s="65">
        <f t="shared" si="19"/>
        <v>172828502.75999999</v>
      </c>
      <c r="K176" s="64">
        <f t="shared" si="17"/>
        <v>22563086.079999983</v>
      </c>
      <c r="L176" s="64">
        <v>38626552.890000001</v>
      </c>
      <c r="M176" s="64">
        <v>111638863.78999999</v>
      </c>
      <c r="N176" s="64">
        <v>0</v>
      </c>
      <c r="O176" s="64">
        <v>0</v>
      </c>
      <c r="P176" s="64">
        <v>0</v>
      </c>
      <c r="Q176" s="58"/>
    </row>
    <row r="177" spans="2:18" ht="13.9" hidden="1" customHeight="1" outlineLevel="1" x14ac:dyDescent="0.25">
      <c r="B177" s="40"/>
      <c r="C177" s="36" t="s">
        <v>54</v>
      </c>
      <c r="D177" s="37">
        <v>255</v>
      </c>
      <c r="E177" s="38">
        <v>648136038.40999985</v>
      </c>
      <c r="F177" s="66">
        <f t="shared" si="18"/>
        <v>124754625.84000002</v>
      </c>
      <c r="G177" s="64">
        <v>120476470.25000001</v>
      </c>
      <c r="H177" s="38">
        <v>527659568.15999997</v>
      </c>
      <c r="I177" s="64">
        <v>4278155.589999998</v>
      </c>
      <c r="J177" s="65">
        <f t="shared" si="19"/>
        <v>523381412.56999999</v>
      </c>
      <c r="K177" s="64">
        <f t="shared" si="17"/>
        <v>63623689.44999975</v>
      </c>
      <c r="L177" s="64">
        <v>65602262.269999981</v>
      </c>
      <c r="M177" s="64">
        <v>106046073.14000008</v>
      </c>
      <c r="N177" s="64">
        <v>288109387.71000016</v>
      </c>
      <c r="O177" s="64">
        <v>0</v>
      </c>
      <c r="P177" s="64">
        <v>0</v>
      </c>
      <c r="Q177" s="58"/>
    </row>
    <row r="178" spans="2:18" ht="13.9" hidden="1" customHeight="1" outlineLevel="1" x14ac:dyDescent="0.25">
      <c r="B178" s="40"/>
      <c r="C178" s="36" t="s">
        <v>55</v>
      </c>
      <c r="D178" s="37">
        <v>140</v>
      </c>
      <c r="E178" s="38">
        <v>343325142.19000006</v>
      </c>
      <c r="F178" s="66">
        <f>G178+I178</f>
        <v>64106516.330000028</v>
      </c>
      <c r="G178" s="64">
        <v>58670164.680000022</v>
      </c>
      <c r="H178" s="38">
        <v>284654977.51000005</v>
      </c>
      <c r="I178" s="64">
        <v>5436351.6500000022</v>
      </c>
      <c r="J178" s="65">
        <f>H178-I178</f>
        <v>279218625.86000007</v>
      </c>
      <c r="K178" s="64">
        <f t="shared" si="17"/>
        <v>31286589.76000011</v>
      </c>
      <c r="L178" s="64">
        <v>35247594.520000011</v>
      </c>
      <c r="M178" s="64">
        <v>23751060.800000001</v>
      </c>
      <c r="N178" s="64">
        <v>27726500.090000007</v>
      </c>
      <c r="O178" s="64">
        <v>161206880.68999997</v>
      </c>
      <c r="P178" s="64">
        <v>0</v>
      </c>
      <c r="Q178" s="58"/>
    </row>
    <row r="179" spans="2:18" ht="13.9" hidden="1" customHeight="1" outlineLevel="1" x14ac:dyDescent="0.25">
      <c r="B179" s="40"/>
      <c r="C179" s="36" t="s">
        <v>56</v>
      </c>
      <c r="D179" s="37">
        <v>211</v>
      </c>
      <c r="E179" s="38">
        <v>476311395.62999958</v>
      </c>
      <c r="F179" s="66">
        <f>G179+I179</f>
        <v>70722533.990000024</v>
      </c>
      <c r="G179" s="64">
        <v>64313223.250000015</v>
      </c>
      <c r="H179" s="38">
        <v>411998172.37999988</v>
      </c>
      <c r="I179" s="64">
        <v>6409310.740000003</v>
      </c>
      <c r="J179" s="65">
        <f>H179-I179</f>
        <v>405588861.63999987</v>
      </c>
      <c r="K179" s="64">
        <f t="shared" si="17"/>
        <v>37133246.039999843</v>
      </c>
      <c r="L179" s="64">
        <v>51349552.410000019</v>
      </c>
      <c r="M179" s="64">
        <v>50846951.090000004</v>
      </c>
      <c r="N179" s="64">
        <v>69512944.62999998</v>
      </c>
      <c r="O179" s="64">
        <v>196746167.47000006</v>
      </c>
      <c r="P179" s="64">
        <v>0</v>
      </c>
      <c r="Q179" s="58"/>
    </row>
    <row r="180" spans="2:18" ht="13.9" hidden="1" customHeight="1" outlineLevel="1" x14ac:dyDescent="0.25">
      <c r="B180" s="40"/>
      <c r="C180" s="36" t="s">
        <v>57</v>
      </c>
      <c r="D180" s="37">
        <v>1</v>
      </c>
      <c r="E180" s="38">
        <v>99865419.079999998</v>
      </c>
      <c r="F180" s="66">
        <f>G180+I180</f>
        <v>99865419.090000004</v>
      </c>
      <c r="G180" s="64">
        <v>10000115.82</v>
      </c>
      <c r="H180" s="38">
        <v>89865303.25999999</v>
      </c>
      <c r="I180" s="64">
        <v>89865303.269999996</v>
      </c>
      <c r="J180" s="65">
        <f>H180-I180</f>
        <v>-1.000000536441803E-2</v>
      </c>
      <c r="K180" s="64">
        <f t="shared" si="17"/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58"/>
    </row>
    <row r="181" spans="2:18" ht="13.9" hidden="1" customHeight="1" outlineLevel="1" x14ac:dyDescent="0.25">
      <c r="B181" s="40"/>
      <c r="C181" s="36" t="s">
        <v>58</v>
      </c>
      <c r="D181" s="37">
        <v>123</v>
      </c>
      <c r="E181" s="38">
        <v>264167516.47999999</v>
      </c>
      <c r="F181" s="66">
        <f>G181+I181</f>
        <v>49055086.280000001</v>
      </c>
      <c r="G181" s="64">
        <v>46719939.030000001</v>
      </c>
      <c r="H181" s="38">
        <v>217447577.44999999</v>
      </c>
      <c r="I181" s="64">
        <v>2335147.2499999991</v>
      </c>
      <c r="J181" s="65">
        <f>H181-I181</f>
        <v>215112430.19999999</v>
      </c>
      <c r="K181" s="64">
        <f t="shared" si="17"/>
        <v>24945637.959999979</v>
      </c>
      <c r="L181" s="64">
        <v>27281634.050000008</v>
      </c>
      <c r="M181" s="64">
        <v>25474196.690000009</v>
      </c>
      <c r="N181" s="64">
        <v>137410961.5</v>
      </c>
      <c r="O181" s="64">
        <v>0</v>
      </c>
      <c r="P181" s="64">
        <v>0</v>
      </c>
      <c r="Q181" s="58"/>
    </row>
    <row r="182" spans="2:18" ht="13.9" hidden="1" customHeight="1" outlineLevel="1" x14ac:dyDescent="0.25">
      <c r="B182" s="40"/>
      <c r="C182" s="36" t="s">
        <v>59</v>
      </c>
      <c r="D182" s="37">
        <v>110</v>
      </c>
      <c r="E182" s="38">
        <v>243901847.86999989</v>
      </c>
      <c r="F182" s="66">
        <f t="shared" si="18"/>
        <v>47260588.969999999</v>
      </c>
      <c r="G182" s="64">
        <v>42632901.829999998</v>
      </c>
      <c r="H182" s="38">
        <v>201268946.03999993</v>
      </c>
      <c r="I182" s="64">
        <v>4627687.1399999997</v>
      </c>
      <c r="J182" s="65">
        <f t="shared" si="19"/>
        <v>196641258.89999995</v>
      </c>
      <c r="K182" s="64">
        <f t="shared" si="17"/>
        <v>24515311.549999952</v>
      </c>
      <c r="L182" s="64">
        <v>24838735.489999991</v>
      </c>
      <c r="M182" s="64">
        <v>21950431.84</v>
      </c>
      <c r="N182" s="64">
        <v>125336780.02</v>
      </c>
      <c r="O182" s="64">
        <v>0</v>
      </c>
      <c r="P182" s="64">
        <v>0</v>
      </c>
      <c r="Q182" s="58"/>
    </row>
    <row r="183" spans="2:18" ht="13.9" hidden="1" customHeight="1" outlineLevel="1" x14ac:dyDescent="0.25">
      <c r="B183" s="40"/>
      <c r="C183" s="36" t="s">
        <v>60</v>
      </c>
      <c r="D183" s="37">
        <v>95</v>
      </c>
      <c r="E183" s="38">
        <v>430346885.81</v>
      </c>
      <c r="F183" s="66">
        <f t="shared" si="18"/>
        <v>54884077.839999989</v>
      </c>
      <c r="G183" s="64">
        <v>49917804.479999989</v>
      </c>
      <c r="H183" s="38">
        <v>380429081.33000004</v>
      </c>
      <c r="I183" s="64">
        <v>4966273.3599999994</v>
      </c>
      <c r="J183" s="65">
        <f t="shared" si="19"/>
        <v>375462807.97000003</v>
      </c>
      <c r="K183" s="64">
        <f t="shared" si="17"/>
        <v>65720140.440000236</v>
      </c>
      <c r="L183" s="64">
        <v>49341490.959999971</v>
      </c>
      <c r="M183" s="64">
        <v>77483441.469999969</v>
      </c>
      <c r="N183" s="64">
        <v>182917735.09999985</v>
      </c>
      <c r="O183" s="64">
        <v>0</v>
      </c>
      <c r="P183" s="64">
        <v>0</v>
      </c>
      <c r="Q183" s="58"/>
    </row>
    <row r="184" spans="2:18" ht="13.9" hidden="1" customHeight="1" outlineLevel="1" x14ac:dyDescent="0.25">
      <c r="B184" s="40"/>
      <c r="C184" s="36" t="s">
        <v>61</v>
      </c>
      <c r="D184" s="37">
        <v>59</v>
      </c>
      <c r="E184" s="38">
        <v>308866959.10000002</v>
      </c>
      <c r="F184" s="66">
        <f t="shared" si="18"/>
        <v>44674683.219999999</v>
      </c>
      <c r="G184" s="64">
        <v>40108499.039999999</v>
      </c>
      <c r="H184" s="38">
        <v>268758460.06</v>
      </c>
      <c r="I184" s="64">
        <v>4566184.18</v>
      </c>
      <c r="J184" s="65">
        <f t="shared" si="19"/>
        <v>264192275.88</v>
      </c>
      <c r="K184" s="64">
        <f t="shared" si="17"/>
        <v>44537741.73999995</v>
      </c>
      <c r="L184" s="64">
        <v>34328211.010000005</v>
      </c>
      <c r="M184" s="64">
        <v>58069278.470000006</v>
      </c>
      <c r="N184" s="64">
        <v>127257044.66000003</v>
      </c>
      <c r="O184" s="64">
        <v>0</v>
      </c>
      <c r="P184" s="64">
        <v>0</v>
      </c>
      <c r="Q184" s="58"/>
    </row>
    <row r="185" spans="2:18" ht="13.5" hidden="1" customHeight="1" outlineLevel="1" x14ac:dyDescent="0.25">
      <c r="B185" s="40"/>
      <c r="C185" s="36" t="s">
        <v>62</v>
      </c>
      <c r="D185" s="37">
        <v>7</v>
      </c>
      <c r="E185" s="38">
        <v>72935066.5</v>
      </c>
      <c r="F185" s="66">
        <f t="shared" si="18"/>
        <v>11089175.950000001</v>
      </c>
      <c r="G185" s="64">
        <v>11089173.32</v>
      </c>
      <c r="H185" s="38">
        <v>61845893.18</v>
      </c>
      <c r="I185" s="64">
        <v>2.63</v>
      </c>
      <c r="J185" s="65">
        <f t="shared" si="19"/>
        <v>61845890.549999997</v>
      </c>
      <c r="K185" s="64">
        <f t="shared" si="17"/>
        <v>9850169.5</v>
      </c>
      <c r="L185" s="64">
        <v>8234681.1499999994</v>
      </c>
      <c r="M185" s="64">
        <v>11772651.599999998</v>
      </c>
      <c r="N185" s="64">
        <v>31988388.299999997</v>
      </c>
      <c r="O185" s="64">
        <v>0</v>
      </c>
      <c r="P185" s="64">
        <v>0</v>
      </c>
      <c r="Q185" s="58"/>
    </row>
    <row r="186" spans="2:18" ht="13.9" hidden="1" customHeight="1" outlineLevel="1" x14ac:dyDescent="0.25">
      <c r="B186" s="40"/>
      <c r="C186" s="36" t="s">
        <v>63</v>
      </c>
      <c r="D186" s="37">
        <v>34</v>
      </c>
      <c r="E186" s="38">
        <v>149913899</v>
      </c>
      <c r="F186" s="66">
        <f t="shared" si="18"/>
        <v>17645591.150000002</v>
      </c>
      <c r="G186" s="64">
        <v>16825579.060000002</v>
      </c>
      <c r="H186" s="38">
        <v>133088319.93999998</v>
      </c>
      <c r="I186" s="64">
        <v>820012.09000000008</v>
      </c>
      <c r="J186" s="65">
        <f t="shared" si="19"/>
        <v>132268307.84999998</v>
      </c>
      <c r="K186" s="64">
        <f t="shared" si="17"/>
        <v>24140648.599999949</v>
      </c>
      <c r="L186" s="64">
        <v>17596179.050000004</v>
      </c>
      <c r="M186" s="64">
        <v>26726661.550000008</v>
      </c>
      <c r="N186" s="64">
        <v>63804818.650000021</v>
      </c>
      <c r="O186" s="64">
        <v>0</v>
      </c>
      <c r="P186" s="64">
        <v>0</v>
      </c>
      <c r="Q186" s="58"/>
    </row>
    <row r="187" spans="2:18" ht="13.9" hidden="1" customHeight="1" outlineLevel="1" x14ac:dyDescent="0.25">
      <c r="B187" s="40"/>
      <c r="C187" s="36" t="s">
        <v>64</v>
      </c>
      <c r="D187" s="37">
        <v>3</v>
      </c>
      <c r="E187" s="38">
        <v>8554677.3000000007</v>
      </c>
      <c r="F187" s="66">
        <f t="shared" si="18"/>
        <v>3766197.1100000003</v>
      </c>
      <c r="G187" s="64">
        <v>1250297.56</v>
      </c>
      <c r="H187" s="38">
        <v>7304379.7400000002</v>
      </c>
      <c r="I187" s="64">
        <v>2515899.5500000003</v>
      </c>
      <c r="J187" s="65">
        <f t="shared" si="19"/>
        <v>4788480.1899999995</v>
      </c>
      <c r="K187" s="64">
        <f t="shared" si="17"/>
        <v>4788480.1899999995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58"/>
    </row>
    <row r="188" spans="2:18" ht="13.9" hidden="1" customHeight="1" outlineLevel="1" x14ac:dyDescent="0.25">
      <c r="B188" s="40"/>
      <c r="C188" s="36" t="s">
        <v>65</v>
      </c>
      <c r="D188" s="37">
        <v>0</v>
      </c>
      <c r="E188" s="38">
        <v>0</v>
      </c>
      <c r="F188" s="66">
        <f t="shared" si="18"/>
        <v>0</v>
      </c>
      <c r="G188" s="64">
        <v>0</v>
      </c>
      <c r="H188" s="38">
        <v>0</v>
      </c>
      <c r="I188" s="64">
        <v>0</v>
      </c>
      <c r="J188" s="65">
        <f t="shared" si="19"/>
        <v>0</v>
      </c>
      <c r="K188" s="64">
        <f t="shared" si="17"/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58"/>
    </row>
    <row r="189" spans="2:18" ht="13.9" hidden="1" customHeight="1" outlineLevel="1" x14ac:dyDescent="0.25">
      <c r="B189" s="40"/>
      <c r="C189" s="36" t="s">
        <v>66</v>
      </c>
      <c r="D189" s="37">
        <v>0</v>
      </c>
      <c r="E189" s="38">
        <v>0</v>
      </c>
      <c r="F189" s="66">
        <f t="shared" si="18"/>
        <v>0</v>
      </c>
      <c r="G189" s="64">
        <v>0</v>
      </c>
      <c r="H189" s="38">
        <v>0</v>
      </c>
      <c r="I189" s="64">
        <v>0</v>
      </c>
      <c r="J189" s="65">
        <f t="shared" si="19"/>
        <v>0</v>
      </c>
      <c r="K189" s="64">
        <f t="shared" si="17"/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58"/>
    </row>
    <row r="190" spans="2:18" ht="13.9" hidden="1" customHeight="1" outlineLevel="1" x14ac:dyDescent="0.25">
      <c r="B190" s="40"/>
      <c r="C190" s="36" t="s">
        <v>67</v>
      </c>
      <c r="D190" s="37">
        <v>11</v>
      </c>
      <c r="E190" s="38">
        <v>23620350</v>
      </c>
      <c r="F190" s="66">
        <f t="shared" si="18"/>
        <v>12961297.640000001</v>
      </c>
      <c r="G190" s="64">
        <v>3855576.5000000005</v>
      </c>
      <c r="H190" s="38">
        <v>19764773.5</v>
      </c>
      <c r="I190" s="64">
        <v>9105721.1400000006</v>
      </c>
      <c r="J190" s="65">
        <f t="shared" si="19"/>
        <v>10659052.359999999</v>
      </c>
      <c r="K190" s="64">
        <f t="shared" si="17"/>
        <v>10659052.359999999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58"/>
    </row>
    <row r="191" spans="2:18" ht="13.9" customHeight="1" collapsed="1" x14ac:dyDescent="0.25">
      <c r="B191" s="43"/>
      <c r="C191" s="29" t="s">
        <v>68</v>
      </c>
      <c r="D191" s="44">
        <f t="shared" ref="D191:P191" si="20">SUM(D154:D190)</f>
        <v>2455</v>
      </c>
      <c r="E191" s="45">
        <f t="shared" si="20"/>
        <v>7481822392.8000002</v>
      </c>
      <c r="F191" s="46">
        <f t="shared" si="20"/>
        <v>1708020537.8699999</v>
      </c>
      <c r="G191" s="47">
        <f t="shared" si="20"/>
        <v>1173114098.9099998</v>
      </c>
      <c r="H191" s="44">
        <f t="shared" si="20"/>
        <v>6308708293.8900003</v>
      </c>
      <c r="I191" s="45">
        <f t="shared" si="20"/>
        <v>534906438.95999998</v>
      </c>
      <c r="J191" s="46">
        <f t="shared" si="20"/>
        <v>5773801854.9300003</v>
      </c>
      <c r="K191" s="47">
        <f t="shared" si="20"/>
        <v>1001395100.88</v>
      </c>
      <c r="L191" s="44">
        <f t="shared" si="20"/>
        <v>1371623214.1099999</v>
      </c>
      <c r="M191" s="45">
        <f t="shared" si="20"/>
        <v>1135532716.9699998</v>
      </c>
      <c r="N191" s="44">
        <f t="shared" si="20"/>
        <v>1563025588.3800006</v>
      </c>
      <c r="O191" s="45">
        <f t="shared" si="20"/>
        <v>619542391.42000008</v>
      </c>
      <c r="P191" s="45">
        <f t="shared" si="20"/>
        <v>82682843.180000007</v>
      </c>
      <c r="Q191" s="39"/>
      <c r="R191" s="39"/>
    </row>
    <row r="192" spans="2:18" ht="13.9" hidden="1" customHeight="1" outlineLevel="1" x14ac:dyDescent="0.25">
      <c r="B192" s="35" t="s">
        <v>83</v>
      </c>
      <c r="C192" s="36" t="s">
        <v>70</v>
      </c>
      <c r="D192" s="37">
        <v>184</v>
      </c>
      <c r="E192" s="38">
        <v>430393847.59999973</v>
      </c>
      <c r="F192" s="66">
        <f>G192+I192</f>
        <v>81237443.400000006</v>
      </c>
      <c r="G192" s="64">
        <v>69712358.890000001</v>
      </c>
      <c r="H192" s="38">
        <v>360681488.70999998</v>
      </c>
      <c r="I192" s="64">
        <v>11525084.51</v>
      </c>
      <c r="J192" s="65">
        <f>H192-I192</f>
        <v>349156404.19999999</v>
      </c>
      <c r="K192" s="64">
        <f t="shared" si="17"/>
        <v>59002539.939999878</v>
      </c>
      <c r="L192" s="64">
        <v>82291496.840000078</v>
      </c>
      <c r="M192" s="64">
        <v>92360078.99000001</v>
      </c>
      <c r="N192" s="64">
        <v>101149761.86999999</v>
      </c>
      <c r="O192" s="64">
        <v>14352526.560000001</v>
      </c>
      <c r="P192" s="64">
        <v>0</v>
      </c>
      <c r="Q192" s="58"/>
    </row>
    <row r="193" spans="2:18" ht="13.9" hidden="1" customHeight="1" outlineLevel="1" x14ac:dyDescent="0.25">
      <c r="B193" s="40"/>
      <c r="C193" s="36" t="s">
        <v>71</v>
      </c>
      <c r="D193" s="37">
        <v>57</v>
      </c>
      <c r="E193" s="38">
        <v>812316335.30000007</v>
      </c>
      <c r="F193" s="66">
        <f>G193+I193</f>
        <v>156380234.98999998</v>
      </c>
      <c r="G193" s="64">
        <v>126115901.98999999</v>
      </c>
      <c r="H193" s="38">
        <v>686200433.30999982</v>
      </c>
      <c r="I193" s="64">
        <v>30264332.999999996</v>
      </c>
      <c r="J193" s="65">
        <f>H193-I193</f>
        <v>655936100.30999982</v>
      </c>
      <c r="K193" s="64">
        <f t="shared" si="17"/>
        <v>115003512.07999992</v>
      </c>
      <c r="L193" s="64">
        <v>160804271.25999999</v>
      </c>
      <c r="M193" s="64">
        <v>380128316.96999991</v>
      </c>
      <c r="N193" s="64">
        <v>0</v>
      </c>
      <c r="O193" s="64">
        <v>0</v>
      </c>
      <c r="P193" s="64">
        <v>0</v>
      </c>
      <c r="Q193" s="58"/>
    </row>
    <row r="194" spans="2:18" ht="13.9" hidden="1" customHeight="1" outlineLevel="1" x14ac:dyDescent="0.25">
      <c r="B194" s="40"/>
      <c r="C194" s="36" t="s">
        <v>72</v>
      </c>
      <c r="D194" s="37">
        <v>342</v>
      </c>
      <c r="E194" s="38">
        <v>562730736.5799998</v>
      </c>
      <c r="F194" s="66">
        <f>G194+I194</f>
        <v>103561374.74999994</v>
      </c>
      <c r="G194" s="64">
        <v>91644527.059999943</v>
      </c>
      <c r="H194" s="38">
        <v>471086209.5199998</v>
      </c>
      <c r="I194" s="64">
        <v>11916847.690000001</v>
      </c>
      <c r="J194" s="65">
        <f>H194-I194</f>
        <v>459169361.8299998</v>
      </c>
      <c r="K194" s="64">
        <f t="shared" si="17"/>
        <v>73725662.899999738</v>
      </c>
      <c r="L194" s="64">
        <v>76745707.389999986</v>
      </c>
      <c r="M194" s="64">
        <v>43574550.750000015</v>
      </c>
      <c r="N194" s="64">
        <v>236101897.57000005</v>
      </c>
      <c r="O194" s="64">
        <v>29021543.220000006</v>
      </c>
      <c r="P194" s="64">
        <v>0</v>
      </c>
      <c r="Q194" s="58"/>
    </row>
    <row r="195" spans="2:18" ht="13.9" customHeight="1" collapsed="1" x14ac:dyDescent="0.25">
      <c r="B195" s="43"/>
      <c r="C195" s="29" t="s">
        <v>73</v>
      </c>
      <c r="D195" s="44">
        <f t="shared" ref="D195:P195" si="21">SUM(D192:D194)</f>
        <v>583</v>
      </c>
      <c r="E195" s="45">
        <f t="shared" si="21"/>
        <v>1805440919.4799995</v>
      </c>
      <c r="F195" s="46">
        <f t="shared" si="21"/>
        <v>341179053.13999993</v>
      </c>
      <c r="G195" s="47">
        <f t="shared" si="21"/>
        <v>287472787.93999994</v>
      </c>
      <c r="H195" s="44">
        <f t="shared" si="21"/>
        <v>1517968131.5399995</v>
      </c>
      <c r="I195" s="45">
        <f t="shared" si="21"/>
        <v>53706265.200000003</v>
      </c>
      <c r="J195" s="46">
        <f t="shared" si="21"/>
        <v>1464261866.3399997</v>
      </c>
      <c r="K195" s="47">
        <f t="shared" si="21"/>
        <v>247731714.91999954</v>
      </c>
      <c r="L195" s="44">
        <f t="shared" si="21"/>
        <v>319841475.49000007</v>
      </c>
      <c r="M195" s="45">
        <f t="shared" si="21"/>
        <v>516062946.70999992</v>
      </c>
      <c r="N195" s="44">
        <f t="shared" si="21"/>
        <v>337251659.44000006</v>
      </c>
      <c r="O195" s="45">
        <f t="shared" si="21"/>
        <v>43374069.780000009</v>
      </c>
      <c r="P195" s="45">
        <f t="shared" si="21"/>
        <v>0</v>
      </c>
      <c r="Q195" s="39"/>
      <c r="R195" s="39"/>
    </row>
    <row r="196" spans="2:18" ht="13.9" hidden="1" customHeight="1" outlineLevel="1" x14ac:dyDescent="0.25">
      <c r="B196" s="35" t="s">
        <v>74</v>
      </c>
      <c r="C196" s="36" t="s">
        <v>75</v>
      </c>
      <c r="D196" s="37">
        <v>43</v>
      </c>
      <c r="E196" s="38">
        <v>57177188.160000011</v>
      </c>
      <c r="F196" s="66">
        <f>G196+I196</f>
        <v>9654201.3800000008</v>
      </c>
      <c r="G196" s="64">
        <v>8900405.1100000013</v>
      </c>
      <c r="H196" s="38">
        <v>48276783.049999997</v>
      </c>
      <c r="I196" s="64">
        <v>753796.27000000014</v>
      </c>
      <c r="J196" s="65">
        <f>H196-I196</f>
        <v>47522986.779999994</v>
      </c>
      <c r="K196" s="64">
        <f t="shared" si="17"/>
        <v>7493598.2199999914</v>
      </c>
      <c r="L196" s="64">
        <v>7192722.71</v>
      </c>
      <c r="M196" s="64">
        <v>3439549.58</v>
      </c>
      <c r="N196" s="64">
        <v>29397116.270000003</v>
      </c>
      <c r="O196" s="64">
        <v>0</v>
      </c>
      <c r="P196" s="64">
        <v>0</v>
      </c>
      <c r="Q196" s="58"/>
    </row>
    <row r="197" spans="2:18" ht="13.9" hidden="1" customHeight="1" outlineLevel="1" x14ac:dyDescent="0.25">
      <c r="B197" s="40"/>
      <c r="C197" s="36" t="s">
        <v>76</v>
      </c>
      <c r="D197" s="37">
        <v>86</v>
      </c>
      <c r="E197" s="38">
        <v>119660377.11999999</v>
      </c>
      <c r="F197" s="66">
        <f>G197+I197</f>
        <v>22611960.880000003</v>
      </c>
      <c r="G197" s="64">
        <v>19444021.510000002</v>
      </c>
      <c r="H197" s="38">
        <v>100216355.61</v>
      </c>
      <c r="I197" s="64">
        <v>3167939.3699999992</v>
      </c>
      <c r="J197" s="65">
        <f>H197-I197</f>
        <v>97048416.239999995</v>
      </c>
      <c r="K197" s="64">
        <f t="shared" si="17"/>
        <v>18003945.419999972</v>
      </c>
      <c r="L197" s="64">
        <v>19118459.629999992</v>
      </c>
      <c r="M197" s="64">
        <v>59926011.190000035</v>
      </c>
      <c r="N197" s="64">
        <v>0</v>
      </c>
      <c r="O197" s="64">
        <v>0</v>
      </c>
      <c r="P197" s="64">
        <v>0</v>
      </c>
      <c r="Q197" s="58"/>
    </row>
    <row r="198" spans="2:18" ht="13.9" customHeight="1" collapsed="1" x14ac:dyDescent="0.25">
      <c r="B198" s="43"/>
      <c r="C198" s="29" t="s">
        <v>77</v>
      </c>
      <c r="D198" s="44">
        <f t="shared" ref="D198:P198" si="22">SUM(D196:D197)</f>
        <v>129</v>
      </c>
      <c r="E198" s="45">
        <f t="shared" si="22"/>
        <v>176837565.28</v>
      </c>
      <c r="F198" s="46">
        <f t="shared" si="22"/>
        <v>32266162.260000005</v>
      </c>
      <c r="G198" s="47">
        <f t="shared" si="22"/>
        <v>28344426.620000005</v>
      </c>
      <c r="H198" s="44">
        <f t="shared" si="22"/>
        <v>148493138.66</v>
      </c>
      <c r="I198" s="45">
        <f t="shared" si="22"/>
        <v>3921735.6399999992</v>
      </c>
      <c r="J198" s="46">
        <f t="shared" si="22"/>
        <v>144571403.01999998</v>
      </c>
      <c r="K198" s="47">
        <f t="shared" si="22"/>
        <v>25497543.639999963</v>
      </c>
      <c r="L198" s="44">
        <f t="shared" si="22"/>
        <v>26311182.339999992</v>
      </c>
      <c r="M198" s="45">
        <f t="shared" si="22"/>
        <v>63365560.770000033</v>
      </c>
      <c r="N198" s="44">
        <f t="shared" si="22"/>
        <v>29397116.270000003</v>
      </c>
      <c r="O198" s="45">
        <f t="shared" si="22"/>
        <v>0</v>
      </c>
      <c r="P198" s="45">
        <f t="shared" si="22"/>
        <v>0</v>
      </c>
      <c r="Q198" s="48"/>
      <c r="R198" s="48"/>
    </row>
    <row r="199" spans="2:18" ht="13.9" customHeight="1" x14ac:dyDescent="0.25">
      <c r="B199" s="49" t="s">
        <v>78</v>
      </c>
      <c r="C199" s="50"/>
      <c r="D199" s="67">
        <f>D198+D195+D191</f>
        <v>3167</v>
      </c>
      <c r="E199" s="68">
        <f t="shared" ref="E199:P199" si="23">E198+E195+E191</f>
        <v>9464100877.5599995</v>
      </c>
      <c r="F199" s="69">
        <f t="shared" si="23"/>
        <v>2081465753.2699997</v>
      </c>
      <c r="G199" s="70">
        <f t="shared" si="23"/>
        <v>1488931313.4699998</v>
      </c>
      <c r="H199" s="68">
        <f t="shared" si="23"/>
        <v>7975169564.0900002</v>
      </c>
      <c r="I199" s="70">
        <f t="shared" si="23"/>
        <v>592534439.79999995</v>
      </c>
      <c r="J199" s="68">
        <f t="shared" si="23"/>
        <v>7382635124.29</v>
      </c>
      <c r="K199" s="70">
        <f t="shared" si="23"/>
        <v>1274624359.4399996</v>
      </c>
      <c r="L199" s="70">
        <f t="shared" si="23"/>
        <v>1717775871.9400001</v>
      </c>
      <c r="M199" s="68">
        <f t="shared" si="23"/>
        <v>1714961224.4499998</v>
      </c>
      <c r="N199" s="68">
        <f t="shared" si="23"/>
        <v>1929674364.0900006</v>
      </c>
      <c r="O199" s="68">
        <f t="shared" si="23"/>
        <v>662916461.20000005</v>
      </c>
      <c r="P199" s="68">
        <f t="shared" si="23"/>
        <v>82682843.180000007</v>
      </c>
      <c r="Q199" s="58"/>
    </row>
    <row r="200" spans="2:18" ht="13.9" customHeight="1" x14ac:dyDescent="0.25">
      <c r="Q200" s="58"/>
    </row>
    <row r="201" spans="2:18" ht="13.9" customHeight="1" x14ac:dyDescent="0.25">
      <c r="B201" s="59" t="s">
        <v>89</v>
      </c>
      <c r="C201" s="59"/>
      <c r="Q201" s="58"/>
    </row>
    <row r="202" spans="2:18" ht="13.9" customHeight="1" x14ac:dyDescent="0.25">
      <c r="B202" s="29" t="s">
        <v>26</v>
      </c>
      <c r="C202" s="29" t="s">
        <v>27</v>
      </c>
      <c r="D202" s="60" t="s">
        <v>28</v>
      </c>
      <c r="E202" s="61" t="s">
        <v>29</v>
      </c>
      <c r="F202" s="62" t="s">
        <v>85</v>
      </c>
      <c r="G202" s="63" t="s">
        <v>81</v>
      </c>
      <c r="H202" s="61" t="s">
        <v>82</v>
      </c>
      <c r="I202" s="63" t="s">
        <v>86</v>
      </c>
      <c r="J202" s="61" t="s">
        <v>87</v>
      </c>
      <c r="K202" s="63">
        <v>2026</v>
      </c>
      <c r="L202" s="63">
        <v>2027</v>
      </c>
      <c r="M202" s="61">
        <v>2028</v>
      </c>
      <c r="N202" s="63">
        <v>2029</v>
      </c>
      <c r="O202" s="61">
        <v>2030</v>
      </c>
      <c r="P202" s="63">
        <v>2031</v>
      </c>
      <c r="Q202" s="58"/>
    </row>
    <row r="203" spans="2:18" ht="13.9" hidden="1" customHeight="1" outlineLevel="1" x14ac:dyDescent="0.25">
      <c r="B203" s="35" t="s">
        <v>30</v>
      </c>
      <c r="C203" s="36" t="s">
        <v>31</v>
      </c>
      <c r="D203" s="37">
        <v>7</v>
      </c>
      <c r="E203" s="38">
        <v>15003494.780000001</v>
      </c>
      <c r="F203" s="66">
        <f>G203+I203</f>
        <v>8387620.46</v>
      </c>
      <c r="G203" s="64">
        <v>3507830.2</v>
      </c>
      <c r="H203" s="38">
        <v>11495664.58</v>
      </c>
      <c r="I203" s="64">
        <v>4879790.26</v>
      </c>
      <c r="J203" s="65">
        <f>H203-I203</f>
        <v>6615874.3200000003</v>
      </c>
      <c r="K203" s="64">
        <f t="shared" ref="K203:K246" si="24">MAX(J203-SUM(L203:P203),0)</f>
        <v>6615874.3200000003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58"/>
    </row>
    <row r="204" spans="2:18" ht="13.9" hidden="1" customHeight="1" outlineLevel="1" x14ac:dyDescent="0.25">
      <c r="B204" s="40"/>
      <c r="C204" s="36" t="s">
        <v>32</v>
      </c>
      <c r="D204" s="37">
        <v>0</v>
      </c>
      <c r="E204" s="38">
        <v>0</v>
      </c>
      <c r="F204" s="66">
        <f t="shared" ref="F204:F232" si="25">G204+I204</f>
        <v>0</v>
      </c>
      <c r="G204" s="64">
        <v>0</v>
      </c>
      <c r="H204" s="38">
        <v>0</v>
      </c>
      <c r="I204" s="64">
        <v>0</v>
      </c>
      <c r="J204" s="65">
        <f t="shared" ref="J204:J232" si="26">H204-I204</f>
        <v>0</v>
      </c>
      <c r="K204" s="64">
        <f t="shared" si="24"/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58"/>
    </row>
    <row r="205" spans="2:18" ht="13.9" hidden="1" customHeight="1" outlineLevel="1" x14ac:dyDescent="0.25">
      <c r="B205" s="40"/>
      <c r="C205" s="36" t="s">
        <v>33</v>
      </c>
      <c r="D205" s="37">
        <v>3</v>
      </c>
      <c r="E205" s="38">
        <v>7653780.75</v>
      </c>
      <c r="F205" s="66">
        <f t="shared" si="25"/>
        <v>5962046.5099999998</v>
      </c>
      <c r="G205" s="64">
        <v>1793174.75</v>
      </c>
      <c r="H205" s="38">
        <v>5860606</v>
      </c>
      <c r="I205" s="64">
        <v>4168871.76</v>
      </c>
      <c r="J205" s="65">
        <f t="shared" si="26"/>
        <v>1691734.2400000002</v>
      </c>
      <c r="K205" s="64">
        <f t="shared" si="24"/>
        <v>1127822.81</v>
      </c>
      <c r="L205" s="64">
        <v>563911.43000000005</v>
      </c>
      <c r="M205" s="64">
        <v>0</v>
      </c>
      <c r="N205" s="64">
        <v>0</v>
      </c>
      <c r="O205" s="64">
        <v>0</v>
      </c>
      <c r="P205" s="64">
        <v>0</v>
      </c>
      <c r="Q205" s="58"/>
    </row>
    <row r="206" spans="2:18" ht="13.9" hidden="1" customHeight="1" outlineLevel="1" x14ac:dyDescent="0.25">
      <c r="B206" s="40"/>
      <c r="C206" s="36" t="s">
        <v>34</v>
      </c>
      <c r="D206" s="37">
        <v>5</v>
      </c>
      <c r="E206" s="38">
        <v>11720364.43</v>
      </c>
      <c r="F206" s="66">
        <f t="shared" si="25"/>
        <v>7921815.9499999993</v>
      </c>
      <c r="G206" s="64">
        <v>2860981.15</v>
      </c>
      <c r="H206" s="38">
        <v>9048122.8440000005</v>
      </c>
      <c r="I206" s="64">
        <v>5060834.8</v>
      </c>
      <c r="J206" s="65">
        <f t="shared" si="26"/>
        <v>3987288.0440000007</v>
      </c>
      <c r="K206" s="64">
        <f t="shared" si="24"/>
        <v>995833.84400000051</v>
      </c>
      <c r="L206" s="64">
        <v>1994302.8</v>
      </c>
      <c r="M206" s="64">
        <v>997151.4</v>
      </c>
      <c r="N206" s="64">
        <v>0</v>
      </c>
      <c r="O206" s="64">
        <v>0</v>
      </c>
      <c r="P206" s="64">
        <v>0</v>
      </c>
      <c r="Q206" s="58"/>
    </row>
    <row r="207" spans="2:18" ht="13.9" hidden="1" customHeight="1" outlineLevel="1" x14ac:dyDescent="0.25">
      <c r="B207" s="40"/>
      <c r="C207" s="36" t="s">
        <v>35</v>
      </c>
      <c r="D207" s="37">
        <v>1</v>
      </c>
      <c r="E207" s="38">
        <v>801125</v>
      </c>
      <c r="F207" s="66">
        <f t="shared" si="25"/>
        <v>801125</v>
      </c>
      <c r="G207" s="64">
        <v>160335</v>
      </c>
      <c r="H207" s="38">
        <v>640790</v>
      </c>
      <c r="I207" s="64">
        <v>640790</v>
      </c>
      <c r="J207" s="65">
        <f t="shared" si="26"/>
        <v>0</v>
      </c>
      <c r="K207" s="64">
        <f t="shared" si="24"/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58"/>
    </row>
    <row r="208" spans="2:18" ht="13.9" hidden="1" customHeight="1" outlineLevel="1" x14ac:dyDescent="0.25">
      <c r="B208" s="40"/>
      <c r="C208" s="36" t="s">
        <v>36</v>
      </c>
      <c r="D208" s="37">
        <v>46</v>
      </c>
      <c r="E208" s="38">
        <v>413238728.23000002</v>
      </c>
      <c r="F208" s="66">
        <f t="shared" si="25"/>
        <v>120958883.41999999</v>
      </c>
      <c r="G208" s="64">
        <v>111615064.22999999</v>
      </c>
      <c r="H208" s="38">
        <v>301623664</v>
      </c>
      <c r="I208" s="64">
        <v>9343819.1899999995</v>
      </c>
      <c r="J208" s="65">
        <f t="shared" si="26"/>
        <v>292279844.81</v>
      </c>
      <c r="K208" s="64">
        <f t="shared" si="24"/>
        <v>59737515.659999967</v>
      </c>
      <c r="L208" s="64">
        <v>198159157.15000004</v>
      </c>
      <c r="M208" s="64">
        <v>34383172</v>
      </c>
      <c r="N208" s="64">
        <v>0</v>
      </c>
      <c r="O208" s="64">
        <v>0</v>
      </c>
      <c r="P208" s="64">
        <v>0</v>
      </c>
      <c r="Q208" s="58"/>
    </row>
    <row r="209" spans="2:17" ht="13.9" hidden="1" customHeight="1" outlineLevel="1" x14ac:dyDescent="0.25">
      <c r="B209" s="40"/>
      <c r="C209" s="36" t="s">
        <v>37</v>
      </c>
      <c r="D209" s="37">
        <v>1</v>
      </c>
      <c r="E209" s="38">
        <v>1206348</v>
      </c>
      <c r="F209" s="66">
        <f t="shared" si="25"/>
        <v>1206348</v>
      </c>
      <c r="G209" s="64">
        <v>315830</v>
      </c>
      <c r="H209" s="38">
        <v>890518</v>
      </c>
      <c r="I209" s="64">
        <v>890518</v>
      </c>
      <c r="J209" s="65">
        <f t="shared" si="26"/>
        <v>0</v>
      </c>
      <c r="K209" s="64">
        <f t="shared" si="24"/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58"/>
    </row>
    <row r="210" spans="2:17" ht="13.9" hidden="1" customHeight="1" outlineLevel="1" x14ac:dyDescent="0.25">
      <c r="B210" s="40"/>
      <c r="C210" s="36" t="s">
        <v>38</v>
      </c>
      <c r="D210" s="37">
        <v>0</v>
      </c>
      <c r="E210" s="38">
        <v>0</v>
      </c>
      <c r="F210" s="66">
        <f t="shared" si="25"/>
        <v>0</v>
      </c>
      <c r="G210" s="64">
        <v>0</v>
      </c>
      <c r="H210" s="38">
        <v>0</v>
      </c>
      <c r="I210" s="64">
        <v>0</v>
      </c>
      <c r="J210" s="65">
        <f t="shared" si="26"/>
        <v>0</v>
      </c>
      <c r="K210" s="64">
        <f t="shared" si="24"/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58"/>
    </row>
    <row r="211" spans="2:17" ht="13.9" hidden="1" customHeight="1" outlineLevel="1" x14ac:dyDescent="0.25">
      <c r="B211" s="40"/>
      <c r="C211" s="36" t="s">
        <v>39</v>
      </c>
      <c r="D211" s="37">
        <v>0</v>
      </c>
      <c r="E211" s="38">
        <v>0</v>
      </c>
      <c r="F211" s="66">
        <f t="shared" si="25"/>
        <v>0</v>
      </c>
      <c r="G211" s="64">
        <v>0</v>
      </c>
      <c r="H211" s="38">
        <v>0</v>
      </c>
      <c r="I211" s="64">
        <v>0</v>
      </c>
      <c r="J211" s="65">
        <f t="shared" si="26"/>
        <v>0</v>
      </c>
      <c r="K211" s="64">
        <f t="shared" si="24"/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58"/>
    </row>
    <row r="212" spans="2:17" ht="13.9" hidden="1" customHeight="1" outlineLevel="1" x14ac:dyDescent="0.25">
      <c r="B212" s="40"/>
      <c r="C212" s="36" t="s">
        <v>40</v>
      </c>
      <c r="D212" s="37">
        <v>12</v>
      </c>
      <c r="E212" s="38">
        <v>320351067</v>
      </c>
      <c r="F212" s="66">
        <f t="shared" si="25"/>
        <v>101539855.90000001</v>
      </c>
      <c r="G212" s="64">
        <v>77744377.540000007</v>
      </c>
      <c r="H212" s="38">
        <v>242606689.46000001</v>
      </c>
      <c r="I212" s="64">
        <v>23795478.359999999</v>
      </c>
      <c r="J212" s="65">
        <f t="shared" si="26"/>
        <v>218811211.10000002</v>
      </c>
      <c r="K212" s="64">
        <f t="shared" si="24"/>
        <v>86527314.200000033</v>
      </c>
      <c r="L212" s="64">
        <v>132283896.89999999</v>
      </c>
      <c r="M212" s="64">
        <v>0</v>
      </c>
      <c r="N212" s="64">
        <v>0</v>
      </c>
      <c r="O212" s="64">
        <v>0</v>
      </c>
      <c r="P212" s="64">
        <v>0</v>
      </c>
      <c r="Q212" s="58"/>
    </row>
    <row r="213" spans="2:17" ht="13.9" hidden="1" customHeight="1" outlineLevel="1" x14ac:dyDescent="0.25">
      <c r="B213" s="40"/>
      <c r="C213" s="36" t="s">
        <v>41</v>
      </c>
      <c r="D213" s="37">
        <v>0</v>
      </c>
      <c r="E213" s="38">
        <v>0</v>
      </c>
      <c r="F213" s="66">
        <f t="shared" si="25"/>
        <v>0</v>
      </c>
      <c r="G213" s="64">
        <v>0</v>
      </c>
      <c r="H213" s="38">
        <v>0</v>
      </c>
      <c r="I213" s="64">
        <v>0</v>
      </c>
      <c r="J213" s="65">
        <f t="shared" si="26"/>
        <v>0</v>
      </c>
      <c r="K213" s="64">
        <f t="shared" si="24"/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58"/>
    </row>
    <row r="214" spans="2:17" ht="13.9" hidden="1" customHeight="1" outlineLevel="1" x14ac:dyDescent="0.25">
      <c r="B214" s="40"/>
      <c r="C214" s="36" t="s">
        <v>42</v>
      </c>
      <c r="D214" s="37">
        <v>272</v>
      </c>
      <c r="E214" s="38">
        <v>582974897.0999999</v>
      </c>
      <c r="F214" s="66">
        <f t="shared" si="25"/>
        <v>195038841.14000002</v>
      </c>
      <c r="G214" s="64">
        <v>149585153.88</v>
      </c>
      <c r="H214" s="38">
        <v>433389743.22000009</v>
      </c>
      <c r="I214" s="64">
        <v>45453687.26000002</v>
      </c>
      <c r="J214" s="65">
        <f t="shared" si="26"/>
        <v>387936055.96000004</v>
      </c>
      <c r="K214" s="64">
        <f t="shared" si="24"/>
        <v>71460316.039999843</v>
      </c>
      <c r="L214" s="64">
        <v>316475739.9200002</v>
      </c>
      <c r="M214" s="64">
        <v>0</v>
      </c>
      <c r="N214" s="64">
        <v>0</v>
      </c>
      <c r="O214" s="64">
        <v>0</v>
      </c>
      <c r="P214" s="64">
        <v>0</v>
      </c>
      <c r="Q214" s="58"/>
    </row>
    <row r="215" spans="2:17" ht="13.9" hidden="1" customHeight="1" outlineLevel="1" x14ac:dyDescent="0.25">
      <c r="B215" s="40"/>
      <c r="C215" s="36" t="s">
        <v>43</v>
      </c>
      <c r="D215" s="37">
        <v>43</v>
      </c>
      <c r="E215" s="38">
        <v>492118935.60000002</v>
      </c>
      <c r="F215" s="66">
        <f t="shared" si="25"/>
        <v>168723125.40999997</v>
      </c>
      <c r="G215" s="64">
        <v>119567248.65999998</v>
      </c>
      <c r="H215" s="38">
        <v>372551686.93999994</v>
      </c>
      <c r="I215" s="64">
        <v>49155876.75</v>
      </c>
      <c r="J215" s="65">
        <f t="shared" si="26"/>
        <v>323395810.18999994</v>
      </c>
      <c r="K215" s="64">
        <f t="shared" si="24"/>
        <v>120935288.83999994</v>
      </c>
      <c r="L215" s="64">
        <v>202460521.34999999</v>
      </c>
      <c r="M215" s="64">
        <v>0</v>
      </c>
      <c r="N215" s="64">
        <v>0</v>
      </c>
      <c r="O215" s="64">
        <v>0</v>
      </c>
      <c r="P215" s="64">
        <v>0</v>
      </c>
      <c r="Q215" s="58"/>
    </row>
    <row r="216" spans="2:17" ht="13.9" hidden="1" customHeight="1" outlineLevel="1" x14ac:dyDescent="0.25">
      <c r="B216" s="40"/>
      <c r="C216" s="36" t="s">
        <v>44</v>
      </c>
      <c r="D216" s="37">
        <v>663</v>
      </c>
      <c r="E216" s="38">
        <v>1786593396.6299973</v>
      </c>
      <c r="F216" s="66">
        <f t="shared" si="25"/>
        <v>483847494.27999985</v>
      </c>
      <c r="G216" s="64">
        <v>467233980.96999985</v>
      </c>
      <c r="H216" s="38">
        <v>1319359415.6599987</v>
      </c>
      <c r="I216" s="64">
        <v>16613513.309999989</v>
      </c>
      <c r="J216" s="65">
        <f t="shared" si="26"/>
        <v>1302745902.3499987</v>
      </c>
      <c r="K216" s="64">
        <f t="shared" si="24"/>
        <v>184685751.51999784</v>
      </c>
      <c r="L216" s="64">
        <v>267483708.58000025</v>
      </c>
      <c r="M216" s="64">
        <v>850576442.25000072</v>
      </c>
      <c r="N216" s="64">
        <v>0</v>
      </c>
      <c r="O216" s="64">
        <v>0</v>
      </c>
      <c r="P216" s="64">
        <v>0</v>
      </c>
      <c r="Q216" s="58"/>
    </row>
    <row r="217" spans="2:17" ht="13.9" hidden="1" customHeight="1" outlineLevel="1" x14ac:dyDescent="0.25">
      <c r="B217" s="40"/>
      <c r="C217" s="36" t="s">
        <v>45</v>
      </c>
      <c r="D217" s="37">
        <v>1032</v>
      </c>
      <c r="E217" s="38">
        <v>2359968131.0800014</v>
      </c>
      <c r="F217" s="66">
        <f t="shared" si="25"/>
        <v>580756028.95000064</v>
      </c>
      <c r="G217" s="64">
        <v>542171890.22000062</v>
      </c>
      <c r="H217" s="38">
        <v>1817796240.8600004</v>
      </c>
      <c r="I217" s="64">
        <v>38584138.729999974</v>
      </c>
      <c r="J217" s="65">
        <f t="shared" si="26"/>
        <v>1779212102.1300004</v>
      </c>
      <c r="K217" s="64">
        <f t="shared" si="24"/>
        <v>147112164.75000262</v>
      </c>
      <c r="L217" s="64">
        <v>235697960.32999963</v>
      </c>
      <c r="M217" s="64">
        <v>370416034.82000023</v>
      </c>
      <c r="N217" s="64">
        <v>838328190.37999797</v>
      </c>
      <c r="O217" s="64">
        <v>187657751.85000002</v>
      </c>
      <c r="P217" s="64">
        <v>0</v>
      </c>
      <c r="Q217" s="58"/>
    </row>
    <row r="218" spans="2:17" ht="13.9" hidden="1" customHeight="1" outlineLevel="1" x14ac:dyDescent="0.25">
      <c r="B218" s="40"/>
      <c r="C218" s="36" t="s">
        <v>46</v>
      </c>
      <c r="D218" s="37">
        <v>19</v>
      </c>
      <c r="E218" s="38">
        <v>163225495.59999999</v>
      </c>
      <c r="F218" s="66">
        <f t="shared" si="25"/>
        <v>34380326.960000001</v>
      </c>
      <c r="G218" s="64">
        <v>34230366.960000001</v>
      </c>
      <c r="H218" s="38">
        <v>128995128.64</v>
      </c>
      <c r="I218" s="64">
        <v>149960</v>
      </c>
      <c r="J218" s="65">
        <f t="shared" si="26"/>
        <v>128845168.64</v>
      </c>
      <c r="K218" s="64">
        <f t="shared" si="24"/>
        <v>4767120.5299999863</v>
      </c>
      <c r="L218" s="64">
        <v>35054764.759999998</v>
      </c>
      <c r="M218" s="64">
        <v>17138717.579999998</v>
      </c>
      <c r="N218" s="64">
        <v>3329696.5300000003</v>
      </c>
      <c r="O218" s="64">
        <v>68554869.24000001</v>
      </c>
      <c r="P218" s="64">
        <v>0</v>
      </c>
      <c r="Q218" s="58"/>
    </row>
    <row r="219" spans="2:17" ht="13.9" hidden="1" customHeight="1" outlineLevel="1" x14ac:dyDescent="0.25">
      <c r="B219" s="40"/>
      <c r="C219" s="36" t="s">
        <v>47</v>
      </c>
      <c r="D219" s="37">
        <v>110</v>
      </c>
      <c r="E219" s="38">
        <v>287546705.26999998</v>
      </c>
      <c r="F219" s="66">
        <f t="shared" si="25"/>
        <v>101352557.97000003</v>
      </c>
      <c r="G219" s="64">
        <v>76649969.610000029</v>
      </c>
      <c r="H219" s="38">
        <v>210896735.65999997</v>
      </c>
      <c r="I219" s="64">
        <v>24702588.359999996</v>
      </c>
      <c r="J219" s="65">
        <f t="shared" si="26"/>
        <v>186194147.29999998</v>
      </c>
      <c r="K219" s="64">
        <f t="shared" si="24"/>
        <v>185775132.29999998</v>
      </c>
      <c r="L219" s="64">
        <v>419015</v>
      </c>
      <c r="M219" s="64">
        <v>0</v>
      </c>
      <c r="N219" s="64">
        <v>0</v>
      </c>
      <c r="O219" s="64">
        <v>0</v>
      </c>
      <c r="P219" s="64">
        <v>0</v>
      </c>
      <c r="Q219" s="58"/>
    </row>
    <row r="220" spans="2:17" ht="13.9" hidden="1" customHeight="1" outlineLevel="1" x14ac:dyDescent="0.25">
      <c r="B220" s="40"/>
      <c r="C220" s="36" t="s">
        <v>48</v>
      </c>
      <c r="D220" s="37">
        <v>434</v>
      </c>
      <c r="E220" s="38">
        <v>646695060.11000025</v>
      </c>
      <c r="F220" s="66">
        <f t="shared" si="25"/>
        <v>193974733.6400001</v>
      </c>
      <c r="G220" s="64">
        <v>168847691.8300001</v>
      </c>
      <c r="H220" s="38">
        <v>477847368.28000003</v>
      </c>
      <c r="I220" s="64">
        <v>25127041.809999991</v>
      </c>
      <c r="J220" s="65">
        <f t="shared" si="26"/>
        <v>452720326.47000003</v>
      </c>
      <c r="K220" s="64">
        <f t="shared" si="24"/>
        <v>81980975.759999812</v>
      </c>
      <c r="L220" s="64">
        <v>370739350.71000022</v>
      </c>
      <c r="M220" s="64">
        <v>0</v>
      </c>
      <c r="N220" s="64">
        <v>0</v>
      </c>
      <c r="O220" s="64">
        <v>0</v>
      </c>
      <c r="P220" s="64">
        <v>0</v>
      </c>
      <c r="Q220" s="58"/>
    </row>
    <row r="221" spans="2:17" ht="13.9" hidden="1" customHeight="1" outlineLevel="1" x14ac:dyDescent="0.25">
      <c r="B221" s="40"/>
      <c r="C221" s="36" t="s">
        <v>49</v>
      </c>
      <c r="D221" s="37">
        <v>8</v>
      </c>
      <c r="E221" s="38">
        <v>58565354.560000002</v>
      </c>
      <c r="F221" s="66">
        <f t="shared" si="25"/>
        <v>32381428.699999999</v>
      </c>
      <c r="G221" s="64">
        <v>14077761.870000001</v>
      </c>
      <c r="H221" s="38">
        <v>44487592.690000005</v>
      </c>
      <c r="I221" s="64">
        <v>18303666.829999998</v>
      </c>
      <c r="J221" s="65">
        <f t="shared" si="26"/>
        <v>26183925.860000007</v>
      </c>
      <c r="K221" s="64">
        <f t="shared" si="24"/>
        <v>16650689.000000007</v>
      </c>
      <c r="L221" s="64">
        <v>9533236.8599999994</v>
      </c>
      <c r="M221" s="64">
        <v>0</v>
      </c>
      <c r="N221" s="64">
        <v>0</v>
      </c>
      <c r="O221" s="64">
        <v>0</v>
      </c>
      <c r="P221" s="64">
        <v>0</v>
      </c>
      <c r="Q221" s="58"/>
    </row>
    <row r="222" spans="2:17" ht="13.9" hidden="1" customHeight="1" outlineLevel="1" x14ac:dyDescent="0.25">
      <c r="B222" s="40"/>
      <c r="C222" s="36" t="s">
        <v>50</v>
      </c>
      <c r="D222" s="37">
        <v>59</v>
      </c>
      <c r="E222" s="38">
        <v>281502263.75</v>
      </c>
      <c r="F222" s="66">
        <f t="shared" si="25"/>
        <v>56910231.379999988</v>
      </c>
      <c r="G222" s="64">
        <v>56910231.379999988</v>
      </c>
      <c r="H222" s="38">
        <v>224592032.37</v>
      </c>
      <c r="I222" s="64">
        <v>0</v>
      </c>
      <c r="J222" s="65">
        <f t="shared" si="26"/>
        <v>224592032.37</v>
      </c>
      <c r="K222" s="64">
        <f t="shared" si="24"/>
        <v>24734892.550000042</v>
      </c>
      <c r="L222" s="64">
        <v>28961728.84999999</v>
      </c>
      <c r="M222" s="64">
        <v>27767923.639999993</v>
      </c>
      <c r="N222" s="64">
        <v>28150226.45999999</v>
      </c>
      <c r="O222" s="64">
        <v>26667546.209999993</v>
      </c>
      <c r="P222" s="64">
        <v>88309714.659999996</v>
      </c>
      <c r="Q222" s="58"/>
    </row>
    <row r="223" spans="2:17" ht="13.9" hidden="1" customHeight="1" outlineLevel="1" x14ac:dyDescent="0.25">
      <c r="B223" s="40"/>
      <c r="C223" s="36" t="s">
        <v>51</v>
      </c>
      <c r="D223" s="37">
        <v>702</v>
      </c>
      <c r="E223" s="38">
        <v>878623039.51999974</v>
      </c>
      <c r="F223" s="66">
        <f t="shared" si="25"/>
        <v>249359987.58999985</v>
      </c>
      <c r="G223" s="64">
        <v>230451780.37999988</v>
      </c>
      <c r="H223" s="38">
        <v>648171259.14000046</v>
      </c>
      <c r="I223" s="64">
        <v>18908207.209999993</v>
      </c>
      <c r="J223" s="65">
        <f t="shared" si="26"/>
        <v>629263051.93000042</v>
      </c>
      <c r="K223" s="64">
        <f t="shared" si="24"/>
        <v>105433174.95000023</v>
      </c>
      <c r="L223" s="64">
        <v>523829876.9800002</v>
      </c>
      <c r="M223" s="64">
        <v>0</v>
      </c>
      <c r="N223" s="64">
        <v>0</v>
      </c>
      <c r="O223" s="64">
        <v>0</v>
      </c>
      <c r="P223" s="64">
        <v>0</v>
      </c>
      <c r="Q223" s="58"/>
    </row>
    <row r="224" spans="2:17" ht="13.9" hidden="1" customHeight="1" outlineLevel="1" x14ac:dyDescent="0.25">
      <c r="B224" s="40"/>
      <c r="C224" s="36" t="s">
        <v>52</v>
      </c>
      <c r="D224" s="37">
        <v>229</v>
      </c>
      <c r="E224" s="38">
        <v>510990219.03999978</v>
      </c>
      <c r="F224" s="66">
        <f t="shared" si="25"/>
        <v>103588813.06000003</v>
      </c>
      <c r="G224" s="64">
        <v>103588813.06000003</v>
      </c>
      <c r="H224" s="38">
        <v>407401405.97999972</v>
      </c>
      <c r="I224" s="64">
        <v>0</v>
      </c>
      <c r="J224" s="65">
        <f t="shared" si="26"/>
        <v>407401405.97999972</v>
      </c>
      <c r="K224" s="64">
        <f t="shared" si="24"/>
        <v>48551838.69999975</v>
      </c>
      <c r="L224" s="64">
        <v>51035944.970000051</v>
      </c>
      <c r="M224" s="64">
        <v>82999247.160000041</v>
      </c>
      <c r="N224" s="64">
        <v>224814375.14999992</v>
      </c>
      <c r="O224" s="64">
        <v>0</v>
      </c>
      <c r="P224" s="64">
        <v>0</v>
      </c>
      <c r="Q224" s="58"/>
    </row>
    <row r="225" spans="2:18" ht="13.9" hidden="1" customHeight="1" outlineLevel="1" x14ac:dyDescent="0.25">
      <c r="B225" s="40"/>
      <c r="C225" s="36" t="s">
        <v>53</v>
      </c>
      <c r="D225" s="37">
        <v>124</v>
      </c>
      <c r="E225" s="38">
        <v>442494971.08999991</v>
      </c>
      <c r="F225" s="66">
        <f t="shared" si="25"/>
        <v>107694079.71999998</v>
      </c>
      <c r="G225" s="64">
        <v>100098209.52999999</v>
      </c>
      <c r="H225" s="38">
        <v>342396761.55999988</v>
      </c>
      <c r="I225" s="64">
        <v>7595870.1899999995</v>
      </c>
      <c r="J225" s="65">
        <f t="shared" si="26"/>
        <v>334800891.36999989</v>
      </c>
      <c r="K225" s="64">
        <f t="shared" si="24"/>
        <v>51418691.860000014</v>
      </c>
      <c r="L225" s="64">
        <v>75357385.809999973</v>
      </c>
      <c r="M225" s="64">
        <v>206093987.69999993</v>
      </c>
      <c r="N225" s="64">
        <v>1930826</v>
      </c>
      <c r="O225" s="64">
        <v>0</v>
      </c>
      <c r="P225" s="64">
        <v>0</v>
      </c>
      <c r="Q225" s="58"/>
    </row>
    <row r="226" spans="2:18" ht="13.9" hidden="1" customHeight="1" outlineLevel="1" x14ac:dyDescent="0.25">
      <c r="B226" s="40"/>
      <c r="C226" s="36" t="s">
        <v>54</v>
      </c>
      <c r="D226" s="37">
        <v>361</v>
      </c>
      <c r="E226" s="38">
        <v>817562874.73000026</v>
      </c>
      <c r="F226" s="66">
        <f t="shared" si="25"/>
        <v>166216825.79000002</v>
      </c>
      <c r="G226" s="64">
        <v>166216825.79000002</v>
      </c>
      <c r="H226" s="38">
        <v>651346048.94000006</v>
      </c>
      <c r="I226" s="64">
        <v>0</v>
      </c>
      <c r="J226" s="65">
        <f t="shared" si="26"/>
        <v>651346048.94000006</v>
      </c>
      <c r="K226" s="64">
        <f t="shared" si="24"/>
        <v>77165961.619999647</v>
      </c>
      <c r="L226" s="64">
        <v>82162375.50000006</v>
      </c>
      <c r="M226" s="64">
        <v>133930584.54000007</v>
      </c>
      <c r="N226" s="64">
        <v>358087127.28000021</v>
      </c>
      <c r="O226" s="64">
        <v>0</v>
      </c>
      <c r="P226" s="64">
        <v>0</v>
      </c>
      <c r="Q226" s="58"/>
    </row>
    <row r="227" spans="2:18" ht="13.9" hidden="1" customHeight="1" outlineLevel="1" x14ac:dyDescent="0.25">
      <c r="B227" s="40"/>
      <c r="C227" s="36" t="s">
        <v>55</v>
      </c>
      <c r="D227" s="37">
        <v>56</v>
      </c>
      <c r="E227" s="38">
        <v>162091142.79999998</v>
      </c>
      <c r="F227" s="66">
        <f>G227+I227</f>
        <v>33008771.859999992</v>
      </c>
      <c r="G227" s="64">
        <v>33008771.459999993</v>
      </c>
      <c r="H227" s="38">
        <v>129082371.33999999</v>
      </c>
      <c r="I227" s="64">
        <v>0.4</v>
      </c>
      <c r="J227" s="65">
        <f>H227-I227</f>
        <v>129082370.93999998</v>
      </c>
      <c r="K227" s="64">
        <f t="shared" si="24"/>
        <v>13585383.48999998</v>
      </c>
      <c r="L227" s="64">
        <v>16893245.619999997</v>
      </c>
      <c r="M227" s="64">
        <v>9333745.6799999997</v>
      </c>
      <c r="N227" s="64">
        <v>9611427.379999999</v>
      </c>
      <c r="O227" s="64">
        <v>79658568.770000011</v>
      </c>
      <c r="P227" s="64">
        <v>0</v>
      </c>
      <c r="Q227" s="58"/>
    </row>
    <row r="228" spans="2:18" ht="13.9" hidden="1" customHeight="1" outlineLevel="1" x14ac:dyDescent="0.25">
      <c r="B228" s="40"/>
      <c r="C228" s="36" t="s">
        <v>56</v>
      </c>
      <c r="D228" s="37">
        <v>40</v>
      </c>
      <c r="E228" s="38">
        <v>92182997.920000032</v>
      </c>
      <c r="F228" s="66">
        <f>G228+I228</f>
        <v>18571464.210000005</v>
      </c>
      <c r="G228" s="64">
        <v>18571464.210000005</v>
      </c>
      <c r="H228" s="38">
        <v>73611533.710000008</v>
      </c>
      <c r="I228" s="64">
        <v>0</v>
      </c>
      <c r="J228" s="65">
        <f>H228-I228</f>
        <v>73611533.710000008</v>
      </c>
      <c r="K228" s="64">
        <f t="shared" si="24"/>
        <v>2929303.2999999821</v>
      </c>
      <c r="L228" s="64">
        <v>9718418.9399999995</v>
      </c>
      <c r="M228" s="64">
        <v>9947871.4000000004</v>
      </c>
      <c r="N228" s="64">
        <v>13128445.979999999</v>
      </c>
      <c r="O228" s="64">
        <v>37887494.090000018</v>
      </c>
      <c r="P228" s="64">
        <v>0</v>
      </c>
      <c r="Q228" s="58"/>
    </row>
    <row r="229" spans="2:18" ht="13.9" hidden="1" customHeight="1" outlineLevel="1" x14ac:dyDescent="0.25">
      <c r="B229" s="40"/>
      <c r="C229" s="36" t="s">
        <v>57</v>
      </c>
      <c r="D229" s="37">
        <v>1</v>
      </c>
      <c r="E229" s="38">
        <v>15812169.98</v>
      </c>
      <c r="F229" s="66">
        <f>G229+I229</f>
        <v>15812169.99</v>
      </c>
      <c r="G229" s="64">
        <v>3162850</v>
      </c>
      <c r="H229" s="38">
        <v>12649319.98</v>
      </c>
      <c r="I229" s="64">
        <v>12649319.99</v>
      </c>
      <c r="J229" s="65">
        <f>H229-I229</f>
        <v>-9.9999997764825821E-3</v>
      </c>
      <c r="K229" s="64">
        <f t="shared" si="24"/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58"/>
    </row>
    <row r="230" spans="2:18" ht="13.9" hidden="1" customHeight="1" outlineLevel="1" x14ac:dyDescent="0.25">
      <c r="B230" s="40"/>
      <c r="C230" s="36" t="s">
        <v>58</v>
      </c>
      <c r="D230" s="37">
        <v>203</v>
      </c>
      <c r="E230" s="38">
        <v>446480081.30000001</v>
      </c>
      <c r="F230" s="66">
        <f>G230+I230</f>
        <v>90583369.870000005</v>
      </c>
      <c r="G230" s="64">
        <v>90583369.870000005</v>
      </c>
      <c r="H230" s="38">
        <v>355896711.42999977</v>
      </c>
      <c r="I230" s="64">
        <v>0</v>
      </c>
      <c r="J230" s="65">
        <f>H230-I230</f>
        <v>355896711.42999977</v>
      </c>
      <c r="K230" s="64">
        <f t="shared" si="24"/>
        <v>42196488.419999897</v>
      </c>
      <c r="L230" s="64">
        <v>44643589.109999955</v>
      </c>
      <c r="M230" s="64">
        <v>43741120.999999955</v>
      </c>
      <c r="N230" s="64">
        <v>225315512.89999995</v>
      </c>
      <c r="O230" s="64">
        <v>0</v>
      </c>
      <c r="P230" s="64">
        <v>0</v>
      </c>
      <c r="Q230" s="58"/>
    </row>
    <row r="231" spans="2:18" ht="13.9" hidden="1" customHeight="1" outlineLevel="1" x14ac:dyDescent="0.25">
      <c r="B231" s="40"/>
      <c r="C231" s="36" t="s">
        <v>59</v>
      </c>
      <c r="D231" s="37">
        <v>242</v>
      </c>
      <c r="E231" s="38">
        <v>518697667.77999991</v>
      </c>
      <c r="F231" s="66">
        <f t="shared" si="25"/>
        <v>106907640.14000006</v>
      </c>
      <c r="G231" s="64">
        <v>106907640.14000006</v>
      </c>
      <c r="H231" s="38">
        <v>411790027.63999999</v>
      </c>
      <c r="I231" s="64">
        <v>0</v>
      </c>
      <c r="J231" s="65">
        <f t="shared" si="26"/>
        <v>411790027.63999999</v>
      </c>
      <c r="K231" s="64">
        <f t="shared" si="24"/>
        <v>47961403.839999795</v>
      </c>
      <c r="L231" s="64">
        <v>52476931.669999979</v>
      </c>
      <c r="M231" s="64">
        <v>48386474.259999961</v>
      </c>
      <c r="N231" s="64">
        <v>262965217.87000021</v>
      </c>
      <c r="O231" s="64">
        <v>0</v>
      </c>
      <c r="P231" s="64">
        <v>0</v>
      </c>
      <c r="Q231" s="58"/>
    </row>
    <row r="232" spans="2:18" ht="13.9" hidden="1" customHeight="1" outlineLevel="1" x14ac:dyDescent="0.25">
      <c r="B232" s="40"/>
      <c r="C232" s="36" t="s">
        <v>60</v>
      </c>
      <c r="D232" s="37">
        <v>15</v>
      </c>
      <c r="E232" s="38">
        <v>67987587.5</v>
      </c>
      <c r="F232" s="66">
        <f t="shared" si="25"/>
        <v>13620447.850000001</v>
      </c>
      <c r="G232" s="64">
        <v>13620447.850000001</v>
      </c>
      <c r="H232" s="38">
        <v>54367139.649999999</v>
      </c>
      <c r="I232" s="64">
        <v>0</v>
      </c>
      <c r="J232" s="65">
        <f t="shared" si="26"/>
        <v>54367139.649999999</v>
      </c>
      <c r="K232" s="64">
        <f t="shared" si="24"/>
        <v>6359878.25</v>
      </c>
      <c r="L232" s="64">
        <v>7214708.9000000004</v>
      </c>
      <c r="M232" s="64">
        <v>13181567.35</v>
      </c>
      <c r="N232" s="64">
        <v>27610985.149999999</v>
      </c>
      <c r="O232" s="64">
        <v>0</v>
      </c>
      <c r="P232" s="64">
        <v>0</v>
      </c>
      <c r="Q232" s="58"/>
    </row>
    <row r="233" spans="2:18" ht="13.9" hidden="1" customHeight="1" outlineLevel="1" x14ac:dyDescent="0.25">
      <c r="B233" s="40"/>
      <c r="C233" s="36" t="s">
        <v>61</v>
      </c>
      <c r="D233" s="37">
        <v>27</v>
      </c>
      <c r="E233" s="38">
        <v>131373667.5</v>
      </c>
      <c r="F233" s="66">
        <f>G233+I233</f>
        <v>26332342.600000001</v>
      </c>
      <c r="G233" s="64">
        <v>26332342.600000001</v>
      </c>
      <c r="H233" s="38">
        <v>105041324.90000001</v>
      </c>
      <c r="I233" s="64">
        <v>0</v>
      </c>
      <c r="J233" s="65">
        <f>H233-I233</f>
        <v>105041324.90000001</v>
      </c>
      <c r="K233" s="64">
        <f t="shared" si="24"/>
        <v>12680646.349999994</v>
      </c>
      <c r="L233" s="64">
        <v>13536478.010000007</v>
      </c>
      <c r="M233" s="64">
        <v>23270353.640000008</v>
      </c>
      <c r="N233" s="64">
        <v>55553846.900000006</v>
      </c>
      <c r="O233" s="64">
        <v>0</v>
      </c>
      <c r="P233" s="64">
        <v>0</v>
      </c>
      <c r="Q233" s="58"/>
    </row>
    <row r="234" spans="2:18" ht="13.9" hidden="1" customHeight="1" outlineLevel="1" x14ac:dyDescent="0.25">
      <c r="B234" s="40"/>
      <c r="C234" s="36" t="s">
        <v>62</v>
      </c>
      <c r="D234" s="37">
        <v>4</v>
      </c>
      <c r="E234" s="38">
        <v>39931507</v>
      </c>
      <c r="F234" s="66">
        <f>G234+I234</f>
        <v>8186328.0800000001</v>
      </c>
      <c r="G234" s="64">
        <v>8186328.0800000001</v>
      </c>
      <c r="H234" s="38">
        <v>31745178.920000002</v>
      </c>
      <c r="I234" s="64">
        <v>0</v>
      </c>
      <c r="J234" s="65">
        <f>H234-I234</f>
        <v>31745178.920000002</v>
      </c>
      <c r="K234" s="64">
        <f t="shared" si="24"/>
        <v>3793124.0199999996</v>
      </c>
      <c r="L234" s="64">
        <v>3993150.7</v>
      </c>
      <c r="M234" s="64">
        <v>7986301.4000000004</v>
      </c>
      <c r="N234" s="64">
        <v>15972602.800000001</v>
      </c>
      <c r="O234" s="64">
        <v>0</v>
      </c>
      <c r="P234" s="64">
        <v>0</v>
      </c>
      <c r="Q234" s="58"/>
    </row>
    <row r="235" spans="2:18" ht="13.9" hidden="1" customHeight="1" outlineLevel="1" x14ac:dyDescent="0.25">
      <c r="B235" s="40"/>
      <c r="C235" s="36" t="s">
        <v>63</v>
      </c>
      <c r="D235" s="37">
        <v>6</v>
      </c>
      <c r="E235" s="38">
        <v>27840816.5</v>
      </c>
      <c r="F235" s="66">
        <f t="shared" ref="F235:F245" si="27">G235+I235</f>
        <v>5581219.96</v>
      </c>
      <c r="G235" s="64">
        <v>5581219.96</v>
      </c>
      <c r="H235" s="38">
        <v>22259596.540000003</v>
      </c>
      <c r="I235" s="64">
        <v>0</v>
      </c>
      <c r="J235" s="65">
        <f t="shared" ref="J235:J245" si="28">H235-I235</f>
        <v>22259596.540000003</v>
      </c>
      <c r="K235" s="64">
        <f t="shared" si="24"/>
        <v>2187884.5900000036</v>
      </c>
      <c r="L235" s="64">
        <v>3367222.05</v>
      </c>
      <c r="M235" s="64">
        <v>4163334.05</v>
      </c>
      <c r="N235" s="64">
        <v>12541155.85</v>
      </c>
      <c r="O235" s="64">
        <v>0</v>
      </c>
      <c r="P235" s="64">
        <v>0</v>
      </c>
      <c r="Q235" s="58"/>
    </row>
    <row r="236" spans="2:18" ht="13.9" hidden="1" customHeight="1" outlineLevel="1" x14ac:dyDescent="0.25">
      <c r="B236" s="40"/>
      <c r="C236" s="36" t="s">
        <v>64</v>
      </c>
      <c r="D236" s="37">
        <v>12</v>
      </c>
      <c r="E236" s="38">
        <v>34074602.549999997</v>
      </c>
      <c r="F236" s="66">
        <f t="shared" si="27"/>
        <v>12949561.479999999</v>
      </c>
      <c r="G236" s="64">
        <v>8205750.4699999988</v>
      </c>
      <c r="H236" s="38">
        <v>25868852.080000002</v>
      </c>
      <c r="I236" s="64">
        <v>4743811.01</v>
      </c>
      <c r="J236" s="65">
        <f t="shared" si="28"/>
        <v>21125041.07</v>
      </c>
      <c r="K236" s="64">
        <f t="shared" si="24"/>
        <v>21125041.07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58"/>
    </row>
    <row r="237" spans="2:18" ht="13.9" hidden="1" customHeight="1" outlineLevel="1" x14ac:dyDescent="0.25">
      <c r="B237" s="40"/>
      <c r="C237" s="36" t="s">
        <v>65</v>
      </c>
      <c r="D237" s="37">
        <v>0</v>
      </c>
      <c r="E237" s="38">
        <v>0</v>
      </c>
      <c r="F237" s="66">
        <f t="shared" si="27"/>
        <v>0</v>
      </c>
      <c r="G237" s="64">
        <v>0</v>
      </c>
      <c r="H237" s="38">
        <v>0</v>
      </c>
      <c r="I237" s="64">
        <v>0</v>
      </c>
      <c r="J237" s="65">
        <f t="shared" si="28"/>
        <v>0</v>
      </c>
      <c r="K237" s="64">
        <f t="shared" si="24"/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58"/>
    </row>
    <row r="238" spans="2:18" ht="13.9" hidden="1" customHeight="1" outlineLevel="1" x14ac:dyDescent="0.25">
      <c r="B238" s="40"/>
      <c r="C238" s="36" t="s">
        <v>66</v>
      </c>
      <c r="D238" s="37">
        <v>0</v>
      </c>
      <c r="E238" s="38">
        <v>0</v>
      </c>
      <c r="F238" s="66">
        <f t="shared" si="27"/>
        <v>0</v>
      </c>
      <c r="G238" s="64">
        <v>0</v>
      </c>
      <c r="H238" s="38">
        <v>0</v>
      </c>
      <c r="I238" s="64">
        <v>0</v>
      </c>
      <c r="J238" s="65">
        <f t="shared" si="28"/>
        <v>0</v>
      </c>
      <c r="K238" s="64">
        <f t="shared" si="24"/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58"/>
    </row>
    <row r="239" spans="2:18" ht="13.9" hidden="1" customHeight="1" outlineLevel="1" x14ac:dyDescent="0.25">
      <c r="B239" s="40"/>
      <c r="C239" s="36" t="s">
        <v>67</v>
      </c>
      <c r="D239" s="37">
        <v>2</v>
      </c>
      <c r="E239" s="38">
        <v>7965225</v>
      </c>
      <c r="F239" s="66">
        <f t="shared" si="27"/>
        <v>3516989.6</v>
      </c>
      <c r="G239" s="64">
        <v>1934165.6</v>
      </c>
      <c r="H239" s="38">
        <v>6031059.4000000004</v>
      </c>
      <c r="I239" s="64">
        <v>1582824</v>
      </c>
      <c r="J239" s="65">
        <f t="shared" si="28"/>
        <v>4448235.4000000004</v>
      </c>
      <c r="K239" s="64">
        <f t="shared" si="24"/>
        <v>4448235.4000000004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58"/>
    </row>
    <row r="240" spans="2:18" ht="13.9" customHeight="1" collapsed="1" x14ac:dyDescent="0.25">
      <c r="B240" s="43"/>
      <c r="C240" s="29" t="s">
        <v>68</v>
      </c>
      <c r="D240" s="44">
        <f t="shared" ref="D240:P240" si="29">SUM(D203:D239)</f>
        <v>4739</v>
      </c>
      <c r="E240" s="45">
        <f t="shared" si="29"/>
        <v>11623273718.099997</v>
      </c>
      <c r="F240" s="46">
        <f t="shared" si="29"/>
        <v>3056072475.4699993</v>
      </c>
      <c r="G240" s="47">
        <f t="shared" si="29"/>
        <v>2743721867.25</v>
      </c>
      <c r="H240" s="44">
        <f t="shared" si="29"/>
        <v>8879740590.4139957</v>
      </c>
      <c r="I240" s="45">
        <f t="shared" si="29"/>
        <v>312350608.21999997</v>
      </c>
      <c r="J240" s="46">
        <f t="shared" si="29"/>
        <v>8567389982.1939974</v>
      </c>
      <c r="K240" s="47">
        <f t="shared" si="29"/>
        <v>1432943747.9839988</v>
      </c>
      <c r="L240" s="44">
        <f t="shared" si="29"/>
        <v>2684056622.900001</v>
      </c>
      <c r="M240" s="45">
        <f t="shared" si="29"/>
        <v>1884314029.8700013</v>
      </c>
      <c r="N240" s="44">
        <f t="shared" si="29"/>
        <v>2077339636.6299982</v>
      </c>
      <c r="O240" s="45">
        <f t="shared" si="29"/>
        <v>400426230.16000009</v>
      </c>
      <c r="P240" s="45">
        <f t="shared" si="29"/>
        <v>88309714.659999996</v>
      </c>
      <c r="Q240" s="39"/>
      <c r="R240" s="39"/>
    </row>
    <row r="241" spans="2:18" ht="13.9" hidden="1" customHeight="1" outlineLevel="1" x14ac:dyDescent="0.25">
      <c r="B241" s="35" t="s">
        <v>83</v>
      </c>
      <c r="C241" s="36" t="s">
        <v>70</v>
      </c>
      <c r="D241" s="37">
        <v>513</v>
      </c>
      <c r="E241" s="38">
        <v>1121527446.49</v>
      </c>
      <c r="F241" s="66">
        <f t="shared" si="27"/>
        <v>310809508.36999995</v>
      </c>
      <c r="G241" s="64">
        <v>273889409.66999996</v>
      </c>
      <c r="H241" s="38">
        <v>847638036.82000053</v>
      </c>
      <c r="I241" s="64">
        <v>36920098.700000003</v>
      </c>
      <c r="J241" s="65">
        <f t="shared" si="28"/>
        <v>810717938.12000048</v>
      </c>
      <c r="K241" s="64">
        <f t="shared" si="24"/>
        <v>154192102.00000036</v>
      </c>
      <c r="L241" s="64">
        <v>209015294.79000017</v>
      </c>
      <c r="M241" s="64">
        <v>262313972.46999991</v>
      </c>
      <c r="N241" s="64">
        <v>184613948.55000004</v>
      </c>
      <c r="O241" s="64">
        <v>582620.31000000006</v>
      </c>
      <c r="P241" s="64">
        <v>0</v>
      </c>
      <c r="Q241" s="58"/>
    </row>
    <row r="242" spans="2:18" ht="13.9" hidden="1" customHeight="1" outlineLevel="1" x14ac:dyDescent="0.25">
      <c r="B242" s="40"/>
      <c r="C242" s="36" t="s">
        <v>71</v>
      </c>
      <c r="D242" s="37">
        <v>45</v>
      </c>
      <c r="E242" s="38">
        <v>657116306.71000004</v>
      </c>
      <c r="F242" s="66">
        <f t="shared" si="27"/>
        <v>170639376.28</v>
      </c>
      <c r="G242" s="64">
        <v>144331481.31</v>
      </c>
      <c r="H242" s="38">
        <v>512784825.39999998</v>
      </c>
      <c r="I242" s="64">
        <v>26307894.969999999</v>
      </c>
      <c r="J242" s="65">
        <f t="shared" si="28"/>
        <v>486476930.42999995</v>
      </c>
      <c r="K242" s="64">
        <f t="shared" si="24"/>
        <v>81691509.809999943</v>
      </c>
      <c r="L242" s="64">
        <v>162225370.28</v>
      </c>
      <c r="M242" s="64">
        <v>242560050.33999997</v>
      </c>
      <c r="N242" s="64">
        <v>0</v>
      </c>
      <c r="O242" s="64">
        <v>0</v>
      </c>
      <c r="P242" s="64">
        <v>0</v>
      </c>
      <c r="Q242" s="58"/>
    </row>
    <row r="243" spans="2:18" ht="13.9" hidden="1" customHeight="1" outlineLevel="1" x14ac:dyDescent="0.25">
      <c r="B243" s="40"/>
      <c r="C243" s="36" t="s">
        <v>72</v>
      </c>
      <c r="D243" s="37">
        <v>605</v>
      </c>
      <c r="E243" s="38">
        <v>986570605.54000127</v>
      </c>
      <c r="F243" s="66">
        <f t="shared" si="27"/>
        <v>236853062.74999991</v>
      </c>
      <c r="G243" s="64">
        <v>225560060.8599999</v>
      </c>
      <c r="H243" s="38">
        <v>761010544.68000162</v>
      </c>
      <c r="I243" s="64">
        <v>11293001.890000004</v>
      </c>
      <c r="J243" s="65">
        <f t="shared" si="28"/>
        <v>749717542.79000163</v>
      </c>
      <c r="K243" s="64">
        <f t="shared" si="24"/>
        <v>119455389.47000194</v>
      </c>
      <c r="L243" s="64">
        <v>133659378.07999994</v>
      </c>
      <c r="M243" s="64">
        <v>73808618.469999969</v>
      </c>
      <c r="N243" s="64">
        <v>393028561.32999969</v>
      </c>
      <c r="O243" s="64">
        <v>29765595.440000013</v>
      </c>
      <c r="P243" s="64">
        <v>0</v>
      </c>
      <c r="Q243" s="58"/>
    </row>
    <row r="244" spans="2:18" ht="13.9" customHeight="1" collapsed="1" x14ac:dyDescent="0.25">
      <c r="B244" s="43"/>
      <c r="C244" s="29" t="s">
        <v>73</v>
      </c>
      <c r="D244" s="44">
        <f t="shared" ref="D244:P244" si="30">SUM(D241:D243)</f>
        <v>1163</v>
      </c>
      <c r="E244" s="45">
        <f t="shared" si="30"/>
        <v>2765214358.7400012</v>
      </c>
      <c r="F244" s="46">
        <f t="shared" si="30"/>
        <v>718301947.39999986</v>
      </c>
      <c r="G244" s="47">
        <f t="shared" si="30"/>
        <v>643780951.83999991</v>
      </c>
      <c r="H244" s="44">
        <f t="shared" si="30"/>
        <v>2121433406.900002</v>
      </c>
      <c r="I244" s="45">
        <f t="shared" si="30"/>
        <v>74520995.560000002</v>
      </c>
      <c r="J244" s="46">
        <f t="shared" si="30"/>
        <v>2046912411.3400021</v>
      </c>
      <c r="K244" s="47">
        <f t="shared" si="30"/>
        <v>355339001.28000224</v>
      </c>
      <c r="L244" s="44">
        <f t="shared" si="30"/>
        <v>504900043.1500001</v>
      </c>
      <c r="M244" s="45">
        <f t="shared" si="30"/>
        <v>578682641.27999985</v>
      </c>
      <c r="N244" s="44">
        <f t="shared" si="30"/>
        <v>577642509.87999976</v>
      </c>
      <c r="O244" s="45">
        <f t="shared" si="30"/>
        <v>30348215.750000011</v>
      </c>
      <c r="P244" s="45">
        <f t="shared" si="30"/>
        <v>0</v>
      </c>
      <c r="Q244" s="39"/>
      <c r="R244" s="39"/>
    </row>
    <row r="245" spans="2:18" ht="13.9" hidden="1" customHeight="1" outlineLevel="1" x14ac:dyDescent="0.25">
      <c r="B245" s="35" t="s">
        <v>74</v>
      </c>
      <c r="C245" s="36" t="s">
        <v>75</v>
      </c>
      <c r="D245" s="37">
        <v>72</v>
      </c>
      <c r="E245" s="38">
        <v>103236768.99000008</v>
      </c>
      <c r="F245" s="66">
        <f t="shared" si="27"/>
        <v>21007676.440000001</v>
      </c>
      <c r="G245" s="64">
        <v>21007676.440000001</v>
      </c>
      <c r="H245" s="38">
        <v>82229092.550000027</v>
      </c>
      <c r="I245" s="64">
        <v>0</v>
      </c>
      <c r="J245" s="65">
        <f t="shared" si="28"/>
        <v>82229092.550000027</v>
      </c>
      <c r="K245" s="64">
        <f t="shared" si="24"/>
        <v>12610933.960000038</v>
      </c>
      <c r="L245" s="64">
        <v>16344236</v>
      </c>
      <c r="M245" s="64">
        <v>6186711.5300000003</v>
      </c>
      <c r="N245" s="64">
        <v>47087211.059999987</v>
      </c>
      <c r="O245" s="64">
        <v>0</v>
      </c>
      <c r="P245" s="64">
        <v>0</v>
      </c>
      <c r="Q245" s="58"/>
    </row>
    <row r="246" spans="2:18" ht="13.9" hidden="1" customHeight="1" outlineLevel="1" x14ac:dyDescent="0.25">
      <c r="B246" s="40"/>
      <c r="C246" s="36" t="s">
        <v>76</v>
      </c>
      <c r="D246" s="37">
        <v>266</v>
      </c>
      <c r="E246" s="38">
        <v>376861125.71999997</v>
      </c>
      <c r="F246" s="66">
        <f>G246+I246</f>
        <v>94029443.980000034</v>
      </c>
      <c r="G246" s="64">
        <v>88886172.560000032</v>
      </c>
      <c r="H246" s="38">
        <v>287974953.16000015</v>
      </c>
      <c r="I246" s="64">
        <v>5143271.4200000027</v>
      </c>
      <c r="J246" s="65">
        <f>H246-I246</f>
        <v>282831681.74000013</v>
      </c>
      <c r="K246" s="64">
        <f t="shared" si="24"/>
        <v>57694704.630000204</v>
      </c>
      <c r="L246" s="64">
        <v>59193954.650000028</v>
      </c>
      <c r="M246" s="64">
        <v>165943022.45999989</v>
      </c>
      <c r="N246" s="64">
        <v>0</v>
      </c>
      <c r="O246" s="64">
        <v>0</v>
      </c>
      <c r="P246" s="64">
        <v>0</v>
      </c>
      <c r="Q246" s="58"/>
    </row>
    <row r="247" spans="2:18" ht="13.9" customHeight="1" collapsed="1" x14ac:dyDescent="0.25">
      <c r="B247" s="43"/>
      <c r="C247" s="29" t="s">
        <v>77</v>
      </c>
      <c r="D247" s="44">
        <f t="shared" ref="D247:P247" si="31">SUM(D245:D246)</f>
        <v>338</v>
      </c>
      <c r="E247" s="45">
        <f t="shared" si="31"/>
        <v>480097894.71000004</v>
      </c>
      <c r="F247" s="46">
        <f t="shared" si="31"/>
        <v>115037120.42000003</v>
      </c>
      <c r="G247" s="47">
        <f t="shared" si="31"/>
        <v>109893849.00000003</v>
      </c>
      <c r="H247" s="44">
        <f t="shared" si="31"/>
        <v>370204045.71000016</v>
      </c>
      <c r="I247" s="45">
        <f t="shared" si="31"/>
        <v>5143271.4200000027</v>
      </c>
      <c r="J247" s="46">
        <f t="shared" si="31"/>
        <v>365060774.29000014</v>
      </c>
      <c r="K247" s="47">
        <f t="shared" si="31"/>
        <v>70305638.590000242</v>
      </c>
      <c r="L247" s="44">
        <f t="shared" si="31"/>
        <v>75538190.650000036</v>
      </c>
      <c r="M247" s="45">
        <f t="shared" si="31"/>
        <v>172129733.98999989</v>
      </c>
      <c r="N247" s="44">
        <f t="shared" si="31"/>
        <v>47087211.059999987</v>
      </c>
      <c r="O247" s="45">
        <f t="shared" si="31"/>
        <v>0</v>
      </c>
      <c r="P247" s="45">
        <f t="shared" si="31"/>
        <v>0</v>
      </c>
      <c r="Q247" s="48"/>
      <c r="R247" s="48"/>
    </row>
    <row r="248" spans="2:18" ht="13.9" customHeight="1" x14ac:dyDescent="0.25">
      <c r="B248" s="49" t="s">
        <v>78</v>
      </c>
      <c r="C248" s="50"/>
      <c r="D248" s="67">
        <f t="shared" ref="D248:P248" si="32">D247+D244+D240</f>
        <v>6240</v>
      </c>
      <c r="E248" s="68">
        <f t="shared" si="32"/>
        <v>14868585971.549997</v>
      </c>
      <c r="F248" s="69">
        <f t="shared" si="32"/>
        <v>3889411543.289999</v>
      </c>
      <c r="G248" s="70">
        <f t="shared" si="32"/>
        <v>3497396668.0900002</v>
      </c>
      <c r="H248" s="68">
        <f t="shared" si="32"/>
        <v>11371378043.023998</v>
      </c>
      <c r="I248" s="70">
        <f t="shared" si="32"/>
        <v>392014875.19999999</v>
      </c>
      <c r="J248" s="68">
        <f t="shared" si="32"/>
        <v>10979363167.823999</v>
      </c>
      <c r="K248" s="70">
        <f t="shared" si="32"/>
        <v>1858588387.8540013</v>
      </c>
      <c r="L248" s="70">
        <f t="shared" si="32"/>
        <v>3264494856.7000012</v>
      </c>
      <c r="M248" s="68">
        <f t="shared" si="32"/>
        <v>2635126405.1400013</v>
      </c>
      <c r="N248" s="68">
        <f t="shared" si="32"/>
        <v>2702069357.5699978</v>
      </c>
      <c r="O248" s="68">
        <f t="shared" si="32"/>
        <v>430774445.91000009</v>
      </c>
      <c r="P248" s="68">
        <f t="shared" si="32"/>
        <v>88309714.659999996</v>
      </c>
      <c r="Q248" s="58"/>
    </row>
    <row r="249" spans="2:18" ht="13.9" customHeight="1" x14ac:dyDescent="0.25">
      <c r="Q249" s="58"/>
    </row>
    <row r="250" spans="2:18" ht="13.9" customHeight="1" x14ac:dyDescent="0.25">
      <c r="B250" s="59" t="s">
        <v>90</v>
      </c>
      <c r="C250" s="59"/>
      <c r="Q250" s="58"/>
    </row>
    <row r="251" spans="2:18" ht="13.9" customHeight="1" x14ac:dyDescent="0.25">
      <c r="B251" s="29" t="s">
        <v>26</v>
      </c>
      <c r="C251" s="29" t="s">
        <v>27</v>
      </c>
      <c r="D251" s="60" t="s">
        <v>28</v>
      </c>
      <c r="E251" s="61" t="s">
        <v>29</v>
      </c>
      <c r="F251" s="62" t="s">
        <v>85</v>
      </c>
      <c r="G251" s="63" t="s">
        <v>81</v>
      </c>
      <c r="H251" s="61" t="s">
        <v>82</v>
      </c>
      <c r="I251" s="63" t="s">
        <v>86</v>
      </c>
      <c r="J251" s="61" t="s">
        <v>87</v>
      </c>
      <c r="K251" s="63">
        <v>2026</v>
      </c>
      <c r="L251" s="63">
        <v>2027</v>
      </c>
      <c r="M251" s="61">
        <v>2028</v>
      </c>
      <c r="N251" s="63">
        <v>2029</v>
      </c>
      <c r="O251" s="61">
        <v>2030</v>
      </c>
      <c r="P251" s="63">
        <v>2031</v>
      </c>
      <c r="Q251" s="58"/>
    </row>
    <row r="252" spans="2:18" ht="13.9" hidden="1" customHeight="1" outlineLevel="1" x14ac:dyDescent="0.25">
      <c r="B252" s="35" t="s">
        <v>30</v>
      </c>
      <c r="C252" s="36" t="s">
        <v>31</v>
      </c>
      <c r="D252" s="37">
        <v>6</v>
      </c>
      <c r="E252" s="38">
        <v>9825205.9100000001</v>
      </c>
      <c r="F252" s="66">
        <f>G252+I252</f>
        <v>4883634.22</v>
      </c>
      <c r="G252" s="64">
        <v>3461127.04</v>
      </c>
      <c r="H252" s="38">
        <v>6364078.8700000001</v>
      </c>
      <c r="I252" s="64">
        <v>1422507.18</v>
      </c>
      <c r="J252" s="65">
        <f>H252-I252</f>
        <v>4941571.6900000004</v>
      </c>
      <c r="K252" s="64">
        <f t="shared" ref="K252:K295" si="33">MAX(J252-SUM(L252:P252),0)</f>
        <v>4941571.6900000004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58"/>
    </row>
    <row r="253" spans="2:18" ht="13.9" hidden="1" customHeight="1" outlineLevel="1" x14ac:dyDescent="0.25">
      <c r="B253" s="40"/>
      <c r="C253" s="36" t="s">
        <v>32</v>
      </c>
      <c r="D253" s="37">
        <v>0</v>
      </c>
      <c r="E253" s="38">
        <v>0</v>
      </c>
      <c r="F253" s="66">
        <f t="shared" ref="F253:F281" si="34">G253+I253</f>
        <v>0</v>
      </c>
      <c r="G253" s="64">
        <v>0</v>
      </c>
      <c r="H253" s="38">
        <v>0</v>
      </c>
      <c r="I253" s="64">
        <v>0</v>
      </c>
      <c r="J253" s="65">
        <f t="shared" ref="J253:J281" si="35">H253-I253</f>
        <v>0</v>
      </c>
      <c r="K253" s="64">
        <f t="shared" si="33"/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58"/>
    </row>
    <row r="254" spans="2:18" ht="13.9" hidden="1" customHeight="1" outlineLevel="1" x14ac:dyDescent="0.25">
      <c r="B254" s="40"/>
      <c r="C254" s="36" t="s">
        <v>33</v>
      </c>
      <c r="D254" s="37">
        <v>5</v>
      </c>
      <c r="E254" s="38">
        <v>9820722.8599999994</v>
      </c>
      <c r="F254" s="66">
        <f t="shared" si="34"/>
        <v>5611190.0299999993</v>
      </c>
      <c r="G254" s="64">
        <v>3458382.5599999996</v>
      </c>
      <c r="H254" s="38">
        <v>6362340.3000000007</v>
      </c>
      <c r="I254" s="64">
        <v>2152807.4700000002</v>
      </c>
      <c r="J254" s="65">
        <f t="shared" si="35"/>
        <v>4209532.83</v>
      </c>
      <c r="K254" s="64">
        <f t="shared" si="33"/>
        <v>2621506.9900000002</v>
      </c>
      <c r="L254" s="64">
        <v>1036025.84</v>
      </c>
      <c r="M254" s="64">
        <v>120000</v>
      </c>
      <c r="N254" s="64">
        <v>144000</v>
      </c>
      <c r="O254" s="64">
        <v>144000</v>
      </c>
      <c r="P254" s="64">
        <v>144000</v>
      </c>
      <c r="Q254" s="58"/>
    </row>
    <row r="255" spans="2:18" ht="13.9" hidden="1" customHeight="1" outlineLevel="1" x14ac:dyDescent="0.25">
      <c r="B255" s="40"/>
      <c r="C255" s="36" t="s">
        <v>34</v>
      </c>
      <c r="D255" s="37">
        <v>3</v>
      </c>
      <c r="E255" s="38">
        <v>7047807.25</v>
      </c>
      <c r="F255" s="66">
        <f t="shared" si="34"/>
        <v>5806499.1299999999</v>
      </c>
      <c r="G255" s="64">
        <v>2425047.67</v>
      </c>
      <c r="H255" s="38">
        <v>4622759.58</v>
      </c>
      <c r="I255" s="64">
        <v>3381451.46</v>
      </c>
      <c r="J255" s="65">
        <f t="shared" si="35"/>
        <v>1241308.1200000001</v>
      </c>
      <c r="K255" s="64">
        <f t="shared" si="33"/>
        <v>310326.94000000018</v>
      </c>
      <c r="L255" s="64">
        <v>620654.12</v>
      </c>
      <c r="M255" s="64">
        <v>310327.06</v>
      </c>
      <c r="N255" s="64">
        <v>0</v>
      </c>
      <c r="O255" s="64">
        <v>0</v>
      </c>
      <c r="P255" s="64">
        <v>0</v>
      </c>
      <c r="Q255" s="58"/>
    </row>
    <row r="256" spans="2:18" ht="13.9" hidden="1" customHeight="1" outlineLevel="1" x14ac:dyDescent="0.25">
      <c r="B256" s="40"/>
      <c r="C256" s="36" t="s">
        <v>35</v>
      </c>
      <c r="D256" s="37">
        <v>0</v>
      </c>
      <c r="E256" s="38">
        <v>0</v>
      </c>
      <c r="F256" s="66">
        <f t="shared" si="34"/>
        <v>0</v>
      </c>
      <c r="G256" s="64">
        <v>0</v>
      </c>
      <c r="H256" s="38">
        <v>0</v>
      </c>
      <c r="I256" s="64">
        <v>0</v>
      </c>
      <c r="J256" s="65">
        <f t="shared" si="35"/>
        <v>0</v>
      </c>
      <c r="K256" s="64">
        <f t="shared" si="33"/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58"/>
    </row>
    <row r="257" spans="2:17" ht="13.9" hidden="1" customHeight="1" outlineLevel="1" x14ac:dyDescent="0.25">
      <c r="B257" s="40"/>
      <c r="C257" s="36" t="s">
        <v>36</v>
      </c>
      <c r="D257" s="37">
        <v>79</v>
      </c>
      <c r="E257" s="38">
        <v>706623935.41000009</v>
      </c>
      <c r="F257" s="66">
        <f t="shared" si="34"/>
        <v>261260752.09000003</v>
      </c>
      <c r="G257" s="64">
        <v>255739907.83000004</v>
      </c>
      <c r="H257" s="38">
        <v>450884027.57999992</v>
      </c>
      <c r="I257" s="64">
        <v>5520844.2600000007</v>
      </c>
      <c r="J257" s="65">
        <f t="shared" si="35"/>
        <v>445363183.31999993</v>
      </c>
      <c r="K257" s="64">
        <f t="shared" si="33"/>
        <v>107025644.82999998</v>
      </c>
      <c r="L257" s="64">
        <v>332516418.48999995</v>
      </c>
      <c r="M257" s="64">
        <v>5821120</v>
      </c>
      <c r="N257" s="64">
        <v>0</v>
      </c>
      <c r="O257" s="64">
        <v>0</v>
      </c>
      <c r="P257" s="64">
        <v>0</v>
      </c>
      <c r="Q257" s="58"/>
    </row>
    <row r="258" spans="2:17" ht="13.9" hidden="1" customHeight="1" outlineLevel="1" x14ac:dyDescent="0.25">
      <c r="B258" s="40"/>
      <c r="C258" s="36" t="s">
        <v>37</v>
      </c>
      <c r="D258" s="37">
        <v>2</v>
      </c>
      <c r="E258" s="38">
        <v>2530925.7399999998</v>
      </c>
      <c r="F258" s="66">
        <f t="shared" si="34"/>
        <v>2140838.63</v>
      </c>
      <c r="G258" s="64">
        <v>824529</v>
      </c>
      <c r="H258" s="38">
        <v>1706396.7399999998</v>
      </c>
      <c r="I258" s="64">
        <v>1316309.6299999999</v>
      </c>
      <c r="J258" s="65">
        <f t="shared" si="35"/>
        <v>390087.10999999987</v>
      </c>
      <c r="K258" s="64">
        <f t="shared" si="33"/>
        <v>199999.96999999986</v>
      </c>
      <c r="L258" s="64">
        <v>190087.14</v>
      </c>
      <c r="M258" s="64">
        <v>0</v>
      </c>
      <c r="N258" s="64">
        <v>0</v>
      </c>
      <c r="O258" s="64">
        <v>0</v>
      </c>
      <c r="P258" s="64">
        <v>0</v>
      </c>
      <c r="Q258" s="58"/>
    </row>
    <row r="259" spans="2:17" ht="13.9" hidden="1" customHeight="1" outlineLevel="1" x14ac:dyDescent="0.25">
      <c r="B259" s="40"/>
      <c r="C259" s="36" t="s">
        <v>38</v>
      </c>
      <c r="D259" s="37">
        <v>0</v>
      </c>
      <c r="E259" s="38">
        <v>0</v>
      </c>
      <c r="F259" s="66">
        <f t="shared" si="34"/>
        <v>0</v>
      </c>
      <c r="G259" s="64">
        <v>0</v>
      </c>
      <c r="H259" s="38">
        <v>0</v>
      </c>
      <c r="I259" s="64">
        <v>0</v>
      </c>
      <c r="J259" s="65">
        <f t="shared" si="35"/>
        <v>0</v>
      </c>
      <c r="K259" s="64">
        <f t="shared" si="33"/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58"/>
    </row>
    <row r="260" spans="2:17" ht="13.9" hidden="1" customHeight="1" outlineLevel="1" x14ac:dyDescent="0.25">
      <c r="B260" s="40"/>
      <c r="C260" s="36" t="s">
        <v>39</v>
      </c>
      <c r="D260" s="37">
        <v>0</v>
      </c>
      <c r="E260" s="38">
        <v>0</v>
      </c>
      <c r="F260" s="66">
        <f t="shared" si="34"/>
        <v>0</v>
      </c>
      <c r="G260" s="64">
        <v>0</v>
      </c>
      <c r="H260" s="38">
        <v>0</v>
      </c>
      <c r="I260" s="64">
        <v>0</v>
      </c>
      <c r="J260" s="65">
        <f t="shared" si="35"/>
        <v>0</v>
      </c>
      <c r="K260" s="64">
        <f t="shared" si="33"/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58"/>
    </row>
    <row r="261" spans="2:17" ht="13.9" hidden="1" customHeight="1" outlineLevel="1" x14ac:dyDescent="0.25">
      <c r="B261" s="40"/>
      <c r="C261" s="36" t="s">
        <v>40</v>
      </c>
      <c r="D261" s="37">
        <v>10</v>
      </c>
      <c r="E261" s="38">
        <v>263317061</v>
      </c>
      <c r="F261" s="66">
        <f t="shared" si="34"/>
        <v>102887809.20000002</v>
      </c>
      <c r="G261" s="64">
        <v>93046340.830000013</v>
      </c>
      <c r="H261" s="38">
        <v>170270720.16999999</v>
      </c>
      <c r="I261" s="64">
        <v>9841468.3699999992</v>
      </c>
      <c r="J261" s="65">
        <f t="shared" si="35"/>
        <v>160429251.79999998</v>
      </c>
      <c r="K261" s="64">
        <f t="shared" si="33"/>
        <v>49958999.399999991</v>
      </c>
      <c r="L261" s="64">
        <v>110470252.39999999</v>
      </c>
      <c r="M261" s="64">
        <v>0</v>
      </c>
      <c r="N261" s="64">
        <v>0</v>
      </c>
      <c r="O261" s="64">
        <v>0</v>
      </c>
      <c r="P261" s="64">
        <v>0</v>
      </c>
      <c r="Q261" s="58"/>
    </row>
    <row r="262" spans="2:17" ht="13.9" hidden="1" customHeight="1" outlineLevel="1" x14ac:dyDescent="0.25">
      <c r="B262" s="40"/>
      <c r="C262" s="36" t="s">
        <v>41</v>
      </c>
      <c r="D262" s="37">
        <v>0</v>
      </c>
      <c r="E262" s="38">
        <v>0</v>
      </c>
      <c r="F262" s="66">
        <f t="shared" si="34"/>
        <v>0</v>
      </c>
      <c r="G262" s="64">
        <v>0</v>
      </c>
      <c r="H262" s="38">
        <v>0</v>
      </c>
      <c r="I262" s="64">
        <v>0</v>
      </c>
      <c r="J262" s="65">
        <f t="shared" si="35"/>
        <v>0</v>
      </c>
      <c r="K262" s="64">
        <f t="shared" si="33"/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58"/>
    </row>
    <row r="263" spans="2:17" ht="13.9" hidden="1" customHeight="1" outlineLevel="1" x14ac:dyDescent="0.25">
      <c r="B263" s="40"/>
      <c r="C263" s="36" t="s">
        <v>42</v>
      </c>
      <c r="D263" s="37">
        <v>615</v>
      </c>
      <c r="E263" s="38">
        <v>1285665158.0699997</v>
      </c>
      <c r="F263" s="66">
        <f t="shared" si="34"/>
        <v>491271982.06000036</v>
      </c>
      <c r="G263" s="64">
        <v>443288549.07000035</v>
      </c>
      <c r="H263" s="38">
        <v>842376609.00000048</v>
      </c>
      <c r="I263" s="64">
        <v>47983432.989999987</v>
      </c>
      <c r="J263" s="65">
        <f t="shared" si="35"/>
        <v>794393176.01000047</v>
      </c>
      <c r="K263" s="64">
        <f t="shared" si="33"/>
        <v>112018870.52000058</v>
      </c>
      <c r="L263" s="64">
        <v>682374305.48999989</v>
      </c>
      <c r="M263" s="64">
        <v>0</v>
      </c>
      <c r="N263" s="64">
        <v>0</v>
      </c>
      <c r="O263" s="64">
        <v>0</v>
      </c>
      <c r="P263" s="64">
        <v>0</v>
      </c>
      <c r="Q263" s="58"/>
    </row>
    <row r="264" spans="2:17" ht="13.9" hidden="1" customHeight="1" outlineLevel="1" x14ac:dyDescent="0.25">
      <c r="B264" s="40"/>
      <c r="C264" s="36" t="s">
        <v>43</v>
      </c>
      <c r="D264" s="37">
        <v>55</v>
      </c>
      <c r="E264" s="38">
        <v>465166450.67999995</v>
      </c>
      <c r="F264" s="66">
        <f t="shared" si="34"/>
        <v>184767530.63</v>
      </c>
      <c r="G264" s="64">
        <v>163188542.41999999</v>
      </c>
      <c r="H264" s="38">
        <v>301977908.26000005</v>
      </c>
      <c r="I264" s="64">
        <v>21578988.209999993</v>
      </c>
      <c r="J264" s="65">
        <f t="shared" si="35"/>
        <v>280398920.05000007</v>
      </c>
      <c r="K264" s="64">
        <f t="shared" si="33"/>
        <v>117945711.51000005</v>
      </c>
      <c r="L264" s="64">
        <v>162453208.54000002</v>
      </c>
      <c r="M264" s="64">
        <v>0</v>
      </c>
      <c r="N264" s="64">
        <v>0</v>
      </c>
      <c r="O264" s="64">
        <v>0</v>
      </c>
      <c r="P264" s="64">
        <v>0</v>
      </c>
      <c r="Q264" s="58"/>
    </row>
    <row r="265" spans="2:17" ht="13.9" hidden="1" customHeight="1" outlineLevel="1" x14ac:dyDescent="0.25">
      <c r="B265" s="40"/>
      <c r="C265" s="36" t="s">
        <v>44</v>
      </c>
      <c r="D265" s="37">
        <v>460</v>
      </c>
      <c r="E265" s="38">
        <v>1149221606.8499997</v>
      </c>
      <c r="F265" s="66">
        <f t="shared" si="34"/>
        <v>353028782.52999985</v>
      </c>
      <c r="G265" s="64">
        <v>353028782.52999985</v>
      </c>
      <c r="H265" s="38">
        <v>796192824.32000041</v>
      </c>
      <c r="I265" s="64">
        <v>0</v>
      </c>
      <c r="J265" s="65">
        <f t="shared" si="35"/>
        <v>796192824.32000041</v>
      </c>
      <c r="K265" s="64">
        <f t="shared" si="33"/>
        <v>108775018.07999957</v>
      </c>
      <c r="L265" s="64">
        <v>183003900.96000019</v>
      </c>
      <c r="M265" s="64">
        <v>504413905.28000063</v>
      </c>
      <c r="N265" s="64">
        <v>0</v>
      </c>
      <c r="O265" s="64">
        <v>0</v>
      </c>
      <c r="P265" s="64">
        <v>0</v>
      </c>
      <c r="Q265" s="58"/>
    </row>
    <row r="266" spans="2:17" ht="13.9" hidden="1" customHeight="1" outlineLevel="1" x14ac:dyDescent="0.25">
      <c r="B266" s="40"/>
      <c r="C266" s="36" t="s">
        <v>45</v>
      </c>
      <c r="D266" s="37">
        <v>478</v>
      </c>
      <c r="E266" s="38">
        <v>989486489.50999939</v>
      </c>
      <c r="F266" s="66">
        <f t="shared" si="34"/>
        <v>303361944.02000016</v>
      </c>
      <c r="G266" s="64">
        <v>303361944.02000016</v>
      </c>
      <c r="H266" s="38">
        <v>686124545.48999977</v>
      </c>
      <c r="I266" s="64">
        <v>0</v>
      </c>
      <c r="J266" s="65">
        <f t="shared" si="35"/>
        <v>686124545.48999977</v>
      </c>
      <c r="K266" s="64">
        <f t="shared" si="33"/>
        <v>35390521.500000596</v>
      </c>
      <c r="L266" s="64">
        <v>95153228.249999925</v>
      </c>
      <c r="M266" s="64">
        <v>137018635.93999979</v>
      </c>
      <c r="N266" s="64">
        <v>410739864.74999952</v>
      </c>
      <c r="O266" s="64">
        <v>7822295.0500000007</v>
      </c>
      <c r="P266" s="64">
        <v>0</v>
      </c>
      <c r="Q266" s="58"/>
    </row>
    <row r="267" spans="2:17" ht="13.9" hidden="1" customHeight="1" outlineLevel="1" x14ac:dyDescent="0.25">
      <c r="B267" s="40"/>
      <c r="C267" s="36" t="s">
        <v>46</v>
      </c>
      <c r="D267" s="37">
        <v>0</v>
      </c>
      <c r="E267" s="38">
        <v>0</v>
      </c>
      <c r="F267" s="66">
        <f t="shared" si="34"/>
        <v>0</v>
      </c>
      <c r="G267" s="64">
        <v>0</v>
      </c>
      <c r="H267" s="38">
        <v>0</v>
      </c>
      <c r="I267" s="64">
        <v>0</v>
      </c>
      <c r="J267" s="65">
        <f t="shared" si="35"/>
        <v>0</v>
      </c>
      <c r="K267" s="64">
        <f t="shared" si="33"/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58"/>
    </row>
    <row r="268" spans="2:17" ht="13.9" hidden="1" customHeight="1" outlineLevel="1" x14ac:dyDescent="0.25">
      <c r="B268" s="40"/>
      <c r="C268" s="36" t="s">
        <v>47</v>
      </c>
      <c r="D268" s="37">
        <v>261</v>
      </c>
      <c r="E268" s="38">
        <v>784141548.40000033</v>
      </c>
      <c r="F268" s="66">
        <f t="shared" si="34"/>
        <v>312346915.6500001</v>
      </c>
      <c r="G268" s="64">
        <v>282318964.86000007</v>
      </c>
      <c r="H268" s="38">
        <v>501822583.54000014</v>
      </c>
      <c r="I268" s="64">
        <v>30027950.789999999</v>
      </c>
      <c r="J268" s="65">
        <f t="shared" si="35"/>
        <v>471794632.75000012</v>
      </c>
      <c r="K268" s="64">
        <f t="shared" si="33"/>
        <v>471794632.75000012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58"/>
    </row>
    <row r="269" spans="2:17" ht="13.9" hidden="1" customHeight="1" outlineLevel="1" x14ac:dyDescent="0.25">
      <c r="B269" s="40"/>
      <c r="C269" s="36" t="s">
        <v>48</v>
      </c>
      <c r="D269" s="37">
        <v>747</v>
      </c>
      <c r="E269" s="38">
        <v>950087263.92999995</v>
      </c>
      <c r="F269" s="66">
        <f t="shared" si="34"/>
        <v>323469917.85999995</v>
      </c>
      <c r="G269" s="64">
        <v>308960224.13999993</v>
      </c>
      <c r="H269" s="38">
        <v>641127039.79000056</v>
      </c>
      <c r="I269" s="64">
        <v>14509693.720000001</v>
      </c>
      <c r="J269" s="65">
        <f t="shared" si="35"/>
        <v>626617346.07000053</v>
      </c>
      <c r="K269" s="64">
        <f t="shared" si="33"/>
        <v>110535801.89000028</v>
      </c>
      <c r="L269" s="64">
        <v>516081544.18000025</v>
      </c>
      <c r="M269" s="64">
        <v>0</v>
      </c>
      <c r="N269" s="64">
        <v>0</v>
      </c>
      <c r="O269" s="64">
        <v>0</v>
      </c>
      <c r="P269" s="64">
        <v>0</v>
      </c>
      <c r="Q269" s="58"/>
    </row>
    <row r="270" spans="2:17" ht="13.9" hidden="1" customHeight="1" outlineLevel="1" x14ac:dyDescent="0.25">
      <c r="B270" s="40"/>
      <c r="C270" s="36" t="s">
        <v>49</v>
      </c>
      <c r="D270" s="37">
        <v>8</v>
      </c>
      <c r="E270" s="38">
        <v>67994753.449999988</v>
      </c>
      <c r="F270" s="66">
        <f t="shared" si="34"/>
        <v>31194035.440000001</v>
      </c>
      <c r="G270" s="64">
        <v>23666501.960000001</v>
      </c>
      <c r="H270" s="38">
        <v>44328251.489999995</v>
      </c>
      <c r="I270" s="64">
        <v>7527533.4799999995</v>
      </c>
      <c r="J270" s="65">
        <f t="shared" si="35"/>
        <v>36800718.009999998</v>
      </c>
      <c r="K270" s="64">
        <f t="shared" si="33"/>
        <v>21826984.729999997</v>
      </c>
      <c r="L270" s="64">
        <v>11042910.27</v>
      </c>
      <c r="M270" s="64">
        <v>750000</v>
      </c>
      <c r="N270" s="64">
        <v>750000</v>
      </c>
      <c r="O270" s="64">
        <v>1000000</v>
      </c>
      <c r="P270" s="64">
        <v>1430823.01</v>
      </c>
      <c r="Q270" s="58"/>
    </row>
    <row r="271" spans="2:17" ht="13.9" hidden="1" customHeight="1" outlineLevel="1" x14ac:dyDescent="0.25">
      <c r="B271" s="40"/>
      <c r="C271" s="36" t="s">
        <v>50</v>
      </c>
      <c r="D271" s="37">
        <v>1</v>
      </c>
      <c r="E271" s="38">
        <v>25018050</v>
      </c>
      <c r="F271" s="66">
        <f t="shared" si="34"/>
        <v>7513222.3899999997</v>
      </c>
      <c r="G271" s="64">
        <v>7513222.3899999997</v>
      </c>
      <c r="H271" s="38">
        <v>17504827.609999999</v>
      </c>
      <c r="I271" s="64">
        <v>0</v>
      </c>
      <c r="J271" s="65">
        <f t="shared" si="35"/>
        <v>17504827.609999999</v>
      </c>
      <c r="K271" s="64">
        <f t="shared" si="33"/>
        <v>0</v>
      </c>
      <c r="L271" s="64">
        <v>2493997.61</v>
      </c>
      <c r="M271" s="64">
        <v>2501805</v>
      </c>
      <c r="N271" s="64">
        <v>2501805</v>
      </c>
      <c r="O271" s="64">
        <v>2501805</v>
      </c>
      <c r="P271" s="64">
        <v>7505415</v>
      </c>
      <c r="Q271" s="58"/>
    </row>
    <row r="272" spans="2:17" ht="13.9" hidden="1" customHeight="1" outlineLevel="1" x14ac:dyDescent="0.25">
      <c r="B272" s="40"/>
      <c r="C272" s="36" t="s">
        <v>51</v>
      </c>
      <c r="D272" s="37">
        <v>920</v>
      </c>
      <c r="E272" s="38">
        <v>1119437875.7299988</v>
      </c>
      <c r="F272" s="66">
        <f t="shared" si="34"/>
        <v>356862529.85999978</v>
      </c>
      <c r="G272" s="64">
        <v>351312930.34999979</v>
      </c>
      <c r="H272" s="38">
        <v>768124945.38000047</v>
      </c>
      <c r="I272" s="64">
        <v>5549599.5100000035</v>
      </c>
      <c r="J272" s="65">
        <f t="shared" si="35"/>
        <v>762575345.87000048</v>
      </c>
      <c r="K272" s="64">
        <f t="shared" si="33"/>
        <v>121553648.01000059</v>
      </c>
      <c r="L272" s="64">
        <v>641021697.8599999</v>
      </c>
      <c r="M272" s="64">
        <v>0</v>
      </c>
      <c r="N272" s="64">
        <v>0</v>
      </c>
      <c r="O272" s="64">
        <v>0</v>
      </c>
      <c r="P272" s="64">
        <v>0</v>
      </c>
      <c r="Q272" s="58"/>
    </row>
    <row r="273" spans="2:17" ht="13.9" hidden="1" customHeight="1" outlineLevel="1" x14ac:dyDescent="0.25">
      <c r="B273" s="40"/>
      <c r="C273" s="36" t="s">
        <v>52</v>
      </c>
      <c r="D273" s="37">
        <v>14</v>
      </c>
      <c r="E273" s="38">
        <v>32221960.140000001</v>
      </c>
      <c r="F273" s="66">
        <f t="shared" si="34"/>
        <v>10048682.51</v>
      </c>
      <c r="G273" s="64">
        <v>10048682.51</v>
      </c>
      <c r="H273" s="38">
        <v>22173277.629999999</v>
      </c>
      <c r="I273" s="64">
        <v>0</v>
      </c>
      <c r="J273" s="65">
        <f t="shared" si="35"/>
        <v>22173277.629999999</v>
      </c>
      <c r="K273" s="64">
        <f t="shared" si="33"/>
        <v>0</v>
      </c>
      <c r="L273" s="64">
        <v>2840101.6499999994</v>
      </c>
      <c r="M273" s="64">
        <v>5739959.8600000003</v>
      </c>
      <c r="N273" s="64">
        <v>13593216.270000001</v>
      </c>
      <c r="O273" s="64">
        <v>0</v>
      </c>
      <c r="P273" s="64">
        <v>0</v>
      </c>
      <c r="Q273" s="58"/>
    </row>
    <row r="274" spans="2:17" ht="13.9" hidden="1" customHeight="1" outlineLevel="1" x14ac:dyDescent="0.25">
      <c r="B274" s="40"/>
      <c r="C274" s="36" t="s">
        <v>53</v>
      </c>
      <c r="D274" s="37">
        <v>62</v>
      </c>
      <c r="E274" s="38">
        <v>221072532.03</v>
      </c>
      <c r="F274" s="66">
        <f t="shared" si="34"/>
        <v>67353549.209999993</v>
      </c>
      <c r="G274" s="64">
        <v>67353549.209999993</v>
      </c>
      <c r="H274" s="38">
        <v>153718982.82000002</v>
      </c>
      <c r="I274" s="64">
        <v>0</v>
      </c>
      <c r="J274" s="65">
        <f t="shared" si="35"/>
        <v>153718982.82000002</v>
      </c>
      <c r="K274" s="64">
        <f t="shared" si="33"/>
        <v>16963418.199999988</v>
      </c>
      <c r="L274" s="64">
        <v>37753010.38000001</v>
      </c>
      <c r="M274" s="64">
        <v>99002554.240000024</v>
      </c>
      <c r="N274" s="64">
        <v>0</v>
      </c>
      <c r="O274" s="64">
        <v>0</v>
      </c>
      <c r="P274" s="64">
        <v>0</v>
      </c>
      <c r="Q274" s="58"/>
    </row>
    <row r="275" spans="2:17" ht="13.9" hidden="1" customHeight="1" outlineLevel="1" x14ac:dyDescent="0.25">
      <c r="B275" s="40"/>
      <c r="C275" s="36" t="s">
        <v>54</v>
      </c>
      <c r="D275" s="37">
        <v>28</v>
      </c>
      <c r="E275" s="38">
        <v>63467152.479999997</v>
      </c>
      <c r="F275" s="66">
        <f t="shared" si="34"/>
        <v>19751881.420000002</v>
      </c>
      <c r="G275" s="64">
        <v>19751881.420000002</v>
      </c>
      <c r="H275" s="38">
        <v>43715271.060000002</v>
      </c>
      <c r="I275" s="64">
        <v>0</v>
      </c>
      <c r="J275" s="65">
        <f t="shared" si="35"/>
        <v>43715271.060000002</v>
      </c>
      <c r="K275" s="64">
        <f t="shared" si="33"/>
        <v>0</v>
      </c>
      <c r="L275" s="64">
        <v>5181507.96</v>
      </c>
      <c r="M275" s="64">
        <v>11074285.220000003</v>
      </c>
      <c r="N275" s="64">
        <v>27459478.000000004</v>
      </c>
      <c r="O275" s="64">
        <v>0</v>
      </c>
      <c r="P275" s="64">
        <v>0</v>
      </c>
      <c r="Q275" s="58"/>
    </row>
    <row r="276" spans="2:17" ht="13.9" hidden="1" customHeight="1" outlineLevel="1" x14ac:dyDescent="0.25">
      <c r="B276" s="40"/>
      <c r="C276" s="36" t="s">
        <v>55</v>
      </c>
      <c r="D276" s="37">
        <v>2</v>
      </c>
      <c r="E276" s="38">
        <v>4816218.3499999996</v>
      </c>
      <c r="F276" s="66">
        <f>G276+I276</f>
        <v>1508337.26</v>
      </c>
      <c r="G276" s="64">
        <v>1508337.26</v>
      </c>
      <c r="H276" s="38">
        <v>3307881.09</v>
      </c>
      <c r="I276" s="64">
        <v>0</v>
      </c>
      <c r="J276" s="65">
        <f>H276-I276</f>
        <v>3307881.09</v>
      </c>
      <c r="K276" s="64">
        <f t="shared" si="33"/>
        <v>0</v>
      </c>
      <c r="L276" s="64">
        <v>418150.1</v>
      </c>
      <c r="M276" s="64">
        <v>0</v>
      </c>
      <c r="N276" s="64">
        <v>0</v>
      </c>
      <c r="O276" s="64">
        <v>2889731.01</v>
      </c>
      <c r="P276" s="64">
        <v>0</v>
      </c>
      <c r="Q276" s="58"/>
    </row>
    <row r="277" spans="2:17" ht="13.9" hidden="1" customHeight="1" outlineLevel="1" x14ac:dyDescent="0.25">
      <c r="B277" s="40"/>
      <c r="C277" s="36" t="s">
        <v>56</v>
      </c>
      <c r="D277" s="37">
        <v>1</v>
      </c>
      <c r="E277" s="38">
        <v>2119087.7999999998</v>
      </c>
      <c r="F277" s="66">
        <f>G277+I277</f>
        <v>641495.98</v>
      </c>
      <c r="G277" s="64">
        <v>641495.98</v>
      </c>
      <c r="H277" s="38">
        <v>1477591.8199999998</v>
      </c>
      <c r="I277" s="64">
        <v>0</v>
      </c>
      <c r="J277" s="65">
        <f>H277-I277</f>
        <v>1477591.8199999998</v>
      </c>
      <c r="K277" s="64">
        <f t="shared" si="33"/>
        <v>0</v>
      </c>
      <c r="L277" s="64">
        <v>206139.14</v>
      </c>
      <c r="M277" s="64">
        <v>211908.78</v>
      </c>
      <c r="N277" s="64">
        <v>211908.78</v>
      </c>
      <c r="O277" s="64">
        <v>847635.12</v>
      </c>
      <c r="P277" s="64">
        <v>0</v>
      </c>
      <c r="Q277" s="58"/>
    </row>
    <row r="278" spans="2:17" ht="13.9" hidden="1" customHeight="1" outlineLevel="1" x14ac:dyDescent="0.25">
      <c r="B278" s="40"/>
      <c r="C278" s="36" t="s">
        <v>57</v>
      </c>
      <c r="D278" s="37">
        <v>0</v>
      </c>
      <c r="E278" s="38">
        <v>0</v>
      </c>
      <c r="F278" s="66">
        <f>G278+I278</f>
        <v>0</v>
      </c>
      <c r="G278" s="64">
        <v>0</v>
      </c>
      <c r="H278" s="38">
        <v>0</v>
      </c>
      <c r="I278" s="64">
        <v>0</v>
      </c>
      <c r="J278" s="65">
        <f>H278-I278</f>
        <v>0</v>
      </c>
      <c r="K278" s="64">
        <f t="shared" si="33"/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58"/>
    </row>
    <row r="279" spans="2:17" ht="13.9" hidden="1" customHeight="1" outlineLevel="1" x14ac:dyDescent="0.25">
      <c r="B279" s="40"/>
      <c r="C279" s="36" t="s">
        <v>58</v>
      </c>
      <c r="D279" s="37">
        <v>8</v>
      </c>
      <c r="E279" s="38">
        <v>16279837.800000001</v>
      </c>
      <c r="F279" s="66">
        <f>G279+I279</f>
        <v>5051252.7</v>
      </c>
      <c r="G279" s="64">
        <v>5051252.7</v>
      </c>
      <c r="H279" s="38">
        <v>11228585.100000001</v>
      </c>
      <c r="I279" s="64">
        <v>0</v>
      </c>
      <c r="J279" s="65">
        <f>H279-I279</f>
        <v>11228585.100000001</v>
      </c>
      <c r="K279" s="64">
        <f t="shared" si="33"/>
        <v>0</v>
      </c>
      <c r="L279" s="64">
        <v>1460682.9799999997</v>
      </c>
      <c r="M279" s="64">
        <v>1627983.79</v>
      </c>
      <c r="N279" s="64">
        <v>8139918.9100000001</v>
      </c>
      <c r="O279" s="64">
        <v>0</v>
      </c>
      <c r="P279" s="64">
        <v>0</v>
      </c>
      <c r="Q279" s="58"/>
    </row>
    <row r="280" spans="2:17" ht="13.9" hidden="1" customHeight="1" outlineLevel="1" x14ac:dyDescent="0.25">
      <c r="B280" s="40"/>
      <c r="C280" s="36" t="s">
        <v>59</v>
      </c>
      <c r="D280" s="37">
        <v>12</v>
      </c>
      <c r="E280" s="38">
        <v>26731656.149999999</v>
      </c>
      <c r="F280" s="66">
        <f t="shared" si="34"/>
        <v>8139387.9700000007</v>
      </c>
      <c r="G280" s="64">
        <v>8139387.9700000007</v>
      </c>
      <c r="H280" s="38">
        <v>18592268.18</v>
      </c>
      <c r="I280" s="64">
        <v>0</v>
      </c>
      <c r="J280" s="65">
        <f t="shared" si="35"/>
        <v>18592268.18</v>
      </c>
      <c r="K280" s="64">
        <f t="shared" si="33"/>
        <v>0</v>
      </c>
      <c r="L280" s="64">
        <v>2553274.54</v>
      </c>
      <c r="M280" s="64">
        <v>2236103.8000000003</v>
      </c>
      <c r="N280" s="64">
        <v>13802889.92</v>
      </c>
      <c r="O280" s="64">
        <v>0</v>
      </c>
      <c r="P280" s="64">
        <v>0</v>
      </c>
      <c r="Q280" s="58"/>
    </row>
    <row r="281" spans="2:17" ht="13.9" hidden="1" customHeight="1" outlineLevel="1" x14ac:dyDescent="0.25">
      <c r="B281" s="40"/>
      <c r="C281" s="36" t="s">
        <v>60</v>
      </c>
      <c r="D281" s="37">
        <v>0</v>
      </c>
      <c r="E281" s="38">
        <v>0</v>
      </c>
      <c r="F281" s="66">
        <f t="shared" si="34"/>
        <v>0</v>
      </c>
      <c r="G281" s="64">
        <v>0</v>
      </c>
      <c r="H281" s="38">
        <v>0</v>
      </c>
      <c r="I281" s="64">
        <v>0</v>
      </c>
      <c r="J281" s="65">
        <f t="shared" si="35"/>
        <v>0</v>
      </c>
      <c r="K281" s="64">
        <f t="shared" si="33"/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58"/>
    </row>
    <row r="282" spans="2:17" ht="13.9" hidden="1" customHeight="1" outlineLevel="1" x14ac:dyDescent="0.25">
      <c r="B282" s="40"/>
      <c r="C282" s="36" t="s">
        <v>61</v>
      </c>
      <c r="D282" s="37">
        <v>1</v>
      </c>
      <c r="E282" s="38">
        <v>3995907.5</v>
      </c>
      <c r="F282" s="66">
        <f>G282+I282</f>
        <v>1207173</v>
      </c>
      <c r="G282" s="64">
        <v>1207173</v>
      </c>
      <c r="H282" s="38">
        <v>2788734.5</v>
      </c>
      <c r="I282" s="64">
        <v>0</v>
      </c>
      <c r="J282" s="65">
        <f>H282-I282</f>
        <v>2788734.5</v>
      </c>
      <c r="K282" s="64">
        <f t="shared" si="33"/>
        <v>0</v>
      </c>
      <c r="L282" s="64">
        <v>391190</v>
      </c>
      <c r="M282" s="64">
        <v>799181.5</v>
      </c>
      <c r="N282" s="64">
        <v>1598363</v>
      </c>
      <c r="O282" s="64">
        <v>0</v>
      </c>
      <c r="P282" s="64">
        <v>0</v>
      </c>
      <c r="Q282" s="58"/>
    </row>
    <row r="283" spans="2:17" ht="13.9" hidden="1" customHeight="1" outlineLevel="1" x14ac:dyDescent="0.25">
      <c r="B283" s="40"/>
      <c r="C283" s="36" t="s">
        <v>62</v>
      </c>
      <c r="D283" s="37">
        <v>0</v>
      </c>
      <c r="E283" s="38">
        <v>0</v>
      </c>
      <c r="F283" s="66">
        <f>G283+I283</f>
        <v>0</v>
      </c>
      <c r="G283" s="64">
        <v>0</v>
      </c>
      <c r="H283" s="38">
        <v>0</v>
      </c>
      <c r="I283" s="64">
        <v>0</v>
      </c>
      <c r="J283" s="65">
        <f>H283-I283</f>
        <v>0</v>
      </c>
      <c r="K283" s="64">
        <f t="shared" si="33"/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58"/>
    </row>
    <row r="284" spans="2:17" ht="13.9" hidden="1" customHeight="1" outlineLevel="1" x14ac:dyDescent="0.25">
      <c r="B284" s="40"/>
      <c r="C284" s="36" t="s">
        <v>63</v>
      </c>
      <c r="D284" s="37">
        <v>0</v>
      </c>
      <c r="E284" s="38">
        <v>0</v>
      </c>
      <c r="F284" s="66">
        <f t="shared" ref="F284:F294" si="36">G284+I284</f>
        <v>0</v>
      </c>
      <c r="G284" s="64">
        <v>0</v>
      </c>
      <c r="H284" s="38">
        <v>0</v>
      </c>
      <c r="I284" s="64">
        <v>0</v>
      </c>
      <c r="J284" s="65">
        <f t="shared" ref="J284:J294" si="37">H284-I284</f>
        <v>0</v>
      </c>
      <c r="K284" s="64">
        <f t="shared" si="33"/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58"/>
    </row>
    <row r="285" spans="2:17" ht="13.9" hidden="1" customHeight="1" outlineLevel="1" x14ac:dyDescent="0.25">
      <c r="B285" s="40"/>
      <c r="C285" s="36" t="s">
        <v>64</v>
      </c>
      <c r="D285" s="37">
        <v>39</v>
      </c>
      <c r="E285" s="38">
        <v>105855339.19000001</v>
      </c>
      <c r="F285" s="66">
        <f t="shared" si="36"/>
        <v>48232259.100000001</v>
      </c>
      <c r="G285" s="64">
        <v>39049142.310000002</v>
      </c>
      <c r="H285" s="38">
        <v>66806196.879999995</v>
      </c>
      <c r="I285" s="64">
        <v>9183116.7899999991</v>
      </c>
      <c r="J285" s="65">
        <f t="shared" si="37"/>
        <v>57623080.089999996</v>
      </c>
      <c r="K285" s="64">
        <f t="shared" si="33"/>
        <v>57623080.089999996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58"/>
    </row>
    <row r="286" spans="2:17" ht="13.9" hidden="1" customHeight="1" outlineLevel="1" x14ac:dyDescent="0.25">
      <c r="B286" s="40"/>
      <c r="C286" s="36" t="s">
        <v>65</v>
      </c>
      <c r="D286" s="37">
        <v>0</v>
      </c>
      <c r="E286" s="38">
        <v>0</v>
      </c>
      <c r="F286" s="66">
        <f t="shared" si="36"/>
        <v>0</v>
      </c>
      <c r="G286" s="64">
        <v>0</v>
      </c>
      <c r="H286" s="38">
        <v>0</v>
      </c>
      <c r="I286" s="64">
        <v>0</v>
      </c>
      <c r="J286" s="65">
        <f t="shared" si="37"/>
        <v>0</v>
      </c>
      <c r="K286" s="64">
        <f t="shared" si="33"/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58"/>
    </row>
    <row r="287" spans="2:17" ht="13.9" hidden="1" customHeight="1" outlineLevel="1" x14ac:dyDescent="0.25">
      <c r="B287" s="40"/>
      <c r="C287" s="36" t="s">
        <v>66</v>
      </c>
      <c r="D287" s="37">
        <v>1</v>
      </c>
      <c r="E287" s="38">
        <v>1297799.72</v>
      </c>
      <c r="F287" s="66">
        <f t="shared" si="36"/>
        <v>519119.88</v>
      </c>
      <c r="G287" s="64">
        <v>519119.88</v>
      </c>
      <c r="H287" s="38">
        <v>778679.84</v>
      </c>
      <c r="I287" s="64">
        <v>0</v>
      </c>
      <c r="J287" s="65">
        <f t="shared" si="37"/>
        <v>778679.84</v>
      </c>
      <c r="K287" s="64">
        <f t="shared" si="33"/>
        <v>778679.84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58"/>
    </row>
    <row r="288" spans="2:17" ht="13.9" hidden="1" customHeight="1" outlineLevel="1" x14ac:dyDescent="0.25">
      <c r="B288" s="40"/>
      <c r="C288" s="36" t="s">
        <v>67</v>
      </c>
      <c r="D288" s="37">
        <v>3</v>
      </c>
      <c r="E288" s="38">
        <v>13162511</v>
      </c>
      <c r="F288" s="66">
        <f t="shared" si="36"/>
        <v>5356029.8</v>
      </c>
      <c r="G288" s="64">
        <v>5185265</v>
      </c>
      <c r="H288" s="38">
        <v>7977246</v>
      </c>
      <c r="I288" s="64">
        <v>170764.79999999999</v>
      </c>
      <c r="J288" s="65">
        <f t="shared" si="37"/>
        <v>7806481.2000000002</v>
      </c>
      <c r="K288" s="64">
        <f t="shared" si="33"/>
        <v>7806481.2000000002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58"/>
    </row>
    <row r="289" spans="2:18" ht="13.9" customHeight="1" collapsed="1" x14ac:dyDescent="0.25">
      <c r="B289" s="43"/>
      <c r="C289" s="29" t="s">
        <v>68</v>
      </c>
      <c r="D289" s="44">
        <f t="shared" ref="D289:P289" si="38">SUM(D252:D288)</f>
        <v>3821</v>
      </c>
      <c r="E289" s="45">
        <f t="shared" si="38"/>
        <v>8326404856.9499979</v>
      </c>
      <c r="F289" s="46">
        <f t="shared" si="38"/>
        <v>2914216752.5700006</v>
      </c>
      <c r="G289" s="47">
        <f t="shared" si="38"/>
        <v>2754050283.9100008</v>
      </c>
      <c r="H289" s="44">
        <f t="shared" si="38"/>
        <v>5572354573.0400019</v>
      </c>
      <c r="I289" s="45">
        <f t="shared" si="38"/>
        <v>160166468.65999997</v>
      </c>
      <c r="J289" s="46">
        <f t="shared" si="38"/>
        <v>5412188104.380003</v>
      </c>
      <c r="K289" s="47">
        <f t="shared" si="38"/>
        <v>1348070898.1400018</v>
      </c>
      <c r="L289" s="44">
        <f t="shared" si="38"/>
        <v>2789262287.9000001</v>
      </c>
      <c r="M289" s="45">
        <f t="shared" si="38"/>
        <v>771627770.47000039</v>
      </c>
      <c r="N289" s="44">
        <f t="shared" si="38"/>
        <v>478941444.62999952</v>
      </c>
      <c r="O289" s="45">
        <f t="shared" si="38"/>
        <v>15205466.18</v>
      </c>
      <c r="P289" s="45">
        <f t="shared" si="38"/>
        <v>9080238.0099999998</v>
      </c>
      <c r="Q289" s="39"/>
      <c r="R289" s="39"/>
    </row>
    <row r="290" spans="2:18" ht="13.9" hidden="1" customHeight="1" outlineLevel="1" x14ac:dyDescent="0.25">
      <c r="B290" s="35" t="s">
        <v>83</v>
      </c>
      <c r="C290" s="36" t="s">
        <v>70</v>
      </c>
      <c r="D290" s="37">
        <v>1009</v>
      </c>
      <c r="E290" s="38">
        <v>1774110826.189997</v>
      </c>
      <c r="F290" s="66">
        <f t="shared" si="36"/>
        <v>661706087.75000024</v>
      </c>
      <c r="G290" s="64">
        <v>626241607.89000022</v>
      </c>
      <c r="H290" s="38">
        <v>1147869218.2999976</v>
      </c>
      <c r="I290" s="64">
        <v>35464479.85999997</v>
      </c>
      <c r="J290" s="65">
        <f t="shared" si="37"/>
        <v>1112404738.4399977</v>
      </c>
      <c r="K290" s="64">
        <f t="shared" si="33"/>
        <v>254534826.88999772</v>
      </c>
      <c r="L290" s="64">
        <v>286012721.98999965</v>
      </c>
      <c r="M290" s="64">
        <v>450700856.58000022</v>
      </c>
      <c r="N290" s="64">
        <v>121156332.98000005</v>
      </c>
      <c r="O290" s="64">
        <v>0</v>
      </c>
      <c r="P290" s="64">
        <v>0</v>
      </c>
      <c r="Q290" s="58"/>
    </row>
    <row r="291" spans="2:18" ht="13.9" hidden="1" customHeight="1" outlineLevel="1" x14ac:dyDescent="0.25">
      <c r="B291" s="40"/>
      <c r="C291" s="36" t="s">
        <v>71</v>
      </c>
      <c r="D291" s="37">
        <v>34</v>
      </c>
      <c r="E291" s="38">
        <v>514917065.65999997</v>
      </c>
      <c r="F291" s="66">
        <f t="shared" si="36"/>
        <v>183240289.90000004</v>
      </c>
      <c r="G291" s="64">
        <v>175104585.79000002</v>
      </c>
      <c r="H291" s="38">
        <v>339812479.87</v>
      </c>
      <c r="I291" s="64">
        <v>8135704.1100000003</v>
      </c>
      <c r="J291" s="65">
        <f t="shared" si="37"/>
        <v>331676775.75999999</v>
      </c>
      <c r="K291" s="64">
        <f t="shared" si="33"/>
        <v>49971801.029999971</v>
      </c>
      <c r="L291" s="64">
        <v>140699092.83000001</v>
      </c>
      <c r="M291" s="64">
        <v>141005881.89999998</v>
      </c>
      <c r="N291" s="64">
        <v>0</v>
      </c>
      <c r="O291" s="64">
        <v>0</v>
      </c>
      <c r="P291" s="64">
        <v>0</v>
      </c>
      <c r="Q291" s="58"/>
    </row>
    <row r="292" spans="2:18" ht="13.9" hidden="1" customHeight="1" outlineLevel="1" x14ac:dyDescent="0.25">
      <c r="B292" s="40"/>
      <c r="C292" s="36" t="s">
        <v>72</v>
      </c>
      <c r="D292" s="37">
        <v>438</v>
      </c>
      <c r="E292" s="38">
        <v>706789070.85999978</v>
      </c>
      <c r="F292" s="66">
        <f t="shared" si="36"/>
        <v>236261148.71999991</v>
      </c>
      <c r="G292" s="64">
        <v>229901958.74999991</v>
      </c>
      <c r="H292" s="38">
        <v>476887112.11000001</v>
      </c>
      <c r="I292" s="64">
        <v>6359189.9700000016</v>
      </c>
      <c r="J292" s="65">
        <f t="shared" si="37"/>
        <v>470527922.13999999</v>
      </c>
      <c r="K292" s="64">
        <f t="shared" si="33"/>
        <v>88231467.450000048</v>
      </c>
      <c r="L292" s="64">
        <v>85341052.309999973</v>
      </c>
      <c r="M292" s="64">
        <v>12760227.029999996</v>
      </c>
      <c r="N292" s="64">
        <v>281372135.54999995</v>
      </c>
      <c r="O292" s="64">
        <v>2823039.8000000003</v>
      </c>
      <c r="P292" s="64">
        <v>0</v>
      </c>
      <c r="Q292" s="58"/>
    </row>
    <row r="293" spans="2:18" ht="13.9" customHeight="1" collapsed="1" x14ac:dyDescent="0.25">
      <c r="B293" s="43"/>
      <c r="C293" s="29" t="s">
        <v>73</v>
      </c>
      <c r="D293" s="44">
        <f t="shared" ref="D293:P293" si="39">SUM(D290:D292)</f>
        <v>1481</v>
      </c>
      <c r="E293" s="45">
        <f t="shared" si="39"/>
        <v>2995816962.7099967</v>
      </c>
      <c r="F293" s="46">
        <f t="shared" si="39"/>
        <v>1081207526.3700004</v>
      </c>
      <c r="G293" s="47">
        <f t="shared" si="39"/>
        <v>1031248152.4300002</v>
      </c>
      <c r="H293" s="44">
        <f t="shared" si="39"/>
        <v>1964568810.2799978</v>
      </c>
      <c r="I293" s="45">
        <f t="shared" si="39"/>
        <v>49959373.939999968</v>
      </c>
      <c r="J293" s="46">
        <f t="shared" si="39"/>
        <v>1914609436.3399978</v>
      </c>
      <c r="K293" s="47">
        <f t="shared" si="39"/>
        <v>392738095.36999774</v>
      </c>
      <c r="L293" s="44">
        <f t="shared" si="39"/>
        <v>512052867.12999964</v>
      </c>
      <c r="M293" s="45">
        <f t="shared" si="39"/>
        <v>604466965.51000023</v>
      </c>
      <c r="N293" s="44">
        <f t="shared" si="39"/>
        <v>402528468.52999997</v>
      </c>
      <c r="O293" s="45">
        <f t="shared" si="39"/>
        <v>2823039.8000000003</v>
      </c>
      <c r="P293" s="45">
        <f t="shared" si="39"/>
        <v>0</v>
      </c>
      <c r="Q293" s="39"/>
      <c r="R293" s="39"/>
    </row>
    <row r="294" spans="2:18" ht="13.9" hidden="1" customHeight="1" outlineLevel="1" x14ac:dyDescent="0.25">
      <c r="B294" s="35" t="s">
        <v>74</v>
      </c>
      <c r="C294" s="36" t="s">
        <v>75</v>
      </c>
      <c r="D294" s="37">
        <v>2</v>
      </c>
      <c r="E294" s="38">
        <v>3314125</v>
      </c>
      <c r="F294" s="66">
        <f t="shared" si="36"/>
        <v>1116453.97</v>
      </c>
      <c r="G294" s="64">
        <v>1116453.97</v>
      </c>
      <c r="H294" s="38">
        <v>2197671.0300000003</v>
      </c>
      <c r="I294" s="64">
        <v>0</v>
      </c>
      <c r="J294" s="65">
        <f t="shared" si="37"/>
        <v>2197671.0300000003</v>
      </c>
      <c r="K294" s="64">
        <f t="shared" si="33"/>
        <v>208956.87000000011</v>
      </c>
      <c r="L294" s="64">
        <v>418156.57999999996</v>
      </c>
      <c r="M294" s="64">
        <v>0</v>
      </c>
      <c r="N294" s="64">
        <v>1570557.58</v>
      </c>
      <c r="O294" s="64">
        <v>0</v>
      </c>
      <c r="P294" s="64">
        <v>0</v>
      </c>
      <c r="Q294" s="58"/>
    </row>
    <row r="295" spans="2:18" ht="13.9" hidden="1" customHeight="1" outlineLevel="1" x14ac:dyDescent="0.25">
      <c r="B295" s="40"/>
      <c r="C295" s="36" t="s">
        <v>76</v>
      </c>
      <c r="D295" s="37">
        <v>302</v>
      </c>
      <c r="E295" s="38">
        <v>424157360.10000002</v>
      </c>
      <c r="F295" s="66">
        <f>G295+I295</f>
        <v>128786098.23000002</v>
      </c>
      <c r="G295" s="64">
        <v>128786098.03000002</v>
      </c>
      <c r="H295" s="38">
        <v>295371262.06999981</v>
      </c>
      <c r="I295" s="64">
        <v>0.2</v>
      </c>
      <c r="J295" s="65">
        <f>H295-I295</f>
        <v>295371261.86999983</v>
      </c>
      <c r="K295" s="64">
        <f t="shared" si="33"/>
        <v>70037118.829999804</v>
      </c>
      <c r="L295" s="64">
        <v>52911757.950000025</v>
      </c>
      <c r="M295" s="64">
        <v>172422385.09</v>
      </c>
      <c r="N295" s="64">
        <v>0</v>
      </c>
      <c r="O295" s="64">
        <v>0</v>
      </c>
      <c r="P295" s="64">
        <v>0</v>
      </c>
      <c r="Q295" s="58"/>
    </row>
    <row r="296" spans="2:18" ht="13.9" customHeight="1" collapsed="1" x14ac:dyDescent="0.25">
      <c r="B296" s="43"/>
      <c r="C296" s="29" t="s">
        <v>77</v>
      </c>
      <c r="D296" s="44">
        <f t="shared" ref="D296:P296" si="40">SUM(D294:D295)</f>
        <v>304</v>
      </c>
      <c r="E296" s="45">
        <f t="shared" si="40"/>
        <v>427471485.10000002</v>
      </c>
      <c r="F296" s="46">
        <f t="shared" si="40"/>
        <v>129902552.20000002</v>
      </c>
      <c r="G296" s="47">
        <f t="shared" si="40"/>
        <v>129902552.00000001</v>
      </c>
      <c r="H296" s="44">
        <f t="shared" si="40"/>
        <v>297568933.09999979</v>
      </c>
      <c r="I296" s="45">
        <f t="shared" si="40"/>
        <v>0.2</v>
      </c>
      <c r="J296" s="46">
        <f t="shared" si="40"/>
        <v>297568932.8999998</v>
      </c>
      <c r="K296" s="47">
        <f t="shared" si="40"/>
        <v>70246075.699999809</v>
      </c>
      <c r="L296" s="44">
        <f t="shared" si="40"/>
        <v>53329914.530000024</v>
      </c>
      <c r="M296" s="45">
        <f t="shared" si="40"/>
        <v>172422385.09</v>
      </c>
      <c r="N296" s="44">
        <f t="shared" si="40"/>
        <v>1570557.58</v>
      </c>
      <c r="O296" s="45">
        <f t="shared" si="40"/>
        <v>0</v>
      </c>
      <c r="P296" s="45">
        <f t="shared" si="40"/>
        <v>0</v>
      </c>
      <c r="Q296" s="48"/>
      <c r="R296" s="48"/>
    </row>
    <row r="297" spans="2:18" ht="13.9" customHeight="1" x14ac:dyDescent="0.25">
      <c r="B297" s="49" t="s">
        <v>78</v>
      </c>
      <c r="C297" s="50"/>
      <c r="D297" s="67">
        <f t="shared" ref="D297:P297" si="41">D296+D293+D289</f>
        <v>5606</v>
      </c>
      <c r="E297" s="68">
        <f t="shared" si="41"/>
        <v>11749693304.759995</v>
      </c>
      <c r="F297" s="69">
        <f t="shared" si="41"/>
        <v>4125326831.1400013</v>
      </c>
      <c r="G297" s="70">
        <f t="shared" si="41"/>
        <v>3915200988.3400011</v>
      </c>
      <c r="H297" s="68">
        <f t="shared" si="41"/>
        <v>7834492316.4200001</v>
      </c>
      <c r="I297" s="70">
        <f t="shared" si="41"/>
        <v>210125842.79999995</v>
      </c>
      <c r="J297" s="68">
        <f t="shared" si="41"/>
        <v>7624366473.6200008</v>
      </c>
      <c r="K297" s="70">
        <f t="shared" si="41"/>
        <v>1811055069.2099993</v>
      </c>
      <c r="L297" s="70">
        <f t="shared" si="41"/>
        <v>3354645069.5599995</v>
      </c>
      <c r="M297" s="68">
        <f t="shared" si="41"/>
        <v>1548517121.0700006</v>
      </c>
      <c r="N297" s="68">
        <f t="shared" si="41"/>
        <v>883040470.73999953</v>
      </c>
      <c r="O297" s="68">
        <f t="shared" si="41"/>
        <v>18028505.98</v>
      </c>
      <c r="P297" s="68">
        <f t="shared" si="41"/>
        <v>9080238.0099999998</v>
      </c>
      <c r="Q297" s="58"/>
    </row>
    <row r="298" spans="2:18" ht="13.9" customHeight="1" x14ac:dyDescent="0.25">
      <c r="Q298" s="58"/>
    </row>
    <row r="299" spans="2:18" ht="13.9" customHeight="1" x14ac:dyDescent="0.25">
      <c r="B299" s="59" t="s">
        <v>91</v>
      </c>
      <c r="C299" s="59"/>
      <c r="Q299" s="58"/>
    </row>
    <row r="300" spans="2:18" ht="13.9" customHeight="1" x14ac:dyDescent="0.25">
      <c r="B300" s="29" t="s">
        <v>26</v>
      </c>
      <c r="C300" s="29" t="s">
        <v>27</v>
      </c>
      <c r="D300" s="60" t="s">
        <v>28</v>
      </c>
      <c r="E300" s="61" t="s">
        <v>29</v>
      </c>
      <c r="F300" s="62" t="s">
        <v>85</v>
      </c>
      <c r="G300" s="63" t="s">
        <v>81</v>
      </c>
      <c r="H300" s="61" t="s">
        <v>82</v>
      </c>
      <c r="I300" s="63" t="s">
        <v>86</v>
      </c>
      <c r="J300" s="61" t="s">
        <v>87</v>
      </c>
      <c r="K300" s="63">
        <v>2026</v>
      </c>
      <c r="L300" s="63">
        <v>2027</v>
      </c>
      <c r="M300" s="61">
        <v>2028</v>
      </c>
      <c r="N300" s="63">
        <v>2029</v>
      </c>
      <c r="O300" s="61">
        <v>2030</v>
      </c>
      <c r="P300" s="63">
        <v>2031</v>
      </c>
      <c r="Q300" s="58"/>
    </row>
    <row r="301" spans="2:18" ht="13.9" hidden="1" customHeight="1" outlineLevel="1" x14ac:dyDescent="0.25">
      <c r="B301" s="35" t="s">
        <v>30</v>
      </c>
      <c r="C301" s="36" t="s">
        <v>31</v>
      </c>
      <c r="D301" s="37">
        <v>337</v>
      </c>
      <c r="E301" s="38">
        <v>614064777.3299998</v>
      </c>
      <c r="F301" s="66">
        <f>G301+I301</f>
        <v>366439462.61000013</v>
      </c>
      <c r="G301" s="64">
        <v>361596825.88000011</v>
      </c>
      <c r="H301" s="38">
        <v>252618551.45000002</v>
      </c>
      <c r="I301" s="64">
        <v>4842636.7299999995</v>
      </c>
      <c r="J301" s="65">
        <f>H301-I301</f>
        <v>247775914.72000003</v>
      </c>
      <c r="K301" s="64">
        <f t="shared" ref="K301:K344" si="42">MAX(J301-SUM(L301:P301),0)</f>
        <v>247775914.72000003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58"/>
    </row>
    <row r="302" spans="2:18" ht="13.9" hidden="1" customHeight="1" outlineLevel="1" x14ac:dyDescent="0.25">
      <c r="B302" s="40"/>
      <c r="C302" s="36" t="s">
        <v>32</v>
      </c>
      <c r="D302" s="37">
        <v>2</v>
      </c>
      <c r="E302" s="38">
        <v>3348126.7800000003</v>
      </c>
      <c r="F302" s="66">
        <f t="shared" ref="F302:F330" si="43">G302+I302</f>
        <v>1618414</v>
      </c>
      <c r="G302" s="64">
        <v>1618414</v>
      </c>
      <c r="H302" s="38">
        <v>1729712.78</v>
      </c>
      <c r="I302" s="64">
        <v>0</v>
      </c>
      <c r="J302" s="65">
        <f t="shared" ref="J302:J330" si="44">H302-I302</f>
        <v>1729712.78</v>
      </c>
      <c r="K302" s="64">
        <f t="shared" si="42"/>
        <v>932039.04</v>
      </c>
      <c r="L302" s="64">
        <v>797673.74</v>
      </c>
      <c r="M302" s="64">
        <v>0</v>
      </c>
      <c r="N302" s="64">
        <v>0</v>
      </c>
      <c r="O302" s="64">
        <v>0</v>
      </c>
      <c r="P302" s="64">
        <v>0</v>
      </c>
      <c r="Q302" s="58"/>
    </row>
    <row r="303" spans="2:18" ht="13.9" hidden="1" customHeight="1" outlineLevel="1" x14ac:dyDescent="0.25">
      <c r="B303" s="40"/>
      <c r="C303" s="36" t="s">
        <v>33</v>
      </c>
      <c r="D303" s="37">
        <v>30</v>
      </c>
      <c r="E303" s="38">
        <v>47838078.75</v>
      </c>
      <c r="F303" s="66">
        <f t="shared" si="43"/>
        <v>30827808</v>
      </c>
      <c r="G303" s="64">
        <v>24843247.109999999</v>
      </c>
      <c r="H303" s="38">
        <v>22994831.640000001</v>
      </c>
      <c r="I303" s="64">
        <v>5984560.8900000006</v>
      </c>
      <c r="J303" s="65">
        <f t="shared" si="44"/>
        <v>17010270.75</v>
      </c>
      <c r="K303" s="64">
        <f t="shared" si="42"/>
        <v>11340180.34</v>
      </c>
      <c r="L303" s="64">
        <v>5670090.4099999992</v>
      </c>
      <c r="M303" s="64">
        <v>0</v>
      </c>
      <c r="N303" s="64">
        <v>0</v>
      </c>
      <c r="O303" s="64">
        <v>0</v>
      </c>
      <c r="P303" s="64">
        <v>0</v>
      </c>
      <c r="Q303" s="58"/>
    </row>
    <row r="304" spans="2:18" ht="13.9" hidden="1" customHeight="1" outlineLevel="1" x14ac:dyDescent="0.25">
      <c r="B304" s="40"/>
      <c r="C304" s="36" t="s">
        <v>34</v>
      </c>
      <c r="D304" s="37">
        <v>371</v>
      </c>
      <c r="E304" s="38">
        <v>940000087.55999994</v>
      </c>
      <c r="F304" s="66">
        <f t="shared" si="43"/>
        <v>596485793.49999988</v>
      </c>
      <c r="G304" s="64">
        <v>530396767.36999977</v>
      </c>
      <c r="H304" s="38">
        <v>409603320.19000024</v>
      </c>
      <c r="I304" s="64">
        <v>66089026.130000092</v>
      </c>
      <c r="J304" s="65">
        <f t="shared" si="44"/>
        <v>343514294.06000012</v>
      </c>
      <c r="K304" s="64">
        <f t="shared" si="42"/>
        <v>85878571.399999797</v>
      </c>
      <c r="L304" s="64">
        <v>171757148.44000021</v>
      </c>
      <c r="M304" s="64">
        <v>85878574.220000103</v>
      </c>
      <c r="N304" s="64">
        <v>0</v>
      </c>
      <c r="O304" s="64">
        <v>0</v>
      </c>
      <c r="P304" s="64">
        <v>0</v>
      </c>
      <c r="Q304" s="58"/>
    </row>
    <row r="305" spans="2:17" ht="13.9" hidden="1" customHeight="1" outlineLevel="1" x14ac:dyDescent="0.25">
      <c r="B305" s="40"/>
      <c r="C305" s="36" t="s">
        <v>35</v>
      </c>
      <c r="D305" s="37">
        <v>2</v>
      </c>
      <c r="E305" s="38">
        <v>2131696</v>
      </c>
      <c r="F305" s="66">
        <f t="shared" si="43"/>
        <v>1279017.5999999999</v>
      </c>
      <c r="G305" s="64">
        <v>1279017.2</v>
      </c>
      <c r="H305" s="38">
        <v>852678.8</v>
      </c>
      <c r="I305" s="64">
        <v>0.4</v>
      </c>
      <c r="J305" s="65">
        <f t="shared" si="44"/>
        <v>852678.4</v>
      </c>
      <c r="K305" s="64">
        <f t="shared" si="42"/>
        <v>426339.2</v>
      </c>
      <c r="L305" s="64">
        <v>426339.2</v>
      </c>
      <c r="M305" s="64">
        <v>0</v>
      </c>
      <c r="N305" s="64">
        <v>0</v>
      </c>
      <c r="O305" s="64">
        <v>0</v>
      </c>
      <c r="P305" s="64">
        <v>0</v>
      </c>
      <c r="Q305" s="58"/>
    </row>
    <row r="306" spans="2:17" ht="13.9" hidden="1" customHeight="1" outlineLevel="1" x14ac:dyDescent="0.25">
      <c r="B306" s="40"/>
      <c r="C306" s="36" t="s">
        <v>36</v>
      </c>
      <c r="D306" s="37">
        <v>81</v>
      </c>
      <c r="E306" s="38">
        <v>700941899.71000004</v>
      </c>
      <c r="F306" s="66">
        <f t="shared" si="43"/>
        <v>328113930.13</v>
      </c>
      <c r="G306" s="64">
        <v>320687095.56999999</v>
      </c>
      <c r="H306" s="38">
        <v>380254804.13999993</v>
      </c>
      <c r="I306" s="64">
        <v>7426834.5599999996</v>
      </c>
      <c r="J306" s="65">
        <f t="shared" si="44"/>
        <v>372827969.57999992</v>
      </c>
      <c r="K306" s="64">
        <f t="shared" si="42"/>
        <v>71131056.259999871</v>
      </c>
      <c r="L306" s="64">
        <v>290058113.32000005</v>
      </c>
      <c r="M306" s="64">
        <v>11638800</v>
      </c>
      <c r="N306" s="64">
        <v>0</v>
      </c>
      <c r="O306" s="64">
        <v>0</v>
      </c>
      <c r="P306" s="64">
        <v>0</v>
      </c>
      <c r="Q306" s="58"/>
    </row>
    <row r="307" spans="2:17" ht="13.9" hidden="1" customHeight="1" outlineLevel="1" x14ac:dyDescent="0.25">
      <c r="B307" s="40"/>
      <c r="C307" s="36" t="s">
        <v>37</v>
      </c>
      <c r="D307" s="37">
        <v>2</v>
      </c>
      <c r="E307" s="38">
        <v>3855791.73</v>
      </c>
      <c r="F307" s="66">
        <f t="shared" si="43"/>
        <v>2459353.21</v>
      </c>
      <c r="G307" s="64">
        <v>1673753</v>
      </c>
      <c r="H307" s="38">
        <v>2182038.73</v>
      </c>
      <c r="I307" s="64">
        <v>785600.21</v>
      </c>
      <c r="J307" s="65">
        <f t="shared" si="44"/>
        <v>1396438.52</v>
      </c>
      <c r="K307" s="64">
        <f t="shared" si="42"/>
        <v>289813.52</v>
      </c>
      <c r="L307" s="64">
        <v>368875</v>
      </c>
      <c r="M307" s="64">
        <v>368875</v>
      </c>
      <c r="N307" s="64">
        <v>368875</v>
      </c>
      <c r="O307" s="64">
        <v>0</v>
      </c>
      <c r="P307" s="64">
        <v>0</v>
      </c>
      <c r="Q307" s="58"/>
    </row>
    <row r="308" spans="2:17" ht="13.9" hidden="1" customHeight="1" outlineLevel="1" x14ac:dyDescent="0.25">
      <c r="B308" s="40"/>
      <c r="C308" s="36" t="s">
        <v>38</v>
      </c>
      <c r="D308" s="37">
        <v>0</v>
      </c>
      <c r="E308" s="38">
        <v>0</v>
      </c>
      <c r="F308" s="66">
        <f t="shared" si="43"/>
        <v>0</v>
      </c>
      <c r="G308" s="64">
        <v>0</v>
      </c>
      <c r="H308" s="38">
        <v>0</v>
      </c>
      <c r="I308" s="64">
        <v>0</v>
      </c>
      <c r="J308" s="65">
        <f t="shared" si="44"/>
        <v>0</v>
      </c>
      <c r="K308" s="64">
        <f t="shared" si="42"/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58"/>
    </row>
    <row r="309" spans="2:17" ht="13.9" hidden="1" customHeight="1" outlineLevel="1" x14ac:dyDescent="0.25">
      <c r="B309" s="40"/>
      <c r="C309" s="36" t="s">
        <v>39</v>
      </c>
      <c r="D309" s="37">
        <v>0</v>
      </c>
      <c r="E309" s="38">
        <v>0</v>
      </c>
      <c r="F309" s="66">
        <f t="shared" si="43"/>
        <v>0</v>
      </c>
      <c r="G309" s="64">
        <v>0</v>
      </c>
      <c r="H309" s="38">
        <v>0</v>
      </c>
      <c r="I309" s="64">
        <v>0</v>
      </c>
      <c r="J309" s="65">
        <f t="shared" si="44"/>
        <v>0</v>
      </c>
      <c r="K309" s="64">
        <f t="shared" si="42"/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58"/>
    </row>
    <row r="310" spans="2:17" ht="13.9" hidden="1" customHeight="1" outlineLevel="1" x14ac:dyDescent="0.25">
      <c r="B310" s="40"/>
      <c r="C310" s="36" t="s">
        <v>40</v>
      </c>
      <c r="D310" s="37">
        <v>21</v>
      </c>
      <c r="E310" s="38">
        <v>771660271.5</v>
      </c>
      <c r="F310" s="66">
        <f t="shared" si="43"/>
        <v>395839619.06</v>
      </c>
      <c r="G310" s="64">
        <v>390059710.72000003</v>
      </c>
      <c r="H310" s="38">
        <v>381600560.78000003</v>
      </c>
      <c r="I310" s="64">
        <v>5779908.3400000008</v>
      </c>
      <c r="J310" s="65">
        <f t="shared" si="44"/>
        <v>375820652.44000006</v>
      </c>
      <c r="K310" s="64">
        <f t="shared" si="42"/>
        <v>267955542.04000008</v>
      </c>
      <c r="L310" s="64">
        <v>107865110.39999999</v>
      </c>
      <c r="M310" s="64">
        <v>0</v>
      </c>
      <c r="N310" s="64">
        <v>0</v>
      </c>
      <c r="O310" s="64">
        <v>0</v>
      </c>
      <c r="P310" s="64">
        <v>0</v>
      </c>
      <c r="Q310" s="58"/>
    </row>
    <row r="311" spans="2:17" ht="13.9" hidden="1" customHeight="1" outlineLevel="1" x14ac:dyDescent="0.25">
      <c r="B311" s="40"/>
      <c r="C311" s="36" t="s">
        <v>41</v>
      </c>
      <c r="D311" s="37">
        <v>0</v>
      </c>
      <c r="E311" s="38">
        <v>0</v>
      </c>
      <c r="F311" s="66">
        <f t="shared" si="43"/>
        <v>0</v>
      </c>
      <c r="G311" s="64">
        <v>0</v>
      </c>
      <c r="H311" s="38">
        <v>0</v>
      </c>
      <c r="I311" s="64">
        <v>0</v>
      </c>
      <c r="J311" s="65">
        <f t="shared" si="44"/>
        <v>0</v>
      </c>
      <c r="K311" s="64">
        <f t="shared" si="42"/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58"/>
    </row>
    <row r="312" spans="2:17" ht="13.9" hidden="1" customHeight="1" outlineLevel="1" x14ac:dyDescent="0.25">
      <c r="B312" s="40"/>
      <c r="C312" s="36" t="s">
        <v>42</v>
      </c>
      <c r="D312" s="37">
        <v>2087</v>
      </c>
      <c r="E312" s="38">
        <v>4329625151.5599918</v>
      </c>
      <c r="F312" s="66">
        <f t="shared" si="43"/>
        <v>2256226390.900002</v>
      </c>
      <c r="G312" s="64">
        <v>2162403953.670002</v>
      </c>
      <c r="H312" s="38">
        <v>2167221197.8900032</v>
      </c>
      <c r="I312" s="64">
        <v>93822437.22999987</v>
      </c>
      <c r="J312" s="65">
        <f t="shared" si="44"/>
        <v>2073398760.6600034</v>
      </c>
      <c r="K312" s="64">
        <f t="shared" si="42"/>
        <v>480829192.66000414</v>
      </c>
      <c r="L312" s="64">
        <v>1592569567.9999993</v>
      </c>
      <c r="M312" s="64">
        <v>0</v>
      </c>
      <c r="N312" s="64">
        <v>0</v>
      </c>
      <c r="O312" s="64">
        <v>0</v>
      </c>
      <c r="P312" s="64">
        <v>0</v>
      </c>
      <c r="Q312" s="58"/>
    </row>
    <row r="313" spans="2:17" ht="13.9" hidden="1" customHeight="1" outlineLevel="1" x14ac:dyDescent="0.25">
      <c r="B313" s="40"/>
      <c r="C313" s="36" t="s">
        <v>43</v>
      </c>
      <c r="D313" s="37">
        <v>191</v>
      </c>
      <c r="E313" s="38">
        <v>1476775483.4200001</v>
      </c>
      <c r="F313" s="66">
        <f t="shared" si="43"/>
        <v>770875058.1400001</v>
      </c>
      <c r="G313" s="64">
        <v>738223983.01000011</v>
      </c>
      <c r="H313" s="38">
        <v>738551500.40999997</v>
      </c>
      <c r="I313" s="64">
        <v>32651075.130000003</v>
      </c>
      <c r="J313" s="65">
        <f t="shared" si="44"/>
        <v>705900425.27999997</v>
      </c>
      <c r="K313" s="64">
        <f t="shared" si="42"/>
        <v>282136537.49000007</v>
      </c>
      <c r="L313" s="64">
        <v>423763887.7899999</v>
      </c>
      <c r="M313" s="64">
        <v>0</v>
      </c>
      <c r="N313" s="64">
        <v>0</v>
      </c>
      <c r="O313" s="64">
        <v>0</v>
      </c>
      <c r="P313" s="64">
        <v>0</v>
      </c>
      <c r="Q313" s="58"/>
    </row>
    <row r="314" spans="2:17" ht="13.9" hidden="1" customHeight="1" outlineLevel="1" x14ac:dyDescent="0.25">
      <c r="B314" s="40"/>
      <c r="C314" s="36" t="s">
        <v>44</v>
      </c>
      <c r="D314" s="37">
        <v>72</v>
      </c>
      <c r="E314" s="38">
        <v>178677248.24000001</v>
      </c>
      <c r="F314" s="66">
        <f t="shared" si="43"/>
        <v>79879764.400000006</v>
      </c>
      <c r="G314" s="64">
        <v>79879764.400000006</v>
      </c>
      <c r="H314" s="38">
        <v>98797483.840000004</v>
      </c>
      <c r="I314" s="64">
        <v>0</v>
      </c>
      <c r="J314" s="65">
        <f t="shared" si="44"/>
        <v>98797483.840000004</v>
      </c>
      <c r="K314" s="64">
        <f t="shared" si="42"/>
        <v>4180112.7800000012</v>
      </c>
      <c r="L314" s="64">
        <v>15965208.640000004</v>
      </c>
      <c r="M314" s="64">
        <v>78652162.420000002</v>
      </c>
      <c r="N314" s="64">
        <v>0</v>
      </c>
      <c r="O314" s="64">
        <v>0</v>
      </c>
      <c r="P314" s="64">
        <v>0</v>
      </c>
      <c r="Q314" s="58"/>
    </row>
    <row r="315" spans="2:17" ht="13.9" hidden="1" customHeight="1" outlineLevel="1" x14ac:dyDescent="0.25">
      <c r="B315" s="40"/>
      <c r="C315" s="36" t="s">
        <v>45</v>
      </c>
      <c r="D315" s="37">
        <v>47</v>
      </c>
      <c r="E315" s="38">
        <v>103306861.11999999</v>
      </c>
      <c r="F315" s="66">
        <f t="shared" si="43"/>
        <v>47573035.409999989</v>
      </c>
      <c r="G315" s="64">
        <v>47573035.409999989</v>
      </c>
      <c r="H315" s="38">
        <v>55733825.710000008</v>
      </c>
      <c r="I315" s="64">
        <v>0</v>
      </c>
      <c r="J315" s="65">
        <f t="shared" si="44"/>
        <v>55733825.710000008</v>
      </c>
      <c r="K315" s="64">
        <f t="shared" si="42"/>
        <v>0</v>
      </c>
      <c r="L315" s="64">
        <v>1279654.98</v>
      </c>
      <c r="M315" s="64">
        <v>10667844.230000002</v>
      </c>
      <c r="N315" s="64">
        <v>43786326.850000009</v>
      </c>
      <c r="O315" s="64">
        <v>0</v>
      </c>
      <c r="P315" s="64">
        <v>0</v>
      </c>
      <c r="Q315" s="58"/>
    </row>
    <row r="316" spans="2:17" ht="13.9" hidden="1" customHeight="1" outlineLevel="1" x14ac:dyDescent="0.25">
      <c r="B316" s="40"/>
      <c r="C316" s="36" t="s">
        <v>46</v>
      </c>
      <c r="D316" s="37">
        <v>0</v>
      </c>
      <c r="E316" s="38">
        <v>0</v>
      </c>
      <c r="F316" s="66">
        <f t="shared" si="43"/>
        <v>0</v>
      </c>
      <c r="G316" s="64">
        <v>0</v>
      </c>
      <c r="H316" s="38">
        <v>0</v>
      </c>
      <c r="I316" s="64">
        <v>0</v>
      </c>
      <c r="J316" s="65">
        <f t="shared" si="44"/>
        <v>0</v>
      </c>
      <c r="K316" s="64">
        <f t="shared" si="42"/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58"/>
    </row>
    <row r="317" spans="2:17" ht="13.9" hidden="1" customHeight="1" outlineLevel="1" x14ac:dyDescent="0.25">
      <c r="B317" s="40"/>
      <c r="C317" s="36" t="s">
        <v>47</v>
      </c>
      <c r="D317" s="37">
        <v>1269</v>
      </c>
      <c r="E317" s="38">
        <v>3089673450.5</v>
      </c>
      <c r="F317" s="66">
        <f t="shared" si="43"/>
        <v>1664107359.1200011</v>
      </c>
      <c r="G317" s="64">
        <v>1620250030.6800013</v>
      </c>
      <c r="H317" s="38">
        <v>1469423419.8199999</v>
      </c>
      <c r="I317" s="64">
        <v>43857328.439999931</v>
      </c>
      <c r="J317" s="65">
        <f t="shared" si="44"/>
        <v>1425566091.3800001</v>
      </c>
      <c r="K317" s="64">
        <f t="shared" si="42"/>
        <v>1425566091.3800001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58"/>
    </row>
    <row r="318" spans="2:17" ht="13.9" hidden="1" customHeight="1" outlineLevel="1" x14ac:dyDescent="0.25">
      <c r="B318" s="40"/>
      <c r="C318" s="36" t="s">
        <v>48</v>
      </c>
      <c r="D318" s="37">
        <v>1366</v>
      </c>
      <c r="E318" s="38">
        <v>1634483605.4399989</v>
      </c>
      <c r="F318" s="66">
        <f t="shared" si="43"/>
        <v>822946896.64999998</v>
      </c>
      <c r="G318" s="64">
        <v>794794072.03999996</v>
      </c>
      <c r="H318" s="38">
        <v>839689533.40000033</v>
      </c>
      <c r="I318" s="64">
        <v>28152824.609999973</v>
      </c>
      <c r="J318" s="65">
        <f t="shared" si="44"/>
        <v>811536708.79000032</v>
      </c>
      <c r="K318" s="64">
        <f t="shared" si="42"/>
        <v>175369892.58000052</v>
      </c>
      <c r="L318" s="64">
        <v>636166816.2099998</v>
      </c>
      <c r="M318" s="64">
        <v>0</v>
      </c>
      <c r="N318" s="64">
        <v>0</v>
      </c>
      <c r="O318" s="64">
        <v>0</v>
      </c>
      <c r="P318" s="64">
        <v>0</v>
      </c>
      <c r="Q318" s="58"/>
    </row>
    <row r="319" spans="2:17" ht="13.9" hidden="1" customHeight="1" outlineLevel="1" x14ac:dyDescent="0.25">
      <c r="B319" s="40"/>
      <c r="C319" s="36" t="s">
        <v>49</v>
      </c>
      <c r="D319" s="37">
        <v>96</v>
      </c>
      <c r="E319" s="38">
        <v>946843696.0799998</v>
      </c>
      <c r="F319" s="66">
        <f t="shared" si="43"/>
        <v>553501417.44000006</v>
      </c>
      <c r="G319" s="64">
        <v>523635406.62000006</v>
      </c>
      <c r="H319" s="38">
        <v>423208289.46000016</v>
      </c>
      <c r="I319" s="64">
        <v>29866010.819999997</v>
      </c>
      <c r="J319" s="65">
        <f t="shared" si="44"/>
        <v>393342278.64000016</v>
      </c>
      <c r="K319" s="64">
        <f t="shared" si="42"/>
        <v>199097263.26000023</v>
      </c>
      <c r="L319" s="64">
        <v>194245015.37999994</v>
      </c>
      <c r="M319" s="64">
        <v>0</v>
      </c>
      <c r="N319" s="64">
        <v>0</v>
      </c>
      <c r="O319" s="64">
        <v>0</v>
      </c>
      <c r="P319" s="64">
        <v>0</v>
      </c>
      <c r="Q319" s="58"/>
    </row>
    <row r="320" spans="2:17" ht="13.9" hidden="1" customHeight="1" outlineLevel="1" x14ac:dyDescent="0.25">
      <c r="B320" s="40"/>
      <c r="C320" s="36" t="s">
        <v>50</v>
      </c>
      <c r="D320" s="37">
        <v>0</v>
      </c>
      <c r="E320" s="38">
        <v>0</v>
      </c>
      <c r="F320" s="66">
        <f t="shared" si="43"/>
        <v>0</v>
      </c>
      <c r="G320" s="64">
        <v>0</v>
      </c>
      <c r="H320" s="38">
        <v>0</v>
      </c>
      <c r="I320" s="64">
        <v>0</v>
      </c>
      <c r="J320" s="65">
        <f t="shared" si="44"/>
        <v>0</v>
      </c>
      <c r="K320" s="64">
        <f t="shared" si="42"/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58"/>
    </row>
    <row r="321" spans="2:17" ht="13.9" hidden="1" customHeight="1" outlineLevel="1" x14ac:dyDescent="0.25">
      <c r="B321" s="40"/>
      <c r="C321" s="36" t="s">
        <v>51</v>
      </c>
      <c r="D321" s="37">
        <v>290</v>
      </c>
      <c r="E321" s="38">
        <v>365994468.52000004</v>
      </c>
      <c r="F321" s="66">
        <f t="shared" si="43"/>
        <v>160148725.55000001</v>
      </c>
      <c r="G321" s="64">
        <v>158509062.39000002</v>
      </c>
      <c r="H321" s="38">
        <v>207485406.12999994</v>
      </c>
      <c r="I321" s="64">
        <v>1639663.1600000001</v>
      </c>
      <c r="J321" s="65">
        <f t="shared" si="44"/>
        <v>205845742.96999994</v>
      </c>
      <c r="K321" s="64">
        <f t="shared" si="42"/>
        <v>32482977.179999918</v>
      </c>
      <c r="L321" s="64">
        <v>173362765.79000002</v>
      </c>
      <c r="M321" s="64">
        <v>0</v>
      </c>
      <c r="N321" s="64">
        <v>0</v>
      </c>
      <c r="O321" s="64">
        <v>0</v>
      </c>
      <c r="P321" s="64">
        <v>0</v>
      </c>
      <c r="Q321" s="58"/>
    </row>
    <row r="322" spans="2:17" ht="13.9" hidden="1" customHeight="1" outlineLevel="1" x14ac:dyDescent="0.25">
      <c r="B322" s="40"/>
      <c r="C322" s="36" t="s">
        <v>52</v>
      </c>
      <c r="D322" s="37">
        <v>4</v>
      </c>
      <c r="E322" s="38">
        <v>10586301.6</v>
      </c>
      <c r="F322" s="66">
        <f t="shared" si="43"/>
        <v>4857671.7</v>
      </c>
      <c r="G322" s="64">
        <v>4857671.7</v>
      </c>
      <c r="H322" s="38">
        <v>5728629.9000000004</v>
      </c>
      <c r="I322" s="64">
        <v>0</v>
      </c>
      <c r="J322" s="65">
        <f t="shared" si="44"/>
        <v>5728629.9000000004</v>
      </c>
      <c r="K322" s="64">
        <f t="shared" si="42"/>
        <v>0</v>
      </c>
      <c r="L322" s="64">
        <v>0</v>
      </c>
      <c r="M322" s="64">
        <v>963984.33</v>
      </c>
      <c r="N322" s="64">
        <v>4764645.57</v>
      </c>
      <c r="O322" s="64">
        <v>0</v>
      </c>
      <c r="P322" s="64">
        <v>0</v>
      </c>
      <c r="Q322" s="58"/>
    </row>
    <row r="323" spans="2:17" ht="13.9" hidden="1" customHeight="1" outlineLevel="1" x14ac:dyDescent="0.25">
      <c r="B323" s="40"/>
      <c r="C323" s="36" t="s">
        <v>53</v>
      </c>
      <c r="D323" s="37">
        <v>4</v>
      </c>
      <c r="E323" s="38">
        <v>18977280.600000001</v>
      </c>
      <c r="F323" s="66">
        <f t="shared" si="43"/>
        <v>7727376.29</v>
      </c>
      <c r="G323" s="64">
        <v>7727376.29</v>
      </c>
      <c r="H323" s="38">
        <v>11249904.309999999</v>
      </c>
      <c r="I323" s="64">
        <v>0</v>
      </c>
      <c r="J323" s="65">
        <f t="shared" si="44"/>
        <v>11249904.309999999</v>
      </c>
      <c r="K323" s="64">
        <f t="shared" si="42"/>
        <v>0</v>
      </c>
      <c r="L323" s="64">
        <v>2433652.59</v>
      </c>
      <c r="M323" s="64">
        <v>8816251.7199999988</v>
      </c>
      <c r="N323" s="64">
        <v>0</v>
      </c>
      <c r="O323" s="64">
        <v>0</v>
      </c>
      <c r="P323" s="64">
        <v>0</v>
      </c>
      <c r="Q323" s="58"/>
    </row>
    <row r="324" spans="2:17" ht="13.9" hidden="1" customHeight="1" outlineLevel="1" x14ac:dyDescent="0.25">
      <c r="B324" s="40"/>
      <c r="C324" s="36" t="s">
        <v>54</v>
      </c>
      <c r="D324" s="37">
        <v>11</v>
      </c>
      <c r="E324" s="38">
        <v>25457056.749999996</v>
      </c>
      <c r="F324" s="66">
        <f t="shared" si="43"/>
        <v>12369119.789999999</v>
      </c>
      <c r="G324" s="64">
        <v>12369119.789999999</v>
      </c>
      <c r="H324" s="38">
        <v>13087936.960000001</v>
      </c>
      <c r="I324" s="64">
        <v>0</v>
      </c>
      <c r="J324" s="65">
        <f t="shared" si="44"/>
        <v>13087936.960000001</v>
      </c>
      <c r="K324" s="64">
        <f t="shared" si="42"/>
        <v>0</v>
      </c>
      <c r="L324" s="64">
        <v>0</v>
      </c>
      <c r="M324" s="64">
        <v>2505551.9300000002</v>
      </c>
      <c r="N324" s="64">
        <v>10582385.15</v>
      </c>
      <c r="O324" s="64">
        <v>0</v>
      </c>
      <c r="P324" s="64">
        <v>0</v>
      </c>
      <c r="Q324" s="58"/>
    </row>
    <row r="325" spans="2:17" ht="13.9" hidden="1" customHeight="1" outlineLevel="1" x14ac:dyDescent="0.25">
      <c r="B325" s="40"/>
      <c r="C325" s="36" t="s">
        <v>55</v>
      </c>
      <c r="D325" s="37">
        <v>1</v>
      </c>
      <c r="E325" s="38">
        <v>2039951.2</v>
      </c>
      <c r="F325" s="66">
        <f>G325+I325</f>
        <v>831090.88</v>
      </c>
      <c r="G325" s="64">
        <v>831090.88</v>
      </c>
      <c r="H325" s="38">
        <v>1208860.3199999998</v>
      </c>
      <c r="I325" s="64">
        <v>0</v>
      </c>
      <c r="J325" s="65">
        <f>H325-I325</f>
        <v>1208860.3199999998</v>
      </c>
      <c r="K325" s="64">
        <f t="shared" si="42"/>
        <v>0</v>
      </c>
      <c r="L325" s="64">
        <v>0</v>
      </c>
      <c r="M325" s="64">
        <v>0</v>
      </c>
      <c r="N325" s="64">
        <v>0</v>
      </c>
      <c r="O325" s="64">
        <v>1208860.32</v>
      </c>
      <c r="P325" s="64">
        <v>0</v>
      </c>
      <c r="Q325" s="58"/>
    </row>
    <row r="326" spans="2:17" ht="13.9" hidden="1" customHeight="1" outlineLevel="1" x14ac:dyDescent="0.25">
      <c r="B326" s="40"/>
      <c r="C326" s="36" t="s">
        <v>56</v>
      </c>
      <c r="D326" s="37">
        <v>2</v>
      </c>
      <c r="E326" s="38">
        <v>5326601</v>
      </c>
      <c r="F326" s="66">
        <f>G326+I326</f>
        <v>2507986.2400000002</v>
      </c>
      <c r="G326" s="64">
        <v>2507986.2400000002</v>
      </c>
      <c r="H326" s="38">
        <v>2818614.76</v>
      </c>
      <c r="I326" s="64">
        <v>0</v>
      </c>
      <c r="J326" s="65">
        <f>H326-I326</f>
        <v>2818614.76</v>
      </c>
      <c r="K326" s="64">
        <f t="shared" si="42"/>
        <v>0</v>
      </c>
      <c r="L326" s="64">
        <v>0</v>
      </c>
      <c r="M326" s="64">
        <v>0</v>
      </c>
      <c r="N326" s="64">
        <v>687974.36</v>
      </c>
      <c r="O326" s="64">
        <v>2130640.4</v>
      </c>
      <c r="P326" s="64">
        <v>0</v>
      </c>
      <c r="Q326" s="58"/>
    </row>
    <row r="327" spans="2:17" ht="13.9" hidden="1" customHeight="1" outlineLevel="1" x14ac:dyDescent="0.25">
      <c r="B327" s="40"/>
      <c r="C327" s="36" t="s">
        <v>57</v>
      </c>
      <c r="D327" s="37">
        <v>0</v>
      </c>
      <c r="E327" s="38">
        <v>0</v>
      </c>
      <c r="F327" s="66">
        <f>G327+I327</f>
        <v>0</v>
      </c>
      <c r="G327" s="64">
        <v>0</v>
      </c>
      <c r="H327" s="38">
        <v>0</v>
      </c>
      <c r="I327" s="64">
        <v>0</v>
      </c>
      <c r="J327" s="65">
        <f>H327-I327</f>
        <v>0</v>
      </c>
      <c r="K327" s="64">
        <f t="shared" si="42"/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58"/>
    </row>
    <row r="328" spans="2:17" ht="13.9" hidden="1" customHeight="1" outlineLevel="1" x14ac:dyDescent="0.25">
      <c r="B328" s="40"/>
      <c r="C328" s="36" t="s">
        <v>58</v>
      </c>
      <c r="D328" s="37">
        <v>5</v>
      </c>
      <c r="E328" s="38">
        <v>10834269.449999999</v>
      </c>
      <c r="F328" s="66">
        <f>G328+I328</f>
        <v>5000437.62</v>
      </c>
      <c r="G328" s="64">
        <v>5000437.62</v>
      </c>
      <c r="H328" s="38">
        <v>5833831.8300000001</v>
      </c>
      <c r="I328" s="64">
        <v>0</v>
      </c>
      <c r="J328" s="65">
        <f>H328-I328</f>
        <v>5833831.8300000001</v>
      </c>
      <c r="K328" s="64">
        <f t="shared" si="42"/>
        <v>0</v>
      </c>
      <c r="L328" s="64">
        <v>0</v>
      </c>
      <c r="M328" s="64">
        <v>473498.7</v>
      </c>
      <c r="N328" s="64">
        <v>5360333.1500000004</v>
      </c>
      <c r="O328" s="64">
        <v>0</v>
      </c>
      <c r="P328" s="64">
        <v>0</v>
      </c>
      <c r="Q328" s="58"/>
    </row>
    <row r="329" spans="2:17" ht="13.9" hidden="1" customHeight="1" outlineLevel="1" x14ac:dyDescent="0.25">
      <c r="B329" s="40"/>
      <c r="C329" s="36" t="s">
        <v>59</v>
      </c>
      <c r="D329" s="37">
        <v>4</v>
      </c>
      <c r="E329" s="38">
        <v>10350553.300000001</v>
      </c>
      <c r="F329" s="66">
        <f t="shared" si="43"/>
        <v>4746269.5600000005</v>
      </c>
      <c r="G329" s="64">
        <v>4746269.5600000005</v>
      </c>
      <c r="H329" s="38">
        <v>5604283.7400000002</v>
      </c>
      <c r="I329" s="64">
        <v>0</v>
      </c>
      <c r="J329" s="65">
        <f t="shared" si="44"/>
        <v>5604283.7400000002</v>
      </c>
      <c r="K329" s="64">
        <f t="shared" si="42"/>
        <v>0</v>
      </c>
      <c r="L329" s="64">
        <v>0</v>
      </c>
      <c r="M329" s="64">
        <v>489007.72</v>
      </c>
      <c r="N329" s="64">
        <v>5115276.0600000005</v>
      </c>
      <c r="O329" s="64">
        <v>0</v>
      </c>
      <c r="P329" s="64">
        <v>0</v>
      </c>
      <c r="Q329" s="58"/>
    </row>
    <row r="330" spans="2:17" ht="13.9" hidden="1" customHeight="1" outlineLevel="1" x14ac:dyDescent="0.25">
      <c r="B330" s="40"/>
      <c r="C330" s="36" t="s">
        <v>60</v>
      </c>
      <c r="D330" s="37">
        <v>2</v>
      </c>
      <c r="E330" s="38">
        <v>8216884.5</v>
      </c>
      <c r="F330" s="66">
        <f t="shared" si="43"/>
        <v>4165739</v>
      </c>
      <c r="G330" s="64">
        <v>4165739</v>
      </c>
      <c r="H330" s="38">
        <v>4051145.5</v>
      </c>
      <c r="I330" s="64">
        <v>0</v>
      </c>
      <c r="J330" s="65">
        <f t="shared" si="44"/>
        <v>4051145.5</v>
      </c>
      <c r="K330" s="64">
        <f t="shared" si="42"/>
        <v>0</v>
      </c>
      <c r="L330" s="64">
        <v>0</v>
      </c>
      <c r="M330" s="64">
        <v>764391.8</v>
      </c>
      <c r="N330" s="64">
        <v>3286753.7</v>
      </c>
      <c r="O330" s="64">
        <v>0</v>
      </c>
      <c r="P330" s="64">
        <v>0</v>
      </c>
      <c r="Q330" s="58"/>
    </row>
    <row r="331" spans="2:17" ht="13.9" hidden="1" customHeight="1" outlineLevel="1" x14ac:dyDescent="0.25">
      <c r="B331" s="40"/>
      <c r="C331" s="36" t="s">
        <v>61</v>
      </c>
      <c r="D331" s="37">
        <v>0</v>
      </c>
      <c r="E331" s="38">
        <v>0</v>
      </c>
      <c r="F331" s="66">
        <f>G331+I331</f>
        <v>0</v>
      </c>
      <c r="G331" s="64">
        <v>0</v>
      </c>
      <c r="H331" s="38">
        <v>0</v>
      </c>
      <c r="I331" s="64">
        <v>0</v>
      </c>
      <c r="J331" s="65">
        <f>H331-I331</f>
        <v>0</v>
      </c>
      <c r="K331" s="64">
        <f t="shared" si="42"/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58"/>
    </row>
    <row r="332" spans="2:17" ht="13.9" hidden="1" customHeight="1" outlineLevel="1" x14ac:dyDescent="0.25">
      <c r="B332" s="40"/>
      <c r="C332" s="36" t="s">
        <v>62</v>
      </c>
      <c r="D332" s="37">
        <v>0</v>
      </c>
      <c r="E332" s="38">
        <v>0</v>
      </c>
      <c r="F332" s="66">
        <f>G332+I332</f>
        <v>0</v>
      </c>
      <c r="G332" s="64">
        <v>0</v>
      </c>
      <c r="H332" s="38">
        <v>0</v>
      </c>
      <c r="I332" s="64">
        <v>0</v>
      </c>
      <c r="J332" s="65">
        <f>H332-I332</f>
        <v>0</v>
      </c>
      <c r="K332" s="64">
        <f t="shared" si="42"/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58"/>
    </row>
    <row r="333" spans="2:17" ht="13.9" hidden="1" customHeight="1" outlineLevel="1" x14ac:dyDescent="0.25">
      <c r="B333" s="40"/>
      <c r="C333" s="36" t="s">
        <v>63</v>
      </c>
      <c r="D333" s="37">
        <v>2</v>
      </c>
      <c r="E333" s="38">
        <v>9633022.5</v>
      </c>
      <c r="F333" s="66">
        <f t="shared" ref="F333:F343" si="45">G333+I333</f>
        <v>4474347.3</v>
      </c>
      <c r="G333" s="64">
        <v>4474347.3</v>
      </c>
      <c r="H333" s="38">
        <v>5158675.2</v>
      </c>
      <c r="I333" s="64">
        <v>0</v>
      </c>
      <c r="J333" s="65">
        <f t="shared" ref="J333:J343" si="46">H333-I333</f>
        <v>5158675.2</v>
      </c>
      <c r="K333" s="64">
        <f t="shared" si="42"/>
        <v>0</v>
      </c>
      <c r="L333" s="64">
        <v>0</v>
      </c>
      <c r="M333" s="64">
        <v>1305466.2</v>
      </c>
      <c r="N333" s="64">
        <v>3853209</v>
      </c>
      <c r="O333" s="64">
        <v>0</v>
      </c>
      <c r="P333" s="64">
        <v>0</v>
      </c>
      <c r="Q333" s="58"/>
    </row>
    <row r="334" spans="2:17" ht="13.9" hidden="1" customHeight="1" outlineLevel="1" x14ac:dyDescent="0.25">
      <c r="B334" s="40"/>
      <c r="C334" s="36" t="s">
        <v>64</v>
      </c>
      <c r="D334" s="37">
        <v>217</v>
      </c>
      <c r="E334" s="38">
        <v>590513510.40999961</v>
      </c>
      <c r="F334" s="66">
        <f t="shared" si="45"/>
        <v>286884860.17999995</v>
      </c>
      <c r="G334" s="64">
        <v>275324387.49999994</v>
      </c>
      <c r="H334" s="38">
        <v>315189122.91000003</v>
      </c>
      <c r="I334" s="64">
        <v>11560472.680000002</v>
      </c>
      <c r="J334" s="65">
        <f t="shared" si="46"/>
        <v>303628650.23000002</v>
      </c>
      <c r="K334" s="64">
        <f t="shared" si="42"/>
        <v>303628650.23000002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58"/>
    </row>
    <row r="335" spans="2:17" ht="13.9" hidden="1" customHeight="1" outlineLevel="1" x14ac:dyDescent="0.25">
      <c r="B335" s="40"/>
      <c r="C335" s="36" t="s">
        <v>65</v>
      </c>
      <c r="D335" s="37">
        <v>0</v>
      </c>
      <c r="E335" s="38">
        <v>0</v>
      </c>
      <c r="F335" s="66">
        <f t="shared" si="45"/>
        <v>0</v>
      </c>
      <c r="G335" s="64">
        <v>0</v>
      </c>
      <c r="H335" s="38">
        <v>0</v>
      </c>
      <c r="I335" s="64">
        <v>0</v>
      </c>
      <c r="J335" s="65">
        <f t="shared" si="46"/>
        <v>0</v>
      </c>
      <c r="K335" s="64">
        <f t="shared" si="42"/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58"/>
    </row>
    <row r="336" spans="2:17" ht="13.9" hidden="1" customHeight="1" outlineLevel="1" x14ac:dyDescent="0.25">
      <c r="B336" s="40"/>
      <c r="C336" s="36" t="s">
        <v>66</v>
      </c>
      <c r="D336" s="37">
        <v>0</v>
      </c>
      <c r="E336" s="38">
        <v>0</v>
      </c>
      <c r="F336" s="66">
        <f t="shared" si="45"/>
        <v>0</v>
      </c>
      <c r="G336" s="64">
        <v>0</v>
      </c>
      <c r="H336" s="38">
        <v>0</v>
      </c>
      <c r="I336" s="64">
        <v>0</v>
      </c>
      <c r="J336" s="65">
        <f t="shared" si="46"/>
        <v>0</v>
      </c>
      <c r="K336" s="64">
        <f t="shared" si="42"/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58"/>
    </row>
    <row r="337" spans="2:18" ht="13.9" hidden="1" customHeight="1" outlineLevel="1" x14ac:dyDescent="0.25">
      <c r="B337" s="40"/>
      <c r="C337" s="36" t="s">
        <v>67</v>
      </c>
      <c r="D337" s="37">
        <v>117</v>
      </c>
      <c r="E337" s="38">
        <v>371396685.19999999</v>
      </c>
      <c r="F337" s="66">
        <f t="shared" si="45"/>
        <v>208049843.71999994</v>
      </c>
      <c r="G337" s="64">
        <v>206826056.26999995</v>
      </c>
      <c r="H337" s="38">
        <v>164570628.93000001</v>
      </c>
      <c r="I337" s="64">
        <v>1223787.4499999997</v>
      </c>
      <c r="J337" s="65">
        <f t="shared" si="46"/>
        <v>163346841.48000002</v>
      </c>
      <c r="K337" s="64">
        <f t="shared" si="42"/>
        <v>163346841.48000002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58"/>
    </row>
    <row r="338" spans="2:18" ht="13.9" customHeight="1" collapsed="1" x14ac:dyDescent="0.25">
      <c r="B338" s="43"/>
      <c r="C338" s="29" t="s">
        <v>68</v>
      </c>
      <c r="D338" s="44">
        <f t="shared" ref="D338:P338" si="47">SUM(D301:D337)</f>
        <v>6633</v>
      </c>
      <c r="E338" s="45">
        <f t="shared" si="47"/>
        <v>16272552810.749994</v>
      </c>
      <c r="F338" s="46">
        <f t="shared" si="47"/>
        <v>8619936788.0000019</v>
      </c>
      <c r="G338" s="47">
        <f t="shared" si="47"/>
        <v>8286254621.2200022</v>
      </c>
      <c r="H338" s="44">
        <f t="shared" si="47"/>
        <v>7986448789.5300035</v>
      </c>
      <c r="I338" s="45">
        <f t="shared" si="47"/>
        <v>333682166.77999985</v>
      </c>
      <c r="J338" s="46">
        <f t="shared" si="47"/>
        <v>7652766622.7500038</v>
      </c>
      <c r="K338" s="47">
        <f t="shared" si="47"/>
        <v>3752367015.5600042</v>
      </c>
      <c r="L338" s="44">
        <f t="shared" si="47"/>
        <v>3616729919.8899994</v>
      </c>
      <c r="M338" s="45">
        <f t="shared" si="47"/>
        <v>202524408.2700001</v>
      </c>
      <c r="N338" s="44">
        <f t="shared" si="47"/>
        <v>77805778.840000004</v>
      </c>
      <c r="O338" s="45">
        <f t="shared" si="47"/>
        <v>3339500.7199999997</v>
      </c>
      <c r="P338" s="45">
        <f t="shared" si="47"/>
        <v>0</v>
      </c>
      <c r="Q338" s="39"/>
      <c r="R338" s="39"/>
    </row>
    <row r="339" spans="2:18" ht="13.9" hidden="1" customHeight="1" outlineLevel="1" x14ac:dyDescent="0.25">
      <c r="B339" s="35" t="s">
        <v>83</v>
      </c>
      <c r="C339" s="36" t="s">
        <v>70</v>
      </c>
      <c r="D339" s="37">
        <v>1536</v>
      </c>
      <c r="E339" s="38">
        <v>2465090270.0100098</v>
      </c>
      <c r="F339" s="66">
        <f t="shared" si="45"/>
        <v>1098326420.9099994</v>
      </c>
      <c r="G339" s="64">
        <v>1085038074.7799995</v>
      </c>
      <c r="H339" s="38">
        <v>1380052195.2299991</v>
      </c>
      <c r="I339" s="64">
        <v>13288346.12999999</v>
      </c>
      <c r="J339" s="65">
        <f t="shared" si="46"/>
        <v>1366763849.0999992</v>
      </c>
      <c r="K339" s="64">
        <f t="shared" si="42"/>
        <v>307887874.96999764</v>
      </c>
      <c r="L339" s="64">
        <v>509643296.75000095</v>
      </c>
      <c r="M339" s="64">
        <v>513918498.35000062</v>
      </c>
      <c r="N339" s="64">
        <v>35314179.030000001</v>
      </c>
      <c r="O339" s="64">
        <v>0</v>
      </c>
      <c r="P339" s="64">
        <v>0</v>
      </c>
      <c r="Q339" s="58"/>
    </row>
    <row r="340" spans="2:18" ht="13.9" hidden="1" customHeight="1" outlineLevel="1" x14ac:dyDescent="0.25">
      <c r="B340" s="40"/>
      <c r="C340" s="36" t="s">
        <v>71</v>
      </c>
      <c r="D340" s="37">
        <v>33</v>
      </c>
      <c r="E340" s="38">
        <v>506475734.09999996</v>
      </c>
      <c r="F340" s="66">
        <f t="shared" si="45"/>
        <v>220427822.87</v>
      </c>
      <c r="G340" s="64">
        <v>220427822.87</v>
      </c>
      <c r="H340" s="38">
        <v>286047911.2299999</v>
      </c>
      <c r="I340" s="64">
        <v>0</v>
      </c>
      <c r="J340" s="65">
        <f t="shared" si="46"/>
        <v>286047911.2299999</v>
      </c>
      <c r="K340" s="64">
        <f t="shared" si="42"/>
        <v>36180445.779999912</v>
      </c>
      <c r="L340" s="64">
        <v>156839475.91999999</v>
      </c>
      <c r="M340" s="64">
        <v>93027989.530000016</v>
      </c>
      <c r="N340" s="64">
        <v>0</v>
      </c>
      <c r="O340" s="64">
        <v>0</v>
      </c>
      <c r="P340" s="64">
        <v>0</v>
      </c>
      <c r="Q340" s="58"/>
    </row>
    <row r="341" spans="2:18" ht="13.9" hidden="1" customHeight="1" outlineLevel="1" x14ac:dyDescent="0.25">
      <c r="B341" s="40"/>
      <c r="C341" s="36" t="s">
        <v>72</v>
      </c>
      <c r="D341" s="37">
        <v>205</v>
      </c>
      <c r="E341" s="38">
        <v>322130400.63999993</v>
      </c>
      <c r="F341" s="66">
        <f t="shared" si="45"/>
        <v>134241315.40000004</v>
      </c>
      <c r="G341" s="64">
        <v>134241315.40000004</v>
      </c>
      <c r="H341" s="38">
        <v>187889085.23999992</v>
      </c>
      <c r="I341" s="64">
        <v>0</v>
      </c>
      <c r="J341" s="65">
        <f t="shared" si="46"/>
        <v>187889085.23999992</v>
      </c>
      <c r="K341" s="64">
        <f t="shared" si="42"/>
        <v>25863091.379999965</v>
      </c>
      <c r="L341" s="64">
        <v>30512552.440000013</v>
      </c>
      <c r="M341" s="64">
        <v>2363400.77</v>
      </c>
      <c r="N341" s="64">
        <v>129150040.64999995</v>
      </c>
      <c r="O341" s="64">
        <v>0</v>
      </c>
      <c r="P341" s="64">
        <v>0</v>
      </c>
      <c r="Q341" s="58"/>
    </row>
    <row r="342" spans="2:18" ht="13.9" customHeight="1" collapsed="1" x14ac:dyDescent="0.25">
      <c r="B342" s="43"/>
      <c r="C342" s="29" t="s">
        <v>73</v>
      </c>
      <c r="D342" s="44">
        <f t="shared" ref="D342:P342" si="48">SUM(D339:D341)</f>
        <v>1774</v>
      </c>
      <c r="E342" s="45">
        <f t="shared" si="48"/>
        <v>3293696404.7500095</v>
      </c>
      <c r="F342" s="46">
        <f t="shared" si="48"/>
        <v>1452995559.1799994</v>
      </c>
      <c r="G342" s="47">
        <f t="shared" si="48"/>
        <v>1439707213.0499997</v>
      </c>
      <c r="H342" s="44">
        <f t="shared" si="48"/>
        <v>1853989191.6999991</v>
      </c>
      <c r="I342" s="45">
        <f t="shared" si="48"/>
        <v>13288346.12999999</v>
      </c>
      <c r="J342" s="46">
        <f t="shared" si="48"/>
        <v>1840700845.569999</v>
      </c>
      <c r="K342" s="47">
        <f t="shared" si="48"/>
        <v>369931412.12999749</v>
      </c>
      <c r="L342" s="44">
        <f t="shared" si="48"/>
        <v>696995325.11000097</v>
      </c>
      <c r="M342" s="45">
        <f t="shared" si="48"/>
        <v>609309888.65000057</v>
      </c>
      <c r="N342" s="44">
        <f t="shared" si="48"/>
        <v>164464219.67999995</v>
      </c>
      <c r="O342" s="45">
        <f t="shared" si="48"/>
        <v>0</v>
      </c>
      <c r="P342" s="45">
        <f t="shared" si="48"/>
        <v>0</v>
      </c>
      <c r="Q342" s="39"/>
      <c r="R342" s="39"/>
    </row>
    <row r="343" spans="2:18" ht="13.9" hidden="1" customHeight="1" outlineLevel="1" x14ac:dyDescent="0.25">
      <c r="B343" s="35" t="s">
        <v>74</v>
      </c>
      <c r="C343" s="36" t="s">
        <v>75</v>
      </c>
      <c r="D343" s="37">
        <v>2</v>
      </c>
      <c r="E343" s="38">
        <v>2480464.48</v>
      </c>
      <c r="F343" s="66">
        <f t="shared" si="45"/>
        <v>1001695.11</v>
      </c>
      <c r="G343" s="64">
        <v>1001695.11</v>
      </c>
      <c r="H343" s="38">
        <v>1478769.37</v>
      </c>
      <c r="I343" s="64">
        <v>0</v>
      </c>
      <c r="J343" s="65">
        <f t="shared" si="46"/>
        <v>1478769.37</v>
      </c>
      <c r="K343" s="64">
        <f t="shared" si="42"/>
        <v>3.0000000027939677E-2</v>
      </c>
      <c r="L343" s="64">
        <v>248997.34</v>
      </c>
      <c r="M343" s="64">
        <v>237586.2</v>
      </c>
      <c r="N343" s="64">
        <v>992185.8</v>
      </c>
      <c r="O343" s="64">
        <v>0</v>
      </c>
      <c r="P343" s="64">
        <v>0</v>
      </c>
      <c r="Q343" s="58"/>
    </row>
    <row r="344" spans="2:18" ht="13.9" hidden="1" customHeight="1" outlineLevel="1" x14ac:dyDescent="0.25">
      <c r="B344" s="40"/>
      <c r="C344" s="36" t="s">
        <v>76</v>
      </c>
      <c r="D344" s="37">
        <v>31</v>
      </c>
      <c r="E344" s="38">
        <v>42557647.230000012</v>
      </c>
      <c r="F344" s="66">
        <f>G344+I344</f>
        <v>18767298.509999994</v>
      </c>
      <c r="G344" s="64">
        <v>18767298.509999994</v>
      </c>
      <c r="H344" s="38">
        <v>23790348.720000003</v>
      </c>
      <c r="I344" s="64">
        <v>0</v>
      </c>
      <c r="J344" s="65">
        <f>H344-I344</f>
        <v>23790348.720000003</v>
      </c>
      <c r="K344" s="64">
        <f t="shared" si="42"/>
        <v>1845173.9100000039</v>
      </c>
      <c r="L344" s="64">
        <v>4799159.03</v>
      </c>
      <c r="M344" s="64">
        <v>17146015.779999997</v>
      </c>
      <c r="N344" s="64">
        <v>0</v>
      </c>
      <c r="O344" s="64">
        <v>0</v>
      </c>
      <c r="P344" s="64">
        <v>0</v>
      </c>
      <c r="Q344" s="58"/>
    </row>
    <row r="345" spans="2:18" ht="13.9" customHeight="1" collapsed="1" x14ac:dyDescent="0.25">
      <c r="B345" s="43"/>
      <c r="C345" s="29" t="s">
        <v>77</v>
      </c>
      <c r="D345" s="44">
        <f t="shared" ref="D345:P345" si="49">SUM(D343:D344)</f>
        <v>33</v>
      </c>
      <c r="E345" s="45">
        <f t="shared" si="49"/>
        <v>45038111.710000008</v>
      </c>
      <c r="F345" s="46">
        <f t="shared" si="49"/>
        <v>19768993.619999994</v>
      </c>
      <c r="G345" s="47">
        <f t="shared" si="49"/>
        <v>19768993.619999994</v>
      </c>
      <c r="H345" s="44">
        <f t="shared" si="49"/>
        <v>25269118.090000004</v>
      </c>
      <c r="I345" s="45">
        <f t="shared" si="49"/>
        <v>0</v>
      </c>
      <c r="J345" s="46">
        <f t="shared" si="49"/>
        <v>25269118.090000004</v>
      </c>
      <c r="K345" s="47">
        <f t="shared" si="49"/>
        <v>1845173.9400000039</v>
      </c>
      <c r="L345" s="44">
        <f t="shared" si="49"/>
        <v>5048156.37</v>
      </c>
      <c r="M345" s="45">
        <f t="shared" si="49"/>
        <v>17383601.979999997</v>
      </c>
      <c r="N345" s="44">
        <f t="shared" si="49"/>
        <v>992185.8</v>
      </c>
      <c r="O345" s="45">
        <f t="shared" si="49"/>
        <v>0</v>
      </c>
      <c r="P345" s="45">
        <f t="shared" si="49"/>
        <v>0</v>
      </c>
      <c r="Q345" s="48"/>
      <c r="R345" s="48"/>
    </row>
    <row r="346" spans="2:18" ht="13.9" customHeight="1" x14ac:dyDescent="0.25">
      <c r="B346" s="49" t="s">
        <v>78</v>
      </c>
      <c r="C346" s="50"/>
      <c r="D346" s="67">
        <f t="shared" ref="D346:P346" si="50">D345+D342+D338</f>
        <v>8440</v>
      </c>
      <c r="E346" s="68">
        <f t="shared" si="50"/>
        <v>19611287327.210003</v>
      </c>
      <c r="F346" s="69">
        <f t="shared" si="50"/>
        <v>10092701340.800001</v>
      </c>
      <c r="G346" s="70">
        <f t="shared" si="50"/>
        <v>9745730827.8900013</v>
      </c>
      <c r="H346" s="68">
        <f t="shared" si="50"/>
        <v>9865707099.3200035</v>
      </c>
      <c r="I346" s="70">
        <f t="shared" si="50"/>
        <v>346970512.90999985</v>
      </c>
      <c r="J346" s="68">
        <f t="shared" si="50"/>
        <v>9518736586.4100037</v>
      </c>
      <c r="K346" s="70">
        <f t="shared" si="50"/>
        <v>4124143601.6300015</v>
      </c>
      <c r="L346" s="70">
        <f t="shared" si="50"/>
        <v>4318773401.3700008</v>
      </c>
      <c r="M346" s="68">
        <f t="shared" si="50"/>
        <v>829217898.90000069</v>
      </c>
      <c r="N346" s="68">
        <f t="shared" si="50"/>
        <v>243262184.31999996</v>
      </c>
      <c r="O346" s="68">
        <f t="shared" si="50"/>
        <v>3339500.7199999997</v>
      </c>
      <c r="P346" s="68">
        <f t="shared" si="50"/>
        <v>0</v>
      </c>
      <c r="Q346" s="58"/>
    </row>
    <row r="347" spans="2:18" ht="13.9" customHeight="1" x14ac:dyDescent="0.25">
      <c r="Q347" s="58"/>
    </row>
    <row r="348" spans="2:18" ht="13.9" customHeight="1" x14ac:dyDescent="0.25">
      <c r="B348" s="59" t="s">
        <v>92</v>
      </c>
      <c r="C348" s="59"/>
      <c r="Q348" s="58"/>
    </row>
    <row r="349" spans="2:18" ht="13.9" customHeight="1" x14ac:dyDescent="0.25">
      <c r="B349" s="29" t="s">
        <v>26</v>
      </c>
      <c r="C349" s="29" t="s">
        <v>27</v>
      </c>
      <c r="D349" s="60" t="s">
        <v>28</v>
      </c>
      <c r="E349" s="61" t="s">
        <v>29</v>
      </c>
      <c r="F349" s="62" t="s">
        <v>85</v>
      </c>
      <c r="G349" s="63" t="s">
        <v>81</v>
      </c>
      <c r="H349" s="61" t="s">
        <v>82</v>
      </c>
      <c r="I349" s="63" t="s">
        <v>86</v>
      </c>
      <c r="J349" s="61" t="s">
        <v>87</v>
      </c>
      <c r="K349" s="63">
        <v>2026</v>
      </c>
      <c r="L349" s="63">
        <v>2027</v>
      </c>
      <c r="M349" s="61">
        <v>2028</v>
      </c>
      <c r="N349" s="63">
        <v>2029</v>
      </c>
      <c r="O349" s="61">
        <v>2030</v>
      </c>
      <c r="P349" s="63">
        <v>2031</v>
      </c>
      <c r="Q349" s="58"/>
    </row>
    <row r="350" spans="2:18" ht="13.9" hidden="1" customHeight="1" outlineLevel="1" x14ac:dyDescent="0.25">
      <c r="B350" s="35" t="s">
        <v>30</v>
      </c>
      <c r="C350" s="36" t="s">
        <v>31</v>
      </c>
      <c r="D350" s="37">
        <v>956</v>
      </c>
      <c r="E350" s="38">
        <v>1868780373.5099998</v>
      </c>
      <c r="F350" s="66">
        <f>G350+I350</f>
        <v>1313366176.079999</v>
      </c>
      <c r="G350" s="64">
        <v>1313060774.2199991</v>
      </c>
      <c r="H350" s="38">
        <v>557291357.6425004</v>
      </c>
      <c r="I350" s="64">
        <v>305401.86</v>
      </c>
      <c r="J350" s="65">
        <f>MAX(0,H350-I350)</f>
        <v>556985955.78250039</v>
      </c>
      <c r="K350" s="64">
        <f t="shared" ref="K350:K393" si="51">MAX(J350-SUM(L350:P350),0)</f>
        <v>556985955.78250039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58"/>
    </row>
    <row r="351" spans="2:18" ht="13.9" hidden="1" customHeight="1" outlineLevel="1" x14ac:dyDescent="0.25">
      <c r="B351" s="40"/>
      <c r="C351" s="36" t="s">
        <v>32</v>
      </c>
      <c r="D351" s="37">
        <v>396</v>
      </c>
      <c r="E351" s="38">
        <v>797786337.78999996</v>
      </c>
      <c r="F351" s="66">
        <f t="shared" ref="F351:F379" si="52">G351+I351</f>
        <v>726264922.08999979</v>
      </c>
      <c r="G351" s="64">
        <v>715872058.11999977</v>
      </c>
      <c r="H351" s="38">
        <v>84627186.280000001</v>
      </c>
      <c r="I351" s="64">
        <v>10392863.97000001</v>
      </c>
      <c r="J351" s="65">
        <f t="shared" ref="J351:J392" si="53">MAX(0,H351-I351)</f>
        <v>74234322.309999987</v>
      </c>
      <c r="K351" s="64">
        <f t="shared" si="51"/>
        <v>73924899.139999986</v>
      </c>
      <c r="L351" s="64">
        <v>309423.17</v>
      </c>
      <c r="M351" s="64">
        <v>0</v>
      </c>
      <c r="N351" s="64">
        <v>0</v>
      </c>
      <c r="O351" s="64">
        <v>0</v>
      </c>
      <c r="P351" s="64">
        <v>0</v>
      </c>
      <c r="Q351" s="58"/>
    </row>
    <row r="352" spans="2:18" ht="13.9" hidden="1" customHeight="1" outlineLevel="1" x14ac:dyDescent="0.25">
      <c r="B352" s="40"/>
      <c r="C352" s="36" t="s">
        <v>33</v>
      </c>
      <c r="D352" s="37">
        <v>1465</v>
      </c>
      <c r="E352" s="38">
        <v>2440822082.0100007</v>
      </c>
      <c r="F352" s="66">
        <f t="shared" si="52"/>
        <v>1940146520.6999991</v>
      </c>
      <c r="G352" s="64">
        <v>1938714417.7399991</v>
      </c>
      <c r="H352" s="38">
        <v>506309221.38</v>
      </c>
      <c r="I352" s="64">
        <v>1432102.9600000002</v>
      </c>
      <c r="J352" s="65">
        <f t="shared" si="53"/>
        <v>504877118.42000002</v>
      </c>
      <c r="K352" s="64">
        <f t="shared" si="51"/>
        <v>323083802.95000052</v>
      </c>
      <c r="L352" s="64">
        <v>181793315.46999946</v>
      </c>
      <c r="M352" s="64">
        <v>0</v>
      </c>
      <c r="N352" s="64">
        <v>0</v>
      </c>
      <c r="O352" s="64">
        <v>0</v>
      </c>
      <c r="P352" s="64">
        <v>0</v>
      </c>
      <c r="Q352" s="58"/>
    </row>
    <row r="353" spans="2:17" ht="13.9" hidden="1" customHeight="1" outlineLevel="1" x14ac:dyDescent="0.25">
      <c r="B353" s="40"/>
      <c r="C353" s="36" t="s">
        <v>34</v>
      </c>
      <c r="D353" s="37">
        <v>596</v>
      </c>
      <c r="E353" s="38">
        <v>1585618566.0299997</v>
      </c>
      <c r="F353" s="66">
        <f t="shared" si="52"/>
        <v>1323478244.4499984</v>
      </c>
      <c r="G353" s="64">
        <v>1250375490.9599984</v>
      </c>
      <c r="H353" s="38">
        <v>337966233.81999981</v>
      </c>
      <c r="I353" s="64">
        <v>73102753.490000039</v>
      </c>
      <c r="J353" s="65">
        <f t="shared" si="53"/>
        <v>264863480.32999977</v>
      </c>
      <c r="K353" s="64">
        <f t="shared" si="51"/>
        <v>54978884.63999927</v>
      </c>
      <c r="L353" s="64">
        <v>137359463.37000033</v>
      </c>
      <c r="M353" s="64">
        <v>72525132.320000172</v>
      </c>
      <c r="N353" s="64">
        <v>0</v>
      </c>
      <c r="O353" s="64">
        <v>0</v>
      </c>
      <c r="P353" s="64">
        <v>0</v>
      </c>
      <c r="Q353" s="58"/>
    </row>
    <row r="354" spans="2:17" ht="13.9" hidden="1" customHeight="1" outlineLevel="1" x14ac:dyDescent="0.25">
      <c r="B354" s="40"/>
      <c r="C354" s="36" t="s">
        <v>35</v>
      </c>
      <c r="D354" s="37">
        <v>1557</v>
      </c>
      <c r="E354" s="38">
        <v>1632959750.9400027</v>
      </c>
      <c r="F354" s="66">
        <f t="shared" si="52"/>
        <v>1646052282.3599997</v>
      </c>
      <c r="G354" s="64">
        <v>1644987770.2099996</v>
      </c>
      <c r="H354" s="38">
        <v>2235220.453999998</v>
      </c>
      <c r="I354" s="64">
        <v>1064512.1500000006</v>
      </c>
      <c r="J354" s="65">
        <f t="shared" si="53"/>
        <v>1170708.3039999974</v>
      </c>
      <c r="K354" s="64">
        <f t="shared" si="51"/>
        <v>754506.70399999747</v>
      </c>
      <c r="L354" s="64">
        <v>416201.6</v>
      </c>
      <c r="M354" s="64">
        <v>0</v>
      </c>
      <c r="N354" s="64">
        <v>0</v>
      </c>
      <c r="O354" s="64">
        <v>0</v>
      </c>
      <c r="P354" s="64">
        <v>0</v>
      </c>
      <c r="Q354" s="58"/>
    </row>
    <row r="355" spans="2:17" ht="13.9" hidden="1" customHeight="1" outlineLevel="1" x14ac:dyDescent="0.25">
      <c r="B355" s="40"/>
      <c r="C355" s="36" t="s">
        <v>36</v>
      </c>
      <c r="D355" s="37">
        <v>9</v>
      </c>
      <c r="E355" s="38">
        <v>80210117.650000006</v>
      </c>
      <c r="F355" s="66">
        <f t="shared" si="52"/>
        <v>69887918.50999999</v>
      </c>
      <c r="G355" s="64">
        <v>69887918.50999999</v>
      </c>
      <c r="H355" s="38">
        <v>10322201.74</v>
      </c>
      <c r="I355" s="64">
        <v>0</v>
      </c>
      <c r="J355" s="65">
        <f t="shared" si="53"/>
        <v>10322201.74</v>
      </c>
      <c r="K355" s="64">
        <f t="shared" si="51"/>
        <v>0</v>
      </c>
      <c r="L355" s="64">
        <v>10322201.76</v>
      </c>
      <c r="M355" s="64">
        <v>0</v>
      </c>
      <c r="N355" s="64">
        <v>0</v>
      </c>
      <c r="O355" s="64">
        <v>0</v>
      </c>
      <c r="P355" s="64">
        <v>0</v>
      </c>
      <c r="Q355" s="58"/>
    </row>
    <row r="356" spans="2:17" ht="13.9" hidden="1" customHeight="1" outlineLevel="1" x14ac:dyDescent="0.25">
      <c r="B356" s="40"/>
      <c r="C356" s="36" t="s">
        <v>37</v>
      </c>
      <c r="D356" s="37">
        <v>1021</v>
      </c>
      <c r="E356" s="38">
        <v>1552415451.2799997</v>
      </c>
      <c r="F356" s="66">
        <f t="shared" si="52"/>
        <v>1597541243.1000006</v>
      </c>
      <c r="G356" s="64">
        <v>1596978543.5100007</v>
      </c>
      <c r="H356" s="38">
        <v>1164232.5400000003</v>
      </c>
      <c r="I356" s="64">
        <v>562699.59</v>
      </c>
      <c r="J356" s="65">
        <f t="shared" si="53"/>
        <v>601532.9500000003</v>
      </c>
      <c r="K356" s="64">
        <f t="shared" si="51"/>
        <v>601532.9500000003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58"/>
    </row>
    <row r="357" spans="2:17" ht="13.9" hidden="1" customHeight="1" outlineLevel="1" x14ac:dyDescent="0.25">
      <c r="B357" s="40"/>
      <c r="C357" s="36" t="s">
        <v>38</v>
      </c>
      <c r="D357" s="37">
        <v>200</v>
      </c>
      <c r="E357" s="38">
        <v>1082691659.5899997</v>
      </c>
      <c r="F357" s="66">
        <f t="shared" si="52"/>
        <v>1085073280.9200006</v>
      </c>
      <c r="G357" s="64">
        <v>1085070425.8200006</v>
      </c>
      <c r="H357" s="38">
        <v>2854.0900000017136</v>
      </c>
      <c r="I357" s="64">
        <v>2855.1000000000004</v>
      </c>
      <c r="J357" s="65">
        <f t="shared" si="53"/>
        <v>0</v>
      </c>
      <c r="K357" s="64">
        <f t="shared" si="51"/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58"/>
    </row>
    <row r="358" spans="2:17" ht="13.9" hidden="1" customHeight="1" outlineLevel="1" x14ac:dyDescent="0.25">
      <c r="B358" s="40"/>
      <c r="C358" s="36" t="s">
        <v>39</v>
      </c>
      <c r="D358" s="37">
        <v>154</v>
      </c>
      <c r="E358" s="38">
        <v>1875287813.0100002</v>
      </c>
      <c r="F358" s="66">
        <f t="shared" si="52"/>
        <v>1893045485.2799997</v>
      </c>
      <c r="G358" s="64">
        <v>1887024986.2499998</v>
      </c>
      <c r="H358" s="38">
        <v>12207020.589999989</v>
      </c>
      <c r="I358" s="64">
        <v>6020499.0300000012</v>
      </c>
      <c r="J358" s="65">
        <f t="shared" si="53"/>
        <v>6186521.5599999875</v>
      </c>
      <c r="K358" s="64">
        <f t="shared" si="51"/>
        <v>6186521.5599999875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58"/>
    </row>
    <row r="359" spans="2:17" ht="13.9" hidden="1" customHeight="1" outlineLevel="1" x14ac:dyDescent="0.25">
      <c r="B359" s="40"/>
      <c r="C359" s="36" t="s">
        <v>40</v>
      </c>
      <c r="D359" s="37">
        <v>49</v>
      </c>
      <c r="E359" s="38">
        <v>1298733066.26</v>
      </c>
      <c r="F359" s="66">
        <f t="shared" si="52"/>
        <v>1078027572.0900002</v>
      </c>
      <c r="G359" s="64">
        <v>1072036435.2700001</v>
      </c>
      <c r="H359" s="38">
        <v>226696636.42999998</v>
      </c>
      <c r="I359" s="64">
        <v>5991136.8199999994</v>
      </c>
      <c r="J359" s="65">
        <f t="shared" si="53"/>
        <v>220705499.60999998</v>
      </c>
      <c r="K359" s="64">
        <f t="shared" si="51"/>
        <v>211392357.60999998</v>
      </c>
      <c r="L359" s="64">
        <v>9313142</v>
      </c>
      <c r="M359" s="64">
        <v>0</v>
      </c>
      <c r="N359" s="64">
        <v>0</v>
      </c>
      <c r="O359" s="64">
        <v>0</v>
      </c>
      <c r="P359" s="64">
        <v>0</v>
      </c>
      <c r="Q359" s="58"/>
    </row>
    <row r="360" spans="2:17" ht="13.9" hidden="1" customHeight="1" outlineLevel="1" x14ac:dyDescent="0.25">
      <c r="B360" s="40"/>
      <c r="C360" s="36" t="s">
        <v>41</v>
      </c>
      <c r="D360" s="37">
        <v>414</v>
      </c>
      <c r="E360" s="38">
        <v>774917749.11999893</v>
      </c>
      <c r="F360" s="66">
        <f t="shared" si="52"/>
        <v>780752411.79999959</v>
      </c>
      <c r="G360" s="64">
        <v>780717387.29999959</v>
      </c>
      <c r="H360" s="38">
        <v>295303.5849999995</v>
      </c>
      <c r="I360" s="64">
        <v>35024.500000000007</v>
      </c>
      <c r="J360" s="65">
        <f t="shared" si="53"/>
        <v>260279.0849999995</v>
      </c>
      <c r="K360" s="64">
        <f t="shared" si="51"/>
        <v>84416.964999999502</v>
      </c>
      <c r="L360" s="64">
        <v>175862.12</v>
      </c>
      <c r="M360" s="64">
        <v>0</v>
      </c>
      <c r="N360" s="64">
        <v>0</v>
      </c>
      <c r="O360" s="64">
        <v>0</v>
      </c>
      <c r="P360" s="64">
        <v>0</v>
      </c>
      <c r="Q360" s="58"/>
    </row>
    <row r="361" spans="2:17" ht="13.9" hidden="1" customHeight="1" outlineLevel="1" x14ac:dyDescent="0.25">
      <c r="B361" s="40"/>
      <c r="C361" s="36" t="s">
        <v>42</v>
      </c>
      <c r="D361" s="37">
        <v>1517</v>
      </c>
      <c r="E361" s="38">
        <v>2903542152.489996</v>
      </c>
      <c r="F361" s="66">
        <f t="shared" si="52"/>
        <v>2033124850.8100016</v>
      </c>
      <c r="G361" s="64">
        <v>2021990360.9700017</v>
      </c>
      <c r="H361" s="38">
        <v>882084036.13999844</v>
      </c>
      <c r="I361" s="64">
        <v>11134489.839999994</v>
      </c>
      <c r="J361" s="65">
        <f t="shared" si="53"/>
        <v>870949546.2999984</v>
      </c>
      <c r="K361" s="64">
        <f t="shared" si="51"/>
        <v>270480889.13999903</v>
      </c>
      <c r="L361" s="64">
        <v>600468657.15999937</v>
      </c>
      <c r="M361" s="64">
        <v>0</v>
      </c>
      <c r="N361" s="64">
        <v>0</v>
      </c>
      <c r="O361" s="64">
        <v>0</v>
      </c>
      <c r="P361" s="64">
        <v>0</v>
      </c>
      <c r="Q361" s="58"/>
    </row>
    <row r="362" spans="2:17" ht="13.9" hidden="1" customHeight="1" outlineLevel="1" x14ac:dyDescent="0.25">
      <c r="B362" s="40"/>
      <c r="C362" s="36" t="s">
        <v>43</v>
      </c>
      <c r="D362" s="37">
        <v>365</v>
      </c>
      <c r="E362" s="38">
        <v>2599965435.0799999</v>
      </c>
      <c r="F362" s="66">
        <f t="shared" si="52"/>
        <v>2016668266.03</v>
      </c>
      <c r="G362" s="64">
        <v>1973908992.5899999</v>
      </c>
      <c r="H362" s="38">
        <v>626619410.45000005</v>
      </c>
      <c r="I362" s="64">
        <v>42759273.440000005</v>
      </c>
      <c r="J362" s="65">
        <f t="shared" si="53"/>
        <v>583860137.00999999</v>
      </c>
      <c r="K362" s="64">
        <f t="shared" si="51"/>
        <v>430292488.10000002</v>
      </c>
      <c r="L362" s="64">
        <v>153567648.90999997</v>
      </c>
      <c r="M362" s="64">
        <v>0</v>
      </c>
      <c r="N362" s="64">
        <v>0</v>
      </c>
      <c r="O362" s="64">
        <v>0</v>
      </c>
      <c r="P362" s="64">
        <v>0</v>
      </c>
      <c r="Q362" s="58"/>
    </row>
    <row r="363" spans="2:17" ht="13.9" hidden="1" customHeight="1" outlineLevel="1" x14ac:dyDescent="0.25">
      <c r="B363" s="40"/>
      <c r="C363" s="36" t="s">
        <v>44</v>
      </c>
      <c r="D363" s="37">
        <v>59</v>
      </c>
      <c r="E363" s="38">
        <v>159144821.23000002</v>
      </c>
      <c r="F363" s="66">
        <f t="shared" si="52"/>
        <v>143526940.91000003</v>
      </c>
      <c r="G363" s="64">
        <v>143526940.89000002</v>
      </c>
      <c r="H363" s="38">
        <v>15737782.240000004</v>
      </c>
      <c r="I363" s="64">
        <v>0.02</v>
      </c>
      <c r="J363" s="65">
        <f t="shared" si="53"/>
        <v>15737782.220000004</v>
      </c>
      <c r="K363" s="64">
        <f t="shared" si="51"/>
        <v>0.13000000081956387</v>
      </c>
      <c r="L363" s="64">
        <v>0</v>
      </c>
      <c r="M363" s="64">
        <v>15737782.090000004</v>
      </c>
      <c r="N363" s="64">
        <v>0</v>
      </c>
      <c r="O363" s="64">
        <v>0</v>
      </c>
      <c r="P363" s="64">
        <v>0</v>
      </c>
      <c r="Q363" s="58"/>
    </row>
    <row r="364" spans="2:17" ht="13.9" hidden="1" customHeight="1" outlineLevel="1" x14ac:dyDescent="0.25">
      <c r="B364" s="40"/>
      <c r="C364" s="36" t="s">
        <v>45</v>
      </c>
      <c r="D364" s="37">
        <v>22</v>
      </c>
      <c r="E364" s="38">
        <v>63502915.980000012</v>
      </c>
      <c r="F364" s="66">
        <f t="shared" si="52"/>
        <v>58064960.200000003</v>
      </c>
      <c r="G364" s="64">
        <v>58064959.870000005</v>
      </c>
      <c r="H364" s="38">
        <v>5437958.9600000009</v>
      </c>
      <c r="I364" s="64">
        <v>0.33</v>
      </c>
      <c r="J364" s="65">
        <f t="shared" si="53"/>
        <v>5437958.6300000008</v>
      </c>
      <c r="K364" s="64">
        <f t="shared" si="51"/>
        <v>0</v>
      </c>
      <c r="L364" s="64">
        <v>0</v>
      </c>
      <c r="M364" s="64">
        <v>0</v>
      </c>
      <c r="N364" s="64">
        <v>5332963.7100000009</v>
      </c>
      <c r="O364" s="64">
        <v>104995.04</v>
      </c>
      <c r="P364" s="64">
        <v>0</v>
      </c>
      <c r="Q364" s="58"/>
    </row>
    <row r="365" spans="2:17" ht="13.9" hidden="1" customHeight="1" outlineLevel="1" x14ac:dyDescent="0.25">
      <c r="B365" s="40"/>
      <c r="C365" s="36" t="s">
        <v>46</v>
      </c>
      <c r="D365" s="37">
        <v>0</v>
      </c>
      <c r="E365" s="38">
        <v>0</v>
      </c>
      <c r="F365" s="66">
        <f t="shared" si="52"/>
        <v>0</v>
      </c>
      <c r="G365" s="64">
        <v>0</v>
      </c>
      <c r="H365" s="38">
        <v>0</v>
      </c>
      <c r="I365" s="64">
        <v>0</v>
      </c>
      <c r="J365" s="65">
        <f t="shared" si="53"/>
        <v>0</v>
      </c>
      <c r="K365" s="64">
        <f t="shared" si="51"/>
        <v>0</v>
      </c>
      <c r="L365" s="64">
        <v>0</v>
      </c>
      <c r="M365" s="64">
        <v>0</v>
      </c>
      <c r="N365" s="64">
        <v>0</v>
      </c>
      <c r="O365" s="64">
        <v>0</v>
      </c>
      <c r="P365" s="64">
        <v>0</v>
      </c>
      <c r="Q365" s="58"/>
    </row>
    <row r="366" spans="2:17" ht="13.9" hidden="1" customHeight="1" outlineLevel="1" x14ac:dyDescent="0.25">
      <c r="B366" s="40"/>
      <c r="C366" s="36" t="s">
        <v>47</v>
      </c>
      <c r="D366" s="37">
        <v>1246</v>
      </c>
      <c r="E366" s="38">
        <v>2645029329.4499989</v>
      </c>
      <c r="F366" s="66">
        <f t="shared" si="52"/>
        <v>1842296442.2400029</v>
      </c>
      <c r="G366" s="64">
        <v>1842272428.9500029</v>
      </c>
      <c r="H366" s="38">
        <v>804194775.05999994</v>
      </c>
      <c r="I366" s="64">
        <v>24013.289999999997</v>
      </c>
      <c r="J366" s="65">
        <f t="shared" si="53"/>
        <v>804170761.76999998</v>
      </c>
      <c r="K366" s="64">
        <f t="shared" si="51"/>
        <v>802419860.01999998</v>
      </c>
      <c r="L366" s="64">
        <v>1750901.75</v>
      </c>
      <c r="M366" s="64">
        <v>0</v>
      </c>
      <c r="N366" s="64">
        <v>0</v>
      </c>
      <c r="O366" s="64">
        <v>0</v>
      </c>
      <c r="P366" s="64">
        <v>0</v>
      </c>
      <c r="Q366" s="58"/>
    </row>
    <row r="367" spans="2:17" ht="13.9" hidden="1" customHeight="1" outlineLevel="1" x14ac:dyDescent="0.25">
      <c r="B367" s="40"/>
      <c r="C367" s="36" t="s">
        <v>48</v>
      </c>
      <c r="D367" s="37">
        <v>279</v>
      </c>
      <c r="E367" s="38">
        <v>336316033.38</v>
      </c>
      <c r="F367" s="66">
        <f t="shared" si="52"/>
        <v>235931497.58000007</v>
      </c>
      <c r="G367" s="64">
        <v>235931101.24000007</v>
      </c>
      <c r="H367" s="38">
        <v>100400566.96999997</v>
      </c>
      <c r="I367" s="64">
        <v>396.34000000000003</v>
      </c>
      <c r="J367" s="65">
        <f t="shared" si="53"/>
        <v>100400170.62999997</v>
      </c>
      <c r="K367" s="64">
        <f t="shared" si="51"/>
        <v>14475660.439999953</v>
      </c>
      <c r="L367" s="64">
        <v>85924510.190000013</v>
      </c>
      <c r="M367" s="64">
        <v>0</v>
      </c>
      <c r="N367" s="64">
        <v>0</v>
      </c>
      <c r="O367" s="64">
        <v>0</v>
      </c>
      <c r="P367" s="64">
        <v>0</v>
      </c>
      <c r="Q367" s="58"/>
    </row>
    <row r="368" spans="2:17" ht="13.9" hidden="1" customHeight="1" outlineLevel="1" x14ac:dyDescent="0.25">
      <c r="B368" s="40"/>
      <c r="C368" s="36" t="s">
        <v>49</v>
      </c>
      <c r="D368" s="37">
        <v>219</v>
      </c>
      <c r="E368" s="38">
        <v>1996680970.4900029</v>
      </c>
      <c r="F368" s="66">
        <f t="shared" si="52"/>
        <v>1508822937.9100006</v>
      </c>
      <c r="G368" s="64">
        <v>1486371240.2200005</v>
      </c>
      <c r="H368" s="38">
        <v>510539250.89000022</v>
      </c>
      <c r="I368" s="64">
        <v>22451697.690000005</v>
      </c>
      <c r="J368" s="65">
        <f t="shared" si="53"/>
        <v>488087553.20000023</v>
      </c>
      <c r="K368" s="64">
        <f t="shared" si="51"/>
        <v>297936887.77000034</v>
      </c>
      <c r="L368" s="64">
        <v>190150665.42999992</v>
      </c>
      <c r="M368" s="64">
        <v>0</v>
      </c>
      <c r="N368" s="64">
        <v>0</v>
      </c>
      <c r="O368" s="64">
        <v>0</v>
      </c>
      <c r="P368" s="64">
        <v>0</v>
      </c>
      <c r="Q368" s="58"/>
    </row>
    <row r="369" spans="2:17" ht="13.9" hidden="1" customHeight="1" outlineLevel="1" x14ac:dyDescent="0.25">
      <c r="B369" s="40"/>
      <c r="C369" s="36" t="s">
        <v>50</v>
      </c>
      <c r="D369" s="37">
        <v>1</v>
      </c>
      <c r="E369" s="38">
        <v>10258466.75</v>
      </c>
      <c r="F369" s="66">
        <f t="shared" si="52"/>
        <v>10258474.220000001</v>
      </c>
      <c r="G369" s="64">
        <v>10258474.220000001</v>
      </c>
      <c r="H369" s="38">
        <v>0</v>
      </c>
      <c r="I369" s="64">
        <v>0</v>
      </c>
      <c r="J369" s="65">
        <f t="shared" si="53"/>
        <v>0</v>
      </c>
      <c r="K369" s="64">
        <f t="shared" si="51"/>
        <v>0</v>
      </c>
      <c r="L369" s="64">
        <v>0</v>
      </c>
      <c r="M369" s="64">
        <v>0</v>
      </c>
      <c r="N369" s="64">
        <v>0</v>
      </c>
      <c r="O369" s="64">
        <v>0</v>
      </c>
      <c r="P369" s="64">
        <v>0</v>
      </c>
      <c r="Q369" s="58"/>
    </row>
    <row r="370" spans="2:17" ht="13.9" hidden="1" customHeight="1" outlineLevel="1" x14ac:dyDescent="0.25">
      <c r="B370" s="40"/>
      <c r="C370" s="36" t="s">
        <v>51</v>
      </c>
      <c r="D370" s="37">
        <v>47</v>
      </c>
      <c r="E370" s="38">
        <v>60299859.949999996</v>
      </c>
      <c r="F370" s="66">
        <f t="shared" si="52"/>
        <v>51926351.390000008</v>
      </c>
      <c r="G370" s="64">
        <v>51921587.520000011</v>
      </c>
      <c r="H370" s="38">
        <v>8386158.3499999987</v>
      </c>
      <c r="I370" s="64">
        <v>4763.87</v>
      </c>
      <c r="J370" s="65">
        <f t="shared" si="53"/>
        <v>8381394.4799999986</v>
      </c>
      <c r="K370" s="64">
        <f t="shared" si="51"/>
        <v>123112.90999999829</v>
      </c>
      <c r="L370" s="64">
        <v>8258281.5700000003</v>
      </c>
      <c r="M370" s="64">
        <v>0</v>
      </c>
      <c r="N370" s="64">
        <v>0</v>
      </c>
      <c r="O370" s="64">
        <v>0</v>
      </c>
      <c r="P370" s="64">
        <v>0</v>
      </c>
      <c r="Q370" s="58"/>
    </row>
    <row r="371" spans="2:17" ht="13.9" hidden="1" customHeight="1" outlineLevel="1" x14ac:dyDescent="0.25">
      <c r="B371" s="40"/>
      <c r="C371" s="36" t="s">
        <v>52</v>
      </c>
      <c r="D371" s="37">
        <v>2</v>
      </c>
      <c r="E371" s="38">
        <v>3380637.9699999997</v>
      </c>
      <c r="F371" s="66">
        <f t="shared" si="52"/>
        <v>2849584</v>
      </c>
      <c r="G371" s="64">
        <v>2849584</v>
      </c>
      <c r="H371" s="38">
        <v>531054.25</v>
      </c>
      <c r="I371" s="64">
        <v>0</v>
      </c>
      <c r="J371" s="65">
        <f t="shared" si="53"/>
        <v>531054.25</v>
      </c>
      <c r="K371" s="64">
        <f t="shared" si="51"/>
        <v>0</v>
      </c>
      <c r="L371" s="64">
        <v>0</v>
      </c>
      <c r="M371" s="64">
        <v>0</v>
      </c>
      <c r="N371" s="64">
        <v>531054.27</v>
      </c>
      <c r="O371" s="64">
        <v>0</v>
      </c>
      <c r="P371" s="64">
        <v>0</v>
      </c>
      <c r="Q371" s="58"/>
    </row>
    <row r="372" spans="2:17" ht="13.9" hidden="1" customHeight="1" outlineLevel="1" x14ac:dyDescent="0.25">
      <c r="B372" s="40"/>
      <c r="C372" s="36" t="s">
        <v>53</v>
      </c>
      <c r="D372" s="37">
        <v>5</v>
      </c>
      <c r="E372" s="38">
        <v>21558164.800000001</v>
      </c>
      <c r="F372" s="66">
        <f t="shared" si="52"/>
        <v>17669400.98</v>
      </c>
      <c r="G372" s="64">
        <v>17669400.98</v>
      </c>
      <c r="H372" s="38">
        <v>3888765.0700000003</v>
      </c>
      <c r="I372" s="64">
        <v>0</v>
      </c>
      <c r="J372" s="65">
        <f t="shared" si="53"/>
        <v>3888765.0700000003</v>
      </c>
      <c r="K372" s="64">
        <f t="shared" si="51"/>
        <v>4.0000000037252903E-2</v>
      </c>
      <c r="L372" s="64">
        <v>0</v>
      </c>
      <c r="M372" s="64">
        <v>3888765.0300000003</v>
      </c>
      <c r="N372" s="64">
        <v>0</v>
      </c>
      <c r="O372" s="64">
        <v>0</v>
      </c>
      <c r="P372" s="64">
        <v>0</v>
      </c>
      <c r="Q372" s="58"/>
    </row>
    <row r="373" spans="2:17" ht="13.9" hidden="1" customHeight="1" outlineLevel="1" x14ac:dyDescent="0.25">
      <c r="B373" s="40"/>
      <c r="C373" s="36" t="s">
        <v>54</v>
      </c>
      <c r="D373" s="37">
        <v>11</v>
      </c>
      <c r="E373" s="38">
        <v>28231214.579999998</v>
      </c>
      <c r="F373" s="66">
        <f t="shared" si="52"/>
        <v>27716075.960000001</v>
      </c>
      <c r="G373" s="64">
        <v>27716075.960000001</v>
      </c>
      <c r="H373" s="38">
        <v>515140.48999999976</v>
      </c>
      <c r="I373" s="64">
        <v>0</v>
      </c>
      <c r="J373" s="65">
        <f t="shared" si="53"/>
        <v>515140.48999999976</v>
      </c>
      <c r="K373" s="64">
        <f t="shared" si="51"/>
        <v>0</v>
      </c>
      <c r="L373" s="64">
        <v>0</v>
      </c>
      <c r="M373" s="64">
        <v>0</v>
      </c>
      <c r="N373" s="64">
        <v>515140.57999999996</v>
      </c>
      <c r="O373" s="64">
        <v>0</v>
      </c>
      <c r="P373" s="64">
        <v>0</v>
      </c>
      <c r="Q373" s="58"/>
    </row>
    <row r="374" spans="2:17" ht="13.9" hidden="1" customHeight="1" outlineLevel="1" x14ac:dyDescent="0.25">
      <c r="B374" s="40"/>
      <c r="C374" s="36" t="s">
        <v>55</v>
      </c>
      <c r="D374" s="37">
        <v>0</v>
      </c>
      <c r="E374" s="38">
        <v>0</v>
      </c>
      <c r="F374" s="66">
        <f>G374+I374</f>
        <v>0</v>
      </c>
      <c r="G374" s="64">
        <v>0</v>
      </c>
      <c r="H374" s="38">
        <v>0</v>
      </c>
      <c r="I374" s="64">
        <v>0</v>
      </c>
      <c r="J374" s="65">
        <f>MAX(0,H374-I374)</f>
        <v>0</v>
      </c>
      <c r="K374" s="64">
        <f t="shared" si="51"/>
        <v>0</v>
      </c>
      <c r="L374" s="64">
        <v>0</v>
      </c>
      <c r="M374" s="64">
        <v>0</v>
      </c>
      <c r="N374" s="64">
        <v>0</v>
      </c>
      <c r="O374" s="64">
        <v>0</v>
      </c>
      <c r="P374" s="64">
        <v>0</v>
      </c>
      <c r="Q374" s="58"/>
    </row>
    <row r="375" spans="2:17" ht="13.9" hidden="1" customHeight="1" outlineLevel="1" x14ac:dyDescent="0.25">
      <c r="B375" s="40"/>
      <c r="C375" s="36" t="s">
        <v>56</v>
      </c>
      <c r="D375" s="37">
        <v>0</v>
      </c>
      <c r="E375" s="38">
        <v>0</v>
      </c>
      <c r="F375" s="66">
        <f>G375+I375</f>
        <v>0</v>
      </c>
      <c r="G375" s="64">
        <v>0</v>
      </c>
      <c r="H375" s="38">
        <v>0</v>
      </c>
      <c r="I375" s="64">
        <v>0</v>
      </c>
      <c r="J375" s="65">
        <f>MAX(0,H375-I375)</f>
        <v>0</v>
      </c>
      <c r="K375" s="64">
        <f t="shared" si="51"/>
        <v>0</v>
      </c>
      <c r="L375" s="64">
        <v>0</v>
      </c>
      <c r="M375" s="64">
        <v>0</v>
      </c>
      <c r="N375" s="64">
        <v>0</v>
      </c>
      <c r="O375" s="64">
        <v>0</v>
      </c>
      <c r="P375" s="64">
        <v>0</v>
      </c>
      <c r="Q375" s="58"/>
    </row>
    <row r="376" spans="2:17" ht="13.9" hidden="1" customHeight="1" outlineLevel="1" x14ac:dyDescent="0.25">
      <c r="B376" s="40"/>
      <c r="C376" s="36" t="s">
        <v>57</v>
      </c>
      <c r="D376" s="37">
        <v>88</v>
      </c>
      <c r="E376" s="38">
        <v>1439336233.97</v>
      </c>
      <c r="F376" s="66">
        <f>G376+I376</f>
        <v>1451117934.1899998</v>
      </c>
      <c r="G376" s="64">
        <v>1449824598.9399998</v>
      </c>
      <c r="H376" s="38">
        <v>1293335.2699999977</v>
      </c>
      <c r="I376" s="64">
        <v>1293335.25</v>
      </c>
      <c r="J376" s="65">
        <f>MAX(0,H376-I376)</f>
        <v>1.9999997690320015E-2</v>
      </c>
      <c r="K376" s="64">
        <f t="shared" si="51"/>
        <v>1.9999997690320015E-2</v>
      </c>
      <c r="L376" s="64">
        <v>0</v>
      </c>
      <c r="M376" s="64">
        <v>0</v>
      </c>
      <c r="N376" s="64">
        <v>0</v>
      </c>
      <c r="O376" s="64">
        <v>0</v>
      </c>
      <c r="P376" s="64">
        <v>0</v>
      </c>
      <c r="Q376" s="58"/>
    </row>
    <row r="377" spans="2:17" ht="13.9" hidden="1" customHeight="1" outlineLevel="1" x14ac:dyDescent="0.25">
      <c r="B377" s="40"/>
      <c r="C377" s="36" t="s">
        <v>58</v>
      </c>
      <c r="D377" s="37">
        <v>7</v>
      </c>
      <c r="E377" s="38">
        <v>15155485.729999999</v>
      </c>
      <c r="F377" s="66">
        <f>G377+I377</f>
        <v>15155496.1</v>
      </c>
      <c r="G377" s="64">
        <v>15155496.1</v>
      </c>
      <c r="H377" s="38">
        <v>0</v>
      </c>
      <c r="I377" s="64">
        <v>0</v>
      </c>
      <c r="J377" s="65">
        <f>MAX(0,H377-I377)</f>
        <v>0</v>
      </c>
      <c r="K377" s="64">
        <f t="shared" si="51"/>
        <v>0</v>
      </c>
      <c r="L377" s="64">
        <v>0</v>
      </c>
      <c r="M377" s="64">
        <v>0</v>
      </c>
      <c r="N377" s="64">
        <v>0</v>
      </c>
      <c r="O377" s="64">
        <v>0</v>
      </c>
      <c r="P377" s="64">
        <v>0</v>
      </c>
      <c r="Q377" s="58"/>
    </row>
    <row r="378" spans="2:17" ht="13.9" hidden="1" customHeight="1" outlineLevel="1" x14ac:dyDescent="0.25">
      <c r="B378" s="40"/>
      <c r="C378" s="36" t="s">
        <v>59</v>
      </c>
      <c r="D378" s="37">
        <v>0</v>
      </c>
      <c r="E378" s="38">
        <v>0</v>
      </c>
      <c r="F378" s="66">
        <f t="shared" si="52"/>
        <v>0</v>
      </c>
      <c r="G378" s="64">
        <v>0</v>
      </c>
      <c r="H378" s="38">
        <v>0</v>
      </c>
      <c r="I378" s="64">
        <v>0</v>
      </c>
      <c r="J378" s="65">
        <f t="shared" si="53"/>
        <v>0</v>
      </c>
      <c r="K378" s="64">
        <f t="shared" si="51"/>
        <v>0</v>
      </c>
      <c r="L378" s="64">
        <v>0</v>
      </c>
      <c r="M378" s="64">
        <v>0</v>
      </c>
      <c r="N378" s="64">
        <v>0</v>
      </c>
      <c r="O378" s="64">
        <v>0</v>
      </c>
      <c r="P378" s="64">
        <v>0</v>
      </c>
      <c r="Q378" s="58"/>
    </row>
    <row r="379" spans="2:17" ht="13.9" hidden="1" customHeight="1" outlineLevel="1" x14ac:dyDescent="0.25">
      <c r="B379" s="40"/>
      <c r="C379" s="36" t="s">
        <v>60</v>
      </c>
      <c r="D379" s="37">
        <v>0</v>
      </c>
      <c r="E379" s="38">
        <v>0</v>
      </c>
      <c r="F379" s="66">
        <f t="shared" si="52"/>
        <v>0</v>
      </c>
      <c r="G379" s="64">
        <v>0</v>
      </c>
      <c r="H379" s="38">
        <v>0</v>
      </c>
      <c r="I379" s="64">
        <v>0</v>
      </c>
      <c r="J379" s="65">
        <f t="shared" si="53"/>
        <v>0</v>
      </c>
      <c r="K379" s="64">
        <f t="shared" si="51"/>
        <v>0</v>
      </c>
      <c r="L379" s="64">
        <v>0</v>
      </c>
      <c r="M379" s="64">
        <v>0</v>
      </c>
      <c r="N379" s="64">
        <v>0</v>
      </c>
      <c r="O379" s="64">
        <v>0</v>
      </c>
      <c r="P379" s="64">
        <v>0</v>
      </c>
      <c r="Q379" s="58"/>
    </row>
    <row r="380" spans="2:17" ht="13.9" hidden="1" customHeight="1" outlineLevel="1" x14ac:dyDescent="0.25">
      <c r="B380" s="40"/>
      <c r="C380" s="36" t="s">
        <v>61</v>
      </c>
      <c r="D380" s="37">
        <v>0</v>
      </c>
      <c r="E380" s="38">
        <v>0</v>
      </c>
      <c r="F380" s="66">
        <f>G380+I380</f>
        <v>0</v>
      </c>
      <c r="G380" s="64">
        <v>0</v>
      </c>
      <c r="H380" s="38">
        <v>0</v>
      </c>
      <c r="I380" s="64">
        <v>0</v>
      </c>
      <c r="J380" s="65">
        <f t="shared" si="53"/>
        <v>0</v>
      </c>
      <c r="K380" s="64">
        <f t="shared" si="51"/>
        <v>0</v>
      </c>
      <c r="L380" s="64">
        <v>0</v>
      </c>
      <c r="M380" s="64">
        <v>0</v>
      </c>
      <c r="N380" s="64">
        <v>0</v>
      </c>
      <c r="O380" s="64">
        <v>0</v>
      </c>
      <c r="P380" s="64">
        <v>0</v>
      </c>
      <c r="Q380" s="58"/>
    </row>
    <row r="381" spans="2:17" ht="13.9" hidden="1" customHeight="1" outlineLevel="1" x14ac:dyDescent="0.25">
      <c r="B381" s="40"/>
      <c r="C381" s="36" t="s">
        <v>62</v>
      </c>
      <c r="D381" s="37">
        <v>0</v>
      </c>
      <c r="E381" s="38">
        <v>0</v>
      </c>
      <c r="F381" s="66">
        <f>G381+I381</f>
        <v>0</v>
      </c>
      <c r="G381" s="64">
        <v>0</v>
      </c>
      <c r="H381" s="38">
        <v>0</v>
      </c>
      <c r="I381" s="64">
        <v>0</v>
      </c>
      <c r="J381" s="65">
        <f t="shared" si="53"/>
        <v>0</v>
      </c>
      <c r="K381" s="64">
        <f t="shared" si="51"/>
        <v>0</v>
      </c>
      <c r="L381" s="64">
        <v>0</v>
      </c>
      <c r="M381" s="64">
        <v>0</v>
      </c>
      <c r="N381" s="64">
        <v>0</v>
      </c>
      <c r="O381" s="64">
        <v>0</v>
      </c>
      <c r="P381" s="64">
        <v>0</v>
      </c>
      <c r="Q381" s="58"/>
    </row>
    <row r="382" spans="2:17" ht="13.9" hidden="1" customHeight="1" outlineLevel="1" x14ac:dyDescent="0.25">
      <c r="B382" s="40"/>
      <c r="C382" s="36" t="s">
        <v>63</v>
      </c>
      <c r="D382" s="37">
        <v>0</v>
      </c>
      <c r="E382" s="38">
        <v>0</v>
      </c>
      <c r="F382" s="66">
        <f t="shared" ref="F382:F392" si="54">G382+I382</f>
        <v>0</v>
      </c>
      <c r="G382" s="64">
        <v>0</v>
      </c>
      <c r="H382" s="38">
        <v>0</v>
      </c>
      <c r="I382" s="64">
        <v>0</v>
      </c>
      <c r="J382" s="65">
        <f t="shared" si="53"/>
        <v>0</v>
      </c>
      <c r="K382" s="64">
        <f t="shared" si="51"/>
        <v>0</v>
      </c>
      <c r="L382" s="64">
        <v>0</v>
      </c>
      <c r="M382" s="64">
        <v>0</v>
      </c>
      <c r="N382" s="64">
        <v>0</v>
      </c>
      <c r="O382" s="64">
        <v>0</v>
      </c>
      <c r="P382" s="64">
        <v>0</v>
      </c>
      <c r="Q382" s="58"/>
    </row>
    <row r="383" spans="2:17" ht="13.9" hidden="1" customHeight="1" outlineLevel="1" x14ac:dyDescent="0.25">
      <c r="B383" s="40"/>
      <c r="C383" s="36" t="s">
        <v>64</v>
      </c>
      <c r="D383" s="37">
        <v>334</v>
      </c>
      <c r="E383" s="38">
        <v>792999900.30999959</v>
      </c>
      <c r="F383" s="66">
        <f t="shared" si="54"/>
        <v>585829898.40000021</v>
      </c>
      <c r="G383" s="64">
        <v>577845639.98000026</v>
      </c>
      <c r="H383" s="38">
        <v>215198526.04999992</v>
      </c>
      <c r="I383" s="64">
        <v>7984258.4200000046</v>
      </c>
      <c r="J383" s="65">
        <f t="shared" si="53"/>
        <v>207214267.62999991</v>
      </c>
      <c r="K383" s="64">
        <f t="shared" si="51"/>
        <v>207214267.62999991</v>
      </c>
      <c r="L383" s="64">
        <v>0</v>
      </c>
      <c r="M383" s="64">
        <v>0</v>
      </c>
      <c r="N383" s="64">
        <v>0</v>
      </c>
      <c r="O383" s="64">
        <v>0</v>
      </c>
      <c r="P383" s="64">
        <v>0</v>
      </c>
      <c r="Q383" s="58"/>
    </row>
    <row r="384" spans="2:17" ht="13.9" hidden="1" customHeight="1" outlineLevel="1" x14ac:dyDescent="0.25">
      <c r="B384" s="40"/>
      <c r="C384" s="36" t="s">
        <v>65</v>
      </c>
      <c r="D384" s="37">
        <v>600</v>
      </c>
      <c r="E384" s="38">
        <v>793673521.40999985</v>
      </c>
      <c r="F384" s="66">
        <f t="shared" si="54"/>
        <v>800532017.97000039</v>
      </c>
      <c r="G384" s="64">
        <v>799573888.9600004</v>
      </c>
      <c r="H384" s="38">
        <v>958131.20999999787</v>
      </c>
      <c r="I384" s="64">
        <v>958129.00999999989</v>
      </c>
      <c r="J384" s="65">
        <f t="shared" si="53"/>
        <v>2.1999999979743734</v>
      </c>
      <c r="K384" s="64">
        <f t="shared" si="51"/>
        <v>2.1999999979743734</v>
      </c>
      <c r="L384" s="64">
        <v>0</v>
      </c>
      <c r="M384" s="64">
        <v>0</v>
      </c>
      <c r="N384" s="64">
        <v>0</v>
      </c>
      <c r="O384" s="64">
        <v>0</v>
      </c>
      <c r="P384" s="64">
        <v>0</v>
      </c>
      <c r="Q384" s="58"/>
    </row>
    <row r="385" spans="2:18" ht="13.9" hidden="1" customHeight="1" outlineLevel="1" x14ac:dyDescent="0.25">
      <c r="B385" s="40"/>
      <c r="C385" s="36" t="s">
        <v>66</v>
      </c>
      <c r="D385" s="37">
        <v>437</v>
      </c>
      <c r="E385" s="38">
        <v>796690915.39999986</v>
      </c>
      <c r="F385" s="66">
        <f t="shared" si="54"/>
        <v>803937020.00000012</v>
      </c>
      <c r="G385" s="64">
        <v>802732453.50000012</v>
      </c>
      <c r="H385" s="38">
        <v>1528847.7000000011</v>
      </c>
      <c r="I385" s="64">
        <v>1204566.4999999998</v>
      </c>
      <c r="J385" s="65">
        <f t="shared" si="53"/>
        <v>324281.20000000135</v>
      </c>
      <c r="K385" s="64">
        <f t="shared" si="51"/>
        <v>162142.13000000134</v>
      </c>
      <c r="L385" s="64">
        <v>162139.07</v>
      </c>
      <c r="M385" s="64">
        <v>0</v>
      </c>
      <c r="N385" s="64">
        <v>0</v>
      </c>
      <c r="O385" s="64">
        <v>0</v>
      </c>
      <c r="P385" s="64">
        <v>0</v>
      </c>
      <c r="Q385" s="58"/>
    </row>
    <row r="386" spans="2:18" ht="13.9" hidden="1" customHeight="1" outlineLevel="1" x14ac:dyDescent="0.25">
      <c r="B386" s="40"/>
      <c r="C386" s="36" t="s">
        <v>67</v>
      </c>
      <c r="D386" s="37">
        <v>224</v>
      </c>
      <c r="E386" s="38">
        <v>591215319.35000002</v>
      </c>
      <c r="F386" s="66">
        <f t="shared" si="54"/>
        <v>437605185.71999991</v>
      </c>
      <c r="G386" s="64">
        <v>436206347.71999991</v>
      </c>
      <c r="H386" s="38">
        <v>155213075.11000001</v>
      </c>
      <c r="I386" s="64">
        <v>1398838</v>
      </c>
      <c r="J386" s="65">
        <f t="shared" si="53"/>
        <v>153814237.11000001</v>
      </c>
      <c r="K386" s="64">
        <f t="shared" si="51"/>
        <v>153814237.11000001</v>
      </c>
      <c r="L386" s="64">
        <v>0</v>
      </c>
      <c r="M386" s="64">
        <v>0</v>
      </c>
      <c r="N386" s="64">
        <v>0</v>
      </c>
      <c r="O386" s="64">
        <v>0</v>
      </c>
      <c r="P386" s="64">
        <v>0</v>
      </c>
      <c r="Q386" s="58"/>
    </row>
    <row r="387" spans="2:18" ht="13.9" customHeight="1" collapsed="1" x14ac:dyDescent="0.25">
      <c r="B387" s="43"/>
      <c r="C387" s="29" t="s">
        <v>68</v>
      </c>
      <c r="D387" s="44">
        <f t="shared" ref="D387:P387" si="55">SUM(D350:D386)</f>
        <v>12280</v>
      </c>
      <c r="E387" s="45">
        <f t="shared" si="55"/>
        <v>30247204345.510006</v>
      </c>
      <c r="F387" s="46">
        <f t="shared" si="55"/>
        <v>25496669391.990002</v>
      </c>
      <c r="G387" s="47">
        <f t="shared" si="55"/>
        <v>25308545780.52</v>
      </c>
      <c r="H387" s="44">
        <f t="shared" si="55"/>
        <v>5071644282.7614985</v>
      </c>
      <c r="I387" s="45">
        <f t="shared" si="55"/>
        <v>188123611.47000006</v>
      </c>
      <c r="J387" s="46">
        <f t="shared" si="55"/>
        <v>4883520672.3014965</v>
      </c>
      <c r="K387" s="47">
        <f t="shared" si="55"/>
        <v>3404912425.9414997</v>
      </c>
      <c r="L387" s="44">
        <f t="shared" si="55"/>
        <v>1379972413.5699987</v>
      </c>
      <c r="M387" s="45">
        <f t="shared" si="55"/>
        <v>92151679.440000176</v>
      </c>
      <c r="N387" s="44">
        <f t="shared" si="55"/>
        <v>6379158.5600000005</v>
      </c>
      <c r="O387" s="45">
        <f t="shared" si="55"/>
        <v>104995.04</v>
      </c>
      <c r="P387" s="45">
        <f t="shared" si="55"/>
        <v>0</v>
      </c>
      <c r="Q387" s="39"/>
      <c r="R387" s="39"/>
    </row>
    <row r="388" spans="2:18" ht="13.9" hidden="1" customHeight="1" outlineLevel="1" x14ac:dyDescent="0.25">
      <c r="B388" s="35" t="s">
        <v>83</v>
      </c>
      <c r="C388" s="36" t="s">
        <v>70</v>
      </c>
      <c r="D388" s="37">
        <v>152</v>
      </c>
      <c r="E388" s="38">
        <v>269184881.62000012</v>
      </c>
      <c r="F388" s="66">
        <f t="shared" si="54"/>
        <v>205608988.63999996</v>
      </c>
      <c r="G388" s="64">
        <v>205608988.63999996</v>
      </c>
      <c r="H388" s="38">
        <v>63585116.619999953</v>
      </c>
      <c r="I388" s="64">
        <v>0</v>
      </c>
      <c r="J388" s="65">
        <f t="shared" si="53"/>
        <v>63585116.619999953</v>
      </c>
      <c r="K388" s="64">
        <f t="shared" si="51"/>
        <v>0</v>
      </c>
      <c r="L388" s="64">
        <v>29196258.219999999</v>
      </c>
      <c r="M388" s="64">
        <v>30211123.800000001</v>
      </c>
      <c r="N388" s="64">
        <v>4177734.7299999991</v>
      </c>
      <c r="O388" s="64">
        <v>0</v>
      </c>
      <c r="P388" s="64">
        <v>0</v>
      </c>
      <c r="Q388" s="58"/>
    </row>
    <row r="389" spans="2:18" ht="13.9" hidden="1" customHeight="1" outlineLevel="1" x14ac:dyDescent="0.25">
      <c r="B389" s="40"/>
      <c r="C389" s="36" t="s">
        <v>71</v>
      </c>
      <c r="D389" s="37">
        <v>3</v>
      </c>
      <c r="E389" s="38">
        <v>45654277</v>
      </c>
      <c r="F389" s="66">
        <f t="shared" si="54"/>
        <v>45656275.009999998</v>
      </c>
      <c r="G389" s="64">
        <v>45656275.009999998</v>
      </c>
      <c r="H389" s="38">
        <v>2.1900000013411045</v>
      </c>
      <c r="I389" s="64">
        <v>0</v>
      </c>
      <c r="J389" s="65">
        <f t="shared" si="53"/>
        <v>2.1900000013411045</v>
      </c>
      <c r="K389" s="64">
        <f t="shared" si="51"/>
        <v>2.0000000013411046</v>
      </c>
      <c r="L389" s="64">
        <v>0.19</v>
      </c>
      <c r="M389" s="64">
        <v>0</v>
      </c>
      <c r="N389" s="64">
        <v>0</v>
      </c>
      <c r="O389" s="64">
        <v>0</v>
      </c>
      <c r="P389" s="64">
        <v>0</v>
      </c>
      <c r="Q389" s="58"/>
    </row>
    <row r="390" spans="2:18" ht="13.9" hidden="1" customHeight="1" outlineLevel="1" x14ac:dyDescent="0.25">
      <c r="B390" s="40"/>
      <c r="C390" s="36" t="s">
        <v>72</v>
      </c>
      <c r="D390" s="37">
        <v>20</v>
      </c>
      <c r="E390" s="38">
        <v>35232260.570000008</v>
      </c>
      <c r="F390" s="66">
        <f t="shared" si="54"/>
        <v>29077128.629999999</v>
      </c>
      <c r="G390" s="64">
        <v>29077128.629999999</v>
      </c>
      <c r="H390" s="38">
        <v>6275133.0099999988</v>
      </c>
      <c r="I390" s="64">
        <v>0</v>
      </c>
      <c r="J390" s="65">
        <f t="shared" si="53"/>
        <v>6275133.0099999988</v>
      </c>
      <c r="K390" s="64">
        <f t="shared" si="51"/>
        <v>0</v>
      </c>
      <c r="L390" s="64">
        <v>0</v>
      </c>
      <c r="M390" s="64">
        <v>0</v>
      </c>
      <c r="N390" s="64">
        <v>6275133.0100000007</v>
      </c>
      <c r="O390" s="64">
        <v>0</v>
      </c>
      <c r="P390" s="64">
        <v>0</v>
      </c>
      <c r="Q390" s="58"/>
    </row>
    <row r="391" spans="2:18" ht="13.9" customHeight="1" collapsed="1" x14ac:dyDescent="0.25">
      <c r="B391" s="43"/>
      <c r="C391" s="29" t="s">
        <v>73</v>
      </c>
      <c r="D391" s="44">
        <f t="shared" ref="D391:P391" si="56">SUM(D388:D390)</f>
        <v>175</v>
      </c>
      <c r="E391" s="45">
        <f t="shared" si="56"/>
        <v>350071419.19000012</v>
      </c>
      <c r="F391" s="46">
        <f t="shared" si="56"/>
        <v>280342392.27999997</v>
      </c>
      <c r="G391" s="47">
        <f t="shared" si="56"/>
        <v>280342392.27999997</v>
      </c>
      <c r="H391" s="44">
        <f t="shared" si="56"/>
        <v>69860251.819999963</v>
      </c>
      <c r="I391" s="45">
        <f t="shared" si="56"/>
        <v>0</v>
      </c>
      <c r="J391" s="46">
        <f t="shared" si="56"/>
        <v>69860251.819999963</v>
      </c>
      <c r="K391" s="47">
        <f t="shared" si="56"/>
        <v>2.0000000013411046</v>
      </c>
      <c r="L391" s="44">
        <f t="shared" si="56"/>
        <v>29196258.41</v>
      </c>
      <c r="M391" s="45">
        <f t="shared" si="56"/>
        <v>30211123.800000001</v>
      </c>
      <c r="N391" s="44">
        <f t="shared" si="56"/>
        <v>10452867.74</v>
      </c>
      <c r="O391" s="45">
        <f t="shared" si="56"/>
        <v>0</v>
      </c>
      <c r="P391" s="45">
        <f t="shared" si="56"/>
        <v>0</v>
      </c>
      <c r="Q391" s="39"/>
      <c r="R391" s="39"/>
    </row>
    <row r="392" spans="2:18" ht="13.9" hidden="1" customHeight="1" outlineLevel="1" x14ac:dyDescent="0.25">
      <c r="B392" s="35" t="s">
        <v>74</v>
      </c>
      <c r="C392" s="36" t="s">
        <v>75</v>
      </c>
      <c r="D392" s="37">
        <v>2</v>
      </c>
      <c r="E392" s="38">
        <v>2469430.94</v>
      </c>
      <c r="F392" s="66">
        <f t="shared" si="54"/>
        <v>1517197.65</v>
      </c>
      <c r="G392" s="64">
        <v>1517197.65</v>
      </c>
      <c r="H392" s="38">
        <v>952233.28999999992</v>
      </c>
      <c r="I392" s="64">
        <v>0</v>
      </c>
      <c r="J392" s="65">
        <f t="shared" si="53"/>
        <v>952233.28999999992</v>
      </c>
      <c r="K392" s="64">
        <f t="shared" si="51"/>
        <v>1.999999990221113E-2</v>
      </c>
      <c r="L392" s="64">
        <v>0</v>
      </c>
      <c r="M392" s="64">
        <v>0</v>
      </c>
      <c r="N392" s="64">
        <v>952233.27</v>
      </c>
      <c r="O392" s="64">
        <v>0</v>
      </c>
      <c r="P392" s="64">
        <v>0</v>
      </c>
      <c r="Q392" s="58"/>
    </row>
    <row r="393" spans="2:18" ht="13.9" hidden="1" customHeight="1" outlineLevel="1" x14ac:dyDescent="0.25">
      <c r="B393" s="40"/>
      <c r="C393" s="36" t="s">
        <v>76</v>
      </c>
      <c r="D393" s="37">
        <v>16</v>
      </c>
      <c r="E393" s="38">
        <v>25680515.960000001</v>
      </c>
      <c r="F393" s="66">
        <f>G393+I393</f>
        <v>20741789.649999999</v>
      </c>
      <c r="G393" s="64">
        <v>20741789.469999999</v>
      </c>
      <c r="H393" s="38">
        <v>4942445.7</v>
      </c>
      <c r="I393" s="64">
        <v>0.18</v>
      </c>
      <c r="J393" s="65">
        <f>MAX(0,H393-I393)</f>
        <v>4942445.5200000005</v>
      </c>
      <c r="K393" s="64">
        <f t="shared" si="51"/>
        <v>0.13999999966472387</v>
      </c>
      <c r="L393" s="64">
        <v>0</v>
      </c>
      <c r="M393" s="64">
        <v>4942445.3800000008</v>
      </c>
      <c r="N393" s="64">
        <v>0</v>
      </c>
      <c r="O393" s="64">
        <v>0</v>
      </c>
      <c r="P393" s="64">
        <v>0</v>
      </c>
      <c r="Q393" s="58"/>
    </row>
    <row r="394" spans="2:18" ht="13.9" customHeight="1" collapsed="1" x14ac:dyDescent="0.25">
      <c r="B394" s="43"/>
      <c r="C394" s="29" t="s">
        <v>77</v>
      </c>
      <c r="D394" s="44">
        <f t="shared" ref="D394:P394" si="57">SUM(D392:D393)</f>
        <v>18</v>
      </c>
      <c r="E394" s="45">
        <f t="shared" si="57"/>
        <v>28149946.900000002</v>
      </c>
      <c r="F394" s="46">
        <f t="shared" si="57"/>
        <v>22258987.299999997</v>
      </c>
      <c r="G394" s="47">
        <f t="shared" si="57"/>
        <v>22258987.119999997</v>
      </c>
      <c r="H394" s="44">
        <f t="shared" si="57"/>
        <v>5894678.9900000002</v>
      </c>
      <c r="I394" s="45">
        <f t="shared" si="57"/>
        <v>0.18</v>
      </c>
      <c r="J394" s="46">
        <f t="shared" si="57"/>
        <v>5894678.8100000005</v>
      </c>
      <c r="K394" s="47">
        <f t="shared" si="57"/>
        <v>0.159999999566935</v>
      </c>
      <c r="L394" s="44">
        <f t="shared" si="57"/>
        <v>0</v>
      </c>
      <c r="M394" s="45">
        <f t="shared" si="57"/>
        <v>4942445.3800000008</v>
      </c>
      <c r="N394" s="44">
        <f t="shared" si="57"/>
        <v>952233.27</v>
      </c>
      <c r="O394" s="45">
        <f t="shared" si="57"/>
        <v>0</v>
      </c>
      <c r="P394" s="45">
        <f t="shared" si="57"/>
        <v>0</v>
      </c>
      <c r="Q394" s="48"/>
      <c r="R394" s="48"/>
    </row>
    <row r="395" spans="2:18" ht="13.9" customHeight="1" x14ac:dyDescent="0.25">
      <c r="B395" s="49" t="s">
        <v>78</v>
      </c>
      <c r="C395" s="50"/>
      <c r="D395" s="67">
        <f t="shared" ref="D395:P395" si="58">D394+D391+D387</f>
        <v>12473</v>
      </c>
      <c r="E395" s="68">
        <f t="shared" si="58"/>
        <v>30625425711.600006</v>
      </c>
      <c r="F395" s="69">
        <f t="shared" si="58"/>
        <v>25799270771.570004</v>
      </c>
      <c r="G395" s="70">
        <f t="shared" si="58"/>
        <v>25611147159.920002</v>
      </c>
      <c r="H395" s="68">
        <f t="shared" si="58"/>
        <v>5147399213.5714989</v>
      </c>
      <c r="I395" s="70">
        <f t="shared" si="58"/>
        <v>188123611.65000007</v>
      </c>
      <c r="J395" s="68">
        <f t="shared" si="58"/>
        <v>4959275602.9314966</v>
      </c>
      <c r="K395" s="70">
        <f t="shared" si="58"/>
        <v>3404912428.1014996</v>
      </c>
      <c r="L395" s="70">
        <f t="shared" si="58"/>
        <v>1409168671.9799988</v>
      </c>
      <c r="M395" s="68">
        <f t="shared" si="58"/>
        <v>127305248.62000018</v>
      </c>
      <c r="N395" s="68">
        <f t="shared" si="58"/>
        <v>17784259.57</v>
      </c>
      <c r="O395" s="68">
        <f t="shared" si="58"/>
        <v>104995.04</v>
      </c>
      <c r="P395" s="68">
        <f t="shared" si="58"/>
        <v>0</v>
      </c>
      <c r="Q395" s="58"/>
    </row>
    <row r="396" spans="2:18" x14ac:dyDescent="0.25"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71"/>
    </row>
    <row r="397" spans="2:18" x14ac:dyDescent="0.25">
      <c r="H397" s="71"/>
      <c r="J397" s="71"/>
      <c r="K397" s="71"/>
      <c r="L397" s="71"/>
      <c r="M397" s="71"/>
      <c r="N397" s="71"/>
      <c r="O397" s="71"/>
      <c r="P397" s="71"/>
      <c r="Q397" s="71"/>
    </row>
    <row r="398" spans="2:18" x14ac:dyDescent="0.25">
      <c r="H398" s="58"/>
      <c r="J398" s="58"/>
      <c r="K398" s="58"/>
      <c r="L398" s="58"/>
      <c r="M398" s="58"/>
      <c r="N398" s="58"/>
      <c r="O398" s="58"/>
      <c r="P398" s="58"/>
      <c r="Q398" s="71"/>
    </row>
    <row r="399" spans="2:18" x14ac:dyDescent="0.25">
      <c r="D399" s="58"/>
    </row>
  </sheetData>
  <mergeCells count="48">
    <mergeCell ref="B343:B345"/>
    <mergeCell ref="B346:C346"/>
    <mergeCell ref="B350:B387"/>
    <mergeCell ref="B388:B391"/>
    <mergeCell ref="B392:B394"/>
    <mergeCell ref="B395:C395"/>
    <mergeCell ref="B252:B289"/>
    <mergeCell ref="B290:B293"/>
    <mergeCell ref="B294:B296"/>
    <mergeCell ref="B297:C297"/>
    <mergeCell ref="B301:B338"/>
    <mergeCell ref="B339:B342"/>
    <mergeCell ref="B196:B198"/>
    <mergeCell ref="B199:C199"/>
    <mergeCell ref="B203:B240"/>
    <mergeCell ref="B241:B244"/>
    <mergeCell ref="B245:B247"/>
    <mergeCell ref="B248:C248"/>
    <mergeCell ref="B105:B142"/>
    <mergeCell ref="B143:B146"/>
    <mergeCell ref="B147:B149"/>
    <mergeCell ref="B150:C150"/>
    <mergeCell ref="B154:B191"/>
    <mergeCell ref="B192:B195"/>
    <mergeCell ref="L54:M54"/>
    <mergeCell ref="N54:O54"/>
    <mergeCell ref="B56:B93"/>
    <mergeCell ref="B94:B97"/>
    <mergeCell ref="B98:B100"/>
    <mergeCell ref="B101:C101"/>
    <mergeCell ref="B51:C51"/>
    <mergeCell ref="B54:C54"/>
    <mergeCell ref="D54:E54"/>
    <mergeCell ref="F54:G54"/>
    <mergeCell ref="H54:I54"/>
    <mergeCell ref="J54:K54"/>
    <mergeCell ref="N2:O2"/>
    <mergeCell ref="B4:B41"/>
    <mergeCell ref="B42:B45"/>
    <mergeCell ref="B46:B48"/>
    <mergeCell ref="B49:C49"/>
    <mergeCell ref="B50:C50"/>
    <mergeCell ref="B2:C2"/>
    <mergeCell ref="D2:E2"/>
    <mergeCell ref="F2:G2"/>
    <mergeCell ref="H2:I2"/>
    <mergeCell ref="J2:K2"/>
    <mergeCell ref="L2:M2"/>
  </mergeCells>
  <conditionalFormatting sqref="B2:B4 B42 B46 B49:B51">
    <cfRule type="cellIs" dxfId="92" priority="1" operator="lessThan">
      <formula>0</formula>
    </cfRule>
  </conditionalFormatting>
  <conditionalFormatting sqref="C400:C452">
    <cfRule type="duplicateValues" dxfId="91" priority="3"/>
  </conditionalFormatting>
  <conditionalFormatting sqref="C1:R1 D2:R2 C3:R48 D49:R51 C52:R53 D54:R54 B54:B56 C55:R100 B94 B98 D101:R101 B101:B105 C102:R103 D104:P141 C104:C149 D142:R142 B143 D143:P145 D146:R146 B147 D147:P148 D149:R149 D150:P150 B150:B154 C151:P152 D153:P190 C153:C198 D191:R191 B192 D192:P194 D195:R195 B196 D196:P197 D198:R198 B199 D199:P200 B201:P201 B202:B203 D202:P239 C202:C247 D240:R240 B241 D241:P243 D244:R244 B245 D245:P246 D247:R247 D248:P248 B248:B252 C249:P250 D251:P288 C251:C296 D289:R289 B290 D290:P292 D293:R293 B294 D294:P295 D296:R296 B297 D297:P298 B299:P299 B300:B301 D300:P337 C300:C345 D338:R338 B339 D339:P341 D342:R342 B343 D343:P344 D345:R345 D346:P346 B346:B350 C347:P348 D349:P386 C349:C394 D387:R387 B388 D388:P390 D391:R391 B392 D392:P393 D394:R394 B395 D395:P395 C396:P398">
    <cfRule type="cellIs" dxfId="90" priority="2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8" fitToHeight="2" orientation="landscape" r:id="rId1"/>
  <headerFooter alignWithMargins="0">
    <oddHeader>&amp;LSOBHA LLC&amp;C&amp;12
&amp;16Risk analysis_Paid% category VS Balance collectibles YOY breakup&amp;R&amp;D</oddHeader>
    <oddFooter>&amp;LCOLLECTIONS&amp;R&amp;P/&amp;N</oddFooter>
  </headerFooter>
  <rowBreaks count="3" manualBreakCount="3">
    <brk id="101" min="1" max="15" man="1"/>
    <brk id="199" min="1" max="15" man="1"/>
    <brk id="297" min="1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974F-D141-4C53-8F51-666515BC618B}">
  <dimension ref="B2:T99"/>
  <sheetViews>
    <sheetView view="pageBreakPreview" topLeftCell="A65" zoomScale="70" zoomScaleNormal="100" zoomScaleSheetLayoutView="70" workbookViewId="0">
      <selection activeCell="R6" sqref="R6"/>
    </sheetView>
  </sheetViews>
  <sheetFormatPr defaultRowHeight="15" x14ac:dyDescent="0.25"/>
  <cols>
    <col min="2" max="2" width="78.85546875" bestFit="1" customWidth="1"/>
    <col min="3" max="3" width="19.140625" customWidth="1"/>
    <col min="4" max="4" width="22.5703125" bestFit="1" customWidth="1"/>
    <col min="5" max="5" width="26.5703125" bestFit="1" customWidth="1"/>
    <col min="6" max="8" width="22.5703125" bestFit="1" customWidth="1"/>
    <col min="9" max="9" width="22.28515625" bestFit="1" customWidth="1"/>
    <col min="10" max="10" width="22.5703125" bestFit="1" customWidth="1"/>
    <col min="11" max="11" width="19.85546875" bestFit="1" customWidth="1"/>
    <col min="12" max="12" width="22.5703125" bestFit="1" customWidth="1"/>
    <col min="13" max="13" width="21.28515625" bestFit="1" customWidth="1"/>
    <col min="14" max="14" width="22.5703125" bestFit="1" customWidth="1"/>
    <col min="15" max="15" width="16.28515625" bestFit="1" customWidth="1"/>
    <col min="16" max="16" width="16.7109375" bestFit="1" customWidth="1"/>
    <col min="17" max="17" width="22.28515625" bestFit="1" customWidth="1"/>
    <col min="18" max="18" width="22.85546875" bestFit="1" customWidth="1"/>
    <col min="19" max="19" width="17.7109375" bestFit="1" customWidth="1"/>
    <col min="20" max="20" width="18.85546875" bestFit="1" customWidth="1"/>
    <col min="22" max="22" width="18.42578125" customWidth="1"/>
  </cols>
  <sheetData>
    <row r="2" spans="2:20" ht="22.9" customHeight="1" x14ac:dyDescent="0.25">
      <c r="B2" s="72" t="s">
        <v>19</v>
      </c>
      <c r="C2" s="73" t="s">
        <v>20</v>
      </c>
      <c r="D2" s="74"/>
      <c r="E2" s="75" t="s">
        <v>21</v>
      </c>
      <c r="F2" s="76"/>
      <c r="G2" s="73" t="s">
        <v>22</v>
      </c>
      <c r="H2" s="74"/>
      <c r="I2" s="75" t="s">
        <v>23</v>
      </c>
      <c r="J2" s="76"/>
      <c r="K2" s="73" t="s">
        <v>24</v>
      </c>
      <c r="L2" s="74"/>
      <c r="M2" s="73" t="s">
        <v>25</v>
      </c>
      <c r="N2" s="74"/>
      <c r="O2" s="77"/>
      <c r="P2" s="77"/>
      <c r="Q2" s="77"/>
    </row>
    <row r="3" spans="2:20" ht="22.9" customHeight="1" x14ac:dyDescent="0.25">
      <c r="B3" s="78" t="s">
        <v>26</v>
      </c>
      <c r="C3" s="79" t="s">
        <v>28</v>
      </c>
      <c r="D3" s="80" t="s">
        <v>29</v>
      </c>
      <c r="E3" s="81" t="s">
        <v>28</v>
      </c>
      <c r="F3" s="82" t="s">
        <v>29</v>
      </c>
      <c r="G3" s="79" t="s">
        <v>28</v>
      </c>
      <c r="H3" s="80" t="s">
        <v>29</v>
      </c>
      <c r="I3" s="81" t="s">
        <v>28</v>
      </c>
      <c r="J3" s="82" t="s">
        <v>29</v>
      </c>
      <c r="K3" s="79" t="s">
        <v>28</v>
      </c>
      <c r="L3" s="80" t="s">
        <v>29</v>
      </c>
      <c r="M3" s="79" t="s">
        <v>28</v>
      </c>
      <c r="N3" s="80" t="s">
        <v>29</v>
      </c>
      <c r="O3" s="83"/>
      <c r="P3" s="83"/>
      <c r="Q3" s="83"/>
    </row>
    <row r="4" spans="2:20" ht="22.9" customHeight="1" x14ac:dyDescent="0.25">
      <c r="B4" s="84" t="s">
        <v>93</v>
      </c>
      <c r="C4" s="85">
        <v>142</v>
      </c>
      <c r="D4" s="86">
        <v>309817215.50999993</v>
      </c>
      <c r="E4" s="85">
        <v>2484</v>
      </c>
      <c r="F4" s="86">
        <v>5309561647.9799976</v>
      </c>
      <c r="G4" s="85">
        <v>5293</v>
      </c>
      <c r="H4" s="86">
        <v>10253524627.249979</v>
      </c>
      <c r="I4" s="85">
        <v>4814</v>
      </c>
      <c r="J4" s="86">
        <v>8058319296.5000067</v>
      </c>
      <c r="K4" s="85">
        <v>6752</v>
      </c>
      <c r="L4" s="86">
        <v>12085966397.869898</v>
      </c>
      <c r="M4" s="85">
        <v>9699</v>
      </c>
      <c r="N4" s="86">
        <v>16549953027.730074</v>
      </c>
      <c r="O4" s="87"/>
      <c r="P4" s="87"/>
      <c r="Q4" s="87"/>
    </row>
    <row r="5" spans="2:20" ht="22.9" customHeight="1" x14ac:dyDescent="0.25">
      <c r="B5" s="88" t="s">
        <v>94</v>
      </c>
      <c r="C5" s="85">
        <v>41</v>
      </c>
      <c r="D5" s="86">
        <v>189747253.22</v>
      </c>
      <c r="E5" s="85">
        <v>289</v>
      </c>
      <c r="F5" s="86">
        <v>1257997815.5800002</v>
      </c>
      <c r="G5" s="85">
        <v>497</v>
      </c>
      <c r="H5" s="86">
        <v>1873213629.5800023</v>
      </c>
      <c r="I5" s="85">
        <v>422</v>
      </c>
      <c r="J5" s="86">
        <v>1569110265.78</v>
      </c>
      <c r="K5" s="85">
        <v>793</v>
      </c>
      <c r="L5" s="86">
        <v>2963866108.0200043</v>
      </c>
      <c r="M5" s="85">
        <v>1232</v>
      </c>
      <c r="N5" s="86">
        <v>4631059628.8900003</v>
      </c>
      <c r="O5" s="87"/>
      <c r="P5" s="87"/>
      <c r="Q5" s="87"/>
    </row>
    <row r="6" spans="2:20" ht="22.9" customHeight="1" x14ac:dyDescent="0.25">
      <c r="B6" s="88" t="s">
        <v>95</v>
      </c>
      <c r="C6" s="85">
        <v>3</v>
      </c>
      <c r="D6" s="86">
        <v>27363508.75</v>
      </c>
      <c r="E6" s="85">
        <v>110</v>
      </c>
      <c r="F6" s="86">
        <v>691438110.04999983</v>
      </c>
      <c r="G6" s="85">
        <v>162</v>
      </c>
      <c r="H6" s="86">
        <v>753198233.14000034</v>
      </c>
      <c r="I6" s="85">
        <v>131</v>
      </c>
      <c r="J6" s="86">
        <v>606385578.03999996</v>
      </c>
      <c r="K6" s="85">
        <v>273</v>
      </c>
      <c r="L6" s="86">
        <v>1288168674.589999</v>
      </c>
      <c r="M6" s="85">
        <v>436</v>
      </c>
      <c r="N6" s="86">
        <v>1889251565.8200014</v>
      </c>
      <c r="O6" s="87"/>
      <c r="P6" s="87"/>
      <c r="Q6" s="87"/>
    </row>
    <row r="7" spans="2:20" ht="22.9" customHeight="1" x14ac:dyDescent="0.25">
      <c r="B7" s="88" t="s">
        <v>96</v>
      </c>
      <c r="C7" s="85">
        <v>6</v>
      </c>
      <c r="D7" s="86">
        <v>65044986.829999998</v>
      </c>
      <c r="E7" s="85">
        <v>141</v>
      </c>
      <c r="F7" s="86">
        <v>978752590.77999985</v>
      </c>
      <c r="G7" s="85">
        <v>176</v>
      </c>
      <c r="H7" s="86">
        <v>1143118772.2400007</v>
      </c>
      <c r="I7" s="85">
        <v>133</v>
      </c>
      <c r="J7" s="86">
        <v>887562860.25999999</v>
      </c>
      <c r="K7" s="85">
        <v>367</v>
      </c>
      <c r="L7" s="86">
        <v>1630252162.6199996</v>
      </c>
      <c r="M7" s="85">
        <v>599</v>
      </c>
      <c r="N7" s="86">
        <v>4420687997.8199959</v>
      </c>
      <c r="O7" s="87"/>
      <c r="P7" s="87"/>
      <c r="Q7" s="87"/>
    </row>
    <row r="8" spans="2:20" ht="22.9" customHeight="1" x14ac:dyDescent="0.25">
      <c r="B8" s="88" t="s">
        <v>97</v>
      </c>
      <c r="C8" s="85">
        <v>1</v>
      </c>
      <c r="D8" s="86">
        <v>17704043</v>
      </c>
      <c r="E8" s="85">
        <v>74</v>
      </c>
      <c r="F8" s="86">
        <v>531063021.13</v>
      </c>
      <c r="G8" s="85">
        <v>60</v>
      </c>
      <c r="H8" s="86">
        <v>432936376.09000003</v>
      </c>
      <c r="I8" s="85">
        <v>65</v>
      </c>
      <c r="J8" s="86">
        <v>395659709.12000012</v>
      </c>
      <c r="K8" s="85">
        <v>160</v>
      </c>
      <c r="L8" s="86">
        <v>808386914.42999995</v>
      </c>
      <c r="M8" s="85">
        <v>324</v>
      </c>
      <c r="N8" s="86">
        <v>1836552493.0000007</v>
      </c>
      <c r="O8" s="87"/>
      <c r="P8" s="87"/>
      <c r="Q8" s="87"/>
    </row>
    <row r="9" spans="2:20" ht="22.9" customHeight="1" x14ac:dyDescent="0.25">
      <c r="B9" s="88" t="s">
        <v>98</v>
      </c>
      <c r="C9" s="85">
        <v>0</v>
      </c>
      <c r="D9" s="86">
        <v>0</v>
      </c>
      <c r="E9" s="85">
        <v>40</v>
      </c>
      <c r="F9" s="86">
        <v>352537945.75</v>
      </c>
      <c r="G9" s="85">
        <v>20</v>
      </c>
      <c r="H9" s="86">
        <v>187583293.09999999</v>
      </c>
      <c r="I9" s="85">
        <v>7</v>
      </c>
      <c r="J9" s="86">
        <v>77755398.349999994</v>
      </c>
      <c r="K9" s="85">
        <v>48</v>
      </c>
      <c r="L9" s="86">
        <v>393695643.25999999</v>
      </c>
      <c r="M9" s="85">
        <v>87</v>
      </c>
      <c r="N9" s="86">
        <v>622479169.34000015</v>
      </c>
      <c r="O9" s="87"/>
      <c r="P9" s="87"/>
      <c r="Q9" s="87"/>
    </row>
    <row r="10" spans="2:20" ht="22.9" customHeight="1" x14ac:dyDescent="0.25">
      <c r="B10" s="88" t="s">
        <v>99</v>
      </c>
      <c r="C10" s="85">
        <v>0</v>
      </c>
      <c r="D10" s="86">
        <v>0</v>
      </c>
      <c r="E10" s="85">
        <v>29</v>
      </c>
      <c r="F10" s="86">
        <v>342749746.2899999</v>
      </c>
      <c r="G10" s="85">
        <v>32</v>
      </c>
      <c r="H10" s="86">
        <v>225011040.15000001</v>
      </c>
      <c r="I10" s="85">
        <v>34</v>
      </c>
      <c r="J10" s="86">
        <v>154900196.70999998</v>
      </c>
      <c r="K10" s="85">
        <v>47</v>
      </c>
      <c r="L10" s="86">
        <v>440951426.41999996</v>
      </c>
      <c r="M10" s="85">
        <v>96</v>
      </c>
      <c r="N10" s="86">
        <v>675441829</v>
      </c>
      <c r="O10" s="87"/>
      <c r="P10" s="89"/>
      <c r="Q10" s="89"/>
      <c r="R10" s="89"/>
      <c r="S10" s="89"/>
    </row>
    <row r="11" spans="2:20" ht="22.9" customHeight="1" x14ac:dyDescent="0.25">
      <c r="B11" s="78" t="s">
        <v>100</v>
      </c>
      <c r="C11" s="90">
        <f t="shared" ref="C11:N11" si="0">SUM(C4:C10)</f>
        <v>193</v>
      </c>
      <c r="D11" s="91">
        <f t="shared" si="0"/>
        <v>609677007.30999994</v>
      </c>
      <c r="E11" s="92">
        <f t="shared" si="0"/>
        <v>3167</v>
      </c>
      <c r="F11" s="93">
        <f t="shared" si="0"/>
        <v>9464100877.5599957</v>
      </c>
      <c r="G11" s="90">
        <f t="shared" si="0"/>
        <v>6240</v>
      </c>
      <c r="H11" s="91">
        <f t="shared" si="0"/>
        <v>14868585971.549984</v>
      </c>
      <c r="I11" s="92">
        <f t="shared" si="0"/>
        <v>5606</v>
      </c>
      <c r="J11" s="93">
        <f t="shared" si="0"/>
        <v>11749693304.760008</v>
      </c>
      <c r="K11" s="90">
        <f t="shared" si="0"/>
        <v>8440</v>
      </c>
      <c r="L11" s="91">
        <f t="shared" si="0"/>
        <v>19611287327.209896</v>
      </c>
      <c r="M11" s="90">
        <f t="shared" si="0"/>
        <v>12473</v>
      </c>
      <c r="N11" s="91">
        <f t="shared" si="0"/>
        <v>30625425711.600071</v>
      </c>
      <c r="O11" s="94"/>
      <c r="P11" s="94"/>
      <c r="Q11" s="94"/>
      <c r="R11" s="95"/>
      <c r="S11" s="14"/>
      <c r="T11" s="96"/>
    </row>
    <row r="12" spans="2:20" ht="22.9" customHeight="1" x14ac:dyDescent="0.25">
      <c r="B12" s="78" t="s">
        <v>79</v>
      </c>
      <c r="C12" s="97">
        <f>C11/SUM($C$11,$E$11,$G$11,$I$11,$K$11,$M$11)</f>
        <v>5.343448046734406E-3</v>
      </c>
      <c r="D12" s="98">
        <f>D11/SUM($D$11,$F$11,$H$11,$J$11,$L$11,$N$11)</f>
        <v>7.0135238990194576E-3</v>
      </c>
      <c r="E12" s="97">
        <f>E11/SUM($C$11,$E$11,$G$11,$I$11,$K$11,$M$11)</f>
        <v>8.7682383233201364E-2</v>
      </c>
      <c r="F12" s="98">
        <f>F11/SUM($D$11,$F$11,$H$11,$J$11,$L$11,$N$11)</f>
        <v>0.10887190576591282</v>
      </c>
      <c r="G12" s="97">
        <f>G11/SUM($C$11,$E$11,$G$11,$I$11,$K$11,$M$11)</f>
        <v>0.1727622580913093</v>
      </c>
      <c r="H12" s="98">
        <f>H11/SUM($D$11,$F$11,$H$11,$J$11,$L$11,$N$11)</f>
        <v>0.17104332590168983</v>
      </c>
      <c r="I12" s="97">
        <f>I11/SUM($C$11,$E$11,$G$11,$I$11,$K$11,$M$11)</f>
        <v>0.1552091696890833</v>
      </c>
      <c r="J12" s="98">
        <f>J11/SUM($D$11,$F$11,$H$11,$J$11,$L$11,$N$11)</f>
        <v>0.13516460980327277</v>
      </c>
      <c r="K12" s="97">
        <f>K11/SUM($C$11,$E$11,$G$11,$I$11,$K$11,$M$11)</f>
        <v>0.23367202857221961</v>
      </c>
      <c r="L12" s="98">
        <f>L11/SUM($D$11,$F$11,$H$11,$J$11,$L$11,$N$11)</f>
        <v>0.22560180343161193</v>
      </c>
      <c r="M12" s="97">
        <f>M11/SUM($C$11,$E$11,$G$11,$I$11,$K$11,$M$11)</f>
        <v>0.34533071236745205</v>
      </c>
      <c r="N12" s="98">
        <f>N11/SUM($D$11,$F$11,$H$11,$J$11,$L$11,$N$11)</f>
        <v>0.35230483119849326</v>
      </c>
      <c r="O12" s="99"/>
      <c r="P12" s="80"/>
      <c r="Q12" s="100"/>
      <c r="R12" s="95"/>
      <c r="S12" s="95"/>
    </row>
    <row r="13" spans="2:20" ht="22.9" customHeight="1" x14ac:dyDescent="0.25">
      <c r="B13" s="101" t="s">
        <v>80</v>
      </c>
      <c r="C13" s="102">
        <f>C12</f>
        <v>5.343448046734406E-3</v>
      </c>
      <c r="D13" s="103">
        <f>D12</f>
        <v>7.0135238990194576E-3</v>
      </c>
      <c r="E13" s="102">
        <f>C12+E12</f>
        <v>9.3025831279935772E-2</v>
      </c>
      <c r="F13" s="103">
        <f>D12+F12</f>
        <v>0.11588542966493229</v>
      </c>
      <c r="G13" s="102">
        <f>E12+G12+C12</f>
        <v>0.2657880893712451</v>
      </c>
      <c r="H13" s="103">
        <f>F12+H12+D12</f>
        <v>0.28692875556662212</v>
      </c>
      <c r="I13" s="102">
        <f>G12+I12+E12+C12</f>
        <v>0.42099725906032837</v>
      </c>
      <c r="J13" s="103">
        <f>H12+J12+F12+D12</f>
        <v>0.42209336536989489</v>
      </c>
      <c r="K13" s="102">
        <f>I12+K12+G12+E12+C12</f>
        <v>0.65466928763254795</v>
      </c>
      <c r="L13" s="103">
        <f>J12+L12+H12+F12+D12</f>
        <v>0.64769516880150668</v>
      </c>
      <c r="M13" s="102">
        <f>K12+M12+I12+G12+E12+C12</f>
        <v>0.99999999999999989</v>
      </c>
      <c r="N13" s="103">
        <f>L12+N12+J12+H12+F12+D12</f>
        <v>1</v>
      </c>
      <c r="O13" s="99"/>
      <c r="P13" s="99"/>
      <c r="Q13" s="100"/>
      <c r="R13" s="95"/>
      <c r="S13" s="14"/>
    </row>
    <row r="14" spans="2:20" ht="22.9" customHeight="1" x14ac:dyDescent="0.25"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5"/>
      <c r="Q14" s="106"/>
      <c r="R14" s="95"/>
      <c r="S14" s="14"/>
    </row>
    <row r="15" spans="2:20" ht="22.9" customHeight="1" x14ac:dyDescent="0.25"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</row>
    <row r="16" spans="2:20" ht="22.9" customHeight="1" x14ac:dyDescent="0.25">
      <c r="B16" s="72" t="s">
        <v>19</v>
      </c>
      <c r="C16" s="73" t="s">
        <v>20</v>
      </c>
      <c r="D16" s="74"/>
      <c r="E16" s="75" t="s">
        <v>21</v>
      </c>
      <c r="F16" s="76"/>
      <c r="G16" s="73" t="s">
        <v>22</v>
      </c>
      <c r="H16" s="74"/>
      <c r="I16" s="75" t="s">
        <v>23</v>
      </c>
      <c r="J16" s="76"/>
      <c r="K16" s="73" t="s">
        <v>24</v>
      </c>
      <c r="L16" s="74"/>
      <c r="M16" s="73" t="s">
        <v>25</v>
      </c>
      <c r="N16" s="74"/>
      <c r="O16" s="77"/>
      <c r="P16" s="77"/>
      <c r="Q16" s="77"/>
    </row>
    <row r="17" spans="2:20" ht="22.9" customHeight="1" x14ac:dyDescent="0.25">
      <c r="B17" s="78" t="s">
        <v>26</v>
      </c>
      <c r="C17" s="79" t="s">
        <v>81</v>
      </c>
      <c r="D17" s="80" t="s">
        <v>82</v>
      </c>
      <c r="E17" s="79" t="s">
        <v>81</v>
      </c>
      <c r="F17" s="80" t="s">
        <v>82</v>
      </c>
      <c r="G17" s="79" t="s">
        <v>81</v>
      </c>
      <c r="H17" s="80" t="s">
        <v>82</v>
      </c>
      <c r="I17" s="79" t="s">
        <v>81</v>
      </c>
      <c r="J17" s="80" t="s">
        <v>82</v>
      </c>
      <c r="K17" s="79" t="s">
        <v>81</v>
      </c>
      <c r="L17" s="80" t="s">
        <v>82</v>
      </c>
      <c r="M17" s="79" t="s">
        <v>81</v>
      </c>
      <c r="N17" s="80" t="s">
        <v>82</v>
      </c>
      <c r="O17" s="83"/>
      <c r="P17" s="83"/>
      <c r="Q17" s="83"/>
    </row>
    <row r="18" spans="2:20" ht="22.9" customHeight="1" x14ac:dyDescent="0.25">
      <c r="B18" s="84" t="str">
        <f t="shared" ref="B18:B24" si="1">B4</f>
        <v>less than 5mil</v>
      </c>
      <c r="C18" s="85">
        <v>7026182.3600000003</v>
      </c>
      <c r="D18" s="86">
        <v>302791033.15000004</v>
      </c>
      <c r="E18" s="85">
        <v>859443190.72999966</v>
      </c>
      <c r="F18" s="86">
        <v>4450118457.2499952</v>
      </c>
      <c r="G18" s="85">
        <v>2416282284.0100026</v>
      </c>
      <c r="H18" s="86">
        <v>7837431082.8040104</v>
      </c>
      <c r="I18" s="85">
        <v>2644828187.8300018</v>
      </c>
      <c r="J18" s="86">
        <v>5413491108.6699924</v>
      </c>
      <c r="K18" s="85">
        <v>5947773554.8999786</v>
      </c>
      <c r="L18" s="86">
        <v>6138343442.9700184</v>
      </c>
      <c r="M18" s="85">
        <v>13596557203.280029</v>
      </c>
      <c r="N18" s="86">
        <v>3026177052.4914985</v>
      </c>
      <c r="O18" s="87"/>
      <c r="P18" s="87"/>
      <c r="Q18" s="87"/>
    </row>
    <row r="19" spans="2:20" ht="22.9" customHeight="1" x14ac:dyDescent="0.25">
      <c r="B19" s="84" t="str">
        <f t="shared" si="1"/>
        <v>5mil to 10mil</v>
      </c>
      <c r="C19" s="85">
        <v>4709989.1099999994</v>
      </c>
      <c r="D19" s="86">
        <v>185037264.10999995</v>
      </c>
      <c r="E19" s="85">
        <v>188135540.70000005</v>
      </c>
      <c r="F19" s="86">
        <v>1069862274.88</v>
      </c>
      <c r="G19" s="85">
        <v>445317093.78000015</v>
      </c>
      <c r="H19" s="86">
        <v>1427896535.8</v>
      </c>
      <c r="I19" s="85">
        <v>532354769.19000018</v>
      </c>
      <c r="J19" s="86">
        <v>1036755496.59</v>
      </c>
      <c r="K19" s="85">
        <v>1493474741.1300006</v>
      </c>
      <c r="L19" s="86">
        <v>1470391366.8899996</v>
      </c>
      <c r="M19" s="85">
        <v>3786351816.3099995</v>
      </c>
      <c r="N19" s="86">
        <v>865565768.05999994</v>
      </c>
      <c r="O19" s="87"/>
      <c r="P19" s="87"/>
      <c r="Q19" s="87"/>
    </row>
    <row r="20" spans="2:20" ht="22.9" customHeight="1" x14ac:dyDescent="0.25">
      <c r="B20" s="84" t="str">
        <f t="shared" si="1"/>
        <v>10mil to 15mil</v>
      </c>
      <c r="C20" s="85">
        <v>362000</v>
      </c>
      <c r="D20" s="86">
        <v>27001508.75</v>
      </c>
      <c r="E20" s="85">
        <v>103712915.82000002</v>
      </c>
      <c r="F20" s="86">
        <v>587725194.2299999</v>
      </c>
      <c r="G20" s="85">
        <v>179362886.28</v>
      </c>
      <c r="H20" s="86">
        <v>573835346.86000013</v>
      </c>
      <c r="I20" s="85">
        <v>210118892.35999992</v>
      </c>
      <c r="J20" s="86">
        <v>396266685.68000001</v>
      </c>
      <c r="K20" s="85">
        <v>652039033.58000004</v>
      </c>
      <c r="L20" s="86">
        <v>636129641.00999999</v>
      </c>
      <c r="M20" s="85">
        <v>1591717984.0499995</v>
      </c>
      <c r="N20" s="86">
        <v>308343618.63000029</v>
      </c>
      <c r="O20" s="87"/>
      <c r="P20" s="87"/>
      <c r="Q20" s="87"/>
    </row>
    <row r="21" spans="2:20" ht="22.9" customHeight="1" x14ac:dyDescent="0.25">
      <c r="B21" s="84" t="str">
        <f t="shared" si="1"/>
        <v>15mil to 30 mil</v>
      </c>
      <c r="C21" s="85">
        <v>659145</v>
      </c>
      <c r="D21" s="86">
        <v>64385841.829999998</v>
      </c>
      <c r="E21" s="85">
        <v>146972859.11999995</v>
      </c>
      <c r="F21" s="86">
        <v>831779731.65999961</v>
      </c>
      <c r="G21" s="85">
        <v>266564623.87000006</v>
      </c>
      <c r="H21" s="86">
        <v>876554148.37000024</v>
      </c>
      <c r="I21" s="85">
        <v>302210114.93999994</v>
      </c>
      <c r="J21" s="86">
        <v>585352745.32000017</v>
      </c>
      <c r="K21" s="85">
        <v>814428313.09000099</v>
      </c>
      <c r="L21" s="86">
        <v>815823849.53000033</v>
      </c>
      <c r="M21" s="85">
        <v>3939075247.8700018</v>
      </c>
      <c r="N21" s="86">
        <v>498823223.24000025</v>
      </c>
      <c r="O21" s="87"/>
      <c r="P21" s="87"/>
      <c r="Q21" s="87"/>
    </row>
    <row r="22" spans="2:20" ht="22.9" customHeight="1" x14ac:dyDescent="0.25">
      <c r="B22" s="84" t="str">
        <f t="shared" si="1"/>
        <v>30mil to 60mil</v>
      </c>
      <c r="C22" s="85">
        <v>20000</v>
      </c>
      <c r="D22" s="86">
        <v>17684043</v>
      </c>
      <c r="E22" s="85">
        <v>81585344.150000006</v>
      </c>
      <c r="F22" s="86">
        <v>449477676.98000002</v>
      </c>
      <c r="G22" s="85">
        <v>98611390.11999999</v>
      </c>
      <c r="H22" s="86">
        <v>334324985.96999997</v>
      </c>
      <c r="I22" s="85">
        <v>139988174.71999997</v>
      </c>
      <c r="J22" s="86">
        <v>255671534.39999986</v>
      </c>
      <c r="K22" s="85">
        <v>398868668.61000001</v>
      </c>
      <c r="L22" s="86">
        <v>409518245.82000005</v>
      </c>
      <c r="M22" s="85">
        <v>1618162437.0799999</v>
      </c>
      <c r="N22" s="86">
        <v>223358786.59000003</v>
      </c>
      <c r="O22" s="87"/>
      <c r="P22" s="87"/>
      <c r="Q22" s="87"/>
    </row>
    <row r="23" spans="2:20" ht="22.9" customHeight="1" x14ac:dyDescent="0.25">
      <c r="B23" s="84" t="str">
        <f t="shared" si="1"/>
        <v>60mil to 100mil</v>
      </c>
      <c r="C23" s="85">
        <v>0</v>
      </c>
      <c r="D23" s="86">
        <v>0</v>
      </c>
      <c r="E23" s="85">
        <v>43793056.960000008</v>
      </c>
      <c r="F23" s="86">
        <v>308744888.78999996</v>
      </c>
      <c r="G23" s="85">
        <v>44429840.18</v>
      </c>
      <c r="H23" s="86">
        <v>143153452.92000002</v>
      </c>
      <c r="I23" s="85">
        <v>24486862.469999999</v>
      </c>
      <c r="J23" s="86">
        <v>53268535.880000003</v>
      </c>
      <c r="K23" s="85">
        <v>195132452.96000001</v>
      </c>
      <c r="L23" s="86">
        <v>198563190.30000001</v>
      </c>
      <c r="M23" s="85">
        <v>539206883.37</v>
      </c>
      <c r="N23" s="86">
        <v>88927070.650000006</v>
      </c>
      <c r="O23" s="87"/>
      <c r="P23" s="87"/>
      <c r="Q23" s="87"/>
    </row>
    <row r="24" spans="2:20" ht="22.9" customHeight="1" x14ac:dyDescent="0.25">
      <c r="B24" s="84" t="str">
        <f t="shared" si="1"/>
        <v>100mil++</v>
      </c>
      <c r="C24" s="85">
        <v>0</v>
      </c>
      <c r="D24" s="86">
        <v>0</v>
      </c>
      <c r="E24" s="85">
        <v>65288405.990000002</v>
      </c>
      <c r="F24" s="86">
        <v>277461340.29999995</v>
      </c>
      <c r="G24" s="85">
        <v>46828549.849999994</v>
      </c>
      <c r="H24" s="86">
        <v>178182490.29999995</v>
      </c>
      <c r="I24" s="85">
        <v>61213986.829999983</v>
      </c>
      <c r="J24" s="86">
        <v>93686209.879999951</v>
      </c>
      <c r="K24" s="85">
        <v>244014063.62000003</v>
      </c>
      <c r="L24" s="86">
        <v>196937362.79999998</v>
      </c>
      <c r="M24" s="85">
        <v>540075587.9599998</v>
      </c>
      <c r="N24" s="86">
        <v>136203693.91</v>
      </c>
      <c r="O24" s="87"/>
      <c r="P24" s="87"/>
      <c r="Q24" s="87"/>
    </row>
    <row r="25" spans="2:20" ht="22.9" customHeight="1" x14ac:dyDescent="0.25">
      <c r="B25" s="78" t="s">
        <v>100</v>
      </c>
      <c r="C25" s="90">
        <f t="shared" ref="C25:N25" si="2">SUM(C18:C24)</f>
        <v>12777316.469999999</v>
      </c>
      <c r="D25" s="91">
        <f t="shared" si="2"/>
        <v>596899690.84000003</v>
      </c>
      <c r="E25" s="92">
        <f t="shared" si="2"/>
        <v>1488931313.4699998</v>
      </c>
      <c r="F25" s="93">
        <f t="shared" si="2"/>
        <v>7975169564.0899944</v>
      </c>
      <c r="G25" s="90">
        <f t="shared" si="2"/>
        <v>3497396668.0900025</v>
      </c>
      <c r="H25" s="91">
        <f t="shared" si="2"/>
        <v>11371378043.02401</v>
      </c>
      <c r="I25" s="92">
        <f t="shared" si="2"/>
        <v>3915200988.3400016</v>
      </c>
      <c r="J25" s="93">
        <f t="shared" si="2"/>
        <v>7834492316.4199924</v>
      </c>
      <c r="K25" s="90">
        <f t="shared" si="2"/>
        <v>9745730827.8899803</v>
      </c>
      <c r="L25" s="91">
        <f t="shared" si="2"/>
        <v>9865707099.3200169</v>
      </c>
      <c r="M25" s="90">
        <f t="shared" si="2"/>
        <v>25611147159.920025</v>
      </c>
      <c r="N25" s="91">
        <f t="shared" si="2"/>
        <v>5147399213.5714989</v>
      </c>
      <c r="O25" s="94"/>
      <c r="P25" s="94"/>
      <c r="Q25" s="94"/>
      <c r="S25" s="58"/>
      <c r="T25" s="58"/>
    </row>
    <row r="26" spans="2:20" ht="22.9" customHeight="1" x14ac:dyDescent="0.25"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</row>
    <row r="27" spans="2:20" ht="22.9" customHeight="1" x14ac:dyDescent="0.25">
      <c r="B27" s="107" t="s">
        <v>84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</row>
    <row r="28" spans="2:20" ht="22.9" customHeight="1" x14ac:dyDescent="0.25">
      <c r="B28" s="108" t="s">
        <v>26</v>
      </c>
      <c r="C28" s="109" t="s">
        <v>28</v>
      </c>
      <c r="D28" s="110" t="s">
        <v>29</v>
      </c>
      <c r="E28" s="111" t="s">
        <v>85</v>
      </c>
      <c r="F28" s="112" t="s">
        <v>81</v>
      </c>
      <c r="G28" s="110" t="s">
        <v>82</v>
      </c>
      <c r="H28" s="112" t="s">
        <v>86</v>
      </c>
      <c r="I28" s="110" t="s">
        <v>87</v>
      </c>
      <c r="J28" s="112">
        <v>2026</v>
      </c>
      <c r="K28" s="112">
        <v>2027</v>
      </c>
      <c r="L28" s="110">
        <v>2028</v>
      </c>
      <c r="M28" s="112">
        <v>2029</v>
      </c>
      <c r="N28" s="110">
        <v>2030</v>
      </c>
      <c r="O28" s="112">
        <v>2031</v>
      </c>
    </row>
    <row r="29" spans="2:20" ht="22.9" customHeight="1" x14ac:dyDescent="0.25">
      <c r="B29" s="84" t="str">
        <f t="shared" ref="B29:B35" si="3">B18</f>
        <v>less than 5mil</v>
      </c>
      <c r="C29" s="85">
        <v>142</v>
      </c>
      <c r="D29" s="86">
        <v>309817215.50999993</v>
      </c>
      <c r="E29" s="113">
        <f>F29+H29</f>
        <v>44160286.740000024</v>
      </c>
      <c r="F29" s="113">
        <v>7026182.3600000003</v>
      </c>
      <c r="G29" s="86">
        <v>302791033.15000004</v>
      </c>
      <c r="H29" s="113">
        <v>37134104.380000025</v>
      </c>
      <c r="I29" s="114">
        <f>G29-H29</f>
        <v>265656928.77000001</v>
      </c>
      <c r="J29" s="64">
        <f t="shared" ref="J29:J35" si="4">MAX(I29-SUM(K29:O29),0)</f>
        <v>54308296.459999979</v>
      </c>
      <c r="K29" s="113">
        <v>41582019.200000018</v>
      </c>
      <c r="L29" s="113">
        <v>39913324.970000021</v>
      </c>
      <c r="M29" s="113">
        <v>61378627.599999987</v>
      </c>
      <c r="N29" s="113">
        <v>67030194.940000005</v>
      </c>
      <c r="O29" s="113">
        <v>1444465.6</v>
      </c>
      <c r="P29" s="58"/>
    </row>
    <row r="30" spans="2:20" ht="22.9" customHeight="1" x14ac:dyDescent="0.25">
      <c r="B30" s="84" t="str">
        <f t="shared" si="3"/>
        <v>5mil to 10mil</v>
      </c>
      <c r="C30" s="85">
        <v>41</v>
      </c>
      <c r="D30" s="86">
        <v>189747253.22</v>
      </c>
      <c r="E30" s="113">
        <f t="shared" ref="E30:E35" si="5">F30+H30</f>
        <v>24405673.370000005</v>
      </c>
      <c r="F30" s="113">
        <v>4709989.1099999994</v>
      </c>
      <c r="G30" s="86">
        <v>185037264.10999995</v>
      </c>
      <c r="H30" s="113">
        <v>19695684.260000005</v>
      </c>
      <c r="I30" s="114">
        <f t="shared" ref="I30:I35" si="6">G30-H30</f>
        <v>165341579.84999996</v>
      </c>
      <c r="J30" s="113">
        <f t="shared" si="4"/>
        <v>26366486.929999948</v>
      </c>
      <c r="K30" s="113">
        <v>32834712.450000003</v>
      </c>
      <c r="L30" s="113">
        <v>22377239.280000005</v>
      </c>
      <c r="M30" s="113">
        <v>65807011.859999999</v>
      </c>
      <c r="N30" s="113">
        <v>14974496.83</v>
      </c>
      <c r="O30" s="113">
        <v>2981632.5</v>
      </c>
      <c r="P30" s="58"/>
    </row>
    <row r="31" spans="2:20" ht="22.9" customHeight="1" x14ac:dyDescent="0.25">
      <c r="B31" s="84" t="str">
        <f t="shared" si="3"/>
        <v>10mil to 15mil</v>
      </c>
      <c r="C31" s="85">
        <v>3</v>
      </c>
      <c r="D31" s="86">
        <v>27363508.75</v>
      </c>
      <c r="E31" s="113">
        <f t="shared" si="5"/>
        <v>6060296.7199999997</v>
      </c>
      <c r="F31" s="113">
        <v>362000</v>
      </c>
      <c r="G31" s="86">
        <v>27001508.75</v>
      </c>
      <c r="H31" s="113">
        <v>5698296.7199999997</v>
      </c>
      <c r="I31" s="114">
        <f t="shared" si="6"/>
        <v>21303212.030000001</v>
      </c>
      <c r="J31" s="113">
        <f t="shared" si="4"/>
        <v>1063764.6900000013</v>
      </c>
      <c r="K31" s="113">
        <v>4110666.34</v>
      </c>
      <c r="L31" s="113">
        <v>4090531</v>
      </c>
      <c r="M31" s="113">
        <v>6895333</v>
      </c>
      <c r="N31" s="113">
        <v>5142917</v>
      </c>
      <c r="O31" s="113">
        <v>0</v>
      </c>
      <c r="P31" s="58"/>
    </row>
    <row r="32" spans="2:20" ht="22.9" customHeight="1" x14ac:dyDescent="0.25">
      <c r="B32" s="84" t="str">
        <f t="shared" si="3"/>
        <v>15mil to 30 mil</v>
      </c>
      <c r="C32" s="85">
        <v>6</v>
      </c>
      <c r="D32" s="86">
        <v>65044986.829999998</v>
      </c>
      <c r="E32" s="113">
        <f t="shared" si="5"/>
        <v>6617448.6899999995</v>
      </c>
      <c r="F32" s="113">
        <v>659145</v>
      </c>
      <c r="G32" s="86">
        <v>64385841.829999998</v>
      </c>
      <c r="H32" s="113">
        <v>5958303.6899999995</v>
      </c>
      <c r="I32" s="114">
        <f t="shared" si="6"/>
        <v>58427538.140000001</v>
      </c>
      <c r="J32" s="113">
        <f t="shared" si="4"/>
        <v>8443033.4600000009</v>
      </c>
      <c r="K32" s="113">
        <v>24511458.580000002</v>
      </c>
      <c r="L32" s="113">
        <v>18760897.310000002</v>
      </c>
      <c r="M32" s="113">
        <v>6007556.1600000001</v>
      </c>
      <c r="N32" s="113">
        <v>704592.63</v>
      </c>
      <c r="O32" s="113">
        <v>0</v>
      </c>
      <c r="P32" s="58"/>
    </row>
    <row r="33" spans="2:16" ht="22.9" customHeight="1" x14ac:dyDescent="0.25">
      <c r="B33" s="84" t="str">
        <f t="shared" si="3"/>
        <v>30mil to 60mil</v>
      </c>
      <c r="C33" s="85">
        <v>1</v>
      </c>
      <c r="D33" s="86">
        <v>17704043</v>
      </c>
      <c r="E33" s="113">
        <f t="shared" si="5"/>
        <v>2124485.16</v>
      </c>
      <c r="F33" s="113">
        <v>20000</v>
      </c>
      <c r="G33" s="86">
        <v>17684043</v>
      </c>
      <c r="H33" s="113">
        <v>2104485.16</v>
      </c>
      <c r="I33" s="114">
        <f t="shared" si="6"/>
        <v>15579557.84</v>
      </c>
      <c r="J33" s="113">
        <f t="shared" si="4"/>
        <v>2124485.16</v>
      </c>
      <c r="K33" s="113">
        <v>2832646.88</v>
      </c>
      <c r="L33" s="113">
        <v>10622425.800000001</v>
      </c>
      <c r="M33" s="113">
        <v>0</v>
      </c>
      <c r="N33" s="113">
        <v>0</v>
      </c>
      <c r="O33" s="113">
        <v>0</v>
      </c>
      <c r="P33" s="58"/>
    </row>
    <row r="34" spans="2:16" ht="22.9" customHeight="1" x14ac:dyDescent="0.25">
      <c r="B34" s="84" t="str">
        <f t="shared" si="3"/>
        <v>60mil to 100mil</v>
      </c>
      <c r="C34" s="85">
        <v>0</v>
      </c>
      <c r="D34" s="86">
        <v>0</v>
      </c>
      <c r="E34" s="113">
        <f t="shared" si="5"/>
        <v>0</v>
      </c>
      <c r="F34" s="113">
        <v>0</v>
      </c>
      <c r="G34" s="86">
        <v>0</v>
      </c>
      <c r="H34" s="113">
        <v>0</v>
      </c>
      <c r="I34" s="114">
        <f t="shared" si="6"/>
        <v>0</v>
      </c>
      <c r="J34" s="113">
        <f t="shared" si="4"/>
        <v>0</v>
      </c>
      <c r="K34" s="113">
        <v>0</v>
      </c>
      <c r="L34" s="113">
        <v>0</v>
      </c>
      <c r="M34" s="113">
        <v>0</v>
      </c>
      <c r="N34" s="113">
        <v>0</v>
      </c>
      <c r="O34" s="113">
        <v>0</v>
      </c>
      <c r="P34" s="58"/>
    </row>
    <row r="35" spans="2:16" ht="22.9" customHeight="1" x14ac:dyDescent="0.25">
      <c r="B35" s="84" t="str">
        <f t="shared" si="3"/>
        <v>100mil++</v>
      </c>
      <c r="C35" s="85">
        <v>0</v>
      </c>
      <c r="D35" s="86">
        <v>0</v>
      </c>
      <c r="E35" s="113">
        <f t="shared" si="5"/>
        <v>0</v>
      </c>
      <c r="F35" s="113">
        <v>0</v>
      </c>
      <c r="G35" s="86">
        <v>0</v>
      </c>
      <c r="H35" s="113">
        <v>0</v>
      </c>
      <c r="I35" s="114">
        <f t="shared" si="6"/>
        <v>0</v>
      </c>
      <c r="J35" s="113">
        <f t="shared" si="4"/>
        <v>0</v>
      </c>
      <c r="K35" s="113">
        <v>0</v>
      </c>
      <c r="L35" s="113">
        <v>0</v>
      </c>
      <c r="M35" s="113">
        <v>0</v>
      </c>
      <c r="N35" s="113">
        <v>0</v>
      </c>
      <c r="O35" s="113">
        <v>0</v>
      </c>
      <c r="P35" s="58"/>
    </row>
    <row r="36" spans="2:16" ht="22.9" customHeight="1" x14ac:dyDescent="0.25">
      <c r="B36" s="108" t="s">
        <v>100</v>
      </c>
      <c r="C36" s="115">
        <f t="shared" ref="C36:L36" si="7">SUM(C29:C35)</f>
        <v>193</v>
      </c>
      <c r="D36" s="116">
        <f t="shared" si="7"/>
        <v>609677007.30999994</v>
      </c>
      <c r="E36" s="117">
        <f t="shared" si="7"/>
        <v>83368190.680000022</v>
      </c>
      <c r="F36" s="118">
        <f t="shared" si="7"/>
        <v>12777316.469999999</v>
      </c>
      <c r="G36" s="116">
        <f t="shared" si="7"/>
        <v>596899690.84000003</v>
      </c>
      <c r="H36" s="118">
        <f t="shared" si="7"/>
        <v>70590874.210000023</v>
      </c>
      <c r="I36" s="116">
        <f t="shared" si="7"/>
        <v>526308816.62999994</v>
      </c>
      <c r="J36" s="118">
        <f t="shared" si="7"/>
        <v>92306066.699999928</v>
      </c>
      <c r="K36" s="118">
        <f t="shared" si="7"/>
        <v>105871503.45000002</v>
      </c>
      <c r="L36" s="116">
        <f t="shared" si="7"/>
        <v>95764418.360000029</v>
      </c>
      <c r="M36" s="116">
        <f>SUM(M29:M35)</f>
        <v>140088528.61999997</v>
      </c>
      <c r="N36" s="116">
        <f>SUM(N29:N35)</f>
        <v>87852201.400000006</v>
      </c>
      <c r="O36" s="116">
        <f>SUM(O29:O35)</f>
        <v>4426098.0999999996</v>
      </c>
      <c r="P36" s="58"/>
    </row>
    <row r="37" spans="2:16" ht="22.9" customHeight="1" x14ac:dyDescent="0.25"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58"/>
    </row>
    <row r="38" spans="2:16" ht="22.9" customHeight="1" x14ac:dyDescent="0.25">
      <c r="B38" s="107" t="s">
        <v>88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58"/>
    </row>
    <row r="39" spans="2:16" ht="22.9" customHeight="1" x14ac:dyDescent="0.25">
      <c r="B39" s="108" t="s">
        <v>26</v>
      </c>
      <c r="C39" s="109" t="s">
        <v>28</v>
      </c>
      <c r="D39" s="110" t="s">
        <v>29</v>
      </c>
      <c r="E39" s="111" t="s">
        <v>85</v>
      </c>
      <c r="F39" s="112" t="s">
        <v>81</v>
      </c>
      <c r="G39" s="110" t="s">
        <v>82</v>
      </c>
      <c r="H39" s="112" t="s">
        <v>86</v>
      </c>
      <c r="I39" s="110" t="s">
        <v>87</v>
      </c>
      <c r="J39" s="112">
        <v>2026</v>
      </c>
      <c r="K39" s="112">
        <v>2027</v>
      </c>
      <c r="L39" s="110">
        <v>2028</v>
      </c>
      <c r="M39" s="112">
        <v>2029</v>
      </c>
      <c r="N39" s="110">
        <v>2030</v>
      </c>
      <c r="O39" s="112">
        <v>2031</v>
      </c>
      <c r="P39" s="58"/>
    </row>
    <row r="40" spans="2:16" ht="22.9" customHeight="1" x14ac:dyDescent="0.25">
      <c r="B40" s="84" t="str">
        <f t="shared" ref="B40:B46" si="8">B29</f>
        <v>less than 5mil</v>
      </c>
      <c r="C40" s="85">
        <v>2484</v>
      </c>
      <c r="D40" s="86">
        <v>5309561647.9799976</v>
      </c>
      <c r="E40" s="113">
        <f>F40+H40</f>
        <v>1087130034.3899996</v>
      </c>
      <c r="F40" s="113">
        <v>859443190.72999966</v>
      </c>
      <c r="G40" s="86">
        <v>4450118457.2499952</v>
      </c>
      <c r="H40" s="113">
        <v>227686843.66000006</v>
      </c>
      <c r="I40" s="114">
        <f>G40-H40</f>
        <v>4222431613.5899954</v>
      </c>
      <c r="J40" s="113">
        <f t="shared" ref="J40:J46" si="9">MAX(I40-SUM(K40:O40),0)</f>
        <v>621080033.16001272</v>
      </c>
      <c r="K40" s="113">
        <v>831777167.1199944</v>
      </c>
      <c r="L40" s="113">
        <v>862827611.38999259</v>
      </c>
      <c r="M40" s="113">
        <v>1420946887.7899957</v>
      </c>
      <c r="N40" s="113">
        <v>466953454.7100001</v>
      </c>
      <c r="O40" s="113">
        <v>18846459.420000002</v>
      </c>
      <c r="P40" s="58"/>
    </row>
    <row r="41" spans="2:16" ht="22.9" customHeight="1" x14ac:dyDescent="0.25">
      <c r="B41" s="84" t="str">
        <f t="shared" si="8"/>
        <v>5mil to 10mil</v>
      </c>
      <c r="C41" s="85">
        <v>289</v>
      </c>
      <c r="D41" s="86">
        <v>1257997815.5800002</v>
      </c>
      <c r="E41" s="113">
        <f t="shared" ref="E41:E46" si="10">F41+H41</f>
        <v>245031109.91</v>
      </c>
      <c r="F41" s="113">
        <v>188135540.70000005</v>
      </c>
      <c r="G41" s="86">
        <v>1069862274.88</v>
      </c>
      <c r="H41" s="113">
        <v>56895569.209999956</v>
      </c>
      <c r="I41" s="114">
        <f t="shared" ref="I41:I46" si="11">G41-H41</f>
        <v>1012966705.6700001</v>
      </c>
      <c r="J41" s="113">
        <f t="shared" si="9"/>
        <v>175482175.32000017</v>
      </c>
      <c r="K41" s="113">
        <v>203303464.90000036</v>
      </c>
      <c r="L41" s="113">
        <v>239494888.24999991</v>
      </c>
      <c r="M41" s="113">
        <v>303723883.63999969</v>
      </c>
      <c r="N41" s="113">
        <v>66171555.419999987</v>
      </c>
      <c r="O41" s="113">
        <v>24790738.140000001</v>
      </c>
      <c r="P41" s="58"/>
    </row>
    <row r="42" spans="2:16" ht="22.9" customHeight="1" x14ac:dyDescent="0.25">
      <c r="B42" s="84" t="str">
        <f t="shared" si="8"/>
        <v>10mil to 15mil</v>
      </c>
      <c r="C42" s="85">
        <v>110</v>
      </c>
      <c r="D42" s="86">
        <v>691438110.04999983</v>
      </c>
      <c r="E42" s="113">
        <f t="shared" si="10"/>
        <v>134760973.17000002</v>
      </c>
      <c r="F42" s="113">
        <v>103712915.82000002</v>
      </c>
      <c r="G42" s="86">
        <v>587725194.2299999</v>
      </c>
      <c r="H42" s="113">
        <v>31048057.350000005</v>
      </c>
      <c r="I42" s="114">
        <f t="shared" si="11"/>
        <v>556677136.87999988</v>
      </c>
      <c r="J42" s="113">
        <f t="shared" si="9"/>
        <v>108178346.73999977</v>
      </c>
      <c r="K42" s="113">
        <v>155978440.51000005</v>
      </c>
      <c r="L42" s="113">
        <v>196962645.91</v>
      </c>
      <c r="M42" s="113">
        <v>62710440.310000002</v>
      </c>
      <c r="N42" s="113">
        <v>23338259.030000001</v>
      </c>
      <c r="O42" s="113">
        <v>9509004.3800000008</v>
      </c>
      <c r="P42" s="58"/>
    </row>
    <row r="43" spans="2:16" ht="22.9" customHeight="1" x14ac:dyDescent="0.25">
      <c r="B43" s="84" t="str">
        <f t="shared" si="8"/>
        <v>15mil to 30 mil</v>
      </c>
      <c r="C43" s="85">
        <v>141</v>
      </c>
      <c r="D43" s="86">
        <v>978752590.77999985</v>
      </c>
      <c r="E43" s="113">
        <f t="shared" si="10"/>
        <v>208808217.71999994</v>
      </c>
      <c r="F43" s="113">
        <v>146972859.11999995</v>
      </c>
      <c r="G43" s="86">
        <v>831779731.65999961</v>
      </c>
      <c r="H43" s="113">
        <v>61835358.599999987</v>
      </c>
      <c r="I43" s="114">
        <f t="shared" si="11"/>
        <v>769944373.05999959</v>
      </c>
      <c r="J43" s="113">
        <f t="shared" si="9"/>
        <v>148497234.55999959</v>
      </c>
      <c r="K43" s="113">
        <v>185446999.10000005</v>
      </c>
      <c r="L43" s="113">
        <v>304821202.64999998</v>
      </c>
      <c r="M43" s="113">
        <v>72355445.449999988</v>
      </c>
      <c r="N43" s="113">
        <v>51700188.549999997</v>
      </c>
      <c r="O43" s="113">
        <v>7123302.75</v>
      </c>
      <c r="P43" s="58"/>
    </row>
    <row r="44" spans="2:16" ht="22.9" customHeight="1" x14ac:dyDescent="0.25">
      <c r="B44" s="84" t="str">
        <f t="shared" si="8"/>
        <v>30mil to 60mil</v>
      </c>
      <c r="C44" s="85">
        <v>74</v>
      </c>
      <c r="D44" s="86">
        <v>531063021.13</v>
      </c>
      <c r="E44" s="113">
        <f t="shared" si="10"/>
        <v>129322357.58000003</v>
      </c>
      <c r="F44" s="113">
        <v>81585344.150000006</v>
      </c>
      <c r="G44" s="86">
        <v>449477676.98000002</v>
      </c>
      <c r="H44" s="113">
        <v>47737013.430000022</v>
      </c>
      <c r="I44" s="114">
        <f t="shared" si="11"/>
        <v>401740663.55000001</v>
      </c>
      <c r="J44" s="113">
        <f t="shared" si="9"/>
        <v>124535762.06999999</v>
      </c>
      <c r="K44" s="113">
        <v>101099955.81999999</v>
      </c>
      <c r="L44" s="113">
        <v>90562794.200000003</v>
      </c>
      <c r="M44" s="113">
        <v>35374690.649999999</v>
      </c>
      <c r="N44" s="113">
        <v>37142059.68</v>
      </c>
      <c r="O44" s="113">
        <v>13025401.130000001</v>
      </c>
      <c r="P44" s="58"/>
    </row>
    <row r="45" spans="2:16" ht="22.9" customHeight="1" x14ac:dyDescent="0.25">
      <c r="B45" s="84" t="str">
        <f t="shared" si="8"/>
        <v>60mil to 100mil</v>
      </c>
      <c r="C45" s="85">
        <v>40</v>
      </c>
      <c r="D45" s="86">
        <v>352537945.75</v>
      </c>
      <c r="E45" s="113">
        <f t="shared" si="10"/>
        <v>174056321.30000001</v>
      </c>
      <c r="F45" s="113">
        <v>43793056.960000008</v>
      </c>
      <c r="G45" s="86">
        <v>308744888.78999996</v>
      </c>
      <c r="H45" s="113">
        <v>130263264.33999999</v>
      </c>
      <c r="I45" s="114">
        <f t="shared" si="11"/>
        <v>178481624.44999999</v>
      </c>
      <c r="J45" s="113">
        <f t="shared" si="9"/>
        <v>50257376.87000002</v>
      </c>
      <c r="K45" s="113">
        <v>91876663.089999974</v>
      </c>
      <c r="L45" s="113">
        <v>6219390.8599999994</v>
      </c>
      <c r="M45" s="113">
        <v>3129312.4600000009</v>
      </c>
      <c r="N45" s="113">
        <v>17610943.810000002</v>
      </c>
      <c r="O45" s="113">
        <v>9387937.3599999994</v>
      </c>
      <c r="P45" s="58"/>
    </row>
    <row r="46" spans="2:16" ht="22.9" customHeight="1" x14ac:dyDescent="0.25">
      <c r="B46" s="84" t="str">
        <f t="shared" si="8"/>
        <v>100mil++</v>
      </c>
      <c r="C46" s="85">
        <v>29</v>
      </c>
      <c r="D46" s="86">
        <v>342749746.2899999</v>
      </c>
      <c r="E46" s="113">
        <f t="shared" si="10"/>
        <v>102356739.20000002</v>
      </c>
      <c r="F46" s="113">
        <v>65288405.990000002</v>
      </c>
      <c r="G46" s="86">
        <v>277461340.29999995</v>
      </c>
      <c r="H46" s="113">
        <v>37068333.210000008</v>
      </c>
      <c r="I46" s="114">
        <f t="shared" si="11"/>
        <v>240393007.08999994</v>
      </c>
      <c r="J46" s="113">
        <f t="shared" si="9"/>
        <v>46593430.709999979</v>
      </c>
      <c r="K46" s="113">
        <v>148293181.39999998</v>
      </c>
      <c r="L46" s="113">
        <v>14072691.190000003</v>
      </c>
      <c r="M46" s="113">
        <v>31433703.789999992</v>
      </c>
      <c r="N46" s="113">
        <v>0</v>
      </c>
      <c r="O46" s="113">
        <v>0</v>
      </c>
      <c r="P46" s="58"/>
    </row>
    <row r="47" spans="2:16" ht="22.9" customHeight="1" x14ac:dyDescent="0.25">
      <c r="B47" s="108" t="s">
        <v>100</v>
      </c>
      <c r="C47" s="115">
        <f t="shared" ref="C47:L47" si="12">SUM(C40:C46)</f>
        <v>3167</v>
      </c>
      <c r="D47" s="116">
        <f t="shared" si="12"/>
        <v>9464100877.5599957</v>
      </c>
      <c r="E47" s="117">
        <f t="shared" si="12"/>
        <v>2081465753.2699997</v>
      </c>
      <c r="F47" s="118">
        <f t="shared" si="12"/>
        <v>1488931313.4699998</v>
      </c>
      <c r="G47" s="116">
        <f t="shared" si="12"/>
        <v>7975169564.0899944</v>
      </c>
      <c r="H47" s="118">
        <f t="shared" si="12"/>
        <v>592534439.80000007</v>
      </c>
      <c r="I47" s="116">
        <f t="shared" si="12"/>
        <v>7382635124.2899952</v>
      </c>
      <c r="J47" s="118">
        <f t="shared" si="12"/>
        <v>1274624359.4300125</v>
      </c>
      <c r="K47" s="118">
        <f t="shared" si="12"/>
        <v>1717775871.9399948</v>
      </c>
      <c r="L47" s="116">
        <f t="shared" si="12"/>
        <v>1714961224.4499927</v>
      </c>
      <c r="M47" s="116">
        <f>SUM(M40:M46)</f>
        <v>1929674364.0899954</v>
      </c>
      <c r="N47" s="116">
        <f>SUM(N40:N46)</f>
        <v>662916461.20000005</v>
      </c>
      <c r="O47" s="116">
        <f>SUM(O40:O46)</f>
        <v>82682843.180000007</v>
      </c>
      <c r="P47" s="58"/>
    </row>
    <row r="48" spans="2:16" ht="22.9" customHeight="1" x14ac:dyDescent="0.25">
      <c r="B48" s="107" t="s">
        <v>89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58"/>
    </row>
    <row r="49" spans="2:16" ht="22.9" customHeight="1" x14ac:dyDescent="0.25">
      <c r="B49" s="108" t="s">
        <v>26</v>
      </c>
      <c r="C49" s="109" t="s">
        <v>28</v>
      </c>
      <c r="D49" s="110" t="s">
        <v>29</v>
      </c>
      <c r="E49" s="111" t="s">
        <v>85</v>
      </c>
      <c r="F49" s="112" t="s">
        <v>81</v>
      </c>
      <c r="G49" s="110" t="s">
        <v>82</v>
      </c>
      <c r="H49" s="112" t="s">
        <v>86</v>
      </c>
      <c r="I49" s="110" t="s">
        <v>87</v>
      </c>
      <c r="J49" s="112">
        <v>2026</v>
      </c>
      <c r="K49" s="112">
        <v>2027</v>
      </c>
      <c r="L49" s="110">
        <v>2028</v>
      </c>
      <c r="M49" s="112">
        <v>2029</v>
      </c>
      <c r="N49" s="110">
        <v>2030</v>
      </c>
      <c r="O49" s="112">
        <v>2031</v>
      </c>
      <c r="P49" s="58"/>
    </row>
    <row r="50" spans="2:16" ht="22.9" customHeight="1" x14ac:dyDescent="0.25">
      <c r="B50" s="84" t="str">
        <f t="shared" ref="B50:B56" si="13">B40</f>
        <v>less than 5mil</v>
      </c>
      <c r="C50" s="85">
        <v>5293</v>
      </c>
      <c r="D50" s="86">
        <v>10253524627.249979</v>
      </c>
      <c r="E50" s="113">
        <f>F50+H50</f>
        <v>2615477501.5400023</v>
      </c>
      <c r="F50" s="113">
        <v>2416282284.0100026</v>
      </c>
      <c r="G50" s="86">
        <v>7837431082.8040104</v>
      </c>
      <c r="H50" s="113">
        <v>199195217.52999994</v>
      </c>
      <c r="I50" s="114">
        <f>G50-H50</f>
        <v>7638235865.2740107</v>
      </c>
      <c r="J50" s="113">
        <f t="shared" ref="J50:J56" si="14">MAX(I50-SUM(K50:O50),0)</f>
        <v>1152426026.413991</v>
      </c>
      <c r="K50" s="113">
        <v>2118852079.1000154</v>
      </c>
      <c r="L50" s="113">
        <v>1806260731.6599998</v>
      </c>
      <c r="M50" s="113">
        <v>2250660747.9100037</v>
      </c>
      <c r="N50" s="113">
        <v>288977162.59999996</v>
      </c>
      <c r="O50" s="113">
        <v>21059117.590000004</v>
      </c>
      <c r="P50" s="58"/>
    </row>
    <row r="51" spans="2:16" ht="22.9" customHeight="1" x14ac:dyDescent="0.25">
      <c r="B51" s="84" t="str">
        <f t="shared" si="13"/>
        <v>5mil to 10mil</v>
      </c>
      <c r="C51" s="85">
        <v>497</v>
      </c>
      <c r="D51" s="86">
        <v>1873213629.5800023</v>
      </c>
      <c r="E51" s="113">
        <f t="shared" ref="E51:E56" si="15">F51+H51</f>
        <v>492219569.89000016</v>
      </c>
      <c r="F51" s="113">
        <v>445317093.78000015</v>
      </c>
      <c r="G51" s="86">
        <v>1427896535.8</v>
      </c>
      <c r="H51" s="113">
        <v>46902476.110000037</v>
      </c>
      <c r="I51" s="114">
        <f t="shared" ref="I51:I56" si="16">G51-H51</f>
        <v>1380994059.6899998</v>
      </c>
      <c r="J51" s="113">
        <f t="shared" si="14"/>
        <v>271588888.26999927</v>
      </c>
      <c r="K51" s="113">
        <v>449958153.08000046</v>
      </c>
      <c r="L51" s="113">
        <v>311348457.11000025</v>
      </c>
      <c r="M51" s="113">
        <v>262027910.65999991</v>
      </c>
      <c r="N51" s="113">
        <v>54699254.990000002</v>
      </c>
      <c r="O51" s="113">
        <v>31371395.579999998</v>
      </c>
      <c r="P51" s="58"/>
    </row>
    <row r="52" spans="2:16" ht="22.9" customHeight="1" x14ac:dyDescent="0.25">
      <c r="B52" s="84" t="str">
        <f t="shared" si="13"/>
        <v>10mil to 15mil</v>
      </c>
      <c r="C52" s="85">
        <v>162</v>
      </c>
      <c r="D52" s="86">
        <v>753198233.14000034</v>
      </c>
      <c r="E52" s="113">
        <f t="shared" si="15"/>
        <v>202352257.22000003</v>
      </c>
      <c r="F52" s="113">
        <v>179362886.28</v>
      </c>
      <c r="G52" s="86">
        <v>573835346.86000013</v>
      </c>
      <c r="H52" s="113">
        <v>22989370.940000013</v>
      </c>
      <c r="I52" s="114">
        <f t="shared" si="16"/>
        <v>550845975.92000008</v>
      </c>
      <c r="J52" s="113">
        <f t="shared" si="14"/>
        <v>109605733.96000016</v>
      </c>
      <c r="K52" s="113">
        <v>176500629.10999995</v>
      </c>
      <c r="L52" s="113">
        <v>171482874.45000002</v>
      </c>
      <c r="M52" s="113">
        <v>68324726.770000011</v>
      </c>
      <c r="N52" s="113">
        <v>20799195.5</v>
      </c>
      <c r="O52" s="113">
        <v>4132816.13</v>
      </c>
      <c r="P52" s="58"/>
    </row>
    <row r="53" spans="2:16" ht="22.9" customHeight="1" x14ac:dyDescent="0.25">
      <c r="B53" s="84" t="str">
        <f t="shared" si="13"/>
        <v>15mil to 30 mil</v>
      </c>
      <c r="C53" s="85">
        <v>176</v>
      </c>
      <c r="D53" s="86">
        <v>1143118772.2400007</v>
      </c>
      <c r="E53" s="113">
        <f t="shared" si="15"/>
        <v>340175152.00000006</v>
      </c>
      <c r="F53" s="113">
        <v>266564623.87000006</v>
      </c>
      <c r="G53" s="86">
        <v>876554148.37000024</v>
      </c>
      <c r="H53" s="113">
        <v>73610528.13000001</v>
      </c>
      <c r="I53" s="114">
        <f t="shared" si="16"/>
        <v>802943620.24000025</v>
      </c>
      <c r="J53" s="113">
        <f t="shared" si="14"/>
        <v>191422815.75</v>
      </c>
      <c r="K53" s="113">
        <v>287794359.41000015</v>
      </c>
      <c r="L53" s="113">
        <v>234147969.74000001</v>
      </c>
      <c r="M53" s="113">
        <v>57724658.000000015</v>
      </c>
      <c r="N53" s="113">
        <v>17624544.48</v>
      </c>
      <c r="O53" s="113">
        <v>14229272.859999999</v>
      </c>
      <c r="P53" s="58"/>
    </row>
    <row r="54" spans="2:16" ht="22.9" customHeight="1" x14ac:dyDescent="0.25">
      <c r="B54" s="84" t="str">
        <f t="shared" si="13"/>
        <v>30mil to 60mil</v>
      </c>
      <c r="C54" s="85">
        <v>60</v>
      </c>
      <c r="D54" s="86">
        <v>432936376.09000003</v>
      </c>
      <c r="E54" s="113">
        <f t="shared" si="15"/>
        <v>123597859.39</v>
      </c>
      <c r="F54" s="113">
        <v>98611390.11999999</v>
      </c>
      <c r="G54" s="86">
        <v>334324985.96999997</v>
      </c>
      <c r="H54" s="113">
        <v>24986469.270000007</v>
      </c>
      <c r="I54" s="114">
        <f t="shared" si="16"/>
        <v>309338516.69999999</v>
      </c>
      <c r="J54" s="113">
        <f t="shared" si="14"/>
        <v>54180790.560000002</v>
      </c>
      <c r="K54" s="113">
        <v>105043343.95999999</v>
      </c>
      <c r="L54" s="113">
        <v>59701693.420000002</v>
      </c>
      <c r="M54" s="113">
        <v>29756547.120000001</v>
      </c>
      <c r="N54" s="113">
        <v>43139029.139999993</v>
      </c>
      <c r="O54" s="113">
        <v>17517112.5</v>
      </c>
      <c r="P54" s="58"/>
    </row>
    <row r="55" spans="2:16" ht="22.9" customHeight="1" x14ac:dyDescent="0.25">
      <c r="B55" s="84" t="str">
        <f t="shared" si="13"/>
        <v>60mil to 100mil</v>
      </c>
      <c r="C55" s="85">
        <v>20</v>
      </c>
      <c r="D55" s="86">
        <v>187583293.09999999</v>
      </c>
      <c r="E55" s="113">
        <f t="shared" si="15"/>
        <v>54125696.439999998</v>
      </c>
      <c r="F55" s="113">
        <v>44429840.18</v>
      </c>
      <c r="G55" s="86">
        <v>143153452.92000002</v>
      </c>
      <c r="H55" s="113">
        <v>9695856.2599999998</v>
      </c>
      <c r="I55" s="114">
        <f t="shared" si="16"/>
        <v>133457596.66000001</v>
      </c>
      <c r="J55" s="113">
        <f t="shared" si="14"/>
        <v>35293956.290000007</v>
      </c>
      <c r="K55" s="113">
        <v>81141329.969999999</v>
      </c>
      <c r="L55" s="113">
        <v>11487051.200000001</v>
      </c>
      <c r="M55" s="113">
        <v>0</v>
      </c>
      <c r="N55" s="113">
        <v>5535259.2000000002</v>
      </c>
      <c r="O55" s="113">
        <v>0</v>
      </c>
      <c r="P55" s="58"/>
    </row>
    <row r="56" spans="2:16" ht="22.9" customHeight="1" x14ac:dyDescent="0.25">
      <c r="B56" s="84" t="str">
        <f t="shared" si="13"/>
        <v>100mil++</v>
      </c>
      <c r="C56" s="85">
        <v>32</v>
      </c>
      <c r="D56" s="86">
        <v>225011040.15000001</v>
      </c>
      <c r="E56" s="113">
        <f t="shared" si="15"/>
        <v>61463506.809999995</v>
      </c>
      <c r="F56" s="113">
        <v>46828549.849999994</v>
      </c>
      <c r="G56" s="86">
        <v>178182490.29999995</v>
      </c>
      <c r="H56" s="113">
        <v>14634956.960000001</v>
      </c>
      <c r="I56" s="114">
        <f t="shared" si="16"/>
        <v>163547533.33999994</v>
      </c>
      <c r="J56" s="113">
        <f t="shared" si="14"/>
        <v>44070176.599999905</v>
      </c>
      <c r="K56" s="113">
        <v>45204962.070000008</v>
      </c>
      <c r="L56" s="113">
        <v>40697627.56000001</v>
      </c>
      <c r="M56" s="113">
        <v>33574767.110000007</v>
      </c>
      <c r="N56" s="113">
        <v>0</v>
      </c>
      <c r="O56" s="113">
        <v>0</v>
      </c>
      <c r="P56" s="58"/>
    </row>
    <row r="57" spans="2:16" ht="22.9" customHeight="1" x14ac:dyDescent="0.25">
      <c r="B57" s="108" t="s">
        <v>100</v>
      </c>
      <c r="C57" s="115">
        <f t="shared" ref="C57:L57" si="17">SUM(C50:C56)</f>
        <v>6240</v>
      </c>
      <c r="D57" s="116">
        <f t="shared" si="17"/>
        <v>14868585971.549984</v>
      </c>
      <c r="E57" s="117">
        <f t="shared" si="17"/>
        <v>3889411543.2900023</v>
      </c>
      <c r="F57" s="118">
        <f t="shared" si="17"/>
        <v>3497396668.0900025</v>
      </c>
      <c r="G57" s="116">
        <f t="shared" si="17"/>
        <v>11371378043.02401</v>
      </c>
      <c r="H57" s="118">
        <f t="shared" si="17"/>
        <v>392014875.19999993</v>
      </c>
      <c r="I57" s="116">
        <f t="shared" si="17"/>
        <v>10979363167.824011</v>
      </c>
      <c r="J57" s="118">
        <f t="shared" si="17"/>
        <v>1858588387.8439903</v>
      </c>
      <c r="K57" s="118">
        <f t="shared" si="17"/>
        <v>3264494856.7000165</v>
      </c>
      <c r="L57" s="116">
        <f t="shared" si="17"/>
        <v>2635126405.1399999</v>
      </c>
      <c r="M57" s="116">
        <f>SUM(M50:M56)</f>
        <v>2702069357.5700035</v>
      </c>
      <c r="N57" s="116">
        <f>SUM(N50:N56)</f>
        <v>430774445.90999997</v>
      </c>
      <c r="O57" s="116">
        <f>SUM(O50:O56)</f>
        <v>88309714.659999996</v>
      </c>
      <c r="P57" s="58"/>
    </row>
    <row r="58" spans="2:16" ht="22.9" customHeight="1" x14ac:dyDescent="0.25"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58"/>
    </row>
    <row r="59" spans="2:16" ht="22.9" customHeight="1" x14ac:dyDescent="0.25">
      <c r="B59" s="107" t="s">
        <v>90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58"/>
    </row>
    <row r="60" spans="2:16" ht="22.9" customHeight="1" x14ac:dyDescent="0.25">
      <c r="B60" s="108" t="s">
        <v>26</v>
      </c>
      <c r="C60" s="109" t="s">
        <v>28</v>
      </c>
      <c r="D60" s="110" t="s">
        <v>29</v>
      </c>
      <c r="E60" s="111" t="s">
        <v>85</v>
      </c>
      <c r="F60" s="112" t="s">
        <v>81</v>
      </c>
      <c r="G60" s="110" t="s">
        <v>82</v>
      </c>
      <c r="H60" s="112" t="s">
        <v>86</v>
      </c>
      <c r="I60" s="110" t="s">
        <v>87</v>
      </c>
      <c r="J60" s="112">
        <v>2026</v>
      </c>
      <c r="K60" s="112">
        <v>2027</v>
      </c>
      <c r="L60" s="110">
        <v>2028</v>
      </c>
      <c r="M60" s="112">
        <v>2029</v>
      </c>
      <c r="N60" s="110">
        <v>2030</v>
      </c>
      <c r="O60" s="112">
        <v>2031</v>
      </c>
      <c r="P60" s="58"/>
    </row>
    <row r="61" spans="2:16" ht="22.9" customHeight="1" x14ac:dyDescent="0.25">
      <c r="B61" s="84" t="str">
        <f t="shared" ref="B61:B67" si="18">B50</f>
        <v>less than 5mil</v>
      </c>
      <c r="C61" s="85">
        <v>4814</v>
      </c>
      <c r="D61" s="86">
        <v>8058319296.5000067</v>
      </c>
      <c r="E61" s="113">
        <f>F61+H61</f>
        <v>2772558243.0900021</v>
      </c>
      <c r="F61" s="113">
        <v>2644828187.8300018</v>
      </c>
      <c r="G61" s="86">
        <v>5413491108.6699924</v>
      </c>
      <c r="H61" s="113">
        <v>127730055.2600002</v>
      </c>
      <c r="I61" s="114">
        <f>G61-H61</f>
        <v>5285761053.4099922</v>
      </c>
      <c r="J61" s="113">
        <f t="shared" ref="J61:J67" si="19">MAX(I61-SUM(K61:O61),0)</f>
        <v>1102646154.8499765</v>
      </c>
      <c r="K61" s="113">
        <v>2288877349.7000146</v>
      </c>
      <c r="L61" s="113">
        <v>1116957362.4200008</v>
      </c>
      <c r="M61" s="113">
        <v>763155065.97000086</v>
      </c>
      <c r="N61" s="113">
        <v>13981120.469999997</v>
      </c>
      <c r="O61" s="113">
        <v>144000</v>
      </c>
      <c r="P61" s="58"/>
    </row>
    <row r="62" spans="2:16" ht="22.9" customHeight="1" x14ac:dyDescent="0.25">
      <c r="B62" s="84" t="str">
        <f t="shared" si="18"/>
        <v>5mil to 10mil</v>
      </c>
      <c r="C62" s="85">
        <v>422</v>
      </c>
      <c r="D62" s="86">
        <v>1569110265.78</v>
      </c>
      <c r="E62" s="113">
        <f t="shared" ref="E62:E67" si="20">F62+H62</f>
        <v>572222143.40000021</v>
      </c>
      <c r="F62" s="113">
        <v>532354769.19000018</v>
      </c>
      <c r="G62" s="86">
        <v>1036755496.59</v>
      </c>
      <c r="H62" s="113">
        <v>39867374.209999986</v>
      </c>
      <c r="I62" s="114">
        <f t="shared" ref="I62:I67" si="21">G62-H62</f>
        <v>996888122.38</v>
      </c>
      <c r="J62" s="113">
        <f t="shared" si="19"/>
        <v>268451329.1500001</v>
      </c>
      <c r="K62" s="113">
        <v>473659413.63</v>
      </c>
      <c r="L62" s="113">
        <v>164439229.52999997</v>
      </c>
      <c r="M62" s="113">
        <v>87361746.549999982</v>
      </c>
      <c r="N62" s="113">
        <v>1545580.51</v>
      </c>
      <c r="O62" s="113">
        <v>1430823.01</v>
      </c>
      <c r="P62" s="58"/>
    </row>
    <row r="63" spans="2:16" ht="22.9" customHeight="1" x14ac:dyDescent="0.25">
      <c r="B63" s="84" t="str">
        <f t="shared" si="18"/>
        <v>10mil to 15mil</v>
      </c>
      <c r="C63" s="85">
        <v>131</v>
      </c>
      <c r="D63" s="86">
        <v>606385578.03999996</v>
      </c>
      <c r="E63" s="113">
        <f t="shared" si="20"/>
        <v>213899327.93999994</v>
      </c>
      <c r="F63" s="113">
        <v>210118892.35999992</v>
      </c>
      <c r="G63" s="86">
        <v>396266685.68000001</v>
      </c>
      <c r="H63" s="113">
        <v>3780435.5799999987</v>
      </c>
      <c r="I63" s="114">
        <f t="shared" si="21"/>
        <v>392486250.10000002</v>
      </c>
      <c r="J63" s="113">
        <f t="shared" si="19"/>
        <v>124561168.74000001</v>
      </c>
      <c r="K63" s="113">
        <v>169449642.21000001</v>
      </c>
      <c r="L63" s="113">
        <v>83021915.160000011</v>
      </c>
      <c r="M63" s="113">
        <v>15453523.989999998</v>
      </c>
      <c r="N63" s="113">
        <v>0</v>
      </c>
      <c r="O63" s="113">
        <v>0</v>
      </c>
      <c r="P63" s="58"/>
    </row>
    <row r="64" spans="2:16" ht="22.9" customHeight="1" x14ac:dyDescent="0.25">
      <c r="B64" s="84" t="str">
        <f t="shared" si="18"/>
        <v>15mil to 30 mil</v>
      </c>
      <c r="C64" s="85">
        <v>133</v>
      </c>
      <c r="D64" s="86">
        <v>887562860.25999999</v>
      </c>
      <c r="E64" s="113">
        <f t="shared" si="20"/>
        <v>330994588.30999994</v>
      </c>
      <c r="F64" s="113">
        <v>302210114.93999994</v>
      </c>
      <c r="G64" s="86">
        <v>585352745.32000017</v>
      </c>
      <c r="H64" s="113">
        <v>28784473.369999994</v>
      </c>
      <c r="I64" s="114">
        <f t="shared" si="21"/>
        <v>556568271.95000017</v>
      </c>
      <c r="J64" s="113">
        <f t="shared" si="19"/>
        <v>141979755.07000005</v>
      </c>
      <c r="K64" s="113">
        <v>265072853.86000007</v>
      </c>
      <c r="L64" s="113">
        <v>129589012.05</v>
      </c>
      <c r="M64" s="113">
        <v>9919430.9699999988</v>
      </c>
      <c r="N64" s="113">
        <v>2501805</v>
      </c>
      <c r="O64" s="113">
        <v>7505415</v>
      </c>
      <c r="P64" s="58"/>
    </row>
    <row r="65" spans="2:16" ht="22.9" customHeight="1" x14ac:dyDescent="0.25">
      <c r="B65" s="84" t="str">
        <f t="shared" si="18"/>
        <v>30mil to 60mil</v>
      </c>
      <c r="C65" s="85">
        <v>65</v>
      </c>
      <c r="D65" s="86">
        <v>395659709.12000012</v>
      </c>
      <c r="E65" s="113">
        <f t="shared" si="20"/>
        <v>144504323.92999998</v>
      </c>
      <c r="F65" s="113">
        <v>139988174.71999997</v>
      </c>
      <c r="G65" s="86">
        <v>255671534.39999986</v>
      </c>
      <c r="H65" s="113">
        <v>4516149.21</v>
      </c>
      <c r="I65" s="114">
        <f t="shared" si="21"/>
        <v>251155385.18999985</v>
      </c>
      <c r="J65" s="113">
        <f t="shared" si="19"/>
        <v>69515313.859999895</v>
      </c>
      <c r="K65" s="113">
        <v>126767166.07999998</v>
      </c>
      <c r="L65" s="113">
        <v>49392280.209999993</v>
      </c>
      <c r="M65" s="113">
        <v>5480625.04</v>
      </c>
      <c r="N65" s="113">
        <v>0</v>
      </c>
      <c r="O65" s="113">
        <v>0</v>
      </c>
      <c r="P65" s="58"/>
    </row>
    <row r="66" spans="2:16" ht="22.9" customHeight="1" x14ac:dyDescent="0.25">
      <c r="B66" s="84" t="str">
        <f t="shared" si="18"/>
        <v>60mil to 100mil</v>
      </c>
      <c r="C66" s="85">
        <v>7</v>
      </c>
      <c r="D66" s="86">
        <v>77755398.349999994</v>
      </c>
      <c r="E66" s="113">
        <f t="shared" si="20"/>
        <v>29934213.699999999</v>
      </c>
      <c r="F66" s="113">
        <v>24486862.469999999</v>
      </c>
      <c r="G66" s="86">
        <v>53268535.880000003</v>
      </c>
      <c r="H66" s="113">
        <v>5447351.2299999995</v>
      </c>
      <c r="I66" s="114">
        <f t="shared" si="21"/>
        <v>47821184.650000006</v>
      </c>
      <c r="J66" s="113">
        <f t="shared" si="19"/>
        <v>14691718.25</v>
      </c>
      <c r="K66" s="113">
        <v>28429664.260000005</v>
      </c>
      <c r="L66" s="113">
        <v>4699802.1399999997</v>
      </c>
      <c r="M66" s="113">
        <v>0</v>
      </c>
      <c r="N66" s="113">
        <v>0</v>
      </c>
      <c r="O66" s="113">
        <v>0</v>
      </c>
      <c r="P66" s="58"/>
    </row>
    <row r="67" spans="2:16" ht="22.9" customHeight="1" x14ac:dyDescent="0.25">
      <c r="B67" s="84" t="str">
        <f t="shared" si="18"/>
        <v>100mil++</v>
      </c>
      <c r="C67" s="85">
        <v>34</v>
      </c>
      <c r="D67" s="86">
        <v>154900196.70999998</v>
      </c>
      <c r="E67" s="113">
        <f t="shared" si="20"/>
        <v>61213990.769999981</v>
      </c>
      <c r="F67" s="113">
        <v>61213986.829999983</v>
      </c>
      <c r="G67" s="86">
        <v>93686209.879999951</v>
      </c>
      <c r="H67" s="113">
        <v>3.94</v>
      </c>
      <c r="I67" s="114">
        <f t="shared" si="21"/>
        <v>93686205.939999953</v>
      </c>
      <c r="J67" s="113">
        <f t="shared" si="19"/>
        <v>89209628.339999959</v>
      </c>
      <c r="K67" s="113">
        <v>2388979.8200000003</v>
      </c>
      <c r="L67" s="113">
        <v>417519.56</v>
      </c>
      <c r="M67" s="113">
        <v>1670078.22</v>
      </c>
      <c r="N67" s="113">
        <v>0</v>
      </c>
      <c r="O67" s="113">
        <v>0</v>
      </c>
      <c r="P67" s="58"/>
    </row>
    <row r="68" spans="2:16" ht="22.9" customHeight="1" x14ac:dyDescent="0.25">
      <c r="B68" s="108" t="s">
        <v>100</v>
      </c>
      <c r="C68" s="115">
        <f t="shared" ref="C68:L68" si="22">SUM(C61:C67)</f>
        <v>5606</v>
      </c>
      <c r="D68" s="116">
        <f t="shared" si="22"/>
        <v>11749693304.760008</v>
      </c>
      <c r="E68" s="117">
        <f t="shared" si="22"/>
        <v>4125326831.1400018</v>
      </c>
      <c r="F68" s="118">
        <f t="shared" si="22"/>
        <v>3915200988.3400016</v>
      </c>
      <c r="G68" s="116">
        <f t="shared" si="22"/>
        <v>7834492316.4199924</v>
      </c>
      <c r="H68" s="118">
        <f t="shared" si="22"/>
        <v>210125842.80000019</v>
      </c>
      <c r="I68" s="116">
        <f t="shared" si="22"/>
        <v>7624366473.6199913</v>
      </c>
      <c r="J68" s="118">
        <f t="shared" si="22"/>
        <v>1811055068.2599764</v>
      </c>
      <c r="K68" s="118">
        <f t="shared" si="22"/>
        <v>3354645069.5600152</v>
      </c>
      <c r="L68" s="116">
        <f t="shared" si="22"/>
        <v>1548517121.0700009</v>
      </c>
      <c r="M68" s="116">
        <f>SUM(M61:M67)</f>
        <v>883040470.74000084</v>
      </c>
      <c r="N68" s="116">
        <f>SUM(N61:N67)</f>
        <v>18028505.979999997</v>
      </c>
      <c r="O68" s="116">
        <f>SUM(O61:O67)</f>
        <v>9080238.0099999998</v>
      </c>
      <c r="P68" s="58"/>
    </row>
    <row r="69" spans="2:16" ht="22.9" customHeight="1" x14ac:dyDescent="0.25">
      <c r="B69" s="107" t="s">
        <v>91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58"/>
    </row>
    <row r="70" spans="2:16" ht="22.9" customHeight="1" x14ac:dyDescent="0.25">
      <c r="B70" s="108" t="s">
        <v>26</v>
      </c>
      <c r="C70" s="109" t="s">
        <v>28</v>
      </c>
      <c r="D70" s="110" t="s">
        <v>29</v>
      </c>
      <c r="E70" s="111" t="s">
        <v>85</v>
      </c>
      <c r="F70" s="112" t="s">
        <v>81</v>
      </c>
      <c r="G70" s="110" t="s">
        <v>82</v>
      </c>
      <c r="H70" s="112" t="s">
        <v>86</v>
      </c>
      <c r="I70" s="110" t="s">
        <v>87</v>
      </c>
      <c r="J70" s="112"/>
      <c r="K70" s="112"/>
      <c r="L70" s="110"/>
      <c r="M70" s="112">
        <v>2029</v>
      </c>
      <c r="N70" s="110">
        <v>2030</v>
      </c>
      <c r="O70" s="112">
        <v>2031</v>
      </c>
      <c r="P70" s="58"/>
    </row>
    <row r="71" spans="2:16" ht="22.9" customHeight="1" x14ac:dyDescent="0.25">
      <c r="B71" s="84" t="str">
        <f t="shared" ref="B71:B77" si="23">B61</f>
        <v>less than 5mil</v>
      </c>
      <c r="C71" s="85">
        <v>6752</v>
      </c>
      <c r="D71" s="86">
        <v>12085966397.869898</v>
      </c>
      <c r="E71" s="113">
        <f>F71+H71</f>
        <v>6149063197.9699783</v>
      </c>
      <c r="F71" s="113">
        <v>5947773554.8999786</v>
      </c>
      <c r="G71" s="86">
        <v>6138343442.9700184</v>
      </c>
      <c r="H71" s="113">
        <v>201289643.06999967</v>
      </c>
      <c r="I71" s="114">
        <f>G71-H71</f>
        <v>5937053799.9000187</v>
      </c>
      <c r="J71" s="113">
        <f t="shared" ref="J71:J77" si="24">MAX(I71-SUM(K71:O71),0)</f>
        <v>2419685167.0900197</v>
      </c>
      <c r="K71" s="113">
        <v>2723016255.7999983</v>
      </c>
      <c r="L71" s="113">
        <v>580733773.30000079</v>
      </c>
      <c r="M71" s="113">
        <v>210279102.99000007</v>
      </c>
      <c r="N71" s="113">
        <v>3339500.7199999997</v>
      </c>
      <c r="O71" s="113">
        <v>0</v>
      </c>
      <c r="P71" s="58"/>
    </row>
    <row r="72" spans="2:16" ht="22.9" customHeight="1" x14ac:dyDescent="0.25">
      <c r="B72" s="84" t="str">
        <f t="shared" si="23"/>
        <v>5mil to 10mil</v>
      </c>
      <c r="C72" s="85">
        <v>793</v>
      </c>
      <c r="D72" s="86">
        <v>2963866108.0200043</v>
      </c>
      <c r="E72" s="113">
        <f t="shared" ref="E72:E77" si="25">F72+H72</f>
        <v>1558468058.5900006</v>
      </c>
      <c r="F72" s="113">
        <v>1493474741.1300006</v>
      </c>
      <c r="G72" s="86">
        <v>1470391366.8899996</v>
      </c>
      <c r="H72" s="113">
        <v>64993317.460000031</v>
      </c>
      <c r="I72" s="114">
        <f t="shared" ref="I72:I77" si="26">G72-H72</f>
        <v>1405398049.4299996</v>
      </c>
      <c r="J72" s="113">
        <f t="shared" si="24"/>
        <v>633191776.17000008</v>
      </c>
      <c r="K72" s="113">
        <v>689131187.58999956</v>
      </c>
      <c r="L72" s="113">
        <v>68892729.270000011</v>
      </c>
      <c r="M72" s="113">
        <v>14182356.399999999</v>
      </c>
      <c r="N72" s="113">
        <v>0</v>
      </c>
      <c r="O72" s="113">
        <v>0</v>
      </c>
      <c r="P72" s="58"/>
    </row>
    <row r="73" spans="2:16" ht="22.9" customHeight="1" x14ac:dyDescent="0.25">
      <c r="B73" s="84" t="str">
        <f t="shared" si="23"/>
        <v>10mil to 15mil</v>
      </c>
      <c r="C73" s="85">
        <v>273</v>
      </c>
      <c r="D73" s="86">
        <v>1288168674.589999</v>
      </c>
      <c r="E73" s="113">
        <f t="shared" si="25"/>
        <v>683749949.1500001</v>
      </c>
      <c r="F73" s="113">
        <v>652039033.58000004</v>
      </c>
      <c r="G73" s="86">
        <v>636129641.00999999</v>
      </c>
      <c r="H73" s="113">
        <v>31710915.569999997</v>
      </c>
      <c r="I73" s="114">
        <f t="shared" si="26"/>
        <v>604418725.43999994</v>
      </c>
      <c r="J73" s="113">
        <f t="shared" si="24"/>
        <v>261129407.07000005</v>
      </c>
      <c r="K73" s="113">
        <v>284796385.96999991</v>
      </c>
      <c r="L73" s="113">
        <v>49949012.719999991</v>
      </c>
      <c r="M73" s="113">
        <v>8543919.6799999997</v>
      </c>
      <c r="N73" s="113">
        <v>0</v>
      </c>
      <c r="O73" s="113">
        <v>0</v>
      </c>
      <c r="P73" s="58"/>
    </row>
    <row r="74" spans="2:16" ht="22.9" customHeight="1" x14ac:dyDescent="0.25">
      <c r="B74" s="84" t="str">
        <f t="shared" si="23"/>
        <v>15mil to 30 mil</v>
      </c>
      <c r="C74" s="85">
        <v>367</v>
      </c>
      <c r="D74" s="86">
        <v>1630252162.6199996</v>
      </c>
      <c r="E74" s="113">
        <f t="shared" si="25"/>
        <v>842772430.77000093</v>
      </c>
      <c r="F74" s="113">
        <v>814428313.09000099</v>
      </c>
      <c r="G74" s="86">
        <v>815823849.53000033</v>
      </c>
      <c r="H74" s="113">
        <v>28344117.680000007</v>
      </c>
      <c r="I74" s="114">
        <f t="shared" si="26"/>
        <v>787479731.85000038</v>
      </c>
      <c r="J74" s="113">
        <f t="shared" si="24"/>
        <v>391818060.87000048</v>
      </c>
      <c r="K74" s="113">
        <v>336127877.39999992</v>
      </c>
      <c r="L74" s="113">
        <v>50176644.969999999</v>
      </c>
      <c r="M74" s="113">
        <v>9357148.6099999994</v>
      </c>
      <c r="N74" s="113">
        <v>0</v>
      </c>
      <c r="O74" s="113">
        <v>0</v>
      </c>
      <c r="P74" s="58"/>
    </row>
    <row r="75" spans="2:16" ht="22.9" customHeight="1" x14ac:dyDescent="0.25">
      <c r="B75" s="84" t="str">
        <f t="shared" si="23"/>
        <v>30mil to 60mil</v>
      </c>
      <c r="C75" s="85">
        <v>160</v>
      </c>
      <c r="D75" s="86">
        <v>808386914.42999995</v>
      </c>
      <c r="E75" s="113">
        <f t="shared" si="25"/>
        <v>404136953.25999999</v>
      </c>
      <c r="F75" s="113">
        <v>398868668.61000001</v>
      </c>
      <c r="G75" s="86">
        <v>409518245.82000005</v>
      </c>
      <c r="H75" s="113">
        <v>5268284.6500000013</v>
      </c>
      <c r="I75" s="114">
        <f t="shared" si="26"/>
        <v>404249961.17000008</v>
      </c>
      <c r="J75" s="113">
        <f t="shared" si="24"/>
        <v>154605308.23000014</v>
      </c>
      <c r="K75" s="113">
        <v>191402948.13999996</v>
      </c>
      <c r="L75" s="113">
        <v>57342048.160000004</v>
      </c>
      <c r="M75" s="113">
        <v>899656.64</v>
      </c>
      <c r="N75" s="113">
        <v>0</v>
      </c>
      <c r="O75" s="113">
        <v>0</v>
      </c>
      <c r="P75" s="58"/>
    </row>
    <row r="76" spans="2:16" ht="22.9" customHeight="1" x14ac:dyDescent="0.25">
      <c r="B76" s="84" t="str">
        <f t="shared" si="23"/>
        <v>60mil to 100mil</v>
      </c>
      <c r="C76" s="85">
        <v>48</v>
      </c>
      <c r="D76" s="86">
        <v>393695643.25999999</v>
      </c>
      <c r="E76" s="113">
        <f t="shared" si="25"/>
        <v>203807569.97</v>
      </c>
      <c r="F76" s="113">
        <v>195132452.96000001</v>
      </c>
      <c r="G76" s="86">
        <v>198563190.30000001</v>
      </c>
      <c r="H76" s="113">
        <v>8675117.0099999998</v>
      </c>
      <c r="I76" s="114">
        <f t="shared" si="26"/>
        <v>189888073.29000002</v>
      </c>
      <c r="J76" s="113">
        <f t="shared" si="24"/>
        <v>142941624.88000003</v>
      </c>
      <c r="K76" s="113">
        <v>38154134.709999993</v>
      </c>
      <c r="L76" s="113">
        <v>8792313.6999999993</v>
      </c>
      <c r="M76" s="113">
        <v>0</v>
      </c>
      <c r="N76" s="113">
        <v>0</v>
      </c>
      <c r="O76" s="113">
        <v>0</v>
      </c>
      <c r="P76" s="58"/>
    </row>
    <row r="77" spans="2:16" ht="22.9" customHeight="1" x14ac:dyDescent="0.25">
      <c r="B77" s="84" t="str">
        <f t="shared" si="23"/>
        <v>100mil++</v>
      </c>
      <c r="C77" s="85">
        <v>47</v>
      </c>
      <c r="D77" s="86">
        <v>440951426.41999996</v>
      </c>
      <c r="E77" s="113">
        <f t="shared" si="25"/>
        <v>250703181.09000003</v>
      </c>
      <c r="F77" s="113">
        <v>244014063.62000003</v>
      </c>
      <c r="G77" s="86">
        <v>196937362.79999998</v>
      </c>
      <c r="H77" s="113">
        <v>6689117.4699999997</v>
      </c>
      <c r="I77" s="114">
        <f t="shared" si="26"/>
        <v>190248245.32999998</v>
      </c>
      <c r="J77" s="113">
        <f t="shared" si="24"/>
        <v>120772256.78999999</v>
      </c>
      <c r="K77" s="113">
        <v>56144611.759999998</v>
      </c>
      <c r="L77" s="113">
        <v>13331376.780000001</v>
      </c>
      <c r="M77" s="113">
        <v>0</v>
      </c>
      <c r="N77" s="113">
        <v>0</v>
      </c>
      <c r="O77" s="113">
        <v>0</v>
      </c>
      <c r="P77" s="58"/>
    </row>
    <row r="78" spans="2:16" ht="22.9" customHeight="1" x14ac:dyDescent="0.25">
      <c r="B78" s="108" t="s">
        <v>100</v>
      </c>
      <c r="C78" s="115">
        <f t="shared" ref="C78:L78" si="27">SUM(C71:C77)</f>
        <v>8440</v>
      </c>
      <c r="D78" s="116">
        <f t="shared" si="27"/>
        <v>19611287327.209896</v>
      </c>
      <c r="E78" s="117">
        <f t="shared" si="27"/>
        <v>10092701340.799978</v>
      </c>
      <c r="F78" s="118">
        <f t="shared" si="27"/>
        <v>9745730827.8899803</v>
      </c>
      <c r="G78" s="116">
        <f t="shared" si="27"/>
        <v>9865707099.3200169</v>
      </c>
      <c r="H78" s="118">
        <f t="shared" si="27"/>
        <v>346970512.90999973</v>
      </c>
      <c r="I78" s="116">
        <f t="shared" si="27"/>
        <v>9518736586.4100189</v>
      </c>
      <c r="J78" s="118">
        <f t="shared" si="27"/>
        <v>4124143601.1000204</v>
      </c>
      <c r="K78" s="118">
        <f t="shared" si="27"/>
        <v>4318773401.369998</v>
      </c>
      <c r="L78" s="116">
        <f t="shared" si="27"/>
        <v>829217898.90000081</v>
      </c>
      <c r="M78" s="116">
        <f>SUM(M71:M77)</f>
        <v>243262184.32000005</v>
      </c>
      <c r="N78" s="116">
        <f>SUM(N71:N77)</f>
        <v>3339500.7199999997</v>
      </c>
      <c r="O78" s="116">
        <f>SUM(O71:O77)</f>
        <v>0</v>
      </c>
      <c r="P78" s="58"/>
    </row>
    <row r="79" spans="2:16" ht="22.9" customHeight="1" x14ac:dyDescent="0.25"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58"/>
    </row>
    <row r="80" spans="2:16" ht="22.9" customHeight="1" x14ac:dyDescent="0.25">
      <c r="B80" s="107" t="s">
        <v>92</v>
      </c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58"/>
    </row>
    <row r="81" spans="2:16" ht="22.9" customHeight="1" x14ac:dyDescent="0.25">
      <c r="B81" s="108" t="s">
        <v>26</v>
      </c>
      <c r="C81" s="109" t="s">
        <v>28</v>
      </c>
      <c r="D81" s="110" t="s">
        <v>29</v>
      </c>
      <c r="E81" s="111" t="s">
        <v>85</v>
      </c>
      <c r="F81" s="112" t="s">
        <v>81</v>
      </c>
      <c r="G81" s="110" t="s">
        <v>82</v>
      </c>
      <c r="H81" s="112" t="s">
        <v>86</v>
      </c>
      <c r="I81" s="110" t="s">
        <v>87</v>
      </c>
      <c r="J81" s="112">
        <v>2026</v>
      </c>
      <c r="K81" s="112">
        <v>2027</v>
      </c>
      <c r="L81" s="110">
        <v>2028</v>
      </c>
      <c r="M81" s="112">
        <v>2029</v>
      </c>
      <c r="N81" s="110">
        <v>2030</v>
      </c>
      <c r="O81" s="112">
        <v>2031</v>
      </c>
      <c r="P81" s="58"/>
    </row>
    <row r="82" spans="2:16" ht="22.9" customHeight="1" x14ac:dyDescent="0.25">
      <c r="B82" s="84" t="str">
        <f t="shared" ref="B82:B88" si="28">B71</f>
        <v>less than 5mil</v>
      </c>
      <c r="C82" s="85">
        <v>9699</v>
      </c>
      <c r="D82" s="86">
        <v>16549953027.730074</v>
      </c>
      <c r="E82" s="113">
        <f>F82+H82</f>
        <v>13677720766.180029</v>
      </c>
      <c r="F82" s="113">
        <v>13596557203.280029</v>
      </c>
      <c r="G82" s="86">
        <v>3026177052.4914985</v>
      </c>
      <c r="H82" s="113">
        <v>81163562.900000021</v>
      </c>
      <c r="I82" s="114">
        <f>G82-H82</f>
        <v>2945013489.5914984</v>
      </c>
      <c r="J82" s="113">
        <f t="shared" ref="J82:J88" si="29">MAX(I82-SUM(K82:O82),0)</f>
        <v>1965798722.1714964</v>
      </c>
      <c r="K82" s="113">
        <v>875618602.29000175</v>
      </c>
      <c r="L82" s="113">
        <v>88057957.64000012</v>
      </c>
      <c r="M82" s="113">
        <v>15433212.449999997</v>
      </c>
      <c r="N82" s="113">
        <v>104995.04</v>
      </c>
      <c r="O82" s="113">
        <v>0</v>
      </c>
      <c r="P82" s="58"/>
    </row>
    <row r="83" spans="2:16" ht="22.9" customHeight="1" x14ac:dyDescent="0.25">
      <c r="B83" s="84" t="str">
        <f t="shared" si="28"/>
        <v>5mil to 10mil</v>
      </c>
      <c r="C83" s="85">
        <v>1232</v>
      </c>
      <c r="D83" s="86">
        <v>4631059628.8900003</v>
      </c>
      <c r="E83" s="113">
        <f t="shared" ref="E83:E88" si="30">F83+H83</f>
        <v>3813657521.6999993</v>
      </c>
      <c r="F83" s="113">
        <v>3786351816.3099995</v>
      </c>
      <c r="G83" s="86">
        <v>865565768.05999994</v>
      </c>
      <c r="H83" s="113">
        <v>27305705.389999971</v>
      </c>
      <c r="I83" s="114">
        <f t="shared" ref="I83:I88" si="31">G83-H83</f>
        <v>838260062.66999996</v>
      </c>
      <c r="J83" s="113">
        <f t="shared" si="29"/>
        <v>550390020.2900002</v>
      </c>
      <c r="K83" s="113">
        <v>262584004.9399997</v>
      </c>
      <c r="L83" s="113">
        <v>22934992.859999999</v>
      </c>
      <c r="M83" s="113">
        <v>2351044.58</v>
      </c>
      <c r="N83" s="113">
        <v>0</v>
      </c>
      <c r="O83" s="113">
        <v>0</v>
      </c>
      <c r="P83" s="58"/>
    </row>
    <row r="84" spans="2:16" ht="22.9" customHeight="1" x14ac:dyDescent="0.25">
      <c r="B84" s="84" t="str">
        <f t="shared" si="28"/>
        <v>10mil to 15mil</v>
      </c>
      <c r="C84" s="85">
        <v>436</v>
      </c>
      <c r="D84" s="86">
        <v>1889251565.8200014</v>
      </c>
      <c r="E84" s="113">
        <f t="shared" si="30"/>
        <v>1611747573.8999994</v>
      </c>
      <c r="F84" s="113">
        <v>1591717984.0499995</v>
      </c>
      <c r="G84" s="86">
        <v>308343618.63000029</v>
      </c>
      <c r="H84" s="113">
        <v>20029589.850000009</v>
      </c>
      <c r="I84" s="114">
        <f t="shared" si="31"/>
        <v>288314028.78000027</v>
      </c>
      <c r="J84" s="113">
        <f t="shared" si="29"/>
        <v>186862248.65000027</v>
      </c>
      <c r="K84" s="113">
        <v>97293697.689999998</v>
      </c>
      <c r="L84" s="113">
        <v>4158082.4400000013</v>
      </c>
      <c r="M84" s="113">
        <v>0</v>
      </c>
      <c r="N84" s="113">
        <v>0</v>
      </c>
      <c r="O84" s="113">
        <v>0</v>
      </c>
      <c r="P84" s="58"/>
    </row>
    <row r="85" spans="2:16" ht="22.9" customHeight="1" x14ac:dyDescent="0.25">
      <c r="B85" s="84" t="str">
        <f t="shared" si="28"/>
        <v>15mil to 30 mil</v>
      </c>
      <c r="C85" s="85">
        <v>599</v>
      </c>
      <c r="D85" s="86">
        <v>4420687997.8199959</v>
      </c>
      <c r="E85" s="113">
        <f t="shared" si="30"/>
        <v>3960138841.1800017</v>
      </c>
      <c r="F85" s="113">
        <v>3939075247.8700018</v>
      </c>
      <c r="G85" s="86">
        <v>498823223.24000025</v>
      </c>
      <c r="H85" s="113">
        <v>21063593.309999999</v>
      </c>
      <c r="I85" s="114">
        <f t="shared" si="31"/>
        <v>477759629.93000025</v>
      </c>
      <c r="J85" s="113">
        <f t="shared" si="29"/>
        <v>352510500.54000032</v>
      </c>
      <c r="K85" s="113">
        <v>117572233.86999996</v>
      </c>
      <c r="L85" s="113">
        <v>7676895.5199999977</v>
      </c>
      <c r="M85" s="113">
        <v>0</v>
      </c>
      <c r="N85" s="113">
        <v>0</v>
      </c>
      <c r="O85" s="113">
        <v>0</v>
      </c>
      <c r="P85" s="58"/>
    </row>
    <row r="86" spans="2:16" ht="22.9" customHeight="1" x14ac:dyDescent="0.25">
      <c r="B86" s="84" t="str">
        <f t="shared" si="28"/>
        <v>30mil to 60mil</v>
      </c>
      <c r="C86" s="85">
        <v>324</v>
      </c>
      <c r="D86" s="86">
        <v>1836552493.0000007</v>
      </c>
      <c r="E86" s="113">
        <f t="shared" si="30"/>
        <v>1639937418.7099998</v>
      </c>
      <c r="F86" s="113">
        <v>1618162437.0799999</v>
      </c>
      <c r="G86" s="86">
        <v>223358786.59000003</v>
      </c>
      <c r="H86" s="113">
        <v>21774981.629999992</v>
      </c>
      <c r="I86" s="114">
        <f t="shared" si="31"/>
        <v>201583804.96000004</v>
      </c>
      <c r="J86" s="113">
        <f t="shared" si="29"/>
        <v>167592510.56000003</v>
      </c>
      <c r="K86" s="113">
        <v>32174438.630000003</v>
      </c>
      <c r="L86" s="113">
        <v>1816853.23</v>
      </c>
      <c r="M86" s="113">
        <v>2.5400000000000005</v>
      </c>
      <c r="N86" s="113">
        <v>0</v>
      </c>
      <c r="O86" s="113">
        <v>0</v>
      </c>
      <c r="P86" s="58"/>
    </row>
    <row r="87" spans="2:16" ht="22.9" customHeight="1" x14ac:dyDescent="0.25">
      <c r="B87" s="84" t="str">
        <f t="shared" si="28"/>
        <v>60mil to 100mil</v>
      </c>
      <c r="C87" s="85">
        <v>87</v>
      </c>
      <c r="D87" s="86">
        <v>622479169.34000015</v>
      </c>
      <c r="E87" s="113">
        <f t="shared" si="30"/>
        <v>547432811.16999996</v>
      </c>
      <c r="F87" s="113">
        <v>539206883.37</v>
      </c>
      <c r="G87" s="86">
        <v>88927070.650000006</v>
      </c>
      <c r="H87" s="113">
        <v>8225927.7999999998</v>
      </c>
      <c r="I87" s="114">
        <f t="shared" si="31"/>
        <v>80701142.850000009</v>
      </c>
      <c r="J87" s="113">
        <f t="shared" si="29"/>
        <v>76575500.820000008</v>
      </c>
      <c r="K87" s="113">
        <v>3574502.98</v>
      </c>
      <c r="L87" s="113">
        <v>551139.05000000005</v>
      </c>
      <c r="M87" s="113">
        <v>0</v>
      </c>
      <c r="N87" s="113">
        <v>0</v>
      </c>
      <c r="O87" s="113">
        <v>0</v>
      </c>
      <c r="P87" s="58"/>
    </row>
    <row r="88" spans="2:16" ht="22.9" customHeight="1" x14ac:dyDescent="0.25">
      <c r="B88" s="84" t="str">
        <f t="shared" si="28"/>
        <v>100mil++</v>
      </c>
      <c r="C88" s="85">
        <v>96</v>
      </c>
      <c r="D88" s="86">
        <v>675441829</v>
      </c>
      <c r="E88" s="113">
        <f t="shared" si="30"/>
        <v>548635838.72999978</v>
      </c>
      <c r="F88" s="113">
        <v>540075587.9599998</v>
      </c>
      <c r="G88" s="86">
        <v>136203693.91</v>
      </c>
      <c r="H88" s="113">
        <v>8560250.7699999996</v>
      </c>
      <c r="I88" s="114">
        <f t="shared" si="31"/>
        <v>127643443.14</v>
      </c>
      <c r="J88" s="113">
        <f t="shared" si="29"/>
        <v>105182923.68000001</v>
      </c>
      <c r="K88" s="113">
        <v>20351191.580000002</v>
      </c>
      <c r="L88" s="113">
        <v>2109327.88</v>
      </c>
      <c r="M88" s="113">
        <v>0</v>
      </c>
      <c r="N88" s="113">
        <v>0</v>
      </c>
      <c r="O88" s="113">
        <v>0</v>
      </c>
      <c r="P88" s="58"/>
    </row>
    <row r="89" spans="2:16" ht="22.9" customHeight="1" x14ac:dyDescent="0.25">
      <c r="B89" s="108" t="s">
        <v>100</v>
      </c>
      <c r="C89" s="115">
        <f t="shared" ref="C89:L89" si="32">SUM(C82:C88)</f>
        <v>12473</v>
      </c>
      <c r="D89" s="116">
        <f t="shared" si="32"/>
        <v>30625425711.600071</v>
      </c>
      <c r="E89" s="117">
        <f t="shared" si="32"/>
        <v>25799270771.570023</v>
      </c>
      <c r="F89" s="118">
        <f t="shared" si="32"/>
        <v>25611147159.920025</v>
      </c>
      <c r="G89" s="116">
        <f t="shared" si="32"/>
        <v>5147399213.5714989</v>
      </c>
      <c r="H89" s="118">
        <f t="shared" si="32"/>
        <v>188123611.65000001</v>
      </c>
      <c r="I89" s="116">
        <f t="shared" si="32"/>
        <v>4959275601.9214993</v>
      </c>
      <c r="J89" s="118">
        <f t="shared" si="32"/>
        <v>3404912426.7114968</v>
      </c>
      <c r="K89" s="118">
        <f t="shared" si="32"/>
        <v>1409168671.9800014</v>
      </c>
      <c r="L89" s="116">
        <f t="shared" si="32"/>
        <v>127305248.62000011</v>
      </c>
      <c r="M89" s="116">
        <f>SUM(M82:M88)</f>
        <v>17784259.569999997</v>
      </c>
      <c r="N89" s="116">
        <f>SUM(N82:N88)</f>
        <v>104995.04</v>
      </c>
      <c r="O89" s="116">
        <f>SUM(O82:O88)</f>
        <v>0</v>
      </c>
      <c r="P89" s="58"/>
    </row>
    <row r="90" spans="2:16" x14ac:dyDescent="0.25"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71"/>
    </row>
    <row r="91" spans="2:16" x14ac:dyDescent="0.25">
      <c r="I91" s="71"/>
      <c r="J91" s="71"/>
      <c r="P91" s="71"/>
    </row>
    <row r="92" spans="2:16" x14ac:dyDescent="0.25"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</row>
    <row r="93" spans="2:16" x14ac:dyDescent="0.25">
      <c r="J93" s="58"/>
    </row>
    <row r="99" spans="6:6" x14ac:dyDescent="0.25">
      <c r="F99" t="s">
        <v>101</v>
      </c>
    </row>
  </sheetData>
  <mergeCells count="13">
    <mergeCell ref="P10:S10"/>
    <mergeCell ref="C16:D16"/>
    <mergeCell ref="E16:F16"/>
    <mergeCell ref="G16:H16"/>
    <mergeCell ref="I16:J16"/>
    <mergeCell ref="K16:L16"/>
    <mergeCell ref="M16:N16"/>
    <mergeCell ref="C2:D2"/>
    <mergeCell ref="E2:F2"/>
    <mergeCell ref="G2:H2"/>
    <mergeCell ref="I2:J2"/>
    <mergeCell ref="K2:L2"/>
    <mergeCell ref="M2:N2"/>
  </mergeCells>
  <conditionalFormatting sqref="B94:B146">
    <cfRule type="duplicateValues" dxfId="89" priority="3"/>
  </conditionalFormatting>
  <conditionalFormatting sqref="B1:Q9 B10:P10 B11:Q27 B28:O91 B92:P92">
    <cfRule type="cellIs" dxfId="88" priority="2" operator="lessThan">
      <formula>0</formula>
    </cfRule>
  </conditionalFormatting>
  <conditionalFormatting sqref="R11:R14">
    <cfRule type="cellIs" dxfId="87" priority="1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35" fitToHeight="2" orientation="landscape" r:id="rId1"/>
  <headerFooter alignWithMargins="0">
    <oddHeader>&amp;LSOBHA LLC&amp;C&amp;12
&amp;16Risk analysis_Customer investment category VS Paid% category_Balance collectibles YOY breakup&amp;R&amp;D</oddHeader>
    <oddFooter>&amp;LCOLLECTIONS&amp;R&amp;P/&amp;N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8EBB-36C9-4CE0-A8D2-146EFD293E42}">
  <dimension ref="A3:R414"/>
  <sheetViews>
    <sheetView view="pageBreakPreview" topLeftCell="A350" zoomScale="70" zoomScaleNormal="100" zoomScaleSheetLayoutView="70" workbookViewId="0">
      <selection activeCell="F404" sqref="F404"/>
    </sheetView>
  </sheetViews>
  <sheetFormatPr defaultRowHeight="15" outlineLevelRow="1" x14ac:dyDescent="0.25"/>
  <cols>
    <col min="1" max="1" width="13.42578125" bestFit="1" customWidth="1"/>
    <col min="2" max="2" width="13.42578125" customWidth="1"/>
    <col min="3" max="3" width="78.85546875" bestFit="1" customWidth="1"/>
    <col min="4" max="4" width="15.42578125" bestFit="1" customWidth="1"/>
    <col min="5" max="5" width="22.5703125" bestFit="1" customWidth="1"/>
    <col min="6" max="6" width="26.5703125" bestFit="1" customWidth="1"/>
    <col min="7" max="9" width="22.5703125" bestFit="1" customWidth="1"/>
    <col min="10" max="10" width="22.28515625" bestFit="1" customWidth="1"/>
    <col min="11" max="11" width="22.5703125" bestFit="1" customWidth="1"/>
    <col min="12" max="12" width="18.7109375" customWidth="1"/>
    <col min="13" max="13" width="22.5703125" bestFit="1" customWidth="1"/>
    <col min="14" max="14" width="17.7109375" bestFit="1" customWidth="1"/>
    <col min="15" max="15" width="22.5703125" bestFit="1" customWidth="1"/>
    <col min="16" max="16" width="8.28515625" bestFit="1" customWidth="1"/>
    <col min="17" max="17" width="10" bestFit="1" customWidth="1"/>
    <col min="18" max="18" width="22.28515625" bestFit="1" customWidth="1"/>
    <col min="19" max="19" width="17.85546875" bestFit="1" customWidth="1"/>
    <col min="20" max="21" width="13.28515625" bestFit="1" customWidth="1"/>
    <col min="23" max="23" width="18.42578125" customWidth="1"/>
  </cols>
  <sheetData>
    <row r="3" spans="1:18" ht="13.9" customHeight="1" x14ac:dyDescent="0.25">
      <c r="A3">
        <v>3</v>
      </c>
      <c r="B3" s="119" t="s">
        <v>26</v>
      </c>
      <c r="C3" s="120" t="s">
        <v>19</v>
      </c>
      <c r="D3" s="121" t="s">
        <v>20</v>
      </c>
      <c r="E3" s="122"/>
      <c r="F3" s="121" t="s">
        <v>21</v>
      </c>
      <c r="G3" s="122"/>
      <c r="H3" s="121" t="s">
        <v>22</v>
      </c>
      <c r="I3" s="122"/>
      <c r="J3" s="121" t="s">
        <v>23</v>
      </c>
      <c r="K3" s="122"/>
      <c r="L3" s="121" t="s">
        <v>24</v>
      </c>
      <c r="M3" s="122"/>
      <c r="N3" s="121" t="s">
        <v>25</v>
      </c>
      <c r="O3" s="122"/>
      <c r="P3" s="77"/>
      <c r="Q3" s="77"/>
      <c r="R3" s="77"/>
    </row>
    <row r="4" spans="1:18" ht="13.9" customHeight="1" x14ac:dyDescent="0.25">
      <c r="A4" t="s">
        <v>93</v>
      </c>
      <c r="B4" s="123"/>
      <c r="C4" s="124" t="s">
        <v>102</v>
      </c>
      <c r="D4" s="79" t="s">
        <v>28</v>
      </c>
      <c r="E4" s="80" t="s">
        <v>29</v>
      </c>
      <c r="F4" s="81" t="s">
        <v>28</v>
      </c>
      <c r="G4" s="82" t="s">
        <v>29</v>
      </c>
      <c r="H4" s="79" t="s">
        <v>28</v>
      </c>
      <c r="I4" s="80" t="s">
        <v>29</v>
      </c>
      <c r="J4" s="81" t="s">
        <v>28</v>
      </c>
      <c r="K4" s="82" t="s">
        <v>29</v>
      </c>
      <c r="L4" s="79" t="s">
        <v>28</v>
      </c>
      <c r="M4" s="80" t="s">
        <v>29</v>
      </c>
      <c r="N4" s="79" t="s">
        <v>28</v>
      </c>
      <c r="O4" s="80" t="s">
        <v>29</v>
      </c>
      <c r="P4" s="83"/>
      <c r="Q4" s="83"/>
      <c r="R4" s="83"/>
    </row>
    <row r="5" spans="1:18" ht="13.9" customHeight="1" outlineLevel="1" x14ac:dyDescent="0.25">
      <c r="B5" s="125" t="s">
        <v>30</v>
      </c>
      <c r="C5" s="126" t="s">
        <v>31</v>
      </c>
      <c r="D5" s="85">
        <v>0</v>
      </c>
      <c r="E5" s="86">
        <v>0</v>
      </c>
      <c r="F5" s="85">
        <v>0</v>
      </c>
      <c r="G5" s="86">
        <v>0</v>
      </c>
      <c r="H5" s="85">
        <v>0</v>
      </c>
      <c r="I5" s="86">
        <v>0</v>
      </c>
      <c r="J5" s="85">
        <v>0</v>
      </c>
      <c r="K5" s="86">
        <v>0</v>
      </c>
      <c r="L5" s="85">
        <v>8</v>
      </c>
      <c r="M5" s="86">
        <v>12773726.59</v>
      </c>
      <c r="N5" s="85">
        <v>15</v>
      </c>
      <c r="O5" s="86">
        <v>20687260.490000002</v>
      </c>
      <c r="P5" s="87"/>
      <c r="Q5" s="87"/>
      <c r="R5" s="87"/>
    </row>
    <row r="6" spans="1:18" ht="13.9" customHeight="1" outlineLevel="1" x14ac:dyDescent="0.25">
      <c r="B6" s="127"/>
      <c r="C6" s="126" t="s">
        <v>32</v>
      </c>
      <c r="D6" s="85">
        <v>0</v>
      </c>
      <c r="E6" s="86">
        <v>0</v>
      </c>
      <c r="F6" s="85">
        <v>0</v>
      </c>
      <c r="G6" s="86">
        <v>0</v>
      </c>
      <c r="H6" s="85">
        <v>0</v>
      </c>
      <c r="I6" s="86">
        <v>0</v>
      </c>
      <c r="J6" s="85">
        <v>0</v>
      </c>
      <c r="K6" s="86">
        <v>0</v>
      </c>
      <c r="L6" s="85">
        <v>0</v>
      </c>
      <c r="M6" s="86">
        <v>0</v>
      </c>
      <c r="N6" s="85">
        <v>7</v>
      </c>
      <c r="O6" s="86">
        <v>11435678</v>
      </c>
      <c r="P6" s="87"/>
      <c r="Q6" s="87"/>
      <c r="R6" s="87"/>
    </row>
    <row r="7" spans="1:18" ht="13.9" customHeight="1" outlineLevel="1" x14ac:dyDescent="0.25">
      <c r="B7" s="127"/>
      <c r="C7" s="126" t="s">
        <v>33</v>
      </c>
      <c r="D7" s="85">
        <v>0</v>
      </c>
      <c r="E7" s="86">
        <v>0</v>
      </c>
      <c r="F7" s="85">
        <v>0</v>
      </c>
      <c r="G7" s="86">
        <v>0</v>
      </c>
      <c r="H7" s="85">
        <v>0</v>
      </c>
      <c r="I7" s="86">
        <v>0</v>
      </c>
      <c r="J7" s="85">
        <v>0</v>
      </c>
      <c r="K7" s="86">
        <v>0</v>
      </c>
      <c r="L7" s="85">
        <v>0</v>
      </c>
      <c r="M7" s="86">
        <v>0</v>
      </c>
      <c r="N7" s="85">
        <v>41</v>
      </c>
      <c r="O7" s="86">
        <v>49562104.5</v>
      </c>
      <c r="P7" s="87"/>
      <c r="Q7" s="87"/>
      <c r="R7" s="87"/>
    </row>
    <row r="8" spans="1:18" ht="13.9" customHeight="1" outlineLevel="1" x14ac:dyDescent="0.25">
      <c r="B8" s="127"/>
      <c r="C8" s="126" t="s">
        <v>34</v>
      </c>
      <c r="D8" s="85">
        <v>0</v>
      </c>
      <c r="E8" s="86">
        <v>0</v>
      </c>
      <c r="F8" s="85">
        <v>0</v>
      </c>
      <c r="G8" s="86">
        <v>0</v>
      </c>
      <c r="H8" s="85">
        <v>0</v>
      </c>
      <c r="I8" s="86">
        <v>0</v>
      </c>
      <c r="J8" s="85">
        <v>0</v>
      </c>
      <c r="K8" s="86">
        <v>0</v>
      </c>
      <c r="L8" s="85">
        <v>4</v>
      </c>
      <c r="M8" s="86">
        <v>6678019.75</v>
      </c>
      <c r="N8" s="85">
        <v>4</v>
      </c>
      <c r="O8" s="86">
        <v>9073448.75</v>
      </c>
      <c r="P8" s="87"/>
      <c r="Q8" s="87"/>
      <c r="R8" s="87"/>
    </row>
    <row r="9" spans="1:18" ht="13.9" customHeight="1" outlineLevel="1" x14ac:dyDescent="0.25">
      <c r="B9" s="127"/>
      <c r="C9" s="126" t="s">
        <v>35</v>
      </c>
      <c r="D9" s="85">
        <v>0</v>
      </c>
      <c r="E9" s="86">
        <v>0</v>
      </c>
      <c r="F9" s="85">
        <v>0</v>
      </c>
      <c r="G9" s="86">
        <v>0</v>
      </c>
      <c r="H9" s="85">
        <v>0</v>
      </c>
      <c r="I9" s="86">
        <v>0</v>
      </c>
      <c r="J9" s="85">
        <v>0</v>
      </c>
      <c r="K9" s="86">
        <v>0</v>
      </c>
      <c r="L9" s="85">
        <v>2</v>
      </c>
      <c r="M9" s="86">
        <v>2131696</v>
      </c>
      <c r="N9" s="85">
        <v>77</v>
      </c>
      <c r="O9" s="86">
        <v>80332953.050000042</v>
      </c>
      <c r="P9" s="87"/>
      <c r="Q9" s="87"/>
      <c r="R9" s="87"/>
    </row>
    <row r="10" spans="1:18" ht="13.9" customHeight="1" outlineLevel="1" x14ac:dyDescent="0.25">
      <c r="B10" s="127"/>
      <c r="C10" s="126" t="s">
        <v>36</v>
      </c>
      <c r="D10" s="85">
        <v>0</v>
      </c>
      <c r="E10" s="86">
        <v>0</v>
      </c>
      <c r="F10" s="85">
        <v>0</v>
      </c>
      <c r="G10" s="86">
        <v>0</v>
      </c>
      <c r="H10" s="85">
        <v>0</v>
      </c>
      <c r="I10" s="86">
        <v>0</v>
      </c>
      <c r="J10" s="85">
        <v>0</v>
      </c>
      <c r="K10" s="86">
        <v>0</v>
      </c>
      <c r="L10" s="85">
        <v>0</v>
      </c>
      <c r="M10" s="86">
        <v>0</v>
      </c>
      <c r="N10" s="85">
        <v>0</v>
      </c>
      <c r="O10" s="86">
        <v>0</v>
      </c>
      <c r="P10" s="87"/>
      <c r="Q10" s="87"/>
      <c r="R10" s="87"/>
    </row>
    <row r="11" spans="1:18" ht="13.5" customHeight="1" outlineLevel="1" x14ac:dyDescent="0.25">
      <c r="B11" s="127"/>
      <c r="C11" s="126" t="s">
        <v>37</v>
      </c>
      <c r="D11" s="85">
        <v>0</v>
      </c>
      <c r="E11" s="86">
        <v>0</v>
      </c>
      <c r="F11" s="85">
        <v>0</v>
      </c>
      <c r="G11" s="86">
        <v>0</v>
      </c>
      <c r="H11" s="85">
        <v>0</v>
      </c>
      <c r="I11" s="86">
        <v>0</v>
      </c>
      <c r="J11" s="85">
        <v>0</v>
      </c>
      <c r="K11" s="86">
        <v>0</v>
      </c>
      <c r="L11" s="85">
        <v>0</v>
      </c>
      <c r="M11" s="86">
        <v>0</v>
      </c>
      <c r="N11" s="85">
        <v>31</v>
      </c>
      <c r="O11" s="86">
        <v>35897636.310000002</v>
      </c>
      <c r="P11" s="87"/>
      <c r="Q11" s="87"/>
      <c r="R11" s="87"/>
    </row>
    <row r="12" spans="1:18" ht="13.9" customHeight="1" outlineLevel="1" x14ac:dyDescent="0.25">
      <c r="B12" s="127"/>
      <c r="C12" s="126" t="s">
        <v>38</v>
      </c>
      <c r="D12" s="85">
        <v>0</v>
      </c>
      <c r="E12" s="86">
        <v>0</v>
      </c>
      <c r="F12" s="85">
        <v>0</v>
      </c>
      <c r="G12" s="86">
        <v>0</v>
      </c>
      <c r="H12" s="85">
        <v>0</v>
      </c>
      <c r="I12" s="86">
        <v>0</v>
      </c>
      <c r="J12" s="85">
        <v>0</v>
      </c>
      <c r="K12" s="86">
        <v>0</v>
      </c>
      <c r="L12" s="85">
        <v>0</v>
      </c>
      <c r="M12" s="86">
        <v>0</v>
      </c>
      <c r="N12" s="85">
        <v>0</v>
      </c>
      <c r="O12" s="86">
        <v>0</v>
      </c>
      <c r="P12" s="87"/>
      <c r="Q12" s="87"/>
      <c r="R12" s="87"/>
    </row>
    <row r="13" spans="1:18" ht="13.9" customHeight="1" outlineLevel="1" x14ac:dyDescent="0.25">
      <c r="B13" s="127"/>
      <c r="C13" s="126" t="s">
        <v>39</v>
      </c>
      <c r="D13" s="85">
        <v>0</v>
      </c>
      <c r="E13" s="86">
        <v>0</v>
      </c>
      <c r="F13" s="85">
        <v>0</v>
      </c>
      <c r="G13" s="86">
        <v>0</v>
      </c>
      <c r="H13" s="85">
        <v>0</v>
      </c>
      <c r="I13" s="86">
        <v>0</v>
      </c>
      <c r="J13" s="85">
        <v>0</v>
      </c>
      <c r="K13" s="86">
        <v>0</v>
      </c>
      <c r="L13" s="85">
        <v>0</v>
      </c>
      <c r="M13" s="86">
        <v>0</v>
      </c>
      <c r="N13" s="85">
        <v>0</v>
      </c>
      <c r="O13" s="86">
        <v>0</v>
      </c>
      <c r="P13" s="87"/>
      <c r="Q13" s="87"/>
      <c r="R13" s="87"/>
    </row>
    <row r="14" spans="1:18" ht="13.9" customHeight="1" outlineLevel="1" x14ac:dyDescent="0.25">
      <c r="B14" s="127"/>
      <c r="C14" s="126" t="s">
        <v>40</v>
      </c>
      <c r="D14" s="85">
        <v>0</v>
      </c>
      <c r="E14" s="86">
        <v>0</v>
      </c>
      <c r="F14" s="85">
        <v>0</v>
      </c>
      <c r="G14" s="86">
        <v>0</v>
      </c>
      <c r="H14" s="85">
        <v>0</v>
      </c>
      <c r="I14" s="86">
        <v>0</v>
      </c>
      <c r="J14" s="85">
        <v>0</v>
      </c>
      <c r="K14" s="86">
        <v>0</v>
      </c>
      <c r="L14" s="85">
        <v>0</v>
      </c>
      <c r="M14" s="86">
        <v>0</v>
      </c>
      <c r="N14" s="85">
        <v>0</v>
      </c>
      <c r="O14" s="86">
        <v>0</v>
      </c>
      <c r="P14" s="87"/>
      <c r="Q14" s="87"/>
      <c r="R14" s="87"/>
    </row>
    <row r="15" spans="1:18" ht="13.9" customHeight="1" outlineLevel="1" x14ac:dyDescent="0.25">
      <c r="B15" s="127"/>
      <c r="C15" s="126" t="s">
        <v>41</v>
      </c>
      <c r="D15" s="85">
        <v>0</v>
      </c>
      <c r="E15" s="86">
        <v>0</v>
      </c>
      <c r="F15" s="85">
        <v>0</v>
      </c>
      <c r="G15" s="86">
        <v>0</v>
      </c>
      <c r="H15" s="85">
        <v>0</v>
      </c>
      <c r="I15" s="86">
        <v>0</v>
      </c>
      <c r="J15" s="85">
        <v>0</v>
      </c>
      <c r="K15" s="86">
        <v>0</v>
      </c>
      <c r="L15" s="85">
        <v>0</v>
      </c>
      <c r="M15" s="86">
        <v>0</v>
      </c>
      <c r="N15" s="85">
        <v>8</v>
      </c>
      <c r="O15" s="86">
        <v>8659571.0999999996</v>
      </c>
      <c r="P15" s="87"/>
      <c r="Q15" s="87"/>
      <c r="R15" s="87"/>
    </row>
    <row r="16" spans="1:18" ht="13.9" customHeight="1" outlineLevel="1" x14ac:dyDescent="0.25">
      <c r="B16" s="127"/>
      <c r="C16" s="126" t="s">
        <v>42</v>
      </c>
      <c r="D16" s="85">
        <v>0</v>
      </c>
      <c r="E16" s="86">
        <v>0</v>
      </c>
      <c r="F16" s="85">
        <v>5</v>
      </c>
      <c r="G16" s="86">
        <v>8268151.1500000004</v>
      </c>
      <c r="H16" s="85">
        <v>6</v>
      </c>
      <c r="I16" s="86">
        <v>10566392.25</v>
      </c>
      <c r="J16" s="85">
        <v>2</v>
      </c>
      <c r="K16" s="86">
        <v>3344181.84</v>
      </c>
      <c r="L16" s="85">
        <v>18</v>
      </c>
      <c r="M16" s="86">
        <v>32458635.050000001</v>
      </c>
      <c r="N16" s="85">
        <v>23</v>
      </c>
      <c r="O16" s="86">
        <v>34226128.340000004</v>
      </c>
      <c r="P16" s="87"/>
      <c r="Q16" s="87"/>
      <c r="R16" s="87"/>
    </row>
    <row r="17" spans="2:18" ht="13.9" customHeight="1" outlineLevel="1" x14ac:dyDescent="0.25">
      <c r="B17" s="127"/>
      <c r="C17" s="126" t="s">
        <v>43</v>
      </c>
      <c r="D17" s="85">
        <v>0</v>
      </c>
      <c r="E17" s="86">
        <v>0</v>
      </c>
      <c r="F17" s="85">
        <v>0</v>
      </c>
      <c r="G17" s="86">
        <v>0</v>
      </c>
      <c r="H17" s="85">
        <v>0</v>
      </c>
      <c r="I17" s="86">
        <v>0</v>
      </c>
      <c r="J17" s="85">
        <v>0</v>
      </c>
      <c r="K17" s="86">
        <v>0</v>
      </c>
      <c r="L17" s="85">
        <v>0</v>
      </c>
      <c r="M17" s="86">
        <v>0</v>
      </c>
      <c r="N17" s="85">
        <v>0</v>
      </c>
      <c r="O17" s="86">
        <v>0</v>
      </c>
      <c r="P17" s="87"/>
      <c r="Q17" s="87"/>
      <c r="R17" s="87"/>
    </row>
    <row r="18" spans="2:18" ht="13.9" customHeight="1" outlineLevel="1" x14ac:dyDescent="0.25">
      <c r="B18" s="127"/>
      <c r="C18" s="126" t="s">
        <v>44</v>
      </c>
      <c r="D18" s="85">
        <v>0</v>
      </c>
      <c r="E18" s="86">
        <v>0</v>
      </c>
      <c r="F18" s="85">
        <v>1</v>
      </c>
      <c r="G18" s="86">
        <v>1622875.5</v>
      </c>
      <c r="H18" s="85">
        <v>3</v>
      </c>
      <c r="I18" s="86">
        <v>6746168.1600000001</v>
      </c>
      <c r="J18" s="85">
        <v>4</v>
      </c>
      <c r="K18" s="86">
        <v>7257060.75</v>
      </c>
      <c r="L18" s="85">
        <v>0</v>
      </c>
      <c r="M18" s="86">
        <v>0</v>
      </c>
      <c r="N18" s="85">
        <v>0</v>
      </c>
      <c r="O18" s="86">
        <v>0</v>
      </c>
      <c r="P18" s="87"/>
      <c r="Q18" s="87"/>
      <c r="R18" s="87"/>
    </row>
    <row r="19" spans="2:18" ht="13.9" customHeight="1" outlineLevel="1" x14ac:dyDescent="0.25">
      <c r="B19" s="127"/>
      <c r="C19" s="126" t="s">
        <v>45</v>
      </c>
      <c r="D19" s="85">
        <v>0</v>
      </c>
      <c r="E19" s="86">
        <v>0</v>
      </c>
      <c r="F19" s="85">
        <v>3</v>
      </c>
      <c r="G19" s="86">
        <v>4545649.9800000004</v>
      </c>
      <c r="H19" s="85">
        <v>8</v>
      </c>
      <c r="I19" s="86">
        <v>12024727.9</v>
      </c>
      <c r="J19" s="85">
        <v>8</v>
      </c>
      <c r="K19" s="86">
        <v>10848755.789999999</v>
      </c>
      <c r="L19" s="85">
        <v>1</v>
      </c>
      <c r="M19" s="86">
        <v>2379650.2999999998</v>
      </c>
      <c r="N19" s="85">
        <v>0</v>
      </c>
      <c r="O19" s="86">
        <v>0</v>
      </c>
      <c r="P19" s="87"/>
      <c r="Q19" s="87"/>
      <c r="R19" s="87"/>
    </row>
    <row r="20" spans="2:18" ht="13.9" customHeight="1" outlineLevel="1" x14ac:dyDescent="0.25">
      <c r="B20" s="127"/>
      <c r="C20" s="126" t="s">
        <v>46</v>
      </c>
      <c r="D20" s="85">
        <v>0</v>
      </c>
      <c r="E20" s="86">
        <v>0</v>
      </c>
      <c r="F20" s="85">
        <v>0</v>
      </c>
      <c r="G20" s="86">
        <v>0</v>
      </c>
      <c r="H20" s="85">
        <v>0</v>
      </c>
      <c r="I20" s="86">
        <v>0</v>
      </c>
      <c r="J20" s="85">
        <v>0</v>
      </c>
      <c r="K20" s="86">
        <v>0</v>
      </c>
      <c r="L20" s="85">
        <v>0</v>
      </c>
      <c r="M20" s="86">
        <v>0</v>
      </c>
      <c r="N20" s="85">
        <v>0</v>
      </c>
      <c r="O20" s="86">
        <v>0</v>
      </c>
      <c r="P20" s="87"/>
      <c r="Q20" s="87"/>
      <c r="R20" s="87"/>
    </row>
    <row r="21" spans="2:18" ht="13.9" customHeight="1" outlineLevel="1" x14ac:dyDescent="0.25">
      <c r="B21" s="127"/>
      <c r="C21" s="126" t="s">
        <v>47</v>
      </c>
      <c r="D21" s="85">
        <v>0</v>
      </c>
      <c r="E21" s="86">
        <v>0</v>
      </c>
      <c r="F21" s="85">
        <v>1</v>
      </c>
      <c r="G21" s="86">
        <v>1628051.4</v>
      </c>
      <c r="H21" s="85">
        <v>2</v>
      </c>
      <c r="I21" s="86">
        <v>2585717.9900000002</v>
      </c>
      <c r="J21" s="85">
        <v>3</v>
      </c>
      <c r="K21" s="86">
        <v>4897874.04</v>
      </c>
      <c r="L21" s="85">
        <v>6</v>
      </c>
      <c r="M21" s="86">
        <v>8832455.6400000006</v>
      </c>
      <c r="N21" s="85">
        <v>16</v>
      </c>
      <c r="O21" s="86">
        <v>23690599.77</v>
      </c>
      <c r="P21" s="87"/>
      <c r="Q21" s="87"/>
      <c r="R21" s="87"/>
    </row>
    <row r="22" spans="2:18" ht="13.9" customHeight="1" outlineLevel="1" x14ac:dyDescent="0.25">
      <c r="B22" s="127"/>
      <c r="C22" s="126" t="s">
        <v>48</v>
      </c>
      <c r="D22" s="85">
        <v>0</v>
      </c>
      <c r="E22" s="86">
        <v>0</v>
      </c>
      <c r="F22" s="85">
        <v>1</v>
      </c>
      <c r="G22" s="86">
        <v>1075088.1000000001</v>
      </c>
      <c r="H22" s="85">
        <v>4</v>
      </c>
      <c r="I22" s="86">
        <v>5681816.75</v>
      </c>
      <c r="J22" s="85">
        <v>13</v>
      </c>
      <c r="K22" s="86">
        <v>15254217.35</v>
      </c>
      <c r="L22" s="85">
        <v>24</v>
      </c>
      <c r="M22" s="86">
        <v>27742324.900000002</v>
      </c>
      <c r="N22" s="85">
        <v>9</v>
      </c>
      <c r="O22" s="86">
        <v>9696691.7000000011</v>
      </c>
      <c r="P22" s="87"/>
      <c r="Q22" s="87"/>
      <c r="R22" s="87"/>
    </row>
    <row r="23" spans="2:18" ht="13.9" customHeight="1" outlineLevel="1" x14ac:dyDescent="0.25">
      <c r="B23" s="127"/>
      <c r="C23" s="126" t="s">
        <v>49</v>
      </c>
      <c r="D23" s="85">
        <v>0</v>
      </c>
      <c r="E23" s="86">
        <v>0</v>
      </c>
      <c r="F23" s="85">
        <v>1</v>
      </c>
      <c r="G23" s="86">
        <v>2316930</v>
      </c>
      <c r="H23" s="85">
        <v>0</v>
      </c>
      <c r="I23" s="86">
        <v>0</v>
      </c>
      <c r="J23" s="85">
        <v>0</v>
      </c>
      <c r="K23" s="86">
        <v>0</v>
      </c>
      <c r="L23" s="85">
        <v>0</v>
      </c>
      <c r="M23" s="86">
        <v>0</v>
      </c>
      <c r="N23" s="85">
        <v>0</v>
      </c>
      <c r="O23" s="86">
        <v>0</v>
      </c>
      <c r="P23" s="87"/>
      <c r="Q23" s="87"/>
      <c r="R23" s="87"/>
    </row>
    <row r="24" spans="2:18" ht="13.9" customHeight="1" outlineLevel="1" x14ac:dyDescent="0.25">
      <c r="B24" s="127"/>
      <c r="C24" s="126" t="s">
        <v>50</v>
      </c>
      <c r="D24" s="85">
        <v>0</v>
      </c>
      <c r="E24" s="86">
        <v>0</v>
      </c>
      <c r="F24" s="85">
        <v>0</v>
      </c>
      <c r="G24" s="86">
        <v>0</v>
      </c>
      <c r="H24" s="85">
        <v>0</v>
      </c>
      <c r="I24" s="86">
        <v>0</v>
      </c>
      <c r="J24" s="85">
        <v>0</v>
      </c>
      <c r="K24" s="86">
        <v>0</v>
      </c>
      <c r="L24" s="85">
        <v>0</v>
      </c>
      <c r="M24" s="86">
        <v>0</v>
      </c>
      <c r="N24" s="85">
        <v>0</v>
      </c>
      <c r="O24" s="86">
        <v>0</v>
      </c>
      <c r="P24" s="87"/>
    </row>
    <row r="25" spans="2:18" ht="13.9" customHeight="1" outlineLevel="1" x14ac:dyDescent="0.25">
      <c r="B25" s="127"/>
      <c r="C25" s="126" t="s">
        <v>51</v>
      </c>
      <c r="D25" s="85">
        <v>0</v>
      </c>
      <c r="E25" s="86">
        <v>0</v>
      </c>
      <c r="F25" s="85">
        <v>6</v>
      </c>
      <c r="G25" s="86">
        <v>6746290.25</v>
      </c>
      <c r="H25" s="85">
        <v>13</v>
      </c>
      <c r="I25" s="86">
        <v>14902366.450000003</v>
      </c>
      <c r="J25" s="85">
        <v>18</v>
      </c>
      <c r="K25" s="86">
        <v>20606045.5</v>
      </c>
      <c r="L25" s="85">
        <v>6</v>
      </c>
      <c r="M25" s="86">
        <v>6442119</v>
      </c>
      <c r="N25" s="85">
        <v>0</v>
      </c>
      <c r="O25" s="86">
        <v>0</v>
      </c>
      <c r="P25" s="87"/>
    </row>
    <row r="26" spans="2:18" ht="13.9" customHeight="1" outlineLevel="1" x14ac:dyDescent="0.25">
      <c r="B26" s="127"/>
      <c r="C26" s="126" t="s">
        <v>52</v>
      </c>
      <c r="D26" s="85">
        <v>0</v>
      </c>
      <c r="E26" s="86">
        <v>0</v>
      </c>
      <c r="F26" s="85">
        <v>2</v>
      </c>
      <c r="G26" s="86">
        <v>3496810.2</v>
      </c>
      <c r="H26" s="85">
        <v>3</v>
      </c>
      <c r="I26" s="86">
        <v>5075706.2</v>
      </c>
      <c r="J26" s="85">
        <v>0</v>
      </c>
      <c r="K26" s="86">
        <v>0</v>
      </c>
      <c r="L26" s="85">
        <v>0</v>
      </c>
      <c r="M26" s="86">
        <v>0</v>
      </c>
      <c r="N26" s="85">
        <v>0</v>
      </c>
      <c r="O26" s="86">
        <v>0</v>
      </c>
      <c r="P26" s="87"/>
    </row>
    <row r="27" spans="2:18" ht="13.9" customHeight="1" outlineLevel="1" x14ac:dyDescent="0.25">
      <c r="B27" s="127"/>
      <c r="C27" s="126" t="s">
        <v>53</v>
      </c>
      <c r="D27" s="85">
        <v>0</v>
      </c>
      <c r="E27" s="86">
        <v>0</v>
      </c>
      <c r="F27" s="85">
        <v>0</v>
      </c>
      <c r="G27" s="86">
        <v>0</v>
      </c>
      <c r="H27" s="85">
        <v>0</v>
      </c>
      <c r="I27" s="86">
        <v>0</v>
      </c>
      <c r="J27" s="85">
        <v>0</v>
      </c>
      <c r="K27" s="86">
        <v>0</v>
      </c>
      <c r="L27" s="85">
        <v>0</v>
      </c>
      <c r="M27" s="86">
        <v>0</v>
      </c>
      <c r="N27" s="85">
        <v>0</v>
      </c>
      <c r="O27" s="86">
        <v>0</v>
      </c>
      <c r="P27" s="87"/>
    </row>
    <row r="28" spans="2:18" ht="13.9" customHeight="1" outlineLevel="1" x14ac:dyDescent="0.25">
      <c r="B28" s="127"/>
      <c r="C28" s="126" t="s">
        <v>54</v>
      </c>
      <c r="D28" s="85">
        <v>0</v>
      </c>
      <c r="E28" s="86">
        <v>0</v>
      </c>
      <c r="F28" s="85">
        <v>1</v>
      </c>
      <c r="G28" s="86">
        <v>1688531.25</v>
      </c>
      <c r="H28" s="85">
        <v>3</v>
      </c>
      <c r="I28" s="86">
        <v>4924721.9000000004</v>
      </c>
      <c r="J28" s="85">
        <v>1</v>
      </c>
      <c r="K28" s="86">
        <v>1676199</v>
      </c>
      <c r="L28" s="85">
        <v>0</v>
      </c>
      <c r="M28" s="86">
        <v>0</v>
      </c>
      <c r="N28" s="85">
        <v>0</v>
      </c>
      <c r="O28" s="86">
        <v>0</v>
      </c>
      <c r="P28" s="87"/>
    </row>
    <row r="29" spans="2:18" ht="13.9" customHeight="1" outlineLevel="1" x14ac:dyDescent="0.25">
      <c r="B29" s="127"/>
      <c r="C29" s="126" t="s">
        <v>55</v>
      </c>
      <c r="D29" s="85">
        <v>0</v>
      </c>
      <c r="E29" s="86">
        <v>0</v>
      </c>
      <c r="F29" s="85">
        <v>1</v>
      </c>
      <c r="G29" s="86">
        <v>2132803.15</v>
      </c>
      <c r="H29" s="85">
        <v>0</v>
      </c>
      <c r="I29" s="86">
        <v>0</v>
      </c>
      <c r="J29" s="85">
        <v>0</v>
      </c>
      <c r="K29" s="86">
        <v>0</v>
      </c>
      <c r="L29" s="85">
        <v>0</v>
      </c>
      <c r="M29" s="86">
        <v>0</v>
      </c>
      <c r="N29" s="85">
        <v>0</v>
      </c>
      <c r="O29" s="86">
        <v>0</v>
      </c>
      <c r="P29" s="87"/>
    </row>
    <row r="30" spans="2:18" ht="13.9" customHeight="1" outlineLevel="1" x14ac:dyDescent="0.25">
      <c r="B30" s="127"/>
      <c r="C30" s="126" t="s">
        <v>56</v>
      </c>
      <c r="D30" s="85">
        <v>0</v>
      </c>
      <c r="E30" s="86">
        <v>0</v>
      </c>
      <c r="F30" s="85">
        <v>0</v>
      </c>
      <c r="G30" s="86">
        <v>0</v>
      </c>
      <c r="H30" s="85">
        <v>0</v>
      </c>
      <c r="I30" s="86">
        <v>0</v>
      </c>
      <c r="J30" s="85">
        <v>0</v>
      </c>
      <c r="K30" s="86">
        <v>0</v>
      </c>
      <c r="L30" s="85">
        <v>0</v>
      </c>
      <c r="M30" s="86">
        <v>0</v>
      </c>
      <c r="N30" s="85">
        <v>0</v>
      </c>
      <c r="O30" s="86">
        <v>0</v>
      </c>
      <c r="P30" s="87"/>
    </row>
    <row r="31" spans="2:18" ht="13.9" customHeight="1" outlineLevel="1" x14ac:dyDescent="0.25">
      <c r="B31" s="127"/>
      <c r="C31" s="126" t="s">
        <v>57</v>
      </c>
      <c r="D31" s="85">
        <v>0</v>
      </c>
      <c r="E31" s="86">
        <v>0</v>
      </c>
      <c r="F31" s="85">
        <v>0</v>
      </c>
      <c r="G31" s="86">
        <v>0</v>
      </c>
      <c r="H31" s="85">
        <v>0</v>
      </c>
      <c r="I31" s="86">
        <v>0</v>
      </c>
      <c r="J31" s="85">
        <v>0</v>
      </c>
      <c r="K31" s="86">
        <v>0</v>
      </c>
      <c r="L31" s="85">
        <v>0</v>
      </c>
      <c r="M31" s="86">
        <v>0</v>
      </c>
      <c r="N31" s="85">
        <v>0</v>
      </c>
      <c r="O31" s="86">
        <v>0</v>
      </c>
      <c r="P31" s="87"/>
    </row>
    <row r="32" spans="2:18" ht="13.9" customHeight="1" outlineLevel="1" x14ac:dyDescent="0.25">
      <c r="B32" s="127"/>
      <c r="C32" s="126" t="s">
        <v>58</v>
      </c>
      <c r="D32" s="85">
        <v>0</v>
      </c>
      <c r="E32" s="86">
        <v>0</v>
      </c>
      <c r="F32" s="85">
        <v>4</v>
      </c>
      <c r="G32" s="86">
        <v>6025288.5899999999</v>
      </c>
      <c r="H32" s="85">
        <v>2</v>
      </c>
      <c r="I32" s="86">
        <v>2955685.7</v>
      </c>
      <c r="J32" s="85">
        <v>0</v>
      </c>
      <c r="K32" s="86">
        <v>0</v>
      </c>
      <c r="L32" s="85">
        <v>0</v>
      </c>
      <c r="M32" s="86">
        <v>0</v>
      </c>
      <c r="N32" s="85">
        <v>0</v>
      </c>
      <c r="O32" s="86">
        <v>0</v>
      </c>
      <c r="P32" s="87"/>
    </row>
    <row r="33" spans="2:16" ht="13.9" customHeight="1" outlineLevel="1" x14ac:dyDescent="0.25">
      <c r="B33" s="127"/>
      <c r="C33" s="126" t="s">
        <v>59</v>
      </c>
      <c r="D33" s="85">
        <v>0</v>
      </c>
      <c r="E33" s="86">
        <v>0</v>
      </c>
      <c r="F33" s="85">
        <v>1</v>
      </c>
      <c r="G33" s="86">
        <v>1388554.67</v>
      </c>
      <c r="H33" s="85">
        <v>2</v>
      </c>
      <c r="I33" s="86">
        <v>2998044.6500000004</v>
      </c>
      <c r="J33" s="85">
        <v>0</v>
      </c>
      <c r="K33" s="86">
        <v>0</v>
      </c>
      <c r="L33" s="85">
        <v>0</v>
      </c>
      <c r="M33" s="86">
        <v>0</v>
      </c>
      <c r="N33" s="85">
        <v>0</v>
      </c>
      <c r="O33" s="86">
        <v>0</v>
      </c>
      <c r="P33" s="87"/>
    </row>
    <row r="34" spans="2:16" ht="13.9" customHeight="1" outlineLevel="1" x14ac:dyDescent="0.25">
      <c r="B34" s="127"/>
      <c r="C34" s="126" t="s">
        <v>60</v>
      </c>
      <c r="D34" s="85">
        <v>0</v>
      </c>
      <c r="E34" s="86">
        <v>0</v>
      </c>
      <c r="F34" s="85">
        <v>0</v>
      </c>
      <c r="G34" s="86">
        <v>0</v>
      </c>
      <c r="H34" s="85">
        <v>0</v>
      </c>
      <c r="I34" s="86">
        <v>0</v>
      </c>
      <c r="J34" s="85">
        <v>0</v>
      </c>
      <c r="K34" s="86">
        <v>0</v>
      </c>
      <c r="L34" s="85">
        <v>0</v>
      </c>
      <c r="M34" s="86">
        <v>0</v>
      </c>
      <c r="N34" s="85">
        <v>0</v>
      </c>
      <c r="O34" s="86">
        <v>0</v>
      </c>
      <c r="P34" s="87"/>
    </row>
    <row r="35" spans="2:16" ht="13.5" customHeight="1" outlineLevel="1" x14ac:dyDescent="0.25">
      <c r="B35" s="127"/>
      <c r="C35" s="126" t="s">
        <v>61</v>
      </c>
      <c r="D35" s="85">
        <v>0</v>
      </c>
      <c r="E35" s="86">
        <v>0</v>
      </c>
      <c r="F35" s="85">
        <v>0</v>
      </c>
      <c r="G35" s="86">
        <v>0</v>
      </c>
      <c r="H35" s="85">
        <v>0</v>
      </c>
      <c r="I35" s="86">
        <v>0</v>
      </c>
      <c r="J35" s="85">
        <v>0</v>
      </c>
      <c r="K35" s="86">
        <v>0</v>
      </c>
      <c r="L35" s="85">
        <v>0</v>
      </c>
      <c r="M35" s="86">
        <v>0</v>
      </c>
      <c r="N35" s="85">
        <v>0</v>
      </c>
      <c r="O35" s="86">
        <v>0</v>
      </c>
      <c r="P35" s="87"/>
    </row>
    <row r="36" spans="2:16" ht="13.9" customHeight="1" outlineLevel="1" x14ac:dyDescent="0.25">
      <c r="B36" s="127"/>
      <c r="C36" s="126" t="s">
        <v>62</v>
      </c>
      <c r="D36" s="85">
        <v>0</v>
      </c>
      <c r="E36" s="86">
        <v>0</v>
      </c>
      <c r="F36" s="85">
        <v>0</v>
      </c>
      <c r="G36" s="86">
        <v>0</v>
      </c>
      <c r="H36" s="85">
        <v>0</v>
      </c>
      <c r="I36" s="86">
        <v>0</v>
      </c>
      <c r="J36" s="85">
        <v>0</v>
      </c>
      <c r="K36" s="86">
        <v>0</v>
      </c>
      <c r="L36" s="85">
        <v>0</v>
      </c>
      <c r="M36" s="86">
        <v>0</v>
      </c>
      <c r="N36" s="85">
        <v>0</v>
      </c>
      <c r="O36" s="86">
        <v>0</v>
      </c>
      <c r="P36" s="87"/>
    </row>
    <row r="37" spans="2:16" ht="13.9" customHeight="1" outlineLevel="1" x14ac:dyDescent="0.25">
      <c r="B37" s="127"/>
      <c r="C37" s="126" t="s">
        <v>63</v>
      </c>
      <c r="D37" s="85">
        <v>0</v>
      </c>
      <c r="E37" s="86">
        <v>0</v>
      </c>
      <c r="F37" s="85">
        <v>0</v>
      </c>
      <c r="G37" s="86">
        <v>0</v>
      </c>
      <c r="H37" s="85">
        <v>0</v>
      </c>
      <c r="I37" s="86">
        <v>0</v>
      </c>
      <c r="J37" s="85">
        <v>0</v>
      </c>
      <c r="K37" s="86">
        <v>0</v>
      </c>
      <c r="L37" s="85">
        <v>0</v>
      </c>
      <c r="M37" s="86">
        <v>0</v>
      </c>
      <c r="N37" s="85">
        <v>0</v>
      </c>
      <c r="O37" s="86">
        <v>0</v>
      </c>
      <c r="P37" s="87"/>
    </row>
    <row r="38" spans="2:16" ht="13.9" customHeight="1" outlineLevel="1" x14ac:dyDescent="0.25">
      <c r="B38" s="127"/>
      <c r="C38" s="126" t="s">
        <v>64</v>
      </c>
      <c r="D38" s="85">
        <v>0</v>
      </c>
      <c r="E38" s="86">
        <v>0</v>
      </c>
      <c r="F38" s="85">
        <v>0</v>
      </c>
      <c r="G38" s="86">
        <v>0</v>
      </c>
      <c r="H38" s="85">
        <v>0</v>
      </c>
      <c r="I38" s="86">
        <v>0</v>
      </c>
      <c r="J38" s="85">
        <v>0</v>
      </c>
      <c r="K38" s="86">
        <v>0</v>
      </c>
      <c r="L38" s="85">
        <v>0</v>
      </c>
      <c r="M38" s="86">
        <v>0</v>
      </c>
      <c r="N38" s="85">
        <v>1</v>
      </c>
      <c r="O38" s="86">
        <v>2095763.81</v>
      </c>
      <c r="P38" s="87"/>
    </row>
    <row r="39" spans="2:16" ht="13.9" customHeight="1" outlineLevel="1" x14ac:dyDescent="0.25">
      <c r="B39" s="127"/>
      <c r="C39" s="126" t="s">
        <v>65</v>
      </c>
      <c r="D39" s="85">
        <v>0</v>
      </c>
      <c r="E39" s="86">
        <v>0</v>
      </c>
      <c r="F39" s="85">
        <v>0</v>
      </c>
      <c r="G39" s="86">
        <v>0</v>
      </c>
      <c r="H39" s="85">
        <v>0</v>
      </c>
      <c r="I39" s="86">
        <v>0</v>
      </c>
      <c r="J39" s="85">
        <v>0</v>
      </c>
      <c r="K39" s="86">
        <v>0</v>
      </c>
      <c r="L39" s="85">
        <v>0</v>
      </c>
      <c r="M39" s="86">
        <v>0</v>
      </c>
      <c r="N39" s="85">
        <v>31</v>
      </c>
      <c r="O39" s="86">
        <v>38249213.539999999</v>
      </c>
      <c r="P39" s="87"/>
    </row>
    <row r="40" spans="2:16" ht="13.9" customHeight="1" outlineLevel="1" x14ac:dyDescent="0.25">
      <c r="B40" s="127"/>
      <c r="C40" s="126" t="s">
        <v>66</v>
      </c>
      <c r="D40" s="85">
        <v>0</v>
      </c>
      <c r="E40" s="86">
        <v>0</v>
      </c>
      <c r="F40" s="85">
        <v>0</v>
      </c>
      <c r="G40" s="86">
        <v>0</v>
      </c>
      <c r="H40" s="85">
        <v>0</v>
      </c>
      <c r="I40" s="86">
        <v>0</v>
      </c>
      <c r="J40" s="85">
        <v>0</v>
      </c>
      <c r="K40" s="86">
        <v>0</v>
      </c>
      <c r="L40" s="85">
        <v>0</v>
      </c>
      <c r="M40" s="86">
        <v>0</v>
      </c>
      <c r="N40" s="85">
        <v>12</v>
      </c>
      <c r="O40" s="86">
        <v>17365768.75</v>
      </c>
      <c r="P40" s="87"/>
    </row>
    <row r="41" spans="2:16" ht="13.5" customHeight="1" outlineLevel="1" x14ac:dyDescent="0.25">
      <c r="B41" s="127"/>
      <c r="C41" s="126" t="s">
        <v>67</v>
      </c>
      <c r="D41" s="85">
        <v>0</v>
      </c>
      <c r="E41" s="86">
        <v>0</v>
      </c>
      <c r="F41" s="85">
        <v>0</v>
      </c>
      <c r="G41" s="86">
        <v>0</v>
      </c>
      <c r="H41" s="85">
        <v>0</v>
      </c>
      <c r="I41" s="86">
        <v>0</v>
      </c>
      <c r="J41" s="85">
        <v>0</v>
      </c>
      <c r="K41" s="86">
        <v>0</v>
      </c>
      <c r="L41" s="85">
        <v>0</v>
      </c>
      <c r="M41" s="86">
        <v>0</v>
      </c>
      <c r="N41" s="85">
        <v>3</v>
      </c>
      <c r="O41" s="86">
        <v>4848459</v>
      </c>
      <c r="P41" s="87"/>
    </row>
    <row r="42" spans="2:16" ht="13.9" customHeight="1" x14ac:dyDescent="0.25">
      <c r="B42" s="128"/>
      <c r="C42" s="124" t="s">
        <v>103</v>
      </c>
      <c r="D42" s="90">
        <f>SUM(D5:D41)</f>
        <v>0</v>
      </c>
      <c r="E42" s="91">
        <f t="shared" ref="E42:O42" si="0">SUM(E5:E41)</f>
        <v>0</v>
      </c>
      <c r="F42" s="92">
        <f t="shared" si="0"/>
        <v>27</v>
      </c>
      <c r="G42" s="93">
        <f t="shared" si="0"/>
        <v>40935024.240000002</v>
      </c>
      <c r="H42" s="90">
        <f t="shared" si="0"/>
        <v>46</v>
      </c>
      <c r="I42" s="91">
        <f t="shared" si="0"/>
        <v>68461347.950000018</v>
      </c>
      <c r="J42" s="92">
        <f t="shared" si="0"/>
        <v>49</v>
      </c>
      <c r="K42" s="93">
        <f t="shared" si="0"/>
        <v>63884334.269999996</v>
      </c>
      <c r="L42" s="90">
        <f t="shared" si="0"/>
        <v>69</v>
      </c>
      <c r="M42" s="91">
        <f t="shared" si="0"/>
        <v>99438627.230000004</v>
      </c>
      <c r="N42" s="90">
        <f t="shared" si="0"/>
        <v>278</v>
      </c>
      <c r="O42" s="91">
        <f t="shared" si="0"/>
        <v>345821277.11000007</v>
      </c>
      <c r="P42" s="94"/>
    </row>
    <row r="43" spans="2:16" ht="13.9" customHeight="1" outlineLevel="1" x14ac:dyDescent="0.25">
      <c r="B43" s="125" t="s">
        <v>83</v>
      </c>
      <c r="C43" s="126" t="s">
        <v>70</v>
      </c>
      <c r="D43" s="85">
        <v>2</v>
      </c>
      <c r="E43" s="86">
        <v>2958503.7199999997</v>
      </c>
      <c r="F43" s="85">
        <v>1</v>
      </c>
      <c r="G43" s="86">
        <v>2245865.6</v>
      </c>
      <c r="H43" s="85">
        <v>11</v>
      </c>
      <c r="I43" s="86">
        <v>15295756.23</v>
      </c>
      <c r="J43" s="85">
        <v>17</v>
      </c>
      <c r="K43" s="86">
        <v>24456035.720000003</v>
      </c>
      <c r="L43" s="85">
        <v>41</v>
      </c>
      <c r="M43" s="86">
        <v>54747788.769999988</v>
      </c>
      <c r="N43" s="85">
        <v>5</v>
      </c>
      <c r="O43" s="86">
        <v>6558502.6899999995</v>
      </c>
      <c r="P43" s="87"/>
    </row>
    <row r="44" spans="2:16" ht="13.9" customHeight="1" outlineLevel="1" x14ac:dyDescent="0.25">
      <c r="B44" s="127"/>
      <c r="C44" s="126" t="s">
        <v>71</v>
      </c>
      <c r="D44" s="85">
        <v>0</v>
      </c>
      <c r="E44" s="86">
        <v>0</v>
      </c>
      <c r="F44" s="85">
        <v>0</v>
      </c>
      <c r="G44" s="86">
        <v>0</v>
      </c>
      <c r="H44" s="85">
        <v>0</v>
      </c>
      <c r="I44" s="86">
        <v>0</v>
      </c>
      <c r="J44" s="85">
        <v>0</v>
      </c>
      <c r="K44" s="86">
        <v>0</v>
      </c>
      <c r="L44" s="85">
        <v>0</v>
      </c>
      <c r="M44" s="86">
        <v>0</v>
      </c>
      <c r="N44" s="85">
        <v>0</v>
      </c>
      <c r="O44" s="86">
        <v>0</v>
      </c>
      <c r="P44" s="87"/>
    </row>
    <row r="45" spans="2:16" ht="13.9" customHeight="1" outlineLevel="1" x14ac:dyDescent="0.25">
      <c r="B45" s="127"/>
      <c r="C45" s="126" t="s">
        <v>72</v>
      </c>
      <c r="D45" s="85">
        <v>0</v>
      </c>
      <c r="E45" s="86">
        <v>0</v>
      </c>
      <c r="F45" s="85">
        <v>6</v>
      </c>
      <c r="G45" s="86">
        <v>9093583.1400000006</v>
      </c>
      <c r="H45" s="85">
        <v>12</v>
      </c>
      <c r="I45" s="86">
        <v>18532385.600000001</v>
      </c>
      <c r="J45" s="85">
        <v>14</v>
      </c>
      <c r="K45" s="86">
        <v>20087131.559999999</v>
      </c>
      <c r="L45" s="85">
        <v>14</v>
      </c>
      <c r="M45" s="86">
        <v>18845631.250000004</v>
      </c>
      <c r="N45" s="85">
        <v>1</v>
      </c>
      <c r="O45" s="86">
        <v>1614242.05</v>
      </c>
      <c r="P45" s="87"/>
    </row>
    <row r="46" spans="2:16" ht="13.9" customHeight="1" x14ac:dyDescent="0.25">
      <c r="B46" s="128"/>
      <c r="C46" s="124" t="s">
        <v>104</v>
      </c>
      <c r="D46" s="90">
        <f>SUM(D43:D45)</f>
        <v>2</v>
      </c>
      <c r="E46" s="91">
        <f t="shared" ref="E46:O46" si="1">SUM(E43:E45)</f>
        <v>2958503.7199999997</v>
      </c>
      <c r="F46" s="92">
        <f t="shared" si="1"/>
        <v>7</v>
      </c>
      <c r="G46" s="93">
        <f t="shared" si="1"/>
        <v>11339448.74</v>
      </c>
      <c r="H46" s="90">
        <f t="shared" si="1"/>
        <v>23</v>
      </c>
      <c r="I46" s="91">
        <f t="shared" si="1"/>
        <v>33828141.829999998</v>
      </c>
      <c r="J46" s="92">
        <f t="shared" si="1"/>
        <v>31</v>
      </c>
      <c r="K46" s="93">
        <f t="shared" si="1"/>
        <v>44543167.280000001</v>
      </c>
      <c r="L46" s="90">
        <f t="shared" si="1"/>
        <v>55</v>
      </c>
      <c r="M46" s="91">
        <f t="shared" si="1"/>
        <v>73593420.019999996</v>
      </c>
      <c r="N46" s="90">
        <f t="shared" si="1"/>
        <v>6</v>
      </c>
      <c r="O46" s="91">
        <f t="shared" si="1"/>
        <v>8172744.7399999993</v>
      </c>
      <c r="P46" s="94"/>
    </row>
    <row r="47" spans="2:16" ht="13.9" customHeight="1" outlineLevel="1" x14ac:dyDescent="0.25">
      <c r="B47" s="125" t="s">
        <v>105</v>
      </c>
      <c r="C47" s="126" t="s">
        <v>75</v>
      </c>
      <c r="D47" s="85">
        <v>0</v>
      </c>
      <c r="E47" s="86">
        <v>0</v>
      </c>
      <c r="F47" s="85">
        <v>0</v>
      </c>
      <c r="G47" s="86">
        <v>0</v>
      </c>
      <c r="H47" s="85">
        <v>0</v>
      </c>
      <c r="I47" s="86">
        <v>0</v>
      </c>
      <c r="J47" s="85">
        <v>0</v>
      </c>
      <c r="K47" s="86">
        <v>0</v>
      </c>
      <c r="L47" s="85">
        <v>0</v>
      </c>
      <c r="M47" s="86">
        <v>0</v>
      </c>
      <c r="N47" s="85">
        <v>0</v>
      </c>
      <c r="O47" s="86">
        <v>0</v>
      </c>
      <c r="P47" s="87"/>
    </row>
    <row r="48" spans="2:16" ht="13.9" customHeight="1" outlineLevel="1" x14ac:dyDescent="0.25">
      <c r="B48" s="127"/>
      <c r="C48" s="126" t="s">
        <v>76</v>
      </c>
      <c r="D48" s="85">
        <v>0</v>
      </c>
      <c r="E48" s="86">
        <v>0</v>
      </c>
      <c r="F48" s="85">
        <v>0</v>
      </c>
      <c r="G48" s="86">
        <v>0</v>
      </c>
      <c r="H48" s="85">
        <v>4</v>
      </c>
      <c r="I48" s="86">
        <v>5283234.29</v>
      </c>
      <c r="J48" s="85">
        <v>12</v>
      </c>
      <c r="K48" s="86">
        <v>15136970.9</v>
      </c>
      <c r="L48" s="85">
        <v>0</v>
      </c>
      <c r="M48" s="86">
        <v>0</v>
      </c>
      <c r="N48" s="85">
        <v>1</v>
      </c>
      <c r="O48" s="86">
        <v>1239700.97</v>
      </c>
      <c r="P48" s="87"/>
    </row>
    <row r="49" spans="2:16" ht="13.9" customHeight="1" x14ac:dyDescent="0.25">
      <c r="B49" s="128"/>
      <c r="C49" s="124" t="s">
        <v>106</v>
      </c>
      <c r="D49" s="90">
        <f>SUM(D47:D48)</f>
        <v>0</v>
      </c>
      <c r="E49" s="91">
        <f t="shared" ref="E49:O49" si="2">SUM(E47:E48)</f>
        <v>0</v>
      </c>
      <c r="F49" s="92">
        <f t="shared" si="2"/>
        <v>0</v>
      </c>
      <c r="G49" s="93">
        <f t="shared" si="2"/>
        <v>0</v>
      </c>
      <c r="H49" s="90">
        <f t="shared" si="2"/>
        <v>4</v>
      </c>
      <c r="I49" s="91">
        <f t="shared" si="2"/>
        <v>5283234.29</v>
      </c>
      <c r="J49" s="92">
        <f t="shared" si="2"/>
        <v>12</v>
      </c>
      <c r="K49" s="93">
        <f t="shared" si="2"/>
        <v>15136970.9</v>
      </c>
      <c r="L49" s="90">
        <f t="shared" si="2"/>
        <v>0</v>
      </c>
      <c r="M49" s="91">
        <f t="shared" si="2"/>
        <v>0</v>
      </c>
      <c r="N49" s="90">
        <f t="shared" si="2"/>
        <v>1</v>
      </c>
      <c r="O49" s="91">
        <f t="shared" si="2"/>
        <v>1239700.97</v>
      </c>
      <c r="P49" s="94"/>
    </row>
    <row r="50" spans="2:16" ht="13.9" customHeight="1" x14ac:dyDescent="0.25">
      <c r="B50" s="129" t="s">
        <v>78</v>
      </c>
      <c r="C50" s="130"/>
      <c r="D50" s="90">
        <f>D42+D46+D49</f>
        <v>2</v>
      </c>
      <c r="E50" s="91">
        <f t="shared" ref="E50:O50" si="3">E42+E46+E49</f>
        <v>2958503.7199999997</v>
      </c>
      <c r="F50" s="92">
        <f t="shared" si="3"/>
        <v>34</v>
      </c>
      <c r="G50" s="93">
        <f t="shared" si="3"/>
        <v>52274472.980000004</v>
      </c>
      <c r="H50" s="90">
        <f t="shared" si="3"/>
        <v>73</v>
      </c>
      <c r="I50" s="91">
        <f t="shared" si="3"/>
        <v>107572724.07000002</v>
      </c>
      <c r="J50" s="92">
        <f t="shared" si="3"/>
        <v>92</v>
      </c>
      <c r="K50" s="93">
        <f t="shared" si="3"/>
        <v>123564472.45</v>
      </c>
      <c r="L50" s="90">
        <f t="shared" si="3"/>
        <v>124</v>
      </c>
      <c r="M50" s="91">
        <f t="shared" si="3"/>
        <v>173032047.25</v>
      </c>
      <c r="N50" s="90">
        <f t="shared" si="3"/>
        <v>285</v>
      </c>
      <c r="O50" s="91">
        <f t="shared" si="3"/>
        <v>355233722.82000011</v>
      </c>
      <c r="P50" s="94"/>
    </row>
    <row r="51" spans="2:16" ht="13.9" customHeight="1" x14ac:dyDescent="0.25">
      <c r="B51" s="129" t="s">
        <v>79</v>
      </c>
      <c r="C51" s="130"/>
      <c r="D51" s="97">
        <f>D50/SUM($D$50,$F$50,$H$50,$J$50,$L$50,$N$50)</f>
        <v>3.2786885245901639E-3</v>
      </c>
      <c r="E51" s="98">
        <f>E50/SUM($E$50,$G$50,$I$50,$K$50,$M$50,$O$50)</f>
        <v>3.6316881723285435E-3</v>
      </c>
      <c r="F51" s="97">
        <f>F50/SUM($D$50,$F$50,$H$50,$J$50,$L$50,$N$50)</f>
        <v>5.5737704918032788E-2</v>
      </c>
      <c r="G51" s="98">
        <f>G50/SUM($E$50,$G$50,$I$50,$K$50,$M$50,$O$50)</f>
        <v>6.4169121692425682E-2</v>
      </c>
      <c r="H51" s="97">
        <f>H50/SUM($D$50,$F$50,$H$50,$J$50,$L$50,$N$50)</f>
        <v>0.11967213114754098</v>
      </c>
      <c r="I51" s="98">
        <f>I50/SUM($E$50,$G$50,$I$50,$K$50,$M$50,$O$50)</f>
        <v>0.1320500586256424</v>
      </c>
      <c r="J51" s="97">
        <f>J50/SUM($D$50,$F$50,$H$50,$J$50,$L$50,$N$50)</f>
        <v>0.15081967213114755</v>
      </c>
      <c r="K51" s="98">
        <f>K50/SUM($E$50,$G$50,$I$50,$K$50,$M$50,$O$50)</f>
        <v>0.1516806046526388</v>
      </c>
      <c r="L51" s="97">
        <f>L50/SUM($D$50,$F$50,$H$50,$J$50,$L$50,$N$50)</f>
        <v>0.20327868852459016</v>
      </c>
      <c r="M51" s="98">
        <f>M50/SUM($E$50,$G$50,$I$50,$K$50,$M$50,$O$50)</f>
        <v>0.21240414037120722</v>
      </c>
      <c r="N51" s="97">
        <f>N50/SUM($D$50,$F$50,$H$50,$J$50,$L$50,$N$50)</f>
        <v>0.46721311475409838</v>
      </c>
      <c r="O51" s="98">
        <f>O50/SUM($E$50,$G$50,$I$50,$K$50,$M$50,$O$50)</f>
        <v>0.43606438648575729</v>
      </c>
      <c r="P51" s="99"/>
    </row>
    <row r="52" spans="2:16" ht="13.9" customHeight="1" x14ac:dyDescent="0.25">
      <c r="B52" s="131" t="s">
        <v>80</v>
      </c>
      <c r="C52" s="132"/>
      <c r="D52" s="102">
        <f>D51</f>
        <v>3.2786885245901639E-3</v>
      </c>
      <c r="E52" s="103">
        <f>E51</f>
        <v>3.6316881723285435E-3</v>
      </c>
      <c r="F52" s="102">
        <f>D51+F51</f>
        <v>5.9016393442622953E-2</v>
      </c>
      <c r="G52" s="103">
        <f>E51+G51</f>
        <v>6.780080986475423E-2</v>
      </c>
      <c r="H52" s="102">
        <f>F51+H51+D51</f>
        <v>0.17868852459016391</v>
      </c>
      <c r="I52" s="103">
        <f>G51+I51+E51</f>
        <v>0.1998508684903966</v>
      </c>
      <c r="J52" s="102">
        <f>H51+J51+F51+D51</f>
        <v>0.32950819672131154</v>
      </c>
      <c r="K52" s="103">
        <f>I51+K51+G51+E51</f>
        <v>0.35153147314303546</v>
      </c>
      <c r="L52" s="102">
        <f>J51+L51+H51+F51+D51</f>
        <v>0.53278688524590168</v>
      </c>
      <c r="M52" s="103">
        <f>K51+M51+I51+G51+E51</f>
        <v>0.5639356135142426</v>
      </c>
      <c r="N52" s="102">
        <f>L51+N51+J51+H51+F51+D51</f>
        <v>0.99999999999999989</v>
      </c>
      <c r="O52" s="103">
        <f>M51+O51+K51+I51+G51+E51</f>
        <v>1</v>
      </c>
      <c r="P52" s="99"/>
    </row>
    <row r="53" spans="2:16" ht="13.9" customHeight="1" x14ac:dyDescent="0.25"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  <row r="54" spans="2:16" ht="13.9" customHeight="1" x14ac:dyDescent="0.25"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  <row r="55" spans="2:16" ht="13.9" customHeight="1" x14ac:dyDescent="0.25">
      <c r="B55" s="133" t="s">
        <v>26</v>
      </c>
      <c r="C55" s="120" t="s">
        <v>19</v>
      </c>
      <c r="D55" s="73" t="s">
        <v>20</v>
      </c>
      <c r="E55" s="74"/>
      <c r="F55" s="75" t="s">
        <v>21</v>
      </c>
      <c r="G55" s="76"/>
      <c r="H55" s="73" t="s">
        <v>22</v>
      </c>
      <c r="I55" s="74"/>
      <c r="J55" s="75" t="s">
        <v>23</v>
      </c>
      <c r="K55" s="76"/>
      <c r="L55" s="73" t="s">
        <v>24</v>
      </c>
      <c r="M55" s="74"/>
      <c r="N55" s="73" t="s">
        <v>25</v>
      </c>
      <c r="O55" s="74"/>
      <c r="P55" s="77"/>
    </row>
    <row r="56" spans="2:16" ht="13.9" customHeight="1" x14ac:dyDescent="0.25">
      <c r="B56" s="134"/>
      <c r="C56" s="124" t="s">
        <v>102</v>
      </c>
      <c r="D56" s="79" t="s">
        <v>81</v>
      </c>
      <c r="E56" s="80" t="s">
        <v>82</v>
      </c>
      <c r="F56" s="79" t="s">
        <v>81</v>
      </c>
      <c r="G56" s="80" t="s">
        <v>82</v>
      </c>
      <c r="H56" s="79" t="s">
        <v>81</v>
      </c>
      <c r="I56" s="80" t="s">
        <v>82</v>
      </c>
      <c r="J56" s="79" t="s">
        <v>81</v>
      </c>
      <c r="K56" s="80" t="s">
        <v>82</v>
      </c>
      <c r="L56" s="79" t="s">
        <v>81</v>
      </c>
      <c r="M56" s="80" t="s">
        <v>82</v>
      </c>
      <c r="N56" s="79" t="s">
        <v>81</v>
      </c>
      <c r="O56" s="80" t="s">
        <v>82</v>
      </c>
      <c r="P56" s="83"/>
    </row>
    <row r="57" spans="2:16" ht="13.9" customHeight="1" outlineLevel="1" x14ac:dyDescent="0.25">
      <c r="B57" s="134" t="s">
        <v>30</v>
      </c>
      <c r="C57" s="126" t="s">
        <v>31</v>
      </c>
      <c r="D57" s="85">
        <v>0</v>
      </c>
      <c r="E57" s="86">
        <v>0</v>
      </c>
      <c r="F57" s="85">
        <v>0</v>
      </c>
      <c r="G57" s="86">
        <v>0</v>
      </c>
      <c r="H57" s="85">
        <v>0</v>
      </c>
      <c r="I57" s="86">
        <v>0</v>
      </c>
      <c r="J57" s="85">
        <v>0</v>
      </c>
      <c r="K57" s="86">
        <v>0</v>
      </c>
      <c r="L57" s="85">
        <v>7561697.4199999999</v>
      </c>
      <c r="M57" s="86">
        <v>5212029.17</v>
      </c>
      <c r="N57" s="85">
        <v>13552542.139999999</v>
      </c>
      <c r="O57" s="86">
        <v>7189820.4125000006</v>
      </c>
      <c r="P57" s="87"/>
    </row>
    <row r="58" spans="2:16" ht="13.9" customHeight="1" outlineLevel="1" x14ac:dyDescent="0.25">
      <c r="B58" s="134"/>
      <c r="C58" s="126" t="s">
        <v>32</v>
      </c>
      <c r="D58" s="85">
        <v>0</v>
      </c>
      <c r="E58" s="86">
        <v>0</v>
      </c>
      <c r="F58" s="85">
        <v>0</v>
      </c>
      <c r="G58" s="86">
        <v>0</v>
      </c>
      <c r="H58" s="85">
        <v>0</v>
      </c>
      <c r="I58" s="86">
        <v>0</v>
      </c>
      <c r="J58" s="85">
        <v>0</v>
      </c>
      <c r="K58" s="86">
        <v>0</v>
      </c>
      <c r="L58" s="85">
        <v>0</v>
      </c>
      <c r="M58" s="86">
        <v>0</v>
      </c>
      <c r="N58" s="85">
        <v>10086773.870000001</v>
      </c>
      <c r="O58" s="86">
        <v>1351379.8100000003</v>
      </c>
      <c r="P58" s="87"/>
    </row>
    <row r="59" spans="2:16" ht="13.9" customHeight="1" outlineLevel="1" x14ac:dyDescent="0.25">
      <c r="B59" s="134"/>
      <c r="C59" s="126" t="s">
        <v>33</v>
      </c>
      <c r="D59" s="85">
        <v>0</v>
      </c>
      <c r="E59" s="86">
        <v>0</v>
      </c>
      <c r="F59" s="85">
        <v>0</v>
      </c>
      <c r="G59" s="86">
        <v>0</v>
      </c>
      <c r="H59" s="85">
        <v>0</v>
      </c>
      <c r="I59" s="86">
        <v>0</v>
      </c>
      <c r="J59" s="85">
        <v>0</v>
      </c>
      <c r="K59" s="86">
        <v>0</v>
      </c>
      <c r="L59" s="85">
        <v>0</v>
      </c>
      <c r="M59" s="86">
        <v>0</v>
      </c>
      <c r="N59" s="85">
        <v>37943657.690000013</v>
      </c>
      <c r="O59" s="86">
        <v>11621962.970000001</v>
      </c>
      <c r="P59" s="87"/>
    </row>
    <row r="60" spans="2:16" ht="13.9" customHeight="1" outlineLevel="1" x14ac:dyDescent="0.25">
      <c r="B60" s="134"/>
      <c r="C60" s="126" t="s">
        <v>34</v>
      </c>
      <c r="D60" s="85">
        <v>0</v>
      </c>
      <c r="E60" s="86">
        <v>0</v>
      </c>
      <c r="F60" s="85">
        <v>0</v>
      </c>
      <c r="G60" s="86">
        <v>0</v>
      </c>
      <c r="H60" s="85">
        <v>0</v>
      </c>
      <c r="I60" s="86">
        <v>0</v>
      </c>
      <c r="J60" s="85">
        <v>0</v>
      </c>
      <c r="K60" s="86">
        <v>0</v>
      </c>
      <c r="L60" s="85">
        <v>3695486.92</v>
      </c>
      <c r="M60" s="86">
        <v>2982532.83</v>
      </c>
      <c r="N60" s="85">
        <v>6076296.3300000001</v>
      </c>
      <c r="O60" s="86">
        <v>2997152.42</v>
      </c>
      <c r="P60" s="87"/>
    </row>
    <row r="61" spans="2:16" ht="13.9" customHeight="1" outlineLevel="1" x14ac:dyDescent="0.25">
      <c r="B61" s="134"/>
      <c r="C61" s="126" t="s">
        <v>35</v>
      </c>
      <c r="D61" s="85">
        <v>0</v>
      </c>
      <c r="E61" s="86">
        <v>0</v>
      </c>
      <c r="F61" s="85">
        <v>0</v>
      </c>
      <c r="G61" s="86">
        <v>0</v>
      </c>
      <c r="H61" s="85">
        <v>0</v>
      </c>
      <c r="I61" s="86">
        <v>0</v>
      </c>
      <c r="J61" s="85">
        <v>0</v>
      </c>
      <c r="K61" s="86">
        <v>0</v>
      </c>
      <c r="L61" s="85">
        <v>1279017.2</v>
      </c>
      <c r="M61" s="86">
        <v>852678.8</v>
      </c>
      <c r="N61" s="85">
        <v>80772395.559999987</v>
      </c>
      <c r="O61" s="86">
        <v>257933.85000000021</v>
      </c>
      <c r="P61" s="87"/>
    </row>
    <row r="62" spans="2:16" ht="13.9" customHeight="1" outlineLevel="1" x14ac:dyDescent="0.25">
      <c r="B62" s="134"/>
      <c r="C62" s="126" t="s">
        <v>36</v>
      </c>
      <c r="D62" s="85">
        <v>0</v>
      </c>
      <c r="E62" s="86">
        <v>0</v>
      </c>
      <c r="F62" s="85">
        <v>0</v>
      </c>
      <c r="G62" s="86">
        <v>0</v>
      </c>
      <c r="H62" s="85">
        <v>0</v>
      </c>
      <c r="I62" s="86">
        <v>0</v>
      </c>
      <c r="J62" s="85">
        <v>0</v>
      </c>
      <c r="K62" s="86">
        <v>0</v>
      </c>
      <c r="L62" s="85">
        <v>0</v>
      </c>
      <c r="M62" s="86">
        <v>0</v>
      </c>
      <c r="N62" s="85">
        <v>0</v>
      </c>
      <c r="O62" s="86">
        <v>0</v>
      </c>
      <c r="P62" s="87"/>
    </row>
    <row r="63" spans="2:16" ht="13.9" customHeight="1" outlineLevel="1" x14ac:dyDescent="0.25">
      <c r="B63" s="134"/>
      <c r="C63" s="126" t="s">
        <v>37</v>
      </c>
      <c r="D63" s="85">
        <v>0</v>
      </c>
      <c r="E63" s="86">
        <v>0</v>
      </c>
      <c r="F63" s="85">
        <v>0</v>
      </c>
      <c r="G63" s="86">
        <v>0</v>
      </c>
      <c r="H63" s="85">
        <v>0</v>
      </c>
      <c r="I63" s="86">
        <v>0</v>
      </c>
      <c r="J63" s="85">
        <v>0</v>
      </c>
      <c r="K63" s="86">
        <v>0</v>
      </c>
      <c r="L63" s="85">
        <v>0</v>
      </c>
      <c r="M63" s="86">
        <v>0</v>
      </c>
      <c r="N63" s="85">
        <v>37549100.889999993</v>
      </c>
      <c r="O63" s="86">
        <v>8.0000000074505806E-2</v>
      </c>
      <c r="P63" s="87"/>
    </row>
    <row r="64" spans="2:16" ht="13.9" customHeight="1" outlineLevel="1" x14ac:dyDescent="0.25">
      <c r="B64" s="134"/>
      <c r="C64" s="126" t="s">
        <v>38</v>
      </c>
      <c r="D64" s="85">
        <v>0</v>
      </c>
      <c r="E64" s="86">
        <v>0</v>
      </c>
      <c r="F64" s="85">
        <v>0</v>
      </c>
      <c r="G64" s="86">
        <v>0</v>
      </c>
      <c r="H64" s="85">
        <v>0</v>
      </c>
      <c r="I64" s="86">
        <v>0</v>
      </c>
      <c r="J64" s="85">
        <v>0</v>
      </c>
      <c r="K64" s="86">
        <v>0</v>
      </c>
      <c r="L64" s="85">
        <v>0</v>
      </c>
      <c r="M64" s="86">
        <v>0</v>
      </c>
      <c r="N64" s="85">
        <v>0</v>
      </c>
      <c r="O64" s="86">
        <v>0</v>
      </c>
      <c r="P64" s="87"/>
    </row>
    <row r="65" spans="2:16" ht="13.9" customHeight="1" outlineLevel="1" x14ac:dyDescent="0.25">
      <c r="B65" s="134"/>
      <c r="C65" s="126" t="s">
        <v>39</v>
      </c>
      <c r="D65" s="85">
        <v>0</v>
      </c>
      <c r="E65" s="86">
        <v>0</v>
      </c>
      <c r="F65" s="85">
        <v>0</v>
      </c>
      <c r="G65" s="86">
        <v>0</v>
      </c>
      <c r="H65" s="85">
        <v>0</v>
      </c>
      <c r="I65" s="86">
        <v>0</v>
      </c>
      <c r="J65" s="85">
        <v>0</v>
      </c>
      <c r="K65" s="86">
        <v>0</v>
      </c>
      <c r="L65" s="85">
        <v>0</v>
      </c>
      <c r="M65" s="86">
        <v>0</v>
      </c>
      <c r="N65" s="85">
        <v>0</v>
      </c>
      <c r="O65" s="86">
        <v>0</v>
      </c>
      <c r="P65" s="87"/>
    </row>
    <row r="66" spans="2:16" ht="13.9" customHeight="1" outlineLevel="1" x14ac:dyDescent="0.25">
      <c r="B66" s="134"/>
      <c r="C66" s="126" t="s">
        <v>40</v>
      </c>
      <c r="D66" s="85">
        <v>0</v>
      </c>
      <c r="E66" s="86">
        <v>0</v>
      </c>
      <c r="F66" s="85">
        <v>0</v>
      </c>
      <c r="G66" s="86">
        <v>0</v>
      </c>
      <c r="H66" s="85">
        <v>0</v>
      </c>
      <c r="I66" s="86">
        <v>0</v>
      </c>
      <c r="J66" s="85">
        <v>0</v>
      </c>
      <c r="K66" s="86">
        <v>0</v>
      </c>
      <c r="L66" s="85">
        <v>0</v>
      </c>
      <c r="M66" s="86">
        <v>0</v>
      </c>
      <c r="N66" s="85">
        <v>0</v>
      </c>
      <c r="O66" s="86">
        <v>0</v>
      </c>
      <c r="P66" s="87"/>
    </row>
    <row r="67" spans="2:16" ht="13.9" customHeight="1" outlineLevel="1" x14ac:dyDescent="0.25">
      <c r="B67" s="134"/>
      <c r="C67" s="126" t="s">
        <v>41</v>
      </c>
      <c r="D67" s="85">
        <v>0</v>
      </c>
      <c r="E67" s="86">
        <v>0</v>
      </c>
      <c r="F67" s="85">
        <v>0</v>
      </c>
      <c r="G67" s="86">
        <v>0</v>
      </c>
      <c r="H67" s="85">
        <v>0</v>
      </c>
      <c r="I67" s="86">
        <v>0</v>
      </c>
      <c r="J67" s="85">
        <v>0</v>
      </c>
      <c r="K67" s="86">
        <v>0</v>
      </c>
      <c r="L67" s="85">
        <v>0</v>
      </c>
      <c r="M67" s="86">
        <v>0</v>
      </c>
      <c r="N67" s="85">
        <v>8687732.6600000001</v>
      </c>
      <c r="O67" s="86">
        <v>2.9000000000232831</v>
      </c>
      <c r="P67" s="87"/>
    </row>
    <row r="68" spans="2:16" ht="13.9" customHeight="1" outlineLevel="1" x14ac:dyDescent="0.25">
      <c r="B68" s="134"/>
      <c r="C68" s="126" t="s">
        <v>42</v>
      </c>
      <c r="D68" s="85">
        <v>0</v>
      </c>
      <c r="E68" s="86">
        <v>0</v>
      </c>
      <c r="F68" s="85">
        <v>1302821.3499999999</v>
      </c>
      <c r="G68" s="86">
        <v>6965329.7999999998</v>
      </c>
      <c r="H68" s="85">
        <v>2652510.79</v>
      </c>
      <c r="I68" s="86">
        <v>7913881.46</v>
      </c>
      <c r="J68" s="85">
        <v>1265425.71</v>
      </c>
      <c r="K68" s="86">
        <v>2078756.1300000001</v>
      </c>
      <c r="L68" s="85">
        <v>15709429.65</v>
      </c>
      <c r="M68" s="86">
        <v>16749205.4</v>
      </c>
      <c r="N68" s="85">
        <v>24257492.07</v>
      </c>
      <c r="O68" s="86">
        <v>9979123.1600000001</v>
      </c>
      <c r="P68" s="87"/>
    </row>
    <row r="69" spans="2:16" ht="13.9" customHeight="1" outlineLevel="1" x14ac:dyDescent="0.25">
      <c r="B69" s="134"/>
      <c r="C69" s="126" t="s">
        <v>43</v>
      </c>
      <c r="D69" s="85">
        <v>0</v>
      </c>
      <c r="E69" s="86">
        <v>0</v>
      </c>
      <c r="F69" s="85">
        <v>0</v>
      </c>
      <c r="G69" s="86">
        <v>0</v>
      </c>
      <c r="H69" s="85">
        <v>0</v>
      </c>
      <c r="I69" s="86">
        <v>0</v>
      </c>
      <c r="J69" s="85">
        <v>0</v>
      </c>
      <c r="K69" s="86">
        <v>0</v>
      </c>
      <c r="L69" s="85">
        <v>0</v>
      </c>
      <c r="M69" s="86">
        <v>0</v>
      </c>
      <c r="N69" s="85">
        <v>0</v>
      </c>
      <c r="O69" s="86">
        <v>0</v>
      </c>
      <c r="P69" s="87"/>
    </row>
    <row r="70" spans="2:16" ht="13.9" customHeight="1" outlineLevel="1" x14ac:dyDescent="0.25">
      <c r="B70" s="134"/>
      <c r="C70" s="126" t="s">
        <v>44</v>
      </c>
      <c r="D70" s="85">
        <v>0</v>
      </c>
      <c r="E70" s="86">
        <v>0</v>
      </c>
      <c r="F70" s="85">
        <v>324575</v>
      </c>
      <c r="G70" s="86">
        <v>1298300.5</v>
      </c>
      <c r="H70" s="85">
        <v>1805451.62</v>
      </c>
      <c r="I70" s="86">
        <v>4940716.54</v>
      </c>
      <c r="J70" s="85">
        <v>2284437.19</v>
      </c>
      <c r="K70" s="86">
        <v>4972623.5599999996</v>
      </c>
      <c r="L70" s="85">
        <v>0</v>
      </c>
      <c r="M70" s="86">
        <v>0</v>
      </c>
      <c r="N70" s="85">
        <v>0</v>
      </c>
      <c r="O70" s="86">
        <v>0</v>
      </c>
      <c r="P70" s="87"/>
    </row>
    <row r="71" spans="2:16" ht="13.9" customHeight="1" outlineLevel="1" x14ac:dyDescent="0.25">
      <c r="B71" s="134"/>
      <c r="C71" s="126" t="s">
        <v>45</v>
      </c>
      <c r="D71" s="85">
        <v>0</v>
      </c>
      <c r="E71" s="86">
        <v>0</v>
      </c>
      <c r="F71" s="85">
        <v>719958.32000000007</v>
      </c>
      <c r="G71" s="86">
        <v>3825691.66</v>
      </c>
      <c r="H71" s="85">
        <v>2748672.38</v>
      </c>
      <c r="I71" s="86">
        <v>9276055.5199999996</v>
      </c>
      <c r="J71" s="85">
        <v>3496392.75</v>
      </c>
      <c r="K71" s="86">
        <v>7352363.0399999991</v>
      </c>
      <c r="L71" s="85">
        <v>1412043.97</v>
      </c>
      <c r="M71" s="86">
        <v>967606.32999999984</v>
      </c>
      <c r="N71" s="85">
        <v>0</v>
      </c>
      <c r="O71" s="86">
        <v>0</v>
      </c>
      <c r="P71" s="87"/>
    </row>
    <row r="72" spans="2:16" ht="13.9" customHeight="1" outlineLevel="1" x14ac:dyDescent="0.25">
      <c r="B72" s="134"/>
      <c r="C72" s="126" t="s">
        <v>46</v>
      </c>
      <c r="D72" s="85">
        <v>0</v>
      </c>
      <c r="E72" s="86">
        <v>0</v>
      </c>
      <c r="F72" s="85">
        <v>0</v>
      </c>
      <c r="G72" s="86">
        <v>0</v>
      </c>
      <c r="H72" s="85">
        <v>0</v>
      </c>
      <c r="I72" s="86">
        <v>0</v>
      </c>
      <c r="J72" s="85">
        <v>0</v>
      </c>
      <c r="K72" s="86">
        <v>0</v>
      </c>
      <c r="L72" s="85">
        <v>0</v>
      </c>
      <c r="M72" s="86">
        <v>0</v>
      </c>
      <c r="N72" s="85">
        <v>0</v>
      </c>
      <c r="O72" s="86">
        <v>0</v>
      </c>
      <c r="P72" s="87"/>
    </row>
    <row r="73" spans="2:16" ht="13.9" customHeight="1" outlineLevel="1" x14ac:dyDescent="0.25">
      <c r="B73" s="134"/>
      <c r="C73" s="126" t="s">
        <v>47</v>
      </c>
      <c r="D73" s="85">
        <v>0</v>
      </c>
      <c r="E73" s="86">
        <v>0</v>
      </c>
      <c r="F73" s="85">
        <v>164259</v>
      </c>
      <c r="G73" s="86">
        <v>1463792.4</v>
      </c>
      <c r="H73" s="85">
        <v>669285</v>
      </c>
      <c r="I73" s="86">
        <v>1916432.99</v>
      </c>
      <c r="J73" s="85">
        <v>1469363</v>
      </c>
      <c r="K73" s="86">
        <v>3428511.04</v>
      </c>
      <c r="L73" s="85">
        <v>4892878</v>
      </c>
      <c r="M73" s="86">
        <v>3939577.6399999997</v>
      </c>
      <c r="N73" s="85">
        <v>17126136.900000002</v>
      </c>
      <c r="O73" s="86">
        <v>6588950.3500000006</v>
      </c>
      <c r="P73" s="87"/>
    </row>
    <row r="74" spans="2:16" ht="13.9" customHeight="1" outlineLevel="1" x14ac:dyDescent="0.25">
      <c r="B74" s="134"/>
      <c r="C74" s="126" t="s">
        <v>48</v>
      </c>
      <c r="D74" s="85">
        <v>0</v>
      </c>
      <c r="E74" s="86">
        <v>0</v>
      </c>
      <c r="F74" s="85">
        <v>107479.48</v>
      </c>
      <c r="G74" s="86">
        <v>967608.62000000011</v>
      </c>
      <c r="H74" s="85">
        <v>1569122</v>
      </c>
      <c r="I74" s="86">
        <v>4112694.7499999995</v>
      </c>
      <c r="J74" s="85">
        <v>4989834.46</v>
      </c>
      <c r="K74" s="86">
        <v>10264382.889999999</v>
      </c>
      <c r="L74" s="85">
        <v>13763202.000000002</v>
      </c>
      <c r="M74" s="86">
        <v>13979122.899999995</v>
      </c>
      <c r="N74" s="85">
        <v>7302386.5599999996</v>
      </c>
      <c r="O74" s="86">
        <v>2394305.4400000004</v>
      </c>
      <c r="P74" s="87"/>
    </row>
    <row r="75" spans="2:16" ht="13.9" customHeight="1" outlineLevel="1" x14ac:dyDescent="0.25">
      <c r="B75" s="134"/>
      <c r="C75" s="126" t="s">
        <v>49</v>
      </c>
      <c r="D75" s="85">
        <v>0</v>
      </c>
      <c r="E75" s="86">
        <v>0</v>
      </c>
      <c r="F75" s="85">
        <v>394454</v>
      </c>
      <c r="G75" s="86">
        <v>1922476</v>
      </c>
      <c r="H75" s="85">
        <v>0</v>
      </c>
      <c r="I75" s="86">
        <v>0</v>
      </c>
      <c r="J75" s="85">
        <v>0</v>
      </c>
      <c r="K75" s="86">
        <v>0</v>
      </c>
      <c r="L75" s="85">
        <v>0</v>
      </c>
      <c r="M75" s="86">
        <v>0</v>
      </c>
      <c r="N75" s="85">
        <v>0</v>
      </c>
      <c r="O75" s="86">
        <v>0</v>
      </c>
      <c r="P75" s="87"/>
    </row>
    <row r="76" spans="2:16" ht="13.9" customHeight="1" outlineLevel="1" x14ac:dyDescent="0.25">
      <c r="B76" s="134"/>
      <c r="C76" s="126" t="s">
        <v>50</v>
      </c>
      <c r="D76" s="85">
        <v>0</v>
      </c>
      <c r="E76" s="86">
        <v>0</v>
      </c>
      <c r="F76" s="85">
        <v>0</v>
      </c>
      <c r="G76" s="86">
        <v>0</v>
      </c>
      <c r="H76" s="85">
        <v>0</v>
      </c>
      <c r="I76" s="86">
        <v>0</v>
      </c>
      <c r="J76" s="85">
        <v>0</v>
      </c>
      <c r="K76" s="86">
        <v>0</v>
      </c>
      <c r="L76" s="85">
        <v>0</v>
      </c>
      <c r="M76" s="86">
        <v>0</v>
      </c>
      <c r="N76" s="85">
        <v>0</v>
      </c>
      <c r="O76" s="86">
        <v>0</v>
      </c>
      <c r="P76" s="87"/>
    </row>
    <row r="77" spans="2:16" ht="13.9" customHeight="1" outlineLevel="1" x14ac:dyDescent="0.25">
      <c r="B77" s="134"/>
      <c r="C77" s="126" t="s">
        <v>51</v>
      </c>
      <c r="D77" s="85">
        <v>0</v>
      </c>
      <c r="E77" s="86">
        <v>0</v>
      </c>
      <c r="F77" s="85">
        <v>1279182.1100000001</v>
      </c>
      <c r="G77" s="86">
        <v>5467108.1399999997</v>
      </c>
      <c r="H77" s="85">
        <v>3760936.33</v>
      </c>
      <c r="I77" s="86">
        <v>11141430.120000001</v>
      </c>
      <c r="J77" s="85">
        <v>7192949.0800000001</v>
      </c>
      <c r="K77" s="86">
        <v>13413096.420000002</v>
      </c>
      <c r="L77" s="85">
        <v>2646647.88</v>
      </c>
      <c r="M77" s="86">
        <v>3795471.12</v>
      </c>
      <c r="N77" s="85">
        <v>0</v>
      </c>
      <c r="O77" s="86">
        <v>0</v>
      </c>
      <c r="P77" s="87"/>
    </row>
    <row r="78" spans="2:16" ht="13.9" customHeight="1" outlineLevel="1" x14ac:dyDescent="0.25">
      <c r="B78" s="134"/>
      <c r="C78" s="126" t="s">
        <v>52</v>
      </c>
      <c r="D78" s="85">
        <v>0</v>
      </c>
      <c r="E78" s="86">
        <v>0</v>
      </c>
      <c r="F78" s="85">
        <v>699361.79</v>
      </c>
      <c r="G78" s="86">
        <v>2797448.41</v>
      </c>
      <c r="H78" s="85">
        <v>1015183</v>
      </c>
      <c r="I78" s="86">
        <v>4060523.2</v>
      </c>
      <c r="J78" s="85">
        <v>0</v>
      </c>
      <c r="K78" s="86">
        <v>0</v>
      </c>
      <c r="L78" s="85">
        <v>0</v>
      </c>
      <c r="M78" s="86">
        <v>0</v>
      </c>
      <c r="N78" s="85">
        <v>0</v>
      </c>
      <c r="O78" s="86">
        <v>0</v>
      </c>
      <c r="P78" s="87"/>
    </row>
    <row r="79" spans="2:16" ht="13.9" customHeight="1" outlineLevel="1" x14ac:dyDescent="0.25">
      <c r="B79" s="134"/>
      <c r="C79" s="126" t="s">
        <v>53</v>
      </c>
      <c r="D79" s="85">
        <v>0</v>
      </c>
      <c r="E79" s="86">
        <v>0</v>
      </c>
      <c r="F79" s="85">
        <v>0</v>
      </c>
      <c r="G79" s="86">
        <v>0</v>
      </c>
      <c r="H79" s="85">
        <v>0</v>
      </c>
      <c r="I79" s="86">
        <v>0</v>
      </c>
      <c r="J79" s="85">
        <v>0</v>
      </c>
      <c r="K79" s="86">
        <v>0</v>
      </c>
      <c r="L79" s="85">
        <v>0</v>
      </c>
      <c r="M79" s="86">
        <v>0</v>
      </c>
      <c r="N79" s="85">
        <v>0</v>
      </c>
      <c r="O79" s="86">
        <v>0</v>
      </c>
      <c r="P79" s="87"/>
    </row>
    <row r="80" spans="2:16" ht="13.9" customHeight="1" outlineLevel="1" x14ac:dyDescent="0.25">
      <c r="B80" s="134"/>
      <c r="C80" s="126" t="s">
        <v>54</v>
      </c>
      <c r="D80" s="85">
        <v>0</v>
      </c>
      <c r="E80" s="86">
        <v>0</v>
      </c>
      <c r="F80" s="85">
        <v>337706</v>
      </c>
      <c r="G80" s="86">
        <v>1350825.25</v>
      </c>
      <c r="H80" s="85">
        <v>985021</v>
      </c>
      <c r="I80" s="86">
        <v>3939700.9000000004</v>
      </c>
      <c r="J80" s="85">
        <v>562740</v>
      </c>
      <c r="K80" s="86">
        <v>1113459</v>
      </c>
      <c r="L80" s="85">
        <v>0</v>
      </c>
      <c r="M80" s="86">
        <v>0</v>
      </c>
      <c r="N80" s="85">
        <v>0</v>
      </c>
      <c r="O80" s="86">
        <v>0</v>
      </c>
      <c r="P80" s="87"/>
    </row>
    <row r="81" spans="2:16" ht="13.9" customHeight="1" outlineLevel="1" x14ac:dyDescent="0.25">
      <c r="B81" s="134"/>
      <c r="C81" s="126" t="s">
        <v>55</v>
      </c>
      <c r="D81" s="85">
        <v>0</v>
      </c>
      <c r="E81" s="86">
        <v>0</v>
      </c>
      <c r="F81" s="85">
        <v>424121</v>
      </c>
      <c r="G81" s="86">
        <v>1708682.15</v>
      </c>
      <c r="H81" s="85">
        <v>0</v>
      </c>
      <c r="I81" s="86">
        <v>0</v>
      </c>
      <c r="J81" s="85">
        <v>0</v>
      </c>
      <c r="K81" s="86">
        <v>0</v>
      </c>
      <c r="L81" s="85">
        <v>0</v>
      </c>
      <c r="M81" s="86">
        <v>0</v>
      </c>
      <c r="N81" s="85">
        <v>0</v>
      </c>
      <c r="O81" s="86">
        <v>0</v>
      </c>
      <c r="P81" s="87"/>
    </row>
    <row r="82" spans="2:16" ht="13.9" customHeight="1" outlineLevel="1" x14ac:dyDescent="0.25">
      <c r="B82" s="134"/>
      <c r="C82" s="126" t="s">
        <v>56</v>
      </c>
      <c r="D82" s="85">
        <v>0</v>
      </c>
      <c r="E82" s="86">
        <v>0</v>
      </c>
      <c r="F82" s="85">
        <v>0</v>
      </c>
      <c r="G82" s="86">
        <v>0</v>
      </c>
      <c r="H82" s="85">
        <v>0</v>
      </c>
      <c r="I82" s="86">
        <v>0</v>
      </c>
      <c r="J82" s="85">
        <v>0</v>
      </c>
      <c r="K82" s="86">
        <v>0</v>
      </c>
      <c r="L82" s="85">
        <v>0</v>
      </c>
      <c r="M82" s="86">
        <v>0</v>
      </c>
      <c r="N82" s="85">
        <v>0</v>
      </c>
      <c r="O82" s="86">
        <v>0</v>
      </c>
      <c r="P82" s="87"/>
    </row>
    <row r="83" spans="2:16" ht="13.9" customHeight="1" outlineLevel="1" x14ac:dyDescent="0.25">
      <c r="B83" s="134"/>
      <c r="C83" s="126" t="s">
        <v>57</v>
      </c>
      <c r="D83" s="85">
        <v>0</v>
      </c>
      <c r="E83" s="86">
        <v>0</v>
      </c>
      <c r="F83" s="85">
        <v>0</v>
      </c>
      <c r="G83" s="86">
        <v>0</v>
      </c>
      <c r="H83" s="85">
        <v>0</v>
      </c>
      <c r="I83" s="86">
        <v>0</v>
      </c>
      <c r="J83" s="85">
        <v>0</v>
      </c>
      <c r="K83" s="86">
        <v>0</v>
      </c>
      <c r="L83" s="85">
        <v>0</v>
      </c>
      <c r="M83" s="86">
        <v>0</v>
      </c>
      <c r="N83" s="85">
        <v>0</v>
      </c>
      <c r="O83" s="86">
        <v>0</v>
      </c>
      <c r="P83" s="87"/>
    </row>
    <row r="84" spans="2:16" ht="13.9" customHeight="1" outlineLevel="1" x14ac:dyDescent="0.25">
      <c r="B84" s="134"/>
      <c r="C84" s="126" t="s">
        <v>58</v>
      </c>
      <c r="D84" s="85">
        <v>0</v>
      </c>
      <c r="E84" s="86">
        <v>0</v>
      </c>
      <c r="F84" s="85">
        <v>935331</v>
      </c>
      <c r="G84" s="86">
        <v>5089957.59</v>
      </c>
      <c r="H84" s="85">
        <v>591142.59000000008</v>
      </c>
      <c r="I84" s="86">
        <v>2364543.11</v>
      </c>
      <c r="J84" s="85">
        <v>0</v>
      </c>
      <c r="K84" s="86">
        <v>0</v>
      </c>
      <c r="L84" s="85">
        <v>0</v>
      </c>
      <c r="M84" s="86">
        <v>0</v>
      </c>
      <c r="N84" s="85">
        <v>0</v>
      </c>
      <c r="O84" s="86">
        <v>0</v>
      </c>
      <c r="P84" s="87"/>
    </row>
    <row r="85" spans="2:16" ht="13.9" customHeight="1" outlineLevel="1" x14ac:dyDescent="0.25">
      <c r="B85" s="134"/>
      <c r="C85" s="126" t="s">
        <v>59</v>
      </c>
      <c r="D85" s="85">
        <v>0</v>
      </c>
      <c r="E85" s="86">
        <v>0</v>
      </c>
      <c r="F85" s="85">
        <v>138856</v>
      </c>
      <c r="G85" s="86">
        <v>1249698.67</v>
      </c>
      <c r="H85" s="85">
        <v>601190.5</v>
      </c>
      <c r="I85" s="86">
        <v>2396854.1500000004</v>
      </c>
      <c r="J85" s="85">
        <v>0</v>
      </c>
      <c r="K85" s="86">
        <v>0</v>
      </c>
      <c r="L85" s="85">
        <v>0</v>
      </c>
      <c r="M85" s="86">
        <v>0</v>
      </c>
      <c r="N85" s="85">
        <v>0</v>
      </c>
      <c r="O85" s="86">
        <v>0</v>
      </c>
      <c r="P85" s="87"/>
    </row>
    <row r="86" spans="2:16" ht="13.9" customHeight="1" outlineLevel="1" x14ac:dyDescent="0.25">
      <c r="B86" s="134"/>
      <c r="C86" s="126" t="s">
        <v>60</v>
      </c>
      <c r="D86" s="85">
        <v>0</v>
      </c>
      <c r="E86" s="86">
        <v>0</v>
      </c>
      <c r="F86" s="85">
        <v>0</v>
      </c>
      <c r="G86" s="86">
        <v>0</v>
      </c>
      <c r="H86" s="85">
        <v>0</v>
      </c>
      <c r="I86" s="86">
        <v>0</v>
      </c>
      <c r="J86" s="85">
        <v>0</v>
      </c>
      <c r="K86" s="86">
        <v>0</v>
      </c>
      <c r="L86" s="85">
        <v>0</v>
      </c>
      <c r="M86" s="86">
        <v>0</v>
      </c>
      <c r="N86" s="85">
        <v>0</v>
      </c>
      <c r="O86" s="86">
        <v>0</v>
      </c>
      <c r="P86" s="87"/>
    </row>
    <row r="87" spans="2:16" ht="13.9" customHeight="1" outlineLevel="1" x14ac:dyDescent="0.25">
      <c r="B87" s="134"/>
      <c r="C87" s="126" t="s">
        <v>61</v>
      </c>
      <c r="D87" s="85">
        <v>0</v>
      </c>
      <c r="E87" s="86">
        <v>0</v>
      </c>
      <c r="F87" s="85">
        <v>0</v>
      </c>
      <c r="G87" s="86">
        <v>0</v>
      </c>
      <c r="H87" s="85">
        <v>0</v>
      </c>
      <c r="I87" s="86">
        <v>0</v>
      </c>
      <c r="J87" s="85">
        <v>0</v>
      </c>
      <c r="K87" s="86">
        <v>0</v>
      </c>
      <c r="L87" s="85">
        <v>0</v>
      </c>
      <c r="M87" s="86">
        <v>0</v>
      </c>
      <c r="N87" s="85">
        <v>0</v>
      </c>
      <c r="O87" s="86">
        <v>0</v>
      </c>
      <c r="P87" s="87"/>
    </row>
    <row r="88" spans="2:16" ht="13.9" customHeight="1" outlineLevel="1" x14ac:dyDescent="0.25">
      <c r="B88" s="134"/>
      <c r="C88" s="126" t="s">
        <v>62</v>
      </c>
      <c r="D88" s="85">
        <v>0</v>
      </c>
      <c r="E88" s="86">
        <v>0</v>
      </c>
      <c r="F88" s="85">
        <v>0</v>
      </c>
      <c r="G88" s="86">
        <v>0</v>
      </c>
      <c r="H88" s="85">
        <v>0</v>
      </c>
      <c r="I88" s="86">
        <v>0</v>
      </c>
      <c r="J88" s="85">
        <v>0</v>
      </c>
      <c r="K88" s="86">
        <v>0</v>
      </c>
      <c r="L88" s="85">
        <v>0</v>
      </c>
      <c r="M88" s="86">
        <v>0</v>
      </c>
      <c r="N88" s="85">
        <v>0</v>
      </c>
      <c r="O88" s="86">
        <v>0</v>
      </c>
      <c r="P88" s="87"/>
    </row>
    <row r="89" spans="2:16" ht="13.9" customHeight="1" outlineLevel="1" x14ac:dyDescent="0.25">
      <c r="B89" s="134"/>
      <c r="C89" s="126" t="s">
        <v>63</v>
      </c>
      <c r="D89" s="85">
        <v>0</v>
      </c>
      <c r="E89" s="86">
        <v>0</v>
      </c>
      <c r="F89" s="85">
        <v>0</v>
      </c>
      <c r="G89" s="86">
        <v>0</v>
      </c>
      <c r="H89" s="85">
        <v>0</v>
      </c>
      <c r="I89" s="86">
        <v>0</v>
      </c>
      <c r="J89" s="85">
        <v>0</v>
      </c>
      <c r="K89" s="86">
        <v>0</v>
      </c>
      <c r="L89" s="85">
        <v>0</v>
      </c>
      <c r="M89" s="86">
        <v>0</v>
      </c>
      <c r="N89" s="85">
        <v>0</v>
      </c>
      <c r="O89" s="86">
        <v>0</v>
      </c>
      <c r="P89" s="87"/>
    </row>
    <row r="90" spans="2:16" ht="13.9" customHeight="1" outlineLevel="1" x14ac:dyDescent="0.25">
      <c r="B90" s="134"/>
      <c r="C90" s="126" t="s">
        <v>64</v>
      </c>
      <c r="D90" s="85">
        <v>0</v>
      </c>
      <c r="E90" s="86">
        <v>0</v>
      </c>
      <c r="F90" s="85">
        <v>0</v>
      </c>
      <c r="G90" s="86">
        <v>0</v>
      </c>
      <c r="H90" s="85">
        <v>0</v>
      </c>
      <c r="I90" s="86">
        <v>0</v>
      </c>
      <c r="J90" s="85">
        <v>0</v>
      </c>
      <c r="K90" s="86">
        <v>0</v>
      </c>
      <c r="L90" s="85">
        <v>0</v>
      </c>
      <c r="M90" s="86">
        <v>0</v>
      </c>
      <c r="N90" s="85">
        <v>1465508</v>
      </c>
      <c r="O90" s="86">
        <v>630255.81000000006</v>
      </c>
      <c r="P90" s="87"/>
    </row>
    <row r="91" spans="2:16" ht="13.9" customHeight="1" outlineLevel="1" x14ac:dyDescent="0.25">
      <c r="B91" s="134"/>
      <c r="C91" s="126" t="s">
        <v>65</v>
      </c>
      <c r="D91" s="85">
        <v>0</v>
      </c>
      <c r="E91" s="86">
        <v>0</v>
      </c>
      <c r="F91" s="85">
        <v>0</v>
      </c>
      <c r="G91" s="86">
        <v>0</v>
      </c>
      <c r="H91" s="85">
        <v>0</v>
      </c>
      <c r="I91" s="86">
        <v>0</v>
      </c>
      <c r="J91" s="85">
        <v>0</v>
      </c>
      <c r="K91" s="86">
        <v>0</v>
      </c>
      <c r="L91" s="85">
        <v>0</v>
      </c>
      <c r="M91" s="86">
        <v>0</v>
      </c>
      <c r="N91" s="85">
        <v>38322922.719999991</v>
      </c>
      <c r="O91" s="86">
        <v>0.32999999984167516</v>
      </c>
      <c r="P91" s="87"/>
    </row>
    <row r="92" spans="2:16" ht="13.9" customHeight="1" outlineLevel="1" x14ac:dyDescent="0.25">
      <c r="B92" s="134"/>
      <c r="C92" s="126" t="s">
        <v>66</v>
      </c>
      <c r="D92" s="85">
        <v>0</v>
      </c>
      <c r="E92" s="86">
        <v>0</v>
      </c>
      <c r="F92" s="85">
        <v>0</v>
      </c>
      <c r="G92" s="86">
        <v>0</v>
      </c>
      <c r="H92" s="85">
        <v>0</v>
      </c>
      <c r="I92" s="86">
        <v>0</v>
      </c>
      <c r="J92" s="85">
        <v>0</v>
      </c>
      <c r="K92" s="86">
        <v>0</v>
      </c>
      <c r="L92" s="85">
        <v>0</v>
      </c>
      <c r="M92" s="86">
        <v>0</v>
      </c>
      <c r="N92" s="85">
        <v>17488483.370000001</v>
      </c>
      <c r="O92" s="86">
        <v>4.3700000001117587</v>
      </c>
      <c r="P92" s="87"/>
    </row>
    <row r="93" spans="2:16" ht="13.9" customHeight="1" outlineLevel="1" x14ac:dyDescent="0.25">
      <c r="B93" s="134"/>
      <c r="C93" s="126" t="s">
        <v>67</v>
      </c>
      <c r="D93" s="85">
        <v>0</v>
      </c>
      <c r="E93" s="86">
        <v>0</v>
      </c>
      <c r="F93" s="85">
        <v>0</v>
      </c>
      <c r="G93" s="86">
        <v>0</v>
      </c>
      <c r="H93" s="85">
        <v>0</v>
      </c>
      <c r="I93" s="86">
        <v>0</v>
      </c>
      <c r="J93" s="85">
        <v>0</v>
      </c>
      <c r="K93" s="86">
        <v>0</v>
      </c>
      <c r="L93" s="85">
        <v>0</v>
      </c>
      <c r="M93" s="86">
        <v>0</v>
      </c>
      <c r="N93" s="85">
        <v>3199807.9099999997</v>
      </c>
      <c r="O93" s="86">
        <v>1648651.09</v>
      </c>
      <c r="P93" s="87"/>
    </row>
    <row r="94" spans="2:16" ht="13.9" customHeight="1" x14ac:dyDescent="0.25">
      <c r="B94" s="134"/>
      <c r="C94" s="124" t="s">
        <v>103</v>
      </c>
      <c r="D94" s="90">
        <f t="shared" ref="D94:O94" si="4">SUM(D57:D93)</f>
        <v>0</v>
      </c>
      <c r="E94" s="91">
        <f t="shared" si="4"/>
        <v>0</v>
      </c>
      <c r="F94" s="92">
        <f t="shared" si="4"/>
        <v>6828105.0499999998</v>
      </c>
      <c r="G94" s="93">
        <f t="shared" si="4"/>
        <v>34106919.189999998</v>
      </c>
      <c r="H94" s="90">
        <f t="shared" si="4"/>
        <v>16398515.209999999</v>
      </c>
      <c r="I94" s="91">
        <f t="shared" si="4"/>
        <v>52062832.739999995</v>
      </c>
      <c r="J94" s="92">
        <f t="shared" si="4"/>
        <v>21261142.189999998</v>
      </c>
      <c r="K94" s="93">
        <f t="shared" si="4"/>
        <v>42623192.079999998</v>
      </c>
      <c r="L94" s="90">
        <f t="shared" si="4"/>
        <v>50960403.039999999</v>
      </c>
      <c r="M94" s="91">
        <f t="shared" si="4"/>
        <v>48478224.18999999</v>
      </c>
      <c r="N94" s="90">
        <f t="shared" si="4"/>
        <v>303831236.67000002</v>
      </c>
      <c r="O94" s="91">
        <f t="shared" si="4"/>
        <v>44659542.9925</v>
      </c>
      <c r="P94" s="94"/>
    </row>
    <row r="95" spans="2:16" ht="13.5" customHeight="1" outlineLevel="1" x14ac:dyDescent="0.25">
      <c r="B95" s="134" t="s">
        <v>83</v>
      </c>
      <c r="C95" s="126" t="s">
        <v>70</v>
      </c>
      <c r="D95" s="85">
        <v>59200</v>
      </c>
      <c r="E95" s="86">
        <v>2899303.7199999997</v>
      </c>
      <c r="F95" s="85">
        <v>449173</v>
      </c>
      <c r="G95" s="86">
        <v>1796692.6</v>
      </c>
      <c r="H95" s="85">
        <v>3637643.77</v>
      </c>
      <c r="I95" s="86">
        <v>11658112.459999999</v>
      </c>
      <c r="J95" s="85">
        <v>8301233.7700000005</v>
      </c>
      <c r="K95" s="86">
        <v>16154801.949999997</v>
      </c>
      <c r="L95" s="85">
        <v>24825305.899999995</v>
      </c>
      <c r="M95" s="86">
        <v>29922482.870000005</v>
      </c>
      <c r="N95" s="85">
        <v>4673004</v>
      </c>
      <c r="O95" s="86">
        <v>1885498.69</v>
      </c>
      <c r="P95" s="87"/>
    </row>
    <row r="96" spans="2:16" ht="13.9" customHeight="1" outlineLevel="1" x14ac:dyDescent="0.25">
      <c r="B96" s="134"/>
      <c r="C96" s="126" t="s">
        <v>71</v>
      </c>
      <c r="D96" s="85">
        <v>0</v>
      </c>
      <c r="E96" s="86">
        <v>0</v>
      </c>
      <c r="F96" s="85">
        <v>0</v>
      </c>
      <c r="G96" s="86">
        <v>0</v>
      </c>
      <c r="H96" s="85">
        <v>0</v>
      </c>
      <c r="I96" s="86">
        <v>0</v>
      </c>
      <c r="J96" s="85">
        <v>0</v>
      </c>
      <c r="K96" s="86">
        <v>0</v>
      </c>
      <c r="L96" s="85">
        <v>0</v>
      </c>
      <c r="M96" s="86">
        <v>0</v>
      </c>
      <c r="N96" s="85">
        <v>0</v>
      </c>
      <c r="O96" s="86">
        <v>0</v>
      </c>
      <c r="P96" s="87"/>
    </row>
    <row r="97" spans="2:16" ht="13.9" customHeight="1" outlineLevel="1" x14ac:dyDescent="0.25">
      <c r="B97" s="134"/>
      <c r="C97" s="126" t="s">
        <v>72</v>
      </c>
      <c r="D97" s="85">
        <v>0</v>
      </c>
      <c r="E97" s="86">
        <v>0</v>
      </c>
      <c r="F97" s="85">
        <v>1356977.75</v>
      </c>
      <c r="G97" s="86">
        <v>7736605.3900000006</v>
      </c>
      <c r="H97" s="85">
        <v>4332566.4399999995</v>
      </c>
      <c r="I97" s="86">
        <v>14199819.159999998</v>
      </c>
      <c r="J97" s="85">
        <v>7075034.7199999988</v>
      </c>
      <c r="K97" s="86">
        <v>13012096.84</v>
      </c>
      <c r="L97" s="85">
        <v>7786369.9799999995</v>
      </c>
      <c r="M97" s="86">
        <v>11059261.27</v>
      </c>
      <c r="N97" s="85">
        <v>1614242</v>
      </c>
      <c r="O97" s="86">
        <v>5.0000000046566129E-2</v>
      </c>
      <c r="P97" s="87"/>
    </row>
    <row r="98" spans="2:16" ht="13.9" customHeight="1" x14ac:dyDescent="0.25">
      <c r="B98" s="134"/>
      <c r="C98" s="124" t="s">
        <v>104</v>
      </c>
      <c r="D98" s="90">
        <f t="shared" ref="D98:O98" si="5">SUM(D95:D97)</f>
        <v>59200</v>
      </c>
      <c r="E98" s="91">
        <f t="shared" si="5"/>
        <v>2899303.7199999997</v>
      </c>
      <c r="F98" s="92">
        <f t="shared" si="5"/>
        <v>1806150.75</v>
      </c>
      <c r="G98" s="93">
        <f t="shared" si="5"/>
        <v>9533297.9900000002</v>
      </c>
      <c r="H98" s="90">
        <f t="shared" si="5"/>
        <v>7970210.209999999</v>
      </c>
      <c r="I98" s="91">
        <f t="shared" si="5"/>
        <v>25857931.619999997</v>
      </c>
      <c r="J98" s="92">
        <f t="shared" si="5"/>
        <v>15376268.489999998</v>
      </c>
      <c r="K98" s="93">
        <f t="shared" si="5"/>
        <v>29166898.789999999</v>
      </c>
      <c r="L98" s="90">
        <f t="shared" si="5"/>
        <v>32611675.879999995</v>
      </c>
      <c r="M98" s="91">
        <f t="shared" si="5"/>
        <v>40981744.140000001</v>
      </c>
      <c r="N98" s="90">
        <f t="shared" si="5"/>
        <v>6287246</v>
      </c>
      <c r="O98" s="91">
        <f t="shared" si="5"/>
        <v>1885498.74</v>
      </c>
      <c r="P98" s="94"/>
    </row>
    <row r="99" spans="2:16" ht="13.9" customHeight="1" outlineLevel="1" x14ac:dyDescent="0.25">
      <c r="B99" s="134" t="s">
        <v>105</v>
      </c>
      <c r="C99" s="126" t="s">
        <v>75</v>
      </c>
      <c r="D99" s="85">
        <v>0</v>
      </c>
      <c r="E99" s="86">
        <v>0</v>
      </c>
      <c r="F99" s="85">
        <v>0</v>
      </c>
      <c r="G99" s="86">
        <v>0</v>
      </c>
      <c r="H99" s="85">
        <v>0</v>
      </c>
      <c r="I99" s="86">
        <v>0</v>
      </c>
      <c r="J99" s="85">
        <v>0</v>
      </c>
      <c r="K99" s="86">
        <v>0</v>
      </c>
      <c r="L99" s="85">
        <v>0</v>
      </c>
      <c r="M99" s="86">
        <v>0</v>
      </c>
      <c r="N99" s="85">
        <v>0</v>
      </c>
      <c r="O99" s="86">
        <v>0</v>
      </c>
      <c r="P99" s="87"/>
    </row>
    <row r="100" spans="2:16" ht="13.9" customHeight="1" outlineLevel="1" x14ac:dyDescent="0.25">
      <c r="B100" s="134"/>
      <c r="C100" s="126" t="s">
        <v>76</v>
      </c>
      <c r="D100" s="85">
        <v>0</v>
      </c>
      <c r="E100" s="86">
        <v>0</v>
      </c>
      <c r="F100" s="85">
        <v>0</v>
      </c>
      <c r="G100" s="86">
        <v>0</v>
      </c>
      <c r="H100" s="85">
        <v>1584970.1999999997</v>
      </c>
      <c r="I100" s="86">
        <v>3698264.09</v>
      </c>
      <c r="J100" s="85">
        <v>4559663.68</v>
      </c>
      <c r="K100" s="86">
        <v>10577307.219999999</v>
      </c>
      <c r="L100" s="85">
        <v>0</v>
      </c>
      <c r="M100" s="86">
        <v>0</v>
      </c>
      <c r="N100" s="85">
        <v>1239701</v>
      </c>
      <c r="O100" s="86">
        <v>0</v>
      </c>
      <c r="P100" s="87"/>
    </row>
    <row r="101" spans="2:16" ht="13.9" customHeight="1" x14ac:dyDescent="0.25">
      <c r="B101" s="134"/>
      <c r="C101" s="124" t="s">
        <v>106</v>
      </c>
      <c r="D101" s="90">
        <f t="shared" ref="D101:O101" si="6">SUM(D99:D100)</f>
        <v>0</v>
      </c>
      <c r="E101" s="91">
        <f t="shared" si="6"/>
        <v>0</v>
      </c>
      <c r="F101" s="92">
        <f t="shared" si="6"/>
        <v>0</v>
      </c>
      <c r="G101" s="93">
        <f t="shared" si="6"/>
        <v>0</v>
      </c>
      <c r="H101" s="90">
        <f t="shared" si="6"/>
        <v>1584970.1999999997</v>
      </c>
      <c r="I101" s="91">
        <f t="shared" si="6"/>
        <v>3698264.09</v>
      </c>
      <c r="J101" s="92">
        <f t="shared" si="6"/>
        <v>4559663.68</v>
      </c>
      <c r="K101" s="93">
        <f t="shared" si="6"/>
        <v>10577307.219999999</v>
      </c>
      <c r="L101" s="90">
        <f t="shared" si="6"/>
        <v>0</v>
      </c>
      <c r="M101" s="91">
        <f t="shared" si="6"/>
        <v>0</v>
      </c>
      <c r="N101" s="90">
        <f t="shared" si="6"/>
        <v>1239701</v>
      </c>
      <c r="O101" s="91">
        <f t="shared" si="6"/>
        <v>0</v>
      </c>
      <c r="P101" s="94"/>
    </row>
    <row r="102" spans="2:16" ht="13.9" customHeight="1" x14ac:dyDescent="0.25">
      <c r="B102" s="129" t="s">
        <v>78</v>
      </c>
      <c r="C102" s="130"/>
      <c r="D102" s="90">
        <f t="shared" ref="D102:O102" si="7">D94+D98+D101</f>
        <v>59200</v>
      </c>
      <c r="E102" s="91">
        <f t="shared" si="7"/>
        <v>2899303.7199999997</v>
      </c>
      <c r="F102" s="92">
        <f t="shared" si="7"/>
        <v>8634255.8000000007</v>
      </c>
      <c r="G102" s="93">
        <f t="shared" si="7"/>
        <v>43640217.18</v>
      </c>
      <c r="H102" s="90">
        <f t="shared" si="7"/>
        <v>25953695.619999997</v>
      </c>
      <c r="I102" s="91">
        <f t="shared" si="7"/>
        <v>81619028.449999988</v>
      </c>
      <c r="J102" s="92">
        <f t="shared" si="7"/>
        <v>41197074.359999992</v>
      </c>
      <c r="K102" s="93">
        <f t="shared" si="7"/>
        <v>82367398.090000004</v>
      </c>
      <c r="L102" s="90">
        <f t="shared" si="7"/>
        <v>83572078.919999987</v>
      </c>
      <c r="M102" s="91">
        <f t="shared" si="7"/>
        <v>89459968.329999983</v>
      </c>
      <c r="N102" s="90">
        <f t="shared" si="7"/>
        <v>311358183.67000002</v>
      </c>
      <c r="O102" s="91">
        <f t="shared" si="7"/>
        <v>46545041.732500002</v>
      </c>
      <c r="P102" s="94"/>
    </row>
    <row r="103" spans="2:16" ht="13.9" customHeight="1" x14ac:dyDescent="0.25"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</row>
    <row r="104" spans="2:16" ht="13.9" customHeight="1" x14ac:dyDescent="0.25">
      <c r="B104" s="135" t="s">
        <v>84</v>
      </c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</row>
    <row r="105" spans="2:16" ht="13.9" customHeight="1" x14ac:dyDescent="0.25">
      <c r="B105" s="136" t="s">
        <v>26</v>
      </c>
      <c r="C105" s="108" t="s">
        <v>27</v>
      </c>
      <c r="D105" s="109" t="s">
        <v>28</v>
      </c>
      <c r="E105" s="110" t="s">
        <v>29</v>
      </c>
      <c r="F105" s="111" t="s">
        <v>85</v>
      </c>
      <c r="G105" s="112" t="s">
        <v>81</v>
      </c>
      <c r="H105" s="110" t="s">
        <v>82</v>
      </c>
      <c r="I105" s="112" t="s">
        <v>86</v>
      </c>
      <c r="J105" s="110" t="s">
        <v>87</v>
      </c>
      <c r="K105" s="112">
        <v>2026</v>
      </c>
      <c r="L105" s="112">
        <v>2027</v>
      </c>
      <c r="M105" s="110">
        <v>2028</v>
      </c>
      <c r="N105" s="112">
        <v>2029</v>
      </c>
      <c r="O105" s="110">
        <v>2030</v>
      </c>
      <c r="P105" s="112">
        <v>2031</v>
      </c>
    </row>
    <row r="106" spans="2:16" ht="13.9" customHeight="1" outlineLevel="1" x14ac:dyDescent="0.25">
      <c r="B106" s="137" t="s">
        <v>30</v>
      </c>
      <c r="C106" s="84" t="s">
        <v>31</v>
      </c>
      <c r="D106" s="85">
        <v>0</v>
      </c>
      <c r="E106" s="86">
        <v>0</v>
      </c>
      <c r="F106" s="113">
        <f>G106+I106</f>
        <v>0</v>
      </c>
      <c r="G106" s="113">
        <v>0</v>
      </c>
      <c r="H106" s="86">
        <v>0</v>
      </c>
      <c r="I106" s="113">
        <v>0</v>
      </c>
      <c r="J106" s="114">
        <f>H106-I106</f>
        <v>0</v>
      </c>
      <c r="K106" s="113">
        <f t="shared" ref="K106:K149" si="8">MAX(J106-SUM(L106:P106),0)</f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</row>
    <row r="107" spans="2:16" ht="13.9" customHeight="1" outlineLevel="1" x14ac:dyDescent="0.25">
      <c r="B107" s="138"/>
      <c r="C107" s="84" t="s">
        <v>32</v>
      </c>
      <c r="D107" s="85">
        <v>0</v>
      </c>
      <c r="E107" s="86">
        <v>0</v>
      </c>
      <c r="F107" s="113">
        <f t="shared" ref="F107:F146" si="9">G107+I107</f>
        <v>0</v>
      </c>
      <c r="G107" s="113">
        <v>0</v>
      </c>
      <c r="H107" s="86">
        <v>0</v>
      </c>
      <c r="I107" s="113">
        <v>0</v>
      </c>
      <c r="J107" s="114">
        <f t="shared" ref="J107:J146" si="10">H107-I107</f>
        <v>0</v>
      </c>
      <c r="K107" s="113">
        <f t="shared" si="8"/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</row>
    <row r="108" spans="2:16" ht="13.9" customHeight="1" outlineLevel="1" x14ac:dyDescent="0.25">
      <c r="B108" s="138"/>
      <c r="C108" s="84" t="s">
        <v>33</v>
      </c>
      <c r="D108" s="85">
        <v>0</v>
      </c>
      <c r="E108" s="86">
        <v>0</v>
      </c>
      <c r="F108" s="113">
        <f t="shared" si="9"/>
        <v>0</v>
      </c>
      <c r="G108" s="113">
        <v>0</v>
      </c>
      <c r="H108" s="86">
        <v>0</v>
      </c>
      <c r="I108" s="113">
        <v>0</v>
      </c>
      <c r="J108" s="114">
        <f t="shared" si="10"/>
        <v>0</v>
      </c>
      <c r="K108" s="113">
        <f t="shared" si="8"/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</row>
    <row r="109" spans="2:16" ht="13.9" customHeight="1" outlineLevel="1" x14ac:dyDescent="0.25">
      <c r="B109" s="138"/>
      <c r="C109" s="84" t="s">
        <v>34</v>
      </c>
      <c r="D109" s="85">
        <v>0</v>
      </c>
      <c r="E109" s="86">
        <v>0</v>
      </c>
      <c r="F109" s="113">
        <f t="shared" si="9"/>
        <v>0</v>
      </c>
      <c r="G109" s="113">
        <v>0</v>
      </c>
      <c r="H109" s="86">
        <v>0</v>
      </c>
      <c r="I109" s="113">
        <v>0</v>
      </c>
      <c r="J109" s="114">
        <f t="shared" si="10"/>
        <v>0</v>
      </c>
      <c r="K109" s="113">
        <f t="shared" si="8"/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</row>
    <row r="110" spans="2:16" ht="13.9" customHeight="1" outlineLevel="1" x14ac:dyDescent="0.25">
      <c r="B110" s="138"/>
      <c r="C110" s="84" t="s">
        <v>35</v>
      </c>
      <c r="D110" s="85">
        <v>0</v>
      </c>
      <c r="E110" s="86">
        <v>0</v>
      </c>
      <c r="F110" s="113">
        <f t="shared" si="9"/>
        <v>0</v>
      </c>
      <c r="G110" s="113">
        <v>0</v>
      </c>
      <c r="H110" s="86">
        <v>0</v>
      </c>
      <c r="I110" s="113">
        <v>0</v>
      </c>
      <c r="J110" s="114">
        <f t="shared" si="10"/>
        <v>0</v>
      </c>
      <c r="K110" s="113">
        <f t="shared" si="8"/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</row>
    <row r="111" spans="2:16" ht="13.9" customHeight="1" outlineLevel="1" x14ac:dyDescent="0.25">
      <c r="B111" s="138"/>
      <c r="C111" s="84" t="s">
        <v>36</v>
      </c>
      <c r="D111" s="85">
        <v>0</v>
      </c>
      <c r="E111" s="86">
        <v>0</v>
      </c>
      <c r="F111" s="113">
        <f t="shared" si="9"/>
        <v>0</v>
      </c>
      <c r="G111" s="113">
        <v>0</v>
      </c>
      <c r="H111" s="86">
        <v>0</v>
      </c>
      <c r="I111" s="113">
        <v>0</v>
      </c>
      <c r="J111" s="114">
        <f t="shared" si="10"/>
        <v>0</v>
      </c>
      <c r="K111" s="113">
        <f t="shared" si="8"/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</row>
    <row r="112" spans="2:16" ht="13.9" customHeight="1" outlineLevel="1" x14ac:dyDescent="0.25">
      <c r="B112" s="138"/>
      <c r="C112" s="84" t="s">
        <v>37</v>
      </c>
      <c r="D112" s="85">
        <v>0</v>
      </c>
      <c r="E112" s="86">
        <v>0</v>
      </c>
      <c r="F112" s="113">
        <f t="shared" si="9"/>
        <v>0</v>
      </c>
      <c r="G112" s="113">
        <v>0</v>
      </c>
      <c r="H112" s="86">
        <v>0</v>
      </c>
      <c r="I112" s="113">
        <v>0</v>
      </c>
      <c r="J112" s="114">
        <f t="shared" si="10"/>
        <v>0</v>
      </c>
      <c r="K112" s="113">
        <f t="shared" si="8"/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</row>
    <row r="113" spans="2:16" ht="13.9" customHeight="1" outlineLevel="1" x14ac:dyDescent="0.25">
      <c r="B113" s="138"/>
      <c r="C113" s="84" t="s">
        <v>38</v>
      </c>
      <c r="D113" s="85">
        <v>0</v>
      </c>
      <c r="E113" s="86">
        <v>0</v>
      </c>
      <c r="F113" s="113">
        <f t="shared" si="9"/>
        <v>0</v>
      </c>
      <c r="G113" s="113">
        <v>0</v>
      </c>
      <c r="H113" s="86">
        <v>0</v>
      </c>
      <c r="I113" s="113">
        <v>0</v>
      </c>
      <c r="J113" s="114">
        <f t="shared" si="10"/>
        <v>0</v>
      </c>
      <c r="K113" s="113">
        <f t="shared" si="8"/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</row>
    <row r="114" spans="2:16" ht="13.9" customHeight="1" outlineLevel="1" x14ac:dyDescent="0.25">
      <c r="B114" s="138"/>
      <c r="C114" s="84" t="s">
        <v>39</v>
      </c>
      <c r="D114" s="85">
        <v>0</v>
      </c>
      <c r="E114" s="86">
        <v>0</v>
      </c>
      <c r="F114" s="113">
        <f t="shared" si="9"/>
        <v>0</v>
      </c>
      <c r="G114" s="113">
        <v>0</v>
      </c>
      <c r="H114" s="86">
        <v>0</v>
      </c>
      <c r="I114" s="113">
        <v>0</v>
      </c>
      <c r="J114" s="114">
        <f t="shared" si="10"/>
        <v>0</v>
      </c>
      <c r="K114" s="113">
        <f t="shared" si="8"/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</row>
    <row r="115" spans="2:16" ht="13.9" customHeight="1" outlineLevel="1" x14ac:dyDescent="0.25">
      <c r="B115" s="138"/>
      <c r="C115" s="84" t="s">
        <v>40</v>
      </c>
      <c r="D115" s="85">
        <v>0</v>
      </c>
      <c r="E115" s="86">
        <v>0</v>
      </c>
      <c r="F115" s="113">
        <f t="shared" si="9"/>
        <v>0</v>
      </c>
      <c r="G115" s="113">
        <v>0</v>
      </c>
      <c r="H115" s="86">
        <v>0</v>
      </c>
      <c r="I115" s="113">
        <v>0</v>
      </c>
      <c r="J115" s="114">
        <f t="shared" si="10"/>
        <v>0</v>
      </c>
      <c r="K115" s="113">
        <f t="shared" si="8"/>
        <v>0</v>
      </c>
      <c r="L115" s="113">
        <v>0</v>
      </c>
      <c r="M115" s="113">
        <v>0</v>
      </c>
      <c r="N115" s="113">
        <v>0</v>
      </c>
      <c r="O115" s="113">
        <v>0</v>
      </c>
      <c r="P115" s="113">
        <v>0</v>
      </c>
    </row>
    <row r="116" spans="2:16" ht="13.9" customHeight="1" outlineLevel="1" x14ac:dyDescent="0.25">
      <c r="B116" s="138"/>
      <c r="C116" s="84" t="s">
        <v>41</v>
      </c>
      <c r="D116" s="85">
        <v>0</v>
      </c>
      <c r="E116" s="86">
        <v>0</v>
      </c>
      <c r="F116" s="113">
        <f t="shared" si="9"/>
        <v>0</v>
      </c>
      <c r="G116" s="113">
        <v>0</v>
      </c>
      <c r="H116" s="86">
        <v>0</v>
      </c>
      <c r="I116" s="113">
        <v>0</v>
      </c>
      <c r="J116" s="114">
        <f t="shared" si="10"/>
        <v>0</v>
      </c>
      <c r="K116" s="113">
        <f t="shared" si="8"/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</row>
    <row r="117" spans="2:16" ht="13.9" customHeight="1" outlineLevel="1" x14ac:dyDescent="0.25">
      <c r="B117" s="138"/>
      <c r="C117" s="84" t="s">
        <v>42</v>
      </c>
      <c r="D117" s="85">
        <v>0</v>
      </c>
      <c r="E117" s="86">
        <v>0</v>
      </c>
      <c r="F117" s="113">
        <f t="shared" si="9"/>
        <v>0</v>
      </c>
      <c r="G117" s="113">
        <v>0</v>
      </c>
      <c r="H117" s="86">
        <v>0</v>
      </c>
      <c r="I117" s="113">
        <v>0</v>
      </c>
      <c r="J117" s="114">
        <f t="shared" si="10"/>
        <v>0</v>
      </c>
      <c r="K117" s="113">
        <f t="shared" si="8"/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</row>
    <row r="118" spans="2:16" ht="13.9" customHeight="1" outlineLevel="1" x14ac:dyDescent="0.25">
      <c r="B118" s="138"/>
      <c r="C118" s="84" t="s">
        <v>43</v>
      </c>
      <c r="D118" s="85">
        <v>0</v>
      </c>
      <c r="E118" s="86">
        <v>0</v>
      </c>
      <c r="F118" s="113">
        <f t="shared" si="9"/>
        <v>0</v>
      </c>
      <c r="G118" s="113">
        <v>0</v>
      </c>
      <c r="H118" s="86">
        <v>0</v>
      </c>
      <c r="I118" s="113">
        <v>0</v>
      </c>
      <c r="J118" s="114">
        <f t="shared" si="10"/>
        <v>0</v>
      </c>
      <c r="K118" s="113">
        <f t="shared" si="8"/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</row>
    <row r="119" spans="2:16" ht="13.9" customHeight="1" outlineLevel="1" x14ac:dyDescent="0.25">
      <c r="B119" s="138"/>
      <c r="C119" s="84" t="s">
        <v>44</v>
      </c>
      <c r="D119" s="85">
        <v>0</v>
      </c>
      <c r="E119" s="86">
        <v>0</v>
      </c>
      <c r="F119" s="113">
        <f t="shared" si="9"/>
        <v>0</v>
      </c>
      <c r="G119" s="113">
        <v>0</v>
      </c>
      <c r="H119" s="86">
        <v>0</v>
      </c>
      <c r="I119" s="113">
        <v>0</v>
      </c>
      <c r="J119" s="114">
        <f t="shared" si="10"/>
        <v>0</v>
      </c>
      <c r="K119" s="113">
        <f t="shared" si="8"/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</row>
    <row r="120" spans="2:16" ht="13.9" customHeight="1" outlineLevel="1" x14ac:dyDescent="0.25">
      <c r="B120" s="138"/>
      <c r="C120" s="84" t="s">
        <v>45</v>
      </c>
      <c r="D120" s="85">
        <v>0</v>
      </c>
      <c r="E120" s="86">
        <v>0</v>
      </c>
      <c r="F120" s="113">
        <f t="shared" si="9"/>
        <v>0</v>
      </c>
      <c r="G120" s="113">
        <v>0</v>
      </c>
      <c r="H120" s="86">
        <v>0</v>
      </c>
      <c r="I120" s="113">
        <v>0</v>
      </c>
      <c r="J120" s="114">
        <f t="shared" si="10"/>
        <v>0</v>
      </c>
      <c r="K120" s="113">
        <f t="shared" si="8"/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</row>
    <row r="121" spans="2:16" ht="13.9" customHeight="1" outlineLevel="1" x14ac:dyDescent="0.25">
      <c r="B121" s="138"/>
      <c r="C121" s="84" t="s">
        <v>46</v>
      </c>
      <c r="D121" s="85">
        <v>0</v>
      </c>
      <c r="E121" s="86">
        <v>0</v>
      </c>
      <c r="F121" s="113">
        <f t="shared" si="9"/>
        <v>0</v>
      </c>
      <c r="G121" s="113">
        <v>0</v>
      </c>
      <c r="H121" s="86">
        <v>0</v>
      </c>
      <c r="I121" s="113">
        <v>0</v>
      </c>
      <c r="J121" s="114">
        <f t="shared" si="10"/>
        <v>0</v>
      </c>
      <c r="K121" s="113">
        <f t="shared" si="8"/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</row>
    <row r="122" spans="2:16" ht="13.9" customHeight="1" outlineLevel="1" x14ac:dyDescent="0.25">
      <c r="B122" s="138"/>
      <c r="C122" s="84" t="s">
        <v>47</v>
      </c>
      <c r="D122" s="85">
        <v>0</v>
      </c>
      <c r="E122" s="86">
        <v>0</v>
      </c>
      <c r="F122" s="113">
        <f t="shared" si="9"/>
        <v>0</v>
      </c>
      <c r="G122" s="113">
        <v>0</v>
      </c>
      <c r="H122" s="86">
        <v>0</v>
      </c>
      <c r="I122" s="113">
        <v>0</v>
      </c>
      <c r="J122" s="114">
        <f t="shared" si="10"/>
        <v>0</v>
      </c>
      <c r="K122" s="113">
        <f t="shared" si="8"/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</row>
    <row r="123" spans="2:16" ht="13.9" customHeight="1" outlineLevel="1" x14ac:dyDescent="0.25">
      <c r="B123" s="138"/>
      <c r="C123" s="84" t="s">
        <v>48</v>
      </c>
      <c r="D123" s="85">
        <v>0</v>
      </c>
      <c r="E123" s="86">
        <v>0</v>
      </c>
      <c r="F123" s="113">
        <f t="shared" si="9"/>
        <v>0</v>
      </c>
      <c r="G123" s="113">
        <v>0</v>
      </c>
      <c r="H123" s="86">
        <v>0</v>
      </c>
      <c r="I123" s="113">
        <v>0</v>
      </c>
      <c r="J123" s="114">
        <f t="shared" si="10"/>
        <v>0</v>
      </c>
      <c r="K123" s="113">
        <f t="shared" si="8"/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</row>
    <row r="124" spans="2:16" ht="13.9" customHeight="1" outlineLevel="1" x14ac:dyDescent="0.25">
      <c r="B124" s="138"/>
      <c r="C124" s="84" t="s">
        <v>49</v>
      </c>
      <c r="D124" s="85">
        <v>0</v>
      </c>
      <c r="E124" s="86">
        <v>0</v>
      </c>
      <c r="F124" s="113">
        <f t="shared" si="9"/>
        <v>0</v>
      </c>
      <c r="G124" s="113">
        <v>0</v>
      </c>
      <c r="H124" s="86">
        <v>0</v>
      </c>
      <c r="I124" s="113">
        <v>0</v>
      </c>
      <c r="J124" s="114">
        <f t="shared" si="10"/>
        <v>0</v>
      </c>
      <c r="K124" s="113">
        <f t="shared" si="8"/>
        <v>0</v>
      </c>
      <c r="L124" s="113">
        <v>0</v>
      </c>
      <c r="M124" s="113">
        <v>0</v>
      </c>
      <c r="N124" s="113">
        <v>0</v>
      </c>
      <c r="O124" s="113">
        <v>0</v>
      </c>
      <c r="P124" s="113">
        <v>0</v>
      </c>
    </row>
    <row r="125" spans="2:16" ht="13.9" customHeight="1" outlineLevel="1" x14ac:dyDescent="0.25">
      <c r="B125" s="138"/>
      <c r="C125" s="84" t="s">
        <v>50</v>
      </c>
      <c r="D125" s="85">
        <v>0</v>
      </c>
      <c r="E125" s="86">
        <v>0</v>
      </c>
      <c r="F125" s="113">
        <f t="shared" si="9"/>
        <v>0</v>
      </c>
      <c r="G125" s="113">
        <v>0</v>
      </c>
      <c r="H125" s="86">
        <v>0</v>
      </c>
      <c r="I125" s="113">
        <v>0</v>
      </c>
      <c r="J125" s="114">
        <f t="shared" si="10"/>
        <v>0</v>
      </c>
      <c r="K125" s="113">
        <f t="shared" si="8"/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</row>
    <row r="126" spans="2:16" ht="13.9" customHeight="1" outlineLevel="1" x14ac:dyDescent="0.25">
      <c r="B126" s="138"/>
      <c r="C126" s="84" t="s">
        <v>51</v>
      </c>
      <c r="D126" s="85">
        <v>0</v>
      </c>
      <c r="E126" s="86">
        <v>0</v>
      </c>
      <c r="F126" s="113">
        <f t="shared" si="9"/>
        <v>0</v>
      </c>
      <c r="G126" s="113">
        <v>0</v>
      </c>
      <c r="H126" s="86">
        <v>0</v>
      </c>
      <c r="I126" s="113">
        <v>0</v>
      </c>
      <c r="J126" s="114">
        <f t="shared" si="10"/>
        <v>0</v>
      </c>
      <c r="K126" s="113">
        <f t="shared" si="8"/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</row>
    <row r="127" spans="2:16" ht="13.9" customHeight="1" outlineLevel="1" x14ac:dyDescent="0.25">
      <c r="B127" s="138"/>
      <c r="C127" s="84" t="s">
        <v>52</v>
      </c>
      <c r="D127" s="85">
        <v>0</v>
      </c>
      <c r="E127" s="86">
        <v>0</v>
      </c>
      <c r="F127" s="113">
        <f t="shared" si="9"/>
        <v>0</v>
      </c>
      <c r="G127" s="113">
        <v>0</v>
      </c>
      <c r="H127" s="86">
        <v>0</v>
      </c>
      <c r="I127" s="113">
        <v>0</v>
      </c>
      <c r="J127" s="114">
        <f t="shared" si="10"/>
        <v>0</v>
      </c>
      <c r="K127" s="113">
        <f t="shared" si="8"/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</row>
    <row r="128" spans="2:16" ht="13.9" customHeight="1" outlineLevel="1" x14ac:dyDescent="0.25">
      <c r="B128" s="138"/>
      <c r="C128" s="84" t="s">
        <v>53</v>
      </c>
      <c r="D128" s="85">
        <v>0</v>
      </c>
      <c r="E128" s="86">
        <v>0</v>
      </c>
      <c r="F128" s="113">
        <f t="shared" si="9"/>
        <v>0</v>
      </c>
      <c r="G128" s="113">
        <v>0</v>
      </c>
      <c r="H128" s="86">
        <v>0</v>
      </c>
      <c r="I128" s="113">
        <v>0</v>
      </c>
      <c r="J128" s="114">
        <f t="shared" si="10"/>
        <v>0</v>
      </c>
      <c r="K128" s="113">
        <f t="shared" si="8"/>
        <v>0</v>
      </c>
      <c r="L128" s="113">
        <v>0</v>
      </c>
      <c r="M128" s="113">
        <v>0</v>
      </c>
      <c r="N128" s="113">
        <v>0</v>
      </c>
      <c r="O128" s="113">
        <v>0</v>
      </c>
      <c r="P128" s="113">
        <v>0</v>
      </c>
    </row>
    <row r="129" spans="2:16" ht="13.9" customHeight="1" outlineLevel="1" x14ac:dyDescent="0.25">
      <c r="B129" s="138"/>
      <c r="C129" s="84" t="s">
        <v>54</v>
      </c>
      <c r="D129" s="85">
        <v>0</v>
      </c>
      <c r="E129" s="86">
        <v>0</v>
      </c>
      <c r="F129" s="113">
        <f t="shared" si="9"/>
        <v>0</v>
      </c>
      <c r="G129" s="113">
        <v>0</v>
      </c>
      <c r="H129" s="86">
        <v>0</v>
      </c>
      <c r="I129" s="113">
        <v>0</v>
      </c>
      <c r="J129" s="114">
        <f t="shared" si="10"/>
        <v>0</v>
      </c>
      <c r="K129" s="113">
        <f t="shared" si="8"/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</row>
    <row r="130" spans="2:16" ht="13.9" customHeight="1" outlineLevel="1" x14ac:dyDescent="0.25">
      <c r="B130" s="138"/>
      <c r="C130" s="84" t="s">
        <v>55</v>
      </c>
      <c r="D130" s="85">
        <v>0</v>
      </c>
      <c r="E130" s="86">
        <v>0</v>
      </c>
      <c r="F130" s="113">
        <f>G130+I130</f>
        <v>0</v>
      </c>
      <c r="G130" s="113">
        <v>0</v>
      </c>
      <c r="H130" s="86">
        <v>0</v>
      </c>
      <c r="I130" s="113">
        <v>0</v>
      </c>
      <c r="J130" s="114">
        <f>H130-I130</f>
        <v>0</v>
      </c>
      <c r="K130" s="113">
        <f t="shared" si="8"/>
        <v>0</v>
      </c>
      <c r="L130" s="113">
        <v>0</v>
      </c>
      <c r="M130" s="113">
        <v>0</v>
      </c>
      <c r="N130" s="113">
        <v>0</v>
      </c>
      <c r="O130" s="113">
        <v>0</v>
      </c>
      <c r="P130" s="113">
        <v>0</v>
      </c>
    </row>
    <row r="131" spans="2:16" ht="13.9" customHeight="1" outlineLevel="1" x14ac:dyDescent="0.25">
      <c r="B131" s="138"/>
      <c r="C131" s="84" t="s">
        <v>56</v>
      </c>
      <c r="D131" s="85">
        <v>0</v>
      </c>
      <c r="E131" s="86">
        <v>0</v>
      </c>
      <c r="F131" s="113">
        <f>G131+I131</f>
        <v>0</v>
      </c>
      <c r="G131" s="113">
        <v>0</v>
      </c>
      <c r="H131" s="86">
        <v>0</v>
      </c>
      <c r="I131" s="113">
        <v>0</v>
      </c>
      <c r="J131" s="114">
        <f>H131-I131</f>
        <v>0</v>
      </c>
      <c r="K131" s="113">
        <f t="shared" si="8"/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</row>
    <row r="132" spans="2:16" ht="13.9" customHeight="1" outlineLevel="1" x14ac:dyDescent="0.25">
      <c r="B132" s="138"/>
      <c r="C132" s="84" t="s">
        <v>57</v>
      </c>
      <c r="D132" s="85">
        <v>0</v>
      </c>
      <c r="E132" s="86">
        <v>0</v>
      </c>
      <c r="F132" s="113">
        <f>G132+I132</f>
        <v>0</v>
      </c>
      <c r="G132" s="113">
        <v>0</v>
      </c>
      <c r="H132" s="86">
        <v>0</v>
      </c>
      <c r="I132" s="113">
        <v>0</v>
      </c>
      <c r="J132" s="114">
        <f>H132-I132</f>
        <v>0</v>
      </c>
      <c r="K132" s="113">
        <f t="shared" si="8"/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</row>
    <row r="133" spans="2:16" ht="13.9" customHeight="1" outlineLevel="1" x14ac:dyDescent="0.25">
      <c r="B133" s="138"/>
      <c r="C133" s="84" t="s">
        <v>58</v>
      </c>
      <c r="D133" s="85">
        <v>0</v>
      </c>
      <c r="E133" s="86">
        <v>0</v>
      </c>
      <c r="F133" s="113">
        <f>G133+I133</f>
        <v>0</v>
      </c>
      <c r="G133" s="113">
        <v>0</v>
      </c>
      <c r="H133" s="86">
        <v>0</v>
      </c>
      <c r="I133" s="113">
        <v>0</v>
      </c>
      <c r="J133" s="114">
        <f>H133-I133</f>
        <v>0</v>
      </c>
      <c r="K133" s="113">
        <f t="shared" si="8"/>
        <v>0</v>
      </c>
      <c r="L133" s="113">
        <v>0</v>
      </c>
      <c r="M133" s="113">
        <v>0</v>
      </c>
      <c r="N133" s="113">
        <v>0</v>
      </c>
      <c r="O133" s="113">
        <v>0</v>
      </c>
      <c r="P133" s="113">
        <v>0</v>
      </c>
    </row>
    <row r="134" spans="2:16" ht="13.9" customHeight="1" outlineLevel="1" x14ac:dyDescent="0.25">
      <c r="B134" s="138"/>
      <c r="C134" s="84" t="s">
        <v>59</v>
      </c>
      <c r="D134" s="85">
        <v>0</v>
      </c>
      <c r="E134" s="86">
        <v>0</v>
      </c>
      <c r="F134" s="113">
        <f t="shared" si="9"/>
        <v>0</v>
      </c>
      <c r="G134" s="113">
        <v>0</v>
      </c>
      <c r="H134" s="86">
        <v>0</v>
      </c>
      <c r="I134" s="113">
        <v>0</v>
      </c>
      <c r="J134" s="114">
        <f t="shared" si="10"/>
        <v>0</v>
      </c>
      <c r="K134" s="113">
        <f t="shared" si="8"/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</row>
    <row r="135" spans="2:16" ht="13.9" customHeight="1" outlineLevel="1" x14ac:dyDescent="0.25">
      <c r="B135" s="138"/>
      <c r="C135" s="84" t="s">
        <v>60</v>
      </c>
      <c r="D135" s="85">
        <v>0</v>
      </c>
      <c r="E135" s="86">
        <v>0</v>
      </c>
      <c r="F135" s="113">
        <f t="shared" si="9"/>
        <v>0</v>
      </c>
      <c r="G135" s="113">
        <v>0</v>
      </c>
      <c r="H135" s="86">
        <v>0</v>
      </c>
      <c r="I135" s="113">
        <v>0</v>
      </c>
      <c r="J135" s="114">
        <f t="shared" si="10"/>
        <v>0</v>
      </c>
      <c r="K135" s="113">
        <f t="shared" si="8"/>
        <v>0</v>
      </c>
      <c r="L135" s="113">
        <v>0</v>
      </c>
      <c r="M135" s="113">
        <v>0</v>
      </c>
      <c r="N135" s="113">
        <v>0</v>
      </c>
      <c r="O135" s="113">
        <v>0</v>
      </c>
      <c r="P135" s="113">
        <v>0</v>
      </c>
    </row>
    <row r="136" spans="2:16" ht="13.9" customHeight="1" outlineLevel="1" x14ac:dyDescent="0.25">
      <c r="B136" s="138"/>
      <c r="C136" s="84" t="s">
        <v>61</v>
      </c>
      <c r="D136" s="85">
        <v>0</v>
      </c>
      <c r="E136" s="86">
        <v>0</v>
      </c>
      <c r="F136" s="113">
        <f t="shared" si="9"/>
        <v>0</v>
      </c>
      <c r="G136" s="113">
        <v>0</v>
      </c>
      <c r="H136" s="86">
        <v>0</v>
      </c>
      <c r="I136" s="113">
        <v>0</v>
      </c>
      <c r="J136" s="114">
        <f t="shared" si="10"/>
        <v>0</v>
      </c>
      <c r="K136" s="113">
        <f t="shared" si="8"/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</row>
    <row r="137" spans="2:16" ht="13.9" customHeight="1" outlineLevel="1" x14ac:dyDescent="0.25">
      <c r="B137" s="138"/>
      <c r="C137" s="84" t="s">
        <v>62</v>
      </c>
      <c r="D137" s="85">
        <v>0</v>
      </c>
      <c r="E137" s="86">
        <v>0</v>
      </c>
      <c r="F137" s="113">
        <f t="shared" si="9"/>
        <v>0</v>
      </c>
      <c r="G137" s="113">
        <v>0</v>
      </c>
      <c r="H137" s="86">
        <v>0</v>
      </c>
      <c r="I137" s="113">
        <v>0</v>
      </c>
      <c r="J137" s="114">
        <f t="shared" si="10"/>
        <v>0</v>
      </c>
      <c r="K137" s="113">
        <f t="shared" si="8"/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</row>
    <row r="138" spans="2:16" ht="13.9" customHeight="1" outlineLevel="1" x14ac:dyDescent="0.25">
      <c r="B138" s="138"/>
      <c r="C138" s="84" t="s">
        <v>63</v>
      </c>
      <c r="D138" s="85">
        <v>0</v>
      </c>
      <c r="E138" s="86">
        <v>0</v>
      </c>
      <c r="F138" s="113">
        <f t="shared" si="9"/>
        <v>0</v>
      </c>
      <c r="G138" s="113">
        <v>0</v>
      </c>
      <c r="H138" s="86">
        <v>0</v>
      </c>
      <c r="I138" s="113">
        <v>0</v>
      </c>
      <c r="J138" s="114">
        <f t="shared" si="10"/>
        <v>0</v>
      </c>
      <c r="K138" s="113">
        <f t="shared" si="8"/>
        <v>0</v>
      </c>
      <c r="L138" s="113">
        <v>0</v>
      </c>
      <c r="M138" s="113">
        <v>0</v>
      </c>
      <c r="N138" s="113">
        <v>0</v>
      </c>
      <c r="O138" s="113">
        <v>0</v>
      </c>
      <c r="P138" s="113">
        <v>0</v>
      </c>
    </row>
    <row r="139" spans="2:16" ht="13.9" customHeight="1" outlineLevel="1" x14ac:dyDescent="0.25">
      <c r="B139" s="138"/>
      <c r="C139" s="84" t="s">
        <v>64</v>
      </c>
      <c r="D139" s="85">
        <v>0</v>
      </c>
      <c r="E139" s="86">
        <v>0</v>
      </c>
      <c r="F139" s="113">
        <f t="shared" si="9"/>
        <v>0</v>
      </c>
      <c r="G139" s="113">
        <v>0</v>
      </c>
      <c r="H139" s="86">
        <v>0</v>
      </c>
      <c r="I139" s="113">
        <v>0</v>
      </c>
      <c r="J139" s="114">
        <f t="shared" si="10"/>
        <v>0</v>
      </c>
      <c r="K139" s="113">
        <f t="shared" si="8"/>
        <v>0</v>
      </c>
      <c r="L139" s="113">
        <v>0</v>
      </c>
      <c r="M139" s="113">
        <v>0</v>
      </c>
      <c r="N139" s="113">
        <v>0</v>
      </c>
      <c r="O139" s="113">
        <v>0</v>
      </c>
      <c r="P139" s="113">
        <v>0</v>
      </c>
    </row>
    <row r="140" spans="2:16" ht="13.9" customHeight="1" outlineLevel="1" x14ac:dyDescent="0.25">
      <c r="B140" s="138"/>
      <c r="C140" s="84" t="s">
        <v>65</v>
      </c>
      <c r="D140" s="85">
        <v>0</v>
      </c>
      <c r="E140" s="86">
        <v>0</v>
      </c>
      <c r="F140" s="113">
        <f t="shared" si="9"/>
        <v>0</v>
      </c>
      <c r="G140" s="113">
        <v>0</v>
      </c>
      <c r="H140" s="86">
        <v>0</v>
      </c>
      <c r="I140" s="113">
        <v>0</v>
      </c>
      <c r="J140" s="114">
        <f t="shared" si="10"/>
        <v>0</v>
      </c>
      <c r="K140" s="113">
        <f t="shared" si="8"/>
        <v>0</v>
      </c>
      <c r="L140" s="113">
        <v>0</v>
      </c>
      <c r="M140" s="113">
        <v>0</v>
      </c>
      <c r="N140" s="113">
        <v>0</v>
      </c>
      <c r="O140" s="113">
        <v>0</v>
      </c>
      <c r="P140" s="113">
        <v>0</v>
      </c>
    </row>
    <row r="141" spans="2:16" ht="13.9" customHeight="1" outlineLevel="1" x14ac:dyDescent="0.25">
      <c r="B141" s="138"/>
      <c r="C141" s="84" t="s">
        <v>66</v>
      </c>
      <c r="D141" s="85">
        <v>0</v>
      </c>
      <c r="E141" s="86">
        <v>0</v>
      </c>
      <c r="F141" s="113">
        <f t="shared" si="9"/>
        <v>0</v>
      </c>
      <c r="G141" s="113">
        <v>0</v>
      </c>
      <c r="H141" s="86">
        <v>0</v>
      </c>
      <c r="I141" s="113">
        <v>0</v>
      </c>
      <c r="J141" s="114">
        <f t="shared" si="10"/>
        <v>0</v>
      </c>
      <c r="K141" s="113">
        <f t="shared" si="8"/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</row>
    <row r="142" spans="2:16" ht="13.9" customHeight="1" outlineLevel="1" x14ac:dyDescent="0.25">
      <c r="B142" s="138"/>
      <c r="C142" s="84" t="s">
        <v>67</v>
      </c>
      <c r="D142" s="85">
        <v>0</v>
      </c>
      <c r="E142" s="86">
        <v>0</v>
      </c>
      <c r="F142" s="113">
        <f t="shared" si="9"/>
        <v>0</v>
      </c>
      <c r="G142" s="113">
        <v>0</v>
      </c>
      <c r="H142" s="86">
        <v>0</v>
      </c>
      <c r="I142" s="113">
        <v>0</v>
      </c>
      <c r="J142" s="114">
        <f t="shared" si="10"/>
        <v>0</v>
      </c>
      <c r="K142" s="113">
        <f t="shared" si="8"/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</row>
    <row r="143" spans="2:16" ht="13.9" customHeight="1" x14ac:dyDescent="0.25">
      <c r="B143" s="139"/>
      <c r="C143" s="78" t="s">
        <v>103</v>
      </c>
      <c r="D143" s="90">
        <f t="shared" ref="D143:P143" si="11">SUM(D106:D142)</f>
        <v>0</v>
      </c>
      <c r="E143" s="91">
        <f t="shared" si="11"/>
        <v>0</v>
      </c>
      <c r="F143" s="92">
        <f t="shared" si="11"/>
        <v>0</v>
      </c>
      <c r="G143" s="93">
        <f t="shared" si="11"/>
        <v>0</v>
      </c>
      <c r="H143" s="90">
        <f t="shared" si="11"/>
        <v>0</v>
      </c>
      <c r="I143" s="91">
        <f t="shared" si="11"/>
        <v>0</v>
      </c>
      <c r="J143" s="92">
        <f t="shared" si="11"/>
        <v>0</v>
      </c>
      <c r="K143" s="93">
        <f t="shared" si="11"/>
        <v>0</v>
      </c>
      <c r="L143" s="90">
        <f t="shared" si="11"/>
        <v>0</v>
      </c>
      <c r="M143" s="91">
        <f t="shared" si="11"/>
        <v>0</v>
      </c>
      <c r="N143" s="90">
        <f t="shared" si="11"/>
        <v>0</v>
      </c>
      <c r="O143" s="91">
        <f t="shared" si="11"/>
        <v>0</v>
      </c>
      <c r="P143" s="91">
        <f t="shared" si="11"/>
        <v>0</v>
      </c>
    </row>
    <row r="144" spans="2:16" ht="13.5" customHeight="1" outlineLevel="1" x14ac:dyDescent="0.25">
      <c r="B144" s="137" t="s">
        <v>83</v>
      </c>
      <c r="C144" s="84" t="s">
        <v>70</v>
      </c>
      <c r="D144" s="85">
        <v>2</v>
      </c>
      <c r="E144" s="86">
        <v>2958503.7199999997</v>
      </c>
      <c r="F144" s="113">
        <f t="shared" si="9"/>
        <v>295850.38</v>
      </c>
      <c r="G144" s="113">
        <v>59200</v>
      </c>
      <c r="H144" s="86">
        <v>2899303.7199999997</v>
      </c>
      <c r="I144" s="113">
        <v>236650.38</v>
      </c>
      <c r="J144" s="114">
        <f t="shared" si="10"/>
        <v>2662653.34</v>
      </c>
      <c r="K144" s="113">
        <f t="shared" si="8"/>
        <v>591700.71999999974</v>
      </c>
      <c r="L144" s="113">
        <v>295850.38</v>
      </c>
      <c r="M144" s="113">
        <v>0</v>
      </c>
      <c r="N144" s="113">
        <v>0</v>
      </c>
      <c r="O144" s="113">
        <v>1775102.24</v>
      </c>
      <c r="P144" s="113">
        <v>0</v>
      </c>
    </row>
    <row r="145" spans="2:16" ht="13.9" customHeight="1" outlineLevel="1" x14ac:dyDescent="0.25">
      <c r="B145" s="138"/>
      <c r="C145" s="84" t="s">
        <v>71</v>
      </c>
      <c r="D145" s="85">
        <v>0</v>
      </c>
      <c r="E145" s="86">
        <v>0</v>
      </c>
      <c r="F145" s="113">
        <f t="shared" si="9"/>
        <v>0</v>
      </c>
      <c r="G145" s="113">
        <v>0</v>
      </c>
      <c r="H145" s="86">
        <v>0</v>
      </c>
      <c r="I145" s="113">
        <v>0</v>
      </c>
      <c r="J145" s="114">
        <f t="shared" si="10"/>
        <v>0</v>
      </c>
      <c r="K145" s="113">
        <f t="shared" si="8"/>
        <v>0</v>
      </c>
      <c r="L145" s="113">
        <v>0</v>
      </c>
      <c r="M145" s="113">
        <v>0</v>
      </c>
      <c r="N145" s="113">
        <v>0</v>
      </c>
      <c r="O145" s="113">
        <v>0</v>
      </c>
      <c r="P145" s="113">
        <v>0</v>
      </c>
    </row>
    <row r="146" spans="2:16" ht="13.9" customHeight="1" outlineLevel="1" x14ac:dyDescent="0.25">
      <c r="B146" s="138"/>
      <c r="C146" s="84" t="s">
        <v>72</v>
      </c>
      <c r="D146" s="85">
        <v>0</v>
      </c>
      <c r="E146" s="86">
        <v>0</v>
      </c>
      <c r="F146" s="113">
        <f t="shared" si="9"/>
        <v>0</v>
      </c>
      <c r="G146" s="113">
        <v>0</v>
      </c>
      <c r="H146" s="86">
        <v>0</v>
      </c>
      <c r="I146" s="113">
        <v>0</v>
      </c>
      <c r="J146" s="114">
        <f t="shared" si="10"/>
        <v>0</v>
      </c>
      <c r="K146" s="113">
        <f t="shared" si="8"/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</row>
    <row r="147" spans="2:16" ht="13.9" customHeight="1" x14ac:dyDescent="0.25">
      <c r="B147" s="139"/>
      <c r="C147" s="78" t="s">
        <v>104</v>
      </c>
      <c r="D147" s="90">
        <f t="shared" ref="D147:P147" si="12">SUM(D144:D146)</f>
        <v>2</v>
      </c>
      <c r="E147" s="91">
        <f t="shared" si="12"/>
        <v>2958503.7199999997</v>
      </c>
      <c r="F147" s="92">
        <f t="shared" si="12"/>
        <v>295850.38</v>
      </c>
      <c r="G147" s="93">
        <f t="shared" si="12"/>
        <v>59200</v>
      </c>
      <c r="H147" s="90">
        <f t="shared" si="12"/>
        <v>2899303.7199999997</v>
      </c>
      <c r="I147" s="91">
        <f t="shared" si="12"/>
        <v>236650.38</v>
      </c>
      <c r="J147" s="92">
        <f t="shared" si="12"/>
        <v>2662653.34</v>
      </c>
      <c r="K147" s="93">
        <f t="shared" si="12"/>
        <v>591700.71999999974</v>
      </c>
      <c r="L147" s="90">
        <f t="shared" si="12"/>
        <v>295850.38</v>
      </c>
      <c r="M147" s="91">
        <f t="shared" si="12"/>
        <v>0</v>
      </c>
      <c r="N147" s="90">
        <f t="shared" si="12"/>
        <v>0</v>
      </c>
      <c r="O147" s="91">
        <f t="shared" si="12"/>
        <v>1775102.24</v>
      </c>
      <c r="P147" s="91">
        <f t="shared" si="12"/>
        <v>0</v>
      </c>
    </row>
    <row r="148" spans="2:16" ht="13.9" customHeight="1" outlineLevel="1" x14ac:dyDescent="0.25">
      <c r="B148" s="137" t="s">
        <v>105</v>
      </c>
      <c r="C148" s="84" t="s">
        <v>75</v>
      </c>
      <c r="D148" s="85">
        <v>0</v>
      </c>
      <c r="E148" s="86">
        <v>0</v>
      </c>
      <c r="F148" s="113">
        <f>G148+I148</f>
        <v>0</v>
      </c>
      <c r="G148" s="113">
        <v>0</v>
      </c>
      <c r="H148" s="86">
        <v>0</v>
      </c>
      <c r="I148" s="113">
        <v>0</v>
      </c>
      <c r="J148" s="114">
        <f>H148-I148</f>
        <v>0</v>
      </c>
      <c r="K148" s="113">
        <f t="shared" si="8"/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</row>
    <row r="149" spans="2:16" ht="13.9" customHeight="1" outlineLevel="1" x14ac:dyDescent="0.25">
      <c r="B149" s="138"/>
      <c r="C149" s="84" t="s">
        <v>76</v>
      </c>
      <c r="D149" s="85">
        <v>0</v>
      </c>
      <c r="E149" s="86">
        <v>0</v>
      </c>
      <c r="F149" s="113">
        <f>G149+I149</f>
        <v>0</v>
      </c>
      <c r="G149" s="113">
        <v>0</v>
      </c>
      <c r="H149" s="86">
        <v>0</v>
      </c>
      <c r="I149" s="113">
        <v>0</v>
      </c>
      <c r="J149" s="114">
        <f>H149-I149</f>
        <v>0</v>
      </c>
      <c r="K149" s="113">
        <f t="shared" si="8"/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</row>
    <row r="150" spans="2:16" ht="13.9" customHeight="1" x14ac:dyDescent="0.25">
      <c r="B150" s="139"/>
      <c r="C150" s="78" t="s">
        <v>106</v>
      </c>
      <c r="D150" s="90">
        <f t="shared" ref="D150:P150" si="13">SUM(D148:D149)</f>
        <v>0</v>
      </c>
      <c r="E150" s="91">
        <f t="shared" si="13"/>
        <v>0</v>
      </c>
      <c r="F150" s="92">
        <f t="shared" si="13"/>
        <v>0</v>
      </c>
      <c r="G150" s="93">
        <f t="shared" si="13"/>
        <v>0</v>
      </c>
      <c r="H150" s="90">
        <f t="shared" si="13"/>
        <v>0</v>
      </c>
      <c r="I150" s="91">
        <f t="shared" si="13"/>
        <v>0</v>
      </c>
      <c r="J150" s="92">
        <f t="shared" si="13"/>
        <v>0</v>
      </c>
      <c r="K150" s="93">
        <f t="shared" si="13"/>
        <v>0</v>
      </c>
      <c r="L150" s="90">
        <f t="shared" si="13"/>
        <v>0</v>
      </c>
      <c r="M150" s="91">
        <f t="shared" si="13"/>
        <v>0</v>
      </c>
      <c r="N150" s="90">
        <f t="shared" si="13"/>
        <v>0</v>
      </c>
      <c r="O150" s="91">
        <f t="shared" si="13"/>
        <v>0</v>
      </c>
      <c r="P150" s="91">
        <f t="shared" si="13"/>
        <v>0</v>
      </c>
    </row>
    <row r="151" spans="2:16" ht="13.9" customHeight="1" x14ac:dyDescent="0.25">
      <c r="B151" s="140" t="s">
        <v>78</v>
      </c>
      <c r="C151" s="141"/>
      <c r="D151" s="90">
        <f t="shared" ref="D151:P151" si="14">D143+D147+D150</f>
        <v>2</v>
      </c>
      <c r="E151" s="91">
        <f t="shared" si="14"/>
        <v>2958503.7199999997</v>
      </c>
      <c r="F151" s="92">
        <f t="shared" si="14"/>
        <v>295850.38</v>
      </c>
      <c r="G151" s="93">
        <f t="shared" si="14"/>
        <v>59200</v>
      </c>
      <c r="H151" s="90">
        <f t="shared" si="14"/>
        <v>2899303.7199999997</v>
      </c>
      <c r="I151" s="91">
        <f t="shared" si="14"/>
        <v>236650.38</v>
      </c>
      <c r="J151" s="92">
        <f t="shared" si="14"/>
        <v>2662653.34</v>
      </c>
      <c r="K151" s="93">
        <f t="shared" si="14"/>
        <v>591700.71999999974</v>
      </c>
      <c r="L151" s="90">
        <f t="shared" si="14"/>
        <v>295850.38</v>
      </c>
      <c r="M151" s="91">
        <f t="shared" si="14"/>
        <v>0</v>
      </c>
      <c r="N151" s="90">
        <f t="shared" si="14"/>
        <v>0</v>
      </c>
      <c r="O151" s="91">
        <f t="shared" si="14"/>
        <v>1775102.24</v>
      </c>
      <c r="P151" s="91">
        <f t="shared" si="14"/>
        <v>0</v>
      </c>
    </row>
    <row r="152" spans="2:16" ht="13.9" customHeight="1" x14ac:dyDescent="0.25"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</row>
    <row r="153" spans="2:16" ht="13.9" customHeight="1" x14ac:dyDescent="0.25">
      <c r="B153" s="107" t="s">
        <v>88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</row>
    <row r="154" spans="2:16" ht="13.9" customHeight="1" x14ac:dyDescent="0.25">
      <c r="B154" s="136" t="s">
        <v>26</v>
      </c>
      <c r="C154" s="108" t="s">
        <v>27</v>
      </c>
      <c r="D154" s="109" t="s">
        <v>28</v>
      </c>
      <c r="E154" s="110" t="s">
        <v>29</v>
      </c>
      <c r="F154" s="111" t="s">
        <v>85</v>
      </c>
      <c r="G154" s="112" t="s">
        <v>81</v>
      </c>
      <c r="H154" s="110" t="s">
        <v>82</v>
      </c>
      <c r="I154" s="112" t="s">
        <v>86</v>
      </c>
      <c r="J154" s="110" t="s">
        <v>87</v>
      </c>
      <c r="K154" s="112">
        <v>2026</v>
      </c>
      <c r="L154" s="112">
        <v>2027</v>
      </c>
      <c r="M154" s="110">
        <v>2028</v>
      </c>
      <c r="N154" s="112">
        <v>2029</v>
      </c>
      <c r="O154" s="110">
        <v>2030</v>
      </c>
      <c r="P154" s="112">
        <v>2031</v>
      </c>
    </row>
    <row r="155" spans="2:16" ht="13.9" customHeight="1" outlineLevel="1" x14ac:dyDescent="0.25">
      <c r="B155" s="137" t="s">
        <v>30</v>
      </c>
      <c r="C155" s="84" t="s">
        <v>31</v>
      </c>
      <c r="D155" s="85">
        <v>0</v>
      </c>
      <c r="E155" s="86">
        <v>0</v>
      </c>
      <c r="F155" s="142">
        <f>G155+I155</f>
        <v>0</v>
      </c>
      <c r="G155" s="113">
        <v>0</v>
      </c>
      <c r="H155" s="86">
        <v>0</v>
      </c>
      <c r="I155" s="113">
        <v>0</v>
      </c>
      <c r="J155" s="114">
        <f>H155-I155</f>
        <v>0</v>
      </c>
      <c r="K155" s="113">
        <f t="shared" ref="K155:K198" si="15">MAX(J155-SUM(L155:P155),0)</f>
        <v>0</v>
      </c>
      <c r="L155" s="113">
        <v>0</v>
      </c>
      <c r="M155" s="113">
        <v>0</v>
      </c>
      <c r="N155" s="113">
        <v>0</v>
      </c>
      <c r="O155" s="113">
        <v>0</v>
      </c>
      <c r="P155" s="113">
        <v>0</v>
      </c>
    </row>
    <row r="156" spans="2:16" ht="13.9" customHeight="1" outlineLevel="1" x14ac:dyDescent="0.25">
      <c r="B156" s="138"/>
      <c r="C156" s="84" t="s">
        <v>32</v>
      </c>
      <c r="D156" s="85">
        <v>0</v>
      </c>
      <c r="E156" s="86">
        <v>0</v>
      </c>
      <c r="F156" s="142">
        <f t="shared" ref="F156:F197" si="16">G156+I156</f>
        <v>0</v>
      </c>
      <c r="G156" s="113">
        <v>0</v>
      </c>
      <c r="H156" s="86">
        <v>0</v>
      </c>
      <c r="I156" s="113">
        <v>0</v>
      </c>
      <c r="J156" s="114">
        <f t="shared" ref="J156:J197" si="17">H156-I156</f>
        <v>0</v>
      </c>
      <c r="K156" s="113">
        <f t="shared" si="15"/>
        <v>0</v>
      </c>
      <c r="L156" s="113">
        <v>0</v>
      </c>
      <c r="M156" s="113">
        <v>0</v>
      </c>
      <c r="N156" s="113">
        <v>0</v>
      </c>
      <c r="O156" s="113">
        <v>0</v>
      </c>
      <c r="P156" s="113">
        <v>0</v>
      </c>
    </row>
    <row r="157" spans="2:16" ht="13.9" customHeight="1" outlineLevel="1" x14ac:dyDescent="0.25">
      <c r="B157" s="138"/>
      <c r="C157" s="84" t="s">
        <v>33</v>
      </c>
      <c r="D157" s="85">
        <v>0</v>
      </c>
      <c r="E157" s="86">
        <v>0</v>
      </c>
      <c r="F157" s="142">
        <f t="shared" si="16"/>
        <v>0</v>
      </c>
      <c r="G157" s="113">
        <v>0</v>
      </c>
      <c r="H157" s="86">
        <v>0</v>
      </c>
      <c r="I157" s="113">
        <v>0</v>
      </c>
      <c r="J157" s="114">
        <f t="shared" si="17"/>
        <v>0</v>
      </c>
      <c r="K157" s="113">
        <f t="shared" si="15"/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</row>
    <row r="158" spans="2:16" ht="13.9" customHeight="1" outlineLevel="1" x14ac:dyDescent="0.25">
      <c r="B158" s="138"/>
      <c r="C158" s="84" t="s">
        <v>34</v>
      </c>
      <c r="D158" s="85">
        <v>0</v>
      </c>
      <c r="E158" s="86">
        <v>0</v>
      </c>
      <c r="F158" s="142">
        <f t="shared" si="16"/>
        <v>0</v>
      </c>
      <c r="G158" s="113">
        <v>0</v>
      </c>
      <c r="H158" s="86">
        <v>0</v>
      </c>
      <c r="I158" s="113">
        <v>0</v>
      </c>
      <c r="J158" s="114">
        <f t="shared" si="17"/>
        <v>0</v>
      </c>
      <c r="K158" s="113">
        <f t="shared" si="15"/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</row>
    <row r="159" spans="2:16" ht="13.9" customHeight="1" outlineLevel="1" x14ac:dyDescent="0.25">
      <c r="B159" s="138"/>
      <c r="C159" s="84" t="s">
        <v>35</v>
      </c>
      <c r="D159" s="85">
        <v>0</v>
      </c>
      <c r="E159" s="86">
        <v>0</v>
      </c>
      <c r="F159" s="142">
        <f t="shared" si="16"/>
        <v>0</v>
      </c>
      <c r="G159" s="113">
        <v>0</v>
      </c>
      <c r="H159" s="86">
        <v>0</v>
      </c>
      <c r="I159" s="113">
        <v>0</v>
      </c>
      <c r="J159" s="114">
        <f t="shared" si="17"/>
        <v>0</v>
      </c>
      <c r="K159" s="113">
        <f t="shared" si="15"/>
        <v>0</v>
      </c>
      <c r="L159" s="113">
        <v>0</v>
      </c>
      <c r="M159" s="113">
        <v>0</v>
      </c>
      <c r="N159" s="113">
        <v>0</v>
      </c>
      <c r="O159" s="113">
        <v>0</v>
      </c>
      <c r="P159" s="113">
        <v>0</v>
      </c>
    </row>
    <row r="160" spans="2:16" ht="13.9" customHeight="1" outlineLevel="1" x14ac:dyDescent="0.25">
      <c r="B160" s="138"/>
      <c r="C160" s="84" t="s">
        <v>36</v>
      </c>
      <c r="D160" s="85">
        <v>0</v>
      </c>
      <c r="E160" s="86">
        <v>0</v>
      </c>
      <c r="F160" s="142">
        <f t="shared" si="16"/>
        <v>0</v>
      </c>
      <c r="G160" s="113">
        <v>0</v>
      </c>
      <c r="H160" s="86">
        <v>0</v>
      </c>
      <c r="I160" s="113">
        <v>0</v>
      </c>
      <c r="J160" s="114">
        <f t="shared" si="17"/>
        <v>0</v>
      </c>
      <c r="K160" s="113">
        <f t="shared" si="15"/>
        <v>0</v>
      </c>
      <c r="L160" s="113">
        <v>0</v>
      </c>
      <c r="M160" s="113">
        <v>0</v>
      </c>
      <c r="N160" s="113">
        <v>0</v>
      </c>
      <c r="O160" s="113">
        <v>0</v>
      </c>
      <c r="P160" s="113">
        <v>0</v>
      </c>
    </row>
    <row r="161" spans="2:16" ht="13.9" customHeight="1" outlineLevel="1" x14ac:dyDescent="0.25">
      <c r="B161" s="138"/>
      <c r="C161" s="84" t="s">
        <v>37</v>
      </c>
      <c r="D161" s="85">
        <v>0</v>
      </c>
      <c r="E161" s="86">
        <v>0</v>
      </c>
      <c r="F161" s="142">
        <f t="shared" si="16"/>
        <v>0</v>
      </c>
      <c r="G161" s="113">
        <v>0</v>
      </c>
      <c r="H161" s="86">
        <v>0</v>
      </c>
      <c r="I161" s="113">
        <v>0</v>
      </c>
      <c r="J161" s="114">
        <f t="shared" si="17"/>
        <v>0</v>
      </c>
      <c r="K161" s="113">
        <f t="shared" si="15"/>
        <v>0</v>
      </c>
      <c r="L161" s="113">
        <v>0</v>
      </c>
      <c r="M161" s="113">
        <v>0</v>
      </c>
      <c r="N161" s="113">
        <v>0</v>
      </c>
      <c r="O161" s="113">
        <v>0</v>
      </c>
      <c r="P161" s="113">
        <v>0</v>
      </c>
    </row>
    <row r="162" spans="2:16" ht="13.9" customHeight="1" outlineLevel="1" x14ac:dyDescent="0.25">
      <c r="B162" s="138"/>
      <c r="C162" s="84" t="s">
        <v>38</v>
      </c>
      <c r="D162" s="85">
        <v>0</v>
      </c>
      <c r="E162" s="86">
        <v>0</v>
      </c>
      <c r="F162" s="142">
        <f t="shared" si="16"/>
        <v>0</v>
      </c>
      <c r="G162" s="113">
        <v>0</v>
      </c>
      <c r="H162" s="86">
        <v>0</v>
      </c>
      <c r="I162" s="113">
        <v>0</v>
      </c>
      <c r="J162" s="114">
        <f t="shared" si="17"/>
        <v>0</v>
      </c>
      <c r="K162" s="113">
        <f t="shared" si="15"/>
        <v>0</v>
      </c>
      <c r="L162" s="113">
        <v>0</v>
      </c>
      <c r="M162" s="113">
        <v>0</v>
      </c>
      <c r="N162" s="113">
        <v>0</v>
      </c>
      <c r="O162" s="113">
        <v>0</v>
      </c>
      <c r="P162" s="113">
        <v>0</v>
      </c>
    </row>
    <row r="163" spans="2:16" ht="13.9" customHeight="1" outlineLevel="1" x14ac:dyDescent="0.25">
      <c r="B163" s="138"/>
      <c r="C163" s="84" t="s">
        <v>39</v>
      </c>
      <c r="D163" s="85">
        <v>0</v>
      </c>
      <c r="E163" s="86">
        <v>0</v>
      </c>
      <c r="F163" s="142">
        <f t="shared" si="16"/>
        <v>0</v>
      </c>
      <c r="G163" s="113">
        <v>0</v>
      </c>
      <c r="H163" s="86">
        <v>0</v>
      </c>
      <c r="I163" s="113">
        <v>0</v>
      </c>
      <c r="J163" s="114">
        <f t="shared" si="17"/>
        <v>0</v>
      </c>
      <c r="K163" s="113">
        <f t="shared" si="15"/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</row>
    <row r="164" spans="2:16" ht="13.9" customHeight="1" outlineLevel="1" x14ac:dyDescent="0.25">
      <c r="B164" s="138"/>
      <c r="C164" s="84" t="s">
        <v>40</v>
      </c>
      <c r="D164" s="85">
        <v>0</v>
      </c>
      <c r="E164" s="86">
        <v>0</v>
      </c>
      <c r="F164" s="142">
        <f t="shared" si="16"/>
        <v>0</v>
      </c>
      <c r="G164" s="113">
        <v>0</v>
      </c>
      <c r="H164" s="86">
        <v>0</v>
      </c>
      <c r="I164" s="113">
        <v>0</v>
      </c>
      <c r="J164" s="114">
        <f t="shared" si="17"/>
        <v>0</v>
      </c>
      <c r="K164" s="113">
        <f t="shared" si="15"/>
        <v>0</v>
      </c>
      <c r="L164" s="113">
        <v>0</v>
      </c>
      <c r="M164" s="113">
        <v>0</v>
      </c>
      <c r="N164" s="113">
        <v>0</v>
      </c>
      <c r="O164" s="113">
        <v>0</v>
      </c>
      <c r="P164" s="113">
        <v>0</v>
      </c>
    </row>
    <row r="165" spans="2:16" ht="13.9" customHeight="1" outlineLevel="1" x14ac:dyDescent="0.25">
      <c r="B165" s="138"/>
      <c r="C165" s="84" t="s">
        <v>41</v>
      </c>
      <c r="D165" s="85">
        <v>0</v>
      </c>
      <c r="E165" s="86">
        <v>0</v>
      </c>
      <c r="F165" s="142">
        <f t="shared" si="16"/>
        <v>0</v>
      </c>
      <c r="G165" s="113">
        <v>0</v>
      </c>
      <c r="H165" s="86">
        <v>0</v>
      </c>
      <c r="I165" s="113">
        <v>0</v>
      </c>
      <c r="J165" s="114">
        <f t="shared" si="17"/>
        <v>0</v>
      </c>
      <c r="K165" s="113">
        <f t="shared" si="15"/>
        <v>0</v>
      </c>
      <c r="L165" s="113">
        <v>0</v>
      </c>
      <c r="M165" s="113">
        <v>0</v>
      </c>
      <c r="N165" s="113">
        <v>0</v>
      </c>
      <c r="O165" s="113">
        <v>0</v>
      </c>
      <c r="P165" s="113">
        <v>0</v>
      </c>
    </row>
    <row r="166" spans="2:16" ht="13.9" customHeight="1" outlineLevel="1" x14ac:dyDescent="0.25">
      <c r="B166" s="138"/>
      <c r="C166" s="84" t="s">
        <v>42</v>
      </c>
      <c r="D166" s="85">
        <v>5</v>
      </c>
      <c r="E166" s="86">
        <v>8268151.1500000004</v>
      </c>
      <c r="F166" s="142">
        <f t="shared" si="16"/>
        <v>3379310.8099999996</v>
      </c>
      <c r="G166" s="113">
        <v>1302821.3499999999</v>
      </c>
      <c r="H166" s="86">
        <v>6965329.7999999998</v>
      </c>
      <c r="I166" s="113">
        <v>2076489.46</v>
      </c>
      <c r="J166" s="114">
        <f t="shared" si="17"/>
        <v>4888840.34</v>
      </c>
      <c r="K166" s="113">
        <f t="shared" si="15"/>
        <v>1540440.44</v>
      </c>
      <c r="L166" s="113">
        <v>3348399.9</v>
      </c>
      <c r="M166" s="113">
        <v>0</v>
      </c>
      <c r="N166" s="113">
        <v>0</v>
      </c>
      <c r="O166" s="113">
        <v>0</v>
      </c>
      <c r="P166" s="113">
        <v>0</v>
      </c>
    </row>
    <row r="167" spans="2:16" ht="13.9" customHeight="1" outlineLevel="1" x14ac:dyDescent="0.25">
      <c r="B167" s="138"/>
      <c r="C167" s="84" t="s">
        <v>43</v>
      </c>
      <c r="D167" s="85">
        <v>0</v>
      </c>
      <c r="E167" s="86">
        <v>0</v>
      </c>
      <c r="F167" s="142">
        <f t="shared" si="16"/>
        <v>0</v>
      </c>
      <c r="G167" s="113">
        <v>0</v>
      </c>
      <c r="H167" s="86">
        <v>0</v>
      </c>
      <c r="I167" s="113">
        <v>0</v>
      </c>
      <c r="J167" s="114">
        <f t="shared" si="17"/>
        <v>0</v>
      </c>
      <c r="K167" s="113">
        <f t="shared" si="15"/>
        <v>0</v>
      </c>
      <c r="L167" s="113">
        <v>0</v>
      </c>
      <c r="M167" s="113">
        <v>0</v>
      </c>
      <c r="N167" s="113">
        <v>0</v>
      </c>
      <c r="O167" s="113">
        <v>0</v>
      </c>
      <c r="P167" s="113">
        <v>0</v>
      </c>
    </row>
    <row r="168" spans="2:16" ht="13.9" customHeight="1" outlineLevel="1" x14ac:dyDescent="0.25">
      <c r="B168" s="138"/>
      <c r="C168" s="84" t="s">
        <v>44</v>
      </c>
      <c r="D168" s="85">
        <v>1</v>
      </c>
      <c r="E168" s="86">
        <v>1622875.5</v>
      </c>
      <c r="F168" s="142">
        <f t="shared" si="16"/>
        <v>324575.09999999998</v>
      </c>
      <c r="G168" s="113">
        <v>324575</v>
      </c>
      <c r="H168" s="86">
        <v>1298300.5</v>
      </c>
      <c r="I168" s="113">
        <v>0.1</v>
      </c>
      <c r="J168" s="114">
        <f t="shared" si="17"/>
        <v>1298300.3999999999</v>
      </c>
      <c r="K168" s="113">
        <f t="shared" si="15"/>
        <v>162287.54999999981</v>
      </c>
      <c r="L168" s="113">
        <v>162287.54999999999</v>
      </c>
      <c r="M168" s="113">
        <v>973725.3</v>
      </c>
      <c r="N168" s="113">
        <v>0</v>
      </c>
      <c r="O168" s="113">
        <v>0</v>
      </c>
      <c r="P168" s="113">
        <v>0</v>
      </c>
    </row>
    <row r="169" spans="2:16" ht="13.9" customHeight="1" outlineLevel="1" x14ac:dyDescent="0.25">
      <c r="B169" s="138"/>
      <c r="C169" s="84" t="s">
        <v>45</v>
      </c>
      <c r="D169" s="85">
        <v>3</v>
      </c>
      <c r="E169" s="86">
        <v>4545649.9800000004</v>
      </c>
      <c r="F169" s="142">
        <f t="shared" si="16"/>
        <v>985803.42</v>
      </c>
      <c r="G169" s="113">
        <v>719958.32000000007</v>
      </c>
      <c r="H169" s="86">
        <v>3825691.66</v>
      </c>
      <c r="I169" s="113">
        <v>265845.09999999998</v>
      </c>
      <c r="J169" s="114">
        <f t="shared" si="17"/>
        <v>3559846.56</v>
      </c>
      <c r="K169" s="113">
        <f t="shared" si="15"/>
        <v>188945.78000000026</v>
      </c>
      <c r="L169" s="113">
        <v>454565</v>
      </c>
      <c r="M169" s="113">
        <v>909130</v>
      </c>
      <c r="N169" s="113">
        <v>1251422.6299999999</v>
      </c>
      <c r="O169" s="113">
        <v>755783.15</v>
      </c>
      <c r="P169" s="113">
        <v>0</v>
      </c>
    </row>
    <row r="170" spans="2:16" ht="13.9" customHeight="1" outlineLevel="1" x14ac:dyDescent="0.25">
      <c r="B170" s="138"/>
      <c r="C170" s="84" t="s">
        <v>46</v>
      </c>
      <c r="D170" s="85">
        <v>0</v>
      </c>
      <c r="E170" s="86">
        <v>0</v>
      </c>
      <c r="F170" s="142">
        <f t="shared" si="16"/>
        <v>0</v>
      </c>
      <c r="G170" s="113">
        <v>0</v>
      </c>
      <c r="H170" s="86">
        <v>0</v>
      </c>
      <c r="I170" s="113">
        <v>0</v>
      </c>
      <c r="J170" s="114">
        <f t="shared" si="17"/>
        <v>0</v>
      </c>
      <c r="K170" s="113">
        <f t="shared" si="15"/>
        <v>0</v>
      </c>
      <c r="L170" s="113">
        <v>0</v>
      </c>
      <c r="M170" s="113">
        <v>0</v>
      </c>
      <c r="N170" s="113">
        <v>0</v>
      </c>
      <c r="O170" s="113">
        <v>0</v>
      </c>
      <c r="P170" s="113">
        <v>0</v>
      </c>
    </row>
    <row r="171" spans="2:16" ht="13.9" customHeight="1" outlineLevel="1" x14ac:dyDescent="0.25">
      <c r="B171" s="138"/>
      <c r="C171" s="84" t="s">
        <v>47</v>
      </c>
      <c r="D171" s="85">
        <v>1</v>
      </c>
      <c r="E171" s="86">
        <v>1628051.4</v>
      </c>
      <c r="F171" s="142">
        <f t="shared" si="16"/>
        <v>814025.7</v>
      </c>
      <c r="G171" s="113">
        <v>164259</v>
      </c>
      <c r="H171" s="86">
        <v>1463792.4</v>
      </c>
      <c r="I171" s="113">
        <v>649766.69999999995</v>
      </c>
      <c r="J171" s="114">
        <f t="shared" si="17"/>
        <v>814025.7</v>
      </c>
      <c r="K171" s="113">
        <f t="shared" si="15"/>
        <v>814025.7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</row>
    <row r="172" spans="2:16" ht="13.9" customHeight="1" outlineLevel="1" x14ac:dyDescent="0.25">
      <c r="B172" s="138"/>
      <c r="C172" s="84" t="s">
        <v>48</v>
      </c>
      <c r="D172" s="85">
        <v>1</v>
      </c>
      <c r="E172" s="86">
        <v>1075088.1000000001</v>
      </c>
      <c r="F172" s="142">
        <f t="shared" si="16"/>
        <v>537544.05000000005</v>
      </c>
      <c r="G172" s="113">
        <v>107479.48</v>
      </c>
      <c r="H172" s="86">
        <v>967608.62000000011</v>
      </c>
      <c r="I172" s="113">
        <v>430064.57</v>
      </c>
      <c r="J172" s="114">
        <f t="shared" si="17"/>
        <v>537544.05000000005</v>
      </c>
      <c r="K172" s="113">
        <f t="shared" si="15"/>
        <v>107508.81000000006</v>
      </c>
      <c r="L172" s="113">
        <v>430035.24</v>
      </c>
      <c r="M172" s="113">
        <v>0</v>
      </c>
      <c r="N172" s="113">
        <v>0</v>
      </c>
      <c r="O172" s="113">
        <v>0</v>
      </c>
      <c r="P172" s="113">
        <v>0</v>
      </c>
    </row>
    <row r="173" spans="2:16" ht="13.9" customHeight="1" outlineLevel="1" x14ac:dyDescent="0.25">
      <c r="B173" s="138"/>
      <c r="C173" s="84" t="s">
        <v>49</v>
      </c>
      <c r="D173" s="85">
        <v>1</v>
      </c>
      <c r="E173" s="86">
        <v>2316930</v>
      </c>
      <c r="F173" s="142">
        <f t="shared" si="16"/>
        <v>729834</v>
      </c>
      <c r="G173" s="113">
        <v>394454</v>
      </c>
      <c r="H173" s="86">
        <v>1922476</v>
      </c>
      <c r="I173" s="113">
        <v>335380</v>
      </c>
      <c r="J173" s="114">
        <f t="shared" si="17"/>
        <v>1587096</v>
      </c>
      <c r="K173" s="113">
        <f t="shared" si="15"/>
        <v>613985</v>
      </c>
      <c r="L173" s="113">
        <v>973111</v>
      </c>
      <c r="M173" s="113">
        <v>0</v>
      </c>
      <c r="N173" s="113">
        <v>0</v>
      </c>
      <c r="O173" s="113">
        <v>0</v>
      </c>
      <c r="P173" s="113">
        <v>0</v>
      </c>
    </row>
    <row r="174" spans="2:16" ht="13.9" customHeight="1" outlineLevel="1" x14ac:dyDescent="0.25">
      <c r="B174" s="138"/>
      <c r="C174" s="84" t="s">
        <v>50</v>
      </c>
      <c r="D174" s="85">
        <v>0</v>
      </c>
      <c r="E174" s="86">
        <v>0</v>
      </c>
      <c r="F174" s="142">
        <f t="shared" si="16"/>
        <v>0</v>
      </c>
      <c r="G174" s="113">
        <v>0</v>
      </c>
      <c r="H174" s="86">
        <v>0</v>
      </c>
      <c r="I174" s="113">
        <v>0</v>
      </c>
      <c r="J174" s="114">
        <f t="shared" si="17"/>
        <v>0</v>
      </c>
      <c r="K174" s="113">
        <f t="shared" si="15"/>
        <v>0</v>
      </c>
      <c r="L174" s="113">
        <v>0</v>
      </c>
      <c r="M174" s="113">
        <v>0</v>
      </c>
      <c r="N174" s="113">
        <v>0</v>
      </c>
      <c r="O174" s="113">
        <v>0</v>
      </c>
      <c r="P174" s="113">
        <v>0</v>
      </c>
    </row>
    <row r="175" spans="2:16" ht="13.9" customHeight="1" outlineLevel="1" x14ac:dyDescent="0.25">
      <c r="B175" s="138"/>
      <c r="C175" s="84" t="s">
        <v>51</v>
      </c>
      <c r="D175" s="85">
        <v>6</v>
      </c>
      <c r="E175" s="86">
        <v>6746290.25</v>
      </c>
      <c r="F175" s="142">
        <f t="shared" si="16"/>
        <v>2153514.4900000002</v>
      </c>
      <c r="G175" s="113">
        <v>1279182.1100000001</v>
      </c>
      <c r="H175" s="86">
        <v>5467108.1399999997</v>
      </c>
      <c r="I175" s="113">
        <v>874332.38</v>
      </c>
      <c r="J175" s="114">
        <f t="shared" si="17"/>
        <v>4592775.76</v>
      </c>
      <c r="K175" s="113">
        <f t="shared" si="15"/>
        <v>1027018.2599999998</v>
      </c>
      <c r="L175" s="113">
        <v>3565757.5</v>
      </c>
      <c r="M175" s="113">
        <v>0</v>
      </c>
      <c r="N175" s="113">
        <v>0</v>
      </c>
      <c r="O175" s="113">
        <v>0</v>
      </c>
      <c r="P175" s="113">
        <v>0</v>
      </c>
    </row>
    <row r="176" spans="2:16" ht="13.9" customHeight="1" outlineLevel="1" x14ac:dyDescent="0.25">
      <c r="B176" s="138"/>
      <c r="C176" s="84" t="s">
        <v>52</v>
      </c>
      <c r="D176" s="85">
        <v>2</v>
      </c>
      <c r="E176" s="86">
        <v>3496810.2</v>
      </c>
      <c r="F176" s="142">
        <f t="shared" si="16"/>
        <v>699362.04</v>
      </c>
      <c r="G176" s="113">
        <v>699361.79</v>
      </c>
      <c r="H176" s="86">
        <v>2797448.41</v>
      </c>
      <c r="I176" s="113">
        <v>0.25</v>
      </c>
      <c r="J176" s="114">
        <f t="shared" si="17"/>
        <v>2797448.16</v>
      </c>
      <c r="K176" s="113">
        <f t="shared" si="15"/>
        <v>349681.02</v>
      </c>
      <c r="L176" s="113">
        <v>349681.02</v>
      </c>
      <c r="M176" s="113">
        <v>699362.04</v>
      </c>
      <c r="N176" s="113">
        <v>1398724.08</v>
      </c>
      <c r="O176" s="113">
        <v>0</v>
      </c>
      <c r="P176" s="113">
        <v>0</v>
      </c>
    </row>
    <row r="177" spans="2:16" ht="13.9" customHeight="1" outlineLevel="1" x14ac:dyDescent="0.25">
      <c r="B177" s="138"/>
      <c r="C177" s="84" t="s">
        <v>53</v>
      </c>
      <c r="D177" s="85">
        <v>0</v>
      </c>
      <c r="E177" s="86">
        <v>0</v>
      </c>
      <c r="F177" s="142">
        <f t="shared" si="16"/>
        <v>0</v>
      </c>
      <c r="G177" s="113">
        <v>0</v>
      </c>
      <c r="H177" s="86">
        <v>0</v>
      </c>
      <c r="I177" s="113">
        <v>0</v>
      </c>
      <c r="J177" s="114">
        <f t="shared" si="17"/>
        <v>0</v>
      </c>
      <c r="K177" s="113">
        <f t="shared" si="15"/>
        <v>0</v>
      </c>
      <c r="L177" s="113">
        <v>0</v>
      </c>
      <c r="M177" s="113">
        <v>0</v>
      </c>
      <c r="N177" s="113">
        <v>0</v>
      </c>
      <c r="O177" s="113">
        <v>0</v>
      </c>
      <c r="P177" s="113">
        <v>0</v>
      </c>
    </row>
    <row r="178" spans="2:16" ht="13.9" customHeight="1" outlineLevel="1" x14ac:dyDescent="0.25">
      <c r="B178" s="138"/>
      <c r="C178" s="84" t="s">
        <v>54</v>
      </c>
      <c r="D178" s="85">
        <v>1</v>
      </c>
      <c r="E178" s="86">
        <v>1688531.25</v>
      </c>
      <c r="F178" s="142">
        <f t="shared" si="16"/>
        <v>337706.25</v>
      </c>
      <c r="G178" s="113">
        <v>337706</v>
      </c>
      <c r="H178" s="86">
        <v>1350825.25</v>
      </c>
      <c r="I178" s="113">
        <v>0.25</v>
      </c>
      <c r="J178" s="114">
        <f t="shared" si="17"/>
        <v>1350825</v>
      </c>
      <c r="K178" s="113">
        <f t="shared" si="15"/>
        <v>168853.10999999987</v>
      </c>
      <c r="L178" s="113">
        <v>168853.13</v>
      </c>
      <c r="M178" s="113">
        <v>337706.26</v>
      </c>
      <c r="N178" s="113">
        <v>675412.5</v>
      </c>
      <c r="O178" s="113">
        <v>0</v>
      </c>
      <c r="P178" s="113">
        <v>0</v>
      </c>
    </row>
    <row r="179" spans="2:16" ht="13.9" customHeight="1" outlineLevel="1" x14ac:dyDescent="0.25">
      <c r="B179" s="138"/>
      <c r="C179" s="84" t="s">
        <v>55</v>
      </c>
      <c r="D179" s="85">
        <v>1</v>
      </c>
      <c r="E179" s="86">
        <v>2132803.15</v>
      </c>
      <c r="F179" s="142">
        <f>G179+I179</f>
        <v>426560.64</v>
      </c>
      <c r="G179" s="113">
        <v>424121</v>
      </c>
      <c r="H179" s="86">
        <v>1708682.15</v>
      </c>
      <c r="I179" s="113">
        <v>2439.64</v>
      </c>
      <c r="J179" s="114">
        <f>H179-I179</f>
        <v>1706242.51</v>
      </c>
      <c r="K179" s="113">
        <f t="shared" si="15"/>
        <v>213280.29000000004</v>
      </c>
      <c r="L179" s="113">
        <v>213280.32</v>
      </c>
      <c r="M179" s="113">
        <v>213280.32</v>
      </c>
      <c r="N179" s="113">
        <v>213280.32</v>
      </c>
      <c r="O179" s="113">
        <v>853121.26</v>
      </c>
      <c r="P179" s="113">
        <v>0</v>
      </c>
    </row>
    <row r="180" spans="2:16" ht="13.9" customHeight="1" outlineLevel="1" x14ac:dyDescent="0.25">
      <c r="B180" s="138"/>
      <c r="C180" s="84" t="s">
        <v>56</v>
      </c>
      <c r="D180" s="85">
        <v>0</v>
      </c>
      <c r="E180" s="86">
        <v>0</v>
      </c>
      <c r="F180" s="142">
        <f>G180+I180</f>
        <v>0</v>
      </c>
      <c r="G180" s="113">
        <v>0</v>
      </c>
      <c r="H180" s="86">
        <v>0</v>
      </c>
      <c r="I180" s="113">
        <v>0</v>
      </c>
      <c r="J180" s="114">
        <f>H180-I180</f>
        <v>0</v>
      </c>
      <c r="K180" s="113">
        <f t="shared" si="15"/>
        <v>0</v>
      </c>
      <c r="L180" s="113">
        <v>0</v>
      </c>
      <c r="M180" s="113">
        <v>0</v>
      </c>
      <c r="N180" s="113">
        <v>0</v>
      </c>
      <c r="O180" s="113">
        <v>0</v>
      </c>
      <c r="P180" s="113">
        <v>0</v>
      </c>
    </row>
    <row r="181" spans="2:16" ht="13.9" customHeight="1" outlineLevel="1" x14ac:dyDescent="0.25">
      <c r="B181" s="138"/>
      <c r="C181" s="84" t="s">
        <v>57</v>
      </c>
      <c r="D181" s="85">
        <v>0</v>
      </c>
      <c r="E181" s="86">
        <v>0</v>
      </c>
      <c r="F181" s="142">
        <f>G181+I181</f>
        <v>0</v>
      </c>
      <c r="G181" s="113">
        <v>0</v>
      </c>
      <c r="H181" s="86">
        <v>0</v>
      </c>
      <c r="I181" s="113">
        <v>0</v>
      </c>
      <c r="J181" s="114">
        <f>H181-I181</f>
        <v>0</v>
      </c>
      <c r="K181" s="113">
        <f t="shared" si="15"/>
        <v>0</v>
      </c>
      <c r="L181" s="113">
        <v>0</v>
      </c>
      <c r="M181" s="113">
        <v>0</v>
      </c>
      <c r="N181" s="113">
        <v>0</v>
      </c>
      <c r="O181" s="113">
        <v>0</v>
      </c>
      <c r="P181" s="113">
        <v>0</v>
      </c>
    </row>
    <row r="182" spans="2:16" ht="13.9" customHeight="1" outlineLevel="1" x14ac:dyDescent="0.25">
      <c r="B182" s="138"/>
      <c r="C182" s="84" t="s">
        <v>58</v>
      </c>
      <c r="D182" s="85">
        <v>4</v>
      </c>
      <c r="E182" s="86">
        <v>6025288.5899999999</v>
      </c>
      <c r="F182" s="142">
        <f>G182+I182</f>
        <v>1205057.72</v>
      </c>
      <c r="G182" s="113">
        <v>935331</v>
      </c>
      <c r="H182" s="86">
        <v>5089957.59</v>
      </c>
      <c r="I182" s="113">
        <v>269726.71999999997</v>
      </c>
      <c r="J182" s="114">
        <f>H182-I182</f>
        <v>4820230.87</v>
      </c>
      <c r="K182" s="113">
        <f t="shared" si="15"/>
        <v>452558.04999999981</v>
      </c>
      <c r="L182" s="113">
        <v>602528.87</v>
      </c>
      <c r="M182" s="113">
        <v>602528.87</v>
      </c>
      <c r="N182" s="113">
        <v>3162615.08</v>
      </c>
      <c r="O182" s="113">
        <v>0</v>
      </c>
      <c r="P182" s="113">
        <v>0</v>
      </c>
    </row>
    <row r="183" spans="2:16" ht="13.9" customHeight="1" outlineLevel="1" x14ac:dyDescent="0.25">
      <c r="B183" s="138"/>
      <c r="C183" s="84" t="s">
        <v>59</v>
      </c>
      <c r="D183" s="85">
        <v>1</v>
      </c>
      <c r="E183" s="86">
        <v>1388554.67</v>
      </c>
      <c r="F183" s="142">
        <f t="shared" si="16"/>
        <v>277710.94</v>
      </c>
      <c r="G183" s="113">
        <v>138856</v>
      </c>
      <c r="H183" s="86">
        <v>1249698.67</v>
      </c>
      <c r="I183" s="113">
        <v>138854.94</v>
      </c>
      <c r="J183" s="114">
        <f t="shared" si="17"/>
        <v>1110843.73</v>
      </c>
      <c r="K183" s="113">
        <f t="shared" si="15"/>
        <v>138855.44999999995</v>
      </c>
      <c r="L183" s="113">
        <v>138855.47</v>
      </c>
      <c r="M183" s="113">
        <v>138855.47</v>
      </c>
      <c r="N183" s="113">
        <v>694277.34</v>
      </c>
      <c r="O183" s="113">
        <v>0</v>
      </c>
      <c r="P183" s="113">
        <v>0</v>
      </c>
    </row>
    <row r="184" spans="2:16" ht="13.9" customHeight="1" outlineLevel="1" x14ac:dyDescent="0.25">
      <c r="B184" s="138"/>
      <c r="C184" s="84" t="s">
        <v>60</v>
      </c>
      <c r="D184" s="85">
        <v>0</v>
      </c>
      <c r="E184" s="86">
        <v>0</v>
      </c>
      <c r="F184" s="142">
        <f t="shared" si="16"/>
        <v>0</v>
      </c>
      <c r="G184" s="113">
        <v>0</v>
      </c>
      <c r="H184" s="86">
        <v>0</v>
      </c>
      <c r="I184" s="113">
        <v>0</v>
      </c>
      <c r="J184" s="114">
        <f t="shared" si="17"/>
        <v>0</v>
      </c>
      <c r="K184" s="113">
        <f t="shared" si="15"/>
        <v>0</v>
      </c>
      <c r="L184" s="113">
        <v>0</v>
      </c>
      <c r="M184" s="113">
        <v>0</v>
      </c>
      <c r="N184" s="113">
        <v>0</v>
      </c>
      <c r="O184" s="113">
        <v>0</v>
      </c>
      <c r="P184" s="113">
        <v>0</v>
      </c>
    </row>
    <row r="185" spans="2:16" ht="13.9" customHeight="1" outlineLevel="1" x14ac:dyDescent="0.25">
      <c r="B185" s="138"/>
      <c r="C185" s="84" t="s">
        <v>61</v>
      </c>
      <c r="D185" s="85">
        <v>0</v>
      </c>
      <c r="E185" s="86">
        <v>0</v>
      </c>
      <c r="F185" s="142">
        <f t="shared" si="16"/>
        <v>0</v>
      </c>
      <c r="G185" s="113">
        <v>0</v>
      </c>
      <c r="H185" s="86">
        <v>0</v>
      </c>
      <c r="I185" s="113">
        <v>0</v>
      </c>
      <c r="J185" s="114">
        <f t="shared" si="17"/>
        <v>0</v>
      </c>
      <c r="K185" s="113">
        <f t="shared" si="15"/>
        <v>0</v>
      </c>
      <c r="L185" s="113">
        <v>0</v>
      </c>
      <c r="M185" s="113">
        <v>0</v>
      </c>
      <c r="N185" s="113">
        <v>0</v>
      </c>
      <c r="O185" s="113">
        <v>0</v>
      </c>
      <c r="P185" s="113">
        <v>0</v>
      </c>
    </row>
    <row r="186" spans="2:16" ht="13.9" customHeight="1" outlineLevel="1" x14ac:dyDescent="0.25">
      <c r="B186" s="138"/>
      <c r="C186" s="84" t="s">
        <v>62</v>
      </c>
      <c r="D186" s="85">
        <v>0</v>
      </c>
      <c r="E186" s="86">
        <v>0</v>
      </c>
      <c r="F186" s="142">
        <f t="shared" si="16"/>
        <v>0</v>
      </c>
      <c r="G186" s="113">
        <v>0</v>
      </c>
      <c r="H186" s="86">
        <v>0</v>
      </c>
      <c r="I186" s="113">
        <v>0</v>
      </c>
      <c r="J186" s="114">
        <f t="shared" si="17"/>
        <v>0</v>
      </c>
      <c r="K186" s="113">
        <f t="shared" si="15"/>
        <v>0</v>
      </c>
      <c r="L186" s="113">
        <v>0</v>
      </c>
      <c r="M186" s="113">
        <v>0</v>
      </c>
      <c r="N186" s="113">
        <v>0</v>
      </c>
      <c r="O186" s="113">
        <v>0</v>
      </c>
      <c r="P186" s="113">
        <v>0</v>
      </c>
    </row>
    <row r="187" spans="2:16" ht="13.9" customHeight="1" outlineLevel="1" x14ac:dyDescent="0.25">
      <c r="B187" s="138"/>
      <c r="C187" s="84" t="s">
        <v>63</v>
      </c>
      <c r="D187" s="85">
        <v>0</v>
      </c>
      <c r="E187" s="86">
        <v>0</v>
      </c>
      <c r="F187" s="142">
        <f t="shared" si="16"/>
        <v>0</v>
      </c>
      <c r="G187" s="113">
        <v>0</v>
      </c>
      <c r="H187" s="86">
        <v>0</v>
      </c>
      <c r="I187" s="113">
        <v>0</v>
      </c>
      <c r="J187" s="114">
        <f t="shared" si="17"/>
        <v>0</v>
      </c>
      <c r="K187" s="113">
        <f t="shared" si="15"/>
        <v>0</v>
      </c>
      <c r="L187" s="113">
        <v>0</v>
      </c>
      <c r="M187" s="113">
        <v>0</v>
      </c>
      <c r="N187" s="113">
        <v>0</v>
      </c>
      <c r="O187" s="113">
        <v>0</v>
      </c>
      <c r="P187" s="113">
        <v>0</v>
      </c>
    </row>
    <row r="188" spans="2:16" ht="13.9" customHeight="1" outlineLevel="1" x14ac:dyDescent="0.25">
      <c r="B188" s="138"/>
      <c r="C188" s="84" t="s">
        <v>64</v>
      </c>
      <c r="D188" s="85">
        <v>0</v>
      </c>
      <c r="E188" s="86">
        <v>0</v>
      </c>
      <c r="F188" s="142">
        <f t="shared" si="16"/>
        <v>0</v>
      </c>
      <c r="G188" s="113">
        <v>0</v>
      </c>
      <c r="H188" s="86">
        <v>0</v>
      </c>
      <c r="I188" s="113">
        <v>0</v>
      </c>
      <c r="J188" s="114">
        <f t="shared" si="17"/>
        <v>0</v>
      </c>
      <c r="K188" s="113">
        <f t="shared" si="15"/>
        <v>0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</row>
    <row r="189" spans="2:16" ht="13.9" customHeight="1" outlineLevel="1" x14ac:dyDescent="0.25">
      <c r="B189" s="138"/>
      <c r="C189" s="84" t="s">
        <v>65</v>
      </c>
      <c r="D189" s="85">
        <v>0</v>
      </c>
      <c r="E189" s="86">
        <v>0</v>
      </c>
      <c r="F189" s="142">
        <f t="shared" si="16"/>
        <v>0</v>
      </c>
      <c r="G189" s="113">
        <v>0</v>
      </c>
      <c r="H189" s="86">
        <v>0</v>
      </c>
      <c r="I189" s="113">
        <v>0</v>
      </c>
      <c r="J189" s="114">
        <f t="shared" si="17"/>
        <v>0</v>
      </c>
      <c r="K189" s="113">
        <f t="shared" si="15"/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</row>
    <row r="190" spans="2:16" ht="13.9" customHeight="1" outlineLevel="1" x14ac:dyDescent="0.25">
      <c r="B190" s="138"/>
      <c r="C190" s="84" t="s">
        <v>66</v>
      </c>
      <c r="D190" s="85">
        <v>0</v>
      </c>
      <c r="E190" s="86">
        <v>0</v>
      </c>
      <c r="F190" s="142">
        <f t="shared" si="16"/>
        <v>0</v>
      </c>
      <c r="G190" s="113">
        <v>0</v>
      </c>
      <c r="H190" s="86">
        <v>0</v>
      </c>
      <c r="I190" s="113">
        <v>0</v>
      </c>
      <c r="J190" s="114">
        <f t="shared" si="17"/>
        <v>0</v>
      </c>
      <c r="K190" s="113">
        <f t="shared" si="15"/>
        <v>0</v>
      </c>
      <c r="L190" s="113">
        <v>0</v>
      </c>
      <c r="M190" s="113">
        <v>0</v>
      </c>
      <c r="N190" s="113">
        <v>0</v>
      </c>
      <c r="O190" s="113">
        <v>0</v>
      </c>
      <c r="P190" s="113">
        <v>0</v>
      </c>
    </row>
    <row r="191" spans="2:16" ht="13.9" customHeight="1" outlineLevel="1" x14ac:dyDescent="0.25">
      <c r="B191" s="138"/>
      <c r="C191" s="84" t="s">
        <v>67</v>
      </c>
      <c r="D191" s="85">
        <v>0</v>
      </c>
      <c r="E191" s="86">
        <v>0</v>
      </c>
      <c r="F191" s="142">
        <f t="shared" si="16"/>
        <v>0</v>
      </c>
      <c r="G191" s="113">
        <v>0</v>
      </c>
      <c r="H191" s="86">
        <v>0</v>
      </c>
      <c r="I191" s="113">
        <v>0</v>
      </c>
      <c r="J191" s="114">
        <f t="shared" si="17"/>
        <v>0</v>
      </c>
      <c r="K191" s="113">
        <f t="shared" si="15"/>
        <v>0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</row>
    <row r="192" spans="2:16" ht="13.9" customHeight="1" x14ac:dyDescent="0.25">
      <c r="B192" s="139"/>
      <c r="C192" s="78" t="s">
        <v>103</v>
      </c>
      <c r="D192" s="90">
        <f t="shared" ref="D192:P192" si="18">SUM(D155:D191)</f>
        <v>27</v>
      </c>
      <c r="E192" s="91">
        <f t="shared" si="18"/>
        <v>40935024.240000002</v>
      </c>
      <c r="F192" s="92">
        <f t="shared" si="18"/>
        <v>11871005.16</v>
      </c>
      <c r="G192" s="93">
        <f t="shared" si="18"/>
        <v>6828105.0499999998</v>
      </c>
      <c r="H192" s="90">
        <f t="shared" si="18"/>
        <v>34106919.189999998</v>
      </c>
      <c r="I192" s="91">
        <f t="shared" si="18"/>
        <v>5042900.1100000003</v>
      </c>
      <c r="J192" s="92">
        <f t="shared" si="18"/>
        <v>29064019.080000006</v>
      </c>
      <c r="K192" s="93">
        <f t="shared" si="18"/>
        <v>5777439.4599999981</v>
      </c>
      <c r="L192" s="90">
        <f t="shared" si="18"/>
        <v>10407355</v>
      </c>
      <c r="M192" s="91">
        <f t="shared" si="18"/>
        <v>3874588.26</v>
      </c>
      <c r="N192" s="90">
        <f t="shared" si="18"/>
        <v>7395731.9499999993</v>
      </c>
      <c r="O192" s="91">
        <f t="shared" si="18"/>
        <v>1608904.4100000001</v>
      </c>
      <c r="P192" s="91">
        <f t="shared" si="18"/>
        <v>0</v>
      </c>
    </row>
    <row r="193" spans="2:16" ht="13.9" customHeight="1" outlineLevel="1" x14ac:dyDescent="0.25">
      <c r="B193" s="137" t="s">
        <v>83</v>
      </c>
      <c r="C193" s="84" t="s">
        <v>70</v>
      </c>
      <c r="D193" s="85">
        <v>1</v>
      </c>
      <c r="E193" s="86">
        <v>2245865.6</v>
      </c>
      <c r="F193" s="142">
        <f t="shared" si="16"/>
        <v>449173.12</v>
      </c>
      <c r="G193" s="113">
        <v>449173</v>
      </c>
      <c r="H193" s="86">
        <v>1796692.6</v>
      </c>
      <c r="I193" s="113">
        <v>0.12</v>
      </c>
      <c r="J193" s="114">
        <f t="shared" si="17"/>
        <v>1796692.48</v>
      </c>
      <c r="K193" s="113">
        <f t="shared" si="15"/>
        <v>224586.56000000006</v>
      </c>
      <c r="L193" s="113">
        <v>1572105.92</v>
      </c>
      <c r="M193" s="113">
        <v>0</v>
      </c>
      <c r="N193" s="113">
        <v>0</v>
      </c>
      <c r="O193" s="113">
        <v>0</v>
      </c>
      <c r="P193" s="113">
        <v>0</v>
      </c>
    </row>
    <row r="194" spans="2:16" ht="13.9" customHeight="1" outlineLevel="1" x14ac:dyDescent="0.25">
      <c r="B194" s="138"/>
      <c r="C194" s="84" t="s">
        <v>71</v>
      </c>
      <c r="D194" s="85">
        <v>0</v>
      </c>
      <c r="E194" s="86">
        <v>0</v>
      </c>
      <c r="F194" s="142">
        <f t="shared" si="16"/>
        <v>0</v>
      </c>
      <c r="G194" s="113">
        <v>0</v>
      </c>
      <c r="H194" s="86">
        <v>0</v>
      </c>
      <c r="I194" s="113">
        <v>0</v>
      </c>
      <c r="J194" s="114">
        <f t="shared" si="17"/>
        <v>0</v>
      </c>
      <c r="K194" s="113">
        <f t="shared" si="15"/>
        <v>0</v>
      </c>
      <c r="L194" s="113">
        <v>0</v>
      </c>
      <c r="M194" s="113">
        <v>0</v>
      </c>
      <c r="N194" s="113">
        <v>0</v>
      </c>
      <c r="O194" s="113">
        <v>0</v>
      </c>
      <c r="P194" s="113">
        <v>0</v>
      </c>
    </row>
    <row r="195" spans="2:16" ht="13.9" customHeight="1" outlineLevel="1" x14ac:dyDescent="0.25">
      <c r="B195" s="138"/>
      <c r="C195" s="84" t="s">
        <v>72</v>
      </c>
      <c r="D195" s="85">
        <v>6</v>
      </c>
      <c r="E195" s="86">
        <v>9093583.1400000006</v>
      </c>
      <c r="F195" s="142">
        <f t="shared" si="16"/>
        <v>2065063.76</v>
      </c>
      <c r="G195" s="113">
        <v>1356977.75</v>
      </c>
      <c r="H195" s="86">
        <v>7736605.3900000006</v>
      </c>
      <c r="I195" s="113">
        <v>708086.01</v>
      </c>
      <c r="J195" s="114">
        <f t="shared" si="17"/>
        <v>7028519.3800000008</v>
      </c>
      <c r="K195" s="113">
        <f t="shared" si="15"/>
        <v>978701.10000000056</v>
      </c>
      <c r="L195" s="113">
        <v>840015.56</v>
      </c>
      <c r="M195" s="113">
        <v>371561.56</v>
      </c>
      <c r="N195" s="113">
        <v>4095118.04</v>
      </c>
      <c r="O195" s="113">
        <v>743123.12</v>
      </c>
      <c r="P195" s="113">
        <v>0</v>
      </c>
    </row>
    <row r="196" spans="2:16" ht="13.9" customHeight="1" x14ac:dyDescent="0.25">
      <c r="B196" s="139"/>
      <c r="C196" s="78" t="s">
        <v>104</v>
      </c>
      <c r="D196" s="90">
        <f t="shared" ref="D196:P196" si="19">SUM(D193:D195)</f>
        <v>7</v>
      </c>
      <c r="E196" s="91">
        <f t="shared" si="19"/>
        <v>11339448.74</v>
      </c>
      <c r="F196" s="92">
        <f t="shared" si="19"/>
        <v>2514236.88</v>
      </c>
      <c r="G196" s="93">
        <f t="shared" si="19"/>
        <v>1806150.75</v>
      </c>
      <c r="H196" s="90">
        <f t="shared" si="19"/>
        <v>9533297.9900000002</v>
      </c>
      <c r="I196" s="91">
        <f t="shared" si="19"/>
        <v>708086.13</v>
      </c>
      <c r="J196" s="92">
        <f t="shared" si="19"/>
        <v>8825211.8600000013</v>
      </c>
      <c r="K196" s="93">
        <f t="shared" si="19"/>
        <v>1203287.6600000006</v>
      </c>
      <c r="L196" s="90">
        <f t="shared" si="19"/>
        <v>2412121.48</v>
      </c>
      <c r="M196" s="91">
        <f t="shared" si="19"/>
        <v>371561.56</v>
      </c>
      <c r="N196" s="90">
        <f t="shared" si="19"/>
        <v>4095118.04</v>
      </c>
      <c r="O196" s="91">
        <f t="shared" si="19"/>
        <v>743123.12</v>
      </c>
      <c r="P196" s="91">
        <f t="shared" si="19"/>
        <v>0</v>
      </c>
    </row>
    <row r="197" spans="2:16" ht="13.9" customHeight="1" outlineLevel="1" x14ac:dyDescent="0.25">
      <c r="B197" s="137" t="s">
        <v>105</v>
      </c>
      <c r="C197" s="84" t="s">
        <v>75</v>
      </c>
      <c r="D197" s="85">
        <v>0</v>
      </c>
      <c r="E197" s="86">
        <v>0</v>
      </c>
      <c r="F197" s="142">
        <f t="shared" si="16"/>
        <v>0</v>
      </c>
      <c r="G197" s="113">
        <v>0</v>
      </c>
      <c r="H197" s="86">
        <v>0</v>
      </c>
      <c r="I197" s="113">
        <v>0</v>
      </c>
      <c r="J197" s="114">
        <f t="shared" si="17"/>
        <v>0</v>
      </c>
      <c r="K197" s="113">
        <f t="shared" si="15"/>
        <v>0</v>
      </c>
      <c r="L197" s="113">
        <v>0</v>
      </c>
      <c r="M197" s="113">
        <v>0</v>
      </c>
      <c r="N197" s="113">
        <v>0</v>
      </c>
      <c r="O197" s="113">
        <v>0</v>
      </c>
      <c r="P197" s="113">
        <v>0</v>
      </c>
    </row>
    <row r="198" spans="2:16" ht="13.9" customHeight="1" outlineLevel="1" x14ac:dyDescent="0.25">
      <c r="B198" s="138"/>
      <c r="C198" s="84" t="s">
        <v>76</v>
      </c>
      <c r="D198" s="85">
        <v>0</v>
      </c>
      <c r="E198" s="86">
        <v>0</v>
      </c>
      <c r="F198" s="142">
        <f>G198+I198</f>
        <v>0</v>
      </c>
      <c r="G198" s="113">
        <v>0</v>
      </c>
      <c r="H198" s="86">
        <v>0</v>
      </c>
      <c r="I198" s="113">
        <v>0</v>
      </c>
      <c r="J198" s="114">
        <f>H198-I198</f>
        <v>0</v>
      </c>
      <c r="K198" s="113">
        <f t="shared" si="15"/>
        <v>0</v>
      </c>
      <c r="L198" s="113">
        <v>0</v>
      </c>
      <c r="M198" s="113">
        <v>0</v>
      </c>
      <c r="N198" s="113">
        <v>0</v>
      </c>
      <c r="O198" s="113">
        <v>0</v>
      </c>
      <c r="P198" s="113">
        <v>0</v>
      </c>
    </row>
    <row r="199" spans="2:16" ht="13.9" customHeight="1" x14ac:dyDescent="0.25">
      <c r="B199" s="139"/>
      <c r="C199" s="78" t="s">
        <v>106</v>
      </c>
      <c r="D199" s="90">
        <f t="shared" ref="D199:P199" si="20">SUM(D197:D198)</f>
        <v>0</v>
      </c>
      <c r="E199" s="91">
        <f t="shared" si="20"/>
        <v>0</v>
      </c>
      <c r="F199" s="92">
        <f t="shared" si="20"/>
        <v>0</v>
      </c>
      <c r="G199" s="93">
        <f t="shared" si="20"/>
        <v>0</v>
      </c>
      <c r="H199" s="90">
        <f t="shared" si="20"/>
        <v>0</v>
      </c>
      <c r="I199" s="91">
        <f t="shared" si="20"/>
        <v>0</v>
      </c>
      <c r="J199" s="92">
        <f t="shared" si="20"/>
        <v>0</v>
      </c>
      <c r="K199" s="93">
        <f t="shared" si="20"/>
        <v>0</v>
      </c>
      <c r="L199" s="90">
        <f t="shared" si="20"/>
        <v>0</v>
      </c>
      <c r="M199" s="91">
        <f t="shared" si="20"/>
        <v>0</v>
      </c>
      <c r="N199" s="90">
        <f t="shared" si="20"/>
        <v>0</v>
      </c>
      <c r="O199" s="91">
        <f t="shared" si="20"/>
        <v>0</v>
      </c>
      <c r="P199" s="91">
        <f t="shared" si="20"/>
        <v>0</v>
      </c>
    </row>
    <row r="200" spans="2:16" ht="13.9" customHeight="1" x14ac:dyDescent="0.25">
      <c r="B200" s="140" t="s">
        <v>78</v>
      </c>
      <c r="C200" s="141"/>
      <c r="D200" s="90">
        <f t="shared" ref="D200:P200" si="21">D192+D196+D199</f>
        <v>34</v>
      </c>
      <c r="E200" s="91">
        <f t="shared" si="21"/>
        <v>52274472.980000004</v>
      </c>
      <c r="F200" s="92">
        <f t="shared" si="21"/>
        <v>14385242.039999999</v>
      </c>
      <c r="G200" s="93">
        <f t="shared" si="21"/>
        <v>8634255.8000000007</v>
      </c>
      <c r="H200" s="90">
        <f t="shared" si="21"/>
        <v>43640217.18</v>
      </c>
      <c r="I200" s="91">
        <f t="shared" si="21"/>
        <v>5750986.2400000002</v>
      </c>
      <c r="J200" s="92">
        <f t="shared" si="21"/>
        <v>37889230.940000005</v>
      </c>
      <c r="K200" s="93">
        <f t="shared" si="21"/>
        <v>6980727.1199999992</v>
      </c>
      <c r="L200" s="90">
        <f t="shared" si="21"/>
        <v>12819476.48</v>
      </c>
      <c r="M200" s="91">
        <f t="shared" si="21"/>
        <v>4246149.8199999994</v>
      </c>
      <c r="N200" s="90">
        <f t="shared" si="21"/>
        <v>11490849.989999998</v>
      </c>
      <c r="O200" s="91">
        <f t="shared" si="21"/>
        <v>2352027.5300000003</v>
      </c>
      <c r="P200" s="91">
        <f t="shared" si="21"/>
        <v>0</v>
      </c>
    </row>
    <row r="201" spans="2:16" ht="13.9" customHeight="1" x14ac:dyDescent="0.25"/>
    <row r="202" spans="2:16" ht="13.9" customHeight="1" x14ac:dyDescent="0.25"/>
    <row r="203" spans="2:16" ht="13.9" customHeight="1" x14ac:dyDescent="0.25">
      <c r="B203" s="107" t="s">
        <v>89</v>
      </c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</row>
    <row r="204" spans="2:16" ht="13.9" customHeight="1" x14ac:dyDescent="0.25">
      <c r="B204" s="136" t="s">
        <v>26</v>
      </c>
      <c r="C204" s="108" t="s">
        <v>27</v>
      </c>
      <c r="D204" s="109" t="s">
        <v>28</v>
      </c>
      <c r="E204" s="110" t="s">
        <v>29</v>
      </c>
      <c r="F204" s="111" t="s">
        <v>85</v>
      </c>
      <c r="G204" s="112" t="s">
        <v>81</v>
      </c>
      <c r="H204" s="110" t="s">
        <v>82</v>
      </c>
      <c r="I204" s="112" t="s">
        <v>86</v>
      </c>
      <c r="J204" s="110" t="s">
        <v>87</v>
      </c>
      <c r="K204" s="112">
        <v>2026</v>
      </c>
      <c r="L204" s="112">
        <v>2027</v>
      </c>
      <c r="M204" s="110">
        <v>2028</v>
      </c>
      <c r="N204" s="112">
        <v>2029</v>
      </c>
      <c r="O204" s="110">
        <v>2030</v>
      </c>
      <c r="P204" s="112">
        <v>2031</v>
      </c>
    </row>
    <row r="205" spans="2:16" ht="13.9" customHeight="1" outlineLevel="1" x14ac:dyDescent="0.25">
      <c r="B205" s="137" t="s">
        <v>30</v>
      </c>
      <c r="C205" s="84" t="s">
        <v>31</v>
      </c>
      <c r="D205" s="85">
        <v>0</v>
      </c>
      <c r="E205" s="86">
        <v>0</v>
      </c>
      <c r="F205" s="142">
        <f>G205+I205</f>
        <v>0</v>
      </c>
      <c r="G205" s="113">
        <v>0</v>
      </c>
      <c r="H205" s="86">
        <v>0</v>
      </c>
      <c r="I205" s="113">
        <v>0</v>
      </c>
      <c r="J205" s="114">
        <f>H205-I205</f>
        <v>0</v>
      </c>
      <c r="K205" s="113">
        <f t="shared" ref="K205:K248" si="22">MAX(J205-SUM(L205:P205),0)</f>
        <v>0</v>
      </c>
      <c r="L205" s="113">
        <v>0</v>
      </c>
      <c r="M205" s="113">
        <v>0</v>
      </c>
      <c r="N205" s="113">
        <v>0</v>
      </c>
      <c r="O205" s="113">
        <v>0</v>
      </c>
      <c r="P205" s="113">
        <v>0</v>
      </c>
    </row>
    <row r="206" spans="2:16" ht="13.9" customHeight="1" outlineLevel="1" x14ac:dyDescent="0.25">
      <c r="B206" s="138"/>
      <c r="C206" s="84" t="s">
        <v>32</v>
      </c>
      <c r="D206" s="85">
        <v>0</v>
      </c>
      <c r="E206" s="86">
        <v>0</v>
      </c>
      <c r="F206" s="142">
        <f t="shared" ref="F206:F247" si="23">G206+I206</f>
        <v>0</v>
      </c>
      <c r="G206" s="113">
        <v>0</v>
      </c>
      <c r="H206" s="86">
        <v>0</v>
      </c>
      <c r="I206" s="113">
        <v>0</v>
      </c>
      <c r="J206" s="114">
        <f t="shared" ref="J206:J247" si="24">H206-I206</f>
        <v>0</v>
      </c>
      <c r="K206" s="113">
        <f t="shared" si="22"/>
        <v>0</v>
      </c>
      <c r="L206" s="113">
        <v>0</v>
      </c>
      <c r="M206" s="113">
        <v>0</v>
      </c>
      <c r="N206" s="113">
        <v>0</v>
      </c>
      <c r="O206" s="113">
        <v>0</v>
      </c>
      <c r="P206" s="113">
        <v>0</v>
      </c>
    </row>
    <row r="207" spans="2:16" ht="13.9" customHeight="1" outlineLevel="1" x14ac:dyDescent="0.25">
      <c r="B207" s="138"/>
      <c r="C207" s="84" t="s">
        <v>33</v>
      </c>
      <c r="D207" s="85">
        <v>0</v>
      </c>
      <c r="E207" s="86">
        <v>0</v>
      </c>
      <c r="F207" s="142">
        <f t="shared" si="23"/>
        <v>0</v>
      </c>
      <c r="G207" s="113">
        <v>0</v>
      </c>
      <c r="H207" s="86">
        <v>0</v>
      </c>
      <c r="I207" s="113">
        <v>0</v>
      </c>
      <c r="J207" s="114">
        <f t="shared" si="24"/>
        <v>0</v>
      </c>
      <c r="K207" s="113">
        <f t="shared" si="22"/>
        <v>0</v>
      </c>
      <c r="L207" s="113">
        <v>0</v>
      </c>
      <c r="M207" s="113">
        <v>0</v>
      </c>
      <c r="N207" s="113">
        <v>0</v>
      </c>
      <c r="O207" s="113">
        <v>0</v>
      </c>
      <c r="P207" s="113">
        <v>0</v>
      </c>
    </row>
    <row r="208" spans="2:16" ht="13.9" customHeight="1" outlineLevel="1" x14ac:dyDescent="0.25">
      <c r="B208" s="138"/>
      <c r="C208" s="84" t="s">
        <v>34</v>
      </c>
      <c r="D208" s="85">
        <v>0</v>
      </c>
      <c r="E208" s="86">
        <v>0</v>
      </c>
      <c r="F208" s="142">
        <f t="shared" si="23"/>
        <v>0</v>
      </c>
      <c r="G208" s="113">
        <v>0</v>
      </c>
      <c r="H208" s="86">
        <v>0</v>
      </c>
      <c r="I208" s="113">
        <v>0</v>
      </c>
      <c r="J208" s="114">
        <f t="shared" si="24"/>
        <v>0</v>
      </c>
      <c r="K208" s="113">
        <f t="shared" si="22"/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</row>
    <row r="209" spans="2:16" ht="13.9" customHeight="1" outlineLevel="1" x14ac:dyDescent="0.25">
      <c r="B209" s="138"/>
      <c r="C209" s="84" t="s">
        <v>35</v>
      </c>
      <c r="D209" s="85">
        <v>0</v>
      </c>
      <c r="E209" s="86">
        <v>0</v>
      </c>
      <c r="F209" s="142">
        <f t="shared" si="23"/>
        <v>0</v>
      </c>
      <c r="G209" s="113">
        <v>0</v>
      </c>
      <c r="H209" s="86">
        <v>0</v>
      </c>
      <c r="I209" s="113">
        <v>0</v>
      </c>
      <c r="J209" s="114">
        <f t="shared" si="24"/>
        <v>0</v>
      </c>
      <c r="K209" s="113">
        <f t="shared" si="22"/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</row>
    <row r="210" spans="2:16" ht="13.9" customHeight="1" outlineLevel="1" x14ac:dyDescent="0.25">
      <c r="B210" s="138"/>
      <c r="C210" s="84" t="s">
        <v>36</v>
      </c>
      <c r="D210" s="85">
        <v>0</v>
      </c>
      <c r="E210" s="86">
        <v>0</v>
      </c>
      <c r="F210" s="142">
        <f t="shared" si="23"/>
        <v>0</v>
      </c>
      <c r="G210" s="113">
        <v>0</v>
      </c>
      <c r="H210" s="86">
        <v>0</v>
      </c>
      <c r="I210" s="113">
        <v>0</v>
      </c>
      <c r="J210" s="114">
        <f t="shared" si="24"/>
        <v>0</v>
      </c>
      <c r="K210" s="113">
        <f t="shared" si="22"/>
        <v>0</v>
      </c>
      <c r="L210" s="113">
        <v>0</v>
      </c>
      <c r="M210" s="113">
        <v>0</v>
      </c>
      <c r="N210" s="113">
        <v>0</v>
      </c>
      <c r="O210" s="113">
        <v>0</v>
      </c>
      <c r="P210" s="113">
        <v>0</v>
      </c>
    </row>
    <row r="211" spans="2:16" ht="13.9" customHeight="1" outlineLevel="1" x14ac:dyDescent="0.25">
      <c r="B211" s="138"/>
      <c r="C211" s="84" t="s">
        <v>37</v>
      </c>
      <c r="D211" s="85">
        <v>0</v>
      </c>
      <c r="E211" s="86">
        <v>0</v>
      </c>
      <c r="F211" s="142">
        <f t="shared" si="23"/>
        <v>0</v>
      </c>
      <c r="G211" s="113">
        <v>0</v>
      </c>
      <c r="H211" s="86">
        <v>0</v>
      </c>
      <c r="I211" s="113">
        <v>0</v>
      </c>
      <c r="J211" s="114">
        <f t="shared" si="24"/>
        <v>0</v>
      </c>
      <c r="K211" s="113">
        <f t="shared" si="22"/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</row>
    <row r="212" spans="2:16" ht="13.9" customHeight="1" outlineLevel="1" x14ac:dyDescent="0.25">
      <c r="B212" s="138"/>
      <c r="C212" s="84" t="s">
        <v>38</v>
      </c>
      <c r="D212" s="85">
        <v>0</v>
      </c>
      <c r="E212" s="86">
        <v>0</v>
      </c>
      <c r="F212" s="142">
        <f t="shared" si="23"/>
        <v>0</v>
      </c>
      <c r="G212" s="113">
        <v>0</v>
      </c>
      <c r="H212" s="86">
        <v>0</v>
      </c>
      <c r="I212" s="113">
        <v>0</v>
      </c>
      <c r="J212" s="114">
        <f t="shared" si="24"/>
        <v>0</v>
      </c>
      <c r="K212" s="113">
        <f t="shared" si="22"/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</row>
    <row r="213" spans="2:16" ht="13.9" customHeight="1" outlineLevel="1" x14ac:dyDescent="0.25">
      <c r="B213" s="138"/>
      <c r="C213" s="84" t="s">
        <v>39</v>
      </c>
      <c r="D213" s="85">
        <v>0</v>
      </c>
      <c r="E213" s="86">
        <v>0</v>
      </c>
      <c r="F213" s="142">
        <f t="shared" si="23"/>
        <v>0</v>
      </c>
      <c r="G213" s="113">
        <v>0</v>
      </c>
      <c r="H213" s="86">
        <v>0</v>
      </c>
      <c r="I213" s="113">
        <v>0</v>
      </c>
      <c r="J213" s="114">
        <f t="shared" si="24"/>
        <v>0</v>
      </c>
      <c r="K213" s="113">
        <f t="shared" si="22"/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</row>
    <row r="214" spans="2:16" ht="13.9" customHeight="1" outlineLevel="1" x14ac:dyDescent="0.25">
      <c r="B214" s="138"/>
      <c r="C214" s="84" t="s">
        <v>40</v>
      </c>
      <c r="D214" s="85">
        <v>0</v>
      </c>
      <c r="E214" s="86">
        <v>0</v>
      </c>
      <c r="F214" s="142">
        <f t="shared" si="23"/>
        <v>0</v>
      </c>
      <c r="G214" s="113">
        <v>0</v>
      </c>
      <c r="H214" s="86">
        <v>0</v>
      </c>
      <c r="I214" s="113">
        <v>0</v>
      </c>
      <c r="J214" s="114">
        <f t="shared" si="24"/>
        <v>0</v>
      </c>
      <c r="K214" s="113">
        <f t="shared" si="22"/>
        <v>0</v>
      </c>
      <c r="L214" s="113">
        <v>0</v>
      </c>
      <c r="M214" s="113">
        <v>0</v>
      </c>
      <c r="N214" s="113">
        <v>0</v>
      </c>
      <c r="O214" s="113">
        <v>0</v>
      </c>
      <c r="P214" s="113">
        <v>0</v>
      </c>
    </row>
    <row r="215" spans="2:16" ht="13.9" customHeight="1" outlineLevel="1" x14ac:dyDescent="0.25">
      <c r="B215" s="138"/>
      <c r="C215" s="84" t="s">
        <v>41</v>
      </c>
      <c r="D215" s="85">
        <v>0</v>
      </c>
      <c r="E215" s="86">
        <v>0</v>
      </c>
      <c r="F215" s="142">
        <f t="shared" si="23"/>
        <v>0</v>
      </c>
      <c r="G215" s="113">
        <v>0</v>
      </c>
      <c r="H215" s="86">
        <v>0</v>
      </c>
      <c r="I215" s="113">
        <v>0</v>
      </c>
      <c r="J215" s="114">
        <f t="shared" si="24"/>
        <v>0</v>
      </c>
      <c r="K215" s="113">
        <f t="shared" si="22"/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</row>
    <row r="216" spans="2:16" ht="13.9" customHeight="1" outlineLevel="1" x14ac:dyDescent="0.25">
      <c r="B216" s="138"/>
      <c r="C216" s="84" t="s">
        <v>42</v>
      </c>
      <c r="D216" s="85">
        <v>6</v>
      </c>
      <c r="E216" s="86">
        <v>10566392.25</v>
      </c>
      <c r="F216" s="142">
        <f t="shared" si="23"/>
        <v>4040562.2199999997</v>
      </c>
      <c r="G216" s="113">
        <v>2652510.79</v>
      </c>
      <c r="H216" s="86">
        <v>7913881.46</v>
      </c>
      <c r="I216" s="113">
        <v>1388051.43</v>
      </c>
      <c r="J216" s="114">
        <f t="shared" si="24"/>
        <v>6525830.0300000003</v>
      </c>
      <c r="K216" s="113">
        <f t="shared" si="22"/>
        <v>1394220.4800000004</v>
      </c>
      <c r="L216" s="113">
        <v>5131609.55</v>
      </c>
      <c r="M216" s="113">
        <v>0</v>
      </c>
      <c r="N216" s="113">
        <v>0</v>
      </c>
      <c r="O216" s="113">
        <v>0</v>
      </c>
      <c r="P216" s="113">
        <v>0</v>
      </c>
    </row>
    <row r="217" spans="2:16" ht="13.9" customHeight="1" outlineLevel="1" x14ac:dyDescent="0.25">
      <c r="B217" s="138"/>
      <c r="C217" s="84" t="s">
        <v>43</v>
      </c>
      <c r="D217" s="85">
        <v>0</v>
      </c>
      <c r="E217" s="86">
        <v>0</v>
      </c>
      <c r="F217" s="142">
        <f t="shared" si="23"/>
        <v>0</v>
      </c>
      <c r="G217" s="113">
        <v>0</v>
      </c>
      <c r="H217" s="86">
        <v>0</v>
      </c>
      <c r="I217" s="113">
        <v>0</v>
      </c>
      <c r="J217" s="114">
        <f t="shared" si="24"/>
        <v>0</v>
      </c>
      <c r="K217" s="113">
        <f t="shared" si="22"/>
        <v>0</v>
      </c>
      <c r="L217" s="113">
        <v>0</v>
      </c>
      <c r="M217" s="113">
        <v>0</v>
      </c>
      <c r="N217" s="113">
        <v>0</v>
      </c>
      <c r="O217" s="113">
        <v>0</v>
      </c>
      <c r="P217" s="113">
        <v>0</v>
      </c>
    </row>
    <row r="218" spans="2:16" ht="13.9" customHeight="1" outlineLevel="1" x14ac:dyDescent="0.25">
      <c r="B218" s="138"/>
      <c r="C218" s="84" t="s">
        <v>44</v>
      </c>
      <c r="D218" s="85">
        <v>3</v>
      </c>
      <c r="E218" s="86">
        <v>6746168.1600000001</v>
      </c>
      <c r="F218" s="142">
        <f t="shared" si="23"/>
        <v>1808563.1600000001</v>
      </c>
      <c r="G218" s="113">
        <v>1805451.62</v>
      </c>
      <c r="H218" s="86">
        <v>4940716.54</v>
      </c>
      <c r="I218" s="113">
        <v>3111.54</v>
      </c>
      <c r="J218" s="114">
        <f t="shared" si="24"/>
        <v>4937605</v>
      </c>
      <c r="K218" s="113">
        <f t="shared" si="22"/>
        <v>449139.36000000034</v>
      </c>
      <c r="L218" s="113">
        <v>1133944.8699999999</v>
      </c>
      <c r="M218" s="113">
        <v>3354520.77</v>
      </c>
      <c r="N218" s="113">
        <v>0</v>
      </c>
      <c r="O218" s="113">
        <v>0</v>
      </c>
      <c r="P218" s="113">
        <v>0</v>
      </c>
    </row>
    <row r="219" spans="2:16" ht="13.9" customHeight="1" outlineLevel="1" x14ac:dyDescent="0.25">
      <c r="B219" s="138"/>
      <c r="C219" s="84" t="s">
        <v>45</v>
      </c>
      <c r="D219" s="85">
        <v>8</v>
      </c>
      <c r="E219" s="86">
        <v>12024727.9</v>
      </c>
      <c r="F219" s="142">
        <f t="shared" si="23"/>
        <v>3252334.9899999998</v>
      </c>
      <c r="G219" s="113">
        <v>2748672.38</v>
      </c>
      <c r="H219" s="86">
        <v>9276055.5199999996</v>
      </c>
      <c r="I219" s="113">
        <v>503662.61</v>
      </c>
      <c r="J219" s="114">
        <f t="shared" si="24"/>
        <v>8772392.9100000001</v>
      </c>
      <c r="K219" s="113">
        <f t="shared" si="22"/>
        <v>807898.45999999903</v>
      </c>
      <c r="L219" s="113">
        <v>1202472.8</v>
      </c>
      <c r="M219" s="113">
        <v>1786000.97</v>
      </c>
      <c r="N219" s="113">
        <v>4311502.62</v>
      </c>
      <c r="O219" s="113">
        <v>664518.06000000006</v>
      </c>
      <c r="P219" s="113">
        <v>0</v>
      </c>
    </row>
    <row r="220" spans="2:16" ht="13.9" customHeight="1" outlineLevel="1" x14ac:dyDescent="0.25">
      <c r="B220" s="138"/>
      <c r="C220" s="84" t="s">
        <v>46</v>
      </c>
      <c r="D220" s="85">
        <v>0</v>
      </c>
      <c r="E220" s="86">
        <v>0</v>
      </c>
      <c r="F220" s="142">
        <f t="shared" si="23"/>
        <v>0</v>
      </c>
      <c r="G220" s="113">
        <v>0</v>
      </c>
      <c r="H220" s="86">
        <v>0</v>
      </c>
      <c r="I220" s="113">
        <v>0</v>
      </c>
      <c r="J220" s="114">
        <f t="shared" si="24"/>
        <v>0</v>
      </c>
      <c r="K220" s="113">
        <f t="shared" si="22"/>
        <v>0</v>
      </c>
      <c r="L220" s="113">
        <v>0</v>
      </c>
      <c r="M220" s="113">
        <v>0</v>
      </c>
      <c r="N220" s="113">
        <v>0</v>
      </c>
      <c r="O220" s="113">
        <v>0</v>
      </c>
      <c r="P220" s="113">
        <v>0</v>
      </c>
    </row>
    <row r="221" spans="2:16" ht="13.9" customHeight="1" outlineLevel="1" x14ac:dyDescent="0.25">
      <c r="B221" s="138"/>
      <c r="C221" s="84" t="s">
        <v>47</v>
      </c>
      <c r="D221" s="85">
        <v>2</v>
      </c>
      <c r="E221" s="86">
        <v>2585717.9900000002</v>
      </c>
      <c r="F221" s="142">
        <f t="shared" si="23"/>
        <v>669285.43999999994</v>
      </c>
      <c r="G221" s="113">
        <v>669285</v>
      </c>
      <c r="H221" s="86">
        <v>1916432.99</v>
      </c>
      <c r="I221" s="113">
        <v>0.44</v>
      </c>
      <c r="J221" s="114">
        <f t="shared" si="24"/>
        <v>1916432.55</v>
      </c>
      <c r="K221" s="113">
        <f t="shared" si="22"/>
        <v>1916432.55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</row>
    <row r="222" spans="2:16" ht="13.9" customHeight="1" outlineLevel="1" x14ac:dyDescent="0.25">
      <c r="B222" s="138"/>
      <c r="C222" s="84" t="s">
        <v>48</v>
      </c>
      <c r="D222" s="85">
        <v>4</v>
      </c>
      <c r="E222" s="86">
        <v>5681816.75</v>
      </c>
      <c r="F222" s="142">
        <f t="shared" si="23"/>
        <v>1704545.03</v>
      </c>
      <c r="G222" s="113">
        <v>1569122</v>
      </c>
      <c r="H222" s="86">
        <v>4112694.7499999995</v>
      </c>
      <c r="I222" s="113">
        <v>135423.03</v>
      </c>
      <c r="J222" s="114">
        <f t="shared" si="24"/>
        <v>3977271.7199999997</v>
      </c>
      <c r="K222" s="113">
        <f t="shared" si="22"/>
        <v>568181.66000000015</v>
      </c>
      <c r="L222" s="113">
        <v>3409090.0599999996</v>
      </c>
      <c r="M222" s="113">
        <v>0</v>
      </c>
      <c r="N222" s="113">
        <v>0</v>
      </c>
      <c r="O222" s="113">
        <v>0</v>
      </c>
      <c r="P222" s="113">
        <v>0</v>
      </c>
    </row>
    <row r="223" spans="2:16" ht="13.9" customHeight="1" outlineLevel="1" x14ac:dyDescent="0.25">
      <c r="B223" s="138"/>
      <c r="C223" s="84" t="s">
        <v>49</v>
      </c>
      <c r="D223" s="85">
        <v>0</v>
      </c>
      <c r="E223" s="86">
        <v>0</v>
      </c>
      <c r="F223" s="142">
        <f t="shared" si="23"/>
        <v>0</v>
      </c>
      <c r="G223" s="113">
        <v>0</v>
      </c>
      <c r="H223" s="86">
        <v>0</v>
      </c>
      <c r="I223" s="113">
        <v>0</v>
      </c>
      <c r="J223" s="114">
        <f t="shared" si="24"/>
        <v>0</v>
      </c>
      <c r="K223" s="113">
        <f t="shared" si="22"/>
        <v>0</v>
      </c>
      <c r="L223" s="113">
        <v>0</v>
      </c>
      <c r="M223" s="113">
        <v>0</v>
      </c>
      <c r="N223" s="113">
        <v>0</v>
      </c>
      <c r="O223" s="113">
        <v>0</v>
      </c>
      <c r="P223" s="113">
        <v>0</v>
      </c>
    </row>
    <row r="224" spans="2:16" ht="13.9" customHeight="1" outlineLevel="1" x14ac:dyDescent="0.25">
      <c r="B224" s="138"/>
      <c r="C224" s="84" t="s">
        <v>50</v>
      </c>
      <c r="D224" s="85">
        <v>0</v>
      </c>
      <c r="E224" s="86">
        <v>0</v>
      </c>
      <c r="F224" s="142">
        <f t="shared" si="23"/>
        <v>0</v>
      </c>
      <c r="G224" s="113">
        <v>0</v>
      </c>
      <c r="H224" s="86">
        <v>0</v>
      </c>
      <c r="I224" s="113">
        <v>0</v>
      </c>
      <c r="J224" s="114">
        <f t="shared" si="24"/>
        <v>0</v>
      </c>
      <c r="K224" s="113">
        <f t="shared" si="22"/>
        <v>0</v>
      </c>
      <c r="L224" s="113">
        <v>0</v>
      </c>
      <c r="M224" s="113">
        <v>0</v>
      </c>
      <c r="N224" s="113">
        <v>0</v>
      </c>
      <c r="O224" s="113">
        <v>0</v>
      </c>
      <c r="P224" s="113">
        <v>0</v>
      </c>
    </row>
    <row r="225" spans="2:16" ht="13.9" customHeight="1" outlineLevel="1" x14ac:dyDescent="0.25">
      <c r="B225" s="138"/>
      <c r="C225" s="84" t="s">
        <v>51</v>
      </c>
      <c r="D225" s="85">
        <v>13</v>
      </c>
      <c r="E225" s="86">
        <v>14902366.450000003</v>
      </c>
      <c r="F225" s="142">
        <f t="shared" si="23"/>
        <v>4241725.96</v>
      </c>
      <c r="G225" s="113">
        <v>3760936.33</v>
      </c>
      <c r="H225" s="86">
        <v>11141430.120000001</v>
      </c>
      <c r="I225" s="113">
        <v>480789.63</v>
      </c>
      <c r="J225" s="114">
        <f t="shared" si="24"/>
        <v>10660640.49</v>
      </c>
      <c r="K225" s="113">
        <f t="shared" si="22"/>
        <v>1954402.0999999996</v>
      </c>
      <c r="L225" s="113">
        <v>8706238.3900000006</v>
      </c>
      <c r="M225" s="113">
        <v>0</v>
      </c>
      <c r="N225" s="113">
        <v>0</v>
      </c>
      <c r="O225" s="113">
        <v>0</v>
      </c>
      <c r="P225" s="113">
        <v>0</v>
      </c>
    </row>
    <row r="226" spans="2:16" ht="13.9" customHeight="1" outlineLevel="1" x14ac:dyDescent="0.25">
      <c r="B226" s="138"/>
      <c r="C226" s="84" t="s">
        <v>52</v>
      </c>
      <c r="D226" s="85">
        <v>3</v>
      </c>
      <c r="E226" s="86">
        <v>5075706.2</v>
      </c>
      <c r="F226" s="142">
        <f t="shared" si="23"/>
        <v>1015183</v>
      </c>
      <c r="G226" s="113">
        <v>1015183</v>
      </c>
      <c r="H226" s="86">
        <v>4060523.2</v>
      </c>
      <c r="I226" s="113">
        <v>0</v>
      </c>
      <c r="J226" s="114">
        <f t="shared" si="24"/>
        <v>4060523.2</v>
      </c>
      <c r="K226" s="113">
        <f t="shared" si="22"/>
        <v>507528.86000000034</v>
      </c>
      <c r="L226" s="113">
        <v>507570.62</v>
      </c>
      <c r="M226" s="113">
        <v>851398.84000000008</v>
      </c>
      <c r="N226" s="113">
        <v>2194024.88</v>
      </c>
      <c r="O226" s="113">
        <v>0</v>
      </c>
      <c r="P226" s="113">
        <v>0</v>
      </c>
    </row>
    <row r="227" spans="2:16" ht="13.9" customHeight="1" outlineLevel="1" x14ac:dyDescent="0.25">
      <c r="B227" s="138"/>
      <c r="C227" s="84" t="s">
        <v>53</v>
      </c>
      <c r="D227" s="85">
        <v>0</v>
      </c>
      <c r="E227" s="86">
        <v>0</v>
      </c>
      <c r="F227" s="142">
        <f t="shared" si="23"/>
        <v>0</v>
      </c>
      <c r="G227" s="113">
        <v>0</v>
      </c>
      <c r="H227" s="86">
        <v>0</v>
      </c>
      <c r="I227" s="113">
        <v>0</v>
      </c>
      <c r="J227" s="114">
        <f t="shared" si="24"/>
        <v>0</v>
      </c>
      <c r="K227" s="113">
        <f t="shared" si="22"/>
        <v>0</v>
      </c>
      <c r="L227" s="113">
        <v>0</v>
      </c>
      <c r="M227" s="113">
        <v>0</v>
      </c>
      <c r="N227" s="113">
        <v>0</v>
      </c>
      <c r="O227" s="113">
        <v>0</v>
      </c>
      <c r="P227" s="113">
        <v>0</v>
      </c>
    </row>
    <row r="228" spans="2:16" ht="13.9" customHeight="1" outlineLevel="1" x14ac:dyDescent="0.25">
      <c r="B228" s="138"/>
      <c r="C228" s="84" t="s">
        <v>54</v>
      </c>
      <c r="D228" s="85">
        <v>3</v>
      </c>
      <c r="E228" s="86">
        <v>4924721.9000000004</v>
      </c>
      <c r="F228" s="142">
        <f t="shared" si="23"/>
        <v>985021</v>
      </c>
      <c r="G228" s="113">
        <v>985021</v>
      </c>
      <c r="H228" s="86">
        <v>3939700.9000000004</v>
      </c>
      <c r="I228" s="113">
        <v>0</v>
      </c>
      <c r="J228" s="114">
        <f t="shared" si="24"/>
        <v>3939700.9000000004</v>
      </c>
      <c r="K228" s="113">
        <f t="shared" si="22"/>
        <v>492395.5700000003</v>
      </c>
      <c r="L228" s="113">
        <v>492472.19000000006</v>
      </c>
      <c r="M228" s="113">
        <v>817324.48</v>
      </c>
      <c r="N228" s="113">
        <v>2137508.66</v>
      </c>
      <c r="O228" s="113">
        <v>0</v>
      </c>
      <c r="P228" s="113">
        <v>0</v>
      </c>
    </row>
    <row r="229" spans="2:16" ht="13.9" customHeight="1" outlineLevel="1" x14ac:dyDescent="0.25">
      <c r="B229" s="138"/>
      <c r="C229" s="84" t="s">
        <v>55</v>
      </c>
      <c r="D229" s="85">
        <v>0</v>
      </c>
      <c r="E229" s="86">
        <v>0</v>
      </c>
      <c r="F229" s="142">
        <f>G229+I229</f>
        <v>0</v>
      </c>
      <c r="G229" s="113">
        <v>0</v>
      </c>
      <c r="H229" s="86">
        <v>0</v>
      </c>
      <c r="I229" s="113">
        <v>0</v>
      </c>
      <c r="J229" s="114">
        <f>H229-I229</f>
        <v>0</v>
      </c>
      <c r="K229" s="113">
        <f t="shared" si="22"/>
        <v>0</v>
      </c>
      <c r="L229" s="113">
        <v>0</v>
      </c>
      <c r="M229" s="113">
        <v>0</v>
      </c>
      <c r="N229" s="113">
        <v>0</v>
      </c>
      <c r="O229" s="113">
        <v>0</v>
      </c>
      <c r="P229" s="113">
        <v>0</v>
      </c>
    </row>
    <row r="230" spans="2:16" ht="13.5" customHeight="1" outlineLevel="1" x14ac:dyDescent="0.25">
      <c r="B230" s="138"/>
      <c r="C230" s="84" t="s">
        <v>56</v>
      </c>
      <c r="D230" s="85">
        <v>0</v>
      </c>
      <c r="E230" s="86">
        <v>0</v>
      </c>
      <c r="F230" s="142">
        <f>G230+I230</f>
        <v>0</v>
      </c>
      <c r="G230" s="113">
        <v>0</v>
      </c>
      <c r="H230" s="86">
        <v>0</v>
      </c>
      <c r="I230" s="113">
        <v>0</v>
      </c>
      <c r="J230" s="114">
        <f>H230-I230</f>
        <v>0</v>
      </c>
      <c r="K230" s="113">
        <f t="shared" si="22"/>
        <v>0</v>
      </c>
      <c r="L230" s="113">
        <v>0</v>
      </c>
      <c r="M230" s="113">
        <v>0</v>
      </c>
      <c r="N230" s="113">
        <v>0</v>
      </c>
      <c r="O230" s="113">
        <v>0</v>
      </c>
      <c r="P230" s="113">
        <v>0</v>
      </c>
    </row>
    <row r="231" spans="2:16" ht="13.9" customHeight="1" outlineLevel="1" x14ac:dyDescent="0.25">
      <c r="B231" s="138"/>
      <c r="C231" s="84" t="s">
        <v>57</v>
      </c>
      <c r="D231" s="85">
        <v>0</v>
      </c>
      <c r="E231" s="86">
        <v>0</v>
      </c>
      <c r="F231" s="142">
        <f>G231+I231</f>
        <v>0</v>
      </c>
      <c r="G231" s="113">
        <v>0</v>
      </c>
      <c r="H231" s="86">
        <v>0</v>
      </c>
      <c r="I231" s="113">
        <v>0</v>
      </c>
      <c r="J231" s="114">
        <f>H231-I231</f>
        <v>0</v>
      </c>
      <c r="K231" s="113">
        <f t="shared" si="22"/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</row>
    <row r="232" spans="2:16" ht="13.9" customHeight="1" outlineLevel="1" x14ac:dyDescent="0.25">
      <c r="B232" s="138"/>
      <c r="C232" s="84" t="s">
        <v>58</v>
      </c>
      <c r="D232" s="85">
        <v>2</v>
      </c>
      <c r="E232" s="86">
        <v>2955685.7</v>
      </c>
      <c r="F232" s="142">
        <f>G232+I232</f>
        <v>591142.59000000008</v>
      </c>
      <c r="G232" s="113">
        <v>591142.59000000008</v>
      </c>
      <c r="H232" s="86">
        <v>2364543.11</v>
      </c>
      <c r="I232" s="113">
        <v>0</v>
      </c>
      <c r="J232" s="114">
        <f>H232-I232</f>
        <v>2364543.11</v>
      </c>
      <c r="K232" s="113">
        <f t="shared" si="22"/>
        <v>295563.11999999965</v>
      </c>
      <c r="L232" s="113">
        <v>295568.57</v>
      </c>
      <c r="M232" s="113">
        <v>295568.57</v>
      </c>
      <c r="N232" s="113">
        <v>1477842.85</v>
      </c>
      <c r="O232" s="113">
        <v>0</v>
      </c>
      <c r="P232" s="113">
        <v>0</v>
      </c>
    </row>
    <row r="233" spans="2:16" ht="13.9" customHeight="1" outlineLevel="1" x14ac:dyDescent="0.25">
      <c r="B233" s="138"/>
      <c r="C233" s="84" t="s">
        <v>59</v>
      </c>
      <c r="D233" s="85">
        <v>2</v>
      </c>
      <c r="E233" s="86">
        <v>2998044.6500000004</v>
      </c>
      <c r="F233" s="142">
        <f t="shared" si="23"/>
        <v>601190.5</v>
      </c>
      <c r="G233" s="113">
        <v>601190.5</v>
      </c>
      <c r="H233" s="86">
        <v>2396854.1500000004</v>
      </c>
      <c r="I233" s="113">
        <v>0</v>
      </c>
      <c r="J233" s="114">
        <f t="shared" si="24"/>
        <v>2396854.1500000004</v>
      </c>
      <c r="K233" s="113">
        <f t="shared" si="22"/>
        <v>298222.88000000035</v>
      </c>
      <c r="L233" s="113">
        <v>299804.46999999997</v>
      </c>
      <c r="M233" s="113">
        <v>299804.46999999997</v>
      </c>
      <c r="N233" s="113">
        <v>1499022.33</v>
      </c>
      <c r="O233" s="113">
        <v>0</v>
      </c>
      <c r="P233" s="113">
        <v>0</v>
      </c>
    </row>
    <row r="234" spans="2:16" ht="13.9" customHeight="1" outlineLevel="1" x14ac:dyDescent="0.25">
      <c r="B234" s="138"/>
      <c r="C234" s="84" t="s">
        <v>60</v>
      </c>
      <c r="D234" s="85">
        <v>0</v>
      </c>
      <c r="E234" s="86">
        <v>0</v>
      </c>
      <c r="F234" s="142">
        <f t="shared" si="23"/>
        <v>0</v>
      </c>
      <c r="G234" s="113">
        <v>0</v>
      </c>
      <c r="H234" s="86">
        <v>0</v>
      </c>
      <c r="I234" s="113">
        <v>0</v>
      </c>
      <c r="J234" s="114">
        <f t="shared" si="24"/>
        <v>0</v>
      </c>
      <c r="K234" s="113">
        <f t="shared" si="22"/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</row>
    <row r="235" spans="2:16" ht="13.9" customHeight="1" outlineLevel="1" x14ac:dyDescent="0.25">
      <c r="B235" s="138"/>
      <c r="C235" s="84" t="s">
        <v>61</v>
      </c>
      <c r="D235" s="85">
        <v>0</v>
      </c>
      <c r="E235" s="86">
        <v>0</v>
      </c>
      <c r="F235" s="142">
        <f t="shared" si="23"/>
        <v>0</v>
      </c>
      <c r="G235" s="113">
        <v>0</v>
      </c>
      <c r="H235" s="86">
        <v>0</v>
      </c>
      <c r="I235" s="113">
        <v>0</v>
      </c>
      <c r="J235" s="114">
        <f t="shared" si="24"/>
        <v>0</v>
      </c>
      <c r="K235" s="113">
        <f t="shared" si="22"/>
        <v>0</v>
      </c>
      <c r="L235" s="113">
        <v>0</v>
      </c>
      <c r="M235" s="113">
        <v>0</v>
      </c>
      <c r="N235" s="113">
        <v>0</v>
      </c>
      <c r="O235" s="113">
        <v>0</v>
      </c>
      <c r="P235" s="113">
        <v>0</v>
      </c>
    </row>
    <row r="236" spans="2:16" ht="13.9" customHeight="1" outlineLevel="1" x14ac:dyDescent="0.25">
      <c r="B236" s="138"/>
      <c r="C236" s="84" t="s">
        <v>62</v>
      </c>
      <c r="D236" s="85">
        <v>0</v>
      </c>
      <c r="E236" s="86">
        <v>0</v>
      </c>
      <c r="F236" s="142">
        <f t="shared" si="23"/>
        <v>0</v>
      </c>
      <c r="G236" s="113">
        <v>0</v>
      </c>
      <c r="H236" s="86">
        <v>0</v>
      </c>
      <c r="I236" s="113">
        <v>0</v>
      </c>
      <c r="J236" s="114">
        <f t="shared" si="24"/>
        <v>0</v>
      </c>
      <c r="K236" s="113">
        <f t="shared" si="22"/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</row>
    <row r="237" spans="2:16" ht="13.9" customHeight="1" outlineLevel="1" x14ac:dyDescent="0.25">
      <c r="B237" s="138"/>
      <c r="C237" s="84" t="s">
        <v>63</v>
      </c>
      <c r="D237" s="85">
        <v>0</v>
      </c>
      <c r="E237" s="86">
        <v>0</v>
      </c>
      <c r="F237" s="142">
        <f t="shared" si="23"/>
        <v>0</v>
      </c>
      <c r="G237" s="113">
        <v>0</v>
      </c>
      <c r="H237" s="86">
        <v>0</v>
      </c>
      <c r="I237" s="113">
        <v>0</v>
      </c>
      <c r="J237" s="114">
        <f t="shared" si="24"/>
        <v>0</v>
      </c>
      <c r="K237" s="113">
        <f t="shared" si="22"/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</row>
    <row r="238" spans="2:16" ht="13.9" customHeight="1" outlineLevel="1" x14ac:dyDescent="0.25">
      <c r="B238" s="138"/>
      <c r="C238" s="84" t="s">
        <v>64</v>
      </c>
      <c r="D238" s="85">
        <v>0</v>
      </c>
      <c r="E238" s="86">
        <v>0</v>
      </c>
      <c r="F238" s="142">
        <f t="shared" si="23"/>
        <v>0</v>
      </c>
      <c r="G238" s="113">
        <v>0</v>
      </c>
      <c r="H238" s="86">
        <v>0</v>
      </c>
      <c r="I238" s="113">
        <v>0</v>
      </c>
      <c r="J238" s="114">
        <f t="shared" si="24"/>
        <v>0</v>
      </c>
      <c r="K238" s="113">
        <f t="shared" si="22"/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</row>
    <row r="239" spans="2:16" ht="13.9" customHeight="1" outlineLevel="1" x14ac:dyDescent="0.25">
      <c r="B239" s="138"/>
      <c r="C239" s="84" t="s">
        <v>65</v>
      </c>
      <c r="D239" s="85">
        <v>0</v>
      </c>
      <c r="E239" s="86">
        <v>0</v>
      </c>
      <c r="F239" s="142">
        <f t="shared" si="23"/>
        <v>0</v>
      </c>
      <c r="G239" s="113">
        <v>0</v>
      </c>
      <c r="H239" s="86">
        <v>0</v>
      </c>
      <c r="I239" s="113">
        <v>0</v>
      </c>
      <c r="J239" s="114">
        <f t="shared" si="24"/>
        <v>0</v>
      </c>
      <c r="K239" s="113">
        <f t="shared" si="22"/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</row>
    <row r="240" spans="2:16" ht="13.9" customHeight="1" outlineLevel="1" x14ac:dyDescent="0.25">
      <c r="B240" s="138"/>
      <c r="C240" s="84" t="s">
        <v>66</v>
      </c>
      <c r="D240" s="85">
        <v>0</v>
      </c>
      <c r="E240" s="86">
        <v>0</v>
      </c>
      <c r="F240" s="142">
        <f t="shared" si="23"/>
        <v>0</v>
      </c>
      <c r="G240" s="113">
        <v>0</v>
      </c>
      <c r="H240" s="86">
        <v>0</v>
      </c>
      <c r="I240" s="113">
        <v>0</v>
      </c>
      <c r="J240" s="114">
        <f t="shared" si="24"/>
        <v>0</v>
      </c>
      <c r="K240" s="113">
        <f t="shared" si="22"/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</row>
    <row r="241" spans="2:16" ht="13.9" customHeight="1" outlineLevel="1" x14ac:dyDescent="0.25">
      <c r="B241" s="138"/>
      <c r="C241" s="84" t="s">
        <v>67</v>
      </c>
      <c r="D241" s="85">
        <v>0</v>
      </c>
      <c r="E241" s="86">
        <v>0</v>
      </c>
      <c r="F241" s="142">
        <f t="shared" si="23"/>
        <v>0</v>
      </c>
      <c r="G241" s="113">
        <v>0</v>
      </c>
      <c r="H241" s="86">
        <v>0</v>
      </c>
      <c r="I241" s="113">
        <v>0</v>
      </c>
      <c r="J241" s="114">
        <f t="shared" si="24"/>
        <v>0</v>
      </c>
      <c r="K241" s="113">
        <f t="shared" si="22"/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</row>
    <row r="242" spans="2:16" ht="13.9" customHeight="1" x14ac:dyDescent="0.25">
      <c r="B242" s="139"/>
      <c r="C242" s="78" t="s">
        <v>103</v>
      </c>
      <c r="D242" s="90">
        <f t="shared" ref="D242:P242" si="25">SUM(D205:D241)</f>
        <v>46</v>
      </c>
      <c r="E242" s="91">
        <f t="shared" si="25"/>
        <v>68461347.950000018</v>
      </c>
      <c r="F242" s="92">
        <f t="shared" si="25"/>
        <v>18909553.889999997</v>
      </c>
      <c r="G242" s="93">
        <f t="shared" si="25"/>
        <v>16398515.209999999</v>
      </c>
      <c r="H242" s="90">
        <f t="shared" si="25"/>
        <v>52062832.739999995</v>
      </c>
      <c r="I242" s="91">
        <f t="shared" si="25"/>
        <v>2511038.6800000002</v>
      </c>
      <c r="J242" s="92">
        <f t="shared" si="25"/>
        <v>49551794.060000002</v>
      </c>
      <c r="K242" s="93">
        <f t="shared" si="25"/>
        <v>8683985.040000001</v>
      </c>
      <c r="L242" s="90">
        <f t="shared" si="25"/>
        <v>21178771.520000003</v>
      </c>
      <c r="M242" s="91">
        <f t="shared" si="25"/>
        <v>7404618.1000000006</v>
      </c>
      <c r="N242" s="90">
        <f t="shared" si="25"/>
        <v>11619901.34</v>
      </c>
      <c r="O242" s="91">
        <f t="shared" si="25"/>
        <v>664518.06000000006</v>
      </c>
      <c r="P242" s="91">
        <f t="shared" si="25"/>
        <v>0</v>
      </c>
    </row>
    <row r="243" spans="2:16" ht="13.9" customHeight="1" outlineLevel="1" x14ac:dyDescent="0.25">
      <c r="B243" s="137" t="s">
        <v>83</v>
      </c>
      <c r="C243" s="84" t="s">
        <v>70</v>
      </c>
      <c r="D243" s="85">
        <v>11</v>
      </c>
      <c r="E243" s="86">
        <v>15295756.23</v>
      </c>
      <c r="F243" s="142">
        <f t="shared" si="23"/>
        <v>5148538.33</v>
      </c>
      <c r="G243" s="113">
        <v>3637643.77</v>
      </c>
      <c r="H243" s="86">
        <v>11658112.459999999</v>
      </c>
      <c r="I243" s="113">
        <v>1510894.56</v>
      </c>
      <c r="J243" s="114">
        <f t="shared" si="24"/>
        <v>10147217.899999999</v>
      </c>
      <c r="K243" s="113">
        <f t="shared" si="22"/>
        <v>2096428.5599999987</v>
      </c>
      <c r="L243" s="113">
        <v>1202074.1000000001</v>
      </c>
      <c r="M243" s="113">
        <v>5708164.8799999999</v>
      </c>
      <c r="N243" s="113">
        <v>1140550.3599999999</v>
      </c>
      <c r="O243" s="113">
        <v>0</v>
      </c>
      <c r="P243" s="113">
        <v>0</v>
      </c>
    </row>
    <row r="244" spans="2:16" ht="13.9" customHeight="1" outlineLevel="1" x14ac:dyDescent="0.25">
      <c r="B244" s="138"/>
      <c r="C244" s="84" t="s">
        <v>71</v>
      </c>
      <c r="D244" s="85">
        <v>0</v>
      </c>
      <c r="E244" s="86">
        <v>0</v>
      </c>
      <c r="F244" s="142">
        <f t="shared" si="23"/>
        <v>0</v>
      </c>
      <c r="G244" s="113">
        <v>0</v>
      </c>
      <c r="H244" s="86">
        <v>0</v>
      </c>
      <c r="I244" s="113">
        <v>0</v>
      </c>
      <c r="J244" s="114">
        <f t="shared" si="24"/>
        <v>0</v>
      </c>
      <c r="K244" s="113">
        <f t="shared" si="22"/>
        <v>0</v>
      </c>
      <c r="L244" s="113">
        <v>0</v>
      </c>
      <c r="M244" s="113">
        <v>0</v>
      </c>
      <c r="N244" s="113">
        <v>0</v>
      </c>
      <c r="O244" s="113">
        <v>0</v>
      </c>
      <c r="P244" s="113">
        <v>0</v>
      </c>
    </row>
    <row r="245" spans="2:16" ht="13.9" customHeight="1" outlineLevel="1" x14ac:dyDescent="0.25">
      <c r="B245" s="138"/>
      <c r="C245" s="84" t="s">
        <v>72</v>
      </c>
      <c r="D245" s="85">
        <v>12</v>
      </c>
      <c r="E245" s="86">
        <v>18532385.600000001</v>
      </c>
      <c r="F245" s="142">
        <f t="shared" si="23"/>
        <v>4612451.7399999993</v>
      </c>
      <c r="G245" s="113">
        <v>4332566.4399999995</v>
      </c>
      <c r="H245" s="86">
        <v>14199819.159999998</v>
      </c>
      <c r="I245" s="113">
        <v>279885.30000000005</v>
      </c>
      <c r="J245" s="114">
        <f t="shared" si="24"/>
        <v>13919933.859999998</v>
      </c>
      <c r="K245" s="113">
        <f t="shared" si="22"/>
        <v>2484585.2499999963</v>
      </c>
      <c r="L245" s="113">
        <v>2342959.4799999995</v>
      </c>
      <c r="M245" s="113">
        <v>871431.9</v>
      </c>
      <c r="N245" s="113">
        <v>8220957.2300000014</v>
      </c>
      <c r="O245" s="113">
        <v>0</v>
      </c>
      <c r="P245" s="113">
        <v>0</v>
      </c>
    </row>
    <row r="246" spans="2:16" ht="13.9" customHeight="1" x14ac:dyDescent="0.25">
      <c r="B246" s="139"/>
      <c r="C246" s="78" t="s">
        <v>104</v>
      </c>
      <c r="D246" s="90">
        <f t="shared" ref="D246:P246" si="26">SUM(D243:D245)</f>
        <v>23</v>
      </c>
      <c r="E246" s="91">
        <f t="shared" si="26"/>
        <v>33828141.829999998</v>
      </c>
      <c r="F246" s="92">
        <f t="shared" si="26"/>
        <v>9760990.0700000003</v>
      </c>
      <c r="G246" s="93">
        <f t="shared" si="26"/>
        <v>7970210.209999999</v>
      </c>
      <c r="H246" s="90">
        <f t="shared" si="26"/>
        <v>25857931.619999997</v>
      </c>
      <c r="I246" s="91">
        <f t="shared" si="26"/>
        <v>1790779.86</v>
      </c>
      <c r="J246" s="92">
        <f t="shared" si="26"/>
        <v>24067151.759999998</v>
      </c>
      <c r="K246" s="93">
        <f t="shared" si="26"/>
        <v>4581013.8099999949</v>
      </c>
      <c r="L246" s="90">
        <f t="shared" si="26"/>
        <v>3545033.5799999996</v>
      </c>
      <c r="M246" s="91">
        <f t="shared" si="26"/>
        <v>6579596.7800000003</v>
      </c>
      <c r="N246" s="90">
        <f t="shared" si="26"/>
        <v>9361507.5900000017</v>
      </c>
      <c r="O246" s="91">
        <f t="shared" si="26"/>
        <v>0</v>
      </c>
      <c r="P246" s="91">
        <f t="shared" si="26"/>
        <v>0</v>
      </c>
    </row>
    <row r="247" spans="2:16" ht="13.9" customHeight="1" outlineLevel="1" x14ac:dyDescent="0.25">
      <c r="B247" s="137" t="s">
        <v>105</v>
      </c>
      <c r="C247" s="84" t="s">
        <v>75</v>
      </c>
      <c r="D247" s="85">
        <v>0</v>
      </c>
      <c r="E247" s="86">
        <v>0</v>
      </c>
      <c r="F247" s="142">
        <f t="shared" si="23"/>
        <v>0</v>
      </c>
      <c r="G247" s="113">
        <v>0</v>
      </c>
      <c r="H247" s="86">
        <v>0</v>
      </c>
      <c r="I247" s="113">
        <v>0</v>
      </c>
      <c r="J247" s="114">
        <f t="shared" si="24"/>
        <v>0</v>
      </c>
      <c r="K247" s="113">
        <f t="shared" si="22"/>
        <v>0</v>
      </c>
      <c r="L247" s="113">
        <v>0</v>
      </c>
      <c r="M247" s="113">
        <v>0</v>
      </c>
      <c r="N247" s="113">
        <v>0</v>
      </c>
      <c r="O247" s="113">
        <v>0</v>
      </c>
      <c r="P247" s="113">
        <v>0</v>
      </c>
    </row>
    <row r="248" spans="2:16" ht="13.9" customHeight="1" outlineLevel="1" x14ac:dyDescent="0.25">
      <c r="B248" s="138"/>
      <c r="C248" s="84" t="s">
        <v>76</v>
      </c>
      <c r="D248" s="85">
        <v>4</v>
      </c>
      <c r="E248" s="86">
        <v>5283234.29</v>
      </c>
      <c r="F248" s="142">
        <f>G248+I248</f>
        <v>1584970.2799999998</v>
      </c>
      <c r="G248" s="113">
        <v>1584970.1999999997</v>
      </c>
      <c r="H248" s="86">
        <v>3698264.09</v>
      </c>
      <c r="I248" s="113">
        <v>0.08</v>
      </c>
      <c r="J248" s="114">
        <f>H248-I248</f>
        <v>3698264.01</v>
      </c>
      <c r="K248" s="113">
        <f t="shared" si="22"/>
        <v>1056646.8600000003</v>
      </c>
      <c r="L248" s="113">
        <v>528323.42999999993</v>
      </c>
      <c r="M248" s="113">
        <v>2113293.7199999997</v>
      </c>
      <c r="N248" s="113">
        <v>0</v>
      </c>
      <c r="O248" s="113">
        <v>0</v>
      </c>
      <c r="P248" s="113">
        <v>0</v>
      </c>
    </row>
    <row r="249" spans="2:16" ht="13.9" customHeight="1" x14ac:dyDescent="0.25">
      <c r="B249" s="139"/>
      <c r="C249" s="78" t="s">
        <v>106</v>
      </c>
      <c r="D249" s="90">
        <f t="shared" ref="D249:P249" si="27">SUM(D247:D248)</f>
        <v>4</v>
      </c>
      <c r="E249" s="91">
        <f t="shared" si="27"/>
        <v>5283234.29</v>
      </c>
      <c r="F249" s="92">
        <f t="shared" si="27"/>
        <v>1584970.2799999998</v>
      </c>
      <c r="G249" s="93">
        <f t="shared" si="27"/>
        <v>1584970.1999999997</v>
      </c>
      <c r="H249" s="90">
        <f t="shared" si="27"/>
        <v>3698264.09</v>
      </c>
      <c r="I249" s="91">
        <f t="shared" si="27"/>
        <v>0.08</v>
      </c>
      <c r="J249" s="92">
        <f t="shared" si="27"/>
        <v>3698264.01</v>
      </c>
      <c r="K249" s="93">
        <f t="shared" si="27"/>
        <v>1056646.8600000003</v>
      </c>
      <c r="L249" s="90">
        <f t="shared" si="27"/>
        <v>528323.42999999993</v>
      </c>
      <c r="M249" s="91">
        <f t="shared" si="27"/>
        <v>2113293.7199999997</v>
      </c>
      <c r="N249" s="90">
        <f t="shared" si="27"/>
        <v>0</v>
      </c>
      <c r="O249" s="91">
        <f t="shared" si="27"/>
        <v>0</v>
      </c>
      <c r="P249" s="91">
        <f t="shared" si="27"/>
        <v>0</v>
      </c>
    </row>
    <row r="250" spans="2:16" ht="13.9" customHeight="1" x14ac:dyDescent="0.25">
      <c r="B250" s="140" t="s">
        <v>78</v>
      </c>
      <c r="C250" s="141"/>
      <c r="D250" s="90">
        <f t="shared" ref="D250:P250" si="28">D242+D246+D249</f>
        <v>73</v>
      </c>
      <c r="E250" s="91">
        <f t="shared" si="28"/>
        <v>107572724.07000002</v>
      </c>
      <c r="F250" s="92">
        <f t="shared" si="28"/>
        <v>30255514.239999998</v>
      </c>
      <c r="G250" s="93">
        <f t="shared" si="28"/>
        <v>25953695.619999997</v>
      </c>
      <c r="H250" s="90">
        <f t="shared" si="28"/>
        <v>81619028.449999988</v>
      </c>
      <c r="I250" s="91">
        <f t="shared" si="28"/>
        <v>4301818.62</v>
      </c>
      <c r="J250" s="92">
        <f t="shared" si="28"/>
        <v>77317209.829999998</v>
      </c>
      <c r="K250" s="93">
        <f t="shared" si="28"/>
        <v>14321645.709999997</v>
      </c>
      <c r="L250" s="90">
        <f t="shared" si="28"/>
        <v>25252128.530000001</v>
      </c>
      <c r="M250" s="91">
        <f t="shared" si="28"/>
        <v>16097508.600000001</v>
      </c>
      <c r="N250" s="90">
        <f t="shared" si="28"/>
        <v>20981408.93</v>
      </c>
      <c r="O250" s="91">
        <f t="shared" si="28"/>
        <v>664518.06000000006</v>
      </c>
      <c r="P250" s="91">
        <f t="shared" si="28"/>
        <v>0</v>
      </c>
    </row>
    <row r="251" spans="2:16" ht="13.9" customHeight="1" x14ac:dyDescent="0.25"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</row>
    <row r="252" spans="2:16" ht="13.9" customHeight="1" x14ac:dyDescent="0.25">
      <c r="B252" s="107" t="s">
        <v>90</v>
      </c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</row>
    <row r="253" spans="2:16" ht="13.9" customHeight="1" x14ac:dyDescent="0.25">
      <c r="B253" s="136" t="s">
        <v>26</v>
      </c>
      <c r="C253" s="108" t="s">
        <v>27</v>
      </c>
      <c r="D253" s="109" t="s">
        <v>28</v>
      </c>
      <c r="E253" s="110" t="s">
        <v>29</v>
      </c>
      <c r="F253" s="111" t="s">
        <v>85</v>
      </c>
      <c r="G253" s="112" t="s">
        <v>81</v>
      </c>
      <c r="H253" s="110" t="s">
        <v>82</v>
      </c>
      <c r="I253" s="112" t="s">
        <v>86</v>
      </c>
      <c r="J253" s="110" t="s">
        <v>87</v>
      </c>
      <c r="K253" s="112">
        <v>2026</v>
      </c>
      <c r="L253" s="112">
        <v>2027</v>
      </c>
      <c r="M253" s="110">
        <v>2028</v>
      </c>
      <c r="N253" s="112">
        <v>2029</v>
      </c>
      <c r="O253" s="110">
        <v>2030</v>
      </c>
      <c r="P253" s="112">
        <v>2031</v>
      </c>
    </row>
    <row r="254" spans="2:16" ht="13.9" customHeight="1" outlineLevel="1" x14ac:dyDescent="0.25">
      <c r="B254" s="137" t="s">
        <v>30</v>
      </c>
      <c r="C254" s="84" t="s">
        <v>31</v>
      </c>
      <c r="D254" s="85">
        <v>0</v>
      </c>
      <c r="E254" s="86">
        <v>0</v>
      </c>
      <c r="F254" s="142">
        <f>G254+I254</f>
        <v>0</v>
      </c>
      <c r="G254" s="113">
        <v>0</v>
      </c>
      <c r="H254" s="86">
        <v>0</v>
      </c>
      <c r="I254" s="113">
        <v>0</v>
      </c>
      <c r="J254" s="114">
        <f>H254-I254</f>
        <v>0</v>
      </c>
      <c r="K254" s="113">
        <f t="shared" ref="K254:K297" si="29">MAX(J254-SUM(L254:P254),0)</f>
        <v>0</v>
      </c>
      <c r="L254" s="113">
        <v>0</v>
      </c>
      <c r="M254" s="113">
        <v>0</v>
      </c>
      <c r="N254" s="113">
        <v>0</v>
      </c>
      <c r="O254" s="113">
        <v>0</v>
      </c>
      <c r="P254" s="113">
        <v>0</v>
      </c>
    </row>
    <row r="255" spans="2:16" ht="13.9" customHeight="1" outlineLevel="1" x14ac:dyDescent="0.25">
      <c r="B255" s="138"/>
      <c r="C255" s="84" t="s">
        <v>32</v>
      </c>
      <c r="D255" s="85">
        <v>0</v>
      </c>
      <c r="E255" s="86">
        <v>0</v>
      </c>
      <c r="F255" s="142">
        <f t="shared" ref="F255:F296" si="30">G255+I255</f>
        <v>0</v>
      </c>
      <c r="G255" s="113">
        <v>0</v>
      </c>
      <c r="H255" s="86">
        <v>0</v>
      </c>
      <c r="I255" s="113">
        <v>0</v>
      </c>
      <c r="J255" s="114">
        <f t="shared" ref="J255:J296" si="31">H255-I255</f>
        <v>0</v>
      </c>
      <c r="K255" s="113">
        <f t="shared" si="29"/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</row>
    <row r="256" spans="2:16" ht="13.9" customHeight="1" outlineLevel="1" x14ac:dyDescent="0.25">
      <c r="B256" s="138"/>
      <c r="C256" s="84" t="s">
        <v>33</v>
      </c>
      <c r="D256" s="85">
        <v>0</v>
      </c>
      <c r="E256" s="86">
        <v>0</v>
      </c>
      <c r="F256" s="142">
        <f t="shared" si="30"/>
        <v>0</v>
      </c>
      <c r="G256" s="113">
        <v>0</v>
      </c>
      <c r="H256" s="86">
        <v>0</v>
      </c>
      <c r="I256" s="113">
        <v>0</v>
      </c>
      <c r="J256" s="114">
        <f t="shared" si="31"/>
        <v>0</v>
      </c>
      <c r="K256" s="113">
        <f t="shared" si="29"/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</row>
    <row r="257" spans="2:16" ht="13.9" customHeight="1" outlineLevel="1" x14ac:dyDescent="0.25">
      <c r="B257" s="138"/>
      <c r="C257" s="84" t="s">
        <v>34</v>
      </c>
      <c r="D257" s="85">
        <v>0</v>
      </c>
      <c r="E257" s="86">
        <v>0</v>
      </c>
      <c r="F257" s="142">
        <f t="shared" si="30"/>
        <v>0</v>
      </c>
      <c r="G257" s="113">
        <v>0</v>
      </c>
      <c r="H257" s="86">
        <v>0</v>
      </c>
      <c r="I257" s="113">
        <v>0</v>
      </c>
      <c r="J257" s="114">
        <f t="shared" si="31"/>
        <v>0</v>
      </c>
      <c r="K257" s="113">
        <f t="shared" si="29"/>
        <v>0</v>
      </c>
      <c r="L257" s="113">
        <v>0</v>
      </c>
      <c r="M257" s="113">
        <v>0</v>
      </c>
      <c r="N257" s="113">
        <v>0</v>
      </c>
      <c r="O257" s="113">
        <v>0</v>
      </c>
      <c r="P257" s="113">
        <v>0</v>
      </c>
    </row>
    <row r="258" spans="2:16" ht="13.9" customHeight="1" outlineLevel="1" x14ac:dyDescent="0.25">
      <c r="B258" s="138"/>
      <c r="C258" s="84" t="s">
        <v>35</v>
      </c>
      <c r="D258" s="85">
        <v>0</v>
      </c>
      <c r="E258" s="86">
        <v>0</v>
      </c>
      <c r="F258" s="142">
        <f t="shared" si="30"/>
        <v>0</v>
      </c>
      <c r="G258" s="113">
        <v>0</v>
      </c>
      <c r="H258" s="86">
        <v>0</v>
      </c>
      <c r="I258" s="113">
        <v>0</v>
      </c>
      <c r="J258" s="114">
        <f t="shared" si="31"/>
        <v>0</v>
      </c>
      <c r="K258" s="113">
        <f t="shared" si="29"/>
        <v>0</v>
      </c>
      <c r="L258" s="113">
        <v>0</v>
      </c>
      <c r="M258" s="113">
        <v>0</v>
      </c>
      <c r="N258" s="113">
        <v>0</v>
      </c>
      <c r="O258" s="113">
        <v>0</v>
      </c>
      <c r="P258" s="113">
        <v>0</v>
      </c>
    </row>
    <row r="259" spans="2:16" ht="13.9" customHeight="1" outlineLevel="1" x14ac:dyDescent="0.25">
      <c r="B259" s="138"/>
      <c r="C259" s="84" t="s">
        <v>36</v>
      </c>
      <c r="D259" s="85">
        <v>0</v>
      </c>
      <c r="E259" s="86">
        <v>0</v>
      </c>
      <c r="F259" s="142">
        <f t="shared" si="30"/>
        <v>0</v>
      </c>
      <c r="G259" s="113">
        <v>0</v>
      </c>
      <c r="H259" s="86">
        <v>0</v>
      </c>
      <c r="I259" s="113">
        <v>0</v>
      </c>
      <c r="J259" s="114">
        <f t="shared" si="31"/>
        <v>0</v>
      </c>
      <c r="K259" s="113">
        <f t="shared" si="29"/>
        <v>0</v>
      </c>
      <c r="L259" s="113">
        <v>0</v>
      </c>
      <c r="M259" s="113">
        <v>0</v>
      </c>
      <c r="N259" s="113">
        <v>0</v>
      </c>
      <c r="O259" s="113">
        <v>0</v>
      </c>
      <c r="P259" s="113">
        <v>0</v>
      </c>
    </row>
    <row r="260" spans="2:16" ht="13.9" customHeight="1" outlineLevel="1" x14ac:dyDescent="0.25">
      <c r="B260" s="138"/>
      <c r="C260" s="84" t="s">
        <v>37</v>
      </c>
      <c r="D260" s="85">
        <v>0</v>
      </c>
      <c r="E260" s="86">
        <v>0</v>
      </c>
      <c r="F260" s="142">
        <f t="shared" si="30"/>
        <v>0</v>
      </c>
      <c r="G260" s="113">
        <v>0</v>
      </c>
      <c r="H260" s="86">
        <v>0</v>
      </c>
      <c r="I260" s="113">
        <v>0</v>
      </c>
      <c r="J260" s="114">
        <f t="shared" si="31"/>
        <v>0</v>
      </c>
      <c r="K260" s="113">
        <f t="shared" si="29"/>
        <v>0</v>
      </c>
      <c r="L260" s="113">
        <v>0</v>
      </c>
      <c r="M260" s="113">
        <v>0</v>
      </c>
      <c r="N260" s="113">
        <v>0</v>
      </c>
      <c r="O260" s="113">
        <v>0</v>
      </c>
      <c r="P260" s="113">
        <v>0</v>
      </c>
    </row>
    <row r="261" spans="2:16" ht="13.9" customHeight="1" outlineLevel="1" x14ac:dyDescent="0.25">
      <c r="B261" s="138"/>
      <c r="C261" s="84" t="s">
        <v>38</v>
      </c>
      <c r="D261" s="85">
        <v>0</v>
      </c>
      <c r="E261" s="86">
        <v>0</v>
      </c>
      <c r="F261" s="142">
        <f t="shared" si="30"/>
        <v>0</v>
      </c>
      <c r="G261" s="113">
        <v>0</v>
      </c>
      <c r="H261" s="86">
        <v>0</v>
      </c>
      <c r="I261" s="113">
        <v>0</v>
      </c>
      <c r="J261" s="114">
        <f t="shared" si="31"/>
        <v>0</v>
      </c>
      <c r="K261" s="113">
        <f t="shared" si="29"/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</row>
    <row r="262" spans="2:16" ht="13.9" customHeight="1" outlineLevel="1" x14ac:dyDescent="0.25">
      <c r="B262" s="138"/>
      <c r="C262" s="84" t="s">
        <v>39</v>
      </c>
      <c r="D262" s="85">
        <v>0</v>
      </c>
      <c r="E262" s="86">
        <v>0</v>
      </c>
      <c r="F262" s="142">
        <f t="shared" si="30"/>
        <v>0</v>
      </c>
      <c r="G262" s="113">
        <v>0</v>
      </c>
      <c r="H262" s="86">
        <v>0</v>
      </c>
      <c r="I262" s="113">
        <v>0</v>
      </c>
      <c r="J262" s="114">
        <f t="shared" si="31"/>
        <v>0</v>
      </c>
      <c r="K262" s="113">
        <f t="shared" si="29"/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</row>
    <row r="263" spans="2:16" ht="13.9" customHeight="1" outlineLevel="1" x14ac:dyDescent="0.25">
      <c r="B263" s="138"/>
      <c r="C263" s="84" t="s">
        <v>40</v>
      </c>
      <c r="D263" s="85">
        <v>0</v>
      </c>
      <c r="E263" s="86">
        <v>0</v>
      </c>
      <c r="F263" s="142">
        <f t="shared" si="30"/>
        <v>0</v>
      </c>
      <c r="G263" s="113">
        <v>0</v>
      </c>
      <c r="H263" s="86">
        <v>0</v>
      </c>
      <c r="I263" s="113">
        <v>0</v>
      </c>
      <c r="J263" s="114">
        <f t="shared" si="31"/>
        <v>0</v>
      </c>
      <c r="K263" s="113">
        <f t="shared" si="29"/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</row>
    <row r="264" spans="2:16" ht="13.9" customHeight="1" outlineLevel="1" x14ac:dyDescent="0.25">
      <c r="B264" s="138"/>
      <c r="C264" s="84" t="s">
        <v>41</v>
      </c>
      <c r="D264" s="85">
        <v>0</v>
      </c>
      <c r="E264" s="86">
        <v>0</v>
      </c>
      <c r="F264" s="142">
        <f t="shared" si="30"/>
        <v>0</v>
      </c>
      <c r="G264" s="113">
        <v>0</v>
      </c>
      <c r="H264" s="86">
        <v>0</v>
      </c>
      <c r="I264" s="113">
        <v>0</v>
      </c>
      <c r="J264" s="114">
        <f t="shared" si="31"/>
        <v>0</v>
      </c>
      <c r="K264" s="113">
        <f t="shared" si="29"/>
        <v>0</v>
      </c>
      <c r="L264" s="113">
        <v>0</v>
      </c>
      <c r="M264" s="113">
        <v>0</v>
      </c>
      <c r="N264" s="113">
        <v>0</v>
      </c>
      <c r="O264" s="113">
        <v>0</v>
      </c>
      <c r="P264" s="113">
        <v>0</v>
      </c>
    </row>
    <row r="265" spans="2:16" ht="13.9" customHeight="1" outlineLevel="1" x14ac:dyDescent="0.25">
      <c r="B265" s="138"/>
      <c r="C265" s="84" t="s">
        <v>42</v>
      </c>
      <c r="D265" s="85">
        <v>2</v>
      </c>
      <c r="E265" s="86">
        <v>3344181.84</v>
      </c>
      <c r="F265" s="142">
        <f t="shared" si="30"/>
        <v>1682176.23</v>
      </c>
      <c r="G265" s="113">
        <v>1265425.71</v>
      </c>
      <c r="H265" s="86">
        <v>2078756.1300000001</v>
      </c>
      <c r="I265" s="113">
        <v>416750.51999999996</v>
      </c>
      <c r="J265" s="114">
        <f t="shared" si="31"/>
        <v>1662005.61</v>
      </c>
      <c r="K265" s="113">
        <f t="shared" si="29"/>
        <v>172251.70000000019</v>
      </c>
      <c r="L265" s="113">
        <v>1489753.91</v>
      </c>
      <c r="M265" s="113">
        <v>0</v>
      </c>
      <c r="N265" s="113">
        <v>0</v>
      </c>
      <c r="O265" s="113">
        <v>0</v>
      </c>
      <c r="P265" s="113">
        <v>0</v>
      </c>
    </row>
    <row r="266" spans="2:16" ht="13.9" customHeight="1" outlineLevel="1" x14ac:dyDescent="0.25">
      <c r="B266" s="138"/>
      <c r="C266" s="84" t="s">
        <v>43</v>
      </c>
      <c r="D266" s="85">
        <v>0</v>
      </c>
      <c r="E266" s="86">
        <v>0</v>
      </c>
      <c r="F266" s="142">
        <f t="shared" si="30"/>
        <v>0</v>
      </c>
      <c r="G266" s="113">
        <v>0</v>
      </c>
      <c r="H266" s="86">
        <v>0</v>
      </c>
      <c r="I266" s="113">
        <v>0</v>
      </c>
      <c r="J266" s="114">
        <f t="shared" si="31"/>
        <v>0</v>
      </c>
      <c r="K266" s="113">
        <f t="shared" si="29"/>
        <v>0</v>
      </c>
      <c r="L266" s="113">
        <v>0</v>
      </c>
      <c r="M266" s="113">
        <v>0</v>
      </c>
      <c r="N266" s="113">
        <v>0</v>
      </c>
      <c r="O266" s="113">
        <v>0</v>
      </c>
      <c r="P266" s="113">
        <v>0</v>
      </c>
    </row>
    <row r="267" spans="2:16" ht="13.9" customHeight="1" outlineLevel="1" x14ac:dyDescent="0.25">
      <c r="B267" s="138"/>
      <c r="C267" s="84" t="s">
        <v>44</v>
      </c>
      <c r="D267" s="85">
        <v>4</v>
      </c>
      <c r="E267" s="86">
        <v>7257060.75</v>
      </c>
      <c r="F267" s="142">
        <f t="shared" si="30"/>
        <v>2284437.19</v>
      </c>
      <c r="G267" s="113">
        <v>2284437.19</v>
      </c>
      <c r="H267" s="86">
        <v>4972623.5599999996</v>
      </c>
      <c r="I267" s="113">
        <v>0</v>
      </c>
      <c r="J267" s="114">
        <f t="shared" si="31"/>
        <v>4972623.5599999996</v>
      </c>
      <c r="K267" s="113">
        <f t="shared" si="29"/>
        <v>956564.16999999993</v>
      </c>
      <c r="L267" s="113">
        <v>1113235.0900000001</v>
      </c>
      <c r="M267" s="113">
        <v>2902824.3</v>
      </c>
      <c r="N267" s="113">
        <v>0</v>
      </c>
      <c r="O267" s="113">
        <v>0</v>
      </c>
      <c r="P267" s="113">
        <v>0</v>
      </c>
    </row>
    <row r="268" spans="2:16" ht="13.9" customHeight="1" outlineLevel="1" x14ac:dyDescent="0.25">
      <c r="B268" s="138"/>
      <c r="C268" s="84" t="s">
        <v>45</v>
      </c>
      <c r="D268" s="85">
        <v>8</v>
      </c>
      <c r="E268" s="86">
        <v>10848755.789999999</v>
      </c>
      <c r="F268" s="142">
        <f t="shared" si="30"/>
        <v>3496392.75</v>
      </c>
      <c r="G268" s="113">
        <v>3496392.75</v>
      </c>
      <c r="H268" s="86">
        <v>7352363.0399999991</v>
      </c>
      <c r="I268" s="113">
        <v>0</v>
      </c>
      <c r="J268" s="114">
        <f t="shared" si="31"/>
        <v>7352363.0399999991</v>
      </c>
      <c r="K268" s="113">
        <f t="shared" si="29"/>
        <v>374626.00999999978</v>
      </c>
      <c r="L268" s="113">
        <v>995415.59999999986</v>
      </c>
      <c r="M268" s="113">
        <v>1369059.91</v>
      </c>
      <c r="N268" s="113">
        <v>4613261.5199999996</v>
      </c>
      <c r="O268" s="113">
        <v>0</v>
      </c>
      <c r="P268" s="113">
        <v>0</v>
      </c>
    </row>
    <row r="269" spans="2:16" ht="13.9" customHeight="1" outlineLevel="1" x14ac:dyDescent="0.25">
      <c r="B269" s="138"/>
      <c r="C269" s="84" t="s">
        <v>46</v>
      </c>
      <c r="D269" s="85">
        <v>0</v>
      </c>
      <c r="E269" s="86">
        <v>0</v>
      </c>
      <c r="F269" s="142">
        <f t="shared" si="30"/>
        <v>0</v>
      </c>
      <c r="G269" s="113">
        <v>0</v>
      </c>
      <c r="H269" s="86">
        <v>0</v>
      </c>
      <c r="I269" s="113">
        <v>0</v>
      </c>
      <c r="J269" s="114">
        <f t="shared" si="31"/>
        <v>0</v>
      </c>
      <c r="K269" s="113">
        <f t="shared" si="29"/>
        <v>0</v>
      </c>
      <c r="L269" s="113">
        <v>0</v>
      </c>
      <c r="M269" s="113">
        <v>0</v>
      </c>
      <c r="N269" s="113">
        <v>0</v>
      </c>
      <c r="O269" s="113">
        <v>0</v>
      </c>
      <c r="P269" s="113">
        <v>0</v>
      </c>
    </row>
    <row r="270" spans="2:16" ht="13.9" customHeight="1" outlineLevel="1" x14ac:dyDescent="0.25">
      <c r="B270" s="138"/>
      <c r="C270" s="84" t="s">
        <v>47</v>
      </c>
      <c r="D270" s="85">
        <v>3</v>
      </c>
      <c r="E270" s="86">
        <v>4897874.04</v>
      </c>
      <c r="F270" s="142">
        <f t="shared" si="30"/>
        <v>1469363</v>
      </c>
      <c r="G270" s="113">
        <v>1469363</v>
      </c>
      <c r="H270" s="86">
        <v>3428511.04</v>
      </c>
      <c r="I270" s="113">
        <v>0</v>
      </c>
      <c r="J270" s="114">
        <f t="shared" si="31"/>
        <v>3428511.04</v>
      </c>
      <c r="K270" s="113">
        <f t="shared" si="29"/>
        <v>3428511.04</v>
      </c>
      <c r="L270" s="113">
        <v>0</v>
      </c>
      <c r="M270" s="113">
        <v>0</v>
      </c>
      <c r="N270" s="113">
        <v>0</v>
      </c>
      <c r="O270" s="113">
        <v>0</v>
      </c>
      <c r="P270" s="113">
        <v>0</v>
      </c>
    </row>
    <row r="271" spans="2:16" ht="13.9" customHeight="1" outlineLevel="1" x14ac:dyDescent="0.25">
      <c r="B271" s="138"/>
      <c r="C271" s="84" t="s">
        <v>48</v>
      </c>
      <c r="D271" s="85">
        <v>13</v>
      </c>
      <c r="E271" s="86">
        <v>15254217.35</v>
      </c>
      <c r="F271" s="142">
        <f t="shared" si="30"/>
        <v>5333239.9000000004</v>
      </c>
      <c r="G271" s="113">
        <v>4989834.46</v>
      </c>
      <c r="H271" s="86">
        <v>10264382.889999999</v>
      </c>
      <c r="I271" s="113">
        <v>343405.44</v>
      </c>
      <c r="J271" s="114">
        <f t="shared" si="31"/>
        <v>9920977.4499999993</v>
      </c>
      <c r="K271" s="113">
        <f t="shared" si="29"/>
        <v>1376413.4799999986</v>
      </c>
      <c r="L271" s="113">
        <v>8544563.9700000007</v>
      </c>
      <c r="M271" s="113">
        <v>0</v>
      </c>
      <c r="N271" s="113">
        <v>0</v>
      </c>
      <c r="O271" s="113">
        <v>0</v>
      </c>
      <c r="P271" s="113">
        <v>0</v>
      </c>
    </row>
    <row r="272" spans="2:16" ht="13.9" customHeight="1" outlineLevel="1" x14ac:dyDescent="0.25">
      <c r="B272" s="138"/>
      <c r="C272" s="84" t="s">
        <v>49</v>
      </c>
      <c r="D272" s="85">
        <v>0</v>
      </c>
      <c r="E272" s="86">
        <v>0</v>
      </c>
      <c r="F272" s="142">
        <f t="shared" si="30"/>
        <v>0</v>
      </c>
      <c r="G272" s="113">
        <v>0</v>
      </c>
      <c r="H272" s="86">
        <v>0</v>
      </c>
      <c r="I272" s="113">
        <v>0</v>
      </c>
      <c r="J272" s="114">
        <f t="shared" si="31"/>
        <v>0</v>
      </c>
      <c r="K272" s="113">
        <f t="shared" si="29"/>
        <v>0</v>
      </c>
      <c r="L272" s="113">
        <v>0</v>
      </c>
      <c r="M272" s="113">
        <v>0</v>
      </c>
      <c r="N272" s="113">
        <v>0</v>
      </c>
      <c r="O272" s="113">
        <v>0</v>
      </c>
      <c r="P272" s="113">
        <v>0</v>
      </c>
    </row>
    <row r="273" spans="2:16" ht="13.9" customHeight="1" outlineLevel="1" x14ac:dyDescent="0.25">
      <c r="B273" s="138"/>
      <c r="C273" s="84" t="s">
        <v>50</v>
      </c>
      <c r="D273" s="85">
        <v>0</v>
      </c>
      <c r="E273" s="86">
        <v>0</v>
      </c>
      <c r="F273" s="142">
        <f t="shared" si="30"/>
        <v>0</v>
      </c>
      <c r="G273" s="113">
        <v>0</v>
      </c>
      <c r="H273" s="86">
        <v>0</v>
      </c>
      <c r="I273" s="113">
        <v>0</v>
      </c>
      <c r="J273" s="114">
        <f t="shared" si="31"/>
        <v>0</v>
      </c>
      <c r="K273" s="113">
        <f t="shared" si="29"/>
        <v>0</v>
      </c>
      <c r="L273" s="113">
        <v>0</v>
      </c>
      <c r="M273" s="113">
        <v>0</v>
      </c>
      <c r="N273" s="113">
        <v>0</v>
      </c>
      <c r="O273" s="113">
        <v>0</v>
      </c>
      <c r="P273" s="113">
        <v>0</v>
      </c>
    </row>
    <row r="274" spans="2:16" ht="13.9" customHeight="1" outlineLevel="1" x14ac:dyDescent="0.25">
      <c r="B274" s="138"/>
      <c r="C274" s="84" t="s">
        <v>51</v>
      </c>
      <c r="D274" s="85">
        <v>18</v>
      </c>
      <c r="E274" s="86">
        <v>20606045.5</v>
      </c>
      <c r="F274" s="142">
        <f t="shared" si="30"/>
        <v>7349681.25</v>
      </c>
      <c r="G274" s="113">
        <v>7192949.0800000001</v>
      </c>
      <c r="H274" s="86">
        <v>13413096.420000002</v>
      </c>
      <c r="I274" s="113">
        <v>156732.16999999998</v>
      </c>
      <c r="J274" s="114">
        <f t="shared" si="31"/>
        <v>13256364.250000002</v>
      </c>
      <c r="K274" s="113">
        <f t="shared" si="29"/>
        <v>2499731.6199999992</v>
      </c>
      <c r="L274" s="113">
        <v>10756632.630000003</v>
      </c>
      <c r="M274" s="113">
        <v>0</v>
      </c>
      <c r="N274" s="113">
        <v>0</v>
      </c>
      <c r="O274" s="113">
        <v>0</v>
      </c>
      <c r="P274" s="113">
        <v>0</v>
      </c>
    </row>
    <row r="275" spans="2:16" ht="13.9" customHeight="1" outlineLevel="1" x14ac:dyDescent="0.25">
      <c r="B275" s="138"/>
      <c r="C275" s="84" t="s">
        <v>52</v>
      </c>
      <c r="D275" s="85">
        <v>0</v>
      </c>
      <c r="E275" s="86">
        <v>0</v>
      </c>
      <c r="F275" s="142">
        <f t="shared" si="30"/>
        <v>0</v>
      </c>
      <c r="G275" s="113">
        <v>0</v>
      </c>
      <c r="H275" s="86">
        <v>0</v>
      </c>
      <c r="I275" s="113">
        <v>0</v>
      </c>
      <c r="J275" s="114">
        <f t="shared" si="31"/>
        <v>0</v>
      </c>
      <c r="K275" s="113">
        <f t="shared" si="29"/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</row>
    <row r="276" spans="2:16" ht="13.9" customHeight="1" outlineLevel="1" x14ac:dyDescent="0.25">
      <c r="B276" s="138"/>
      <c r="C276" s="84" t="s">
        <v>53</v>
      </c>
      <c r="D276" s="85">
        <v>0</v>
      </c>
      <c r="E276" s="86">
        <v>0</v>
      </c>
      <c r="F276" s="142">
        <f t="shared" si="30"/>
        <v>0</v>
      </c>
      <c r="G276" s="113">
        <v>0</v>
      </c>
      <c r="H276" s="86">
        <v>0</v>
      </c>
      <c r="I276" s="113">
        <v>0</v>
      </c>
      <c r="J276" s="114">
        <f t="shared" si="31"/>
        <v>0</v>
      </c>
      <c r="K276" s="113">
        <f t="shared" si="29"/>
        <v>0</v>
      </c>
      <c r="L276" s="113">
        <v>0</v>
      </c>
      <c r="M276" s="113">
        <v>0</v>
      </c>
      <c r="N276" s="113">
        <v>0</v>
      </c>
      <c r="O276" s="113">
        <v>0</v>
      </c>
      <c r="P276" s="113">
        <v>0</v>
      </c>
    </row>
    <row r="277" spans="2:16" ht="13.9" customHeight="1" outlineLevel="1" x14ac:dyDescent="0.25">
      <c r="B277" s="138"/>
      <c r="C277" s="84" t="s">
        <v>54</v>
      </c>
      <c r="D277" s="85">
        <v>1</v>
      </c>
      <c r="E277" s="86">
        <v>1676199</v>
      </c>
      <c r="F277" s="142">
        <f t="shared" si="30"/>
        <v>562740</v>
      </c>
      <c r="G277" s="113">
        <v>562740</v>
      </c>
      <c r="H277" s="86">
        <v>1113459</v>
      </c>
      <c r="I277" s="113">
        <v>0</v>
      </c>
      <c r="J277" s="114">
        <f t="shared" si="31"/>
        <v>1113459</v>
      </c>
      <c r="K277" s="113">
        <f t="shared" si="29"/>
        <v>0</v>
      </c>
      <c r="L277" s="113">
        <v>107739.6</v>
      </c>
      <c r="M277" s="113">
        <v>335239.8</v>
      </c>
      <c r="N277" s="113">
        <v>670479.6</v>
      </c>
      <c r="O277" s="113">
        <v>0</v>
      </c>
      <c r="P277" s="113">
        <v>0</v>
      </c>
    </row>
    <row r="278" spans="2:16" ht="13.9" customHeight="1" outlineLevel="1" x14ac:dyDescent="0.25">
      <c r="B278" s="138"/>
      <c r="C278" s="84" t="s">
        <v>55</v>
      </c>
      <c r="D278" s="85">
        <v>0</v>
      </c>
      <c r="E278" s="86">
        <v>0</v>
      </c>
      <c r="F278" s="142">
        <f>G278+I278</f>
        <v>0</v>
      </c>
      <c r="G278" s="113">
        <v>0</v>
      </c>
      <c r="H278" s="86">
        <v>0</v>
      </c>
      <c r="I278" s="113">
        <v>0</v>
      </c>
      <c r="J278" s="114">
        <f>H278-I278</f>
        <v>0</v>
      </c>
      <c r="K278" s="113">
        <f t="shared" si="29"/>
        <v>0</v>
      </c>
      <c r="L278" s="113">
        <v>0</v>
      </c>
      <c r="M278" s="113">
        <v>0</v>
      </c>
      <c r="N278" s="113">
        <v>0</v>
      </c>
      <c r="O278" s="113">
        <v>0</v>
      </c>
      <c r="P278" s="113">
        <v>0</v>
      </c>
    </row>
    <row r="279" spans="2:16" ht="13.9" customHeight="1" outlineLevel="1" x14ac:dyDescent="0.25">
      <c r="B279" s="138"/>
      <c r="C279" s="84" t="s">
        <v>56</v>
      </c>
      <c r="D279" s="85">
        <v>0</v>
      </c>
      <c r="E279" s="86">
        <v>0</v>
      </c>
      <c r="F279" s="142">
        <f>G279+I279</f>
        <v>0</v>
      </c>
      <c r="G279" s="113">
        <v>0</v>
      </c>
      <c r="H279" s="86">
        <v>0</v>
      </c>
      <c r="I279" s="113">
        <v>0</v>
      </c>
      <c r="J279" s="114">
        <f>H279-I279</f>
        <v>0</v>
      </c>
      <c r="K279" s="113">
        <f t="shared" si="29"/>
        <v>0</v>
      </c>
      <c r="L279" s="113">
        <v>0</v>
      </c>
      <c r="M279" s="113">
        <v>0</v>
      </c>
      <c r="N279" s="113">
        <v>0</v>
      </c>
      <c r="O279" s="113">
        <v>0</v>
      </c>
      <c r="P279" s="113">
        <v>0</v>
      </c>
    </row>
    <row r="280" spans="2:16" ht="13.9" customHeight="1" outlineLevel="1" x14ac:dyDescent="0.25">
      <c r="B280" s="138"/>
      <c r="C280" s="84" t="s">
        <v>57</v>
      </c>
      <c r="D280" s="85">
        <v>0</v>
      </c>
      <c r="E280" s="86">
        <v>0</v>
      </c>
      <c r="F280" s="142">
        <f>G280+I280</f>
        <v>0</v>
      </c>
      <c r="G280" s="113">
        <v>0</v>
      </c>
      <c r="H280" s="86">
        <v>0</v>
      </c>
      <c r="I280" s="113">
        <v>0</v>
      </c>
      <c r="J280" s="114">
        <f>H280-I280</f>
        <v>0</v>
      </c>
      <c r="K280" s="113">
        <f t="shared" si="29"/>
        <v>0</v>
      </c>
      <c r="L280" s="113">
        <v>0</v>
      </c>
      <c r="M280" s="113">
        <v>0</v>
      </c>
      <c r="N280" s="113">
        <v>0</v>
      </c>
      <c r="O280" s="113">
        <v>0</v>
      </c>
      <c r="P280" s="113">
        <v>0</v>
      </c>
    </row>
    <row r="281" spans="2:16" ht="13.9" customHeight="1" outlineLevel="1" x14ac:dyDescent="0.25">
      <c r="B281" s="138"/>
      <c r="C281" s="84" t="s">
        <v>58</v>
      </c>
      <c r="D281" s="85">
        <v>0</v>
      </c>
      <c r="E281" s="86">
        <v>0</v>
      </c>
      <c r="F281" s="142">
        <f>G281+I281</f>
        <v>0</v>
      </c>
      <c r="G281" s="113">
        <v>0</v>
      </c>
      <c r="H281" s="86">
        <v>0</v>
      </c>
      <c r="I281" s="113">
        <v>0</v>
      </c>
      <c r="J281" s="114">
        <f>H281-I281</f>
        <v>0</v>
      </c>
      <c r="K281" s="113">
        <f t="shared" si="29"/>
        <v>0</v>
      </c>
      <c r="L281" s="113">
        <v>0</v>
      </c>
      <c r="M281" s="113">
        <v>0</v>
      </c>
      <c r="N281" s="113">
        <v>0</v>
      </c>
      <c r="O281" s="113">
        <v>0</v>
      </c>
      <c r="P281" s="113">
        <v>0</v>
      </c>
    </row>
    <row r="282" spans="2:16" ht="13.9" customHeight="1" outlineLevel="1" x14ac:dyDescent="0.25">
      <c r="B282" s="138"/>
      <c r="C282" s="84" t="s">
        <v>59</v>
      </c>
      <c r="D282" s="85">
        <v>0</v>
      </c>
      <c r="E282" s="86">
        <v>0</v>
      </c>
      <c r="F282" s="142">
        <f t="shared" si="30"/>
        <v>0</v>
      </c>
      <c r="G282" s="113">
        <v>0</v>
      </c>
      <c r="H282" s="86">
        <v>0</v>
      </c>
      <c r="I282" s="113">
        <v>0</v>
      </c>
      <c r="J282" s="114">
        <f t="shared" si="31"/>
        <v>0</v>
      </c>
      <c r="K282" s="113">
        <f t="shared" si="29"/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</row>
    <row r="283" spans="2:16" ht="13.9" customHeight="1" outlineLevel="1" x14ac:dyDescent="0.25">
      <c r="B283" s="138"/>
      <c r="C283" s="84" t="s">
        <v>60</v>
      </c>
      <c r="D283" s="85">
        <v>0</v>
      </c>
      <c r="E283" s="86">
        <v>0</v>
      </c>
      <c r="F283" s="142">
        <f t="shared" si="30"/>
        <v>0</v>
      </c>
      <c r="G283" s="113">
        <v>0</v>
      </c>
      <c r="H283" s="86">
        <v>0</v>
      </c>
      <c r="I283" s="113">
        <v>0</v>
      </c>
      <c r="J283" s="114">
        <f t="shared" si="31"/>
        <v>0</v>
      </c>
      <c r="K283" s="113">
        <f t="shared" si="29"/>
        <v>0</v>
      </c>
      <c r="L283" s="113">
        <v>0</v>
      </c>
      <c r="M283" s="113">
        <v>0</v>
      </c>
      <c r="N283" s="113">
        <v>0</v>
      </c>
      <c r="O283" s="113">
        <v>0</v>
      </c>
      <c r="P283" s="113">
        <v>0</v>
      </c>
    </row>
    <row r="284" spans="2:16" ht="13.9" customHeight="1" outlineLevel="1" x14ac:dyDescent="0.25">
      <c r="B284" s="138"/>
      <c r="C284" s="84" t="s">
        <v>61</v>
      </c>
      <c r="D284" s="85">
        <v>0</v>
      </c>
      <c r="E284" s="86">
        <v>0</v>
      </c>
      <c r="F284" s="142">
        <f t="shared" si="30"/>
        <v>0</v>
      </c>
      <c r="G284" s="113">
        <v>0</v>
      </c>
      <c r="H284" s="86">
        <v>0</v>
      </c>
      <c r="I284" s="113">
        <v>0</v>
      </c>
      <c r="J284" s="114">
        <f t="shared" si="31"/>
        <v>0</v>
      </c>
      <c r="K284" s="113">
        <f t="shared" si="29"/>
        <v>0</v>
      </c>
      <c r="L284" s="113">
        <v>0</v>
      </c>
      <c r="M284" s="113">
        <v>0</v>
      </c>
      <c r="N284" s="113">
        <v>0</v>
      </c>
      <c r="O284" s="113">
        <v>0</v>
      </c>
      <c r="P284" s="113">
        <v>0</v>
      </c>
    </row>
    <row r="285" spans="2:16" ht="13.9" customHeight="1" outlineLevel="1" x14ac:dyDescent="0.25">
      <c r="B285" s="138"/>
      <c r="C285" s="84" t="s">
        <v>62</v>
      </c>
      <c r="D285" s="85">
        <v>0</v>
      </c>
      <c r="E285" s="86">
        <v>0</v>
      </c>
      <c r="F285" s="142">
        <f t="shared" si="30"/>
        <v>0</v>
      </c>
      <c r="G285" s="113">
        <v>0</v>
      </c>
      <c r="H285" s="86">
        <v>0</v>
      </c>
      <c r="I285" s="113">
        <v>0</v>
      </c>
      <c r="J285" s="114">
        <f t="shared" si="31"/>
        <v>0</v>
      </c>
      <c r="K285" s="113">
        <f t="shared" si="29"/>
        <v>0</v>
      </c>
      <c r="L285" s="113">
        <v>0</v>
      </c>
      <c r="M285" s="113">
        <v>0</v>
      </c>
      <c r="N285" s="113">
        <v>0</v>
      </c>
      <c r="O285" s="113">
        <v>0</v>
      </c>
      <c r="P285" s="113">
        <v>0</v>
      </c>
    </row>
    <row r="286" spans="2:16" ht="13.9" customHeight="1" outlineLevel="1" x14ac:dyDescent="0.25">
      <c r="B286" s="138"/>
      <c r="C286" s="84" t="s">
        <v>63</v>
      </c>
      <c r="D286" s="85">
        <v>0</v>
      </c>
      <c r="E286" s="86">
        <v>0</v>
      </c>
      <c r="F286" s="142">
        <f t="shared" si="30"/>
        <v>0</v>
      </c>
      <c r="G286" s="113">
        <v>0</v>
      </c>
      <c r="H286" s="86">
        <v>0</v>
      </c>
      <c r="I286" s="113">
        <v>0</v>
      </c>
      <c r="J286" s="114">
        <f t="shared" si="31"/>
        <v>0</v>
      </c>
      <c r="K286" s="113">
        <f t="shared" si="29"/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</row>
    <row r="287" spans="2:16" ht="13.9" customHeight="1" outlineLevel="1" x14ac:dyDescent="0.25">
      <c r="B287" s="138"/>
      <c r="C287" s="84" t="s">
        <v>64</v>
      </c>
      <c r="D287" s="85">
        <v>0</v>
      </c>
      <c r="E287" s="86">
        <v>0</v>
      </c>
      <c r="F287" s="142">
        <f t="shared" si="30"/>
        <v>0</v>
      </c>
      <c r="G287" s="113">
        <v>0</v>
      </c>
      <c r="H287" s="86">
        <v>0</v>
      </c>
      <c r="I287" s="113">
        <v>0</v>
      </c>
      <c r="J287" s="114">
        <f t="shared" si="31"/>
        <v>0</v>
      </c>
      <c r="K287" s="113">
        <f t="shared" si="29"/>
        <v>0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</row>
    <row r="288" spans="2:16" ht="13.9" customHeight="1" outlineLevel="1" x14ac:dyDescent="0.25">
      <c r="B288" s="138"/>
      <c r="C288" s="84" t="s">
        <v>65</v>
      </c>
      <c r="D288" s="85">
        <v>0</v>
      </c>
      <c r="E288" s="86">
        <v>0</v>
      </c>
      <c r="F288" s="142">
        <f t="shared" si="30"/>
        <v>0</v>
      </c>
      <c r="G288" s="113">
        <v>0</v>
      </c>
      <c r="H288" s="86">
        <v>0</v>
      </c>
      <c r="I288" s="113">
        <v>0</v>
      </c>
      <c r="J288" s="114">
        <f t="shared" si="31"/>
        <v>0</v>
      </c>
      <c r="K288" s="113">
        <f t="shared" si="29"/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</row>
    <row r="289" spans="2:16" ht="13.9" customHeight="1" outlineLevel="1" x14ac:dyDescent="0.25">
      <c r="B289" s="138"/>
      <c r="C289" s="84" t="s">
        <v>66</v>
      </c>
      <c r="D289" s="85">
        <v>0</v>
      </c>
      <c r="E289" s="86">
        <v>0</v>
      </c>
      <c r="F289" s="142">
        <f t="shared" si="30"/>
        <v>0</v>
      </c>
      <c r="G289" s="113">
        <v>0</v>
      </c>
      <c r="H289" s="86">
        <v>0</v>
      </c>
      <c r="I289" s="113">
        <v>0</v>
      </c>
      <c r="J289" s="114">
        <f t="shared" si="31"/>
        <v>0</v>
      </c>
      <c r="K289" s="113">
        <f t="shared" si="29"/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</row>
    <row r="290" spans="2:16" ht="13.9" customHeight="1" outlineLevel="1" x14ac:dyDescent="0.25">
      <c r="B290" s="138"/>
      <c r="C290" s="84" t="s">
        <v>67</v>
      </c>
      <c r="D290" s="85">
        <v>0</v>
      </c>
      <c r="E290" s="86">
        <v>0</v>
      </c>
      <c r="F290" s="142">
        <f t="shared" si="30"/>
        <v>0</v>
      </c>
      <c r="G290" s="113">
        <v>0</v>
      </c>
      <c r="H290" s="86">
        <v>0</v>
      </c>
      <c r="I290" s="113">
        <v>0</v>
      </c>
      <c r="J290" s="114">
        <f t="shared" si="31"/>
        <v>0</v>
      </c>
      <c r="K290" s="113">
        <f t="shared" si="29"/>
        <v>0</v>
      </c>
      <c r="L290" s="113">
        <v>0</v>
      </c>
      <c r="M290" s="113">
        <v>0</v>
      </c>
      <c r="N290" s="113">
        <v>0</v>
      </c>
      <c r="O290" s="113">
        <v>0</v>
      </c>
      <c r="P290" s="113">
        <v>0</v>
      </c>
    </row>
    <row r="291" spans="2:16" ht="13.9" customHeight="1" x14ac:dyDescent="0.25">
      <c r="B291" s="139"/>
      <c r="C291" s="78" t="s">
        <v>103</v>
      </c>
      <c r="D291" s="90">
        <f t="shared" ref="D291:P291" si="32">SUM(D254:D290)</f>
        <v>49</v>
      </c>
      <c r="E291" s="91">
        <f t="shared" si="32"/>
        <v>63884334.269999996</v>
      </c>
      <c r="F291" s="92">
        <f t="shared" si="32"/>
        <v>22178030.32</v>
      </c>
      <c r="G291" s="93">
        <f t="shared" si="32"/>
        <v>21261142.189999998</v>
      </c>
      <c r="H291" s="90">
        <f t="shared" si="32"/>
        <v>42623192.079999998</v>
      </c>
      <c r="I291" s="91">
        <f t="shared" si="32"/>
        <v>916888.12999999989</v>
      </c>
      <c r="J291" s="92">
        <f t="shared" si="32"/>
        <v>41706303.950000003</v>
      </c>
      <c r="K291" s="93">
        <f t="shared" si="32"/>
        <v>8808098.0199999977</v>
      </c>
      <c r="L291" s="90">
        <f t="shared" si="32"/>
        <v>23007340.800000004</v>
      </c>
      <c r="M291" s="91">
        <f t="shared" si="32"/>
        <v>4607124.01</v>
      </c>
      <c r="N291" s="90">
        <f t="shared" si="32"/>
        <v>5283741.1199999992</v>
      </c>
      <c r="O291" s="91">
        <f t="shared" si="32"/>
        <v>0</v>
      </c>
      <c r="P291" s="91">
        <f t="shared" si="32"/>
        <v>0</v>
      </c>
    </row>
    <row r="292" spans="2:16" ht="13.9" customHeight="1" outlineLevel="1" x14ac:dyDescent="0.25">
      <c r="B292" s="137" t="s">
        <v>83</v>
      </c>
      <c r="C292" s="84" t="s">
        <v>70</v>
      </c>
      <c r="D292" s="85">
        <v>17</v>
      </c>
      <c r="E292" s="86">
        <v>24456035.720000003</v>
      </c>
      <c r="F292" s="142">
        <f t="shared" si="30"/>
        <v>10290494.18</v>
      </c>
      <c r="G292" s="113">
        <v>8301233.7700000005</v>
      </c>
      <c r="H292" s="86">
        <v>16154801.949999997</v>
      </c>
      <c r="I292" s="113">
        <v>1989260.4100000001</v>
      </c>
      <c r="J292" s="114">
        <f t="shared" si="31"/>
        <v>14165541.539999997</v>
      </c>
      <c r="K292" s="113">
        <f t="shared" si="29"/>
        <v>2971005.5499999989</v>
      </c>
      <c r="L292" s="113">
        <v>5600249.8999999985</v>
      </c>
      <c r="M292" s="113">
        <v>4452660.41</v>
      </c>
      <c r="N292" s="113">
        <v>1141625.6800000002</v>
      </c>
      <c r="O292" s="113">
        <v>0</v>
      </c>
      <c r="P292" s="113">
        <v>0</v>
      </c>
    </row>
    <row r="293" spans="2:16" ht="13.9" customHeight="1" outlineLevel="1" x14ac:dyDescent="0.25">
      <c r="B293" s="138"/>
      <c r="C293" s="84" t="s">
        <v>71</v>
      </c>
      <c r="D293" s="85">
        <v>0</v>
      </c>
      <c r="E293" s="86">
        <v>0</v>
      </c>
      <c r="F293" s="142">
        <f t="shared" si="30"/>
        <v>0</v>
      </c>
      <c r="G293" s="113">
        <v>0</v>
      </c>
      <c r="H293" s="86">
        <v>0</v>
      </c>
      <c r="I293" s="113">
        <v>0</v>
      </c>
      <c r="J293" s="114">
        <f t="shared" si="31"/>
        <v>0</v>
      </c>
      <c r="K293" s="113">
        <f t="shared" si="29"/>
        <v>0</v>
      </c>
      <c r="L293" s="113">
        <v>0</v>
      </c>
      <c r="M293" s="113">
        <v>0</v>
      </c>
      <c r="N293" s="113">
        <v>0</v>
      </c>
      <c r="O293" s="113">
        <v>0</v>
      </c>
      <c r="P293" s="113">
        <v>0</v>
      </c>
    </row>
    <row r="294" spans="2:16" ht="13.9" customHeight="1" outlineLevel="1" x14ac:dyDescent="0.25">
      <c r="B294" s="138"/>
      <c r="C294" s="84" t="s">
        <v>72</v>
      </c>
      <c r="D294" s="85">
        <v>14</v>
      </c>
      <c r="E294" s="86">
        <v>20087131.559999999</v>
      </c>
      <c r="F294" s="142">
        <f t="shared" si="30"/>
        <v>7075910.0699999984</v>
      </c>
      <c r="G294" s="113">
        <v>7075034.7199999988</v>
      </c>
      <c r="H294" s="86">
        <v>13012096.84</v>
      </c>
      <c r="I294" s="113">
        <v>875.35</v>
      </c>
      <c r="J294" s="114">
        <f t="shared" si="31"/>
        <v>13011221.49</v>
      </c>
      <c r="K294" s="113">
        <f t="shared" si="29"/>
        <v>2193847.16</v>
      </c>
      <c r="L294" s="113">
        <v>2278759.4</v>
      </c>
      <c r="M294" s="113">
        <v>503762.29</v>
      </c>
      <c r="N294" s="113">
        <v>8034852.6400000006</v>
      </c>
      <c r="O294" s="113">
        <v>0</v>
      </c>
      <c r="P294" s="113">
        <v>0</v>
      </c>
    </row>
    <row r="295" spans="2:16" ht="13.9" customHeight="1" x14ac:dyDescent="0.25">
      <c r="B295" s="139"/>
      <c r="C295" s="78" t="s">
        <v>104</v>
      </c>
      <c r="D295" s="90">
        <f t="shared" ref="D295:P295" si="33">SUM(D292:D294)</f>
        <v>31</v>
      </c>
      <c r="E295" s="91">
        <f t="shared" si="33"/>
        <v>44543167.280000001</v>
      </c>
      <c r="F295" s="92">
        <f t="shared" si="33"/>
        <v>17366404.25</v>
      </c>
      <c r="G295" s="93">
        <f t="shared" si="33"/>
        <v>15376268.489999998</v>
      </c>
      <c r="H295" s="90">
        <f t="shared" si="33"/>
        <v>29166898.789999999</v>
      </c>
      <c r="I295" s="91">
        <f t="shared" si="33"/>
        <v>1990135.7600000002</v>
      </c>
      <c r="J295" s="92">
        <f t="shared" si="33"/>
        <v>27176763.029999997</v>
      </c>
      <c r="K295" s="93">
        <f t="shared" si="33"/>
        <v>5164852.709999999</v>
      </c>
      <c r="L295" s="90">
        <f t="shared" si="33"/>
        <v>7879009.2999999989</v>
      </c>
      <c r="M295" s="91">
        <f t="shared" si="33"/>
        <v>4956422.7</v>
      </c>
      <c r="N295" s="90">
        <f t="shared" si="33"/>
        <v>9176478.3200000003</v>
      </c>
      <c r="O295" s="91">
        <f t="shared" si="33"/>
        <v>0</v>
      </c>
      <c r="P295" s="91">
        <f t="shared" si="33"/>
        <v>0</v>
      </c>
    </row>
    <row r="296" spans="2:16" ht="13.9" customHeight="1" outlineLevel="1" x14ac:dyDescent="0.25">
      <c r="B296" s="137" t="s">
        <v>105</v>
      </c>
      <c r="C296" s="84" t="s">
        <v>75</v>
      </c>
      <c r="D296" s="85">
        <v>0</v>
      </c>
      <c r="E296" s="86">
        <v>0</v>
      </c>
      <c r="F296" s="142">
        <f t="shared" si="30"/>
        <v>0</v>
      </c>
      <c r="G296" s="113">
        <v>0</v>
      </c>
      <c r="H296" s="86">
        <v>0</v>
      </c>
      <c r="I296" s="113">
        <v>0</v>
      </c>
      <c r="J296" s="114">
        <f t="shared" si="31"/>
        <v>0</v>
      </c>
      <c r="K296" s="113">
        <f t="shared" si="29"/>
        <v>0</v>
      </c>
      <c r="L296" s="113">
        <v>0</v>
      </c>
      <c r="M296" s="113">
        <v>0</v>
      </c>
      <c r="N296" s="113">
        <v>0</v>
      </c>
      <c r="O296" s="113">
        <v>0</v>
      </c>
      <c r="P296" s="113">
        <v>0</v>
      </c>
    </row>
    <row r="297" spans="2:16" ht="13.9" customHeight="1" outlineLevel="1" x14ac:dyDescent="0.25">
      <c r="B297" s="138"/>
      <c r="C297" s="84" t="s">
        <v>76</v>
      </c>
      <c r="D297" s="85">
        <v>12</v>
      </c>
      <c r="E297" s="86">
        <v>15136970.9</v>
      </c>
      <c r="F297" s="142">
        <f>G297+I297</f>
        <v>4559663.68</v>
      </c>
      <c r="G297" s="113">
        <v>4559663.68</v>
      </c>
      <c r="H297" s="86">
        <v>10577307.219999999</v>
      </c>
      <c r="I297" s="113">
        <v>0</v>
      </c>
      <c r="J297" s="114">
        <f>H297-I297</f>
        <v>10577307.219999999</v>
      </c>
      <c r="K297" s="113">
        <f t="shared" si="29"/>
        <v>2612592.42</v>
      </c>
      <c r="L297" s="113">
        <v>1751483.5899999999</v>
      </c>
      <c r="M297" s="113">
        <v>6213231.209999999</v>
      </c>
      <c r="N297" s="113">
        <v>0</v>
      </c>
      <c r="O297" s="113">
        <v>0</v>
      </c>
      <c r="P297" s="113">
        <v>0</v>
      </c>
    </row>
    <row r="298" spans="2:16" ht="13.9" customHeight="1" x14ac:dyDescent="0.25">
      <c r="B298" s="139"/>
      <c r="C298" s="78" t="s">
        <v>106</v>
      </c>
      <c r="D298" s="90">
        <f t="shared" ref="D298:P298" si="34">SUM(D296:D297)</f>
        <v>12</v>
      </c>
      <c r="E298" s="91">
        <f t="shared" si="34"/>
        <v>15136970.9</v>
      </c>
      <c r="F298" s="92">
        <f t="shared" si="34"/>
        <v>4559663.68</v>
      </c>
      <c r="G298" s="93">
        <f t="shared" si="34"/>
        <v>4559663.68</v>
      </c>
      <c r="H298" s="90">
        <f t="shared" si="34"/>
        <v>10577307.219999999</v>
      </c>
      <c r="I298" s="91">
        <f t="shared" si="34"/>
        <v>0</v>
      </c>
      <c r="J298" s="92">
        <f t="shared" si="34"/>
        <v>10577307.219999999</v>
      </c>
      <c r="K298" s="93">
        <f t="shared" si="34"/>
        <v>2612592.42</v>
      </c>
      <c r="L298" s="90">
        <f t="shared" si="34"/>
        <v>1751483.5899999999</v>
      </c>
      <c r="M298" s="91">
        <f t="shared" si="34"/>
        <v>6213231.209999999</v>
      </c>
      <c r="N298" s="90">
        <f t="shared" si="34"/>
        <v>0</v>
      </c>
      <c r="O298" s="91">
        <f t="shared" si="34"/>
        <v>0</v>
      </c>
      <c r="P298" s="91">
        <f t="shared" si="34"/>
        <v>0</v>
      </c>
    </row>
    <row r="299" spans="2:16" ht="13.9" customHeight="1" x14ac:dyDescent="0.25">
      <c r="B299" s="140" t="s">
        <v>78</v>
      </c>
      <c r="C299" s="141"/>
      <c r="D299" s="90">
        <f t="shared" ref="D299:P299" si="35">D291+D295+D298</f>
        <v>92</v>
      </c>
      <c r="E299" s="91">
        <f t="shared" si="35"/>
        <v>123564472.45</v>
      </c>
      <c r="F299" s="92">
        <f t="shared" si="35"/>
        <v>44104098.25</v>
      </c>
      <c r="G299" s="93">
        <f t="shared" si="35"/>
        <v>41197074.359999992</v>
      </c>
      <c r="H299" s="90">
        <f t="shared" si="35"/>
        <v>82367398.090000004</v>
      </c>
      <c r="I299" s="91">
        <f t="shared" si="35"/>
        <v>2907023.89</v>
      </c>
      <c r="J299" s="92">
        <f t="shared" si="35"/>
        <v>79460374.200000003</v>
      </c>
      <c r="K299" s="93">
        <f t="shared" si="35"/>
        <v>16585543.149999997</v>
      </c>
      <c r="L299" s="90">
        <f t="shared" si="35"/>
        <v>32637833.690000001</v>
      </c>
      <c r="M299" s="91">
        <f t="shared" si="35"/>
        <v>15776777.92</v>
      </c>
      <c r="N299" s="90">
        <f t="shared" si="35"/>
        <v>14460219.439999999</v>
      </c>
      <c r="O299" s="91">
        <f t="shared" si="35"/>
        <v>0</v>
      </c>
      <c r="P299" s="91">
        <f t="shared" si="35"/>
        <v>0</v>
      </c>
    </row>
    <row r="300" spans="2:16" ht="13.9" customHeight="1" x14ac:dyDescent="0.25"/>
    <row r="301" spans="2:16" ht="13.9" customHeight="1" x14ac:dyDescent="0.25">
      <c r="B301" s="107" t="s">
        <v>91</v>
      </c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</row>
    <row r="302" spans="2:16" ht="13.9" customHeight="1" x14ac:dyDescent="0.25">
      <c r="B302" s="136" t="s">
        <v>26</v>
      </c>
      <c r="C302" s="108" t="s">
        <v>27</v>
      </c>
      <c r="D302" s="109" t="s">
        <v>28</v>
      </c>
      <c r="E302" s="110" t="s">
        <v>29</v>
      </c>
      <c r="F302" s="111" t="s">
        <v>85</v>
      </c>
      <c r="G302" s="112" t="s">
        <v>81</v>
      </c>
      <c r="H302" s="110" t="s">
        <v>82</v>
      </c>
      <c r="I302" s="112" t="s">
        <v>86</v>
      </c>
      <c r="J302" s="110" t="s">
        <v>87</v>
      </c>
      <c r="K302" s="112">
        <v>2026</v>
      </c>
      <c r="L302" s="112">
        <v>2027</v>
      </c>
      <c r="M302" s="110">
        <v>2028</v>
      </c>
      <c r="N302" s="112">
        <v>2029</v>
      </c>
      <c r="O302" s="110">
        <v>2030</v>
      </c>
      <c r="P302" s="112">
        <v>2031</v>
      </c>
    </row>
    <row r="303" spans="2:16" ht="13.9" customHeight="1" outlineLevel="1" x14ac:dyDescent="0.25">
      <c r="B303" s="137" t="s">
        <v>30</v>
      </c>
      <c r="C303" s="84" t="s">
        <v>31</v>
      </c>
      <c r="D303" s="85">
        <v>8</v>
      </c>
      <c r="E303" s="86">
        <v>12773726.59</v>
      </c>
      <c r="F303" s="142">
        <f>G303+I303</f>
        <v>7664236.0199999996</v>
      </c>
      <c r="G303" s="113">
        <v>7561697.4199999999</v>
      </c>
      <c r="H303" s="86">
        <v>5212029.17</v>
      </c>
      <c r="I303" s="113">
        <v>102538.59999999999</v>
      </c>
      <c r="J303" s="114">
        <f>H303-I303</f>
        <v>5109490.57</v>
      </c>
      <c r="K303" s="113">
        <f>MAX(J303-SUM(L303:P303),0)</f>
        <v>5109490.57</v>
      </c>
      <c r="L303" s="113">
        <v>0</v>
      </c>
      <c r="M303" s="113">
        <v>0</v>
      </c>
      <c r="N303" s="113">
        <v>0</v>
      </c>
      <c r="O303" s="113">
        <v>0</v>
      </c>
      <c r="P303" s="113">
        <v>0</v>
      </c>
    </row>
    <row r="304" spans="2:16" ht="13.9" customHeight="1" outlineLevel="1" x14ac:dyDescent="0.25">
      <c r="B304" s="138"/>
      <c r="C304" s="84" t="s">
        <v>32</v>
      </c>
      <c r="D304" s="85">
        <v>0</v>
      </c>
      <c r="E304" s="86">
        <v>0</v>
      </c>
      <c r="F304" s="142">
        <f t="shared" ref="F304:F339" si="36">G304+I304</f>
        <v>0</v>
      </c>
      <c r="G304" s="113">
        <v>0</v>
      </c>
      <c r="H304" s="86">
        <v>0</v>
      </c>
      <c r="I304" s="113">
        <v>0</v>
      </c>
      <c r="J304" s="114">
        <f t="shared" ref="J304:J339" si="37">H304-I304</f>
        <v>0</v>
      </c>
      <c r="K304" s="113">
        <f t="shared" ref="K304:K339" si="38">MAX(J304-SUM(L304:P304),0)</f>
        <v>0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</row>
    <row r="305" spans="2:16" ht="13.9" customHeight="1" outlineLevel="1" x14ac:dyDescent="0.25">
      <c r="B305" s="138"/>
      <c r="C305" s="84" t="s">
        <v>33</v>
      </c>
      <c r="D305" s="85">
        <v>0</v>
      </c>
      <c r="E305" s="86">
        <v>0</v>
      </c>
      <c r="F305" s="142">
        <f t="shared" si="36"/>
        <v>0</v>
      </c>
      <c r="G305" s="113">
        <v>0</v>
      </c>
      <c r="H305" s="86">
        <v>0</v>
      </c>
      <c r="I305" s="113">
        <v>0</v>
      </c>
      <c r="J305" s="114">
        <f t="shared" si="37"/>
        <v>0</v>
      </c>
      <c r="K305" s="113">
        <f t="shared" si="38"/>
        <v>0</v>
      </c>
      <c r="L305" s="113">
        <v>0</v>
      </c>
      <c r="M305" s="113">
        <v>0</v>
      </c>
      <c r="N305" s="113">
        <v>0</v>
      </c>
      <c r="O305" s="113">
        <v>0</v>
      </c>
      <c r="P305" s="113">
        <v>0</v>
      </c>
    </row>
    <row r="306" spans="2:16" ht="13.9" customHeight="1" outlineLevel="1" x14ac:dyDescent="0.25">
      <c r="B306" s="138"/>
      <c r="C306" s="84" t="s">
        <v>34</v>
      </c>
      <c r="D306" s="85">
        <v>4</v>
      </c>
      <c r="E306" s="86">
        <v>6678019.75</v>
      </c>
      <c r="F306" s="142">
        <f t="shared" si="36"/>
        <v>4006811.88</v>
      </c>
      <c r="G306" s="113">
        <v>3695486.92</v>
      </c>
      <c r="H306" s="86">
        <v>2982532.83</v>
      </c>
      <c r="I306" s="113">
        <v>311324.95999999996</v>
      </c>
      <c r="J306" s="114">
        <f t="shared" si="37"/>
        <v>2671207.87</v>
      </c>
      <c r="K306" s="113">
        <f t="shared" si="38"/>
        <v>667801.93000000017</v>
      </c>
      <c r="L306" s="113">
        <v>1335603.96</v>
      </c>
      <c r="M306" s="113">
        <v>667801.98</v>
      </c>
      <c r="N306" s="113">
        <v>0</v>
      </c>
      <c r="O306" s="113">
        <v>0</v>
      </c>
      <c r="P306" s="113">
        <v>0</v>
      </c>
    </row>
    <row r="307" spans="2:16" ht="13.9" customHeight="1" outlineLevel="1" x14ac:dyDescent="0.25">
      <c r="B307" s="138"/>
      <c r="C307" s="84" t="s">
        <v>35</v>
      </c>
      <c r="D307" s="85">
        <v>2</v>
      </c>
      <c r="E307" s="86">
        <v>2131696</v>
      </c>
      <c r="F307" s="142">
        <f t="shared" si="36"/>
        <v>1279017.5999999999</v>
      </c>
      <c r="G307" s="113">
        <v>1279017.2</v>
      </c>
      <c r="H307" s="86">
        <v>852678.8</v>
      </c>
      <c r="I307" s="113">
        <v>0.4</v>
      </c>
      <c r="J307" s="114">
        <f t="shared" si="37"/>
        <v>852678.4</v>
      </c>
      <c r="K307" s="113">
        <f t="shared" si="38"/>
        <v>426339.2</v>
      </c>
      <c r="L307" s="113">
        <v>426339.2</v>
      </c>
      <c r="M307" s="113">
        <v>0</v>
      </c>
      <c r="N307" s="113">
        <v>0</v>
      </c>
      <c r="O307" s="113">
        <v>0</v>
      </c>
      <c r="P307" s="113">
        <v>0</v>
      </c>
    </row>
    <row r="308" spans="2:16" ht="13.9" customHeight="1" outlineLevel="1" x14ac:dyDescent="0.25">
      <c r="B308" s="138"/>
      <c r="C308" s="84" t="s">
        <v>36</v>
      </c>
      <c r="D308" s="85">
        <v>0</v>
      </c>
      <c r="E308" s="86">
        <v>0</v>
      </c>
      <c r="F308" s="142">
        <f t="shared" si="36"/>
        <v>0</v>
      </c>
      <c r="G308" s="113">
        <v>0</v>
      </c>
      <c r="H308" s="86">
        <v>0</v>
      </c>
      <c r="I308" s="113">
        <v>0</v>
      </c>
      <c r="J308" s="114">
        <f t="shared" si="37"/>
        <v>0</v>
      </c>
      <c r="K308" s="113">
        <f t="shared" si="38"/>
        <v>0</v>
      </c>
      <c r="L308" s="113">
        <v>0</v>
      </c>
      <c r="M308" s="113">
        <v>0</v>
      </c>
      <c r="N308" s="113">
        <v>0</v>
      </c>
      <c r="O308" s="113">
        <v>0</v>
      </c>
      <c r="P308" s="113">
        <v>0</v>
      </c>
    </row>
    <row r="309" spans="2:16" ht="13.9" customHeight="1" outlineLevel="1" x14ac:dyDescent="0.25">
      <c r="B309" s="138"/>
      <c r="C309" s="84" t="s">
        <v>37</v>
      </c>
      <c r="D309" s="85">
        <v>0</v>
      </c>
      <c r="E309" s="86">
        <v>0</v>
      </c>
      <c r="F309" s="142">
        <f t="shared" si="36"/>
        <v>0</v>
      </c>
      <c r="G309" s="113">
        <v>0</v>
      </c>
      <c r="H309" s="86">
        <v>0</v>
      </c>
      <c r="I309" s="113">
        <v>0</v>
      </c>
      <c r="J309" s="114">
        <f t="shared" si="37"/>
        <v>0</v>
      </c>
      <c r="K309" s="113">
        <f t="shared" si="38"/>
        <v>0</v>
      </c>
      <c r="L309" s="113">
        <v>0</v>
      </c>
      <c r="M309" s="113">
        <v>0</v>
      </c>
      <c r="N309" s="113">
        <v>0</v>
      </c>
      <c r="O309" s="113">
        <v>0</v>
      </c>
      <c r="P309" s="113">
        <v>0</v>
      </c>
    </row>
    <row r="310" spans="2:16" ht="13.9" customHeight="1" outlineLevel="1" x14ac:dyDescent="0.25">
      <c r="B310" s="138"/>
      <c r="C310" s="84" t="s">
        <v>38</v>
      </c>
      <c r="D310" s="85">
        <v>0</v>
      </c>
      <c r="E310" s="86">
        <v>0</v>
      </c>
      <c r="F310" s="142">
        <f t="shared" si="36"/>
        <v>0</v>
      </c>
      <c r="G310" s="113">
        <v>0</v>
      </c>
      <c r="H310" s="86">
        <v>0</v>
      </c>
      <c r="I310" s="113">
        <v>0</v>
      </c>
      <c r="J310" s="114">
        <f t="shared" si="37"/>
        <v>0</v>
      </c>
      <c r="K310" s="113">
        <f t="shared" si="38"/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</row>
    <row r="311" spans="2:16" ht="13.9" customHeight="1" outlineLevel="1" x14ac:dyDescent="0.25">
      <c r="B311" s="138"/>
      <c r="C311" s="84" t="s">
        <v>39</v>
      </c>
      <c r="D311" s="85">
        <v>0</v>
      </c>
      <c r="E311" s="86">
        <v>0</v>
      </c>
      <c r="F311" s="142">
        <f t="shared" si="36"/>
        <v>0</v>
      </c>
      <c r="G311" s="113">
        <v>0</v>
      </c>
      <c r="H311" s="86">
        <v>0</v>
      </c>
      <c r="I311" s="113">
        <v>0</v>
      </c>
      <c r="J311" s="114">
        <f t="shared" si="37"/>
        <v>0</v>
      </c>
      <c r="K311" s="113">
        <f t="shared" si="38"/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</row>
    <row r="312" spans="2:16" ht="13.9" customHeight="1" outlineLevel="1" x14ac:dyDescent="0.25">
      <c r="B312" s="138"/>
      <c r="C312" s="84" t="s">
        <v>40</v>
      </c>
      <c r="D312" s="85">
        <v>0</v>
      </c>
      <c r="E312" s="86">
        <v>0</v>
      </c>
      <c r="F312" s="142">
        <f t="shared" si="36"/>
        <v>0</v>
      </c>
      <c r="G312" s="113">
        <v>0</v>
      </c>
      <c r="H312" s="86">
        <v>0</v>
      </c>
      <c r="I312" s="113">
        <v>0</v>
      </c>
      <c r="J312" s="114">
        <f t="shared" si="37"/>
        <v>0</v>
      </c>
      <c r="K312" s="113">
        <f t="shared" si="38"/>
        <v>0</v>
      </c>
      <c r="L312" s="113">
        <v>0</v>
      </c>
      <c r="M312" s="113">
        <v>0</v>
      </c>
      <c r="N312" s="113">
        <v>0</v>
      </c>
      <c r="O312" s="113">
        <v>0</v>
      </c>
      <c r="P312" s="113">
        <v>0</v>
      </c>
    </row>
    <row r="313" spans="2:16" ht="13.9" customHeight="1" outlineLevel="1" x14ac:dyDescent="0.25">
      <c r="B313" s="138"/>
      <c r="C313" s="84" t="s">
        <v>41</v>
      </c>
      <c r="D313" s="85">
        <v>0</v>
      </c>
      <c r="E313" s="86">
        <v>0</v>
      </c>
      <c r="F313" s="142">
        <f t="shared" si="36"/>
        <v>0</v>
      </c>
      <c r="G313" s="113">
        <v>0</v>
      </c>
      <c r="H313" s="86">
        <v>0</v>
      </c>
      <c r="I313" s="113">
        <v>0</v>
      </c>
      <c r="J313" s="114">
        <f t="shared" si="37"/>
        <v>0</v>
      </c>
      <c r="K313" s="113">
        <f t="shared" si="38"/>
        <v>0</v>
      </c>
      <c r="L313" s="113">
        <v>0</v>
      </c>
      <c r="M313" s="113">
        <v>0</v>
      </c>
      <c r="N313" s="113">
        <v>0</v>
      </c>
      <c r="O313" s="113">
        <v>0</v>
      </c>
      <c r="P313" s="113">
        <v>0</v>
      </c>
    </row>
    <row r="314" spans="2:16" ht="13.9" customHeight="1" outlineLevel="1" x14ac:dyDescent="0.25">
      <c r="B314" s="138"/>
      <c r="C314" s="84" t="s">
        <v>42</v>
      </c>
      <c r="D314" s="85">
        <v>18</v>
      </c>
      <c r="E314" s="86">
        <v>32458635.050000001</v>
      </c>
      <c r="F314" s="142">
        <f t="shared" si="36"/>
        <v>16582326.120000001</v>
      </c>
      <c r="G314" s="113">
        <v>15709429.65</v>
      </c>
      <c r="H314" s="86">
        <v>16749205.4</v>
      </c>
      <c r="I314" s="113">
        <v>872896.46999999986</v>
      </c>
      <c r="J314" s="114">
        <f t="shared" si="37"/>
        <v>15876308.93</v>
      </c>
      <c r="K314" s="113">
        <f t="shared" si="38"/>
        <v>3142675.3200000003</v>
      </c>
      <c r="L314" s="113">
        <v>12733633.609999999</v>
      </c>
      <c r="M314" s="113">
        <v>0</v>
      </c>
      <c r="N314" s="113">
        <v>0</v>
      </c>
      <c r="O314" s="113">
        <v>0</v>
      </c>
      <c r="P314" s="113">
        <v>0</v>
      </c>
    </row>
    <row r="315" spans="2:16" ht="13.9" customHeight="1" outlineLevel="1" x14ac:dyDescent="0.25">
      <c r="B315" s="138"/>
      <c r="C315" s="84" t="s">
        <v>43</v>
      </c>
      <c r="D315" s="85">
        <v>0</v>
      </c>
      <c r="E315" s="86">
        <v>0</v>
      </c>
      <c r="F315" s="142">
        <f t="shared" si="36"/>
        <v>0</v>
      </c>
      <c r="G315" s="113">
        <v>0</v>
      </c>
      <c r="H315" s="86">
        <v>0</v>
      </c>
      <c r="I315" s="113">
        <v>0</v>
      </c>
      <c r="J315" s="114">
        <f t="shared" si="37"/>
        <v>0</v>
      </c>
      <c r="K315" s="113">
        <f t="shared" si="38"/>
        <v>0</v>
      </c>
      <c r="L315" s="113">
        <v>0</v>
      </c>
      <c r="M315" s="113">
        <v>0</v>
      </c>
      <c r="N315" s="113">
        <v>0</v>
      </c>
      <c r="O315" s="113">
        <v>0</v>
      </c>
      <c r="P315" s="113">
        <v>0</v>
      </c>
    </row>
    <row r="316" spans="2:16" ht="13.9" customHeight="1" outlineLevel="1" x14ac:dyDescent="0.25">
      <c r="B316" s="138"/>
      <c r="C316" s="84" t="s">
        <v>44</v>
      </c>
      <c r="D316" s="85">
        <v>0</v>
      </c>
      <c r="E316" s="86">
        <v>0</v>
      </c>
      <c r="F316" s="142">
        <f t="shared" si="36"/>
        <v>0</v>
      </c>
      <c r="G316" s="113">
        <v>0</v>
      </c>
      <c r="H316" s="86">
        <v>0</v>
      </c>
      <c r="I316" s="113">
        <v>0</v>
      </c>
      <c r="J316" s="114">
        <f t="shared" si="37"/>
        <v>0</v>
      </c>
      <c r="K316" s="113">
        <f t="shared" si="38"/>
        <v>0</v>
      </c>
      <c r="L316" s="113">
        <v>0</v>
      </c>
      <c r="M316" s="113">
        <v>0</v>
      </c>
      <c r="N316" s="113">
        <v>0</v>
      </c>
      <c r="O316" s="113">
        <v>0</v>
      </c>
      <c r="P316" s="113">
        <v>0</v>
      </c>
    </row>
    <row r="317" spans="2:16" ht="13.9" customHeight="1" outlineLevel="1" x14ac:dyDescent="0.25">
      <c r="B317" s="138"/>
      <c r="C317" s="84" t="s">
        <v>45</v>
      </c>
      <c r="D317" s="85">
        <v>1</v>
      </c>
      <c r="E317" s="86">
        <v>2379650.2999999998</v>
      </c>
      <c r="F317" s="142">
        <f t="shared" si="36"/>
        <v>1412043.97</v>
      </c>
      <c r="G317" s="113">
        <v>1412043.97</v>
      </c>
      <c r="H317" s="86">
        <v>967606.32999999984</v>
      </c>
      <c r="I317" s="113">
        <v>0</v>
      </c>
      <c r="J317" s="114">
        <f t="shared" si="37"/>
        <v>967606.32999999984</v>
      </c>
      <c r="K317" s="113">
        <f t="shared" si="38"/>
        <v>0</v>
      </c>
      <c r="L317" s="113">
        <v>0</v>
      </c>
      <c r="M317" s="113">
        <v>15746.21</v>
      </c>
      <c r="N317" s="113">
        <v>951860.12</v>
      </c>
      <c r="O317" s="113">
        <v>0</v>
      </c>
      <c r="P317" s="113">
        <v>0</v>
      </c>
    </row>
    <row r="318" spans="2:16" ht="13.9" customHeight="1" outlineLevel="1" x14ac:dyDescent="0.25">
      <c r="B318" s="138"/>
      <c r="C318" s="84" t="s">
        <v>46</v>
      </c>
      <c r="D318" s="85">
        <v>0</v>
      </c>
      <c r="E318" s="86">
        <v>0</v>
      </c>
      <c r="F318" s="142">
        <f t="shared" si="36"/>
        <v>0</v>
      </c>
      <c r="G318" s="113">
        <v>0</v>
      </c>
      <c r="H318" s="86">
        <v>0</v>
      </c>
      <c r="I318" s="113">
        <v>0</v>
      </c>
      <c r="J318" s="114">
        <f t="shared" si="37"/>
        <v>0</v>
      </c>
      <c r="K318" s="113">
        <f t="shared" si="38"/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</row>
    <row r="319" spans="2:16" ht="13.9" customHeight="1" outlineLevel="1" x14ac:dyDescent="0.25">
      <c r="B319" s="138"/>
      <c r="C319" s="84" t="s">
        <v>47</v>
      </c>
      <c r="D319" s="85">
        <v>6</v>
      </c>
      <c r="E319" s="86">
        <v>8832455.6400000006</v>
      </c>
      <c r="F319" s="142">
        <f t="shared" si="36"/>
        <v>4895581.0199999996</v>
      </c>
      <c r="G319" s="113">
        <v>4892878</v>
      </c>
      <c r="H319" s="86">
        <v>3939577.6399999997</v>
      </c>
      <c r="I319" s="113">
        <v>2703.0199999999995</v>
      </c>
      <c r="J319" s="114">
        <f t="shared" si="37"/>
        <v>3936874.6199999996</v>
      </c>
      <c r="K319" s="113">
        <f t="shared" si="38"/>
        <v>3936874.6199999996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</row>
    <row r="320" spans="2:16" ht="13.9" customHeight="1" outlineLevel="1" x14ac:dyDescent="0.25">
      <c r="B320" s="138"/>
      <c r="C320" s="84" t="s">
        <v>48</v>
      </c>
      <c r="D320" s="85">
        <v>24</v>
      </c>
      <c r="E320" s="86">
        <v>27742324.900000002</v>
      </c>
      <c r="F320" s="142">
        <f t="shared" si="36"/>
        <v>14789295.920000002</v>
      </c>
      <c r="G320" s="113">
        <v>13763202.000000002</v>
      </c>
      <c r="H320" s="86">
        <v>13979122.899999995</v>
      </c>
      <c r="I320" s="113">
        <v>1026093.9199999999</v>
      </c>
      <c r="J320" s="114">
        <f t="shared" si="37"/>
        <v>12953028.979999995</v>
      </c>
      <c r="K320" s="113">
        <f t="shared" si="38"/>
        <v>3094035.2099999934</v>
      </c>
      <c r="L320" s="113">
        <v>9858993.7700000014</v>
      </c>
      <c r="M320" s="113">
        <v>0</v>
      </c>
      <c r="N320" s="113">
        <v>0</v>
      </c>
      <c r="O320" s="113">
        <v>0</v>
      </c>
      <c r="P320" s="113">
        <v>0</v>
      </c>
    </row>
    <row r="321" spans="2:16" ht="13.9" customHeight="1" outlineLevel="1" x14ac:dyDescent="0.25">
      <c r="B321" s="138"/>
      <c r="C321" s="84" t="s">
        <v>49</v>
      </c>
      <c r="D321" s="85">
        <v>0</v>
      </c>
      <c r="E321" s="86">
        <v>0</v>
      </c>
      <c r="F321" s="142">
        <f t="shared" si="36"/>
        <v>0</v>
      </c>
      <c r="G321" s="113">
        <v>0</v>
      </c>
      <c r="H321" s="86">
        <v>0</v>
      </c>
      <c r="I321" s="113">
        <v>0</v>
      </c>
      <c r="J321" s="114">
        <f t="shared" si="37"/>
        <v>0</v>
      </c>
      <c r="K321" s="113">
        <f t="shared" si="38"/>
        <v>0</v>
      </c>
      <c r="L321" s="113">
        <v>0</v>
      </c>
      <c r="M321" s="113">
        <v>0</v>
      </c>
      <c r="N321" s="113">
        <v>0</v>
      </c>
      <c r="O321" s="113">
        <v>0</v>
      </c>
      <c r="P321" s="113">
        <v>0</v>
      </c>
    </row>
    <row r="322" spans="2:16" ht="13.9" customHeight="1" outlineLevel="1" x14ac:dyDescent="0.25">
      <c r="B322" s="138"/>
      <c r="C322" s="84" t="s">
        <v>50</v>
      </c>
      <c r="D322" s="85">
        <v>0</v>
      </c>
      <c r="E322" s="86">
        <v>0</v>
      </c>
      <c r="F322" s="142">
        <f t="shared" si="36"/>
        <v>0</v>
      </c>
      <c r="G322" s="113">
        <v>0</v>
      </c>
      <c r="H322" s="86">
        <v>0</v>
      </c>
      <c r="I322" s="113">
        <v>0</v>
      </c>
      <c r="J322" s="114">
        <f t="shared" si="37"/>
        <v>0</v>
      </c>
      <c r="K322" s="113">
        <f t="shared" si="38"/>
        <v>0</v>
      </c>
      <c r="L322" s="113">
        <v>0</v>
      </c>
      <c r="M322" s="113">
        <v>0</v>
      </c>
      <c r="N322" s="113">
        <v>0</v>
      </c>
      <c r="O322" s="113">
        <v>0</v>
      </c>
      <c r="P322" s="113">
        <v>0</v>
      </c>
    </row>
    <row r="323" spans="2:16" ht="13.9" customHeight="1" outlineLevel="1" x14ac:dyDescent="0.25">
      <c r="B323" s="138"/>
      <c r="C323" s="84" t="s">
        <v>51</v>
      </c>
      <c r="D323" s="85">
        <v>6</v>
      </c>
      <c r="E323" s="86">
        <v>6442119</v>
      </c>
      <c r="F323" s="142">
        <f t="shared" si="36"/>
        <v>2646647.88</v>
      </c>
      <c r="G323" s="113">
        <v>2646647.88</v>
      </c>
      <c r="H323" s="86">
        <v>3795471.12</v>
      </c>
      <c r="I323" s="113">
        <v>0</v>
      </c>
      <c r="J323" s="114">
        <f t="shared" si="37"/>
        <v>3795471.12</v>
      </c>
      <c r="K323" s="113">
        <f t="shared" si="38"/>
        <v>902698.08000000007</v>
      </c>
      <c r="L323" s="113">
        <v>2892773.04</v>
      </c>
      <c r="M323" s="113">
        <v>0</v>
      </c>
      <c r="N323" s="113">
        <v>0</v>
      </c>
      <c r="O323" s="113">
        <v>0</v>
      </c>
      <c r="P323" s="113">
        <v>0</v>
      </c>
    </row>
    <row r="324" spans="2:16" ht="13.9" customHeight="1" outlineLevel="1" x14ac:dyDescent="0.25">
      <c r="B324" s="138"/>
      <c r="C324" s="84" t="s">
        <v>52</v>
      </c>
      <c r="D324" s="85">
        <v>0</v>
      </c>
      <c r="E324" s="86">
        <v>0</v>
      </c>
      <c r="F324" s="142">
        <f t="shared" si="36"/>
        <v>0</v>
      </c>
      <c r="G324" s="113">
        <v>0</v>
      </c>
      <c r="H324" s="86">
        <v>0</v>
      </c>
      <c r="I324" s="113">
        <v>0</v>
      </c>
      <c r="J324" s="114">
        <f t="shared" si="37"/>
        <v>0</v>
      </c>
      <c r="K324" s="113">
        <f t="shared" si="38"/>
        <v>0</v>
      </c>
      <c r="L324" s="113">
        <v>0</v>
      </c>
      <c r="M324" s="113">
        <v>0</v>
      </c>
      <c r="N324" s="113">
        <v>0</v>
      </c>
      <c r="O324" s="113">
        <v>0</v>
      </c>
      <c r="P324" s="113">
        <v>0</v>
      </c>
    </row>
    <row r="325" spans="2:16" ht="13.9" customHeight="1" outlineLevel="1" x14ac:dyDescent="0.25">
      <c r="B325" s="138"/>
      <c r="C325" s="84" t="s">
        <v>53</v>
      </c>
      <c r="D325" s="85">
        <v>0</v>
      </c>
      <c r="E325" s="86">
        <v>0</v>
      </c>
      <c r="F325" s="142">
        <f t="shared" si="36"/>
        <v>0</v>
      </c>
      <c r="G325" s="113">
        <v>0</v>
      </c>
      <c r="H325" s="86">
        <v>0</v>
      </c>
      <c r="I325" s="113">
        <v>0</v>
      </c>
      <c r="J325" s="114">
        <f t="shared" si="37"/>
        <v>0</v>
      </c>
      <c r="K325" s="113">
        <f t="shared" si="38"/>
        <v>0</v>
      </c>
      <c r="L325" s="113">
        <v>0</v>
      </c>
      <c r="M325" s="113">
        <v>0</v>
      </c>
      <c r="N325" s="113">
        <v>0</v>
      </c>
      <c r="O325" s="113">
        <v>0</v>
      </c>
      <c r="P325" s="113">
        <v>0</v>
      </c>
    </row>
    <row r="326" spans="2:16" ht="13.9" customHeight="1" outlineLevel="1" x14ac:dyDescent="0.25">
      <c r="B326" s="138"/>
      <c r="C326" s="84" t="s">
        <v>54</v>
      </c>
      <c r="D326" s="85">
        <v>0</v>
      </c>
      <c r="E326" s="86">
        <v>0</v>
      </c>
      <c r="F326" s="142">
        <f t="shared" si="36"/>
        <v>0</v>
      </c>
      <c r="G326" s="113">
        <v>0</v>
      </c>
      <c r="H326" s="86">
        <v>0</v>
      </c>
      <c r="I326" s="113">
        <v>0</v>
      </c>
      <c r="J326" s="114">
        <f t="shared" si="37"/>
        <v>0</v>
      </c>
      <c r="K326" s="113">
        <f t="shared" si="38"/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</row>
    <row r="327" spans="2:16" ht="13.9" customHeight="1" outlineLevel="1" x14ac:dyDescent="0.25">
      <c r="B327" s="138"/>
      <c r="C327" s="84" t="s">
        <v>55</v>
      </c>
      <c r="D327" s="85">
        <v>0</v>
      </c>
      <c r="E327" s="86">
        <v>0</v>
      </c>
      <c r="F327" s="142">
        <f t="shared" si="36"/>
        <v>0</v>
      </c>
      <c r="G327" s="113">
        <v>0</v>
      </c>
      <c r="H327" s="86">
        <v>0</v>
      </c>
      <c r="I327" s="113">
        <v>0</v>
      </c>
      <c r="J327" s="114">
        <f t="shared" si="37"/>
        <v>0</v>
      </c>
      <c r="K327" s="113">
        <f t="shared" si="38"/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</row>
    <row r="328" spans="2:16" ht="13.9" customHeight="1" outlineLevel="1" x14ac:dyDescent="0.25">
      <c r="B328" s="138"/>
      <c r="C328" s="84" t="s">
        <v>56</v>
      </c>
      <c r="D328" s="85">
        <v>0</v>
      </c>
      <c r="E328" s="86">
        <v>0</v>
      </c>
      <c r="F328" s="142">
        <f t="shared" si="36"/>
        <v>0</v>
      </c>
      <c r="G328" s="113">
        <v>0</v>
      </c>
      <c r="H328" s="86">
        <v>0</v>
      </c>
      <c r="I328" s="113">
        <v>0</v>
      </c>
      <c r="J328" s="114">
        <f t="shared" si="37"/>
        <v>0</v>
      </c>
      <c r="K328" s="113">
        <f t="shared" si="38"/>
        <v>0</v>
      </c>
      <c r="L328" s="113">
        <v>0</v>
      </c>
      <c r="M328" s="113">
        <v>0</v>
      </c>
      <c r="N328" s="113">
        <v>0</v>
      </c>
      <c r="O328" s="113">
        <v>0</v>
      </c>
      <c r="P328" s="113">
        <v>0</v>
      </c>
    </row>
    <row r="329" spans="2:16" ht="13.9" customHeight="1" outlineLevel="1" x14ac:dyDescent="0.25">
      <c r="B329" s="138"/>
      <c r="C329" s="84" t="s">
        <v>57</v>
      </c>
      <c r="D329" s="85">
        <v>0</v>
      </c>
      <c r="E329" s="86">
        <v>0</v>
      </c>
      <c r="F329" s="142">
        <f t="shared" si="36"/>
        <v>0</v>
      </c>
      <c r="G329" s="113">
        <v>0</v>
      </c>
      <c r="H329" s="86">
        <v>0</v>
      </c>
      <c r="I329" s="113">
        <v>0</v>
      </c>
      <c r="J329" s="114">
        <f t="shared" si="37"/>
        <v>0</v>
      </c>
      <c r="K329" s="113">
        <f t="shared" si="38"/>
        <v>0</v>
      </c>
      <c r="L329" s="113">
        <v>0</v>
      </c>
      <c r="M329" s="113">
        <v>0</v>
      </c>
      <c r="N329" s="113">
        <v>0</v>
      </c>
      <c r="O329" s="113">
        <v>0</v>
      </c>
      <c r="P329" s="113">
        <v>0</v>
      </c>
    </row>
    <row r="330" spans="2:16" ht="13.9" customHeight="1" outlineLevel="1" x14ac:dyDescent="0.25">
      <c r="B330" s="138"/>
      <c r="C330" s="84" t="s">
        <v>58</v>
      </c>
      <c r="D330" s="85">
        <v>0</v>
      </c>
      <c r="E330" s="86">
        <v>0</v>
      </c>
      <c r="F330" s="142">
        <f t="shared" si="36"/>
        <v>0</v>
      </c>
      <c r="G330" s="113">
        <v>0</v>
      </c>
      <c r="H330" s="86">
        <v>0</v>
      </c>
      <c r="I330" s="113">
        <v>0</v>
      </c>
      <c r="J330" s="114">
        <f t="shared" si="37"/>
        <v>0</v>
      </c>
      <c r="K330" s="113">
        <f t="shared" si="38"/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</row>
    <row r="331" spans="2:16" ht="13.9" customHeight="1" outlineLevel="1" x14ac:dyDescent="0.25">
      <c r="B331" s="138"/>
      <c r="C331" s="84" t="s">
        <v>59</v>
      </c>
      <c r="D331" s="85">
        <v>0</v>
      </c>
      <c r="E331" s="86">
        <v>0</v>
      </c>
      <c r="F331" s="142">
        <f t="shared" si="36"/>
        <v>0</v>
      </c>
      <c r="G331" s="113">
        <v>0</v>
      </c>
      <c r="H331" s="86">
        <v>0</v>
      </c>
      <c r="I331" s="113">
        <v>0</v>
      </c>
      <c r="J331" s="114">
        <f t="shared" si="37"/>
        <v>0</v>
      </c>
      <c r="K331" s="113">
        <f t="shared" si="38"/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</row>
    <row r="332" spans="2:16" ht="13.9" customHeight="1" outlineLevel="1" x14ac:dyDescent="0.25">
      <c r="B332" s="138"/>
      <c r="C332" s="84" t="s">
        <v>60</v>
      </c>
      <c r="D332" s="85">
        <v>0</v>
      </c>
      <c r="E332" s="86">
        <v>0</v>
      </c>
      <c r="F332" s="142">
        <f t="shared" si="36"/>
        <v>0</v>
      </c>
      <c r="G332" s="113">
        <v>0</v>
      </c>
      <c r="H332" s="86">
        <v>0</v>
      </c>
      <c r="I332" s="113">
        <v>0</v>
      </c>
      <c r="J332" s="114">
        <f t="shared" si="37"/>
        <v>0</v>
      </c>
      <c r="K332" s="113">
        <f t="shared" si="38"/>
        <v>0</v>
      </c>
      <c r="L332" s="113">
        <v>0</v>
      </c>
      <c r="M332" s="113">
        <v>0</v>
      </c>
      <c r="N332" s="113">
        <v>0</v>
      </c>
      <c r="O332" s="113">
        <v>0</v>
      </c>
      <c r="P332" s="113">
        <v>0</v>
      </c>
    </row>
    <row r="333" spans="2:16" ht="13.9" customHeight="1" outlineLevel="1" x14ac:dyDescent="0.25">
      <c r="B333" s="138"/>
      <c r="C333" s="84" t="s">
        <v>61</v>
      </c>
      <c r="D333" s="85">
        <v>0</v>
      </c>
      <c r="E333" s="86">
        <v>0</v>
      </c>
      <c r="F333" s="142">
        <f t="shared" si="36"/>
        <v>0</v>
      </c>
      <c r="G333" s="113">
        <v>0</v>
      </c>
      <c r="H333" s="86">
        <v>0</v>
      </c>
      <c r="I333" s="113">
        <v>0</v>
      </c>
      <c r="J333" s="114">
        <f t="shared" si="37"/>
        <v>0</v>
      </c>
      <c r="K333" s="113">
        <f t="shared" si="38"/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</row>
    <row r="334" spans="2:16" ht="13.9" customHeight="1" outlineLevel="1" x14ac:dyDescent="0.25">
      <c r="B334" s="138"/>
      <c r="C334" s="84" t="s">
        <v>62</v>
      </c>
      <c r="D334" s="85">
        <v>0</v>
      </c>
      <c r="E334" s="86">
        <v>0</v>
      </c>
      <c r="F334" s="142">
        <f t="shared" si="36"/>
        <v>0</v>
      </c>
      <c r="G334" s="113">
        <v>0</v>
      </c>
      <c r="H334" s="86">
        <v>0</v>
      </c>
      <c r="I334" s="113">
        <v>0</v>
      </c>
      <c r="J334" s="114">
        <f t="shared" si="37"/>
        <v>0</v>
      </c>
      <c r="K334" s="113">
        <f t="shared" si="38"/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</row>
    <row r="335" spans="2:16" ht="13.9" customHeight="1" outlineLevel="1" x14ac:dyDescent="0.25">
      <c r="B335" s="138"/>
      <c r="C335" s="84" t="s">
        <v>63</v>
      </c>
      <c r="D335" s="85">
        <v>0</v>
      </c>
      <c r="E335" s="86">
        <v>0</v>
      </c>
      <c r="F335" s="142">
        <f t="shared" si="36"/>
        <v>0</v>
      </c>
      <c r="G335" s="113">
        <v>0</v>
      </c>
      <c r="H335" s="86">
        <v>0</v>
      </c>
      <c r="I335" s="113">
        <v>0</v>
      </c>
      <c r="J335" s="114">
        <f t="shared" si="37"/>
        <v>0</v>
      </c>
      <c r="K335" s="113">
        <f t="shared" si="38"/>
        <v>0</v>
      </c>
      <c r="L335" s="113">
        <v>0</v>
      </c>
      <c r="M335" s="113">
        <v>0</v>
      </c>
      <c r="N335" s="113">
        <v>0</v>
      </c>
      <c r="O335" s="113">
        <v>0</v>
      </c>
      <c r="P335" s="113">
        <v>0</v>
      </c>
    </row>
    <row r="336" spans="2:16" ht="13.9" customHeight="1" outlineLevel="1" x14ac:dyDescent="0.25">
      <c r="B336" s="138"/>
      <c r="C336" s="84" t="s">
        <v>64</v>
      </c>
      <c r="D336" s="85">
        <v>0</v>
      </c>
      <c r="E336" s="86">
        <v>0</v>
      </c>
      <c r="F336" s="142">
        <f t="shared" si="36"/>
        <v>0</v>
      </c>
      <c r="G336" s="113">
        <v>0</v>
      </c>
      <c r="H336" s="86">
        <v>0</v>
      </c>
      <c r="I336" s="113">
        <v>0</v>
      </c>
      <c r="J336" s="114">
        <f t="shared" si="37"/>
        <v>0</v>
      </c>
      <c r="K336" s="113">
        <f t="shared" si="38"/>
        <v>0</v>
      </c>
      <c r="L336" s="113">
        <v>0</v>
      </c>
      <c r="M336" s="113">
        <v>0</v>
      </c>
      <c r="N336" s="113">
        <v>0</v>
      </c>
      <c r="O336" s="113">
        <v>0</v>
      </c>
      <c r="P336" s="113">
        <v>0</v>
      </c>
    </row>
    <row r="337" spans="2:16" ht="13.9" customHeight="1" outlineLevel="1" x14ac:dyDescent="0.25">
      <c r="B337" s="138"/>
      <c r="C337" s="84" t="s">
        <v>65</v>
      </c>
      <c r="D337" s="85">
        <v>0</v>
      </c>
      <c r="E337" s="86">
        <v>0</v>
      </c>
      <c r="F337" s="142">
        <f t="shared" si="36"/>
        <v>0</v>
      </c>
      <c r="G337" s="113">
        <v>0</v>
      </c>
      <c r="H337" s="86">
        <v>0</v>
      </c>
      <c r="I337" s="113">
        <v>0</v>
      </c>
      <c r="J337" s="114">
        <f t="shared" si="37"/>
        <v>0</v>
      </c>
      <c r="K337" s="113">
        <f t="shared" si="38"/>
        <v>0</v>
      </c>
      <c r="L337" s="113">
        <v>0</v>
      </c>
      <c r="M337" s="113">
        <v>0</v>
      </c>
      <c r="N337" s="113">
        <v>0</v>
      </c>
      <c r="O337" s="113">
        <v>0</v>
      </c>
      <c r="P337" s="113">
        <v>0</v>
      </c>
    </row>
    <row r="338" spans="2:16" ht="13.9" customHeight="1" outlineLevel="1" x14ac:dyDescent="0.25">
      <c r="B338" s="138"/>
      <c r="C338" s="84" t="s">
        <v>66</v>
      </c>
      <c r="D338" s="85">
        <v>0</v>
      </c>
      <c r="E338" s="86">
        <v>0</v>
      </c>
      <c r="F338" s="142">
        <f t="shared" si="36"/>
        <v>0</v>
      </c>
      <c r="G338" s="113">
        <v>0</v>
      </c>
      <c r="H338" s="86">
        <v>0</v>
      </c>
      <c r="I338" s="113">
        <v>0</v>
      </c>
      <c r="J338" s="114">
        <f t="shared" si="37"/>
        <v>0</v>
      </c>
      <c r="K338" s="113">
        <f t="shared" si="38"/>
        <v>0</v>
      </c>
      <c r="L338" s="113">
        <v>0</v>
      </c>
      <c r="M338" s="113">
        <v>0</v>
      </c>
      <c r="N338" s="113">
        <v>0</v>
      </c>
      <c r="O338" s="113">
        <v>0</v>
      </c>
      <c r="P338" s="113">
        <v>0</v>
      </c>
    </row>
    <row r="339" spans="2:16" ht="13.9" customHeight="1" outlineLevel="1" x14ac:dyDescent="0.25">
      <c r="B339" s="138"/>
      <c r="C339" s="84" t="s">
        <v>67</v>
      </c>
      <c r="D339" s="85">
        <v>0</v>
      </c>
      <c r="E339" s="86">
        <v>0</v>
      </c>
      <c r="F339" s="142">
        <f t="shared" si="36"/>
        <v>0</v>
      </c>
      <c r="G339" s="113">
        <v>0</v>
      </c>
      <c r="H339" s="86">
        <v>0</v>
      </c>
      <c r="I339" s="113">
        <v>0</v>
      </c>
      <c r="J339" s="114">
        <f t="shared" si="37"/>
        <v>0</v>
      </c>
      <c r="K339" s="113">
        <f t="shared" si="38"/>
        <v>0</v>
      </c>
      <c r="L339" s="113">
        <v>0</v>
      </c>
      <c r="M339" s="113">
        <v>0</v>
      </c>
      <c r="N339" s="113">
        <v>0</v>
      </c>
      <c r="O339" s="113">
        <v>0</v>
      </c>
      <c r="P339" s="113">
        <v>0</v>
      </c>
    </row>
    <row r="340" spans="2:16" ht="13.9" customHeight="1" x14ac:dyDescent="0.25">
      <c r="B340" s="139"/>
      <c r="C340" s="78" t="s">
        <v>103</v>
      </c>
      <c r="D340" s="90">
        <f>SUM(D303:D339)</f>
        <v>69</v>
      </c>
      <c r="E340" s="91">
        <f t="shared" ref="E340:P340" si="39">SUM(E303:E339)</f>
        <v>99438627.230000004</v>
      </c>
      <c r="F340" s="92">
        <f t="shared" si="39"/>
        <v>53275960.410000004</v>
      </c>
      <c r="G340" s="93">
        <f t="shared" si="39"/>
        <v>50960403.039999999</v>
      </c>
      <c r="H340" s="90">
        <f t="shared" si="39"/>
        <v>48478224.18999999</v>
      </c>
      <c r="I340" s="91">
        <f t="shared" si="39"/>
        <v>2315557.3699999996</v>
      </c>
      <c r="J340" s="92">
        <f t="shared" si="39"/>
        <v>46162666.819999993</v>
      </c>
      <c r="K340" s="93">
        <f t="shared" si="39"/>
        <v>17279914.929999992</v>
      </c>
      <c r="L340" s="90">
        <f t="shared" si="39"/>
        <v>27247343.579999998</v>
      </c>
      <c r="M340" s="91">
        <f t="shared" si="39"/>
        <v>683548.19</v>
      </c>
      <c r="N340" s="90">
        <f t="shared" si="39"/>
        <v>951860.12</v>
      </c>
      <c r="O340" s="91">
        <f t="shared" si="39"/>
        <v>0</v>
      </c>
      <c r="P340" s="91">
        <f t="shared" si="39"/>
        <v>0</v>
      </c>
    </row>
    <row r="341" spans="2:16" ht="13.9" customHeight="1" outlineLevel="1" x14ac:dyDescent="0.25">
      <c r="B341" s="137" t="s">
        <v>83</v>
      </c>
      <c r="C341" s="84" t="s">
        <v>70</v>
      </c>
      <c r="D341" s="85">
        <v>41</v>
      </c>
      <c r="E341" s="86">
        <v>54747788.769999988</v>
      </c>
      <c r="F341" s="142">
        <f>G341+I341</f>
        <v>25558041.779999994</v>
      </c>
      <c r="G341" s="113">
        <v>24825305.899999995</v>
      </c>
      <c r="H341" s="86">
        <v>29922482.870000005</v>
      </c>
      <c r="I341" s="113">
        <v>732735.88000000012</v>
      </c>
      <c r="J341" s="114">
        <f>H341-I341</f>
        <v>29189746.990000006</v>
      </c>
      <c r="K341" s="113">
        <f>MAX(J341-SUM(L341:P341),0)</f>
        <v>6163706.620000001</v>
      </c>
      <c r="L341" s="113">
        <v>12333136.950000003</v>
      </c>
      <c r="M341" s="113">
        <v>10692903.42</v>
      </c>
      <c r="N341" s="113">
        <v>0</v>
      </c>
      <c r="O341" s="113">
        <v>0</v>
      </c>
      <c r="P341" s="113">
        <v>0</v>
      </c>
    </row>
    <row r="342" spans="2:16" ht="13.9" customHeight="1" outlineLevel="1" x14ac:dyDescent="0.25">
      <c r="B342" s="138"/>
      <c r="C342" s="84" t="s">
        <v>71</v>
      </c>
      <c r="D342" s="85">
        <v>14</v>
      </c>
      <c r="E342" s="86">
        <v>18845631.250000004</v>
      </c>
      <c r="F342" s="142">
        <f>G342+I342</f>
        <v>7786369.9799999995</v>
      </c>
      <c r="G342" s="113">
        <v>7786369.9799999995</v>
      </c>
      <c r="H342" s="86">
        <v>11059261.27</v>
      </c>
      <c r="I342" s="113">
        <v>0</v>
      </c>
      <c r="J342" s="114">
        <f>H342-I342</f>
        <v>11059261.27</v>
      </c>
      <c r="K342" s="113">
        <f>MAX(J342-SUM(L342:P342),0)</f>
        <v>1596531.2599999979</v>
      </c>
      <c r="L342" s="113">
        <v>1924477.5</v>
      </c>
      <c r="M342" s="113">
        <v>0</v>
      </c>
      <c r="N342" s="113">
        <v>7538252.5100000007</v>
      </c>
      <c r="O342" s="113">
        <v>0</v>
      </c>
      <c r="P342" s="113">
        <v>0</v>
      </c>
    </row>
    <row r="343" spans="2:16" ht="13.9" customHeight="1" outlineLevel="1" x14ac:dyDescent="0.25">
      <c r="B343" s="138"/>
      <c r="C343" s="84" t="s">
        <v>72</v>
      </c>
      <c r="D343" s="85">
        <v>0</v>
      </c>
      <c r="E343" s="86">
        <v>0</v>
      </c>
      <c r="F343" s="142">
        <f>G343+I343</f>
        <v>0</v>
      </c>
      <c r="G343" s="113">
        <v>0</v>
      </c>
      <c r="H343" s="86">
        <v>0</v>
      </c>
      <c r="I343" s="113">
        <v>0</v>
      </c>
      <c r="J343" s="114">
        <f>H343-I343</f>
        <v>0</v>
      </c>
      <c r="K343" s="113">
        <f>MAX(J343-SUM(L343:P343),0)</f>
        <v>0</v>
      </c>
      <c r="L343" s="113">
        <v>0</v>
      </c>
      <c r="M343" s="113">
        <v>0</v>
      </c>
      <c r="N343" s="113">
        <v>0</v>
      </c>
      <c r="O343" s="113">
        <v>0</v>
      </c>
      <c r="P343" s="113">
        <v>0</v>
      </c>
    </row>
    <row r="344" spans="2:16" ht="13.9" customHeight="1" x14ac:dyDescent="0.25">
      <c r="B344" s="139"/>
      <c r="C344" s="78" t="s">
        <v>104</v>
      </c>
      <c r="D344" s="90">
        <f t="shared" ref="D344:P344" si="40">SUM(D341:D343)</f>
        <v>55</v>
      </c>
      <c r="E344" s="91">
        <f t="shared" si="40"/>
        <v>73593420.019999996</v>
      </c>
      <c r="F344" s="92">
        <f t="shared" si="40"/>
        <v>33344411.759999994</v>
      </c>
      <c r="G344" s="93">
        <f t="shared" si="40"/>
        <v>32611675.879999995</v>
      </c>
      <c r="H344" s="90">
        <f t="shared" si="40"/>
        <v>40981744.140000001</v>
      </c>
      <c r="I344" s="91">
        <f t="shared" si="40"/>
        <v>732735.88000000012</v>
      </c>
      <c r="J344" s="92">
        <f t="shared" si="40"/>
        <v>40249008.260000005</v>
      </c>
      <c r="K344" s="93">
        <f t="shared" si="40"/>
        <v>7760237.879999999</v>
      </c>
      <c r="L344" s="90">
        <f t="shared" si="40"/>
        <v>14257614.450000003</v>
      </c>
      <c r="M344" s="91">
        <f t="shared" si="40"/>
        <v>10692903.42</v>
      </c>
      <c r="N344" s="90">
        <f t="shared" si="40"/>
        <v>7538252.5100000007</v>
      </c>
      <c r="O344" s="91">
        <f t="shared" si="40"/>
        <v>0</v>
      </c>
      <c r="P344" s="91">
        <f t="shared" si="40"/>
        <v>0</v>
      </c>
    </row>
    <row r="345" spans="2:16" ht="13.9" customHeight="1" outlineLevel="1" x14ac:dyDescent="0.25">
      <c r="B345" s="137" t="s">
        <v>105</v>
      </c>
      <c r="C345" s="84" t="s">
        <v>75</v>
      </c>
      <c r="D345" s="85">
        <v>0</v>
      </c>
      <c r="E345" s="86">
        <v>0</v>
      </c>
      <c r="F345" s="142">
        <f>G345+I345</f>
        <v>0</v>
      </c>
      <c r="G345" s="113">
        <v>0</v>
      </c>
      <c r="H345" s="86">
        <v>0</v>
      </c>
      <c r="I345" s="113">
        <v>0</v>
      </c>
      <c r="J345" s="114">
        <f>H345-I345</f>
        <v>0</v>
      </c>
      <c r="K345" s="113">
        <f>MAX(J345-SUM(L345:P345),0)</f>
        <v>0</v>
      </c>
      <c r="L345" s="113">
        <v>0</v>
      </c>
      <c r="M345" s="113">
        <v>0</v>
      </c>
      <c r="N345" s="113">
        <v>0</v>
      </c>
      <c r="O345" s="113">
        <v>0</v>
      </c>
      <c r="P345" s="113">
        <v>0</v>
      </c>
    </row>
    <row r="346" spans="2:16" ht="13.9" customHeight="1" outlineLevel="1" x14ac:dyDescent="0.25">
      <c r="B346" s="138"/>
      <c r="C346" s="84" t="s">
        <v>76</v>
      </c>
      <c r="D346" s="85">
        <v>0</v>
      </c>
      <c r="E346" s="86">
        <v>0</v>
      </c>
      <c r="F346" s="142">
        <f>G346+I346</f>
        <v>0</v>
      </c>
      <c r="G346" s="113">
        <v>0</v>
      </c>
      <c r="H346" s="86">
        <v>0</v>
      </c>
      <c r="I346" s="113">
        <v>0</v>
      </c>
      <c r="J346" s="114">
        <f>H346-I346</f>
        <v>0</v>
      </c>
      <c r="K346" s="113">
        <f>MAX(J346-SUM(L346:P346),0)</f>
        <v>0</v>
      </c>
      <c r="L346" s="113">
        <v>0</v>
      </c>
      <c r="M346" s="113">
        <v>0</v>
      </c>
      <c r="N346" s="113">
        <v>0</v>
      </c>
      <c r="O346" s="113">
        <v>0</v>
      </c>
      <c r="P346" s="113">
        <v>0</v>
      </c>
    </row>
    <row r="347" spans="2:16" ht="13.9" customHeight="1" x14ac:dyDescent="0.25">
      <c r="B347" s="139"/>
      <c r="C347" s="78" t="s">
        <v>106</v>
      </c>
      <c r="D347" s="90">
        <f t="shared" ref="D347:P347" si="41">SUM(D345:D346)</f>
        <v>0</v>
      </c>
      <c r="E347" s="91">
        <f t="shared" si="41"/>
        <v>0</v>
      </c>
      <c r="F347" s="92">
        <f t="shared" si="41"/>
        <v>0</v>
      </c>
      <c r="G347" s="93">
        <f t="shared" si="41"/>
        <v>0</v>
      </c>
      <c r="H347" s="90">
        <f t="shared" si="41"/>
        <v>0</v>
      </c>
      <c r="I347" s="91">
        <f t="shared" si="41"/>
        <v>0</v>
      </c>
      <c r="J347" s="92">
        <f t="shared" si="41"/>
        <v>0</v>
      </c>
      <c r="K347" s="93">
        <f t="shared" si="41"/>
        <v>0</v>
      </c>
      <c r="L347" s="90">
        <f t="shared" si="41"/>
        <v>0</v>
      </c>
      <c r="M347" s="91">
        <f t="shared" si="41"/>
        <v>0</v>
      </c>
      <c r="N347" s="90">
        <f t="shared" si="41"/>
        <v>0</v>
      </c>
      <c r="O347" s="91">
        <f t="shared" si="41"/>
        <v>0</v>
      </c>
      <c r="P347" s="91">
        <f t="shared" si="41"/>
        <v>0</v>
      </c>
    </row>
    <row r="348" spans="2:16" ht="13.9" customHeight="1" x14ac:dyDescent="0.25">
      <c r="B348" s="140" t="s">
        <v>78</v>
      </c>
      <c r="C348" s="141"/>
      <c r="D348" s="90">
        <f>D347+D344+D340</f>
        <v>124</v>
      </c>
      <c r="E348" s="91">
        <f t="shared" ref="E348:P348" si="42">E347+E344+E340</f>
        <v>173032047.25</v>
      </c>
      <c r="F348" s="92">
        <f t="shared" si="42"/>
        <v>86620372.170000002</v>
      </c>
      <c r="G348" s="93">
        <f t="shared" si="42"/>
        <v>83572078.919999987</v>
      </c>
      <c r="H348" s="90">
        <f t="shared" si="42"/>
        <v>89459968.329999983</v>
      </c>
      <c r="I348" s="91">
        <f t="shared" si="42"/>
        <v>3048293.25</v>
      </c>
      <c r="J348" s="92">
        <f t="shared" si="42"/>
        <v>86411675.079999998</v>
      </c>
      <c r="K348" s="93">
        <f t="shared" si="42"/>
        <v>25040152.809999991</v>
      </c>
      <c r="L348" s="90">
        <f t="shared" si="42"/>
        <v>41504958.030000001</v>
      </c>
      <c r="M348" s="91">
        <f t="shared" si="42"/>
        <v>11376451.609999999</v>
      </c>
      <c r="N348" s="90">
        <f t="shared" si="42"/>
        <v>8490112.6300000008</v>
      </c>
      <c r="O348" s="91">
        <f t="shared" si="42"/>
        <v>0</v>
      </c>
      <c r="P348" s="91">
        <f t="shared" si="42"/>
        <v>0</v>
      </c>
    </row>
    <row r="349" spans="2:16" ht="13.9" customHeight="1" x14ac:dyDescent="0.25"/>
    <row r="350" spans="2:16" ht="13.9" customHeight="1" x14ac:dyDescent="0.25">
      <c r="B350" s="107" t="s">
        <v>92</v>
      </c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</row>
    <row r="351" spans="2:16" ht="13.9" customHeight="1" x14ac:dyDescent="0.25">
      <c r="B351" s="136" t="s">
        <v>26</v>
      </c>
      <c r="C351" s="108" t="s">
        <v>27</v>
      </c>
      <c r="D351" s="109" t="s">
        <v>28</v>
      </c>
      <c r="E351" s="110" t="s">
        <v>29</v>
      </c>
      <c r="F351" s="111" t="s">
        <v>85</v>
      </c>
      <c r="G351" s="112" t="s">
        <v>81</v>
      </c>
      <c r="H351" s="110" t="s">
        <v>82</v>
      </c>
      <c r="I351" s="112" t="s">
        <v>86</v>
      </c>
      <c r="J351" s="110" t="s">
        <v>87</v>
      </c>
      <c r="K351" s="112">
        <v>2026</v>
      </c>
      <c r="L351" s="112">
        <v>2027</v>
      </c>
      <c r="M351" s="110">
        <v>2028</v>
      </c>
      <c r="N351" s="112">
        <v>2029</v>
      </c>
      <c r="O351" s="110">
        <v>2030</v>
      </c>
      <c r="P351" s="112">
        <v>2031</v>
      </c>
    </row>
    <row r="352" spans="2:16" ht="13.9" customHeight="1" outlineLevel="1" x14ac:dyDescent="0.25">
      <c r="B352" s="137" t="s">
        <v>30</v>
      </c>
      <c r="C352" s="84" t="s">
        <v>31</v>
      </c>
      <c r="D352" s="85">
        <v>15</v>
      </c>
      <c r="E352" s="86">
        <v>20687260.490000002</v>
      </c>
      <c r="F352" s="142">
        <f>G352+I352</f>
        <v>13552542.139999999</v>
      </c>
      <c r="G352" s="113">
        <v>13552542.139999999</v>
      </c>
      <c r="H352" s="86">
        <v>7189820.4125000006</v>
      </c>
      <c r="I352" s="113">
        <v>0</v>
      </c>
      <c r="J352" s="114">
        <f>MAX(0,H352-I352)</f>
        <v>7189820.4125000006</v>
      </c>
      <c r="K352" s="113">
        <f>MAX(J352-SUM(L352:P352),0)</f>
        <v>7189820.4125000006</v>
      </c>
      <c r="L352" s="113">
        <v>0</v>
      </c>
      <c r="M352" s="113">
        <v>0</v>
      </c>
      <c r="N352" s="113">
        <v>0</v>
      </c>
      <c r="O352" s="113">
        <v>0</v>
      </c>
      <c r="P352" s="113">
        <v>0</v>
      </c>
    </row>
    <row r="353" spans="2:16" ht="13.9" customHeight="1" outlineLevel="1" x14ac:dyDescent="0.25">
      <c r="B353" s="138"/>
      <c r="C353" s="84" t="s">
        <v>32</v>
      </c>
      <c r="D353" s="85">
        <v>7</v>
      </c>
      <c r="E353" s="86">
        <v>11435678</v>
      </c>
      <c r="F353" s="142">
        <f t="shared" ref="F353:F388" si="43">G353+I353</f>
        <v>10432921.530000001</v>
      </c>
      <c r="G353" s="113">
        <v>10086773.870000001</v>
      </c>
      <c r="H353" s="86">
        <v>1351379.8100000003</v>
      </c>
      <c r="I353" s="113">
        <v>346147.66</v>
      </c>
      <c r="J353" s="114">
        <f t="shared" ref="J353:J388" si="44">MAX(0,H353-I353)</f>
        <v>1005232.1500000004</v>
      </c>
      <c r="K353" s="113">
        <f t="shared" ref="K353:K388" si="45">MAX(J353-SUM(L353:P353),0)</f>
        <v>1005232.1500000004</v>
      </c>
      <c r="L353" s="113">
        <v>0</v>
      </c>
      <c r="M353" s="113">
        <v>0</v>
      </c>
      <c r="N353" s="113">
        <v>0</v>
      </c>
      <c r="O353" s="113">
        <v>0</v>
      </c>
      <c r="P353" s="113">
        <v>0</v>
      </c>
    </row>
    <row r="354" spans="2:16" ht="13.9" customHeight="1" outlineLevel="1" x14ac:dyDescent="0.25">
      <c r="B354" s="138"/>
      <c r="C354" s="84" t="s">
        <v>33</v>
      </c>
      <c r="D354" s="85">
        <v>41</v>
      </c>
      <c r="E354" s="86">
        <v>49562104.5</v>
      </c>
      <c r="F354" s="142">
        <f t="shared" si="43"/>
        <v>37943671.870000012</v>
      </c>
      <c r="G354" s="113">
        <v>37943657.690000013</v>
      </c>
      <c r="H354" s="86">
        <v>11621962.970000001</v>
      </c>
      <c r="I354" s="113">
        <v>14.18</v>
      </c>
      <c r="J354" s="114">
        <f t="shared" si="44"/>
        <v>11621948.790000001</v>
      </c>
      <c r="K354" s="113">
        <f t="shared" si="45"/>
        <v>6952852.5499999998</v>
      </c>
      <c r="L354" s="113">
        <v>4669096.2400000012</v>
      </c>
      <c r="M354" s="113">
        <v>0</v>
      </c>
      <c r="N354" s="113">
        <v>0</v>
      </c>
      <c r="O354" s="113">
        <v>0</v>
      </c>
      <c r="P354" s="113">
        <v>0</v>
      </c>
    </row>
    <row r="355" spans="2:16" ht="13.9" customHeight="1" outlineLevel="1" x14ac:dyDescent="0.25">
      <c r="B355" s="138"/>
      <c r="C355" s="84" t="s">
        <v>34</v>
      </c>
      <c r="D355" s="85">
        <v>4</v>
      </c>
      <c r="E355" s="86">
        <v>9073448.75</v>
      </c>
      <c r="F355" s="142">
        <f t="shared" si="43"/>
        <v>6076296.3300000001</v>
      </c>
      <c r="G355" s="113">
        <v>6076296.3300000001</v>
      </c>
      <c r="H355" s="86">
        <v>2997152.42</v>
      </c>
      <c r="I355" s="113">
        <v>0</v>
      </c>
      <c r="J355" s="114">
        <f t="shared" si="44"/>
        <v>2997152.42</v>
      </c>
      <c r="K355" s="113">
        <f t="shared" si="45"/>
        <v>408232.71999999974</v>
      </c>
      <c r="L355" s="113">
        <v>1681574.82</v>
      </c>
      <c r="M355" s="113">
        <v>907344.88</v>
      </c>
      <c r="N355" s="113">
        <v>0</v>
      </c>
      <c r="O355" s="113">
        <v>0</v>
      </c>
      <c r="P355" s="113">
        <v>0</v>
      </c>
    </row>
    <row r="356" spans="2:16" ht="13.9" customHeight="1" outlineLevel="1" x14ac:dyDescent="0.25">
      <c r="B356" s="138"/>
      <c r="C356" s="84" t="s">
        <v>35</v>
      </c>
      <c r="D356" s="85">
        <v>77</v>
      </c>
      <c r="E356" s="86">
        <v>80332953.050000042</v>
      </c>
      <c r="F356" s="142">
        <f t="shared" si="43"/>
        <v>80772409.449999988</v>
      </c>
      <c r="G356" s="113">
        <v>80772395.559999987</v>
      </c>
      <c r="H356" s="86">
        <v>257933.85000000021</v>
      </c>
      <c r="I356" s="113">
        <v>13.889999999999999</v>
      </c>
      <c r="J356" s="114">
        <f t="shared" si="44"/>
        <v>257919.9600000002</v>
      </c>
      <c r="K356" s="113">
        <f t="shared" si="45"/>
        <v>0</v>
      </c>
      <c r="L356" s="113">
        <v>257920</v>
      </c>
      <c r="M356" s="113">
        <v>0</v>
      </c>
      <c r="N356" s="113">
        <v>0</v>
      </c>
      <c r="O356" s="113">
        <v>0</v>
      </c>
      <c r="P356" s="113">
        <v>0</v>
      </c>
    </row>
    <row r="357" spans="2:16" ht="13.9" customHeight="1" outlineLevel="1" x14ac:dyDescent="0.25">
      <c r="B357" s="138"/>
      <c r="C357" s="84" t="s">
        <v>36</v>
      </c>
      <c r="D357" s="85">
        <v>0</v>
      </c>
      <c r="E357" s="86">
        <v>0</v>
      </c>
      <c r="F357" s="142">
        <f t="shared" si="43"/>
        <v>0</v>
      </c>
      <c r="G357" s="113">
        <v>0</v>
      </c>
      <c r="H357" s="86">
        <v>0</v>
      </c>
      <c r="I357" s="113">
        <v>0</v>
      </c>
      <c r="J357" s="114">
        <f t="shared" si="44"/>
        <v>0</v>
      </c>
      <c r="K357" s="113">
        <f t="shared" si="45"/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</row>
    <row r="358" spans="2:16" ht="13.9" customHeight="1" outlineLevel="1" x14ac:dyDescent="0.25">
      <c r="B358" s="138"/>
      <c r="C358" s="84" t="s">
        <v>37</v>
      </c>
      <c r="D358" s="85">
        <v>31</v>
      </c>
      <c r="E358" s="86">
        <v>35897636.310000002</v>
      </c>
      <c r="F358" s="142">
        <f t="shared" si="43"/>
        <v>37549872.429999992</v>
      </c>
      <c r="G358" s="113">
        <v>37549100.889999993</v>
      </c>
      <c r="H358" s="86">
        <v>8.0000000074505806E-2</v>
      </c>
      <c r="I358" s="113">
        <v>771.54000000000008</v>
      </c>
      <c r="J358" s="114">
        <f t="shared" si="44"/>
        <v>0</v>
      </c>
      <c r="K358" s="113">
        <f t="shared" si="45"/>
        <v>0</v>
      </c>
      <c r="L358" s="113">
        <v>0</v>
      </c>
      <c r="M358" s="113">
        <v>0</v>
      </c>
      <c r="N358" s="113">
        <v>0</v>
      </c>
      <c r="O358" s="113">
        <v>0</v>
      </c>
      <c r="P358" s="113">
        <v>0</v>
      </c>
    </row>
    <row r="359" spans="2:16" ht="13.9" customHeight="1" outlineLevel="1" x14ac:dyDescent="0.25">
      <c r="B359" s="138"/>
      <c r="C359" s="84" t="s">
        <v>38</v>
      </c>
      <c r="D359" s="85">
        <v>0</v>
      </c>
      <c r="E359" s="86">
        <v>0</v>
      </c>
      <c r="F359" s="142">
        <f t="shared" si="43"/>
        <v>0</v>
      </c>
      <c r="G359" s="113">
        <v>0</v>
      </c>
      <c r="H359" s="86">
        <v>0</v>
      </c>
      <c r="I359" s="113">
        <v>0</v>
      </c>
      <c r="J359" s="114">
        <f t="shared" si="44"/>
        <v>0</v>
      </c>
      <c r="K359" s="113">
        <f t="shared" si="45"/>
        <v>0</v>
      </c>
      <c r="L359" s="113">
        <v>0</v>
      </c>
      <c r="M359" s="113">
        <v>0</v>
      </c>
      <c r="N359" s="113">
        <v>0</v>
      </c>
      <c r="O359" s="113">
        <v>0</v>
      </c>
      <c r="P359" s="113">
        <v>0</v>
      </c>
    </row>
    <row r="360" spans="2:16" ht="13.9" customHeight="1" outlineLevel="1" x14ac:dyDescent="0.25">
      <c r="B360" s="138"/>
      <c r="C360" s="84" t="s">
        <v>39</v>
      </c>
      <c r="D360" s="85">
        <v>0</v>
      </c>
      <c r="E360" s="86">
        <v>0</v>
      </c>
      <c r="F360" s="142">
        <f t="shared" si="43"/>
        <v>0</v>
      </c>
      <c r="G360" s="113">
        <v>0</v>
      </c>
      <c r="H360" s="86">
        <v>0</v>
      </c>
      <c r="I360" s="113">
        <v>0</v>
      </c>
      <c r="J360" s="114">
        <f t="shared" si="44"/>
        <v>0</v>
      </c>
      <c r="K360" s="113">
        <f t="shared" si="45"/>
        <v>0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</row>
    <row r="361" spans="2:16" ht="13.9" customHeight="1" outlineLevel="1" x14ac:dyDescent="0.25">
      <c r="B361" s="138"/>
      <c r="C361" s="84" t="s">
        <v>40</v>
      </c>
      <c r="D361" s="85">
        <v>0</v>
      </c>
      <c r="E361" s="86">
        <v>0</v>
      </c>
      <c r="F361" s="142">
        <f t="shared" si="43"/>
        <v>0</v>
      </c>
      <c r="G361" s="113">
        <v>0</v>
      </c>
      <c r="H361" s="86">
        <v>0</v>
      </c>
      <c r="I361" s="113">
        <v>0</v>
      </c>
      <c r="J361" s="114">
        <f t="shared" si="44"/>
        <v>0</v>
      </c>
      <c r="K361" s="113">
        <f t="shared" si="45"/>
        <v>0</v>
      </c>
      <c r="L361" s="113">
        <v>0</v>
      </c>
      <c r="M361" s="113">
        <v>0</v>
      </c>
      <c r="N361" s="113">
        <v>0</v>
      </c>
      <c r="O361" s="113">
        <v>0</v>
      </c>
      <c r="P361" s="113">
        <v>0</v>
      </c>
    </row>
    <row r="362" spans="2:16" ht="13.9" customHeight="1" outlineLevel="1" x14ac:dyDescent="0.25">
      <c r="B362" s="138"/>
      <c r="C362" s="84" t="s">
        <v>41</v>
      </c>
      <c r="D362" s="85">
        <v>8</v>
      </c>
      <c r="E362" s="86">
        <v>8659571.0999999996</v>
      </c>
      <c r="F362" s="142">
        <f t="shared" si="43"/>
        <v>8687735.6099999994</v>
      </c>
      <c r="G362" s="113">
        <v>8687732.6600000001</v>
      </c>
      <c r="H362" s="86">
        <v>2.9000000000232831</v>
      </c>
      <c r="I362" s="113">
        <v>2.95</v>
      </c>
      <c r="J362" s="114">
        <f t="shared" si="44"/>
        <v>0</v>
      </c>
      <c r="K362" s="113">
        <f t="shared" si="45"/>
        <v>0</v>
      </c>
      <c r="L362" s="113">
        <v>0</v>
      </c>
      <c r="M362" s="113">
        <v>0</v>
      </c>
      <c r="N362" s="113">
        <v>0</v>
      </c>
      <c r="O362" s="113">
        <v>0</v>
      </c>
      <c r="P362" s="113">
        <v>0</v>
      </c>
    </row>
    <row r="363" spans="2:16" ht="13.9" customHeight="1" outlineLevel="1" x14ac:dyDescent="0.25">
      <c r="B363" s="138"/>
      <c r="C363" s="84" t="s">
        <v>42</v>
      </c>
      <c r="D363" s="85">
        <v>23</v>
      </c>
      <c r="E363" s="86">
        <v>34226128.340000004</v>
      </c>
      <c r="F363" s="142">
        <f t="shared" si="43"/>
        <v>24416491.050000001</v>
      </c>
      <c r="G363" s="113">
        <v>24257492.07</v>
      </c>
      <c r="H363" s="86">
        <v>9979123.1600000001</v>
      </c>
      <c r="I363" s="113">
        <v>158998.97999999998</v>
      </c>
      <c r="J363" s="114">
        <f t="shared" si="44"/>
        <v>9820124.1799999997</v>
      </c>
      <c r="K363" s="113">
        <f t="shared" si="45"/>
        <v>2633910.3299999982</v>
      </c>
      <c r="L363" s="113">
        <v>7186213.8500000015</v>
      </c>
      <c r="M363" s="113">
        <v>0</v>
      </c>
      <c r="N363" s="113">
        <v>0</v>
      </c>
      <c r="O363" s="113">
        <v>0</v>
      </c>
      <c r="P363" s="113">
        <v>0</v>
      </c>
    </row>
    <row r="364" spans="2:16" ht="13.9" customHeight="1" outlineLevel="1" x14ac:dyDescent="0.25">
      <c r="B364" s="138"/>
      <c r="C364" s="84" t="s">
        <v>43</v>
      </c>
      <c r="D364" s="85">
        <v>0</v>
      </c>
      <c r="E364" s="86">
        <v>0</v>
      </c>
      <c r="F364" s="142">
        <f t="shared" si="43"/>
        <v>0</v>
      </c>
      <c r="G364" s="113">
        <v>0</v>
      </c>
      <c r="H364" s="86">
        <v>0</v>
      </c>
      <c r="I364" s="113">
        <v>0</v>
      </c>
      <c r="J364" s="114">
        <f t="shared" si="44"/>
        <v>0</v>
      </c>
      <c r="K364" s="113">
        <f t="shared" si="45"/>
        <v>0</v>
      </c>
      <c r="L364" s="113">
        <v>0</v>
      </c>
      <c r="M364" s="113">
        <v>0</v>
      </c>
      <c r="N364" s="113">
        <v>0</v>
      </c>
      <c r="O364" s="113">
        <v>0</v>
      </c>
      <c r="P364" s="113">
        <v>0</v>
      </c>
    </row>
    <row r="365" spans="2:16" ht="13.9" customHeight="1" outlineLevel="1" x14ac:dyDescent="0.25">
      <c r="B365" s="138"/>
      <c r="C365" s="84" t="s">
        <v>44</v>
      </c>
      <c r="D365" s="85">
        <v>0</v>
      </c>
      <c r="E365" s="86">
        <v>0</v>
      </c>
      <c r="F365" s="142">
        <f t="shared" si="43"/>
        <v>0</v>
      </c>
      <c r="G365" s="113">
        <v>0</v>
      </c>
      <c r="H365" s="86">
        <v>0</v>
      </c>
      <c r="I365" s="113">
        <v>0</v>
      </c>
      <c r="J365" s="114">
        <f t="shared" si="44"/>
        <v>0</v>
      </c>
      <c r="K365" s="113">
        <f t="shared" si="45"/>
        <v>0</v>
      </c>
      <c r="L365" s="113">
        <v>0</v>
      </c>
      <c r="M365" s="113">
        <v>0</v>
      </c>
      <c r="N365" s="113">
        <v>0</v>
      </c>
      <c r="O365" s="113">
        <v>0</v>
      </c>
      <c r="P365" s="113">
        <v>0</v>
      </c>
    </row>
    <row r="366" spans="2:16" ht="13.9" customHeight="1" outlineLevel="1" x14ac:dyDescent="0.25">
      <c r="B366" s="138"/>
      <c r="C366" s="84" t="s">
        <v>45</v>
      </c>
      <c r="D366" s="85">
        <v>0</v>
      </c>
      <c r="E366" s="86">
        <v>0</v>
      </c>
      <c r="F366" s="142">
        <f t="shared" si="43"/>
        <v>0</v>
      </c>
      <c r="G366" s="113">
        <v>0</v>
      </c>
      <c r="H366" s="86">
        <v>0</v>
      </c>
      <c r="I366" s="113">
        <v>0</v>
      </c>
      <c r="J366" s="114">
        <f t="shared" si="44"/>
        <v>0</v>
      </c>
      <c r="K366" s="113">
        <f t="shared" si="45"/>
        <v>0</v>
      </c>
      <c r="L366" s="113">
        <v>0</v>
      </c>
      <c r="M366" s="113">
        <v>0</v>
      </c>
      <c r="N366" s="113">
        <v>0</v>
      </c>
      <c r="O366" s="113">
        <v>0</v>
      </c>
      <c r="P366" s="113">
        <v>0</v>
      </c>
    </row>
    <row r="367" spans="2:16" ht="13.9" customHeight="1" outlineLevel="1" x14ac:dyDescent="0.25">
      <c r="B367" s="138"/>
      <c r="C367" s="84" t="s">
        <v>46</v>
      </c>
      <c r="D367" s="85">
        <v>0</v>
      </c>
      <c r="E367" s="86">
        <v>0</v>
      </c>
      <c r="F367" s="142">
        <f t="shared" si="43"/>
        <v>0</v>
      </c>
      <c r="G367" s="113">
        <v>0</v>
      </c>
      <c r="H367" s="86">
        <v>0</v>
      </c>
      <c r="I367" s="113">
        <v>0</v>
      </c>
      <c r="J367" s="114">
        <f t="shared" si="44"/>
        <v>0</v>
      </c>
      <c r="K367" s="113">
        <f t="shared" si="45"/>
        <v>0</v>
      </c>
      <c r="L367" s="113">
        <v>0</v>
      </c>
      <c r="M367" s="113">
        <v>0</v>
      </c>
      <c r="N367" s="113">
        <v>0</v>
      </c>
      <c r="O367" s="113">
        <v>0</v>
      </c>
      <c r="P367" s="113">
        <v>0</v>
      </c>
    </row>
    <row r="368" spans="2:16" ht="13.9" customHeight="1" outlineLevel="1" x14ac:dyDescent="0.25">
      <c r="B368" s="138"/>
      <c r="C368" s="84" t="s">
        <v>47</v>
      </c>
      <c r="D368" s="85">
        <v>16</v>
      </c>
      <c r="E368" s="86">
        <v>23690599.77</v>
      </c>
      <c r="F368" s="142">
        <f t="shared" si="43"/>
        <v>17126136.900000002</v>
      </c>
      <c r="G368" s="113">
        <v>17126136.900000002</v>
      </c>
      <c r="H368" s="86">
        <v>6588950.3500000006</v>
      </c>
      <c r="I368" s="113">
        <v>0</v>
      </c>
      <c r="J368" s="114">
        <f t="shared" si="44"/>
        <v>6588950.3500000006</v>
      </c>
      <c r="K368" s="113">
        <f t="shared" si="45"/>
        <v>6588950.3500000006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</row>
    <row r="369" spans="2:16" ht="13.9" customHeight="1" outlineLevel="1" x14ac:dyDescent="0.25">
      <c r="B369" s="138"/>
      <c r="C369" s="84" t="s">
        <v>48</v>
      </c>
      <c r="D369" s="85">
        <v>9</v>
      </c>
      <c r="E369" s="86">
        <v>9696691.7000000011</v>
      </c>
      <c r="F369" s="142">
        <f t="shared" si="43"/>
        <v>7302386.5599999996</v>
      </c>
      <c r="G369" s="113">
        <v>7302386.5599999996</v>
      </c>
      <c r="H369" s="86">
        <v>2394305.4400000004</v>
      </c>
      <c r="I369" s="113">
        <v>0</v>
      </c>
      <c r="J369" s="114">
        <f t="shared" si="44"/>
        <v>2394305.4400000004</v>
      </c>
      <c r="K369" s="113">
        <f t="shared" si="45"/>
        <v>190801.28000000026</v>
      </c>
      <c r="L369" s="113">
        <v>2203504.16</v>
      </c>
      <c r="M369" s="113">
        <v>0</v>
      </c>
      <c r="N369" s="113">
        <v>0</v>
      </c>
      <c r="O369" s="113">
        <v>0</v>
      </c>
      <c r="P369" s="113">
        <v>0</v>
      </c>
    </row>
    <row r="370" spans="2:16" ht="13.9" customHeight="1" outlineLevel="1" x14ac:dyDescent="0.25">
      <c r="B370" s="138"/>
      <c r="C370" s="84" t="s">
        <v>49</v>
      </c>
      <c r="D370" s="85">
        <v>0</v>
      </c>
      <c r="E370" s="86">
        <v>0</v>
      </c>
      <c r="F370" s="142">
        <f t="shared" si="43"/>
        <v>0</v>
      </c>
      <c r="G370" s="113">
        <v>0</v>
      </c>
      <c r="H370" s="86">
        <v>0</v>
      </c>
      <c r="I370" s="113">
        <v>0</v>
      </c>
      <c r="J370" s="114">
        <f t="shared" si="44"/>
        <v>0</v>
      </c>
      <c r="K370" s="113">
        <f t="shared" si="45"/>
        <v>0</v>
      </c>
      <c r="L370" s="113">
        <v>0</v>
      </c>
      <c r="M370" s="113">
        <v>0</v>
      </c>
      <c r="N370" s="113">
        <v>0</v>
      </c>
      <c r="O370" s="113">
        <v>0</v>
      </c>
      <c r="P370" s="113">
        <v>0</v>
      </c>
    </row>
    <row r="371" spans="2:16" ht="13.9" customHeight="1" outlineLevel="1" x14ac:dyDescent="0.25">
      <c r="B371" s="138"/>
      <c r="C371" s="84" t="s">
        <v>50</v>
      </c>
      <c r="D371" s="85">
        <v>0</v>
      </c>
      <c r="E371" s="86">
        <v>0</v>
      </c>
      <c r="F371" s="142">
        <f t="shared" si="43"/>
        <v>0</v>
      </c>
      <c r="G371" s="113">
        <v>0</v>
      </c>
      <c r="H371" s="86">
        <v>0</v>
      </c>
      <c r="I371" s="113">
        <v>0</v>
      </c>
      <c r="J371" s="114">
        <f t="shared" si="44"/>
        <v>0</v>
      </c>
      <c r="K371" s="113">
        <f t="shared" si="45"/>
        <v>0</v>
      </c>
      <c r="L371" s="113">
        <v>0</v>
      </c>
      <c r="M371" s="113">
        <v>0</v>
      </c>
      <c r="N371" s="113">
        <v>0</v>
      </c>
      <c r="O371" s="113">
        <v>0</v>
      </c>
      <c r="P371" s="113">
        <v>0</v>
      </c>
    </row>
    <row r="372" spans="2:16" ht="13.9" customHeight="1" outlineLevel="1" x14ac:dyDescent="0.25">
      <c r="B372" s="138"/>
      <c r="C372" s="84" t="s">
        <v>51</v>
      </c>
      <c r="D372" s="85">
        <v>0</v>
      </c>
      <c r="E372" s="86">
        <v>0</v>
      </c>
      <c r="F372" s="142">
        <f t="shared" si="43"/>
        <v>0</v>
      </c>
      <c r="G372" s="113">
        <v>0</v>
      </c>
      <c r="H372" s="86">
        <v>0</v>
      </c>
      <c r="I372" s="113">
        <v>0</v>
      </c>
      <c r="J372" s="114">
        <f t="shared" si="44"/>
        <v>0</v>
      </c>
      <c r="K372" s="113">
        <f t="shared" si="45"/>
        <v>0</v>
      </c>
      <c r="L372" s="113">
        <v>0</v>
      </c>
      <c r="M372" s="113">
        <v>0</v>
      </c>
      <c r="N372" s="113">
        <v>0</v>
      </c>
      <c r="O372" s="113">
        <v>0</v>
      </c>
      <c r="P372" s="113">
        <v>0</v>
      </c>
    </row>
    <row r="373" spans="2:16" ht="13.9" customHeight="1" outlineLevel="1" x14ac:dyDescent="0.25">
      <c r="B373" s="138"/>
      <c r="C373" s="84" t="s">
        <v>52</v>
      </c>
      <c r="D373" s="85">
        <v>0</v>
      </c>
      <c r="E373" s="86">
        <v>0</v>
      </c>
      <c r="F373" s="142">
        <f t="shared" si="43"/>
        <v>0</v>
      </c>
      <c r="G373" s="113">
        <v>0</v>
      </c>
      <c r="H373" s="86">
        <v>0</v>
      </c>
      <c r="I373" s="113">
        <v>0</v>
      </c>
      <c r="J373" s="114">
        <f t="shared" si="44"/>
        <v>0</v>
      </c>
      <c r="K373" s="113">
        <f t="shared" si="45"/>
        <v>0</v>
      </c>
      <c r="L373" s="113">
        <v>0</v>
      </c>
      <c r="M373" s="113">
        <v>0</v>
      </c>
      <c r="N373" s="113">
        <v>0</v>
      </c>
      <c r="O373" s="113">
        <v>0</v>
      </c>
      <c r="P373" s="113">
        <v>0</v>
      </c>
    </row>
    <row r="374" spans="2:16" ht="13.9" customHeight="1" outlineLevel="1" x14ac:dyDescent="0.25">
      <c r="B374" s="138"/>
      <c r="C374" s="84" t="s">
        <v>53</v>
      </c>
      <c r="D374" s="85">
        <v>0</v>
      </c>
      <c r="E374" s="86">
        <v>0</v>
      </c>
      <c r="F374" s="142">
        <f t="shared" si="43"/>
        <v>0</v>
      </c>
      <c r="G374" s="113">
        <v>0</v>
      </c>
      <c r="H374" s="86">
        <v>0</v>
      </c>
      <c r="I374" s="113">
        <v>0</v>
      </c>
      <c r="J374" s="114">
        <f t="shared" si="44"/>
        <v>0</v>
      </c>
      <c r="K374" s="113">
        <f t="shared" si="45"/>
        <v>0</v>
      </c>
      <c r="L374" s="113">
        <v>0</v>
      </c>
      <c r="M374" s="113">
        <v>0</v>
      </c>
      <c r="N374" s="113">
        <v>0</v>
      </c>
      <c r="O374" s="113">
        <v>0</v>
      </c>
      <c r="P374" s="113">
        <v>0</v>
      </c>
    </row>
    <row r="375" spans="2:16" ht="13.9" customHeight="1" outlineLevel="1" x14ac:dyDescent="0.25">
      <c r="B375" s="138"/>
      <c r="C375" s="84" t="s">
        <v>54</v>
      </c>
      <c r="D375" s="85">
        <v>0</v>
      </c>
      <c r="E375" s="86">
        <v>0</v>
      </c>
      <c r="F375" s="142">
        <f t="shared" si="43"/>
        <v>0</v>
      </c>
      <c r="G375" s="113">
        <v>0</v>
      </c>
      <c r="H375" s="86">
        <v>0</v>
      </c>
      <c r="I375" s="113">
        <v>0</v>
      </c>
      <c r="J375" s="114">
        <f t="shared" si="44"/>
        <v>0</v>
      </c>
      <c r="K375" s="113">
        <f t="shared" si="45"/>
        <v>0</v>
      </c>
      <c r="L375" s="113">
        <v>0</v>
      </c>
      <c r="M375" s="113">
        <v>0</v>
      </c>
      <c r="N375" s="113">
        <v>0</v>
      </c>
      <c r="O375" s="113">
        <v>0</v>
      </c>
      <c r="P375" s="113">
        <v>0</v>
      </c>
    </row>
    <row r="376" spans="2:16" ht="13.9" customHeight="1" outlineLevel="1" x14ac:dyDescent="0.25">
      <c r="B376" s="138"/>
      <c r="C376" s="84" t="s">
        <v>55</v>
      </c>
      <c r="D376" s="85">
        <v>0</v>
      </c>
      <c r="E376" s="86">
        <v>0</v>
      </c>
      <c r="F376" s="142">
        <f t="shared" si="43"/>
        <v>0</v>
      </c>
      <c r="G376" s="113">
        <v>0</v>
      </c>
      <c r="H376" s="86">
        <v>0</v>
      </c>
      <c r="I376" s="113">
        <v>0</v>
      </c>
      <c r="J376" s="114">
        <f t="shared" si="44"/>
        <v>0</v>
      </c>
      <c r="K376" s="113">
        <f t="shared" si="45"/>
        <v>0</v>
      </c>
      <c r="L376" s="113">
        <v>0</v>
      </c>
      <c r="M376" s="113">
        <v>0</v>
      </c>
      <c r="N376" s="113">
        <v>0</v>
      </c>
      <c r="O376" s="113">
        <v>0</v>
      </c>
      <c r="P376" s="113">
        <v>0</v>
      </c>
    </row>
    <row r="377" spans="2:16" ht="13.9" customHeight="1" outlineLevel="1" x14ac:dyDescent="0.25">
      <c r="B377" s="138"/>
      <c r="C377" s="84" t="s">
        <v>56</v>
      </c>
      <c r="D377" s="85">
        <v>0</v>
      </c>
      <c r="E377" s="86">
        <v>0</v>
      </c>
      <c r="F377" s="142">
        <f t="shared" si="43"/>
        <v>0</v>
      </c>
      <c r="G377" s="113">
        <v>0</v>
      </c>
      <c r="H377" s="86">
        <v>0</v>
      </c>
      <c r="I377" s="113">
        <v>0</v>
      </c>
      <c r="J377" s="114">
        <f t="shared" si="44"/>
        <v>0</v>
      </c>
      <c r="K377" s="113">
        <f t="shared" si="45"/>
        <v>0</v>
      </c>
      <c r="L377" s="113">
        <v>0</v>
      </c>
      <c r="M377" s="113">
        <v>0</v>
      </c>
      <c r="N377" s="113">
        <v>0</v>
      </c>
      <c r="O377" s="113">
        <v>0</v>
      </c>
      <c r="P377" s="113">
        <v>0</v>
      </c>
    </row>
    <row r="378" spans="2:16" ht="13.9" customHeight="1" outlineLevel="1" x14ac:dyDescent="0.25">
      <c r="B378" s="138"/>
      <c r="C378" s="84" t="s">
        <v>57</v>
      </c>
      <c r="D378" s="85">
        <v>0</v>
      </c>
      <c r="E378" s="86">
        <v>0</v>
      </c>
      <c r="F378" s="142">
        <f t="shared" si="43"/>
        <v>0</v>
      </c>
      <c r="G378" s="113">
        <v>0</v>
      </c>
      <c r="H378" s="86">
        <v>0</v>
      </c>
      <c r="I378" s="113">
        <v>0</v>
      </c>
      <c r="J378" s="114">
        <f t="shared" si="44"/>
        <v>0</v>
      </c>
      <c r="K378" s="113">
        <f t="shared" si="45"/>
        <v>0</v>
      </c>
      <c r="L378" s="113">
        <v>0</v>
      </c>
      <c r="M378" s="113">
        <v>0</v>
      </c>
      <c r="N378" s="113">
        <v>0</v>
      </c>
      <c r="O378" s="113">
        <v>0</v>
      </c>
      <c r="P378" s="113">
        <v>0</v>
      </c>
    </row>
    <row r="379" spans="2:16" ht="13.9" customHeight="1" outlineLevel="1" x14ac:dyDescent="0.25">
      <c r="B379" s="138"/>
      <c r="C379" s="84" t="s">
        <v>58</v>
      </c>
      <c r="D379" s="85">
        <v>0</v>
      </c>
      <c r="E379" s="86">
        <v>0</v>
      </c>
      <c r="F379" s="142">
        <f t="shared" si="43"/>
        <v>0</v>
      </c>
      <c r="G379" s="113">
        <v>0</v>
      </c>
      <c r="H379" s="86">
        <v>0</v>
      </c>
      <c r="I379" s="113">
        <v>0</v>
      </c>
      <c r="J379" s="114">
        <f t="shared" si="44"/>
        <v>0</v>
      </c>
      <c r="K379" s="113">
        <f t="shared" si="45"/>
        <v>0</v>
      </c>
      <c r="L379" s="113">
        <v>0</v>
      </c>
      <c r="M379" s="113">
        <v>0</v>
      </c>
      <c r="N379" s="113">
        <v>0</v>
      </c>
      <c r="O379" s="113">
        <v>0</v>
      </c>
      <c r="P379" s="113">
        <v>0</v>
      </c>
    </row>
    <row r="380" spans="2:16" ht="13.9" customHeight="1" outlineLevel="1" x14ac:dyDescent="0.25">
      <c r="B380" s="138"/>
      <c r="C380" s="84" t="s">
        <v>59</v>
      </c>
      <c r="D380" s="85">
        <v>0</v>
      </c>
      <c r="E380" s="86">
        <v>0</v>
      </c>
      <c r="F380" s="142">
        <f t="shared" si="43"/>
        <v>0</v>
      </c>
      <c r="G380" s="113">
        <v>0</v>
      </c>
      <c r="H380" s="86">
        <v>0</v>
      </c>
      <c r="I380" s="113">
        <v>0</v>
      </c>
      <c r="J380" s="114">
        <f t="shared" si="44"/>
        <v>0</v>
      </c>
      <c r="K380" s="113">
        <f t="shared" si="45"/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</row>
    <row r="381" spans="2:16" ht="13.9" customHeight="1" outlineLevel="1" x14ac:dyDescent="0.25">
      <c r="B381" s="138"/>
      <c r="C381" s="84" t="s">
        <v>60</v>
      </c>
      <c r="D381" s="85">
        <v>0</v>
      </c>
      <c r="E381" s="86">
        <v>0</v>
      </c>
      <c r="F381" s="142">
        <f t="shared" si="43"/>
        <v>0</v>
      </c>
      <c r="G381" s="113">
        <v>0</v>
      </c>
      <c r="H381" s="86">
        <v>0</v>
      </c>
      <c r="I381" s="113">
        <v>0</v>
      </c>
      <c r="J381" s="114">
        <f t="shared" si="44"/>
        <v>0</v>
      </c>
      <c r="K381" s="113">
        <f t="shared" si="45"/>
        <v>0</v>
      </c>
      <c r="L381" s="113">
        <v>0</v>
      </c>
      <c r="M381" s="113">
        <v>0</v>
      </c>
      <c r="N381" s="113">
        <v>0</v>
      </c>
      <c r="O381" s="113">
        <v>0</v>
      </c>
      <c r="P381" s="113">
        <v>0</v>
      </c>
    </row>
    <row r="382" spans="2:16" ht="13.9" customHeight="1" outlineLevel="1" x14ac:dyDescent="0.25">
      <c r="B382" s="138"/>
      <c r="C382" s="84" t="s">
        <v>61</v>
      </c>
      <c r="D382" s="85">
        <v>0</v>
      </c>
      <c r="E382" s="86">
        <v>0</v>
      </c>
      <c r="F382" s="142">
        <f t="shared" si="43"/>
        <v>0</v>
      </c>
      <c r="G382" s="113">
        <v>0</v>
      </c>
      <c r="H382" s="86">
        <v>0</v>
      </c>
      <c r="I382" s="113">
        <v>0</v>
      </c>
      <c r="J382" s="114">
        <f t="shared" si="44"/>
        <v>0</v>
      </c>
      <c r="K382" s="113">
        <f t="shared" si="45"/>
        <v>0</v>
      </c>
      <c r="L382" s="113">
        <v>0</v>
      </c>
      <c r="M382" s="113">
        <v>0</v>
      </c>
      <c r="N382" s="113">
        <v>0</v>
      </c>
      <c r="O382" s="113">
        <v>0</v>
      </c>
      <c r="P382" s="113">
        <v>0</v>
      </c>
    </row>
    <row r="383" spans="2:16" ht="13.9" customHeight="1" outlineLevel="1" x14ac:dyDescent="0.25">
      <c r="B383" s="138"/>
      <c r="C383" s="84" t="s">
        <v>62</v>
      </c>
      <c r="D383" s="85">
        <v>0</v>
      </c>
      <c r="E383" s="86">
        <v>0</v>
      </c>
      <c r="F383" s="142">
        <f t="shared" si="43"/>
        <v>0</v>
      </c>
      <c r="G383" s="113">
        <v>0</v>
      </c>
      <c r="H383" s="86">
        <v>0</v>
      </c>
      <c r="I383" s="113">
        <v>0</v>
      </c>
      <c r="J383" s="114">
        <f t="shared" si="44"/>
        <v>0</v>
      </c>
      <c r="K383" s="113">
        <f t="shared" si="45"/>
        <v>0</v>
      </c>
      <c r="L383" s="113">
        <v>0</v>
      </c>
      <c r="M383" s="113">
        <v>0</v>
      </c>
      <c r="N383" s="113">
        <v>0</v>
      </c>
      <c r="O383" s="113">
        <v>0</v>
      </c>
      <c r="P383" s="113">
        <v>0</v>
      </c>
    </row>
    <row r="384" spans="2:16" ht="13.9" customHeight="1" outlineLevel="1" x14ac:dyDescent="0.25">
      <c r="B384" s="138"/>
      <c r="C384" s="84" t="s">
        <v>63</v>
      </c>
      <c r="D384" s="85">
        <v>0</v>
      </c>
      <c r="E384" s="86">
        <v>0</v>
      </c>
      <c r="F384" s="142">
        <f t="shared" si="43"/>
        <v>0</v>
      </c>
      <c r="G384" s="113">
        <v>0</v>
      </c>
      <c r="H384" s="86">
        <v>0</v>
      </c>
      <c r="I384" s="113">
        <v>0</v>
      </c>
      <c r="J384" s="114">
        <f t="shared" si="44"/>
        <v>0</v>
      </c>
      <c r="K384" s="113">
        <f t="shared" si="45"/>
        <v>0</v>
      </c>
      <c r="L384" s="113">
        <v>0</v>
      </c>
      <c r="M384" s="113">
        <v>0</v>
      </c>
      <c r="N384" s="113">
        <v>0</v>
      </c>
      <c r="O384" s="113">
        <v>0</v>
      </c>
      <c r="P384" s="113">
        <v>0</v>
      </c>
    </row>
    <row r="385" spans="2:16" ht="13.9" customHeight="1" outlineLevel="1" x14ac:dyDescent="0.25">
      <c r="B385" s="138"/>
      <c r="C385" s="84" t="s">
        <v>64</v>
      </c>
      <c r="D385" s="85">
        <v>1</v>
      </c>
      <c r="E385" s="86">
        <v>2095763.81</v>
      </c>
      <c r="F385" s="142">
        <f t="shared" si="43"/>
        <v>1467034.66</v>
      </c>
      <c r="G385" s="113">
        <v>1465508</v>
      </c>
      <c r="H385" s="86">
        <v>630255.81000000006</v>
      </c>
      <c r="I385" s="113">
        <v>1526.66</v>
      </c>
      <c r="J385" s="114">
        <f t="shared" si="44"/>
        <v>628729.15</v>
      </c>
      <c r="K385" s="113">
        <f t="shared" si="45"/>
        <v>628729.15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</row>
    <row r="386" spans="2:16" ht="13.9" customHeight="1" outlineLevel="1" x14ac:dyDescent="0.25">
      <c r="B386" s="138"/>
      <c r="C386" s="84" t="s">
        <v>65</v>
      </c>
      <c r="D386" s="85">
        <v>31</v>
      </c>
      <c r="E386" s="86">
        <v>38249213.539999999</v>
      </c>
      <c r="F386" s="142">
        <f t="shared" si="43"/>
        <v>38322923.04999999</v>
      </c>
      <c r="G386" s="113">
        <v>38322922.719999991</v>
      </c>
      <c r="H386" s="86">
        <v>0.32999999984167516</v>
      </c>
      <c r="I386" s="113">
        <v>0.33</v>
      </c>
      <c r="J386" s="114">
        <f t="shared" si="44"/>
        <v>0</v>
      </c>
      <c r="K386" s="113">
        <f t="shared" si="45"/>
        <v>0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</row>
    <row r="387" spans="2:16" ht="13.9" customHeight="1" outlineLevel="1" x14ac:dyDescent="0.25">
      <c r="B387" s="138"/>
      <c r="C387" s="84" t="s">
        <v>66</v>
      </c>
      <c r="D387" s="85">
        <v>12</v>
      </c>
      <c r="E387" s="86">
        <v>17365768.75</v>
      </c>
      <c r="F387" s="142">
        <f t="shared" si="43"/>
        <v>17488487.75</v>
      </c>
      <c r="G387" s="113">
        <v>17488483.370000001</v>
      </c>
      <c r="H387" s="86">
        <v>4.3700000001117587</v>
      </c>
      <c r="I387" s="113">
        <v>4.38</v>
      </c>
      <c r="J387" s="114">
        <f t="shared" si="44"/>
        <v>0</v>
      </c>
      <c r="K387" s="113">
        <f t="shared" si="45"/>
        <v>0</v>
      </c>
      <c r="L387" s="113">
        <v>0</v>
      </c>
      <c r="M387" s="113">
        <v>0</v>
      </c>
      <c r="N387" s="113">
        <v>0</v>
      </c>
      <c r="O387" s="113">
        <v>0</v>
      </c>
      <c r="P387" s="113">
        <v>0</v>
      </c>
    </row>
    <row r="388" spans="2:16" ht="13.9" customHeight="1" outlineLevel="1" x14ac:dyDescent="0.25">
      <c r="B388" s="138"/>
      <c r="C388" s="84" t="s">
        <v>67</v>
      </c>
      <c r="D388" s="85">
        <v>3</v>
      </c>
      <c r="E388" s="86">
        <v>4848459</v>
      </c>
      <c r="F388" s="142">
        <f t="shared" si="43"/>
        <v>3199807.9099999997</v>
      </c>
      <c r="G388" s="113">
        <v>3199807.9099999997</v>
      </c>
      <c r="H388" s="86">
        <v>1648651.09</v>
      </c>
      <c r="I388" s="113">
        <v>0</v>
      </c>
      <c r="J388" s="114">
        <f t="shared" si="44"/>
        <v>1648651.09</v>
      </c>
      <c r="K388" s="113">
        <f t="shared" si="45"/>
        <v>1648651.09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</row>
    <row r="389" spans="2:16" ht="13.9" customHeight="1" x14ac:dyDescent="0.25">
      <c r="B389" s="139"/>
      <c r="C389" s="78" t="s">
        <v>103</v>
      </c>
      <c r="D389" s="90">
        <f>SUM(D352:D388)</f>
        <v>278</v>
      </c>
      <c r="E389" s="91">
        <f t="shared" ref="E389:P389" si="46">SUM(E352:E388)</f>
        <v>345821277.11000007</v>
      </c>
      <c r="F389" s="92">
        <f t="shared" si="46"/>
        <v>304338717.24000007</v>
      </c>
      <c r="G389" s="93">
        <f t="shared" si="46"/>
        <v>303831236.67000002</v>
      </c>
      <c r="H389" s="90">
        <f t="shared" si="46"/>
        <v>44659542.9925</v>
      </c>
      <c r="I389" s="91">
        <f t="shared" si="46"/>
        <v>507480.56999999995</v>
      </c>
      <c r="J389" s="92">
        <f t="shared" si="46"/>
        <v>44152833.942500003</v>
      </c>
      <c r="K389" s="93">
        <f t="shared" si="46"/>
        <v>27247180.032499999</v>
      </c>
      <c r="L389" s="90">
        <f t="shared" si="46"/>
        <v>15998309.070000004</v>
      </c>
      <c r="M389" s="91">
        <f t="shared" si="46"/>
        <v>907344.88</v>
      </c>
      <c r="N389" s="90">
        <f t="shared" si="46"/>
        <v>0</v>
      </c>
      <c r="O389" s="91">
        <f t="shared" si="46"/>
        <v>0</v>
      </c>
      <c r="P389" s="91">
        <f t="shared" si="46"/>
        <v>0</v>
      </c>
    </row>
    <row r="390" spans="2:16" ht="13.9" customHeight="1" outlineLevel="1" x14ac:dyDescent="0.25">
      <c r="B390" s="137" t="s">
        <v>83</v>
      </c>
      <c r="C390" s="84" t="s">
        <v>70</v>
      </c>
      <c r="D390" s="85">
        <v>5</v>
      </c>
      <c r="E390" s="86">
        <v>6558502.6899999995</v>
      </c>
      <c r="F390" s="142">
        <f>G390+I390</f>
        <v>4673004</v>
      </c>
      <c r="G390" s="113">
        <v>4673004</v>
      </c>
      <c r="H390" s="86">
        <v>1885498.69</v>
      </c>
      <c r="I390" s="113">
        <v>0</v>
      </c>
      <c r="J390" s="114">
        <f>MAX(0,H390-I390)</f>
        <v>1885498.69</v>
      </c>
      <c r="K390" s="113">
        <f>MAX(J390-SUM(L390:P390),0)</f>
        <v>0</v>
      </c>
      <c r="L390" s="113">
        <v>1884997.9</v>
      </c>
      <c r="M390" s="113">
        <v>500.8</v>
      </c>
      <c r="N390" s="113">
        <v>0</v>
      </c>
      <c r="O390" s="113">
        <v>0</v>
      </c>
      <c r="P390" s="113">
        <v>0</v>
      </c>
    </row>
    <row r="391" spans="2:16" ht="13.9" customHeight="1" outlineLevel="1" x14ac:dyDescent="0.25">
      <c r="B391" s="138"/>
      <c r="C391" s="84" t="s">
        <v>71</v>
      </c>
      <c r="D391" s="85">
        <v>0</v>
      </c>
      <c r="E391" s="86">
        <v>0</v>
      </c>
      <c r="F391" s="142">
        <f>G391+I391</f>
        <v>0</v>
      </c>
      <c r="G391" s="113">
        <v>0</v>
      </c>
      <c r="H391" s="86">
        <v>0</v>
      </c>
      <c r="I391" s="113">
        <v>0</v>
      </c>
      <c r="J391" s="114">
        <f>MAX(0,H391-I391)</f>
        <v>0</v>
      </c>
      <c r="K391" s="113">
        <f>MAX(J391-SUM(L391:P391),0)</f>
        <v>0</v>
      </c>
      <c r="L391" s="113">
        <v>0</v>
      </c>
      <c r="M391" s="113">
        <v>0</v>
      </c>
      <c r="N391" s="113">
        <v>0</v>
      </c>
      <c r="O391" s="113">
        <v>0</v>
      </c>
      <c r="P391" s="113">
        <v>0</v>
      </c>
    </row>
    <row r="392" spans="2:16" ht="13.9" customHeight="1" outlineLevel="1" x14ac:dyDescent="0.25">
      <c r="B392" s="138"/>
      <c r="C392" s="84" t="s">
        <v>72</v>
      </c>
      <c r="D392" s="85">
        <v>1</v>
      </c>
      <c r="E392" s="86">
        <v>1614242.05</v>
      </c>
      <c r="F392" s="142">
        <f>G392+I392</f>
        <v>1614242</v>
      </c>
      <c r="G392" s="113">
        <v>1614242</v>
      </c>
      <c r="H392" s="86">
        <v>5.0000000046566129E-2</v>
      </c>
      <c r="I392" s="113">
        <v>0</v>
      </c>
      <c r="J392" s="114">
        <f>MAX(0,H392-I392)</f>
        <v>5.0000000046566129E-2</v>
      </c>
      <c r="K392" s="113">
        <f>MAX(J392-SUM(L392:P392),0)</f>
        <v>5.0000000046566129E-2</v>
      </c>
      <c r="L392" s="113">
        <v>0</v>
      </c>
      <c r="M392" s="113">
        <v>0</v>
      </c>
      <c r="N392" s="113">
        <v>0</v>
      </c>
      <c r="O392" s="113">
        <v>0</v>
      </c>
      <c r="P392" s="113">
        <v>0</v>
      </c>
    </row>
    <row r="393" spans="2:16" ht="13.9" customHeight="1" x14ac:dyDescent="0.25">
      <c r="B393" s="139"/>
      <c r="C393" s="78" t="s">
        <v>104</v>
      </c>
      <c r="D393" s="90">
        <f t="shared" ref="D393:P393" si="47">SUM(D390:D392)</f>
        <v>6</v>
      </c>
      <c r="E393" s="91">
        <f t="shared" si="47"/>
        <v>8172744.7399999993</v>
      </c>
      <c r="F393" s="92">
        <f t="shared" si="47"/>
        <v>6287246</v>
      </c>
      <c r="G393" s="93">
        <f t="shared" si="47"/>
        <v>6287246</v>
      </c>
      <c r="H393" s="90">
        <f t="shared" si="47"/>
        <v>1885498.74</v>
      </c>
      <c r="I393" s="91">
        <f t="shared" si="47"/>
        <v>0</v>
      </c>
      <c r="J393" s="92">
        <f t="shared" si="47"/>
        <v>1885498.74</v>
      </c>
      <c r="K393" s="93">
        <f t="shared" si="47"/>
        <v>5.0000000046566129E-2</v>
      </c>
      <c r="L393" s="90">
        <f t="shared" si="47"/>
        <v>1884997.9</v>
      </c>
      <c r="M393" s="91">
        <f t="shared" si="47"/>
        <v>500.8</v>
      </c>
      <c r="N393" s="90">
        <f t="shared" si="47"/>
        <v>0</v>
      </c>
      <c r="O393" s="91">
        <f t="shared" si="47"/>
        <v>0</v>
      </c>
      <c r="P393" s="91">
        <f t="shared" si="47"/>
        <v>0</v>
      </c>
    </row>
    <row r="394" spans="2:16" ht="13.9" customHeight="1" outlineLevel="1" x14ac:dyDescent="0.25">
      <c r="B394" s="137" t="s">
        <v>105</v>
      </c>
      <c r="C394" s="84" t="s">
        <v>75</v>
      </c>
      <c r="D394" s="85">
        <v>0</v>
      </c>
      <c r="E394" s="86">
        <v>0</v>
      </c>
      <c r="F394" s="142">
        <f>G394+I394</f>
        <v>0</v>
      </c>
      <c r="G394" s="113">
        <v>0</v>
      </c>
      <c r="H394" s="86">
        <v>0</v>
      </c>
      <c r="I394" s="113">
        <v>0</v>
      </c>
      <c r="J394" s="114">
        <f>MAX(0,H394-I394)</f>
        <v>0</v>
      </c>
      <c r="K394" s="113">
        <f>MAX(J394-SUM(L394:P394),0)</f>
        <v>0</v>
      </c>
      <c r="L394" s="113">
        <v>0</v>
      </c>
      <c r="M394" s="113">
        <v>0</v>
      </c>
      <c r="N394" s="113">
        <v>0</v>
      </c>
      <c r="O394" s="113">
        <v>0</v>
      </c>
      <c r="P394" s="113">
        <v>0</v>
      </c>
    </row>
    <row r="395" spans="2:16" ht="13.9" customHeight="1" outlineLevel="1" x14ac:dyDescent="0.25">
      <c r="B395" s="138"/>
      <c r="C395" s="84" t="s">
        <v>76</v>
      </c>
      <c r="D395" s="85">
        <v>1</v>
      </c>
      <c r="E395" s="86">
        <v>1239700.97</v>
      </c>
      <c r="F395" s="142">
        <f>G395+I395</f>
        <v>1239701</v>
      </c>
      <c r="G395" s="113">
        <v>1239701</v>
      </c>
      <c r="H395" s="86">
        <v>0</v>
      </c>
      <c r="I395" s="113">
        <v>0</v>
      </c>
      <c r="J395" s="114">
        <f>MAX(0,H395-I395)</f>
        <v>0</v>
      </c>
      <c r="K395" s="113">
        <f>MAX(J395-SUM(L395:P395),0)</f>
        <v>0</v>
      </c>
      <c r="L395" s="113">
        <v>0</v>
      </c>
      <c r="M395" s="113">
        <v>0</v>
      </c>
      <c r="N395" s="113">
        <v>0</v>
      </c>
      <c r="O395" s="113">
        <v>0</v>
      </c>
      <c r="P395" s="113">
        <v>0</v>
      </c>
    </row>
    <row r="396" spans="2:16" ht="13.9" customHeight="1" x14ac:dyDescent="0.25">
      <c r="B396" s="139"/>
      <c r="C396" s="78" t="s">
        <v>106</v>
      </c>
      <c r="D396" s="90">
        <f t="shared" ref="D396:P396" si="48">SUM(D394:D395)</f>
        <v>1</v>
      </c>
      <c r="E396" s="91">
        <f t="shared" si="48"/>
        <v>1239700.97</v>
      </c>
      <c r="F396" s="92">
        <f t="shared" si="48"/>
        <v>1239701</v>
      </c>
      <c r="G396" s="93">
        <f t="shared" si="48"/>
        <v>1239701</v>
      </c>
      <c r="H396" s="90">
        <f t="shared" si="48"/>
        <v>0</v>
      </c>
      <c r="I396" s="91">
        <f t="shared" si="48"/>
        <v>0</v>
      </c>
      <c r="J396" s="92">
        <f t="shared" si="48"/>
        <v>0</v>
      </c>
      <c r="K396" s="93">
        <f t="shared" si="48"/>
        <v>0</v>
      </c>
      <c r="L396" s="90">
        <f t="shared" si="48"/>
        <v>0</v>
      </c>
      <c r="M396" s="91">
        <f t="shared" si="48"/>
        <v>0</v>
      </c>
      <c r="N396" s="90">
        <f t="shared" si="48"/>
        <v>0</v>
      </c>
      <c r="O396" s="91">
        <f t="shared" si="48"/>
        <v>0</v>
      </c>
      <c r="P396" s="91">
        <f t="shared" si="48"/>
        <v>0</v>
      </c>
    </row>
    <row r="397" spans="2:16" ht="13.9" customHeight="1" x14ac:dyDescent="0.25">
      <c r="B397" s="140" t="s">
        <v>78</v>
      </c>
      <c r="C397" s="141"/>
      <c r="D397" s="90">
        <f>+D389+D393+D396</f>
        <v>285</v>
      </c>
      <c r="E397" s="91">
        <f t="shared" ref="E397:P397" si="49">+E389+E393+E396</f>
        <v>355233722.82000011</v>
      </c>
      <c r="F397" s="92">
        <f t="shared" si="49"/>
        <v>311865664.24000007</v>
      </c>
      <c r="G397" s="93">
        <f t="shared" si="49"/>
        <v>311358183.67000002</v>
      </c>
      <c r="H397" s="90">
        <f t="shared" si="49"/>
        <v>46545041.732500002</v>
      </c>
      <c r="I397" s="91">
        <f t="shared" si="49"/>
        <v>507480.56999999995</v>
      </c>
      <c r="J397" s="92">
        <f t="shared" si="49"/>
        <v>46038332.682500005</v>
      </c>
      <c r="K397" s="93">
        <f t="shared" si="49"/>
        <v>27247180.0825</v>
      </c>
      <c r="L397" s="90">
        <f t="shared" si="49"/>
        <v>17883306.970000003</v>
      </c>
      <c r="M397" s="91">
        <f t="shared" si="49"/>
        <v>907845.68</v>
      </c>
      <c r="N397" s="90">
        <f t="shared" si="49"/>
        <v>0</v>
      </c>
      <c r="O397" s="91">
        <f t="shared" si="49"/>
        <v>0</v>
      </c>
      <c r="P397" s="91">
        <f t="shared" si="49"/>
        <v>0</v>
      </c>
    </row>
    <row r="398" spans="2:16" ht="13.9" customHeight="1" x14ac:dyDescent="0.25"/>
    <row r="399" spans="2:16" ht="13.9" customHeight="1" x14ac:dyDescent="0.25"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</row>
    <row r="400" spans="2:16" x14ac:dyDescent="0.25"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</row>
    <row r="401" spans="4:16" x14ac:dyDescent="0.25">
      <c r="H401" s="71"/>
      <c r="J401" s="71"/>
      <c r="K401" s="71"/>
      <c r="L401" s="71"/>
      <c r="M401" s="71"/>
      <c r="N401" s="71"/>
      <c r="O401" s="71"/>
      <c r="P401" s="71"/>
    </row>
    <row r="402" spans="4:16" x14ac:dyDescent="0.25">
      <c r="H402" s="58"/>
      <c r="J402" s="58"/>
      <c r="K402" s="58"/>
      <c r="L402" s="58"/>
      <c r="M402" s="58"/>
      <c r="N402" s="58"/>
      <c r="O402" s="58"/>
      <c r="P402" s="58"/>
    </row>
    <row r="403" spans="4:16" x14ac:dyDescent="0.25"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</row>
    <row r="404" spans="4:16" x14ac:dyDescent="0.25"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</row>
    <row r="405" spans="4:16" x14ac:dyDescent="0.25"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</row>
    <row r="406" spans="4:16" x14ac:dyDescent="0.25"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</row>
    <row r="407" spans="4:16" x14ac:dyDescent="0.25"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</row>
    <row r="408" spans="4:16" x14ac:dyDescent="0.25"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</row>
    <row r="409" spans="4:16" x14ac:dyDescent="0.25"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</row>
    <row r="410" spans="4:16" ht="15.75" x14ac:dyDescent="0.25">
      <c r="D410" s="143"/>
      <c r="E410" s="144"/>
      <c r="F410" s="145"/>
      <c r="G410" s="145"/>
      <c r="H410" s="144"/>
      <c r="I410" s="145"/>
      <c r="J410" s="146"/>
      <c r="K410" s="145"/>
      <c r="L410" s="145"/>
      <c r="M410" s="145"/>
      <c r="N410" s="145"/>
      <c r="O410" s="145"/>
      <c r="P410" s="145"/>
    </row>
    <row r="411" spans="4:16" x14ac:dyDescent="0.25"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4:16" x14ac:dyDescent="0.25"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4" spans="4:16" x14ac:dyDescent="0.25">
      <c r="E414" s="58"/>
      <c r="J414" s="58"/>
      <c r="K414" s="58"/>
    </row>
  </sheetData>
  <mergeCells count="48">
    <mergeCell ref="B345:B347"/>
    <mergeCell ref="B348:C348"/>
    <mergeCell ref="B352:B389"/>
    <mergeCell ref="B390:B393"/>
    <mergeCell ref="B394:B396"/>
    <mergeCell ref="B397:C397"/>
    <mergeCell ref="B254:B291"/>
    <mergeCell ref="B292:B295"/>
    <mergeCell ref="B296:B298"/>
    <mergeCell ref="B299:C299"/>
    <mergeCell ref="B303:B340"/>
    <mergeCell ref="B341:B344"/>
    <mergeCell ref="B197:B199"/>
    <mergeCell ref="B200:C200"/>
    <mergeCell ref="B205:B242"/>
    <mergeCell ref="B243:B246"/>
    <mergeCell ref="B247:B249"/>
    <mergeCell ref="B250:C250"/>
    <mergeCell ref="B106:B143"/>
    <mergeCell ref="B144:B147"/>
    <mergeCell ref="B148:B150"/>
    <mergeCell ref="B151:C151"/>
    <mergeCell ref="B155:B192"/>
    <mergeCell ref="B193:B196"/>
    <mergeCell ref="L55:M55"/>
    <mergeCell ref="N55:O55"/>
    <mergeCell ref="B57:B94"/>
    <mergeCell ref="B95:B98"/>
    <mergeCell ref="B99:B101"/>
    <mergeCell ref="B102:C102"/>
    <mergeCell ref="B52:C52"/>
    <mergeCell ref="B55:B56"/>
    <mergeCell ref="D55:E55"/>
    <mergeCell ref="F55:G55"/>
    <mergeCell ref="H55:I55"/>
    <mergeCell ref="J55:K55"/>
    <mergeCell ref="N3:O3"/>
    <mergeCell ref="B5:B42"/>
    <mergeCell ref="B43:B46"/>
    <mergeCell ref="B47:B49"/>
    <mergeCell ref="B50:C50"/>
    <mergeCell ref="B51:C51"/>
    <mergeCell ref="B3:B4"/>
    <mergeCell ref="D3:E3"/>
    <mergeCell ref="F3:G3"/>
    <mergeCell ref="H3:I3"/>
    <mergeCell ref="J3:K3"/>
    <mergeCell ref="L3:M3"/>
  </mergeCells>
  <conditionalFormatting sqref="B3">
    <cfRule type="cellIs" dxfId="86" priority="11" operator="lessThan">
      <formula>0</formula>
    </cfRule>
  </conditionalFormatting>
  <conditionalFormatting sqref="B104">
    <cfRule type="cellIs" dxfId="85" priority="3" operator="lessThan">
      <formula>0</formula>
    </cfRule>
  </conditionalFormatting>
  <conditionalFormatting sqref="B151">
    <cfRule type="cellIs" dxfId="84" priority="12" operator="lessThan">
      <formula>0</formula>
    </cfRule>
  </conditionalFormatting>
  <conditionalFormatting sqref="B200">
    <cfRule type="cellIs" dxfId="83" priority="10" operator="lessThan">
      <formula>0</formula>
    </cfRule>
  </conditionalFormatting>
  <conditionalFormatting sqref="B250">
    <cfRule type="cellIs" dxfId="82" priority="9" operator="lessThan">
      <formula>0</formula>
    </cfRule>
  </conditionalFormatting>
  <conditionalFormatting sqref="B299">
    <cfRule type="cellIs" dxfId="81" priority="8" operator="lessThan">
      <formula>0</formula>
    </cfRule>
  </conditionalFormatting>
  <conditionalFormatting sqref="B348">
    <cfRule type="cellIs" dxfId="80" priority="7" operator="lessThan">
      <formula>0</formula>
    </cfRule>
  </conditionalFormatting>
  <conditionalFormatting sqref="B397">
    <cfRule type="cellIs" dxfId="79" priority="6" operator="lessThan">
      <formula>0</formula>
    </cfRule>
  </conditionalFormatting>
  <conditionalFormatting sqref="C403:C455">
    <cfRule type="duplicateValues" dxfId="78" priority="14"/>
  </conditionalFormatting>
  <conditionalFormatting sqref="C1:R49 B50:B52 D50:P52 C53:P101 B102 D102:P102 E103:P104 C105:C150 D105:P151 E152:P152 B153 C154:C199 D153:P200 B203 C204:C249 D203:P250 C251:P251 B252 C253:C298 D252:P299 B301 C302:C347 D301:P348 B350 C351:C396 D350:P397 C399:C401">
    <cfRule type="cellIs" dxfId="77" priority="13" operator="lessThan">
      <formula>0</formula>
    </cfRule>
  </conditionalFormatting>
  <conditionalFormatting sqref="D399:P402">
    <cfRule type="cellIs" dxfId="76" priority="5" operator="lessThan">
      <formula>0</formula>
    </cfRule>
  </conditionalFormatting>
  <conditionalFormatting sqref="D410:P410">
    <cfRule type="cellIs" dxfId="75" priority="4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7" fitToHeight="2" orientation="landscape" r:id="rId1"/>
  <headerFooter alignWithMargins="0">
    <oddHeader>&amp;LSOBHA LLC&amp;C&amp;18
Bulk buyers_less than 5mn_Paid% category VS Balance collectibles YOY breakup&amp;R&amp;D</oddHeader>
    <oddFooter>&amp;LCOLLECTIONS&amp;R&amp;P/&amp;N</oddFooter>
  </headerFooter>
  <rowBreaks count="1" manualBreakCount="1">
    <brk id="102" min="1" max="1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C043-B0E3-4ABC-87B5-CA1FDEFD6D2B}">
  <dimension ref="A3:R414"/>
  <sheetViews>
    <sheetView view="pageBreakPreview" topLeftCell="C386" zoomScale="70" zoomScaleNormal="100" zoomScaleSheetLayoutView="70" workbookViewId="0">
      <selection activeCell="F404" sqref="F404"/>
    </sheetView>
  </sheetViews>
  <sheetFormatPr defaultRowHeight="15" outlineLevelRow="1" x14ac:dyDescent="0.25"/>
  <cols>
    <col min="1" max="1" width="13.85546875" bestFit="1" customWidth="1"/>
    <col min="2" max="2" width="13.85546875" customWidth="1"/>
    <col min="3" max="3" width="78.85546875" bestFit="1" customWidth="1"/>
    <col min="4" max="4" width="15.42578125" bestFit="1" customWidth="1"/>
    <col min="5" max="5" width="22.5703125" bestFit="1" customWidth="1"/>
    <col min="6" max="6" width="26.5703125" bestFit="1" customWidth="1"/>
    <col min="7" max="9" width="22.5703125" bestFit="1" customWidth="1"/>
    <col min="10" max="10" width="22.28515625" bestFit="1" customWidth="1"/>
    <col min="11" max="11" width="22.5703125" bestFit="1" customWidth="1"/>
    <col min="12" max="12" width="17.7109375" bestFit="1" customWidth="1"/>
    <col min="13" max="13" width="22.5703125" bestFit="1" customWidth="1"/>
    <col min="14" max="14" width="17.7109375" bestFit="1" customWidth="1"/>
    <col min="15" max="15" width="22.5703125" bestFit="1" customWidth="1"/>
    <col min="16" max="16" width="18.140625" customWidth="1"/>
    <col min="17" max="17" width="8.140625" bestFit="1" customWidth="1"/>
    <col min="18" max="18" width="22.28515625" bestFit="1" customWidth="1"/>
    <col min="19" max="19" width="17.85546875" bestFit="1" customWidth="1"/>
    <col min="20" max="21" width="13.28515625" bestFit="1" customWidth="1"/>
    <col min="23" max="23" width="18.42578125" customWidth="1"/>
  </cols>
  <sheetData>
    <row r="3" spans="1:18" ht="13.9" customHeight="1" x14ac:dyDescent="0.25">
      <c r="A3">
        <v>3</v>
      </c>
      <c r="B3" s="147" t="s">
        <v>26</v>
      </c>
      <c r="C3" s="148" t="s">
        <v>19</v>
      </c>
      <c r="D3" s="73" t="s">
        <v>20</v>
      </c>
      <c r="E3" s="74"/>
      <c r="F3" s="75" t="s">
        <v>21</v>
      </c>
      <c r="G3" s="76"/>
      <c r="H3" s="73" t="s">
        <v>22</v>
      </c>
      <c r="I3" s="74"/>
      <c r="J3" s="75" t="s">
        <v>23</v>
      </c>
      <c r="K3" s="76"/>
      <c r="L3" s="73" t="s">
        <v>24</v>
      </c>
      <c r="M3" s="74"/>
      <c r="N3" s="73" t="s">
        <v>25</v>
      </c>
      <c r="O3" s="74"/>
      <c r="P3" s="77"/>
      <c r="Q3" s="77"/>
      <c r="R3" s="77"/>
    </row>
    <row r="4" spans="1:18" ht="13.9" customHeight="1" x14ac:dyDescent="0.25">
      <c r="A4" t="s">
        <v>95</v>
      </c>
      <c r="B4" s="147"/>
      <c r="C4" s="148" t="s">
        <v>102</v>
      </c>
      <c r="D4" s="79" t="s">
        <v>28</v>
      </c>
      <c r="E4" s="80" t="s">
        <v>29</v>
      </c>
      <c r="F4" s="81" t="s">
        <v>28</v>
      </c>
      <c r="G4" s="82" t="s">
        <v>29</v>
      </c>
      <c r="H4" s="79" t="s">
        <v>28</v>
      </c>
      <c r="I4" s="80" t="s">
        <v>29</v>
      </c>
      <c r="J4" s="81" t="s">
        <v>28</v>
      </c>
      <c r="K4" s="82" t="s">
        <v>29</v>
      </c>
      <c r="L4" s="79" t="s">
        <v>28</v>
      </c>
      <c r="M4" s="80" t="s">
        <v>29</v>
      </c>
      <c r="N4" s="79" t="s">
        <v>28</v>
      </c>
      <c r="O4" s="80" t="s">
        <v>29</v>
      </c>
      <c r="P4" s="83"/>
      <c r="Q4" s="83"/>
      <c r="R4" s="83"/>
    </row>
    <row r="5" spans="1:18" ht="13.9" customHeight="1" outlineLevel="1" x14ac:dyDescent="0.25">
      <c r="B5" s="149" t="s">
        <v>30</v>
      </c>
      <c r="C5" s="150" t="s">
        <v>31</v>
      </c>
      <c r="D5" s="85">
        <v>0</v>
      </c>
      <c r="E5" s="86">
        <v>0</v>
      </c>
      <c r="F5" s="85">
        <v>0</v>
      </c>
      <c r="G5" s="86">
        <v>0</v>
      </c>
      <c r="H5" s="85">
        <v>0</v>
      </c>
      <c r="I5" s="86">
        <v>0</v>
      </c>
      <c r="J5" s="85">
        <v>0</v>
      </c>
      <c r="K5" s="86">
        <v>0</v>
      </c>
      <c r="L5" s="85">
        <v>15</v>
      </c>
      <c r="M5" s="86">
        <v>25989994.59</v>
      </c>
      <c r="N5" s="85">
        <v>32</v>
      </c>
      <c r="O5" s="86">
        <v>59969634.079999983</v>
      </c>
      <c r="P5" s="87"/>
      <c r="Q5" s="87"/>
      <c r="R5" s="87"/>
    </row>
    <row r="6" spans="1:18" ht="13.9" customHeight="1" outlineLevel="1" x14ac:dyDescent="0.25">
      <c r="B6" s="149"/>
      <c r="C6" s="150" t="s">
        <v>32</v>
      </c>
      <c r="D6" s="85">
        <v>0</v>
      </c>
      <c r="E6" s="86">
        <v>0</v>
      </c>
      <c r="F6" s="85">
        <v>0</v>
      </c>
      <c r="G6" s="86">
        <v>0</v>
      </c>
      <c r="H6" s="85">
        <v>0</v>
      </c>
      <c r="I6" s="86">
        <v>0</v>
      </c>
      <c r="J6" s="85">
        <v>0</v>
      </c>
      <c r="K6" s="86">
        <v>0</v>
      </c>
      <c r="L6" s="85">
        <v>0</v>
      </c>
      <c r="M6" s="86">
        <v>0</v>
      </c>
      <c r="N6" s="85">
        <v>5</v>
      </c>
      <c r="O6" s="86">
        <v>12635059.810000001</v>
      </c>
      <c r="P6" s="87"/>
      <c r="Q6" s="87"/>
      <c r="R6" s="87"/>
    </row>
    <row r="7" spans="1:18" ht="13.9" customHeight="1" outlineLevel="1" x14ac:dyDescent="0.25">
      <c r="B7" s="149"/>
      <c r="C7" s="150" t="s">
        <v>33</v>
      </c>
      <c r="D7" s="85">
        <v>1</v>
      </c>
      <c r="E7" s="86">
        <v>1094458.75</v>
      </c>
      <c r="F7" s="85">
        <v>0</v>
      </c>
      <c r="G7" s="86">
        <v>0</v>
      </c>
      <c r="H7" s="85">
        <v>0</v>
      </c>
      <c r="I7" s="86">
        <v>0</v>
      </c>
      <c r="J7" s="85">
        <v>0</v>
      </c>
      <c r="K7" s="86">
        <v>0</v>
      </c>
      <c r="L7" s="85">
        <v>2</v>
      </c>
      <c r="M7" s="86">
        <v>2663006.5</v>
      </c>
      <c r="N7" s="85">
        <v>47</v>
      </c>
      <c r="O7" s="86">
        <v>92148431.849999994</v>
      </c>
      <c r="P7" s="87"/>
      <c r="Q7" s="87"/>
      <c r="R7" s="87"/>
    </row>
    <row r="8" spans="1:18" ht="13.9" customHeight="1" outlineLevel="1" x14ac:dyDescent="0.25">
      <c r="B8" s="149"/>
      <c r="C8" s="150" t="s">
        <v>34</v>
      </c>
      <c r="D8" s="85">
        <v>0</v>
      </c>
      <c r="E8" s="86">
        <v>0</v>
      </c>
      <c r="F8" s="85">
        <v>0</v>
      </c>
      <c r="G8" s="86">
        <v>0</v>
      </c>
      <c r="H8" s="85">
        <v>0</v>
      </c>
      <c r="I8" s="86">
        <v>0</v>
      </c>
      <c r="J8" s="85">
        <v>0</v>
      </c>
      <c r="K8" s="86">
        <v>0</v>
      </c>
      <c r="L8" s="85">
        <v>33</v>
      </c>
      <c r="M8" s="86">
        <v>76067835.25</v>
      </c>
      <c r="N8" s="85">
        <v>20</v>
      </c>
      <c r="O8" s="86">
        <v>52918543</v>
      </c>
      <c r="P8" s="87"/>
      <c r="Q8" s="87"/>
      <c r="R8" s="87"/>
    </row>
    <row r="9" spans="1:18" ht="13.9" customHeight="1" outlineLevel="1" x14ac:dyDescent="0.25">
      <c r="B9" s="149"/>
      <c r="C9" s="150" t="s">
        <v>35</v>
      </c>
      <c r="D9" s="85">
        <v>0</v>
      </c>
      <c r="E9" s="86">
        <v>0</v>
      </c>
      <c r="F9" s="85">
        <v>0</v>
      </c>
      <c r="G9" s="86">
        <v>0</v>
      </c>
      <c r="H9" s="85">
        <v>0</v>
      </c>
      <c r="I9" s="86">
        <v>0</v>
      </c>
      <c r="J9" s="85">
        <v>0</v>
      </c>
      <c r="K9" s="86">
        <v>0</v>
      </c>
      <c r="L9" s="85">
        <v>0</v>
      </c>
      <c r="M9" s="86">
        <v>0</v>
      </c>
      <c r="N9" s="85">
        <v>22</v>
      </c>
      <c r="O9" s="86">
        <v>24257950.989999998</v>
      </c>
      <c r="P9" s="87"/>
      <c r="Q9" s="87"/>
      <c r="R9" s="87"/>
    </row>
    <row r="10" spans="1:18" ht="13.9" customHeight="1" outlineLevel="1" x14ac:dyDescent="0.25">
      <c r="B10" s="149"/>
      <c r="C10" s="150" t="s">
        <v>36</v>
      </c>
      <c r="D10" s="85">
        <v>0</v>
      </c>
      <c r="E10" s="86">
        <v>0</v>
      </c>
      <c r="F10" s="85">
        <v>1</v>
      </c>
      <c r="G10" s="86">
        <v>9915280</v>
      </c>
      <c r="H10" s="85">
        <v>2</v>
      </c>
      <c r="I10" s="86">
        <v>16460218.5</v>
      </c>
      <c r="J10" s="85">
        <v>5</v>
      </c>
      <c r="K10" s="86">
        <v>42278177.5</v>
      </c>
      <c r="L10" s="85">
        <v>3</v>
      </c>
      <c r="M10" s="86">
        <v>24328841.5</v>
      </c>
      <c r="N10" s="85">
        <v>0</v>
      </c>
      <c r="O10" s="86">
        <v>0</v>
      </c>
      <c r="P10" s="87"/>
      <c r="Q10" s="87"/>
      <c r="R10" s="87"/>
    </row>
    <row r="11" spans="1:18" ht="13.9" customHeight="1" outlineLevel="1" x14ac:dyDescent="0.25">
      <c r="B11" s="149"/>
      <c r="C11" s="150" t="s">
        <v>37</v>
      </c>
      <c r="D11" s="85">
        <v>0</v>
      </c>
      <c r="E11" s="86">
        <v>0</v>
      </c>
      <c r="F11" s="85">
        <v>0</v>
      </c>
      <c r="G11" s="86">
        <v>0</v>
      </c>
      <c r="H11" s="85">
        <v>0</v>
      </c>
      <c r="I11" s="86">
        <v>0</v>
      </c>
      <c r="J11" s="85">
        <v>0</v>
      </c>
      <c r="K11" s="86">
        <v>0</v>
      </c>
      <c r="L11" s="85">
        <v>0</v>
      </c>
      <c r="M11" s="86">
        <v>0</v>
      </c>
      <c r="N11" s="85">
        <v>18</v>
      </c>
      <c r="O11" s="86">
        <v>25460981.039999999</v>
      </c>
      <c r="P11" s="87"/>
      <c r="Q11" s="87"/>
      <c r="R11" s="87"/>
    </row>
    <row r="12" spans="1:18" ht="13.9" customHeight="1" outlineLevel="1" x14ac:dyDescent="0.25">
      <c r="B12" s="149"/>
      <c r="C12" s="150" t="s">
        <v>38</v>
      </c>
      <c r="D12" s="85">
        <v>0</v>
      </c>
      <c r="E12" s="86">
        <v>0</v>
      </c>
      <c r="F12" s="85">
        <v>0</v>
      </c>
      <c r="G12" s="86">
        <v>0</v>
      </c>
      <c r="H12" s="85">
        <v>0</v>
      </c>
      <c r="I12" s="86">
        <v>0</v>
      </c>
      <c r="J12" s="85">
        <v>0</v>
      </c>
      <c r="K12" s="86">
        <v>0</v>
      </c>
      <c r="L12" s="85">
        <v>0</v>
      </c>
      <c r="M12" s="86">
        <v>0</v>
      </c>
      <c r="N12" s="85">
        <v>4</v>
      </c>
      <c r="O12" s="86">
        <v>20309394.25</v>
      </c>
      <c r="P12" s="87"/>
      <c r="Q12" s="87"/>
      <c r="R12" s="87"/>
    </row>
    <row r="13" spans="1:18" ht="13.9" customHeight="1" outlineLevel="1" x14ac:dyDescent="0.25">
      <c r="B13" s="149"/>
      <c r="C13" s="150" t="s">
        <v>39</v>
      </c>
      <c r="D13" s="85">
        <v>0</v>
      </c>
      <c r="E13" s="86">
        <v>0</v>
      </c>
      <c r="F13" s="85">
        <v>0</v>
      </c>
      <c r="G13" s="86">
        <v>0</v>
      </c>
      <c r="H13" s="85">
        <v>0</v>
      </c>
      <c r="I13" s="86">
        <v>0</v>
      </c>
      <c r="J13" s="85">
        <v>0</v>
      </c>
      <c r="K13" s="86">
        <v>0</v>
      </c>
      <c r="L13" s="85">
        <v>0</v>
      </c>
      <c r="M13" s="86">
        <v>0</v>
      </c>
      <c r="N13" s="85">
        <v>1</v>
      </c>
      <c r="O13" s="86">
        <v>11259941</v>
      </c>
      <c r="P13" s="87"/>
      <c r="Q13" s="87"/>
      <c r="R13" s="87"/>
    </row>
    <row r="14" spans="1:18" ht="13.9" customHeight="1" outlineLevel="1" x14ac:dyDescent="0.25">
      <c r="B14" s="149"/>
      <c r="C14" s="150" t="s">
        <v>40</v>
      </c>
      <c r="D14" s="85">
        <v>0</v>
      </c>
      <c r="E14" s="86">
        <v>0</v>
      </c>
      <c r="F14" s="85">
        <v>0</v>
      </c>
      <c r="G14" s="86">
        <v>0</v>
      </c>
      <c r="H14" s="85">
        <v>0</v>
      </c>
      <c r="I14" s="86">
        <v>0</v>
      </c>
      <c r="J14" s="85">
        <v>0</v>
      </c>
      <c r="K14" s="86">
        <v>0</v>
      </c>
      <c r="L14" s="85">
        <v>0</v>
      </c>
      <c r="M14" s="86">
        <v>0</v>
      </c>
      <c r="N14" s="85">
        <v>0</v>
      </c>
      <c r="O14" s="86">
        <v>0</v>
      </c>
      <c r="P14" s="87"/>
      <c r="Q14" s="87"/>
      <c r="R14" s="87"/>
    </row>
    <row r="15" spans="1:18" ht="13.9" customHeight="1" outlineLevel="1" x14ac:dyDescent="0.25">
      <c r="B15" s="149"/>
      <c r="C15" s="150" t="s">
        <v>41</v>
      </c>
      <c r="D15" s="85">
        <v>0</v>
      </c>
      <c r="E15" s="86">
        <v>0</v>
      </c>
      <c r="F15" s="85">
        <v>0</v>
      </c>
      <c r="G15" s="86">
        <v>0</v>
      </c>
      <c r="H15" s="85">
        <v>0</v>
      </c>
      <c r="I15" s="86">
        <v>0</v>
      </c>
      <c r="J15" s="85">
        <v>0</v>
      </c>
      <c r="K15" s="86">
        <v>0</v>
      </c>
      <c r="L15" s="85">
        <v>0</v>
      </c>
      <c r="M15" s="86">
        <v>0</v>
      </c>
      <c r="N15" s="85">
        <v>2</v>
      </c>
      <c r="O15" s="86">
        <v>3432017.3</v>
      </c>
      <c r="P15" s="87"/>
      <c r="Q15" s="87"/>
      <c r="R15" s="87"/>
    </row>
    <row r="16" spans="1:18" ht="13.9" customHeight="1" outlineLevel="1" x14ac:dyDescent="0.25">
      <c r="B16" s="149"/>
      <c r="C16" s="150" t="s">
        <v>42</v>
      </c>
      <c r="D16" s="85">
        <v>0</v>
      </c>
      <c r="E16" s="86">
        <v>0</v>
      </c>
      <c r="F16" s="85">
        <v>2</v>
      </c>
      <c r="G16" s="86">
        <v>8536383</v>
      </c>
      <c r="H16" s="85">
        <v>8</v>
      </c>
      <c r="I16" s="86">
        <v>17510469.449999999</v>
      </c>
      <c r="J16" s="85">
        <v>9</v>
      </c>
      <c r="K16" s="86">
        <v>18418102.050000001</v>
      </c>
      <c r="L16" s="85">
        <v>22</v>
      </c>
      <c r="M16" s="86">
        <v>47196516</v>
      </c>
      <c r="N16" s="85">
        <v>37</v>
      </c>
      <c r="O16" s="86">
        <v>66729072.400000006</v>
      </c>
      <c r="P16" s="87"/>
      <c r="Q16" s="87"/>
      <c r="R16" s="87"/>
    </row>
    <row r="17" spans="2:18" ht="13.9" customHeight="1" outlineLevel="1" x14ac:dyDescent="0.25">
      <c r="B17" s="149"/>
      <c r="C17" s="150" t="s">
        <v>43</v>
      </c>
      <c r="D17" s="85">
        <v>0</v>
      </c>
      <c r="E17" s="86">
        <v>0</v>
      </c>
      <c r="F17" s="85">
        <v>2</v>
      </c>
      <c r="G17" s="86">
        <v>12276079</v>
      </c>
      <c r="H17" s="85">
        <v>2</v>
      </c>
      <c r="I17" s="86">
        <v>11969038</v>
      </c>
      <c r="J17" s="85">
        <v>2</v>
      </c>
      <c r="K17" s="86">
        <v>11844748</v>
      </c>
      <c r="L17" s="85">
        <v>6</v>
      </c>
      <c r="M17" s="86">
        <v>40969493</v>
      </c>
      <c r="N17" s="85">
        <v>7</v>
      </c>
      <c r="O17" s="86">
        <v>31988210</v>
      </c>
      <c r="P17" s="87"/>
      <c r="Q17" s="87"/>
      <c r="R17" s="87"/>
    </row>
    <row r="18" spans="2:18" ht="13.9" customHeight="1" outlineLevel="1" x14ac:dyDescent="0.25">
      <c r="B18" s="149"/>
      <c r="C18" s="150" t="s">
        <v>44</v>
      </c>
      <c r="D18" s="85">
        <v>0</v>
      </c>
      <c r="E18" s="86">
        <v>0</v>
      </c>
      <c r="F18" s="85">
        <v>3</v>
      </c>
      <c r="G18" s="86">
        <v>8747199.0999999996</v>
      </c>
      <c r="H18" s="85">
        <v>13</v>
      </c>
      <c r="I18" s="86">
        <v>42347285.049999997</v>
      </c>
      <c r="J18" s="85">
        <v>10</v>
      </c>
      <c r="K18" s="86">
        <v>22375152.100000001</v>
      </c>
      <c r="L18" s="85">
        <v>0</v>
      </c>
      <c r="M18" s="86">
        <v>0</v>
      </c>
      <c r="N18" s="85">
        <v>10</v>
      </c>
      <c r="O18" s="86">
        <v>28658453.100000001</v>
      </c>
      <c r="P18" s="87"/>
      <c r="Q18" s="87"/>
      <c r="R18" s="87"/>
    </row>
    <row r="19" spans="2:18" ht="13.9" customHeight="1" outlineLevel="1" x14ac:dyDescent="0.25">
      <c r="B19" s="149"/>
      <c r="C19" s="150" t="s">
        <v>45</v>
      </c>
      <c r="D19" s="85">
        <v>0</v>
      </c>
      <c r="E19" s="86">
        <v>0</v>
      </c>
      <c r="F19" s="85">
        <v>13</v>
      </c>
      <c r="G19" s="86">
        <v>31590395</v>
      </c>
      <c r="H19" s="85">
        <v>17</v>
      </c>
      <c r="I19" s="86">
        <v>41800003.600000001</v>
      </c>
      <c r="J19" s="85">
        <v>5</v>
      </c>
      <c r="K19" s="86">
        <v>12920428.85</v>
      </c>
      <c r="L19" s="85">
        <v>0</v>
      </c>
      <c r="M19" s="86">
        <v>0</v>
      </c>
      <c r="N19" s="85">
        <v>0</v>
      </c>
      <c r="O19" s="86">
        <v>0</v>
      </c>
      <c r="P19" s="87"/>
      <c r="Q19" s="87"/>
      <c r="R19" s="87"/>
    </row>
    <row r="20" spans="2:18" ht="13.9" customHeight="1" outlineLevel="1" x14ac:dyDescent="0.25">
      <c r="B20" s="149"/>
      <c r="C20" s="150" t="s">
        <v>46</v>
      </c>
      <c r="D20" s="85">
        <v>0</v>
      </c>
      <c r="E20" s="86">
        <v>0</v>
      </c>
      <c r="F20" s="85">
        <v>1</v>
      </c>
      <c r="G20" s="86">
        <v>5916260</v>
      </c>
      <c r="H20" s="85">
        <v>0</v>
      </c>
      <c r="I20" s="86">
        <v>0</v>
      </c>
      <c r="J20" s="85">
        <v>0</v>
      </c>
      <c r="K20" s="86">
        <v>0</v>
      </c>
      <c r="L20" s="85">
        <v>0</v>
      </c>
      <c r="M20" s="86">
        <v>0</v>
      </c>
      <c r="N20" s="85">
        <v>0</v>
      </c>
      <c r="O20" s="86">
        <v>0</v>
      </c>
      <c r="P20" s="87"/>
      <c r="Q20" s="87"/>
      <c r="R20" s="87"/>
    </row>
    <row r="21" spans="2:18" ht="13.9" customHeight="1" outlineLevel="1" x14ac:dyDescent="0.25">
      <c r="B21" s="149"/>
      <c r="C21" s="150" t="s">
        <v>47</v>
      </c>
      <c r="D21" s="85">
        <v>0</v>
      </c>
      <c r="E21" s="86">
        <v>0</v>
      </c>
      <c r="F21" s="85">
        <v>1</v>
      </c>
      <c r="G21" s="86">
        <v>1781662.05</v>
      </c>
      <c r="H21" s="85">
        <v>6</v>
      </c>
      <c r="I21" s="86">
        <v>22633298.5</v>
      </c>
      <c r="J21" s="85">
        <v>5</v>
      </c>
      <c r="K21" s="86">
        <v>25639088.800000001</v>
      </c>
      <c r="L21" s="85">
        <v>38</v>
      </c>
      <c r="M21" s="86">
        <v>88353270.299999982</v>
      </c>
      <c r="N21" s="85">
        <v>41</v>
      </c>
      <c r="O21" s="86">
        <v>94050362.030000016</v>
      </c>
      <c r="P21" s="87"/>
      <c r="Q21" s="87"/>
      <c r="R21" s="87"/>
    </row>
    <row r="22" spans="2:18" ht="13.9" customHeight="1" outlineLevel="1" x14ac:dyDescent="0.25">
      <c r="B22" s="149"/>
      <c r="C22" s="150" t="s">
        <v>48</v>
      </c>
      <c r="D22" s="85">
        <v>0</v>
      </c>
      <c r="E22" s="86">
        <v>0</v>
      </c>
      <c r="F22" s="85">
        <v>0</v>
      </c>
      <c r="G22" s="86">
        <v>0</v>
      </c>
      <c r="H22" s="85">
        <v>6</v>
      </c>
      <c r="I22" s="86">
        <v>6909372</v>
      </c>
      <c r="J22" s="85">
        <v>6</v>
      </c>
      <c r="K22" s="86">
        <v>7094889.2999999998</v>
      </c>
      <c r="L22" s="85">
        <v>10</v>
      </c>
      <c r="M22" s="86">
        <v>14718925.700000001</v>
      </c>
      <c r="N22" s="85">
        <v>7</v>
      </c>
      <c r="O22" s="86">
        <v>7628908.5</v>
      </c>
      <c r="P22" s="87"/>
      <c r="Q22" s="87"/>
      <c r="R22" s="87"/>
    </row>
    <row r="23" spans="2:18" ht="13.9" customHeight="1" outlineLevel="1" x14ac:dyDescent="0.25">
      <c r="B23" s="149"/>
      <c r="C23" s="150" t="s">
        <v>49</v>
      </c>
      <c r="D23" s="85">
        <v>0</v>
      </c>
      <c r="E23" s="86">
        <v>0</v>
      </c>
      <c r="F23" s="85">
        <v>0</v>
      </c>
      <c r="G23" s="86">
        <v>0</v>
      </c>
      <c r="H23" s="85">
        <v>0</v>
      </c>
      <c r="I23" s="86">
        <v>0</v>
      </c>
      <c r="J23" s="85">
        <v>1</v>
      </c>
      <c r="K23" s="86">
        <v>8037099.1799999997</v>
      </c>
      <c r="L23" s="85">
        <v>6</v>
      </c>
      <c r="M23" s="86">
        <v>51118872.780000001</v>
      </c>
      <c r="N23" s="85">
        <v>11</v>
      </c>
      <c r="O23" s="86">
        <v>94776588.399999976</v>
      </c>
      <c r="P23" s="87"/>
      <c r="Q23" s="87"/>
      <c r="R23" s="87"/>
    </row>
    <row r="24" spans="2:18" ht="13.9" customHeight="1" outlineLevel="1" x14ac:dyDescent="0.25">
      <c r="B24" s="149"/>
      <c r="C24" s="150" t="s">
        <v>50</v>
      </c>
      <c r="D24" s="85">
        <v>0</v>
      </c>
      <c r="E24" s="86">
        <v>0</v>
      </c>
      <c r="F24" s="85">
        <v>3</v>
      </c>
      <c r="G24" s="86">
        <v>9016434</v>
      </c>
      <c r="H24" s="85">
        <v>1</v>
      </c>
      <c r="I24" s="86">
        <v>3517587</v>
      </c>
      <c r="J24" s="85">
        <v>0</v>
      </c>
      <c r="K24" s="86">
        <v>0</v>
      </c>
      <c r="L24" s="85">
        <v>0</v>
      </c>
      <c r="M24" s="86">
        <v>0</v>
      </c>
      <c r="N24" s="85">
        <v>0</v>
      </c>
      <c r="O24" s="86">
        <v>0</v>
      </c>
      <c r="P24" s="87"/>
    </row>
    <row r="25" spans="2:18" ht="13.9" customHeight="1" outlineLevel="1" x14ac:dyDescent="0.25">
      <c r="B25" s="149"/>
      <c r="C25" s="150" t="s">
        <v>51</v>
      </c>
      <c r="D25" s="85">
        <v>0</v>
      </c>
      <c r="E25" s="86">
        <v>0</v>
      </c>
      <c r="F25" s="85">
        <v>0</v>
      </c>
      <c r="G25" s="86">
        <v>0</v>
      </c>
      <c r="H25" s="85">
        <v>4</v>
      </c>
      <c r="I25" s="86">
        <v>4729335</v>
      </c>
      <c r="J25" s="85">
        <v>12</v>
      </c>
      <c r="K25" s="86">
        <v>14996526.450000001</v>
      </c>
      <c r="L25" s="85">
        <v>0</v>
      </c>
      <c r="M25" s="86">
        <v>0</v>
      </c>
      <c r="N25" s="85">
        <v>2</v>
      </c>
      <c r="O25" s="86">
        <v>2628359.5999999996</v>
      </c>
      <c r="P25" s="87"/>
    </row>
    <row r="26" spans="2:18" ht="13.9" customHeight="1" outlineLevel="1" x14ac:dyDescent="0.25">
      <c r="B26" s="149"/>
      <c r="C26" s="150" t="s">
        <v>52</v>
      </c>
      <c r="D26" s="85">
        <v>0</v>
      </c>
      <c r="E26" s="86">
        <v>0</v>
      </c>
      <c r="F26" s="85">
        <v>2</v>
      </c>
      <c r="G26" s="86">
        <v>5305198.5</v>
      </c>
      <c r="H26" s="85">
        <v>4</v>
      </c>
      <c r="I26" s="86">
        <v>12294741.1</v>
      </c>
      <c r="J26" s="85">
        <v>0</v>
      </c>
      <c r="K26" s="86">
        <v>0</v>
      </c>
      <c r="L26" s="85">
        <v>1</v>
      </c>
      <c r="M26" s="86">
        <v>3545929.5</v>
      </c>
      <c r="N26" s="85">
        <v>0</v>
      </c>
      <c r="O26" s="86">
        <v>0</v>
      </c>
      <c r="P26" s="87"/>
    </row>
    <row r="27" spans="2:18" ht="13.9" customHeight="1" outlineLevel="1" x14ac:dyDescent="0.25">
      <c r="B27" s="149"/>
      <c r="C27" s="150" t="s">
        <v>53</v>
      </c>
      <c r="D27" s="85">
        <v>0</v>
      </c>
      <c r="E27" s="86">
        <v>0</v>
      </c>
      <c r="F27" s="85">
        <v>0</v>
      </c>
      <c r="G27" s="86">
        <v>0</v>
      </c>
      <c r="H27" s="85">
        <v>2</v>
      </c>
      <c r="I27" s="86">
        <v>6486563.25</v>
      </c>
      <c r="J27" s="85">
        <v>0</v>
      </c>
      <c r="K27" s="86">
        <v>0</v>
      </c>
      <c r="L27" s="85">
        <v>0</v>
      </c>
      <c r="M27" s="86">
        <v>0</v>
      </c>
      <c r="N27" s="85">
        <v>0</v>
      </c>
      <c r="O27" s="86">
        <v>0</v>
      </c>
      <c r="P27" s="87"/>
    </row>
    <row r="28" spans="2:18" ht="13.9" customHeight="1" outlineLevel="1" x14ac:dyDescent="0.25">
      <c r="B28" s="149"/>
      <c r="C28" s="150" t="s">
        <v>54</v>
      </c>
      <c r="D28" s="85">
        <v>0</v>
      </c>
      <c r="E28" s="86">
        <v>0</v>
      </c>
      <c r="F28" s="85">
        <v>3</v>
      </c>
      <c r="G28" s="86">
        <v>8644273.0500000007</v>
      </c>
      <c r="H28" s="85">
        <v>9</v>
      </c>
      <c r="I28" s="86">
        <v>23162808.959999997</v>
      </c>
      <c r="J28" s="85">
        <v>2</v>
      </c>
      <c r="K28" s="86">
        <v>7963002.7800000003</v>
      </c>
      <c r="L28" s="85">
        <v>0</v>
      </c>
      <c r="M28" s="86">
        <v>0</v>
      </c>
      <c r="N28" s="85">
        <v>0</v>
      </c>
      <c r="O28" s="86">
        <v>0</v>
      </c>
      <c r="P28" s="87"/>
    </row>
    <row r="29" spans="2:18" ht="13.9" customHeight="1" outlineLevel="1" x14ac:dyDescent="0.25">
      <c r="B29" s="149"/>
      <c r="C29" s="150" t="s">
        <v>55</v>
      </c>
      <c r="D29" s="85">
        <v>0</v>
      </c>
      <c r="E29" s="86">
        <v>0</v>
      </c>
      <c r="F29" s="85">
        <v>0</v>
      </c>
      <c r="G29" s="86">
        <v>0</v>
      </c>
      <c r="H29" s="85">
        <v>2</v>
      </c>
      <c r="I29" s="86">
        <v>7903794.1500000004</v>
      </c>
      <c r="J29" s="85">
        <v>0</v>
      </c>
      <c r="K29" s="86">
        <v>0</v>
      </c>
      <c r="L29" s="85">
        <v>0</v>
      </c>
      <c r="M29" s="86">
        <v>0</v>
      </c>
      <c r="N29" s="85">
        <v>0</v>
      </c>
      <c r="O29" s="86">
        <v>0</v>
      </c>
      <c r="P29" s="87"/>
    </row>
    <row r="30" spans="2:18" ht="13.9" customHeight="1" outlineLevel="1" x14ac:dyDescent="0.25">
      <c r="B30" s="149"/>
      <c r="C30" s="150" t="s">
        <v>56</v>
      </c>
      <c r="D30" s="85">
        <v>0</v>
      </c>
      <c r="E30" s="86">
        <v>0</v>
      </c>
      <c r="F30" s="85">
        <v>5</v>
      </c>
      <c r="G30" s="86">
        <v>9993304.6999999993</v>
      </c>
      <c r="H30" s="85">
        <v>0</v>
      </c>
      <c r="I30" s="86">
        <v>0</v>
      </c>
      <c r="J30" s="85">
        <v>0</v>
      </c>
      <c r="K30" s="86">
        <v>0</v>
      </c>
      <c r="L30" s="85">
        <v>0</v>
      </c>
      <c r="M30" s="86">
        <v>0</v>
      </c>
      <c r="N30" s="85">
        <v>0</v>
      </c>
      <c r="O30" s="86">
        <v>0</v>
      </c>
      <c r="P30" s="87"/>
    </row>
    <row r="31" spans="2:18" ht="13.9" customHeight="1" outlineLevel="1" x14ac:dyDescent="0.25">
      <c r="B31" s="149"/>
      <c r="C31" s="150" t="s">
        <v>57</v>
      </c>
      <c r="D31" s="85">
        <v>0</v>
      </c>
      <c r="E31" s="86">
        <v>0</v>
      </c>
      <c r="F31" s="85">
        <v>0</v>
      </c>
      <c r="G31" s="86">
        <v>0</v>
      </c>
      <c r="H31" s="85">
        <v>0</v>
      </c>
      <c r="I31" s="86">
        <v>0</v>
      </c>
      <c r="J31" s="85">
        <v>0</v>
      </c>
      <c r="K31" s="86">
        <v>0</v>
      </c>
      <c r="L31" s="85">
        <v>0</v>
      </c>
      <c r="M31" s="86">
        <v>0</v>
      </c>
      <c r="N31" s="85">
        <v>0</v>
      </c>
      <c r="O31" s="86">
        <v>0</v>
      </c>
      <c r="P31" s="87"/>
    </row>
    <row r="32" spans="2:18" ht="13.9" customHeight="1" outlineLevel="1" x14ac:dyDescent="0.25">
      <c r="B32" s="149"/>
      <c r="C32" s="150" t="s">
        <v>58</v>
      </c>
      <c r="D32" s="85">
        <v>0</v>
      </c>
      <c r="E32" s="86">
        <v>0</v>
      </c>
      <c r="F32" s="85">
        <v>0</v>
      </c>
      <c r="G32" s="86">
        <v>0</v>
      </c>
      <c r="H32" s="85">
        <v>3</v>
      </c>
      <c r="I32" s="86">
        <v>7929574</v>
      </c>
      <c r="J32" s="85">
        <v>0</v>
      </c>
      <c r="K32" s="86">
        <v>0</v>
      </c>
      <c r="L32" s="85">
        <v>0</v>
      </c>
      <c r="M32" s="86">
        <v>0</v>
      </c>
      <c r="N32" s="85">
        <v>0</v>
      </c>
      <c r="O32" s="86">
        <v>0</v>
      </c>
      <c r="P32" s="87"/>
    </row>
    <row r="33" spans="2:16" ht="13.9" customHeight="1" outlineLevel="1" x14ac:dyDescent="0.25">
      <c r="B33" s="149"/>
      <c r="C33" s="150" t="s">
        <v>59</v>
      </c>
      <c r="D33" s="85">
        <v>0</v>
      </c>
      <c r="E33" s="86">
        <v>0</v>
      </c>
      <c r="F33" s="85">
        <v>1</v>
      </c>
      <c r="G33" s="86">
        <v>2105940.9</v>
      </c>
      <c r="H33" s="85">
        <v>1</v>
      </c>
      <c r="I33" s="86">
        <v>2589810.2999999998</v>
      </c>
      <c r="J33" s="85">
        <v>0</v>
      </c>
      <c r="K33" s="86">
        <v>0</v>
      </c>
      <c r="L33" s="85">
        <v>0</v>
      </c>
      <c r="M33" s="86">
        <v>0</v>
      </c>
      <c r="N33" s="85">
        <v>0</v>
      </c>
      <c r="O33" s="86">
        <v>0</v>
      </c>
      <c r="P33" s="87"/>
    </row>
    <row r="34" spans="2:16" ht="13.9" customHeight="1" outlineLevel="1" x14ac:dyDescent="0.25">
      <c r="B34" s="149"/>
      <c r="C34" s="150" t="s">
        <v>60</v>
      </c>
      <c r="D34" s="85">
        <v>0</v>
      </c>
      <c r="E34" s="86">
        <v>0</v>
      </c>
      <c r="F34" s="85">
        <v>0</v>
      </c>
      <c r="G34" s="86">
        <v>0</v>
      </c>
      <c r="H34" s="85">
        <v>0</v>
      </c>
      <c r="I34" s="86">
        <v>0</v>
      </c>
      <c r="J34" s="85">
        <v>0</v>
      </c>
      <c r="K34" s="86">
        <v>0</v>
      </c>
      <c r="L34" s="85">
        <v>0</v>
      </c>
      <c r="M34" s="86">
        <v>0</v>
      </c>
      <c r="N34" s="85">
        <v>0</v>
      </c>
      <c r="O34" s="86">
        <v>0</v>
      </c>
      <c r="P34" s="87"/>
    </row>
    <row r="35" spans="2:16" ht="13.9" customHeight="1" outlineLevel="1" x14ac:dyDescent="0.25">
      <c r="B35" s="149"/>
      <c r="C35" s="150" t="s">
        <v>61</v>
      </c>
      <c r="D35" s="85">
        <v>0</v>
      </c>
      <c r="E35" s="86">
        <v>0</v>
      </c>
      <c r="F35" s="85">
        <v>4</v>
      </c>
      <c r="G35" s="86">
        <v>19146432.439999998</v>
      </c>
      <c r="H35" s="85">
        <v>1</v>
      </c>
      <c r="I35" s="86">
        <v>3995907.5</v>
      </c>
      <c r="J35" s="85">
        <v>0</v>
      </c>
      <c r="K35" s="86">
        <v>0</v>
      </c>
      <c r="L35" s="85">
        <v>0</v>
      </c>
      <c r="M35" s="86">
        <v>0</v>
      </c>
      <c r="N35" s="85">
        <v>0</v>
      </c>
      <c r="O35" s="86">
        <v>0</v>
      </c>
      <c r="P35" s="87"/>
    </row>
    <row r="36" spans="2:16" ht="13.9" customHeight="1" outlineLevel="1" x14ac:dyDescent="0.25">
      <c r="B36" s="149"/>
      <c r="C36" s="150" t="s">
        <v>62</v>
      </c>
      <c r="D36" s="85">
        <v>0</v>
      </c>
      <c r="E36" s="86">
        <v>0</v>
      </c>
      <c r="F36" s="85">
        <v>0</v>
      </c>
      <c r="G36" s="86">
        <v>0</v>
      </c>
      <c r="H36" s="85">
        <v>0</v>
      </c>
      <c r="I36" s="86">
        <v>0</v>
      </c>
      <c r="J36" s="85">
        <v>0</v>
      </c>
      <c r="K36" s="86">
        <v>0</v>
      </c>
      <c r="L36" s="85">
        <v>0</v>
      </c>
      <c r="M36" s="86">
        <v>0</v>
      </c>
      <c r="N36" s="85">
        <v>0</v>
      </c>
      <c r="O36" s="86">
        <v>0</v>
      </c>
      <c r="P36" s="87"/>
    </row>
    <row r="37" spans="2:16" ht="13.9" customHeight="1" outlineLevel="1" x14ac:dyDescent="0.25">
      <c r="B37" s="149"/>
      <c r="C37" s="150" t="s">
        <v>63</v>
      </c>
      <c r="D37" s="85">
        <v>0</v>
      </c>
      <c r="E37" s="86">
        <v>0</v>
      </c>
      <c r="F37" s="85">
        <v>1</v>
      </c>
      <c r="G37" s="86">
        <v>4057383</v>
      </c>
      <c r="H37" s="85">
        <v>0</v>
      </c>
      <c r="I37" s="86">
        <v>0</v>
      </c>
      <c r="J37" s="85">
        <v>0</v>
      </c>
      <c r="K37" s="86">
        <v>0</v>
      </c>
      <c r="L37" s="85">
        <v>0</v>
      </c>
      <c r="M37" s="86">
        <v>0</v>
      </c>
      <c r="N37" s="85">
        <v>0</v>
      </c>
      <c r="O37" s="86">
        <v>0</v>
      </c>
      <c r="P37" s="87"/>
    </row>
    <row r="38" spans="2:16" ht="13.9" customHeight="1" outlineLevel="1" x14ac:dyDescent="0.25">
      <c r="B38" s="149"/>
      <c r="C38" s="150" t="s">
        <v>64</v>
      </c>
      <c r="D38" s="85">
        <v>0</v>
      </c>
      <c r="E38" s="86">
        <v>0</v>
      </c>
      <c r="F38" s="85">
        <v>0</v>
      </c>
      <c r="G38" s="86">
        <v>0</v>
      </c>
      <c r="H38" s="85">
        <v>0</v>
      </c>
      <c r="I38" s="86">
        <v>0</v>
      </c>
      <c r="J38" s="85">
        <v>0</v>
      </c>
      <c r="K38" s="86">
        <v>0</v>
      </c>
      <c r="L38" s="85">
        <v>4</v>
      </c>
      <c r="M38" s="86">
        <v>13445574.899999999</v>
      </c>
      <c r="N38" s="85">
        <v>6</v>
      </c>
      <c r="O38" s="86">
        <v>12985914.4</v>
      </c>
      <c r="P38" s="87"/>
    </row>
    <row r="39" spans="2:16" ht="13.9" customHeight="1" outlineLevel="1" x14ac:dyDescent="0.25">
      <c r="B39" s="149"/>
      <c r="C39" s="150" t="s">
        <v>65</v>
      </c>
      <c r="D39" s="85">
        <v>0</v>
      </c>
      <c r="E39" s="86">
        <v>0</v>
      </c>
      <c r="F39" s="85">
        <v>0</v>
      </c>
      <c r="G39" s="86">
        <v>0</v>
      </c>
      <c r="H39" s="85">
        <v>0</v>
      </c>
      <c r="I39" s="86">
        <v>0</v>
      </c>
      <c r="J39" s="85">
        <v>0</v>
      </c>
      <c r="K39" s="86">
        <v>0</v>
      </c>
      <c r="L39" s="85">
        <v>0</v>
      </c>
      <c r="M39" s="86">
        <v>0</v>
      </c>
      <c r="N39" s="85">
        <v>4</v>
      </c>
      <c r="O39" s="86">
        <v>7550709.3399999999</v>
      </c>
      <c r="P39" s="87"/>
    </row>
    <row r="40" spans="2:16" ht="13.9" customHeight="1" outlineLevel="1" x14ac:dyDescent="0.25">
      <c r="B40" s="149"/>
      <c r="C40" s="150" t="s">
        <v>66</v>
      </c>
      <c r="D40" s="85">
        <v>0</v>
      </c>
      <c r="E40" s="86">
        <v>0</v>
      </c>
      <c r="F40" s="85">
        <v>0</v>
      </c>
      <c r="G40" s="86">
        <v>0</v>
      </c>
      <c r="H40" s="85">
        <v>0</v>
      </c>
      <c r="I40" s="86">
        <v>0</v>
      </c>
      <c r="J40" s="85">
        <v>0</v>
      </c>
      <c r="K40" s="86">
        <v>0</v>
      </c>
      <c r="L40" s="85">
        <v>0</v>
      </c>
      <c r="M40" s="86">
        <v>0</v>
      </c>
      <c r="N40" s="85">
        <v>15</v>
      </c>
      <c r="O40" s="86">
        <v>28166641</v>
      </c>
      <c r="P40" s="87"/>
    </row>
    <row r="41" spans="2:16" ht="13.9" customHeight="1" outlineLevel="1" x14ac:dyDescent="0.25">
      <c r="B41" s="149"/>
      <c r="C41" s="150" t="s">
        <v>67</v>
      </c>
      <c r="D41" s="85">
        <v>0</v>
      </c>
      <c r="E41" s="86">
        <v>0</v>
      </c>
      <c r="F41" s="85">
        <v>0</v>
      </c>
      <c r="G41" s="86">
        <v>0</v>
      </c>
      <c r="H41" s="85">
        <v>0</v>
      </c>
      <c r="I41" s="86">
        <v>0</v>
      </c>
      <c r="J41" s="85">
        <v>1</v>
      </c>
      <c r="K41" s="86">
        <v>3230680</v>
      </c>
      <c r="L41" s="85">
        <v>12</v>
      </c>
      <c r="M41" s="86">
        <v>31023356</v>
      </c>
      <c r="N41" s="85">
        <v>14</v>
      </c>
      <c r="O41" s="86">
        <v>37521519</v>
      </c>
      <c r="P41" s="87"/>
    </row>
    <row r="42" spans="2:16" ht="13.9" customHeight="1" x14ac:dyDescent="0.25">
      <c r="B42" s="149"/>
      <c r="C42" s="148" t="s">
        <v>103</v>
      </c>
      <c r="D42" s="90">
        <f>SUM(D5:D41)</f>
        <v>1</v>
      </c>
      <c r="E42" s="91">
        <f t="shared" ref="E42:O42" si="0">SUM(E5:E41)</f>
        <v>1094458.75</v>
      </c>
      <c r="F42" s="92">
        <f t="shared" si="0"/>
        <v>42</v>
      </c>
      <c r="G42" s="93">
        <f t="shared" si="0"/>
        <v>137032224.74000001</v>
      </c>
      <c r="H42" s="90">
        <f t="shared" si="0"/>
        <v>81</v>
      </c>
      <c r="I42" s="91">
        <f t="shared" si="0"/>
        <v>232239806.36000001</v>
      </c>
      <c r="J42" s="92">
        <f t="shared" si="0"/>
        <v>58</v>
      </c>
      <c r="K42" s="93">
        <f t="shared" si="0"/>
        <v>174797895.00999999</v>
      </c>
      <c r="L42" s="90">
        <f t="shared" si="0"/>
        <v>152</v>
      </c>
      <c r="M42" s="91">
        <f t="shared" si="0"/>
        <v>419421616.01999998</v>
      </c>
      <c r="N42" s="90">
        <f t="shared" si="0"/>
        <v>305</v>
      </c>
      <c r="O42" s="91">
        <f t="shared" si="0"/>
        <v>715076691.09000003</v>
      </c>
      <c r="P42" s="94"/>
    </row>
    <row r="43" spans="2:16" ht="13.9" customHeight="1" outlineLevel="1" x14ac:dyDescent="0.25">
      <c r="B43" s="149" t="s">
        <v>83</v>
      </c>
      <c r="C43" s="150" t="s">
        <v>70</v>
      </c>
      <c r="D43" s="85">
        <v>0</v>
      </c>
      <c r="E43" s="86">
        <v>0</v>
      </c>
      <c r="F43" s="85">
        <v>3</v>
      </c>
      <c r="G43" s="86">
        <v>10235427.35</v>
      </c>
      <c r="H43" s="85">
        <v>6</v>
      </c>
      <c r="I43" s="86">
        <v>12934673.239999998</v>
      </c>
      <c r="J43" s="85">
        <v>15</v>
      </c>
      <c r="K43" s="86">
        <v>26524248.93</v>
      </c>
      <c r="L43" s="85">
        <v>18</v>
      </c>
      <c r="M43" s="86">
        <v>45520447.220000006</v>
      </c>
      <c r="N43" s="85">
        <v>5</v>
      </c>
      <c r="O43" s="86">
        <v>10779955.079999998</v>
      </c>
      <c r="P43" s="87"/>
    </row>
    <row r="44" spans="2:16" ht="13.9" customHeight="1" outlineLevel="1" x14ac:dyDescent="0.25">
      <c r="B44" s="149"/>
      <c r="C44" s="150" t="s">
        <v>71</v>
      </c>
      <c r="D44" s="85">
        <v>0</v>
      </c>
      <c r="E44" s="86">
        <v>0</v>
      </c>
      <c r="F44" s="85">
        <v>2</v>
      </c>
      <c r="G44" s="86">
        <v>22279422</v>
      </c>
      <c r="H44" s="85">
        <v>0</v>
      </c>
      <c r="I44" s="86">
        <v>0</v>
      </c>
      <c r="J44" s="85">
        <v>0</v>
      </c>
      <c r="K44" s="86">
        <v>0</v>
      </c>
      <c r="L44" s="85">
        <v>0</v>
      </c>
      <c r="M44" s="86">
        <v>0</v>
      </c>
      <c r="N44" s="85">
        <v>0</v>
      </c>
      <c r="O44" s="86">
        <v>0</v>
      </c>
      <c r="P44" s="87"/>
    </row>
    <row r="45" spans="2:16" ht="13.9" customHeight="1" outlineLevel="1" x14ac:dyDescent="0.25">
      <c r="B45" s="149"/>
      <c r="C45" s="150" t="s">
        <v>72</v>
      </c>
      <c r="D45" s="85">
        <v>0</v>
      </c>
      <c r="E45" s="86">
        <v>0</v>
      </c>
      <c r="F45" s="85">
        <v>4</v>
      </c>
      <c r="G45" s="86">
        <v>5655463.2599999998</v>
      </c>
      <c r="H45" s="85">
        <v>9</v>
      </c>
      <c r="I45" s="86">
        <v>14523366.390000001</v>
      </c>
      <c r="J45" s="85">
        <v>3</v>
      </c>
      <c r="K45" s="86">
        <v>9647310.4199999999</v>
      </c>
      <c r="L45" s="85">
        <v>3</v>
      </c>
      <c r="M45" s="86">
        <v>7573542.25</v>
      </c>
      <c r="N45" s="85">
        <v>0</v>
      </c>
      <c r="O45" s="86">
        <v>0</v>
      </c>
      <c r="P45" s="87"/>
    </row>
    <row r="46" spans="2:16" ht="13.9" customHeight="1" x14ac:dyDescent="0.25">
      <c r="B46" s="149"/>
      <c r="C46" s="148" t="s">
        <v>104</v>
      </c>
      <c r="D46" s="90">
        <f>SUM(D43:D45)</f>
        <v>0</v>
      </c>
      <c r="E46" s="91">
        <f t="shared" ref="E46:O46" si="1">SUM(E43:E45)</f>
        <v>0</v>
      </c>
      <c r="F46" s="92">
        <f t="shared" si="1"/>
        <v>9</v>
      </c>
      <c r="G46" s="93">
        <f t="shared" si="1"/>
        <v>38170312.609999999</v>
      </c>
      <c r="H46" s="90">
        <f t="shared" si="1"/>
        <v>15</v>
      </c>
      <c r="I46" s="91">
        <f t="shared" si="1"/>
        <v>27458039.629999999</v>
      </c>
      <c r="J46" s="92">
        <f t="shared" si="1"/>
        <v>18</v>
      </c>
      <c r="K46" s="93">
        <f t="shared" si="1"/>
        <v>36171559.350000001</v>
      </c>
      <c r="L46" s="90">
        <f t="shared" si="1"/>
        <v>21</v>
      </c>
      <c r="M46" s="91">
        <f t="shared" si="1"/>
        <v>53093989.470000006</v>
      </c>
      <c r="N46" s="90">
        <f t="shared" si="1"/>
        <v>5</v>
      </c>
      <c r="O46" s="91">
        <f t="shared" si="1"/>
        <v>10779955.079999998</v>
      </c>
      <c r="P46" s="94"/>
    </row>
    <row r="47" spans="2:16" ht="13.9" customHeight="1" outlineLevel="1" x14ac:dyDescent="0.25">
      <c r="B47" s="149" t="s">
        <v>105</v>
      </c>
      <c r="C47" s="150" t="s">
        <v>75</v>
      </c>
      <c r="D47" s="85">
        <v>0</v>
      </c>
      <c r="E47" s="86">
        <v>0</v>
      </c>
      <c r="F47" s="85">
        <v>1</v>
      </c>
      <c r="G47" s="86">
        <v>1296643.2</v>
      </c>
      <c r="H47" s="85">
        <v>0</v>
      </c>
      <c r="I47" s="86">
        <v>0</v>
      </c>
      <c r="J47" s="85">
        <v>0</v>
      </c>
      <c r="K47" s="86">
        <v>0</v>
      </c>
      <c r="L47" s="85">
        <v>0</v>
      </c>
      <c r="M47" s="86">
        <v>0</v>
      </c>
      <c r="N47" s="85">
        <v>0</v>
      </c>
      <c r="O47" s="86">
        <v>0</v>
      </c>
      <c r="P47" s="87"/>
    </row>
    <row r="48" spans="2:16" ht="13.9" customHeight="1" outlineLevel="1" x14ac:dyDescent="0.25">
      <c r="B48" s="149"/>
      <c r="C48" s="150" t="s">
        <v>76</v>
      </c>
      <c r="D48" s="85">
        <v>0</v>
      </c>
      <c r="E48" s="86">
        <v>0</v>
      </c>
      <c r="F48" s="85">
        <v>3</v>
      </c>
      <c r="G48" s="86">
        <v>4543667.6900000004</v>
      </c>
      <c r="H48" s="85">
        <v>8</v>
      </c>
      <c r="I48" s="86">
        <v>18116532.690000001</v>
      </c>
      <c r="J48" s="85">
        <v>7</v>
      </c>
      <c r="K48" s="86">
        <v>9231726.0299999993</v>
      </c>
      <c r="L48" s="85">
        <v>1</v>
      </c>
      <c r="M48" s="86">
        <v>1594215.93</v>
      </c>
      <c r="N48" s="85">
        <v>0</v>
      </c>
      <c r="O48" s="86">
        <v>0</v>
      </c>
      <c r="P48" s="87"/>
    </row>
    <row r="49" spans="2:16" ht="13.9" customHeight="1" x14ac:dyDescent="0.25">
      <c r="B49" s="149"/>
      <c r="C49" s="148" t="s">
        <v>106</v>
      </c>
      <c r="D49" s="90">
        <f>SUM(D47:D48)</f>
        <v>0</v>
      </c>
      <c r="E49" s="91">
        <f t="shared" ref="E49:O49" si="2">SUM(E47:E48)</f>
        <v>0</v>
      </c>
      <c r="F49" s="92">
        <f t="shared" si="2"/>
        <v>4</v>
      </c>
      <c r="G49" s="93">
        <f t="shared" si="2"/>
        <v>5840310.8900000006</v>
      </c>
      <c r="H49" s="90">
        <f t="shared" si="2"/>
        <v>8</v>
      </c>
      <c r="I49" s="91">
        <f t="shared" si="2"/>
        <v>18116532.690000001</v>
      </c>
      <c r="J49" s="92">
        <f t="shared" si="2"/>
        <v>7</v>
      </c>
      <c r="K49" s="93">
        <f t="shared" si="2"/>
        <v>9231726.0299999993</v>
      </c>
      <c r="L49" s="90">
        <f t="shared" si="2"/>
        <v>1</v>
      </c>
      <c r="M49" s="91">
        <f t="shared" si="2"/>
        <v>1594215.93</v>
      </c>
      <c r="N49" s="90">
        <f t="shared" si="2"/>
        <v>0</v>
      </c>
      <c r="O49" s="91">
        <f t="shared" si="2"/>
        <v>0</v>
      </c>
      <c r="P49" s="94"/>
    </row>
    <row r="50" spans="2:16" ht="13.9" customHeight="1" x14ac:dyDescent="0.25">
      <c r="B50" s="151" t="s">
        <v>78</v>
      </c>
      <c r="C50" s="151"/>
      <c r="D50" s="90">
        <f>D42+D46+D49</f>
        <v>1</v>
      </c>
      <c r="E50" s="91">
        <f t="shared" ref="E50:O50" si="3">E42+E46+E49</f>
        <v>1094458.75</v>
      </c>
      <c r="F50" s="92">
        <f t="shared" si="3"/>
        <v>55</v>
      </c>
      <c r="G50" s="93">
        <f t="shared" si="3"/>
        <v>181042848.24000001</v>
      </c>
      <c r="H50" s="90">
        <f t="shared" si="3"/>
        <v>104</v>
      </c>
      <c r="I50" s="91">
        <f t="shared" si="3"/>
        <v>277814378.68000001</v>
      </c>
      <c r="J50" s="92">
        <f t="shared" si="3"/>
        <v>83</v>
      </c>
      <c r="K50" s="93">
        <f t="shared" si="3"/>
        <v>220201180.38999999</v>
      </c>
      <c r="L50" s="90">
        <f t="shared" si="3"/>
        <v>174</v>
      </c>
      <c r="M50" s="91">
        <f t="shared" si="3"/>
        <v>474109821.42000002</v>
      </c>
      <c r="N50" s="90">
        <f t="shared" si="3"/>
        <v>310</v>
      </c>
      <c r="O50" s="91">
        <f t="shared" si="3"/>
        <v>725856646.17000008</v>
      </c>
      <c r="P50" s="94"/>
    </row>
    <row r="51" spans="2:16" ht="13.9" customHeight="1" x14ac:dyDescent="0.25">
      <c r="B51" s="151" t="s">
        <v>79</v>
      </c>
      <c r="C51" s="151"/>
      <c r="D51" s="97">
        <f>D50/SUM($D$50,$F$50,$H$50,$J$50,$L$50,$N$50)</f>
        <v>1.375515818431912E-3</v>
      </c>
      <c r="E51" s="98">
        <f>E50/SUM($E$50,$G$50,$I$50,$K$50,$M$50,$O$50)</f>
        <v>5.8212195918184344E-4</v>
      </c>
      <c r="F51" s="97">
        <f>F50/SUM($D$50,$F$50,$H$50,$J$50,$L$50,$N$50)</f>
        <v>7.5653370013755161E-2</v>
      </c>
      <c r="G51" s="98">
        <f>G50/SUM($E$50,$G$50,$I$50,$K$50,$M$50,$O$50)</f>
        <v>9.6293275112771456E-2</v>
      </c>
      <c r="H51" s="97">
        <f>H50/SUM($D$50,$F$50,$H$50,$J$50,$L$50,$N$50)</f>
        <v>0.14305364511691884</v>
      </c>
      <c r="I51" s="98">
        <f>I50/SUM($E$50,$G$50,$I$50,$K$50,$M$50,$O$50)</f>
        <v>0.14776422629549826</v>
      </c>
      <c r="J51" s="97">
        <f>J50/SUM($D$50,$F$50,$H$50,$J$50,$L$50,$N$50)</f>
        <v>0.11416781292984869</v>
      </c>
      <c r="K51" s="98">
        <f>K50/SUM($E$50,$G$50,$I$50,$K$50,$M$50,$O$50)</f>
        <v>0.11712085315484143</v>
      </c>
      <c r="L51" s="97">
        <f>L50/SUM($D$50,$F$50,$H$50,$J$50,$L$50,$N$50)</f>
        <v>0.23933975240715269</v>
      </c>
      <c r="M51" s="98">
        <f>M50/SUM($E$50,$G$50,$I$50,$K$50,$M$50,$O$50)</f>
        <v>0.2521700686411108</v>
      </c>
      <c r="N51" s="97">
        <f>N50/SUM($D$50,$F$50,$H$50,$J$50,$L$50,$N$50)</f>
        <v>0.4264099037138927</v>
      </c>
      <c r="O51" s="98">
        <f>O50/SUM($E$50,$G$50,$I$50,$K$50,$M$50,$O$50)</f>
        <v>0.38606945483659622</v>
      </c>
      <c r="P51" s="99"/>
    </row>
    <row r="52" spans="2:16" ht="13.9" customHeight="1" x14ac:dyDescent="0.25">
      <c r="B52" s="152" t="s">
        <v>80</v>
      </c>
      <c r="C52" s="153"/>
      <c r="D52" s="102">
        <f>D51</f>
        <v>1.375515818431912E-3</v>
      </c>
      <c r="E52" s="103">
        <f>E51</f>
        <v>5.8212195918184344E-4</v>
      </c>
      <c r="F52" s="102">
        <f>D51+F51</f>
        <v>7.7028885832187075E-2</v>
      </c>
      <c r="G52" s="103">
        <f>E51+G51</f>
        <v>9.6875397071953306E-2</v>
      </c>
      <c r="H52" s="102">
        <f>F51+H51+D51</f>
        <v>0.2200825309491059</v>
      </c>
      <c r="I52" s="103">
        <f>G51+I51+E51</f>
        <v>0.24463962336745154</v>
      </c>
      <c r="J52" s="102">
        <f>H51+J51+F51+D51</f>
        <v>0.33425034387895464</v>
      </c>
      <c r="K52" s="103">
        <f>I51+K51+G51+E51</f>
        <v>0.36176047652229298</v>
      </c>
      <c r="L52" s="102">
        <f>J51+L51+H51+F51+D51</f>
        <v>0.57359009628610724</v>
      </c>
      <c r="M52" s="103">
        <f>K51+M51+I51+G51+E51</f>
        <v>0.61393054516340373</v>
      </c>
      <c r="N52" s="102">
        <f>L51+N51+J51+H51+F51+D51</f>
        <v>1</v>
      </c>
      <c r="O52" s="103">
        <f>M51+O51+K51+I51+G51+E51</f>
        <v>0.99999999999999989</v>
      </c>
      <c r="P52" s="99"/>
    </row>
    <row r="53" spans="2:16" ht="13.9" customHeight="1" x14ac:dyDescent="0.25"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  <row r="54" spans="2:16" ht="13.9" customHeight="1" x14ac:dyDescent="0.25"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  <row r="55" spans="2:16" ht="13.9" customHeight="1" x14ac:dyDescent="0.25">
      <c r="B55" s="149" t="s">
        <v>26</v>
      </c>
      <c r="C55" s="148" t="s">
        <v>19</v>
      </c>
      <c r="D55" s="73" t="s">
        <v>20</v>
      </c>
      <c r="E55" s="74"/>
      <c r="F55" s="75" t="s">
        <v>21</v>
      </c>
      <c r="G55" s="76"/>
      <c r="H55" s="73" t="s">
        <v>22</v>
      </c>
      <c r="I55" s="74"/>
      <c r="J55" s="75" t="s">
        <v>23</v>
      </c>
      <c r="K55" s="76"/>
      <c r="L55" s="73" t="s">
        <v>24</v>
      </c>
      <c r="M55" s="74"/>
      <c r="N55" s="73" t="s">
        <v>25</v>
      </c>
      <c r="O55" s="74"/>
      <c r="P55" s="77"/>
    </row>
    <row r="56" spans="2:16" ht="13.9" customHeight="1" x14ac:dyDescent="0.25">
      <c r="B56" s="149"/>
      <c r="C56" s="148" t="s">
        <v>102</v>
      </c>
      <c r="D56" s="79" t="s">
        <v>81</v>
      </c>
      <c r="E56" s="80" t="s">
        <v>82</v>
      </c>
      <c r="F56" s="79" t="s">
        <v>81</v>
      </c>
      <c r="G56" s="80" t="s">
        <v>82</v>
      </c>
      <c r="H56" s="79" t="s">
        <v>81</v>
      </c>
      <c r="I56" s="80" t="s">
        <v>82</v>
      </c>
      <c r="J56" s="79" t="s">
        <v>81</v>
      </c>
      <c r="K56" s="80" t="s">
        <v>82</v>
      </c>
      <c r="L56" s="79" t="s">
        <v>81</v>
      </c>
      <c r="M56" s="80" t="s">
        <v>82</v>
      </c>
      <c r="N56" s="79" t="s">
        <v>81</v>
      </c>
      <c r="O56" s="80" t="s">
        <v>82</v>
      </c>
      <c r="P56" s="83"/>
    </row>
    <row r="57" spans="2:16" ht="13.9" customHeight="1" outlineLevel="1" x14ac:dyDescent="0.25">
      <c r="B57" s="149" t="s">
        <v>30</v>
      </c>
      <c r="C57" s="150" t="s">
        <v>31</v>
      </c>
      <c r="D57" s="85">
        <v>0</v>
      </c>
      <c r="E57" s="86">
        <v>0</v>
      </c>
      <c r="F57" s="85">
        <v>0</v>
      </c>
      <c r="G57" s="86">
        <v>0</v>
      </c>
      <c r="H57" s="85">
        <v>0</v>
      </c>
      <c r="I57" s="86">
        <v>0</v>
      </c>
      <c r="J57" s="85">
        <v>0</v>
      </c>
      <c r="K57" s="86">
        <v>0</v>
      </c>
      <c r="L57" s="85">
        <v>15578257.02</v>
      </c>
      <c r="M57" s="86">
        <v>10411737.569999998</v>
      </c>
      <c r="N57" s="85">
        <v>37650283.24000001</v>
      </c>
      <c r="O57" s="86">
        <v>22319350.84</v>
      </c>
      <c r="P57" s="87"/>
    </row>
    <row r="58" spans="2:16" ht="13.9" customHeight="1" outlineLevel="1" x14ac:dyDescent="0.25">
      <c r="B58" s="149"/>
      <c r="C58" s="150" t="s">
        <v>32</v>
      </c>
      <c r="D58" s="85">
        <v>0</v>
      </c>
      <c r="E58" s="86">
        <v>0</v>
      </c>
      <c r="F58" s="85">
        <v>0</v>
      </c>
      <c r="G58" s="86">
        <v>0</v>
      </c>
      <c r="H58" s="85">
        <v>0</v>
      </c>
      <c r="I58" s="86">
        <v>0</v>
      </c>
      <c r="J58" s="85">
        <v>0</v>
      </c>
      <c r="K58" s="86">
        <v>0</v>
      </c>
      <c r="L58" s="85">
        <v>0</v>
      </c>
      <c r="M58" s="86">
        <v>0</v>
      </c>
      <c r="N58" s="85">
        <v>11002723.600000001</v>
      </c>
      <c r="O58" s="86">
        <v>1632338.8799999997</v>
      </c>
      <c r="P58" s="87"/>
    </row>
    <row r="59" spans="2:16" ht="13.9" customHeight="1" outlineLevel="1" x14ac:dyDescent="0.25">
      <c r="B59" s="149"/>
      <c r="C59" s="150" t="s">
        <v>33</v>
      </c>
      <c r="D59" s="85">
        <v>0</v>
      </c>
      <c r="E59" s="86">
        <v>1094458.75</v>
      </c>
      <c r="F59" s="85">
        <v>0</v>
      </c>
      <c r="G59" s="86">
        <v>0</v>
      </c>
      <c r="H59" s="85">
        <v>0</v>
      </c>
      <c r="I59" s="86">
        <v>0</v>
      </c>
      <c r="J59" s="85">
        <v>0</v>
      </c>
      <c r="K59" s="86">
        <v>0</v>
      </c>
      <c r="L59" s="85">
        <v>1331500.75</v>
      </c>
      <c r="M59" s="86">
        <v>1331505.75</v>
      </c>
      <c r="N59" s="85">
        <v>69892720.600000009</v>
      </c>
      <c r="O59" s="86">
        <v>22414578.280000001</v>
      </c>
      <c r="P59" s="87"/>
    </row>
    <row r="60" spans="2:16" ht="13.9" customHeight="1" outlineLevel="1" x14ac:dyDescent="0.25">
      <c r="B60" s="149"/>
      <c r="C60" s="150" t="s">
        <v>34</v>
      </c>
      <c r="D60" s="85">
        <v>0</v>
      </c>
      <c r="E60" s="86">
        <v>0</v>
      </c>
      <c r="F60" s="85">
        <v>0</v>
      </c>
      <c r="G60" s="86">
        <v>0</v>
      </c>
      <c r="H60" s="85">
        <v>0</v>
      </c>
      <c r="I60" s="86">
        <v>0</v>
      </c>
      <c r="J60" s="85">
        <v>0</v>
      </c>
      <c r="K60" s="86">
        <v>0</v>
      </c>
      <c r="L60" s="85">
        <v>41095643.219999999</v>
      </c>
      <c r="M60" s="86">
        <v>34972192.030000009</v>
      </c>
      <c r="N60" s="85">
        <v>41369272.889999993</v>
      </c>
      <c r="O60" s="86">
        <v>11656973.15</v>
      </c>
      <c r="P60" s="87"/>
    </row>
    <row r="61" spans="2:16" ht="13.9" customHeight="1" outlineLevel="1" x14ac:dyDescent="0.25">
      <c r="B61" s="149"/>
      <c r="C61" s="150" t="s">
        <v>35</v>
      </c>
      <c r="D61" s="85">
        <v>0</v>
      </c>
      <c r="E61" s="86">
        <v>0</v>
      </c>
      <c r="F61" s="85">
        <v>0</v>
      </c>
      <c r="G61" s="86">
        <v>0</v>
      </c>
      <c r="H61" s="85">
        <v>0</v>
      </c>
      <c r="I61" s="86">
        <v>0</v>
      </c>
      <c r="J61" s="85">
        <v>0</v>
      </c>
      <c r="K61" s="86">
        <v>0</v>
      </c>
      <c r="L61" s="85">
        <v>0</v>
      </c>
      <c r="M61" s="86">
        <v>0</v>
      </c>
      <c r="N61" s="85">
        <v>24686275.199999999</v>
      </c>
      <c r="O61" s="86">
        <v>9.0499999998137355</v>
      </c>
      <c r="P61" s="87"/>
    </row>
    <row r="62" spans="2:16" ht="13.9" customHeight="1" outlineLevel="1" x14ac:dyDescent="0.25">
      <c r="B62" s="149"/>
      <c r="C62" s="150" t="s">
        <v>36</v>
      </c>
      <c r="D62" s="85">
        <v>0</v>
      </c>
      <c r="E62" s="86">
        <v>0</v>
      </c>
      <c r="F62" s="85">
        <v>1101000</v>
      </c>
      <c r="G62" s="86">
        <v>8814280</v>
      </c>
      <c r="H62" s="85">
        <v>4364336.5</v>
      </c>
      <c r="I62" s="86">
        <v>12095882</v>
      </c>
      <c r="J62" s="85">
        <v>15451915</v>
      </c>
      <c r="K62" s="86">
        <v>26826262.5</v>
      </c>
      <c r="L62" s="85">
        <v>10594925.75</v>
      </c>
      <c r="M62" s="86">
        <v>13733915.75</v>
      </c>
      <c r="N62" s="85">
        <v>0</v>
      </c>
      <c r="O62" s="86">
        <v>0</v>
      </c>
      <c r="P62" s="87"/>
    </row>
    <row r="63" spans="2:16" ht="13.9" customHeight="1" outlineLevel="1" x14ac:dyDescent="0.25">
      <c r="B63" s="149"/>
      <c r="C63" s="150" t="s">
        <v>37</v>
      </c>
      <c r="D63" s="85">
        <v>0</v>
      </c>
      <c r="E63" s="86">
        <v>0</v>
      </c>
      <c r="F63" s="85">
        <v>0</v>
      </c>
      <c r="G63" s="86">
        <v>0</v>
      </c>
      <c r="H63" s="85">
        <v>0</v>
      </c>
      <c r="I63" s="86">
        <v>0</v>
      </c>
      <c r="J63" s="85">
        <v>0</v>
      </c>
      <c r="K63" s="86">
        <v>0</v>
      </c>
      <c r="L63" s="85">
        <v>0</v>
      </c>
      <c r="M63" s="86">
        <v>0</v>
      </c>
      <c r="N63" s="85">
        <v>26474160.890000001</v>
      </c>
      <c r="O63" s="86">
        <v>0.15000000013969839</v>
      </c>
      <c r="P63" s="87"/>
    </row>
    <row r="64" spans="2:16" ht="13.9" customHeight="1" outlineLevel="1" x14ac:dyDescent="0.25">
      <c r="B64" s="149"/>
      <c r="C64" s="150" t="s">
        <v>38</v>
      </c>
      <c r="D64" s="85">
        <v>0</v>
      </c>
      <c r="E64" s="86">
        <v>0</v>
      </c>
      <c r="F64" s="85">
        <v>0</v>
      </c>
      <c r="G64" s="86">
        <v>0</v>
      </c>
      <c r="H64" s="85">
        <v>0</v>
      </c>
      <c r="I64" s="86">
        <v>0</v>
      </c>
      <c r="J64" s="85">
        <v>0</v>
      </c>
      <c r="K64" s="86">
        <v>0</v>
      </c>
      <c r="L64" s="85">
        <v>0</v>
      </c>
      <c r="M64" s="86">
        <v>0</v>
      </c>
      <c r="N64" s="85">
        <v>20309404</v>
      </c>
      <c r="O64" s="86">
        <v>1.25</v>
      </c>
      <c r="P64" s="87"/>
    </row>
    <row r="65" spans="2:16" ht="13.9" customHeight="1" outlineLevel="1" x14ac:dyDescent="0.25">
      <c r="B65" s="149"/>
      <c r="C65" s="150" t="s">
        <v>39</v>
      </c>
      <c r="D65" s="85">
        <v>0</v>
      </c>
      <c r="E65" s="86">
        <v>0</v>
      </c>
      <c r="F65" s="85">
        <v>0</v>
      </c>
      <c r="G65" s="86">
        <v>0</v>
      </c>
      <c r="H65" s="85">
        <v>0</v>
      </c>
      <c r="I65" s="86">
        <v>0</v>
      </c>
      <c r="J65" s="85">
        <v>0</v>
      </c>
      <c r="K65" s="86">
        <v>0</v>
      </c>
      <c r="L65" s="85">
        <v>0</v>
      </c>
      <c r="M65" s="86">
        <v>0</v>
      </c>
      <c r="N65" s="85">
        <v>12385935</v>
      </c>
      <c r="O65" s="86">
        <v>0</v>
      </c>
      <c r="P65" s="87"/>
    </row>
    <row r="66" spans="2:16" ht="13.9" customHeight="1" outlineLevel="1" x14ac:dyDescent="0.25">
      <c r="B66" s="149"/>
      <c r="C66" s="150" t="s">
        <v>40</v>
      </c>
      <c r="D66" s="85">
        <v>0</v>
      </c>
      <c r="E66" s="86">
        <v>0</v>
      </c>
      <c r="F66" s="85">
        <v>0</v>
      </c>
      <c r="G66" s="86">
        <v>0</v>
      </c>
      <c r="H66" s="85">
        <v>0</v>
      </c>
      <c r="I66" s="86">
        <v>0</v>
      </c>
      <c r="J66" s="85">
        <v>0</v>
      </c>
      <c r="K66" s="86">
        <v>0</v>
      </c>
      <c r="L66" s="85">
        <v>0</v>
      </c>
      <c r="M66" s="86">
        <v>0</v>
      </c>
      <c r="N66" s="85">
        <v>0</v>
      </c>
      <c r="O66" s="86">
        <v>0</v>
      </c>
      <c r="P66" s="87"/>
    </row>
    <row r="67" spans="2:16" ht="13.9" customHeight="1" outlineLevel="1" x14ac:dyDescent="0.25">
      <c r="B67" s="149"/>
      <c r="C67" s="150" t="s">
        <v>41</v>
      </c>
      <c r="D67" s="85">
        <v>0</v>
      </c>
      <c r="E67" s="86">
        <v>0</v>
      </c>
      <c r="F67" s="85">
        <v>0</v>
      </c>
      <c r="G67" s="86">
        <v>0</v>
      </c>
      <c r="H67" s="85">
        <v>0</v>
      </c>
      <c r="I67" s="86">
        <v>0</v>
      </c>
      <c r="J67" s="85">
        <v>0</v>
      </c>
      <c r="K67" s="86">
        <v>0</v>
      </c>
      <c r="L67" s="85">
        <v>0</v>
      </c>
      <c r="M67" s="86">
        <v>0</v>
      </c>
      <c r="N67" s="85">
        <v>3433018.63</v>
      </c>
      <c r="O67" s="86">
        <v>0</v>
      </c>
      <c r="P67" s="87"/>
    </row>
    <row r="68" spans="2:16" ht="13.9" customHeight="1" outlineLevel="1" x14ac:dyDescent="0.25">
      <c r="B68" s="149"/>
      <c r="C68" s="150" t="s">
        <v>42</v>
      </c>
      <c r="D68" s="85">
        <v>0</v>
      </c>
      <c r="E68" s="86">
        <v>0</v>
      </c>
      <c r="F68" s="85">
        <v>1079372</v>
      </c>
      <c r="G68" s="86">
        <v>7457011</v>
      </c>
      <c r="H68" s="85">
        <v>4335021.38</v>
      </c>
      <c r="I68" s="86">
        <v>13175448.07</v>
      </c>
      <c r="J68" s="85">
        <v>6486780.5600000005</v>
      </c>
      <c r="K68" s="86">
        <v>11931321.490000002</v>
      </c>
      <c r="L68" s="85">
        <v>24288685.909999996</v>
      </c>
      <c r="M68" s="86">
        <v>22907830.090000004</v>
      </c>
      <c r="N68" s="85">
        <v>47506183.480000004</v>
      </c>
      <c r="O68" s="86">
        <v>19222888.990000002</v>
      </c>
      <c r="P68" s="87"/>
    </row>
    <row r="69" spans="2:16" ht="13.9" customHeight="1" outlineLevel="1" x14ac:dyDescent="0.25">
      <c r="B69" s="149"/>
      <c r="C69" s="150" t="s">
        <v>43</v>
      </c>
      <c r="D69" s="85">
        <v>0</v>
      </c>
      <c r="E69" s="86">
        <v>0</v>
      </c>
      <c r="F69" s="85">
        <v>1947287.76</v>
      </c>
      <c r="G69" s="86">
        <v>10328791.24</v>
      </c>
      <c r="H69" s="85">
        <v>2845716</v>
      </c>
      <c r="I69" s="86">
        <v>9123322</v>
      </c>
      <c r="J69" s="85">
        <v>4034601.2</v>
      </c>
      <c r="K69" s="86">
        <v>7810146.7999999998</v>
      </c>
      <c r="L69" s="85">
        <v>19795075.5</v>
      </c>
      <c r="M69" s="86">
        <v>21174417.5</v>
      </c>
      <c r="N69" s="85">
        <v>24570108.91</v>
      </c>
      <c r="O69" s="86">
        <v>7418110.0499999998</v>
      </c>
      <c r="P69" s="87"/>
    </row>
    <row r="70" spans="2:16" ht="13.9" customHeight="1" outlineLevel="1" x14ac:dyDescent="0.25">
      <c r="B70" s="149"/>
      <c r="C70" s="150" t="s">
        <v>44</v>
      </c>
      <c r="D70" s="85">
        <v>0</v>
      </c>
      <c r="E70" s="86">
        <v>0</v>
      </c>
      <c r="F70" s="85">
        <v>1537983.9700000002</v>
      </c>
      <c r="G70" s="86">
        <v>7209215.1299999999</v>
      </c>
      <c r="H70" s="85">
        <v>11530638.630000001</v>
      </c>
      <c r="I70" s="86">
        <v>30816646.420000002</v>
      </c>
      <c r="J70" s="85">
        <v>6731695.1100000013</v>
      </c>
      <c r="K70" s="86">
        <v>15643456.990000002</v>
      </c>
      <c r="L70" s="85">
        <v>0</v>
      </c>
      <c r="M70" s="86">
        <v>0</v>
      </c>
      <c r="N70" s="85">
        <v>28657437.870000001</v>
      </c>
      <c r="O70" s="86">
        <v>1019.8800000003539</v>
      </c>
      <c r="P70" s="87"/>
    </row>
    <row r="71" spans="2:16" ht="13.9" customHeight="1" outlineLevel="1" x14ac:dyDescent="0.25">
      <c r="B71" s="149"/>
      <c r="C71" s="150" t="s">
        <v>45</v>
      </c>
      <c r="D71" s="85">
        <v>0</v>
      </c>
      <c r="E71" s="86">
        <v>0</v>
      </c>
      <c r="F71" s="85">
        <v>5263024.8599999994</v>
      </c>
      <c r="G71" s="86">
        <v>26327370.140000004</v>
      </c>
      <c r="H71" s="85">
        <v>10481969.48</v>
      </c>
      <c r="I71" s="86">
        <v>31318034.120000005</v>
      </c>
      <c r="J71" s="85">
        <v>3880706.1999999997</v>
      </c>
      <c r="K71" s="86">
        <v>9039722.6499999985</v>
      </c>
      <c r="L71" s="85">
        <v>0</v>
      </c>
      <c r="M71" s="86">
        <v>0</v>
      </c>
      <c r="N71" s="85">
        <v>0</v>
      </c>
      <c r="O71" s="86">
        <v>0</v>
      </c>
      <c r="P71" s="87"/>
    </row>
    <row r="72" spans="2:16" ht="13.9" customHeight="1" outlineLevel="1" x14ac:dyDescent="0.25">
      <c r="B72" s="149"/>
      <c r="C72" s="150" t="s">
        <v>46</v>
      </c>
      <c r="D72" s="85">
        <v>0</v>
      </c>
      <c r="E72" s="86">
        <v>0</v>
      </c>
      <c r="F72" s="85">
        <v>593894</v>
      </c>
      <c r="G72" s="86">
        <v>5322366</v>
      </c>
      <c r="H72" s="85">
        <v>0</v>
      </c>
      <c r="I72" s="86">
        <v>0</v>
      </c>
      <c r="J72" s="85">
        <v>0</v>
      </c>
      <c r="K72" s="86">
        <v>0</v>
      </c>
      <c r="L72" s="85">
        <v>0</v>
      </c>
      <c r="M72" s="86">
        <v>0</v>
      </c>
      <c r="N72" s="85">
        <v>0</v>
      </c>
      <c r="O72" s="86">
        <v>0</v>
      </c>
      <c r="P72" s="87"/>
    </row>
    <row r="73" spans="2:16" ht="13.9" customHeight="1" outlineLevel="1" x14ac:dyDescent="0.25">
      <c r="B73" s="149"/>
      <c r="C73" s="150" t="s">
        <v>47</v>
      </c>
      <c r="D73" s="85">
        <v>0</v>
      </c>
      <c r="E73" s="86">
        <v>0</v>
      </c>
      <c r="F73" s="85">
        <v>181850</v>
      </c>
      <c r="G73" s="86">
        <v>1599812.05</v>
      </c>
      <c r="H73" s="85">
        <v>5962344.8799999999</v>
      </c>
      <c r="I73" s="86">
        <v>16670953.619999999</v>
      </c>
      <c r="J73" s="85">
        <v>9511253.0899999999</v>
      </c>
      <c r="K73" s="86">
        <v>16127835.710000001</v>
      </c>
      <c r="L73" s="85">
        <v>47029596.829999991</v>
      </c>
      <c r="M73" s="86">
        <v>41323673.469999999</v>
      </c>
      <c r="N73" s="85">
        <v>68911536.430000007</v>
      </c>
      <c r="O73" s="86">
        <v>25139298.239999998</v>
      </c>
      <c r="P73" s="87"/>
    </row>
    <row r="74" spans="2:16" ht="13.9" customHeight="1" outlineLevel="1" x14ac:dyDescent="0.25">
      <c r="B74" s="149"/>
      <c r="C74" s="150" t="s">
        <v>48</v>
      </c>
      <c r="D74" s="85">
        <v>0</v>
      </c>
      <c r="E74" s="86">
        <v>0</v>
      </c>
      <c r="F74" s="85">
        <v>0</v>
      </c>
      <c r="G74" s="86">
        <v>0</v>
      </c>
      <c r="H74" s="85">
        <v>1955521.24</v>
      </c>
      <c r="I74" s="86">
        <v>4953850.76</v>
      </c>
      <c r="J74" s="85">
        <v>2128477.6399999997</v>
      </c>
      <c r="K74" s="86">
        <v>4966411.66</v>
      </c>
      <c r="L74" s="85">
        <v>7075713.1399999997</v>
      </c>
      <c r="M74" s="86">
        <v>7643212.5600000005</v>
      </c>
      <c r="N74" s="85">
        <v>5128367.7</v>
      </c>
      <c r="O74" s="86">
        <v>2500541.8400000003</v>
      </c>
      <c r="P74" s="87"/>
    </row>
    <row r="75" spans="2:16" ht="13.9" customHeight="1" outlineLevel="1" x14ac:dyDescent="0.25">
      <c r="B75" s="149"/>
      <c r="C75" s="150" t="s">
        <v>49</v>
      </c>
      <c r="D75" s="85">
        <v>0</v>
      </c>
      <c r="E75" s="86">
        <v>0</v>
      </c>
      <c r="F75" s="85">
        <v>0</v>
      </c>
      <c r="G75" s="86">
        <v>0</v>
      </c>
      <c r="H75" s="85">
        <v>0</v>
      </c>
      <c r="I75" s="86">
        <v>0</v>
      </c>
      <c r="J75" s="85">
        <v>2412130</v>
      </c>
      <c r="K75" s="86">
        <v>5624969.1799999997</v>
      </c>
      <c r="L75" s="85">
        <v>28850761.420000002</v>
      </c>
      <c r="M75" s="86">
        <v>22268111.360000003</v>
      </c>
      <c r="N75" s="85">
        <v>79510555.100000009</v>
      </c>
      <c r="O75" s="86">
        <v>15267036.590000002</v>
      </c>
      <c r="P75" s="87"/>
    </row>
    <row r="76" spans="2:16" ht="13.9" customHeight="1" outlineLevel="1" x14ac:dyDescent="0.25">
      <c r="B76" s="149"/>
      <c r="C76" s="150" t="s">
        <v>50</v>
      </c>
      <c r="D76" s="85">
        <v>0</v>
      </c>
      <c r="E76" s="86">
        <v>0</v>
      </c>
      <c r="F76" s="85">
        <v>1247139.51</v>
      </c>
      <c r="G76" s="86">
        <v>7769294.4900000002</v>
      </c>
      <c r="H76" s="85">
        <v>829367.8</v>
      </c>
      <c r="I76" s="86">
        <v>2688219.2</v>
      </c>
      <c r="J76" s="85">
        <v>0</v>
      </c>
      <c r="K76" s="86">
        <v>0</v>
      </c>
      <c r="L76" s="85">
        <v>0</v>
      </c>
      <c r="M76" s="86">
        <v>0</v>
      </c>
      <c r="N76" s="85">
        <v>0</v>
      </c>
      <c r="O76" s="86">
        <v>0</v>
      </c>
      <c r="P76" s="87"/>
    </row>
    <row r="77" spans="2:16" ht="13.9" customHeight="1" outlineLevel="1" x14ac:dyDescent="0.25">
      <c r="B77" s="149"/>
      <c r="C77" s="150" t="s">
        <v>51</v>
      </c>
      <c r="D77" s="85">
        <v>0</v>
      </c>
      <c r="E77" s="86">
        <v>0</v>
      </c>
      <c r="F77" s="85">
        <v>0</v>
      </c>
      <c r="G77" s="86">
        <v>0</v>
      </c>
      <c r="H77" s="85">
        <v>1084099.3899999999</v>
      </c>
      <c r="I77" s="86">
        <v>3645235.61</v>
      </c>
      <c r="J77" s="85">
        <v>4751117.5799999991</v>
      </c>
      <c r="K77" s="86">
        <v>10245408.870000001</v>
      </c>
      <c r="L77" s="85">
        <v>0</v>
      </c>
      <c r="M77" s="86">
        <v>0</v>
      </c>
      <c r="N77" s="85">
        <v>2628358.6399999997</v>
      </c>
      <c r="O77" s="86">
        <v>1.4499999999534339</v>
      </c>
      <c r="P77" s="87"/>
    </row>
    <row r="78" spans="2:16" ht="13.9" customHeight="1" outlineLevel="1" x14ac:dyDescent="0.25">
      <c r="B78" s="149"/>
      <c r="C78" s="150" t="s">
        <v>52</v>
      </c>
      <c r="D78" s="85">
        <v>0</v>
      </c>
      <c r="E78" s="86">
        <v>0</v>
      </c>
      <c r="F78" s="85">
        <v>1061039.0899999999</v>
      </c>
      <c r="G78" s="86">
        <v>4244159.41</v>
      </c>
      <c r="H78" s="85">
        <v>2473018.41</v>
      </c>
      <c r="I78" s="86">
        <v>9821722.6899999995</v>
      </c>
      <c r="J78" s="85">
        <v>0</v>
      </c>
      <c r="K78" s="86">
        <v>0</v>
      </c>
      <c r="L78" s="85">
        <v>1566407.2</v>
      </c>
      <c r="M78" s="86">
        <v>1979522.3</v>
      </c>
      <c r="N78" s="85">
        <v>0</v>
      </c>
      <c r="O78" s="86">
        <v>0</v>
      </c>
      <c r="P78" s="87"/>
    </row>
    <row r="79" spans="2:16" ht="13.9" customHeight="1" outlineLevel="1" x14ac:dyDescent="0.25">
      <c r="B79" s="149"/>
      <c r="C79" s="150" t="s">
        <v>53</v>
      </c>
      <c r="D79" s="85">
        <v>0</v>
      </c>
      <c r="E79" s="86">
        <v>0</v>
      </c>
      <c r="F79" s="85">
        <v>0</v>
      </c>
      <c r="G79" s="86">
        <v>0</v>
      </c>
      <c r="H79" s="85">
        <v>1611553</v>
      </c>
      <c r="I79" s="86">
        <v>4875010.25</v>
      </c>
      <c r="J79" s="85">
        <v>0</v>
      </c>
      <c r="K79" s="86">
        <v>0</v>
      </c>
      <c r="L79" s="85">
        <v>0</v>
      </c>
      <c r="M79" s="86">
        <v>0</v>
      </c>
      <c r="N79" s="85">
        <v>0</v>
      </c>
      <c r="O79" s="86">
        <v>0</v>
      </c>
      <c r="P79" s="87"/>
    </row>
    <row r="80" spans="2:16" ht="13.9" customHeight="1" outlineLevel="1" x14ac:dyDescent="0.25">
      <c r="B80" s="149"/>
      <c r="C80" s="150" t="s">
        <v>54</v>
      </c>
      <c r="D80" s="85">
        <v>0</v>
      </c>
      <c r="E80" s="86">
        <v>0</v>
      </c>
      <c r="F80" s="85">
        <v>1728253.56</v>
      </c>
      <c r="G80" s="86">
        <v>6916019.4900000002</v>
      </c>
      <c r="H80" s="85">
        <v>4716498.24</v>
      </c>
      <c r="I80" s="86">
        <v>18446310.719999999</v>
      </c>
      <c r="J80" s="85">
        <v>2404625.35</v>
      </c>
      <c r="K80" s="86">
        <v>5558377.4300000006</v>
      </c>
      <c r="L80" s="85">
        <v>0</v>
      </c>
      <c r="M80" s="86">
        <v>0</v>
      </c>
      <c r="N80" s="85">
        <v>0</v>
      </c>
      <c r="O80" s="86">
        <v>0</v>
      </c>
      <c r="P80" s="87"/>
    </row>
    <row r="81" spans="2:16" ht="13.9" customHeight="1" outlineLevel="1" x14ac:dyDescent="0.25">
      <c r="B81" s="149"/>
      <c r="C81" s="150" t="s">
        <v>55</v>
      </c>
      <c r="D81" s="85">
        <v>0</v>
      </c>
      <c r="E81" s="86">
        <v>0</v>
      </c>
      <c r="F81" s="85">
        <v>0</v>
      </c>
      <c r="G81" s="86">
        <v>0</v>
      </c>
      <c r="H81" s="85">
        <v>1583111.47</v>
      </c>
      <c r="I81" s="86">
        <v>6320682.6799999997</v>
      </c>
      <c r="J81" s="85">
        <v>0</v>
      </c>
      <c r="K81" s="86">
        <v>0</v>
      </c>
      <c r="L81" s="85">
        <v>0</v>
      </c>
      <c r="M81" s="86">
        <v>0</v>
      </c>
      <c r="N81" s="85">
        <v>0</v>
      </c>
      <c r="O81" s="86">
        <v>0</v>
      </c>
      <c r="P81" s="87"/>
    </row>
    <row r="82" spans="2:16" ht="13.9" customHeight="1" outlineLevel="1" x14ac:dyDescent="0.25">
      <c r="B82" s="149"/>
      <c r="C82" s="150" t="s">
        <v>56</v>
      </c>
      <c r="D82" s="85">
        <v>0</v>
      </c>
      <c r="E82" s="86">
        <v>0</v>
      </c>
      <c r="F82" s="85">
        <v>1404887.22</v>
      </c>
      <c r="G82" s="86">
        <v>8588417.4800000004</v>
      </c>
      <c r="H82" s="85">
        <v>0</v>
      </c>
      <c r="I82" s="86">
        <v>0</v>
      </c>
      <c r="J82" s="85">
        <v>0</v>
      </c>
      <c r="K82" s="86">
        <v>0</v>
      </c>
      <c r="L82" s="85">
        <v>0</v>
      </c>
      <c r="M82" s="86">
        <v>0</v>
      </c>
      <c r="N82" s="85">
        <v>0</v>
      </c>
      <c r="O82" s="86">
        <v>0</v>
      </c>
      <c r="P82" s="87"/>
    </row>
    <row r="83" spans="2:16" ht="13.9" customHeight="1" outlineLevel="1" x14ac:dyDescent="0.25">
      <c r="B83" s="149"/>
      <c r="C83" s="150" t="s">
        <v>57</v>
      </c>
      <c r="D83" s="85">
        <v>0</v>
      </c>
      <c r="E83" s="86">
        <v>0</v>
      </c>
      <c r="F83" s="85">
        <v>0</v>
      </c>
      <c r="G83" s="86">
        <v>0</v>
      </c>
      <c r="H83" s="85">
        <v>0</v>
      </c>
      <c r="I83" s="86">
        <v>0</v>
      </c>
      <c r="J83" s="85">
        <v>0</v>
      </c>
      <c r="K83" s="86">
        <v>0</v>
      </c>
      <c r="L83" s="85">
        <v>0</v>
      </c>
      <c r="M83" s="86">
        <v>0</v>
      </c>
      <c r="N83" s="85">
        <v>0</v>
      </c>
      <c r="O83" s="86">
        <v>0</v>
      </c>
      <c r="P83" s="87"/>
    </row>
    <row r="84" spans="2:16" ht="13.9" customHeight="1" outlineLevel="1" x14ac:dyDescent="0.25">
      <c r="B84" s="149"/>
      <c r="C84" s="150" t="s">
        <v>58</v>
      </c>
      <c r="D84" s="85">
        <v>0</v>
      </c>
      <c r="E84" s="86">
        <v>0</v>
      </c>
      <c r="F84" s="85">
        <v>0</v>
      </c>
      <c r="G84" s="86">
        <v>0</v>
      </c>
      <c r="H84" s="85">
        <v>1592906</v>
      </c>
      <c r="I84" s="86">
        <v>6336668</v>
      </c>
      <c r="J84" s="85">
        <v>0</v>
      </c>
      <c r="K84" s="86">
        <v>0</v>
      </c>
      <c r="L84" s="85">
        <v>0</v>
      </c>
      <c r="M84" s="86">
        <v>0</v>
      </c>
      <c r="N84" s="85">
        <v>0</v>
      </c>
      <c r="O84" s="86">
        <v>0</v>
      </c>
      <c r="P84" s="87"/>
    </row>
    <row r="85" spans="2:16" ht="13.9" customHeight="1" outlineLevel="1" x14ac:dyDescent="0.25">
      <c r="B85" s="149"/>
      <c r="C85" s="150" t="s">
        <v>59</v>
      </c>
      <c r="D85" s="85">
        <v>0</v>
      </c>
      <c r="E85" s="86">
        <v>0</v>
      </c>
      <c r="F85" s="85">
        <v>416218.15</v>
      </c>
      <c r="G85" s="86">
        <v>1689722.75</v>
      </c>
      <c r="H85" s="85">
        <v>517981</v>
      </c>
      <c r="I85" s="86">
        <v>2071829.2999999998</v>
      </c>
      <c r="J85" s="85">
        <v>0</v>
      </c>
      <c r="K85" s="86">
        <v>0</v>
      </c>
      <c r="L85" s="85">
        <v>0</v>
      </c>
      <c r="M85" s="86">
        <v>0</v>
      </c>
      <c r="N85" s="85">
        <v>0</v>
      </c>
      <c r="O85" s="86">
        <v>0</v>
      </c>
      <c r="P85" s="87"/>
    </row>
    <row r="86" spans="2:16" ht="13.9" customHeight="1" outlineLevel="1" x14ac:dyDescent="0.25">
      <c r="B86" s="149"/>
      <c r="C86" s="150" t="s">
        <v>60</v>
      </c>
      <c r="D86" s="85">
        <v>0</v>
      </c>
      <c r="E86" s="86">
        <v>0</v>
      </c>
      <c r="F86" s="85">
        <v>0</v>
      </c>
      <c r="G86" s="86">
        <v>0</v>
      </c>
      <c r="H86" s="85">
        <v>0</v>
      </c>
      <c r="I86" s="86">
        <v>0</v>
      </c>
      <c r="J86" s="85">
        <v>0</v>
      </c>
      <c r="K86" s="86">
        <v>0</v>
      </c>
      <c r="L86" s="85">
        <v>0</v>
      </c>
      <c r="M86" s="86">
        <v>0</v>
      </c>
      <c r="N86" s="85">
        <v>0</v>
      </c>
      <c r="O86" s="86">
        <v>0</v>
      </c>
      <c r="P86" s="87"/>
    </row>
    <row r="87" spans="2:16" ht="13.9" customHeight="1" outlineLevel="1" x14ac:dyDescent="0.25">
      <c r="B87" s="149"/>
      <c r="C87" s="150" t="s">
        <v>61</v>
      </c>
      <c r="D87" s="85">
        <v>0</v>
      </c>
      <c r="E87" s="86">
        <v>0</v>
      </c>
      <c r="F87" s="85">
        <v>1918530.98</v>
      </c>
      <c r="G87" s="86">
        <v>17227901.460000001</v>
      </c>
      <c r="H87" s="85">
        <v>813329.9</v>
      </c>
      <c r="I87" s="86">
        <v>3182577.6</v>
      </c>
      <c r="J87" s="85">
        <v>0</v>
      </c>
      <c r="K87" s="86">
        <v>0</v>
      </c>
      <c r="L87" s="85">
        <v>0</v>
      </c>
      <c r="M87" s="86">
        <v>0</v>
      </c>
      <c r="N87" s="85">
        <v>0</v>
      </c>
      <c r="O87" s="86">
        <v>0</v>
      </c>
      <c r="P87" s="87"/>
    </row>
    <row r="88" spans="2:16" ht="13.9" customHeight="1" outlineLevel="1" x14ac:dyDescent="0.25">
      <c r="B88" s="149"/>
      <c r="C88" s="150" t="s">
        <v>62</v>
      </c>
      <c r="D88" s="85">
        <v>0</v>
      </c>
      <c r="E88" s="86">
        <v>0</v>
      </c>
      <c r="F88" s="85">
        <v>0</v>
      </c>
      <c r="G88" s="86">
        <v>0</v>
      </c>
      <c r="H88" s="85">
        <v>0</v>
      </c>
      <c r="I88" s="86">
        <v>0</v>
      </c>
      <c r="J88" s="85">
        <v>0</v>
      </c>
      <c r="K88" s="86">
        <v>0</v>
      </c>
      <c r="L88" s="85">
        <v>0</v>
      </c>
      <c r="M88" s="86">
        <v>0</v>
      </c>
      <c r="N88" s="85">
        <v>0</v>
      </c>
      <c r="O88" s="86">
        <v>0</v>
      </c>
      <c r="P88" s="87"/>
    </row>
    <row r="89" spans="2:16" ht="13.9" customHeight="1" outlineLevel="1" x14ac:dyDescent="0.25">
      <c r="B89" s="149"/>
      <c r="C89" s="150" t="s">
        <v>63</v>
      </c>
      <c r="D89" s="85">
        <v>0</v>
      </c>
      <c r="E89" s="86">
        <v>0</v>
      </c>
      <c r="F89" s="85">
        <v>405741</v>
      </c>
      <c r="G89" s="86">
        <v>3651642</v>
      </c>
      <c r="H89" s="85">
        <v>0</v>
      </c>
      <c r="I89" s="86">
        <v>0</v>
      </c>
      <c r="J89" s="85">
        <v>0</v>
      </c>
      <c r="K89" s="86">
        <v>0</v>
      </c>
      <c r="L89" s="85">
        <v>0</v>
      </c>
      <c r="M89" s="86">
        <v>0</v>
      </c>
      <c r="N89" s="85">
        <v>0</v>
      </c>
      <c r="O89" s="86">
        <v>0</v>
      </c>
      <c r="P89" s="87"/>
    </row>
    <row r="90" spans="2:16" ht="13.9" customHeight="1" outlineLevel="1" x14ac:dyDescent="0.25">
      <c r="B90" s="149"/>
      <c r="C90" s="150" t="s">
        <v>64</v>
      </c>
      <c r="D90" s="85">
        <v>0</v>
      </c>
      <c r="E90" s="86">
        <v>0</v>
      </c>
      <c r="F90" s="85">
        <v>0</v>
      </c>
      <c r="G90" s="86">
        <v>0</v>
      </c>
      <c r="H90" s="85">
        <v>0</v>
      </c>
      <c r="I90" s="86">
        <v>0</v>
      </c>
      <c r="J90" s="85">
        <v>0</v>
      </c>
      <c r="K90" s="86">
        <v>0</v>
      </c>
      <c r="L90" s="85">
        <v>5967964</v>
      </c>
      <c r="M90" s="86">
        <v>7477610.8999999994</v>
      </c>
      <c r="N90" s="85">
        <v>9115390.8000000007</v>
      </c>
      <c r="O90" s="86">
        <v>3870523.5999999996</v>
      </c>
      <c r="P90" s="87"/>
    </row>
    <row r="91" spans="2:16" ht="13.9" customHeight="1" outlineLevel="1" x14ac:dyDescent="0.25">
      <c r="B91" s="149"/>
      <c r="C91" s="150" t="s">
        <v>65</v>
      </c>
      <c r="D91" s="85">
        <v>0</v>
      </c>
      <c r="E91" s="86">
        <v>0</v>
      </c>
      <c r="F91" s="85">
        <v>0</v>
      </c>
      <c r="G91" s="86">
        <v>0</v>
      </c>
      <c r="H91" s="85">
        <v>0</v>
      </c>
      <c r="I91" s="86">
        <v>0</v>
      </c>
      <c r="J91" s="85">
        <v>0</v>
      </c>
      <c r="K91" s="86">
        <v>0</v>
      </c>
      <c r="L91" s="85">
        <v>0</v>
      </c>
      <c r="M91" s="86">
        <v>0</v>
      </c>
      <c r="N91" s="85">
        <v>7561921.8100000005</v>
      </c>
      <c r="O91" s="86">
        <v>0</v>
      </c>
      <c r="P91" s="87"/>
    </row>
    <row r="92" spans="2:16" ht="13.9" customHeight="1" outlineLevel="1" x14ac:dyDescent="0.25">
      <c r="B92" s="149"/>
      <c r="C92" s="150" t="s">
        <v>66</v>
      </c>
      <c r="D92" s="85">
        <v>0</v>
      </c>
      <c r="E92" s="86">
        <v>0</v>
      </c>
      <c r="F92" s="85">
        <v>0</v>
      </c>
      <c r="G92" s="86">
        <v>0</v>
      </c>
      <c r="H92" s="85">
        <v>0</v>
      </c>
      <c r="I92" s="86">
        <v>0</v>
      </c>
      <c r="J92" s="85">
        <v>0</v>
      </c>
      <c r="K92" s="86">
        <v>0</v>
      </c>
      <c r="L92" s="85">
        <v>0</v>
      </c>
      <c r="M92" s="86">
        <v>0</v>
      </c>
      <c r="N92" s="85">
        <v>28769500.759999998</v>
      </c>
      <c r="O92" s="86">
        <v>6.8999999999068677</v>
      </c>
      <c r="P92" s="87"/>
    </row>
    <row r="93" spans="2:16" ht="13.9" customHeight="1" outlineLevel="1" x14ac:dyDescent="0.25">
      <c r="B93" s="149"/>
      <c r="C93" s="150" t="s">
        <v>67</v>
      </c>
      <c r="D93" s="85">
        <v>0</v>
      </c>
      <c r="E93" s="86">
        <v>0</v>
      </c>
      <c r="F93" s="85">
        <v>0</v>
      </c>
      <c r="G93" s="86">
        <v>0</v>
      </c>
      <c r="H93" s="85">
        <v>0</v>
      </c>
      <c r="I93" s="86">
        <v>0</v>
      </c>
      <c r="J93" s="85">
        <v>1292272</v>
      </c>
      <c r="K93" s="86">
        <v>1938408</v>
      </c>
      <c r="L93" s="85">
        <v>17822422.420000002</v>
      </c>
      <c r="M93" s="86">
        <v>13200933.58</v>
      </c>
      <c r="N93" s="85">
        <v>26484895.679999996</v>
      </c>
      <c r="O93" s="86">
        <v>11061239.720000003</v>
      </c>
      <c r="P93" s="87"/>
    </row>
    <row r="94" spans="2:16" ht="13.9" customHeight="1" x14ac:dyDescent="0.25">
      <c r="B94" s="149"/>
      <c r="C94" s="148" t="s">
        <v>103</v>
      </c>
      <c r="D94" s="90">
        <f>SUM(D57:D93)</f>
        <v>0</v>
      </c>
      <c r="E94" s="91">
        <f t="shared" ref="E94:O94" si="4">SUM(E57:E93)</f>
        <v>1094458.75</v>
      </c>
      <c r="F94" s="92">
        <f t="shared" si="4"/>
        <v>19886222.099999998</v>
      </c>
      <c r="G94" s="93">
        <f t="shared" si="4"/>
        <v>117146002.63999999</v>
      </c>
      <c r="H94" s="90">
        <f t="shared" si="4"/>
        <v>56697413.319999993</v>
      </c>
      <c r="I94" s="91">
        <f t="shared" si="4"/>
        <v>175542393.04000005</v>
      </c>
      <c r="J94" s="92">
        <f t="shared" si="4"/>
        <v>59085573.730000012</v>
      </c>
      <c r="K94" s="93">
        <f t="shared" si="4"/>
        <v>115712321.28000003</v>
      </c>
      <c r="L94" s="90">
        <f t="shared" si="4"/>
        <v>220996953.15999997</v>
      </c>
      <c r="M94" s="91">
        <f t="shared" si="4"/>
        <v>198424662.86000007</v>
      </c>
      <c r="N94" s="90">
        <f t="shared" si="4"/>
        <v>576048051.23000002</v>
      </c>
      <c r="O94" s="91">
        <f t="shared" si="4"/>
        <v>142503918.86000001</v>
      </c>
      <c r="P94" s="94"/>
    </row>
    <row r="95" spans="2:16" ht="13.9" customHeight="1" outlineLevel="1" x14ac:dyDescent="0.25">
      <c r="B95" s="149" t="s">
        <v>83</v>
      </c>
      <c r="C95" s="150" t="s">
        <v>70</v>
      </c>
      <c r="D95" s="85">
        <v>0</v>
      </c>
      <c r="E95" s="86">
        <v>0</v>
      </c>
      <c r="F95" s="85">
        <v>1784323.99</v>
      </c>
      <c r="G95" s="86">
        <v>8451103.3599999994</v>
      </c>
      <c r="H95" s="85">
        <v>2586943.7800000003</v>
      </c>
      <c r="I95" s="86">
        <v>10347729.460000001</v>
      </c>
      <c r="J95" s="85">
        <v>10603143.089999998</v>
      </c>
      <c r="K95" s="86">
        <v>15921105.840000002</v>
      </c>
      <c r="L95" s="85">
        <v>19914995.989999998</v>
      </c>
      <c r="M95" s="86">
        <v>25605451.23</v>
      </c>
      <c r="N95" s="85">
        <v>6535072</v>
      </c>
      <c r="O95" s="86">
        <v>4244883.08</v>
      </c>
      <c r="P95" s="87"/>
    </row>
    <row r="96" spans="2:16" ht="13.9" customHeight="1" outlineLevel="1" x14ac:dyDescent="0.25">
      <c r="B96" s="149"/>
      <c r="C96" s="150" t="s">
        <v>71</v>
      </c>
      <c r="D96" s="85">
        <v>0</v>
      </c>
      <c r="E96" s="86">
        <v>0</v>
      </c>
      <c r="F96" s="85">
        <v>2804590</v>
      </c>
      <c r="G96" s="86">
        <v>19474832</v>
      </c>
      <c r="H96" s="85">
        <v>0</v>
      </c>
      <c r="I96" s="86">
        <v>0</v>
      </c>
      <c r="J96" s="85">
        <v>0</v>
      </c>
      <c r="K96" s="86">
        <v>0</v>
      </c>
      <c r="L96" s="85">
        <v>0</v>
      </c>
      <c r="M96" s="86">
        <v>0</v>
      </c>
      <c r="N96" s="85">
        <v>0</v>
      </c>
      <c r="O96" s="86">
        <v>0</v>
      </c>
      <c r="P96" s="87"/>
    </row>
    <row r="97" spans="2:16" ht="13.9" customHeight="1" outlineLevel="1" x14ac:dyDescent="0.25">
      <c r="B97" s="149"/>
      <c r="C97" s="150" t="s">
        <v>72</v>
      </c>
      <c r="D97" s="85">
        <v>0</v>
      </c>
      <c r="E97" s="86">
        <v>0</v>
      </c>
      <c r="F97" s="85">
        <v>865033.14</v>
      </c>
      <c r="G97" s="86">
        <v>4790430.1199999992</v>
      </c>
      <c r="H97" s="85">
        <v>2959195.3200000003</v>
      </c>
      <c r="I97" s="86">
        <v>11564171.070000002</v>
      </c>
      <c r="J97" s="85">
        <v>3069327.3600000003</v>
      </c>
      <c r="K97" s="86">
        <v>6577983.0599999996</v>
      </c>
      <c r="L97" s="85">
        <v>3639367.6400000006</v>
      </c>
      <c r="M97" s="86">
        <v>3934174.6100000003</v>
      </c>
      <c r="N97" s="85">
        <v>0</v>
      </c>
      <c r="O97" s="86">
        <v>0</v>
      </c>
      <c r="P97" s="87"/>
    </row>
    <row r="98" spans="2:16" ht="13.9" customHeight="1" x14ac:dyDescent="0.25">
      <c r="B98" s="149"/>
      <c r="C98" s="148" t="s">
        <v>104</v>
      </c>
      <c r="D98" s="90">
        <f>SUM(D95:D97)</f>
        <v>0</v>
      </c>
      <c r="E98" s="91">
        <f t="shared" ref="E98:O98" si="5">SUM(E95:E97)</f>
        <v>0</v>
      </c>
      <c r="F98" s="92">
        <f t="shared" si="5"/>
        <v>5453947.1299999999</v>
      </c>
      <c r="G98" s="93">
        <f t="shared" si="5"/>
        <v>32716365.479999997</v>
      </c>
      <c r="H98" s="90">
        <f t="shared" si="5"/>
        <v>5546139.1000000006</v>
      </c>
      <c r="I98" s="91">
        <f t="shared" si="5"/>
        <v>21911900.530000001</v>
      </c>
      <c r="J98" s="92">
        <f t="shared" si="5"/>
        <v>13672470.449999999</v>
      </c>
      <c r="K98" s="93">
        <f t="shared" si="5"/>
        <v>22499088.900000002</v>
      </c>
      <c r="L98" s="90">
        <f t="shared" si="5"/>
        <v>23554363.629999999</v>
      </c>
      <c r="M98" s="91">
        <f t="shared" si="5"/>
        <v>29539625.84</v>
      </c>
      <c r="N98" s="90">
        <f t="shared" si="5"/>
        <v>6535072</v>
      </c>
      <c r="O98" s="91">
        <f t="shared" si="5"/>
        <v>4244883.08</v>
      </c>
      <c r="P98" s="94"/>
    </row>
    <row r="99" spans="2:16" ht="13.9" customHeight="1" outlineLevel="1" x14ac:dyDescent="0.25">
      <c r="B99" s="149" t="s">
        <v>105</v>
      </c>
      <c r="C99" s="150" t="s">
        <v>75</v>
      </c>
      <c r="D99" s="85">
        <v>0</v>
      </c>
      <c r="E99" s="86">
        <v>0</v>
      </c>
      <c r="F99" s="85">
        <v>129665</v>
      </c>
      <c r="G99" s="86">
        <v>1166978.2</v>
      </c>
      <c r="H99" s="85">
        <v>0</v>
      </c>
      <c r="I99" s="86">
        <v>0</v>
      </c>
      <c r="J99" s="85">
        <v>0</v>
      </c>
      <c r="K99" s="86">
        <v>0</v>
      </c>
      <c r="L99" s="85">
        <v>0</v>
      </c>
      <c r="M99" s="86">
        <v>0</v>
      </c>
      <c r="N99" s="85">
        <v>0</v>
      </c>
      <c r="O99" s="86">
        <v>0</v>
      </c>
      <c r="P99" s="87"/>
    </row>
    <row r="100" spans="2:16" ht="13.9" customHeight="1" outlineLevel="1" x14ac:dyDescent="0.25">
      <c r="B100" s="149"/>
      <c r="C100" s="150" t="s">
        <v>76</v>
      </c>
      <c r="D100" s="85">
        <v>0</v>
      </c>
      <c r="E100" s="86">
        <v>0</v>
      </c>
      <c r="F100" s="85">
        <v>898621.35000000009</v>
      </c>
      <c r="G100" s="86">
        <v>3645046.3400000003</v>
      </c>
      <c r="H100" s="85">
        <v>3790558.77</v>
      </c>
      <c r="I100" s="86">
        <v>14325973.920000002</v>
      </c>
      <c r="J100" s="85">
        <v>2818825</v>
      </c>
      <c r="K100" s="86">
        <v>6412901.0300000003</v>
      </c>
      <c r="L100" s="85">
        <v>639990.99</v>
      </c>
      <c r="M100" s="86">
        <v>954224.94</v>
      </c>
      <c r="N100" s="85">
        <v>0</v>
      </c>
      <c r="O100" s="86">
        <v>0</v>
      </c>
      <c r="P100" s="87"/>
    </row>
    <row r="101" spans="2:16" ht="13.9" customHeight="1" x14ac:dyDescent="0.25">
      <c r="B101" s="149"/>
      <c r="C101" s="148" t="s">
        <v>106</v>
      </c>
      <c r="D101" s="90">
        <f>SUM(D99:D100)</f>
        <v>0</v>
      </c>
      <c r="E101" s="91">
        <f t="shared" ref="E101:O101" si="6">SUM(E99:E100)</f>
        <v>0</v>
      </c>
      <c r="F101" s="92">
        <f t="shared" si="6"/>
        <v>1028286.3500000001</v>
      </c>
      <c r="G101" s="93">
        <f t="shared" si="6"/>
        <v>4812024.54</v>
      </c>
      <c r="H101" s="90">
        <f t="shared" si="6"/>
        <v>3790558.77</v>
      </c>
      <c r="I101" s="91">
        <f t="shared" si="6"/>
        <v>14325973.920000002</v>
      </c>
      <c r="J101" s="92">
        <f t="shared" si="6"/>
        <v>2818825</v>
      </c>
      <c r="K101" s="93">
        <f t="shared" si="6"/>
        <v>6412901.0300000003</v>
      </c>
      <c r="L101" s="90">
        <f t="shared" si="6"/>
        <v>639990.99</v>
      </c>
      <c r="M101" s="91">
        <f t="shared" si="6"/>
        <v>954224.94</v>
      </c>
      <c r="N101" s="90">
        <f t="shared" si="6"/>
        <v>0</v>
      </c>
      <c r="O101" s="91">
        <f t="shared" si="6"/>
        <v>0</v>
      </c>
      <c r="P101" s="94"/>
    </row>
    <row r="102" spans="2:16" ht="13.9" customHeight="1" x14ac:dyDescent="0.25">
      <c r="B102" s="151" t="s">
        <v>78</v>
      </c>
      <c r="C102" s="151"/>
      <c r="D102" s="90">
        <f>D94+D98+D101</f>
        <v>0</v>
      </c>
      <c r="E102" s="91">
        <f t="shared" ref="E102:O102" si="7">E94+E98+E101</f>
        <v>1094458.75</v>
      </c>
      <c r="F102" s="92">
        <f t="shared" si="7"/>
        <v>26368455.579999998</v>
      </c>
      <c r="G102" s="93">
        <f t="shared" si="7"/>
        <v>154674392.65999997</v>
      </c>
      <c r="H102" s="90">
        <f t="shared" si="7"/>
        <v>66034111.189999998</v>
      </c>
      <c r="I102" s="91">
        <f t="shared" si="7"/>
        <v>211780267.49000007</v>
      </c>
      <c r="J102" s="92">
        <f t="shared" si="7"/>
        <v>75576869.180000007</v>
      </c>
      <c r="K102" s="93">
        <f t="shared" si="7"/>
        <v>144624311.21000004</v>
      </c>
      <c r="L102" s="90">
        <f t="shared" si="7"/>
        <v>245191307.77999997</v>
      </c>
      <c r="M102" s="91">
        <f t="shared" si="7"/>
        <v>228918513.64000008</v>
      </c>
      <c r="N102" s="90">
        <f t="shared" si="7"/>
        <v>582583123.23000002</v>
      </c>
      <c r="O102" s="91">
        <f t="shared" si="7"/>
        <v>146748801.94000003</v>
      </c>
      <c r="P102" s="94"/>
    </row>
    <row r="103" spans="2:16" ht="13.9" customHeight="1" x14ac:dyDescent="0.25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</row>
    <row r="104" spans="2:16" ht="13.9" customHeight="1" x14ac:dyDescent="0.25">
      <c r="B104" s="14" t="s">
        <v>84</v>
      </c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</row>
    <row r="105" spans="2:16" ht="13.9" customHeight="1" x14ac:dyDescent="0.25">
      <c r="B105" s="154" t="s">
        <v>26</v>
      </c>
      <c r="C105" s="148" t="s">
        <v>27</v>
      </c>
      <c r="D105" s="109" t="s">
        <v>28</v>
      </c>
      <c r="E105" s="110" t="s">
        <v>29</v>
      </c>
      <c r="F105" s="111" t="s">
        <v>85</v>
      </c>
      <c r="G105" s="112" t="s">
        <v>81</v>
      </c>
      <c r="H105" s="110" t="s">
        <v>82</v>
      </c>
      <c r="I105" s="112" t="s">
        <v>86</v>
      </c>
      <c r="J105" s="110" t="s">
        <v>87</v>
      </c>
      <c r="K105" s="112">
        <v>2026</v>
      </c>
      <c r="L105" s="112">
        <v>2027</v>
      </c>
      <c r="M105" s="110">
        <v>2028</v>
      </c>
      <c r="N105" s="112">
        <v>2029</v>
      </c>
      <c r="O105" s="110">
        <v>2030</v>
      </c>
      <c r="P105" s="112">
        <v>2031</v>
      </c>
    </row>
    <row r="106" spans="2:16" ht="13.9" customHeight="1" outlineLevel="1" x14ac:dyDescent="0.25">
      <c r="B106" s="149" t="s">
        <v>30</v>
      </c>
      <c r="C106" s="150" t="s">
        <v>31</v>
      </c>
      <c r="D106" s="85">
        <v>0</v>
      </c>
      <c r="E106" s="86">
        <v>0</v>
      </c>
      <c r="F106" s="113">
        <f t="shared" ref="F106:F146" si="8">G106+I106</f>
        <v>0</v>
      </c>
      <c r="G106" s="113">
        <v>0</v>
      </c>
      <c r="H106" s="86">
        <v>0</v>
      </c>
      <c r="I106" s="113">
        <v>0</v>
      </c>
      <c r="J106" s="114">
        <f t="shared" ref="J106:J146" si="9">H106-I106</f>
        <v>0</v>
      </c>
      <c r="K106" s="113">
        <f t="shared" ref="K106:K149" si="10">MAX(J106-SUM(L106:P106),0)</f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</row>
    <row r="107" spans="2:16" ht="13.9" customHeight="1" outlineLevel="1" x14ac:dyDescent="0.25">
      <c r="B107" s="149"/>
      <c r="C107" s="150" t="s">
        <v>32</v>
      </c>
      <c r="D107" s="85">
        <v>0</v>
      </c>
      <c r="E107" s="86">
        <v>0</v>
      </c>
      <c r="F107" s="113">
        <f t="shared" si="8"/>
        <v>0</v>
      </c>
      <c r="G107" s="113">
        <v>0</v>
      </c>
      <c r="H107" s="86">
        <v>0</v>
      </c>
      <c r="I107" s="113">
        <v>0</v>
      </c>
      <c r="J107" s="114">
        <f t="shared" si="9"/>
        <v>0</v>
      </c>
      <c r="K107" s="113">
        <f t="shared" si="10"/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</row>
    <row r="108" spans="2:16" ht="13.9" customHeight="1" outlineLevel="1" x14ac:dyDescent="0.25">
      <c r="B108" s="149"/>
      <c r="C108" s="150" t="s">
        <v>33</v>
      </c>
      <c r="D108" s="85">
        <v>1</v>
      </c>
      <c r="E108" s="86">
        <v>1094458.75</v>
      </c>
      <c r="F108" s="113">
        <f t="shared" si="8"/>
        <v>684036.72</v>
      </c>
      <c r="G108" s="113">
        <v>0</v>
      </c>
      <c r="H108" s="86">
        <v>1094458.75</v>
      </c>
      <c r="I108" s="113">
        <v>684036.72</v>
      </c>
      <c r="J108" s="114">
        <f t="shared" si="9"/>
        <v>410422.03</v>
      </c>
      <c r="K108" s="113">
        <f t="shared" si="10"/>
        <v>273614.69000000006</v>
      </c>
      <c r="L108" s="113">
        <v>136807.34</v>
      </c>
      <c r="M108" s="113">
        <v>0</v>
      </c>
      <c r="N108" s="113">
        <v>0</v>
      </c>
      <c r="O108" s="113">
        <v>0</v>
      </c>
      <c r="P108" s="113">
        <v>0</v>
      </c>
    </row>
    <row r="109" spans="2:16" ht="13.9" customHeight="1" outlineLevel="1" x14ac:dyDescent="0.25">
      <c r="B109" s="149"/>
      <c r="C109" s="150" t="s">
        <v>34</v>
      </c>
      <c r="D109" s="85">
        <v>0</v>
      </c>
      <c r="E109" s="86">
        <v>0</v>
      </c>
      <c r="F109" s="113">
        <f t="shared" si="8"/>
        <v>0</v>
      </c>
      <c r="G109" s="113">
        <v>0</v>
      </c>
      <c r="H109" s="86">
        <v>0</v>
      </c>
      <c r="I109" s="113">
        <v>0</v>
      </c>
      <c r="J109" s="114">
        <f t="shared" si="9"/>
        <v>0</v>
      </c>
      <c r="K109" s="113">
        <f t="shared" si="10"/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</row>
    <row r="110" spans="2:16" ht="13.9" customHeight="1" outlineLevel="1" x14ac:dyDescent="0.25">
      <c r="B110" s="149"/>
      <c r="C110" s="150" t="s">
        <v>35</v>
      </c>
      <c r="D110" s="85">
        <v>0</v>
      </c>
      <c r="E110" s="86">
        <v>0</v>
      </c>
      <c r="F110" s="113">
        <f t="shared" si="8"/>
        <v>0</v>
      </c>
      <c r="G110" s="113">
        <v>0</v>
      </c>
      <c r="H110" s="86">
        <v>0</v>
      </c>
      <c r="I110" s="113">
        <v>0</v>
      </c>
      <c r="J110" s="114">
        <f t="shared" si="9"/>
        <v>0</v>
      </c>
      <c r="K110" s="113">
        <f t="shared" si="10"/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</row>
    <row r="111" spans="2:16" ht="13.9" customHeight="1" outlineLevel="1" x14ac:dyDescent="0.25">
      <c r="B111" s="149"/>
      <c r="C111" s="150" t="s">
        <v>36</v>
      </c>
      <c r="D111" s="85">
        <v>0</v>
      </c>
      <c r="E111" s="86">
        <v>0</v>
      </c>
      <c r="F111" s="113">
        <f t="shared" si="8"/>
        <v>0</v>
      </c>
      <c r="G111" s="113">
        <v>0</v>
      </c>
      <c r="H111" s="86">
        <v>0</v>
      </c>
      <c r="I111" s="113">
        <v>0</v>
      </c>
      <c r="J111" s="114">
        <f t="shared" si="9"/>
        <v>0</v>
      </c>
      <c r="K111" s="113">
        <f t="shared" si="10"/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</row>
    <row r="112" spans="2:16" ht="13.9" customHeight="1" outlineLevel="1" x14ac:dyDescent="0.25">
      <c r="B112" s="149"/>
      <c r="C112" s="150" t="s">
        <v>37</v>
      </c>
      <c r="D112" s="85">
        <v>0</v>
      </c>
      <c r="E112" s="86">
        <v>0</v>
      </c>
      <c r="F112" s="113">
        <f t="shared" si="8"/>
        <v>0</v>
      </c>
      <c r="G112" s="113">
        <v>0</v>
      </c>
      <c r="H112" s="86">
        <v>0</v>
      </c>
      <c r="I112" s="113">
        <v>0</v>
      </c>
      <c r="J112" s="114">
        <f t="shared" si="9"/>
        <v>0</v>
      </c>
      <c r="K112" s="113">
        <f t="shared" si="10"/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</row>
    <row r="113" spans="2:16" ht="13.9" customHeight="1" outlineLevel="1" x14ac:dyDescent="0.25">
      <c r="B113" s="149"/>
      <c r="C113" s="150" t="s">
        <v>38</v>
      </c>
      <c r="D113" s="85">
        <v>0</v>
      </c>
      <c r="E113" s="86">
        <v>0</v>
      </c>
      <c r="F113" s="113">
        <f t="shared" si="8"/>
        <v>0</v>
      </c>
      <c r="G113" s="113">
        <v>0</v>
      </c>
      <c r="H113" s="86">
        <v>0</v>
      </c>
      <c r="I113" s="113">
        <v>0</v>
      </c>
      <c r="J113" s="114">
        <f t="shared" si="9"/>
        <v>0</v>
      </c>
      <c r="K113" s="113">
        <f t="shared" si="10"/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</row>
    <row r="114" spans="2:16" ht="13.9" customHeight="1" outlineLevel="1" x14ac:dyDescent="0.25">
      <c r="B114" s="149"/>
      <c r="C114" s="150" t="s">
        <v>39</v>
      </c>
      <c r="D114" s="85">
        <v>0</v>
      </c>
      <c r="E114" s="86">
        <v>0</v>
      </c>
      <c r="F114" s="113">
        <f t="shared" si="8"/>
        <v>0</v>
      </c>
      <c r="G114" s="113">
        <v>0</v>
      </c>
      <c r="H114" s="86">
        <v>0</v>
      </c>
      <c r="I114" s="113">
        <v>0</v>
      </c>
      <c r="J114" s="114">
        <f t="shared" si="9"/>
        <v>0</v>
      </c>
      <c r="K114" s="113">
        <f t="shared" si="10"/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</row>
    <row r="115" spans="2:16" ht="13.9" customHeight="1" outlineLevel="1" x14ac:dyDescent="0.25">
      <c r="B115" s="149"/>
      <c r="C115" s="150" t="s">
        <v>40</v>
      </c>
      <c r="D115" s="85">
        <v>0</v>
      </c>
      <c r="E115" s="86">
        <v>0</v>
      </c>
      <c r="F115" s="113">
        <f t="shared" si="8"/>
        <v>0</v>
      </c>
      <c r="G115" s="113">
        <v>0</v>
      </c>
      <c r="H115" s="86">
        <v>0</v>
      </c>
      <c r="I115" s="113">
        <v>0</v>
      </c>
      <c r="J115" s="114">
        <f t="shared" si="9"/>
        <v>0</v>
      </c>
      <c r="K115" s="113">
        <f t="shared" si="10"/>
        <v>0</v>
      </c>
      <c r="L115" s="113">
        <v>0</v>
      </c>
      <c r="M115" s="113">
        <v>0</v>
      </c>
      <c r="N115" s="113">
        <v>0</v>
      </c>
      <c r="O115" s="113">
        <v>0</v>
      </c>
      <c r="P115" s="113">
        <v>0</v>
      </c>
    </row>
    <row r="116" spans="2:16" ht="13.9" customHeight="1" outlineLevel="1" x14ac:dyDescent="0.25">
      <c r="B116" s="149"/>
      <c r="C116" s="150" t="s">
        <v>41</v>
      </c>
      <c r="D116" s="85">
        <v>0</v>
      </c>
      <c r="E116" s="86">
        <v>0</v>
      </c>
      <c r="F116" s="113">
        <f t="shared" si="8"/>
        <v>0</v>
      </c>
      <c r="G116" s="113">
        <v>0</v>
      </c>
      <c r="H116" s="86">
        <v>0</v>
      </c>
      <c r="I116" s="113">
        <v>0</v>
      </c>
      <c r="J116" s="114">
        <f t="shared" si="9"/>
        <v>0</v>
      </c>
      <c r="K116" s="113">
        <f t="shared" si="10"/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</row>
    <row r="117" spans="2:16" ht="13.9" customHeight="1" outlineLevel="1" x14ac:dyDescent="0.25">
      <c r="B117" s="149"/>
      <c r="C117" s="150" t="s">
        <v>42</v>
      </c>
      <c r="D117" s="85">
        <v>0</v>
      </c>
      <c r="E117" s="86">
        <v>0</v>
      </c>
      <c r="F117" s="113">
        <f t="shared" si="8"/>
        <v>0</v>
      </c>
      <c r="G117" s="113">
        <v>0</v>
      </c>
      <c r="H117" s="86">
        <v>0</v>
      </c>
      <c r="I117" s="113">
        <v>0</v>
      </c>
      <c r="J117" s="114">
        <f t="shared" si="9"/>
        <v>0</v>
      </c>
      <c r="K117" s="113">
        <f t="shared" si="10"/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</row>
    <row r="118" spans="2:16" ht="13.9" customHeight="1" outlineLevel="1" x14ac:dyDescent="0.25">
      <c r="B118" s="149"/>
      <c r="C118" s="150" t="s">
        <v>43</v>
      </c>
      <c r="D118" s="85">
        <v>0</v>
      </c>
      <c r="E118" s="86">
        <v>0</v>
      </c>
      <c r="F118" s="113">
        <f t="shared" si="8"/>
        <v>0</v>
      </c>
      <c r="G118" s="113">
        <v>0</v>
      </c>
      <c r="H118" s="86">
        <v>0</v>
      </c>
      <c r="I118" s="113">
        <v>0</v>
      </c>
      <c r="J118" s="114">
        <f t="shared" si="9"/>
        <v>0</v>
      </c>
      <c r="K118" s="113">
        <f t="shared" si="10"/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</row>
    <row r="119" spans="2:16" ht="13.9" customHeight="1" outlineLevel="1" x14ac:dyDescent="0.25">
      <c r="B119" s="149"/>
      <c r="C119" s="150" t="s">
        <v>44</v>
      </c>
      <c r="D119" s="85">
        <v>0</v>
      </c>
      <c r="E119" s="86">
        <v>0</v>
      </c>
      <c r="F119" s="113">
        <f t="shared" si="8"/>
        <v>0</v>
      </c>
      <c r="G119" s="113">
        <v>0</v>
      </c>
      <c r="H119" s="86">
        <v>0</v>
      </c>
      <c r="I119" s="113">
        <v>0</v>
      </c>
      <c r="J119" s="114">
        <f t="shared" si="9"/>
        <v>0</v>
      </c>
      <c r="K119" s="113">
        <f t="shared" si="10"/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</row>
    <row r="120" spans="2:16" ht="13.9" customHeight="1" outlineLevel="1" x14ac:dyDescent="0.25">
      <c r="B120" s="149"/>
      <c r="C120" s="150" t="s">
        <v>45</v>
      </c>
      <c r="D120" s="85">
        <v>0</v>
      </c>
      <c r="E120" s="86">
        <v>0</v>
      </c>
      <c r="F120" s="113">
        <f t="shared" si="8"/>
        <v>0</v>
      </c>
      <c r="G120" s="113">
        <v>0</v>
      </c>
      <c r="H120" s="86">
        <v>0</v>
      </c>
      <c r="I120" s="113">
        <v>0</v>
      </c>
      <c r="J120" s="114">
        <f t="shared" si="9"/>
        <v>0</v>
      </c>
      <c r="K120" s="113">
        <f t="shared" si="10"/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</row>
    <row r="121" spans="2:16" ht="13.9" customHeight="1" outlineLevel="1" x14ac:dyDescent="0.25">
      <c r="B121" s="149"/>
      <c r="C121" s="150" t="s">
        <v>46</v>
      </c>
      <c r="D121" s="85">
        <v>0</v>
      </c>
      <c r="E121" s="86">
        <v>0</v>
      </c>
      <c r="F121" s="113">
        <f t="shared" si="8"/>
        <v>0</v>
      </c>
      <c r="G121" s="113">
        <v>0</v>
      </c>
      <c r="H121" s="86">
        <v>0</v>
      </c>
      <c r="I121" s="113">
        <v>0</v>
      </c>
      <c r="J121" s="114">
        <f t="shared" si="9"/>
        <v>0</v>
      </c>
      <c r="K121" s="113">
        <f t="shared" si="10"/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</row>
    <row r="122" spans="2:16" ht="13.9" customHeight="1" outlineLevel="1" x14ac:dyDescent="0.25">
      <c r="B122" s="149"/>
      <c r="C122" s="150" t="s">
        <v>47</v>
      </c>
      <c r="D122" s="85">
        <v>0</v>
      </c>
      <c r="E122" s="86">
        <v>0</v>
      </c>
      <c r="F122" s="113">
        <f t="shared" si="8"/>
        <v>0</v>
      </c>
      <c r="G122" s="113">
        <v>0</v>
      </c>
      <c r="H122" s="86">
        <v>0</v>
      </c>
      <c r="I122" s="113">
        <v>0</v>
      </c>
      <c r="J122" s="114">
        <f t="shared" si="9"/>
        <v>0</v>
      </c>
      <c r="K122" s="113">
        <f t="shared" si="10"/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</row>
    <row r="123" spans="2:16" ht="13.9" customHeight="1" outlineLevel="1" x14ac:dyDescent="0.25">
      <c r="B123" s="149"/>
      <c r="C123" s="150" t="s">
        <v>48</v>
      </c>
      <c r="D123" s="85">
        <v>0</v>
      </c>
      <c r="E123" s="86">
        <v>0</v>
      </c>
      <c r="F123" s="113">
        <f t="shared" si="8"/>
        <v>0</v>
      </c>
      <c r="G123" s="113">
        <v>0</v>
      </c>
      <c r="H123" s="86">
        <v>0</v>
      </c>
      <c r="I123" s="113">
        <v>0</v>
      </c>
      <c r="J123" s="114">
        <f t="shared" si="9"/>
        <v>0</v>
      </c>
      <c r="K123" s="113">
        <f t="shared" si="10"/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</row>
    <row r="124" spans="2:16" ht="13.9" customHeight="1" outlineLevel="1" x14ac:dyDescent="0.25">
      <c r="B124" s="149"/>
      <c r="C124" s="150" t="s">
        <v>49</v>
      </c>
      <c r="D124" s="85">
        <v>0</v>
      </c>
      <c r="E124" s="86">
        <v>0</v>
      </c>
      <c r="F124" s="113">
        <f t="shared" si="8"/>
        <v>0</v>
      </c>
      <c r="G124" s="113">
        <v>0</v>
      </c>
      <c r="H124" s="86">
        <v>0</v>
      </c>
      <c r="I124" s="113">
        <v>0</v>
      </c>
      <c r="J124" s="114">
        <f t="shared" si="9"/>
        <v>0</v>
      </c>
      <c r="K124" s="113">
        <f t="shared" si="10"/>
        <v>0</v>
      </c>
      <c r="L124" s="113">
        <v>0</v>
      </c>
      <c r="M124" s="113">
        <v>0</v>
      </c>
      <c r="N124" s="113">
        <v>0</v>
      </c>
      <c r="O124" s="113">
        <v>0</v>
      </c>
      <c r="P124" s="113">
        <v>0</v>
      </c>
    </row>
    <row r="125" spans="2:16" ht="13.9" customHeight="1" outlineLevel="1" x14ac:dyDescent="0.25">
      <c r="B125" s="149"/>
      <c r="C125" s="150" t="s">
        <v>50</v>
      </c>
      <c r="D125" s="85">
        <v>0</v>
      </c>
      <c r="E125" s="86">
        <v>0</v>
      </c>
      <c r="F125" s="113">
        <f t="shared" si="8"/>
        <v>0</v>
      </c>
      <c r="G125" s="113">
        <v>0</v>
      </c>
      <c r="H125" s="86">
        <v>0</v>
      </c>
      <c r="I125" s="113">
        <v>0</v>
      </c>
      <c r="J125" s="114">
        <f t="shared" si="9"/>
        <v>0</v>
      </c>
      <c r="K125" s="113">
        <f t="shared" si="10"/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</row>
    <row r="126" spans="2:16" ht="13.9" customHeight="1" outlineLevel="1" x14ac:dyDescent="0.25">
      <c r="B126" s="149"/>
      <c r="C126" s="150" t="s">
        <v>51</v>
      </c>
      <c r="D126" s="85">
        <v>0</v>
      </c>
      <c r="E126" s="86">
        <v>0</v>
      </c>
      <c r="F126" s="113">
        <f t="shared" si="8"/>
        <v>0</v>
      </c>
      <c r="G126" s="113">
        <v>0</v>
      </c>
      <c r="H126" s="86">
        <v>0</v>
      </c>
      <c r="I126" s="113">
        <v>0</v>
      </c>
      <c r="J126" s="114">
        <f t="shared" si="9"/>
        <v>0</v>
      </c>
      <c r="K126" s="113">
        <f t="shared" si="10"/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</row>
    <row r="127" spans="2:16" ht="13.9" customHeight="1" outlineLevel="1" x14ac:dyDescent="0.25">
      <c r="B127" s="149"/>
      <c r="C127" s="150" t="s">
        <v>52</v>
      </c>
      <c r="D127" s="85">
        <v>0</v>
      </c>
      <c r="E127" s="86">
        <v>0</v>
      </c>
      <c r="F127" s="113">
        <f t="shared" si="8"/>
        <v>0</v>
      </c>
      <c r="G127" s="113">
        <v>0</v>
      </c>
      <c r="H127" s="86">
        <v>0</v>
      </c>
      <c r="I127" s="113">
        <v>0</v>
      </c>
      <c r="J127" s="114">
        <f t="shared" si="9"/>
        <v>0</v>
      </c>
      <c r="K127" s="113">
        <f t="shared" si="10"/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</row>
    <row r="128" spans="2:16" ht="13.9" customHeight="1" outlineLevel="1" x14ac:dyDescent="0.25">
      <c r="B128" s="149"/>
      <c r="C128" s="150" t="s">
        <v>53</v>
      </c>
      <c r="D128" s="85">
        <v>0</v>
      </c>
      <c r="E128" s="86">
        <v>0</v>
      </c>
      <c r="F128" s="113">
        <f t="shared" si="8"/>
        <v>0</v>
      </c>
      <c r="G128" s="113">
        <v>0</v>
      </c>
      <c r="H128" s="86">
        <v>0</v>
      </c>
      <c r="I128" s="113">
        <v>0</v>
      </c>
      <c r="J128" s="114">
        <f t="shared" si="9"/>
        <v>0</v>
      </c>
      <c r="K128" s="113">
        <f t="shared" si="10"/>
        <v>0</v>
      </c>
      <c r="L128" s="113">
        <v>0</v>
      </c>
      <c r="M128" s="113">
        <v>0</v>
      </c>
      <c r="N128" s="113">
        <v>0</v>
      </c>
      <c r="O128" s="113">
        <v>0</v>
      </c>
      <c r="P128" s="113">
        <v>0</v>
      </c>
    </row>
    <row r="129" spans="2:16" ht="13.9" customHeight="1" outlineLevel="1" x14ac:dyDescent="0.25">
      <c r="B129" s="149"/>
      <c r="C129" s="150" t="s">
        <v>54</v>
      </c>
      <c r="D129" s="85">
        <v>0</v>
      </c>
      <c r="E129" s="86">
        <v>0</v>
      </c>
      <c r="F129" s="113">
        <f t="shared" si="8"/>
        <v>0</v>
      </c>
      <c r="G129" s="113">
        <v>0</v>
      </c>
      <c r="H129" s="86">
        <v>0</v>
      </c>
      <c r="I129" s="113">
        <v>0</v>
      </c>
      <c r="J129" s="114">
        <f t="shared" si="9"/>
        <v>0</v>
      </c>
      <c r="K129" s="113">
        <f t="shared" si="10"/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</row>
    <row r="130" spans="2:16" ht="13.9" customHeight="1" outlineLevel="1" x14ac:dyDescent="0.25">
      <c r="B130" s="149"/>
      <c r="C130" s="150" t="s">
        <v>55</v>
      </c>
      <c r="D130" s="85">
        <v>0</v>
      </c>
      <c r="E130" s="86">
        <v>0</v>
      </c>
      <c r="F130" s="113">
        <f t="shared" si="8"/>
        <v>0</v>
      </c>
      <c r="G130" s="113">
        <v>0</v>
      </c>
      <c r="H130" s="86">
        <v>0</v>
      </c>
      <c r="I130" s="113">
        <v>0</v>
      </c>
      <c r="J130" s="114">
        <f t="shared" si="9"/>
        <v>0</v>
      </c>
      <c r="K130" s="113">
        <f t="shared" si="10"/>
        <v>0</v>
      </c>
      <c r="L130" s="113">
        <v>0</v>
      </c>
      <c r="M130" s="113">
        <v>0</v>
      </c>
      <c r="N130" s="113">
        <v>0</v>
      </c>
      <c r="O130" s="113">
        <v>0</v>
      </c>
      <c r="P130" s="113">
        <v>0</v>
      </c>
    </row>
    <row r="131" spans="2:16" ht="13.9" customHeight="1" outlineLevel="1" x14ac:dyDescent="0.25">
      <c r="B131" s="149"/>
      <c r="C131" s="150" t="s">
        <v>56</v>
      </c>
      <c r="D131" s="85">
        <v>0</v>
      </c>
      <c r="E131" s="86">
        <v>0</v>
      </c>
      <c r="F131" s="113">
        <f t="shared" si="8"/>
        <v>0</v>
      </c>
      <c r="G131" s="113">
        <v>0</v>
      </c>
      <c r="H131" s="86">
        <v>0</v>
      </c>
      <c r="I131" s="113">
        <v>0</v>
      </c>
      <c r="J131" s="114">
        <f t="shared" si="9"/>
        <v>0</v>
      </c>
      <c r="K131" s="113">
        <f t="shared" si="10"/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</row>
    <row r="132" spans="2:16" ht="13.9" customHeight="1" outlineLevel="1" x14ac:dyDescent="0.25">
      <c r="B132" s="149"/>
      <c r="C132" s="150" t="s">
        <v>57</v>
      </c>
      <c r="D132" s="85">
        <v>0</v>
      </c>
      <c r="E132" s="86">
        <v>0</v>
      </c>
      <c r="F132" s="113">
        <f t="shared" si="8"/>
        <v>0</v>
      </c>
      <c r="G132" s="113">
        <v>0</v>
      </c>
      <c r="H132" s="86">
        <v>0</v>
      </c>
      <c r="I132" s="113">
        <v>0</v>
      </c>
      <c r="J132" s="114">
        <f t="shared" si="9"/>
        <v>0</v>
      </c>
      <c r="K132" s="113">
        <f t="shared" si="10"/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</row>
    <row r="133" spans="2:16" ht="13.9" customHeight="1" outlineLevel="1" x14ac:dyDescent="0.25">
      <c r="B133" s="149"/>
      <c r="C133" s="150" t="s">
        <v>58</v>
      </c>
      <c r="D133" s="85">
        <v>0</v>
      </c>
      <c r="E133" s="86">
        <v>0</v>
      </c>
      <c r="F133" s="113">
        <f t="shared" si="8"/>
        <v>0</v>
      </c>
      <c r="G133" s="113">
        <v>0</v>
      </c>
      <c r="H133" s="86">
        <v>0</v>
      </c>
      <c r="I133" s="113">
        <v>0</v>
      </c>
      <c r="J133" s="114">
        <f t="shared" si="9"/>
        <v>0</v>
      </c>
      <c r="K133" s="113">
        <f t="shared" si="10"/>
        <v>0</v>
      </c>
      <c r="L133" s="113">
        <v>0</v>
      </c>
      <c r="M133" s="113">
        <v>0</v>
      </c>
      <c r="N133" s="113">
        <v>0</v>
      </c>
      <c r="O133" s="113">
        <v>0</v>
      </c>
      <c r="P133" s="113">
        <v>0</v>
      </c>
    </row>
    <row r="134" spans="2:16" ht="13.9" customHeight="1" outlineLevel="1" x14ac:dyDescent="0.25">
      <c r="B134" s="149"/>
      <c r="C134" s="150" t="s">
        <v>59</v>
      </c>
      <c r="D134" s="85">
        <v>0</v>
      </c>
      <c r="E134" s="86">
        <v>0</v>
      </c>
      <c r="F134" s="113">
        <f t="shared" si="8"/>
        <v>0</v>
      </c>
      <c r="G134" s="113">
        <v>0</v>
      </c>
      <c r="H134" s="86">
        <v>0</v>
      </c>
      <c r="I134" s="113">
        <v>0</v>
      </c>
      <c r="J134" s="114">
        <f t="shared" si="9"/>
        <v>0</v>
      </c>
      <c r="K134" s="113">
        <f t="shared" si="10"/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</row>
    <row r="135" spans="2:16" ht="13.9" customHeight="1" outlineLevel="1" x14ac:dyDescent="0.25">
      <c r="B135" s="149"/>
      <c r="C135" s="150" t="s">
        <v>60</v>
      </c>
      <c r="D135" s="85">
        <v>0</v>
      </c>
      <c r="E135" s="86">
        <v>0</v>
      </c>
      <c r="F135" s="113">
        <f t="shared" si="8"/>
        <v>0</v>
      </c>
      <c r="G135" s="113">
        <v>0</v>
      </c>
      <c r="H135" s="86">
        <v>0</v>
      </c>
      <c r="I135" s="113">
        <v>0</v>
      </c>
      <c r="J135" s="114">
        <f t="shared" si="9"/>
        <v>0</v>
      </c>
      <c r="K135" s="113">
        <f t="shared" si="10"/>
        <v>0</v>
      </c>
      <c r="L135" s="113">
        <v>0</v>
      </c>
      <c r="M135" s="113">
        <v>0</v>
      </c>
      <c r="N135" s="113">
        <v>0</v>
      </c>
      <c r="O135" s="113">
        <v>0</v>
      </c>
      <c r="P135" s="113">
        <v>0</v>
      </c>
    </row>
    <row r="136" spans="2:16" ht="13.9" customHeight="1" outlineLevel="1" x14ac:dyDescent="0.25">
      <c r="B136" s="149"/>
      <c r="C136" s="150" t="s">
        <v>61</v>
      </c>
      <c r="D136" s="85">
        <v>0</v>
      </c>
      <c r="E136" s="86">
        <v>0</v>
      </c>
      <c r="F136" s="113">
        <f t="shared" si="8"/>
        <v>0</v>
      </c>
      <c r="G136" s="113">
        <v>0</v>
      </c>
      <c r="H136" s="86">
        <v>0</v>
      </c>
      <c r="I136" s="113">
        <v>0</v>
      </c>
      <c r="J136" s="114">
        <f t="shared" si="9"/>
        <v>0</v>
      </c>
      <c r="K136" s="113">
        <f t="shared" si="10"/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</row>
    <row r="137" spans="2:16" ht="13.9" customHeight="1" outlineLevel="1" x14ac:dyDescent="0.25">
      <c r="B137" s="149"/>
      <c r="C137" s="150" t="s">
        <v>62</v>
      </c>
      <c r="D137" s="85">
        <v>0</v>
      </c>
      <c r="E137" s="86">
        <v>0</v>
      </c>
      <c r="F137" s="113">
        <f t="shared" si="8"/>
        <v>0</v>
      </c>
      <c r="G137" s="113">
        <v>0</v>
      </c>
      <c r="H137" s="86">
        <v>0</v>
      </c>
      <c r="I137" s="113">
        <v>0</v>
      </c>
      <c r="J137" s="114">
        <f t="shared" si="9"/>
        <v>0</v>
      </c>
      <c r="K137" s="113">
        <f t="shared" si="10"/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</row>
    <row r="138" spans="2:16" ht="13.9" customHeight="1" outlineLevel="1" x14ac:dyDescent="0.25">
      <c r="B138" s="149"/>
      <c r="C138" s="150" t="s">
        <v>63</v>
      </c>
      <c r="D138" s="85">
        <v>0</v>
      </c>
      <c r="E138" s="86">
        <v>0</v>
      </c>
      <c r="F138" s="113">
        <f t="shared" si="8"/>
        <v>0</v>
      </c>
      <c r="G138" s="113">
        <v>0</v>
      </c>
      <c r="H138" s="86">
        <v>0</v>
      </c>
      <c r="I138" s="113">
        <v>0</v>
      </c>
      <c r="J138" s="114">
        <f t="shared" si="9"/>
        <v>0</v>
      </c>
      <c r="K138" s="113">
        <f t="shared" si="10"/>
        <v>0</v>
      </c>
      <c r="L138" s="113">
        <v>0</v>
      </c>
      <c r="M138" s="113">
        <v>0</v>
      </c>
      <c r="N138" s="113">
        <v>0</v>
      </c>
      <c r="O138" s="113">
        <v>0</v>
      </c>
      <c r="P138" s="113">
        <v>0</v>
      </c>
    </row>
    <row r="139" spans="2:16" ht="13.9" customHeight="1" outlineLevel="1" x14ac:dyDescent="0.25">
      <c r="B139" s="149"/>
      <c r="C139" s="150" t="s">
        <v>64</v>
      </c>
      <c r="D139" s="85">
        <v>0</v>
      </c>
      <c r="E139" s="86">
        <v>0</v>
      </c>
      <c r="F139" s="113">
        <f t="shared" si="8"/>
        <v>0</v>
      </c>
      <c r="G139" s="113">
        <v>0</v>
      </c>
      <c r="H139" s="86">
        <v>0</v>
      </c>
      <c r="I139" s="113">
        <v>0</v>
      </c>
      <c r="J139" s="114">
        <f t="shared" si="9"/>
        <v>0</v>
      </c>
      <c r="K139" s="113">
        <f t="shared" si="10"/>
        <v>0</v>
      </c>
      <c r="L139" s="113">
        <v>0</v>
      </c>
      <c r="M139" s="113">
        <v>0</v>
      </c>
      <c r="N139" s="113">
        <v>0</v>
      </c>
      <c r="O139" s="113">
        <v>0</v>
      </c>
      <c r="P139" s="113">
        <v>0</v>
      </c>
    </row>
    <row r="140" spans="2:16" ht="13.9" customHeight="1" outlineLevel="1" x14ac:dyDescent="0.25">
      <c r="B140" s="149"/>
      <c r="C140" s="150" t="s">
        <v>65</v>
      </c>
      <c r="D140" s="85">
        <v>0</v>
      </c>
      <c r="E140" s="86">
        <v>0</v>
      </c>
      <c r="F140" s="113">
        <f t="shared" si="8"/>
        <v>0</v>
      </c>
      <c r="G140" s="113">
        <v>0</v>
      </c>
      <c r="H140" s="86">
        <v>0</v>
      </c>
      <c r="I140" s="113">
        <v>0</v>
      </c>
      <c r="J140" s="114">
        <f t="shared" si="9"/>
        <v>0</v>
      </c>
      <c r="K140" s="113">
        <f t="shared" si="10"/>
        <v>0</v>
      </c>
      <c r="L140" s="113">
        <v>0</v>
      </c>
      <c r="M140" s="113">
        <v>0</v>
      </c>
      <c r="N140" s="113">
        <v>0</v>
      </c>
      <c r="O140" s="113">
        <v>0</v>
      </c>
      <c r="P140" s="113">
        <v>0</v>
      </c>
    </row>
    <row r="141" spans="2:16" ht="13.9" customHeight="1" outlineLevel="1" x14ac:dyDescent="0.25">
      <c r="B141" s="149"/>
      <c r="C141" s="150" t="s">
        <v>66</v>
      </c>
      <c r="D141" s="85">
        <v>0</v>
      </c>
      <c r="E141" s="86">
        <v>0</v>
      </c>
      <c r="F141" s="113">
        <f t="shared" si="8"/>
        <v>0</v>
      </c>
      <c r="G141" s="113">
        <v>0</v>
      </c>
      <c r="H141" s="86">
        <v>0</v>
      </c>
      <c r="I141" s="113">
        <v>0</v>
      </c>
      <c r="J141" s="114">
        <f t="shared" si="9"/>
        <v>0</v>
      </c>
      <c r="K141" s="113">
        <f t="shared" si="10"/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</row>
    <row r="142" spans="2:16" ht="13.9" customHeight="1" outlineLevel="1" x14ac:dyDescent="0.25">
      <c r="B142" s="149"/>
      <c r="C142" s="150" t="s">
        <v>67</v>
      </c>
      <c r="D142" s="85">
        <v>0</v>
      </c>
      <c r="E142" s="86">
        <v>0</v>
      </c>
      <c r="F142" s="113">
        <f t="shared" si="8"/>
        <v>0</v>
      </c>
      <c r="G142" s="113">
        <v>0</v>
      </c>
      <c r="H142" s="86">
        <v>0</v>
      </c>
      <c r="I142" s="113">
        <v>0</v>
      </c>
      <c r="J142" s="114">
        <f t="shared" si="9"/>
        <v>0</v>
      </c>
      <c r="K142" s="113">
        <f t="shared" si="10"/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</row>
    <row r="143" spans="2:16" ht="13.9" customHeight="1" x14ac:dyDescent="0.25">
      <c r="B143" s="149"/>
      <c r="C143" s="148" t="s">
        <v>103</v>
      </c>
      <c r="D143" s="90">
        <f>SUM(D106:D142)</f>
        <v>1</v>
      </c>
      <c r="E143" s="91">
        <f t="shared" ref="E143:P143" si="11">SUM(E106:E142)</f>
        <v>1094458.75</v>
      </c>
      <c r="F143" s="92">
        <f t="shared" si="11"/>
        <v>684036.72</v>
      </c>
      <c r="G143" s="93">
        <f t="shared" si="11"/>
        <v>0</v>
      </c>
      <c r="H143" s="90">
        <f t="shared" si="11"/>
        <v>1094458.75</v>
      </c>
      <c r="I143" s="91">
        <f t="shared" si="11"/>
        <v>684036.72</v>
      </c>
      <c r="J143" s="92">
        <f t="shared" si="11"/>
        <v>410422.03</v>
      </c>
      <c r="K143" s="93">
        <f t="shared" si="11"/>
        <v>273614.69000000006</v>
      </c>
      <c r="L143" s="90">
        <f t="shared" si="11"/>
        <v>136807.34</v>
      </c>
      <c r="M143" s="91">
        <f t="shared" si="11"/>
        <v>0</v>
      </c>
      <c r="N143" s="90">
        <f t="shared" si="11"/>
        <v>0</v>
      </c>
      <c r="O143" s="91">
        <f t="shared" si="11"/>
        <v>0</v>
      </c>
      <c r="P143" s="91">
        <f t="shared" si="11"/>
        <v>0</v>
      </c>
    </row>
    <row r="144" spans="2:16" ht="13.9" customHeight="1" outlineLevel="1" x14ac:dyDescent="0.25">
      <c r="B144" s="149" t="s">
        <v>83</v>
      </c>
      <c r="C144" s="150" t="s">
        <v>70</v>
      </c>
      <c r="D144" s="85">
        <v>0</v>
      </c>
      <c r="E144" s="86">
        <v>0</v>
      </c>
      <c r="F144" s="113">
        <f t="shared" si="8"/>
        <v>0</v>
      </c>
      <c r="G144" s="113">
        <v>0</v>
      </c>
      <c r="H144" s="86">
        <v>0</v>
      </c>
      <c r="I144" s="113">
        <v>0</v>
      </c>
      <c r="J144" s="114">
        <f t="shared" si="9"/>
        <v>0</v>
      </c>
      <c r="K144" s="113">
        <f t="shared" si="10"/>
        <v>0</v>
      </c>
      <c r="L144" s="113">
        <v>0</v>
      </c>
      <c r="M144" s="113">
        <v>0</v>
      </c>
      <c r="N144" s="113">
        <v>0</v>
      </c>
      <c r="O144" s="113">
        <v>0</v>
      </c>
      <c r="P144" s="113">
        <v>0</v>
      </c>
    </row>
    <row r="145" spans="2:16" ht="13.9" customHeight="1" outlineLevel="1" x14ac:dyDescent="0.25">
      <c r="B145" s="149"/>
      <c r="C145" s="150" t="s">
        <v>71</v>
      </c>
      <c r="D145" s="85">
        <v>0</v>
      </c>
      <c r="E145" s="86">
        <v>0</v>
      </c>
      <c r="F145" s="113">
        <f t="shared" si="8"/>
        <v>0</v>
      </c>
      <c r="G145" s="113">
        <v>0</v>
      </c>
      <c r="H145" s="86">
        <v>0</v>
      </c>
      <c r="I145" s="113">
        <v>0</v>
      </c>
      <c r="J145" s="114">
        <f t="shared" si="9"/>
        <v>0</v>
      </c>
      <c r="K145" s="113">
        <f t="shared" si="10"/>
        <v>0</v>
      </c>
      <c r="L145" s="113">
        <v>0</v>
      </c>
      <c r="M145" s="113">
        <v>0</v>
      </c>
      <c r="N145" s="113">
        <v>0</v>
      </c>
      <c r="O145" s="113">
        <v>0</v>
      </c>
      <c r="P145" s="113">
        <v>0</v>
      </c>
    </row>
    <row r="146" spans="2:16" ht="13.9" customHeight="1" outlineLevel="1" x14ac:dyDescent="0.25">
      <c r="B146" s="149"/>
      <c r="C146" s="150" t="s">
        <v>72</v>
      </c>
      <c r="D146" s="85">
        <v>0</v>
      </c>
      <c r="E146" s="86">
        <v>0</v>
      </c>
      <c r="F146" s="113">
        <f t="shared" si="8"/>
        <v>0</v>
      </c>
      <c r="G146" s="113">
        <v>0</v>
      </c>
      <c r="H146" s="86">
        <v>0</v>
      </c>
      <c r="I146" s="113">
        <v>0</v>
      </c>
      <c r="J146" s="114">
        <f t="shared" si="9"/>
        <v>0</v>
      </c>
      <c r="K146" s="113">
        <f t="shared" si="10"/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</row>
    <row r="147" spans="2:16" ht="13.9" customHeight="1" x14ac:dyDescent="0.25">
      <c r="B147" s="149"/>
      <c r="C147" s="148" t="s">
        <v>104</v>
      </c>
      <c r="D147" s="90">
        <f>SUM(D144:D146)</f>
        <v>0</v>
      </c>
      <c r="E147" s="91">
        <f t="shared" ref="E147:P147" si="12">SUM(E144:E146)</f>
        <v>0</v>
      </c>
      <c r="F147" s="92">
        <f t="shared" si="12"/>
        <v>0</v>
      </c>
      <c r="G147" s="93">
        <f t="shared" si="12"/>
        <v>0</v>
      </c>
      <c r="H147" s="90">
        <f t="shared" si="12"/>
        <v>0</v>
      </c>
      <c r="I147" s="91">
        <f t="shared" si="12"/>
        <v>0</v>
      </c>
      <c r="J147" s="92">
        <f t="shared" si="12"/>
        <v>0</v>
      </c>
      <c r="K147" s="93">
        <f t="shared" si="12"/>
        <v>0</v>
      </c>
      <c r="L147" s="90">
        <f t="shared" si="12"/>
        <v>0</v>
      </c>
      <c r="M147" s="91">
        <f t="shared" si="12"/>
        <v>0</v>
      </c>
      <c r="N147" s="90">
        <f t="shared" si="12"/>
        <v>0</v>
      </c>
      <c r="O147" s="91">
        <f t="shared" si="12"/>
        <v>0</v>
      </c>
      <c r="P147" s="91">
        <f t="shared" si="12"/>
        <v>0</v>
      </c>
    </row>
    <row r="148" spans="2:16" ht="13.9" customHeight="1" outlineLevel="1" x14ac:dyDescent="0.25">
      <c r="B148" s="149" t="s">
        <v>105</v>
      </c>
      <c r="C148" s="150" t="s">
        <v>75</v>
      </c>
      <c r="D148" s="85">
        <v>0</v>
      </c>
      <c r="E148" s="86">
        <v>0</v>
      </c>
      <c r="F148" s="113">
        <f>G148+I148</f>
        <v>0</v>
      </c>
      <c r="G148" s="113">
        <v>0</v>
      </c>
      <c r="H148" s="86">
        <v>0</v>
      </c>
      <c r="I148" s="113">
        <v>0</v>
      </c>
      <c r="J148" s="114">
        <f>H148-I148</f>
        <v>0</v>
      </c>
      <c r="K148" s="113">
        <f t="shared" si="10"/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</row>
    <row r="149" spans="2:16" ht="13.9" customHeight="1" outlineLevel="1" x14ac:dyDescent="0.25">
      <c r="B149" s="149"/>
      <c r="C149" s="150" t="s">
        <v>76</v>
      </c>
      <c r="D149" s="85">
        <v>0</v>
      </c>
      <c r="E149" s="86">
        <v>0</v>
      </c>
      <c r="F149" s="113">
        <f>G149+I149</f>
        <v>0</v>
      </c>
      <c r="G149" s="113">
        <v>0</v>
      </c>
      <c r="H149" s="86">
        <v>0</v>
      </c>
      <c r="I149" s="113">
        <v>0</v>
      </c>
      <c r="J149" s="114">
        <f>H149-I149</f>
        <v>0</v>
      </c>
      <c r="K149" s="113">
        <f t="shared" si="10"/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</row>
    <row r="150" spans="2:16" ht="13.9" customHeight="1" x14ac:dyDescent="0.25">
      <c r="B150" s="149"/>
      <c r="C150" s="148" t="s">
        <v>106</v>
      </c>
      <c r="D150" s="90">
        <f>SUM(D148:D149)</f>
        <v>0</v>
      </c>
      <c r="E150" s="91">
        <f t="shared" ref="E150:P150" si="13">SUM(E148:E149)</f>
        <v>0</v>
      </c>
      <c r="F150" s="92">
        <f t="shared" si="13"/>
        <v>0</v>
      </c>
      <c r="G150" s="93">
        <f t="shared" si="13"/>
        <v>0</v>
      </c>
      <c r="H150" s="90">
        <f t="shared" si="13"/>
        <v>0</v>
      </c>
      <c r="I150" s="91">
        <f t="shared" si="13"/>
        <v>0</v>
      </c>
      <c r="J150" s="92">
        <f t="shared" si="13"/>
        <v>0</v>
      </c>
      <c r="K150" s="93">
        <f t="shared" si="13"/>
        <v>0</v>
      </c>
      <c r="L150" s="90">
        <f t="shared" si="13"/>
        <v>0</v>
      </c>
      <c r="M150" s="91">
        <f t="shared" si="13"/>
        <v>0</v>
      </c>
      <c r="N150" s="90">
        <f t="shared" si="13"/>
        <v>0</v>
      </c>
      <c r="O150" s="91">
        <f t="shared" si="13"/>
        <v>0</v>
      </c>
      <c r="P150" s="91">
        <f t="shared" si="13"/>
        <v>0</v>
      </c>
    </row>
    <row r="151" spans="2:16" ht="13.9" customHeight="1" x14ac:dyDescent="0.25">
      <c r="B151" s="155" t="s">
        <v>78</v>
      </c>
      <c r="C151" s="155"/>
      <c r="D151" s="90">
        <f>D143+D147+D150</f>
        <v>1</v>
      </c>
      <c r="E151" s="91">
        <f t="shared" ref="E151:P151" si="14">E143+E147+E150</f>
        <v>1094458.75</v>
      </c>
      <c r="F151" s="92">
        <f t="shared" si="14"/>
        <v>684036.72</v>
      </c>
      <c r="G151" s="93">
        <f t="shared" si="14"/>
        <v>0</v>
      </c>
      <c r="H151" s="90">
        <f t="shared" si="14"/>
        <v>1094458.75</v>
      </c>
      <c r="I151" s="91">
        <f t="shared" si="14"/>
        <v>684036.72</v>
      </c>
      <c r="J151" s="92">
        <f t="shared" si="14"/>
        <v>410422.03</v>
      </c>
      <c r="K151" s="93">
        <f t="shared" si="14"/>
        <v>273614.69000000006</v>
      </c>
      <c r="L151" s="90">
        <f t="shared" si="14"/>
        <v>136807.34</v>
      </c>
      <c r="M151" s="91">
        <f t="shared" si="14"/>
        <v>0</v>
      </c>
      <c r="N151" s="90">
        <f t="shared" si="14"/>
        <v>0</v>
      </c>
      <c r="O151" s="91">
        <f t="shared" si="14"/>
        <v>0</v>
      </c>
      <c r="P151" s="91">
        <f t="shared" si="14"/>
        <v>0</v>
      </c>
    </row>
    <row r="152" spans="2:16" ht="13.9" customHeight="1" x14ac:dyDescent="0.25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</row>
    <row r="153" spans="2:16" ht="13.9" customHeight="1" x14ac:dyDescent="0.25">
      <c r="B153" s="107" t="s">
        <v>88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</row>
    <row r="154" spans="2:16" ht="13.9" customHeight="1" x14ac:dyDescent="0.25">
      <c r="B154" s="154" t="s">
        <v>26</v>
      </c>
      <c r="C154" s="148" t="s">
        <v>27</v>
      </c>
      <c r="D154" s="109" t="s">
        <v>28</v>
      </c>
      <c r="E154" s="110" t="s">
        <v>29</v>
      </c>
      <c r="F154" s="111" t="s">
        <v>85</v>
      </c>
      <c r="G154" s="112" t="s">
        <v>81</v>
      </c>
      <c r="H154" s="110" t="s">
        <v>82</v>
      </c>
      <c r="I154" s="112" t="s">
        <v>86</v>
      </c>
      <c r="J154" s="110" t="s">
        <v>87</v>
      </c>
      <c r="K154" s="112">
        <v>2026</v>
      </c>
      <c r="L154" s="112">
        <v>2027</v>
      </c>
      <c r="M154" s="110">
        <v>2028</v>
      </c>
      <c r="N154" s="112">
        <v>2029</v>
      </c>
      <c r="O154" s="110">
        <v>2030</v>
      </c>
      <c r="P154" s="112">
        <v>2031</v>
      </c>
    </row>
    <row r="155" spans="2:16" ht="13.9" customHeight="1" outlineLevel="1" x14ac:dyDescent="0.25">
      <c r="B155" s="149" t="s">
        <v>30</v>
      </c>
      <c r="C155" s="150" t="s">
        <v>31</v>
      </c>
      <c r="D155" s="85">
        <v>0</v>
      </c>
      <c r="E155" s="86">
        <v>0</v>
      </c>
      <c r="F155" s="142">
        <f t="shared" ref="F155:F198" si="15">G155+I155</f>
        <v>0</v>
      </c>
      <c r="G155" s="113">
        <v>0</v>
      </c>
      <c r="H155" s="86">
        <v>0</v>
      </c>
      <c r="I155" s="113">
        <v>0</v>
      </c>
      <c r="J155" s="114">
        <f t="shared" ref="J155:J198" si="16">H155-I155</f>
        <v>0</v>
      </c>
      <c r="K155" s="113">
        <f t="shared" ref="K155:K198" si="17">MAX(J155-SUM(L155:P155),0)</f>
        <v>0</v>
      </c>
      <c r="L155" s="113">
        <v>0</v>
      </c>
      <c r="M155" s="113">
        <v>0</v>
      </c>
      <c r="N155" s="113">
        <v>0</v>
      </c>
      <c r="O155" s="113">
        <v>0</v>
      </c>
      <c r="P155" s="113">
        <v>0</v>
      </c>
    </row>
    <row r="156" spans="2:16" ht="13.9" customHeight="1" outlineLevel="1" x14ac:dyDescent="0.25">
      <c r="B156" s="149"/>
      <c r="C156" s="150" t="s">
        <v>32</v>
      </c>
      <c r="D156" s="85">
        <v>0</v>
      </c>
      <c r="E156" s="86">
        <v>0</v>
      </c>
      <c r="F156" s="142">
        <f t="shared" si="15"/>
        <v>0</v>
      </c>
      <c r="G156" s="113">
        <v>0</v>
      </c>
      <c r="H156" s="86">
        <v>0</v>
      </c>
      <c r="I156" s="113">
        <v>0</v>
      </c>
      <c r="J156" s="114">
        <f t="shared" si="16"/>
        <v>0</v>
      </c>
      <c r="K156" s="113">
        <f t="shared" si="17"/>
        <v>0</v>
      </c>
      <c r="L156" s="113">
        <v>0</v>
      </c>
      <c r="M156" s="113">
        <v>0</v>
      </c>
      <c r="N156" s="113">
        <v>0</v>
      </c>
      <c r="O156" s="113">
        <v>0</v>
      </c>
      <c r="P156" s="113">
        <v>0</v>
      </c>
    </row>
    <row r="157" spans="2:16" ht="13.9" customHeight="1" outlineLevel="1" x14ac:dyDescent="0.25">
      <c r="B157" s="149"/>
      <c r="C157" s="150" t="s">
        <v>33</v>
      </c>
      <c r="D157" s="85">
        <v>0</v>
      </c>
      <c r="E157" s="86">
        <v>0</v>
      </c>
      <c r="F157" s="142">
        <f t="shared" si="15"/>
        <v>0</v>
      </c>
      <c r="G157" s="113">
        <v>0</v>
      </c>
      <c r="H157" s="86">
        <v>0</v>
      </c>
      <c r="I157" s="113">
        <v>0</v>
      </c>
      <c r="J157" s="114">
        <f t="shared" si="16"/>
        <v>0</v>
      </c>
      <c r="K157" s="113">
        <f t="shared" si="17"/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</row>
    <row r="158" spans="2:16" ht="13.9" customHeight="1" outlineLevel="1" x14ac:dyDescent="0.25">
      <c r="B158" s="149"/>
      <c r="C158" s="150" t="s">
        <v>34</v>
      </c>
      <c r="D158" s="85">
        <v>0</v>
      </c>
      <c r="E158" s="86">
        <v>0</v>
      </c>
      <c r="F158" s="142">
        <f t="shared" si="15"/>
        <v>0</v>
      </c>
      <c r="G158" s="113">
        <v>0</v>
      </c>
      <c r="H158" s="86">
        <v>0</v>
      </c>
      <c r="I158" s="113">
        <v>0</v>
      </c>
      <c r="J158" s="114">
        <f t="shared" si="16"/>
        <v>0</v>
      </c>
      <c r="K158" s="113">
        <f t="shared" si="17"/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</row>
    <row r="159" spans="2:16" ht="13.9" customHeight="1" outlineLevel="1" x14ac:dyDescent="0.25">
      <c r="B159" s="149"/>
      <c r="C159" s="150" t="s">
        <v>35</v>
      </c>
      <c r="D159" s="85">
        <v>0</v>
      </c>
      <c r="E159" s="86">
        <v>0</v>
      </c>
      <c r="F159" s="142">
        <f t="shared" si="15"/>
        <v>0</v>
      </c>
      <c r="G159" s="113">
        <v>0</v>
      </c>
      <c r="H159" s="86">
        <v>0</v>
      </c>
      <c r="I159" s="113">
        <v>0</v>
      </c>
      <c r="J159" s="114">
        <f t="shared" si="16"/>
        <v>0</v>
      </c>
      <c r="K159" s="113">
        <f t="shared" si="17"/>
        <v>0</v>
      </c>
      <c r="L159" s="113">
        <v>0</v>
      </c>
      <c r="M159" s="113">
        <v>0</v>
      </c>
      <c r="N159" s="113">
        <v>0</v>
      </c>
      <c r="O159" s="113">
        <v>0</v>
      </c>
      <c r="P159" s="113">
        <v>0</v>
      </c>
    </row>
    <row r="160" spans="2:16" ht="13.9" customHeight="1" outlineLevel="1" x14ac:dyDescent="0.25">
      <c r="B160" s="149"/>
      <c r="C160" s="150" t="s">
        <v>36</v>
      </c>
      <c r="D160" s="85">
        <v>1</v>
      </c>
      <c r="E160" s="86">
        <v>9915280</v>
      </c>
      <c r="F160" s="142">
        <f t="shared" si="15"/>
        <v>1983056</v>
      </c>
      <c r="G160" s="113">
        <v>1101000</v>
      </c>
      <c r="H160" s="86">
        <v>8814280</v>
      </c>
      <c r="I160" s="113">
        <v>882056</v>
      </c>
      <c r="J160" s="114">
        <f t="shared" si="16"/>
        <v>7932224</v>
      </c>
      <c r="K160" s="113">
        <f t="shared" si="17"/>
        <v>991528</v>
      </c>
      <c r="L160" s="113">
        <v>1983056</v>
      </c>
      <c r="M160" s="113">
        <v>4957640</v>
      </c>
      <c r="N160" s="113">
        <v>0</v>
      </c>
      <c r="O160" s="113">
        <v>0</v>
      </c>
      <c r="P160" s="113">
        <v>0</v>
      </c>
    </row>
    <row r="161" spans="2:16" ht="13.9" customHeight="1" outlineLevel="1" x14ac:dyDescent="0.25">
      <c r="B161" s="149"/>
      <c r="C161" s="150" t="s">
        <v>37</v>
      </c>
      <c r="D161" s="85">
        <v>0</v>
      </c>
      <c r="E161" s="86">
        <v>0</v>
      </c>
      <c r="F161" s="142">
        <f t="shared" si="15"/>
        <v>0</v>
      </c>
      <c r="G161" s="113">
        <v>0</v>
      </c>
      <c r="H161" s="86">
        <v>0</v>
      </c>
      <c r="I161" s="113">
        <v>0</v>
      </c>
      <c r="J161" s="114">
        <f t="shared" si="16"/>
        <v>0</v>
      </c>
      <c r="K161" s="113">
        <f t="shared" si="17"/>
        <v>0</v>
      </c>
      <c r="L161" s="113">
        <v>0</v>
      </c>
      <c r="M161" s="113">
        <v>0</v>
      </c>
      <c r="N161" s="113">
        <v>0</v>
      </c>
      <c r="O161" s="113">
        <v>0</v>
      </c>
      <c r="P161" s="113">
        <v>0</v>
      </c>
    </row>
    <row r="162" spans="2:16" ht="13.9" customHeight="1" outlineLevel="1" x14ac:dyDescent="0.25">
      <c r="B162" s="149"/>
      <c r="C162" s="150" t="s">
        <v>38</v>
      </c>
      <c r="D162" s="85">
        <v>0</v>
      </c>
      <c r="E162" s="86">
        <v>0</v>
      </c>
      <c r="F162" s="142">
        <f t="shared" si="15"/>
        <v>0</v>
      </c>
      <c r="G162" s="113">
        <v>0</v>
      </c>
      <c r="H162" s="86">
        <v>0</v>
      </c>
      <c r="I162" s="113">
        <v>0</v>
      </c>
      <c r="J162" s="114">
        <f t="shared" si="16"/>
        <v>0</v>
      </c>
      <c r="K162" s="113">
        <f t="shared" si="17"/>
        <v>0</v>
      </c>
      <c r="L162" s="113">
        <v>0</v>
      </c>
      <c r="M162" s="113">
        <v>0</v>
      </c>
      <c r="N162" s="113">
        <v>0</v>
      </c>
      <c r="O162" s="113">
        <v>0</v>
      </c>
      <c r="P162" s="113">
        <v>0</v>
      </c>
    </row>
    <row r="163" spans="2:16" ht="13.9" customHeight="1" outlineLevel="1" x14ac:dyDescent="0.25">
      <c r="B163" s="149"/>
      <c r="C163" s="150" t="s">
        <v>39</v>
      </c>
      <c r="D163" s="85">
        <v>0</v>
      </c>
      <c r="E163" s="86">
        <v>0</v>
      </c>
      <c r="F163" s="142">
        <f t="shared" si="15"/>
        <v>0</v>
      </c>
      <c r="G163" s="113">
        <v>0</v>
      </c>
      <c r="H163" s="86">
        <v>0</v>
      </c>
      <c r="I163" s="113">
        <v>0</v>
      </c>
      <c r="J163" s="114">
        <f t="shared" si="16"/>
        <v>0</v>
      </c>
      <c r="K163" s="113">
        <f t="shared" si="17"/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</row>
    <row r="164" spans="2:16" ht="13.9" customHeight="1" outlineLevel="1" x14ac:dyDescent="0.25">
      <c r="B164" s="149"/>
      <c r="C164" s="150" t="s">
        <v>40</v>
      </c>
      <c r="D164" s="85">
        <v>0</v>
      </c>
      <c r="E164" s="86">
        <v>0</v>
      </c>
      <c r="F164" s="142">
        <f t="shared" si="15"/>
        <v>0</v>
      </c>
      <c r="G164" s="113">
        <v>0</v>
      </c>
      <c r="H164" s="86">
        <v>0</v>
      </c>
      <c r="I164" s="113">
        <v>0</v>
      </c>
      <c r="J164" s="114">
        <f t="shared" si="16"/>
        <v>0</v>
      </c>
      <c r="K164" s="113">
        <f t="shared" si="17"/>
        <v>0</v>
      </c>
      <c r="L164" s="113">
        <v>0</v>
      </c>
      <c r="M164" s="113">
        <v>0</v>
      </c>
      <c r="N164" s="113">
        <v>0</v>
      </c>
      <c r="O164" s="113">
        <v>0</v>
      </c>
      <c r="P164" s="113">
        <v>0</v>
      </c>
    </row>
    <row r="165" spans="2:16" ht="13.9" customHeight="1" outlineLevel="1" x14ac:dyDescent="0.25">
      <c r="B165" s="149"/>
      <c r="C165" s="150" t="s">
        <v>41</v>
      </c>
      <c r="D165" s="85">
        <v>0</v>
      </c>
      <c r="E165" s="86">
        <v>0</v>
      </c>
      <c r="F165" s="142">
        <f t="shared" si="15"/>
        <v>0</v>
      </c>
      <c r="G165" s="113">
        <v>0</v>
      </c>
      <c r="H165" s="86">
        <v>0</v>
      </c>
      <c r="I165" s="113">
        <v>0</v>
      </c>
      <c r="J165" s="114">
        <f t="shared" si="16"/>
        <v>0</v>
      </c>
      <c r="K165" s="113">
        <f t="shared" si="17"/>
        <v>0</v>
      </c>
      <c r="L165" s="113">
        <v>0</v>
      </c>
      <c r="M165" s="113">
        <v>0</v>
      </c>
      <c r="N165" s="113">
        <v>0</v>
      </c>
      <c r="O165" s="113">
        <v>0</v>
      </c>
      <c r="P165" s="113">
        <v>0</v>
      </c>
    </row>
    <row r="166" spans="2:16" ht="13.9" customHeight="1" outlineLevel="1" x14ac:dyDescent="0.25">
      <c r="B166" s="149"/>
      <c r="C166" s="150" t="s">
        <v>42</v>
      </c>
      <c r="D166" s="85">
        <v>2</v>
      </c>
      <c r="E166" s="86">
        <v>8536383</v>
      </c>
      <c r="F166" s="142">
        <f t="shared" si="15"/>
        <v>1770066.6</v>
      </c>
      <c r="G166" s="113">
        <v>1079372</v>
      </c>
      <c r="H166" s="86">
        <v>7457011</v>
      </c>
      <c r="I166" s="113">
        <v>690694.6</v>
      </c>
      <c r="J166" s="114">
        <f t="shared" si="16"/>
        <v>6766316.4000000004</v>
      </c>
      <c r="K166" s="113">
        <f t="shared" si="17"/>
        <v>1456115.6000000006</v>
      </c>
      <c r="L166" s="113">
        <v>5310200.8</v>
      </c>
      <c r="M166" s="113">
        <v>0</v>
      </c>
      <c r="N166" s="113">
        <v>0</v>
      </c>
      <c r="O166" s="113">
        <v>0</v>
      </c>
      <c r="P166" s="113">
        <v>0</v>
      </c>
    </row>
    <row r="167" spans="2:16" ht="13.9" customHeight="1" outlineLevel="1" x14ac:dyDescent="0.25">
      <c r="B167" s="149"/>
      <c r="C167" s="150" t="s">
        <v>43</v>
      </c>
      <c r="D167" s="85">
        <v>2</v>
      </c>
      <c r="E167" s="86">
        <v>12276079</v>
      </c>
      <c r="F167" s="142">
        <f t="shared" si="15"/>
        <v>2099518.2000000002</v>
      </c>
      <c r="G167" s="113">
        <v>1947287.76</v>
      </c>
      <c r="H167" s="86">
        <v>10328791.24</v>
      </c>
      <c r="I167" s="113">
        <v>152230.44</v>
      </c>
      <c r="J167" s="114">
        <f t="shared" si="16"/>
        <v>10176560.800000001</v>
      </c>
      <c r="K167" s="113">
        <f t="shared" si="17"/>
        <v>1583305.5</v>
      </c>
      <c r="L167" s="113">
        <v>8593255.3000000007</v>
      </c>
      <c r="M167" s="113">
        <v>0</v>
      </c>
      <c r="N167" s="113">
        <v>0</v>
      </c>
      <c r="O167" s="113">
        <v>0</v>
      </c>
      <c r="P167" s="113">
        <v>0</v>
      </c>
    </row>
    <row r="168" spans="2:16" ht="13.9" customHeight="1" outlineLevel="1" x14ac:dyDescent="0.25">
      <c r="B168" s="149"/>
      <c r="C168" s="150" t="s">
        <v>44</v>
      </c>
      <c r="D168" s="85">
        <v>3</v>
      </c>
      <c r="E168" s="86">
        <v>8747199.0999999996</v>
      </c>
      <c r="F168" s="142">
        <f t="shared" si="15"/>
        <v>1956138.29</v>
      </c>
      <c r="G168" s="113">
        <v>1537983.9700000002</v>
      </c>
      <c r="H168" s="86">
        <v>7209215.1299999999</v>
      </c>
      <c r="I168" s="113">
        <v>418154.31999999995</v>
      </c>
      <c r="J168" s="114">
        <f t="shared" si="16"/>
        <v>6791060.8099999996</v>
      </c>
      <c r="K168" s="113">
        <f t="shared" si="17"/>
        <v>874719.90999999922</v>
      </c>
      <c r="L168" s="113">
        <v>939145.02</v>
      </c>
      <c r="M168" s="113">
        <v>4977195.88</v>
      </c>
      <c r="N168" s="113">
        <v>0</v>
      </c>
      <c r="O168" s="113">
        <v>0</v>
      </c>
      <c r="P168" s="113">
        <v>0</v>
      </c>
    </row>
    <row r="169" spans="2:16" ht="13.9" customHeight="1" outlineLevel="1" x14ac:dyDescent="0.25">
      <c r="B169" s="149"/>
      <c r="C169" s="150" t="s">
        <v>45</v>
      </c>
      <c r="D169" s="85">
        <v>13</v>
      </c>
      <c r="E169" s="86">
        <v>31590395</v>
      </c>
      <c r="F169" s="142">
        <f t="shared" si="15"/>
        <v>6318079.0899999999</v>
      </c>
      <c r="G169" s="113">
        <v>5263024.8599999994</v>
      </c>
      <c r="H169" s="86">
        <v>26327370.140000004</v>
      </c>
      <c r="I169" s="113">
        <v>1055054.23</v>
      </c>
      <c r="J169" s="114">
        <f t="shared" si="16"/>
        <v>25272315.910000004</v>
      </c>
      <c r="K169" s="113">
        <f t="shared" si="17"/>
        <v>3159039.2900000066</v>
      </c>
      <c r="L169" s="113">
        <v>3368442.78</v>
      </c>
      <c r="M169" s="113">
        <v>4899298.84</v>
      </c>
      <c r="N169" s="113">
        <v>9008027.0600000005</v>
      </c>
      <c r="O169" s="113">
        <v>4837507.9399999995</v>
      </c>
      <c r="P169" s="113">
        <v>0</v>
      </c>
    </row>
    <row r="170" spans="2:16" ht="13.9" customHeight="1" outlineLevel="1" x14ac:dyDescent="0.25">
      <c r="B170" s="149"/>
      <c r="C170" s="150" t="s">
        <v>46</v>
      </c>
      <c r="D170" s="85">
        <v>1</v>
      </c>
      <c r="E170" s="86">
        <v>5916260</v>
      </c>
      <c r="F170" s="142">
        <f t="shared" si="15"/>
        <v>621207.30000000005</v>
      </c>
      <c r="G170" s="113">
        <v>593894</v>
      </c>
      <c r="H170" s="86">
        <v>5322366</v>
      </c>
      <c r="I170" s="113">
        <v>27313.3</v>
      </c>
      <c r="J170" s="114">
        <f t="shared" si="16"/>
        <v>5295052.7</v>
      </c>
      <c r="K170" s="113">
        <f t="shared" si="17"/>
        <v>946601.59999999963</v>
      </c>
      <c r="L170" s="113">
        <v>1242414.6000000001</v>
      </c>
      <c r="M170" s="113">
        <v>621207.30000000005</v>
      </c>
      <c r="N170" s="113">
        <v>0</v>
      </c>
      <c r="O170" s="113">
        <v>2484829.2000000002</v>
      </c>
      <c r="P170" s="113">
        <v>0</v>
      </c>
    </row>
    <row r="171" spans="2:16" ht="13.9" customHeight="1" outlineLevel="1" x14ac:dyDescent="0.25">
      <c r="B171" s="149"/>
      <c r="C171" s="150" t="s">
        <v>47</v>
      </c>
      <c r="D171" s="85">
        <v>1</v>
      </c>
      <c r="E171" s="86">
        <v>1781662.05</v>
      </c>
      <c r="F171" s="142">
        <f t="shared" si="15"/>
        <v>356332.42000000004</v>
      </c>
      <c r="G171" s="113">
        <v>181850</v>
      </c>
      <c r="H171" s="86">
        <v>1599812.05</v>
      </c>
      <c r="I171" s="113">
        <v>174482.42</v>
      </c>
      <c r="J171" s="114">
        <f t="shared" si="16"/>
        <v>1425329.6300000001</v>
      </c>
      <c r="K171" s="113">
        <f t="shared" si="17"/>
        <v>1425329.6300000001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</row>
    <row r="172" spans="2:16" ht="13.9" customHeight="1" outlineLevel="1" x14ac:dyDescent="0.25">
      <c r="B172" s="149"/>
      <c r="C172" s="150" t="s">
        <v>48</v>
      </c>
      <c r="D172" s="85">
        <v>0</v>
      </c>
      <c r="E172" s="86">
        <v>0</v>
      </c>
      <c r="F172" s="142">
        <f t="shared" si="15"/>
        <v>0</v>
      </c>
      <c r="G172" s="113">
        <v>0</v>
      </c>
      <c r="H172" s="86">
        <v>0</v>
      </c>
      <c r="I172" s="113">
        <v>0</v>
      </c>
      <c r="J172" s="114">
        <f t="shared" si="16"/>
        <v>0</v>
      </c>
      <c r="K172" s="113">
        <f t="shared" si="17"/>
        <v>0</v>
      </c>
      <c r="L172" s="113">
        <v>0</v>
      </c>
      <c r="M172" s="113">
        <v>0</v>
      </c>
      <c r="N172" s="113">
        <v>0</v>
      </c>
      <c r="O172" s="113">
        <v>0</v>
      </c>
      <c r="P172" s="113">
        <v>0</v>
      </c>
    </row>
    <row r="173" spans="2:16" ht="13.9" customHeight="1" outlineLevel="1" x14ac:dyDescent="0.25">
      <c r="B173" s="149"/>
      <c r="C173" s="150" t="s">
        <v>49</v>
      </c>
      <c r="D173" s="85">
        <v>0</v>
      </c>
      <c r="E173" s="86">
        <v>0</v>
      </c>
      <c r="F173" s="142">
        <f t="shared" si="15"/>
        <v>0</v>
      </c>
      <c r="G173" s="113">
        <v>0</v>
      </c>
      <c r="H173" s="86">
        <v>0</v>
      </c>
      <c r="I173" s="113">
        <v>0</v>
      </c>
      <c r="J173" s="114">
        <f t="shared" si="16"/>
        <v>0</v>
      </c>
      <c r="K173" s="113">
        <f t="shared" si="17"/>
        <v>0</v>
      </c>
      <c r="L173" s="113">
        <v>0</v>
      </c>
      <c r="M173" s="113">
        <v>0</v>
      </c>
      <c r="N173" s="113">
        <v>0</v>
      </c>
      <c r="O173" s="113">
        <v>0</v>
      </c>
      <c r="P173" s="113">
        <v>0</v>
      </c>
    </row>
    <row r="174" spans="2:16" ht="13.9" customHeight="1" outlineLevel="1" x14ac:dyDescent="0.25">
      <c r="B174" s="149"/>
      <c r="C174" s="150" t="s">
        <v>50</v>
      </c>
      <c r="D174" s="85">
        <v>3</v>
      </c>
      <c r="E174" s="86">
        <v>9016434</v>
      </c>
      <c r="F174" s="142">
        <f t="shared" si="15"/>
        <v>1803286.8</v>
      </c>
      <c r="G174" s="113">
        <v>1247139.51</v>
      </c>
      <c r="H174" s="86">
        <v>7769294.4900000002</v>
      </c>
      <c r="I174" s="113">
        <v>556147.29</v>
      </c>
      <c r="J174" s="114">
        <f t="shared" si="16"/>
        <v>7213147.2000000002</v>
      </c>
      <c r="K174" s="113">
        <f t="shared" si="17"/>
        <v>901643.40000000037</v>
      </c>
      <c r="L174" s="113">
        <v>901643.39999999991</v>
      </c>
      <c r="M174" s="113">
        <v>901643.39999999991</v>
      </c>
      <c r="N174" s="113">
        <v>901643.39999999991</v>
      </c>
      <c r="O174" s="113">
        <v>901643.39999999991</v>
      </c>
      <c r="P174" s="113">
        <v>2704930.2</v>
      </c>
    </row>
    <row r="175" spans="2:16" ht="13.9" customHeight="1" outlineLevel="1" x14ac:dyDescent="0.25">
      <c r="B175" s="149"/>
      <c r="C175" s="150" t="s">
        <v>51</v>
      </c>
      <c r="D175" s="85">
        <v>0</v>
      </c>
      <c r="E175" s="86">
        <v>0</v>
      </c>
      <c r="F175" s="142">
        <f t="shared" si="15"/>
        <v>0</v>
      </c>
      <c r="G175" s="113">
        <v>0</v>
      </c>
      <c r="H175" s="86">
        <v>0</v>
      </c>
      <c r="I175" s="113">
        <v>0</v>
      </c>
      <c r="J175" s="114">
        <f t="shared" si="16"/>
        <v>0</v>
      </c>
      <c r="K175" s="113">
        <f t="shared" si="17"/>
        <v>0</v>
      </c>
      <c r="L175" s="113">
        <v>0</v>
      </c>
      <c r="M175" s="113">
        <v>0</v>
      </c>
      <c r="N175" s="113">
        <v>0</v>
      </c>
      <c r="O175" s="113">
        <v>0</v>
      </c>
      <c r="P175" s="113">
        <v>0</v>
      </c>
    </row>
    <row r="176" spans="2:16" ht="13.9" customHeight="1" outlineLevel="1" x14ac:dyDescent="0.25">
      <c r="B176" s="149"/>
      <c r="C176" s="150" t="s">
        <v>52</v>
      </c>
      <c r="D176" s="85">
        <v>2</v>
      </c>
      <c r="E176" s="86">
        <v>5305198.5</v>
      </c>
      <c r="F176" s="142">
        <f t="shared" si="15"/>
        <v>1061039.8399999999</v>
      </c>
      <c r="G176" s="113">
        <v>1061039.0899999999</v>
      </c>
      <c r="H176" s="86">
        <v>4244159.41</v>
      </c>
      <c r="I176" s="113">
        <v>0.75</v>
      </c>
      <c r="J176" s="114">
        <f t="shared" si="16"/>
        <v>4244158.66</v>
      </c>
      <c r="K176" s="113">
        <f t="shared" si="17"/>
        <v>530519.68000000063</v>
      </c>
      <c r="L176" s="113">
        <v>530519.86</v>
      </c>
      <c r="M176" s="113">
        <v>530519.86</v>
      </c>
      <c r="N176" s="113">
        <v>2652599.2599999998</v>
      </c>
      <c r="O176" s="113">
        <v>0</v>
      </c>
      <c r="P176" s="113">
        <v>0</v>
      </c>
    </row>
    <row r="177" spans="2:16" ht="13.9" customHeight="1" outlineLevel="1" x14ac:dyDescent="0.25">
      <c r="B177" s="149"/>
      <c r="C177" s="150" t="s">
        <v>53</v>
      </c>
      <c r="D177" s="85">
        <v>0</v>
      </c>
      <c r="E177" s="86">
        <v>0</v>
      </c>
      <c r="F177" s="142">
        <f t="shared" si="15"/>
        <v>0</v>
      </c>
      <c r="G177" s="113">
        <v>0</v>
      </c>
      <c r="H177" s="86">
        <v>0</v>
      </c>
      <c r="I177" s="113">
        <v>0</v>
      </c>
      <c r="J177" s="114">
        <f t="shared" si="16"/>
        <v>0</v>
      </c>
      <c r="K177" s="113">
        <f t="shared" si="17"/>
        <v>0</v>
      </c>
      <c r="L177" s="113">
        <v>0</v>
      </c>
      <c r="M177" s="113">
        <v>0</v>
      </c>
      <c r="N177" s="113">
        <v>0</v>
      </c>
      <c r="O177" s="113">
        <v>0</v>
      </c>
      <c r="P177" s="113">
        <v>0</v>
      </c>
    </row>
    <row r="178" spans="2:16" ht="13.9" customHeight="1" outlineLevel="1" x14ac:dyDescent="0.25">
      <c r="B178" s="149"/>
      <c r="C178" s="150" t="s">
        <v>54</v>
      </c>
      <c r="D178" s="85">
        <v>3</v>
      </c>
      <c r="E178" s="86">
        <v>8644273.0500000007</v>
      </c>
      <c r="F178" s="142">
        <f t="shared" si="15"/>
        <v>1728854.61</v>
      </c>
      <c r="G178" s="113">
        <v>1728253.56</v>
      </c>
      <c r="H178" s="86">
        <v>6916019.4900000002</v>
      </c>
      <c r="I178" s="113">
        <v>601.04999999999995</v>
      </c>
      <c r="J178" s="114">
        <f t="shared" si="16"/>
        <v>6915418.4400000004</v>
      </c>
      <c r="K178" s="113">
        <f t="shared" si="17"/>
        <v>864427.29</v>
      </c>
      <c r="L178" s="113">
        <v>864427.31</v>
      </c>
      <c r="M178" s="113">
        <v>1728854.62</v>
      </c>
      <c r="N178" s="113">
        <v>3457709.2199999997</v>
      </c>
      <c r="O178" s="113">
        <v>0</v>
      </c>
      <c r="P178" s="113">
        <v>0</v>
      </c>
    </row>
    <row r="179" spans="2:16" ht="13.9" customHeight="1" outlineLevel="1" x14ac:dyDescent="0.25">
      <c r="B179" s="149"/>
      <c r="C179" s="150" t="s">
        <v>55</v>
      </c>
      <c r="D179" s="85">
        <v>0</v>
      </c>
      <c r="E179" s="86">
        <v>0</v>
      </c>
      <c r="F179" s="142">
        <f t="shared" si="15"/>
        <v>0</v>
      </c>
      <c r="G179" s="113">
        <v>0</v>
      </c>
      <c r="H179" s="86">
        <v>0</v>
      </c>
      <c r="I179" s="113">
        <v>0</v>
      </c>
      <c r="J179" s="114">
        <f t="shared" si="16"/>
        <v>0</v>
      </c>
      <c r="K179" s="113">
        <f t="shared" si="17"/>
        <v>0</v>
      </c>
      <c r="L179" s="113">
        <v>0</v>
      </c>
      <c r="M179" s="113">
        <v>0</v>
      </c>
      <c r="N179" s="113">
        <v>0</v>
      </c>
      <c r="O179" s="113">
        <v>0</v>
      </c>
      <c r="P179" s="113">
        <v>0</v>
      </c>
    </row>
    <row r="180" spans="2:16" ht="13.9" customHeight="1" outlineLevel="1" x14ac:dyDescent="0.25">
      <c r="B180" s="149"/>
      <c r="C180" s="150" t="s">
        <v>56</v>
      </c>
      <c r="D180" s="85">
        <v>5</v>
      </c>
      <c r="E180" s="86">
        <v>9993304.6999999993</v>
      </c>
      <c r="F180" s="142">
        <f t="shared" si="15"/>
        <v>1405032.8</v>
      </c>
      <c r="G180" s="113">
        <v>1404887.22</v>
      </c>
      <c r="H180" s="86">
        <v>8588417.4800000004</v>
      </c>
      <c r="I180" s="113">
        <v>145.58000000000001</v>
      </c>
      <c r="J180" s="114">
        <f t="shared" si="16"/>
        <v>8588271.9000000004</v>
      </c>
      <c r="K180" s="113">
        <f t="shared" si="17"/>
        <v>593628.10000000149</v>
      </c>
      <c r="L180" s="113">
        <v>999330.47999999986</v>
      </c>
      <c r="M180" s="113">
        <v>999330.47999999986</v>
      </c>
      <c r="N180" s="113">
        <v>1998660.9599999997</v>
      </c>
      <c r="O180" s="113">
        <v>3997321.8799999994</v>
      </c>
      <c r="P180" s="113">
        <v>0</v>
      </c>
    </row>
    <row r="181" spans="2:16" ht="13.9" customHeight="1" outlineLevel="1" x14ac:dyDescent="0.25">
      <c r="B181" s="149"/>
      <c r="C181" s="150" t="s">
        <v>57</v>
      </c>
      <c r="D181" s="85">
        <v>0</v>
      </c>
      <c r="E181" s="86">
        <v>0</v>
      </c>
      <c r="F181" s="142">
        <f t="shared" si="15"/>
        <v>0</v>
      </c>
      <c r="G181" s="113">
        <v>0</v>
      </c>
      <c r="H181" s="86">
        <v>0</v>
      </c>
      <c r="I181" s="113">
        <v>0</v>
      </c>
      <c r="J181" s="114">
        <f t="shared" si="16"/>
        <v>0</v>
      </c>
      <c r="K181" s="113">
        <f t="shared" si="17"/>
        <v>0</v>
      </c>
      <c r="L181" s="113">
        <v>0</v>
      </c>
      <c r="M181" s="113">
        <v>0</v>
      </c>
      <c r="N181" s="113">
        <v>0</v>
      </c>
      <c r="O181" s="113">
        <v>0</v>
      </c>
      <c r="P181" s="113">
        <v>0</v>
      </c>
    </row>
    <row r="182" spans="2:16" ht="13.9" customHeight="1" outlineLevel="1" x14ac:dyDescent="0.25">
      <c r="B182" s="149"/>
      <c r="C182" s="150" t="s">
        <v>58</v>
      </c>
      <c r="D182" s="85">
        <v>0</v>
      </c>
      <c r="E182" s="86">
        <v>0</v>
      </c>
      <c r="F182" s="142">
        <f t="shared" si="15"/>
        <v>0</v>
      </c>
      <c r="G182" s="113">
        <v>0</v>
      </c>
      <c r="H182" s="86">
        <v>0</v>
      </c>
      <c r="I182" s="113">
        <v>0</v>
      </c>
      <c r="J182" s="114">
        <f t="shared" si="16"/>
        <v>0</v>
      </c>
      <c r="K182" s="113">
        <f t="shared" si="17"/>
        <v>0</v>
      </c>
      <c r="L182" s="113">
        <v>0</v>
      </c>
      <c r="M182" s="113">
        <v>0</v>
      </c>
      <c r="N182" s="113">
        <v>0</v>
      </c>
      <c r="O182" s="113">
        <v>0</v>
      </c>
      <c r="P182" s="113">
        <v>0</v>
      </c>
    </row>
    <row r="183" spans="2:16" ht="13.9" customHeight="1" outlineLevel="1" x14ac:dyDescent="0.25">
      <c r="B183" s="149"/>
      <c r="C183" s="150" t="s">
        <v>59</v>
      </c>
      <c r="D183" s="85">
        <v>1</v>
      </c>
      <c r="E183" s="86">
        <v>2105940.9</v>
      </c>
      <c r="F183" s="142">
        <f t="shared" si="15"/>
        <v>421188.18000000005</v>
      </c>
      <c r="G183" s="113">
        <v>416218.15</v>
      </c>
      <c r="H183" s="86">
        <v>1689722.75</v>
      </c>
      <c r="I183" s="113">
        <v>4970.03</v>
      </c>
      <c r="J183" s="114">
        <f t="shared" si="16"/>
        <v>1684752.72</v>
      </c>
      <c r="K183" s="113">
        <f t="shared" si="17"/>
        <v>210594.08999999985</v>
      </c>
      <c r="L183" s="113">
        <v>210594.09</v>
      </c>
      <c r="M183" s="113">
        <v>0</v>
      </c>
      <c r="N183" s="113">
        <v>1263564.54</v>
      </c>
      <c r="O183" s="113">
        <v>0</v>
      </c>
      <c r="P183" s="113">
        <v>0</v>
      </c>
    </row>
    <row r="184" spans="2:16" ht="13.9" customHeight="1" outlineLevel="1" x14ac:dyDescent="0.25">
      <c r="B184" s="149"/>
      <c r="C184" s="150" t="s">
        <v>60</v>
      </c>
      <c r="D184" s="85">
        <v>0</v>
      </c>
      <c r="E184" s="86">
        <v>0</v>
      </c>
      <c r="F184" s="142">
        <f t="shared" si="15"/>
        <v>0</v>
      </c>
      <c r="G184" s="113">
        <v>0</v>
      </c>
      <c r="H184" s="86">
        <v>0</v>
      </c>
      <c r="I184" s="113">
        <v>0</v>
      </c>
      <c r="J184" s="114">
        <f t="shared" si="16"/>
        <v>0</v>
      </c>
      <c r="K184" s="113">
        <f t="shared" si="17"/>
        <v>0</v>
      </c>
      <c r="L184" s="113">
        <v>0</v>
      </c>
      <c r="M184" s="113">
        <v>0</v>
      </c>
      <c r="N184" s="113">
        <v>0</v>
      </c>
      <c r="O184" s="113">
        <v>0</v>
      </c>
      <c r="P184" s="113">
        <v>0</v>
      </c>
    </row>
    <row r="185" spans="2:16" ht="13.9" customHeight="1" outlineLevel="1" x14ac:dyDescent="0.25">
      <c r="B185" s="149"/>
      <c r="C185" s="150" t="s">
        <v>61</v>
      </c>
      <c r="D185" s="85">
        <v>4</v>
      </c>
      <c r="E185" s="86">
        <v>19146432.439999998</v>
      </c>
      <c r="F185" s="142">
        <f t="shared" si="15"/>
        <v>1918694.2</v>
      </c>
      <c r="G185" s="113">
        <v>1918530.98</v>
      </c>
      <c r="H185" s="86">
        <v>17227901.460000001</v>
      </c>
      <c r="I185" s="113">
        <v>163.22</v>
      </c>
      <c r="J185" s="114">
        <f t="shared" si="16"/>
        <v>17227738.240000002</v>
      </c>
      <c r="K185" s="113">
        <f t="shared" si="17"/>
        <v>3425644.7900000028</v>
      </c>
      <c r="L185" s="113">
        <v>2314233.9899999998</v>
      </c>
      <c r="M185" s="113">
        <v>3429695.7299999995</v>
      </c>
      <c r="N185" s="113">
        <v>8058163.7300000004</v>
      </c>
      <c r="O185" s="113">
        <v>0</v>
      </c>
      <c r="P185" s="113">
        <v>0</v>
      </c>
    </row>
    <row r="186" spans="2:16" ht="13.9" customHeight="1" outlineLevel="1" x14ac:dyDescent="0.25">
      <c r="B186" s="149"/>
      <c r="C186" s="150" t="s">
        <v>62</v>
      </c>
      <c r="D186" s="85">
        <v>0</v>
      </c>
      <c r="E186" s="86">
        <v>0</v>
      </c>
      <c r="F186" s="142">
        <f t="shared" si="15"/>
        <v>0</v>
      </c>
      <c r="G186" s="113">
        <v>0</v>
      </c>
      <c r="H186" s="86">
        <v>0</v>
      </c>
      <c r="I186" s="113">
        <v>0</v>
      </c>
      <c r="J186" s="114">
        <f t="shared" si="16"/>
        <v>0</v>
      </c>
      <c r="K186" s="113">
        <f t="shared" si="17"/>
        <v>0</v>
      </c>
      <c r="L186" s="113">
        <v>0</v>
      </c>
      <c r="M186" s="113">
        <v>0</v>
      </c>
      <c r="N186" s="113">
        <v>0</v>
      </c>
      <c r="O186" s="113">
        <v>0</v>
      </c>
      <c r="P186" s="113">
        <v>0</v>
      </c>
    </row>
    <row r="187" spans="2:16" ht="13.9" customHeight="1" outlineLevel="1" x14ac:dyDescent="0.25">
      <c r="B187" s="149"/>
      <c r="C187" s="150" t="s">
        <v>63</v>
      </c>
      <c r="D187" s="85">
        <v>1</v>
      </c>
      <c r="E187" s="86">
        <v>4057383</v>
      </c>
      <c r="F187" s="142">
        <f t="shared" si="15"/>
        <v>405741</v>
      </c>
      <c r="G187" s="113">
        <v>405741</v>
      </c>
      <c r="H187" s="86">
        <v>3651642</v>
      </c>
      <c r="I187" s="113">
        <v>0</v>
      </c>
      <c r="J187" s="114">
        <f t="shared" si="16"/>
        <v>3651642</v>
      </c>
      <c r="K187" s="113">
        <f t="shared" si="17"/>
        <v>811473.90000000037</v>
      </c>
      <c r="L187" s="113">
        <v>405738.3</v>
      </c>
      <c r="M187" s="113">
        <v>811476.6</v>
      </c>
      <c r="N187" s="113">
        <v>1622953.2</v>
      </c>
      <c r="O187" s="113">
        <v>0</v>
      </c>
      <c r="P187" s="113">
        <v>0</v>
      </c>
    </row>
    <row r="188" spans="2:16" ht="13.9" customHeight="1" outlineLevel="1" x14ac:dyDescent="0.25">
      <c r="B188" s="149"/>
      <c r="C188" s="150" t="s">
        <v>64</v>
      </c>
      <c r="D188" s="85">
        <v>0</v>
      </c>
      <c r="E188" s="86">
        <v>0</v>
      </c>
      <c r="F188" s="142">
        <f t="shared" si="15"/>
        <v>0</v>
      </c>
      <c r="G188" s="113">
        <v>0</v>
      </c>
      <c r="H188" s="86">
        <v>0</v>
      </c>
      <c r="I188" s="113">
        <v>0</v>
      </c>
      <c r="J188" s="114">
        <f t="shared" si="16"/>
        <v>0</v>
      </c>
      <c r="K188" s="113">
        <f t="shared" si="17"/>
        <v>0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</row>
    <row r="189" spans="2:16" ht="13.9" customHeight="1" outlineLevel="1" x14ac:dyDescent="0.25">
      <c r="B189" s="149"/>
      <c r="C189" s="150" t="s">
        <v>65</v>
      </c>
      <c r="D189" s="85">
        <v>0</v>
      </c>
      <c r="E189" s="86">
        <v>0</v>
      </c>
      <c r="F189" s="142">
        <f t="shared" si="15"/>
        <v>0</v>
      </c>
      <c r="G189" s="113">
        <v>0</v>
      </c>
      <c r="H189" s="86">
        <v>0</v>
      </c>
      <c r="I189" s="113">
        <v>0</v>
      </c>
      <c r="J189" s="114">
        <f t="shared" si="16"/>
        <v>0</v>
      </c>
      <c r="K189" s="113">
        <f t="shared" si="17"/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</row>
    <row r="190" spans="2:16" ht="13.9" customHeight="1" outlineLevel="1" x14ac:dyDescent="0.25">
      <c r="B190" s="149"/>
      <c r="C190" s="150" t="s">
        <v>66</v>
      </c>
      <c r="D190" s="85">
        <v>0</v>
      </c>
      <c r="E190" s="86">
        <v>0</v>
      </c>
      <c r="F190" s="142">
        <f t="shared" si="15"/>
        <v>0</v>
      </c>
      <c r="G190" s="113">
        <v>0</v>
      </c>
      <c r="H190" s="86">
        <v>0</v>
      </c>
      <c r="I190" s="113">
        <v>0</v>
      </c>
      <c r="J190" s="114">
        <f t="shared" si="16"/>
        <v>0</v>
      </c>
      <c r="K190" s="113">
        <f t="shared" si="17"/>
        <v>0</v>
      </c>
      <c r="L190" s="113">
        <v>0</v>
      </c>
      <c r="M190" s="113">
        <v>0</v>
      </c>
      <c r="N190" s="113">
        <v>0</v>
      </c>
      <c r="O190" s="113">
        <v>0</v>
      </c>
      <c r="P190" s="113">
        <v>0</v>
      </c>
    </row>
    <row r="191" spans="2:16" ht="13.9" customHeight="1" outlineLevel="1" x14ac:dyDescent="0.25">
      <c r="B191" s="149"/>
      <c r="C191" s="150" t="s">
        <v>67</v>
      </c>
      <c r="D191" s="85">
        <v>0</v>
      </c>
      <c r="E191" s="86">
        <v>0</v>
      </c>
      <c r="F191" s="142">
        <f t="shared" si="15"/>
        <v>0</v>
      </c>
      <c r="G191" s="113">
        <v>0</v>
      </c>
      <c r="H191" s="86">
        <v>0</v>
      </c>
      <c r="I191" s="113">
        <v>0</v>
      </c>
      <c r="J191" s="114">
        <f t="shared" si="16"/>
        <v>0</v>
      </c>
      <c r="K191" s="113">
        <f t="shared" si="17"/>
        <v>0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</row>
    <row r="192" spans="2:16" ht="13.9" customHeight="1" x14ac:dyDescent="0.25">
      <c r="B192" s="149"/>
      <c r="C192" s="148" t="s">
        <v>103</v>
      </c>
      <c r="D192" s="90">
        <f>SUM(D155:D191)</f>
        <v>42</v>
      </c>
      <c r="E192" s="91">
        <f t="shared" ref="E192:P192" si="18">SUM(E155:E191)</f>
        <v>137032224.74000001</v>
      </c>
      <c r="F192" s="92">
        <f t="shared" si="18"/>
        <v>23848235.329999998</v>
      </c>
      <c r="G192" s="93">
        <f t="shared" si="18"/>
        <v>19886222.099999998</v>
      </c>
      <c r="H192" s="90">
        <f t="shared" si="18"/>
        <v>117146002.63999999</v>
      </c>
      <c r="I192" s="91">
        <f t="shared" si="18"/>
        <v>3962013.2299999995</v>
      </c>
      <c r="J192" s="92">
        <f t="shared" si="18"/>
        <v>113183989.41</v>
      </c>
      <c r="K192" s="93">
        <f t="shared" si="18"/>
        <v>17774570.780000009</v>
      </c>
      <c r="L192" s="90">
        <f t="shared" si="18"/>
        <v>27663001.93</v>
      </c>
      <c r="M192" s="91">
        <f t="shared" si="18"/>
        <v>23856862.710000005</v>
      </c>
      <c r="N192" s="90">
        <f t="shared" si="18"/>
        <v>28963321.370000001</v>
      </c>
      <c r="O192" s="91">
        <f t="shared" si="18"/>
        <v>12221302.419999998</v>
      </c>
      <c r="P192" s="91">
        <f t="shared" si="18"/>
        <v>2704930.2</v>
      </c>
    </row>
    <row r="193" spans="2:16" ht="13.9" customHeight="1" outlineLevel="1" x14ac:dyDescent="0.25">
      <c r="B193" s="149" t="s">
        <v>83</v>
      </c>
      <c r="C193" s="150" t="s">
        <v>70</v>
      </c>
      <c r="D193" s="85">
        <v>3</v>
      </c>
      <c r="E193" s="86">
        <v>10235427.35</v>
      </c>
      <c r="F193" s="142">
        <f t="shared" si="15"/>
        <v>1787047.2</v>
      </c>
      <c r="G193" s="113">
        <v>1784323.99</v>
      </c>
      <c r="H193" s="86">
        <v>8451103.3599999994</v>
      </c>
      <c r="I193" s="113">
        <v>2723.21</v>
      </c>
      <c r="J193" s="114">
        <f t="shared" si="16"/>
        <v>8448380.1499999985</v>
      </c>
      <c r="K193" s="113">
        <f t="shared" si="17"/>
        <v>1283580.9999999991</v>
      </c>
      <c r="L193" s="113">
        <v>1968110.74</v>
      </c>
      <c r="M193" s="113">
        <v>3466497.52</v>
      </c>
      <c r="N193" s="113">
        <v>1730190.89</v>
      </c>
      <c r="O193" s="113">
        <v>0</v>
      </c>
      <c r="P193" s="113">
        <v>0</v>
      </c>
    </row>
    <row r="194" spans="2:16" ht="13.9" customHeight="1" outlineLevel="1" x14ac:dyDescent="0.25">
      <c r="B194" s="149"/>
      <c r="C194" s="150" t="s">
        <v>71</v>
      </c>
      <c r="D194" s="85">
        <v>2</v>
      </c>
      <c r="E194" s="86">
        <v>22279422</v>
      </c>
      <c r="F194" s="142">
        <f t="shared" si="15"/>
        <v>3879238.8</v>
      </c>
      <c r="G194" s="113">
        <v>2804590</v>
      </c>
      <c r="H194" s="86">
        <v>19474832</v>
      </c>
      <c r="I194" s="113">
        <v>1074648.8</v>
      </c>
      <c r="J194" s="114">
        <f t="shared" si="16"/>
        <v>18400183.199999999</v>
      </c>
      <c r="K194" s="113">
        <f t="shared" si="17"/>
        <v>2804587.8000000007</v>
      </c>
      <c r="L194" s="113">
        <v>2227942.2000000002</v>
      </c>
      <c r="M194" s="113">
        <v>13367653.199999999</v>
      </c>
      <c r="N194" s="113">
        <v>0</v>
      </c>
      <c r="O194" s="113">
        <v>0</v>
      </c>
      <c r="P194" s="113">
        <v>0</v>
      </c>
    </row>
    <row r="195" spans="2:16" ht="13.9" customHeight="1" outlineLevel="1" x14ac:dyDescent="0.25">
      <c r="B195" s="149"/>
      <c r="C195" s="150" t="s">
        <v>72</v>
      </c>
      <c r="D195" s="85">
        <v>4</v>
      </c>
      <c r="E195" s="86">
        <v>5655463.2599999998</v>
      </c>
      <c r="F195" s="142">
        <f t="shared" si="15"/>
        <v>1120432.24</v>
      </c>
      <c r="G195" s="113">
        <v>865033.14</v>
      </c>
      <c r="H195" s="86">
        <v>4790430.1199999992</v>
      </c>
      <c r="I195" s="113">
        <v>255399.1</v>
      </c>
      <c r="J195" s="114">
        <f t="shared" si="16"/>
        <v>4535031.0199999996</v>
      </c>
      <c r="K195" s="113">
        <f t="shared" si="17"/>
        <v>710795.44999999925</v>
      </c>
      <c r="L195" s="113">
        <v>565546.31000000006</v>
      </c>
      <c r="M195" s="113">
        <v>275044.27</v>
      </c>
      <c r="N195" s="113">
        <v>2421822.71</v>
      </c>
      <c r="O195" s="113">
        <v>561822.28</v>
      </c>
      <c r="P195" s="113">
        <v>0</v>
      </c>
    </row>
    <row r="196" spans="2:16" ht="13.9" customHeight="1" x14ac:dyDescent="0.25">
      <c r="B196" s="149"/>
      <c r="C196" s="148" t="s">
        <v>104</v>
      </c>
      <c r="D196" s="90">
        <f>SUM(D193:D195)</f>
        <v>9</v>
      </c>
      <c r="E196" s="91">
        <f t="shared" ref="E196:P196" si="19">SUM(E193:E195)</f>
        <v>38170312.609999999</v>
      </c>
      <c r="F196" s="92">
        <f t="shared" si="19"/>
        <v>6786718.2400000002</v>
      </c>
      <c r="G196" s="93">
        <f t="shared" si="19"/>
        <v>5453947.1299999999</v>
      </c>
      <c r="H196" s="90">
        <f t="shared" si="19"/>
        <v>32716365.479999997</v>
      </c>
      <c r="I196" s="91">
        <f t="shared" si="19"/>
        <v>1332771.1100000001</v>
      </c>
      <c r="J196" s="92">
        <f t="shared" si="19"/>
        <v>31383594.369999997</v>
      </c>
      <c r="K196" s="93">
        <f t="shared" si="19"/>
        <v>4798964.2499999991</v>
      </c>
      <c r="L196" s="90">
        <f t="shared" si="19"/>
        <v>4761599.25</v>
      </c>
      <c r="M196" s="91">
        <f t="shared" si="19"/>
        <v>17109194.989999998</v>
      </c>
      <c r="N196" s="90">
        <f t="shared" si="19"/>
        <v>4152013.5999999996</v>
      </c>
      <c r="O196" s="91">
        <f t="shared" si="19"/>
        <v>561822.28</v>
      </c>
      <c r="P196" s="91">
        <f t="shared" si="19"/>
        <v>0</v>
      </c>
    </row>
    <row r="197" spans="2:16" ht="13.9" customHeight="1" outlineLevel="1" x14ac:dyDescent="0.25">
      <c r="B197" s="149" t="s">
        <v>105</v>
      </c>
      <c r="C197" s="150" t="s">
        <v>75</v>
      </c>
      <c r="D197" s="85">
        <v>1</v>
      </c>
      <c r="E197" s="86">
        <v>1296643.2</v>
      </c>
      <c r="F197" s="142">
        <f t="shared" si="15"/>
        <v>129665</v>
      </c>
      <c r="G197" s="113">
        <v>129665</v>
      </c>
      <c r="H197" s="86">
        <v>1166978.2</v>
      </c>
      <c r="I197" s="113">
        <v>0</v>
      </c>
      <c r="J197" s="114">
        <f t="shared" si="16"/>
        <v>1166978.2</v>
      </c>
      <c r="K197" s="113">
        <f t="shared" si="17"/>
        <v>259327.95999999996</v>
      </c>
      <c r="L197" s="113">
        <v>129664.32000000001</v>
      </c>
      <c r="M197" s="113">
        <v>259328.64000000001</v>
      </c>
      <c r="N197" s="113">
        <v>518657.28000000003</v>
      </c>
      <c r="O197" s="113">
        <v>0</v>
      </c>
      <c r="P197" s="113">
        <v>0</v>
      </c>
    </row>
    <row r="198" spans="2:16" ht="13.9" customHeight="1" outlineLevel="1" x14ac:dyDescent="0.25">
      <c r="B198" s="149"/>
      <c r="C198" s="150" t="s">
        <v>76</v>
      </c>
      <c r="D198" s="85">
        <v>3</v>
      </c>
      <c r="E198" s="86">
        <v>4543667.6900000004</v>
      </c>
      <c r="F198" s="142">
        <f t="shared" si="15"/>
        <v>908733.54</v>
      </c>
      <c r="G198" s="113">
        <v>898621.35000000009</v>
      </c>
      <c r="H198" s="86">
        <v>3645046.3400000003</v>
      </c>
      <c r="I198" s="113">
        <v>10112.19</v>
      </c>
      <c r="J198" s="114">
        <f t="shared" si="16"/>
        <v>3634934.1500000004</v>
      </c>
      <c r="K198" s="113">
        <f t="shared" si="17"/>
        <v>908733.54</v>
      </c>
      <c r="L198" s="113">
        <v>454366.76</v>
      </c>
      <c r="M198" s="113">
        <v>2271833.85</v>
      </c>
      <c r="N198" s="113">
        <v>0</v>
      </c>
      <c r="O198" s="113">
        <v>0</v>
      </c>
      <c r="P198" s="113">
        <v>0</v>
      </c>
    </row>
    <row r="199" spans="2:16" ht="13.9" customHeight="1" x14ac:dyDescent="0.25">
      <c r="B199" s="149"/>
      <c r="C199" s="148" t="s">
        <v>106</v>
      </c>
      <c r="D199" s="90">
        <f>SUM(D197:D198)</f>
        <v>4</v>
      </c>
      <c r="E199" s="91">
        <f t="shared" ref="E199:P199" si="20">SUM(E197:E198)</f>
        <v>5840310.8900000006</v>
      </c>
      <c r="F199" s="92">
        <f t="shared" si="20"/>
        <v>1038398.54</v>
      </c>
      <c r="G199" s="93">
        <f t="shared" si="20"/>
        <v>1028286.3500000001</v>
      </c>
      <c r="H199" s="90">
        <f t="shared" si="20"/>
        <v>4812024.54</v>
      </c>
      <c r="I199" s="91">
        <f t="shared" si="20"/>
        <v>10112.19</v>
      </c>
      <c r="J199" s="92">
        <f t="shared" si="20"/>
        <v>4801912.3500000006</v>
      </c>
      <c r="K199" s="93">
        <f t="shared" si="20"/>
        <v>1168061.5</v>
      </c>
      <c r="L199" s="90">
        <f t="shared" si="20"/>
        <v>584031.08000000007</v>
      </c>
      <c r="M199" s="91">
        <f t="shared" si="20"/>
        <v>2531162.4900000002</v>
      </c>
      <c r="N199" s="90">
        <f t="shared" si="20"/>
        <v>518657.28000000003</v>
      </c>
      <c r="O199" s="91">
        <f t="shared" si="20"/>
        <v>0</v>
      </c>
      <c r="P199" s="91">
        <f t="shared" si="20"/>
        <v>0</v>
      </c>
    </row>
    <row r="200" spans="2:16" ht="13.9" customHeight="1" x14ac:dyDescent="0.25">
      <c r="B200" s="155" t="s">
        <v>78</v>
      </c>
      <c r="C200" s="155"/>
      <c r="D200" s="90">
        <f>D192+D196+D199</f>
        <v>55</v>
      </c>
      <c r="E200" s="91">
        <f t="shared" ref="E200:P200" si="21">E192+E196+E199</f>
        <v>181042848.24000001</v>
      </c>
      <c r="F200" s="92">
        <f t="shared" si="21"/>
        <v>31673352.109999999</v>
      </c>
      <c r="G200" s="93">
        <f t="shared" si="21"/>
        <v>26368455.579999998</v>
      </c>
      <c r="H200" s="90">
        <f t="shared" si="21"/>
        <v>154674392.65999997</v>
      </c>
      <c r="I200" s="91">
        <f t="shared" si="21"/>
        <v>5304896.53</v>
      </c>
      <c r="J200" s="92">
        <f t="shared" si="21"/>
        <v>149369496.13</v>
      </c>
      <c r="K200" s="93">
        <f t="shared" si="21"/>
        <v>23741596.530000009</v>
      </c>
      <c r="L200" s="90">
        <f t="shared" si="21"/>
        <v>33008632.259999998</v>
      </c>
      <c r="M200" s="91">
        <f t="shared" si="21"/>
        <v>43497220.190000005</v>
      </c>
      <c r="N200" s="90">
        <f t="shared" si="21"/>
        <v>33633992.25</v>
      </c>
      <c r="O200" s="91">
        <f t="shared" si="21"/>
        <v>12783124.699999997</v>
      </c>
      <c r="P200" s="91">
        <f t="shared" si="21"/>
        <v>2704930.2</v>
      </c>
    </row>
    <row r="201" spans="2:16" ht="13.9" customHeight="1" x14ac:dyDescent="0.25"/>
    <row r="202" spans="2:16" ht="13.9" customHeight="1" x14ac:dyDescent="0.25"/>
    <row r="203" spans="2:16" ht="13.9" customHeight="1" x14ac:dyDescent="0.25">
      <c r="B203" s="107" t="s">
        <v>89</v>
      </c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</row>
    <row r="204" spans="2:16" ht="13.9" customHeight="1" x14ac:dyDescent="0.25">
      <c r="B204" s="154" t="s">
        <v>26</v>
      </c>
      <c r="C204" s="148" t="s">
        <v>27</v>
      </c>
      <c r="D204" s="109" t="s">
        <v>28</v>
      </c>
      <c r="E204" s="110" t="s">
        <v>29</v>
      </c>
      <c r="F204" s="111" t="s">
        <v>85</v>
      </c>
      <c r="G204" s="112" t="s">
        <v>81</v>
      </c>
      <c r="H204" s="110" t="s">
        <v>82</v>
      </c>
      <c r="I204" s="112" t="s">
        <v>86</v>
      </c>
      <c r="J204" s="110" t="s">
        <v>87</v>
      </c>
      <c r="K204" s="112">
        <v>2026</v>
      </c>
      <c r="L204" s="112">
        <v>2027</v>
      </c>
      <c r="M204" s="110">
        <v>2028</v>
      </c>
      <c r="N204" s="112">
        <v>2029</v>
      </c>
      <c r="O204" s="110">
        <v>2030</v>
      </c>
      <c r="P204" s="112">
        <v>2031</v>
      </c>
    </row>
    <row r="205" spans="2:16" ht="13.9" customHeight="1" outlineLevel="1" x14ac:dyDescent="0.25">
      <c r="B205" s="149" t="s">
        <v>30</v>
      </c>
      <c r="C205" s="150" t="s">
        <v>31</v>
      </c>
      <c r="D205" s="85">
        <v>0</v>
      </c>
      <c r="E205" s="86">
        <v>0</v>
      </c>
      <c r="F205" s="142">
        <f t="shared" ref="F205:F248" si="22">G205+I205</f>
        <v>0</v>
      </c>
      <c r="G205" s="113">
        <v>0</v>
      </c>
      <c r="H205" s="86">
        <v>0</v>
      </c>
      <c r="I205" s="113">
        <v>0</v>
      </c>
      <c r="J205" s="114">
        <f t="shared" ref="J205:J248" si="23">H205-I205</f>
        <v>0</v>
      </c>
      <c r="K205" s="113">
        <f t="shared" ref="K205:K248" si="24">MAX(J205-SUM(L205:P205),0)</f>
        <v>0</v>
      </c>
      <c r="L205" s="113">
        <v>0</v>
      </c>
      <c r="M205" s="113">
        <v>0</v>
      </c>
      <c r="N205" s="113">
        <v>0</v>
      </c>
      <c r="O205" s="113">
        <v>0</v>
      </c>
      <c r="P205" s="113">
        <v>0</v>
      </c>
    </row>
    <row r="206" spans="2:16" ht="13.9" customHeight="1" outlineLevel="1" x14ac:dyDescent="0.25">
      <c r="B206" s="149"/>
      <c r="C206" s="150" t="s">
        <v>32</v>
      </c>
      <c r="D206" s="85">
        <v>0</v>
      </c>
      <c r="E206" s="86">
        <v>0</v>
      </c>
      <c r="F206" s="142">
        <f t="shared" si="22"/>
        <v>0</v>
      </c>
      <c r="G206" s="113">
        <v>0</v>
      </c>
      <c r="H206" s="86">
        <v>0</v>
      </c>
      <c r="I206" s="113">
        <v>0</v>
      </c>
      <c r="J206" s="114">
        <f t="shared" si="23"/>
        <v>0</v>
      </c>
      <c r="K206" s="113">
        <f t="shared" si="24"/>
        <v>0</v>
      </c>
      <c r="L206" s="113">
        <v>0</v>
      </c>
      <c r="M206" s="113">
        <v>0</v>
      </c>
      <c r="N206" s="113">
        <v>0</v>
      </c>
      <c r="O206" s="113">
        <v>0</v>
      </c>
      <c r="P206" s="113">
        <v>0</v>
      </c>
    </row>
    <row r="207" spans="2:16" ht="13.9" customHeight="1" outlineLevel="1" x14ac:dyDescent="0.25">
      <c r="B207" s="149"/>
      <c r="C207" s="150" t="s">
        <v>33</v>
      </c>
      <c r="D207" s="85">
        <v>0</v>
      </c>
      <c r="E207" s="86">
        <v>0</v>
      </c>
      <c r="F207" s="142">
        <f t="shared" si="22"/>
        <v>0</v>
      </c>
      <c r="G207" s="113">
        <v>0</v>
      </c>
      <c r="H207" s="86">
        <v>0</v>
      </c>
      <c r="I207" s="113">
        <v>0</v>
      </c>
      <c r="J207" s="114">
        <f t="shared" si="23"/>
        <v>0</v>
      </c>
      <c r="K207" s="113">
        <f t="shared" si="24"/>
        <v>0</v>
      </c>
      <c r="L207" s="113">
        <v>0</v>
      </c>
      <c r="M207" s="113">
        <v>0</v>
      </c>
      <c r="N207" s="113">
        <v>0</v>
      </c>
      <c r="O207" s="113">
        <v>0</v>
      </c>
      <c r="P207" s="113">
        <v>0</v>
      </c>
    </row>
    <row r="208" spans="2:16" ht="13.9" customHeight="1" outlineLevel="1" x14ac:dyDescent="0.25">
      <c r="B208" s="149"/>
      <c r="C208" s="150" t="s">
        <v>34</v>
      </c>
      <c r="D208" s="85">
        <v>0</v>
      </c>
      <c r="E208" s="86">
        <v>0</v>
      </c>
      <c r="F208" s="142">
        <f t="shared" si="22"/>
        <v>0</v>
      </c>
      <c r="G208" s="113">
        <v>0</v>
      </c>
      <c r="H208" s="86">
        <v>0</v>
      </c>
      <c r="I208" s="113">
        <v>0</v>
      </c>
      <c r="J208" s="114">
        <f t="shared" si="23"/>
        <v>0</v>
      </c>
      <c r="K208" s="113">
        <f t="shared" si="24"/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</row>
    <row r="209" spans="2:16" ht="13.9" customHeight="1" outlineLevel="1" x14ac:dyDescent="0.25">
      <c r="B209" s="149"/>
      <c r="C209" s="150" t="s">
        <v>35</v>
      </c>
      <c r="D209" s="85">
        <v>0</v>
      </c>
      <c r="E209" s="86">
        <v>0</v>
      </c>
      <c r="F209" s="142">
        <f t="shared" si="22"/>
        <v>0</v>
      </c>
      <c r="G209" s="113">
        <v>0</v>
      </c>
      <c r="H209" s="86">
        <v>0</v>
      </c>
      <c r="I209" s="113">
        <v>0</v>
      </c>
      <c r="J209" s="114">
        <f t="shared" si="23"/>
        <v>0</v>
      </c>
      <c r="K209" s="113">
        <f t="shared" si="24"/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</row>
    <row r="210" spans="2:16" ht="13.9" customHeight="1" outlineLevel="1" x14ac:dyDescent="0.25">
      <c r="B210" s="149"/>
      <c r="C210" s="150" t="s">
        <v>36</v>
      </c>
      <c r="D210" s="85">
        <v>2</v>
      </c>
      <c r="E210" s="86">
        <v>16460218.5</v>
      </c>
      <c r="F210" s="142">
        <f t="shared" si="22"/>
        <v>4364336.7</v>
      </c>
      <c r="G210" s="113">
        <v>4364336.5</v>
      </c>
      <c r="H210" s="86">
        <v>12095882</v>
      </c>
      <c r="I210" s="113">
        <v>0.2</v>
      </c>
      <c r="J210" s="114">
        <f t="shared" si="23"/>
        <v>12095881.800000001</v>
      </c>
      <c r="K210" s="113">
        <f t="shared" si="24"/>
        <v>3045932.1000000015</v>
      </c>
      <c r="L210" s="113">
        <v>9049949.6999999993</v>
      </c>
      <c r="M210" s="113">
        <v>0</v>
      </c>
      <c r="N210" s="113">
        <v>0</v>
      </c>
      <c r="O210" s="113">
        <v>0</v>
      </c>
      <c r="P210" s="113">
        <v>0</v>
      </c>
    </row>
    <row r="211" spans="2:16" ht="13.9" customHeight="1" outlineLevel="1" x14ac:dyDescent="0.25">
      <c r="B211" s="149"/>
      <c r="C211" s="150" t="s">
        <v>37</v>
      </c>
      <c r="D211" s="85">
        <v>0</v>
      </c>
      <c r="E211" s="86">
        <v>0</v>
      </c>
      <c r="F211" s="142">
        <f t="shared" si="22"/>
        <v>0</v>
      </c>
      <c r="G211" s="113">
        <v>0</v>
      </c>
      <c r="H211" s="86">
        <v>0</v>
      </c>
      <c r="I211" s="113">
        <v>0</v>
      </c>
      <c r="J211" s="114">
        <f t="shared" si="23"/>
        <v>0</v>
      </c>
      <c r="K211" s="113">
        <f t="shared" si="24"/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</row>
    <row r="212" spans="2:16" ht="13.9" customHeight="1" outlineLevel="1" x14ac:dyDescent="0.25">
      <c r="B212" s="149"/>
      <c r="C212" s="150" t="s">
        <v>38</v>
      </c>
      <c r="D212" s="85">
        <v>0</v>
      </c>
      <c r="E212" s="86">
        <v>0</v>
      </c>
      <c r="F212" s="142">
        <f t="shared" si="22"/>
        <v>0</v>
      </c>
      <c r="G212" s="113">
        <v>0</v>
      </c>
      <c r="H212" s="86">
        <v>0</v>
      </c>
      <c r="I212" s="113">
        <v>0</v>
      </c>
      <c r="J212" s="114">
        <f t="shared" si="23"/>
        <v>0</v>
      </c>
      <c r="K212" s="113">
        <f t="shared" si="24"/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</row>
    <row r="213" spans="2:16" ht="13.9" customHeight="1" outlineLevel="1" x14ac:dyDescent="0.25">
      <c r="B213" s="149"/>
      <c r="C213" s="150" t="s">
        <v>39</v>
      </c>
      <c r="D213" s="85">
        <v>0</v>
      </c>
      <c r="E213" s="86">
        <v>0</v>
      </c>
      <c r="F213" s="142">
        <f t="shared" si="22"/>
        <v>0</v>
      </c>
      <c r="G213" s="113">
        <v>0</v>
      </c>
      <c r="H213" s="86">
        <v>0</v>
      </c>
      <c r="I213" s="113">
        <v>0</v>
      </c>
      <c r="J213" s="114">
        <f t="shared" si="23"/>
        <v>0</v>
      </c>
      <c r="K213" s="113">
        <f t="shared" si="24"/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</row>
    <row r="214" spans="2:16" ht="13.9" customHeight="1" outlineLevel="1" x14ac:dyDescent="0.25">
      <c r="B214" s="149"/>
      <c r="C214" s="150" t="s">
        <v>40</v>
      </c>
      <c r="D214" s="85">
        <v>0</v>
      </c>
      <c r="E214" s="86">
        <v>0</v>
      </c>
      <c r="F214" s="142">
        <f t="shared" si="22"/>
        <v>0</v>
      </c>
      <c r="G214" s="113">
        <v>0</v>
      </c>
      <c r="H214" s="86">
        <v>0</v>
      </c>
      <c r="I214" s="113">
        <v>0</v>
      </c>
      <c r="J214" s="114">
        <f t="shared" si="23"/>
        <v>0</v>
      </c>
      <c r="K214" s="113">
        <f t="shared" si="24"/>
        <v>0</v>
      </c>
      <c r="L214" s="113">
        <v>0</v>
      </c>
      <c r="M214" s="113">
        <v>0</v>
      </c>
      <c r="N214" s="113">
        <v>0</v>
      </c>
      <c r="O214" s="113">
        <v>0</v>
      </c>
      <c r="P214" s="113">
        <v>0</v>
      </c>
    </row>
    <row r="215" spans="2:16" ht="13.9" customHeight="1" outlineLevel="1" x14ac:dyDescent="0.25">
      <c r="B215" s="149"/>
      <c r="C215" s="150" t="s">
        <v>41</v>
      </c>
      <c r="D215" s="85">
        <v>0</v>
      </c>
      <c r="E215" s="86">
        <v>0</v>
      </c>
      <c r="F215" s="142">
        <f t="shared" si="22"/>
        <v>0</v>
      </c>
      <c r="G215" s="113">
        <v>0</v>
      </c>
      <c r="H215" s="86">
        <v>0</v>
      </c>
      <c r="I215" s="113">
        <v>0</v>
      </c>
      <c r="J215" s="114">
        <f t="shared" si="23"/>
        <v>0</v>
      </c>
      <c r="K215" s="113">
        <f t="shared" si="24"/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</row>
    <row r="216" spans="2:16" ht="13.9" customHeight="1" outlineLevel="1" x14ac:dyDescent="0.25">
      <c r="B216" s="149"/>
      <c r="C216" s="150" t="s">
        <v>42</v>
      </c>
      <c r="D216" s="85">
        <v>8</v>
      </c>
      <c r="E216" s="86">
        <v>17510469.449999999</v>
      </c>
      <c r="F216" s="142">
        <f t="shared" si="22"/>
        <v>4335021.38</v>
      </c>
      <c r="G216" s="113">
        <v>4335021.38</v>
      </c>
      <c r="H216" s="86">
        <v>13175448.07</v>
      </c>
      <c r="I216" s="113">
        <v>0</v>
      </c>
      <c r="J216" s="114">
        <f t="shared" si="23"/>
        <v>13175448.07</v>
      </c>
      <c r="K216" s="113">
        <f t="shared" si="24"/>
        <v>3502091.8300000019</v>
      </c>
      <c r="L216" s="113">
        <v>9673356.2399999984</v>
      </c>
      <c r="M216" s="113">
        <v>0</v>
      </c>
      <c r="N216" s="113">
        <v>0</v>
      </c>
      <c r="O216" s="113">
        <v>0</v>
      </c>
      <c r="P216" s="113">
        <v>0</v>
      </c>
    </row>
    <row r="217" spans="2:16" ht="13.9" customHeight="1" outlineLevel="1" x14ac:dyDescent="0.25">
      <c r="B217" s="149"/>
      <c r="C217" s="150" t="s">
        <v>43</v>
      </c>
      <c r="D217" s="85">
        <v>2</v>
      </c>
      <c r="E217" s="86">
        <v>11969038</v>
      </c>
      <c r="F217" s="142">
        <f t="shared" si="22"/>
        <v>3590711.4</v>
      </c>
      <c r="G217" s="113">
        <v>2845716</v>
      </c>
      <c r="H217" s="86">
        <v>9123322</v>
      </c>
      <c r="I217" s="113">
        <v>744995.4</v>
      </c>
      <c r="J217" s="114">
        <f t="shared" si="23"/>
        <v>8378326.5999999996</v>
      </c>
      <c r="K217" s="113">
        <f t="shared" si="24"/>
        <v>3908375.8</v>
      </c>
      <c r="L217" s="113">
        <v>4469950.8</v>
      </c>
      <c r="M217" s="113">
        <v>0</v>
      </c>
      <c r="N217" s="113">
        <v>0</v>
      </c>
      <c r="O217" s="113">
        <v>0</v>
      </c>
      <c r="P217" s="113">
        <v>0</v>
      </c>
    </row>
    <row r="218" spans="2:16" ht="13.9" customHeight="1" outlineLevel="1" x14ac:dyDescent="0.25">
      <c r="B218" s="149"/>
      <c r="C218" s="150" t="s">
        <v>44</v>
      </c>
      <c r="D218" s="85">
        <v>13</v>
      </c>
      <c r="E218" s="86">
        <v>42347285.049999997</v>
      </c>
      <c r="F218" s="142">
        <f t="shared" si="22"/>
        <v>11533425.050000001</v>
      </c>
      <c r="G218" s="113">
        <v>11530638.630000001</v>
      </c>
      <c r="H218" s="86">
        <v>30816646.420000002</v>
      </c>
      <c r="I218" s="113">
        <v>2786.42</v>
      </c>
      <c r="J218" s="114">
        <f t="shared" si="23"/>
        <v>30813860</v>
      </c>
      <c r="K218" s="113">
        <f t="shared" si="24"/>
        <v>6535568.0599999949</v>
      </c>
      <c r="L218" s="113">
        <v>4986789.3000000007</v>
      </c>
      <c r="M218" s="113">
        <v>19291502.640000004</v>
      </c>
      <c r="N218" s="113">
        <v>0</v>
      </c>
      <c r="O218" s="113">
        <v>0</v>
      </c>
      <c r="P218" s="113">
        <v>0</v>
      </c>
    </row>
    <row r="219" spans="2:16" ht="13.9" customHeight="1" outlineLevel="1" x14ac:dyDescent="0.25">
      <c r="B219" s="149"/>
      <c r="C219" s="150" t="s">
        <v>45</v>
      </c>
      <c r="D219" s="85">
        <v>17</v>
      </c>
      <c r="E219" s="86">
        <v>41800003.600000001</v>
      </c>
      <c r="F219" s="142">
        <f t="shared" si="22"/>
        <v>11206706.040000001</v>
      </c>
      <c r="G219" s="113">
        <v>10481969.48</v>
      </c>
      <c r="H219" s="86">
        <v>31318034.120000005</v>
      </c>
      <c r="I219" s="113">
        <v>724736.56</v>
      </c>
      <c r="J219" s="114">
        <f t="shared" si="23"/>
        <v>30593297.560000006</v>
      </c>
      <c r="K219" s="113">
        <f t="shared" si="24"/>
        <v>2239876.6300000064</v>
      </c>
      <c r="L219" s="113">
        <v>4180000.4099999997</v>
      </c>
      <c r="M219" s="113">
        <v>5686180.1100000003</v>
      </c>
      <c r="N219" s="113">
        <v>16738408.01</v>
      </c>
      <c r="O219" s="113">
        <v>1748832.4</v>
      </c>
      <c r="P219" s="113">
        <v>0</v>
      </c>
    </row>
    <row r="220" spans="2:16" ht="13.9" customHeight="1" outlineLevel="1" x14ac:dyDescent="0.25">
      <c r="B220" s="149"/>
      <c r="C220" s="150" t="s">
        <v>46</v>
      </c>
      <c r="D220" s="85">
        <v>0</v>
      </c>
      <c r="E220" s="86">
        <v>0</v>
      </c>
      <c r="F220" s="142">
        <f t="shared" si="22"/>
        <v>0</v>
      </c>
      <c r="G220" s="113">
        <v>0</v>
      </c>
      <c r="H220" s="86">
        <v>0</v>
      </c>
      <c r="I220" s="113">
        <v>0</v>
      </c>
      <c r="J220" s="114">
        <f t="shared" si="23"/>
        <v>0</v>
      </c>
      <c r="K220" s="113">
        <f t="shared" si="24"/>
        <v>0</v>
      </c>
      <c r="L220" s="113">
        <v>0</v>
      </c>
      <c r="M220" s="113">
        <v>0</v>
      </c>
      <c r="N220" s="113">
        <v>0</v>
      </c>
      <c r="O220" s="113">
        <v>0</v>
      </c>
      <c r="P220" s="113">
        <v>0</v>
      </c>
    </row>
    <row r="221" spans="2:16" ht="13.9" customHeight="1" outlineLevel="1" x14ac:dyDescent="0.25">
      <c r="B221" s="149"/>
      <c r="C221" s="150" t="s">
        <v>47</v>
      </c>
      <c r="D221" s="85">
        <v>6</v>
      </c>
      <c r="E221" s="86">
        <v>22633298.5</v>
      </c>
      <c r="F221" s="142">
        <f t="shared" si="22"/>
        <v>7042040.1699999999</v>
      </c>
      <c r="G221" s="113">
        <v>5962344.8799999999</v>
      </c>
      <c r="H221" s="86">
        <v>16670953.619999999</v>
      </c>
      <c r="I221" s="113">
        <v>1079695.29</v>
      </c>
      <c r="J221" s="114">
        <f t="shared" si="23"/>
        <v>15591258.329999998</v>
      </c>
      <c r="K221" s="113">
        <f t="shared" si="24"/>
        <v>15591258.329999998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</row>
    <row r="222" spans="2:16" ht="13.9" customHeight="1" outlineLevel="1" x14ac:dyDescent="0.25">
      <c r="B222" s="149"/>
      <c r="C222" s="150" t="s">
        <v>48</v>
      </c>
      <c r="D222" s="85">
        <v>6</v>
      </c>
      <c r="E222" s="86">
        <v>6909372</v>
      </c>
      <c r="F222" s="142">
        <f t="shared" si="22"/>
        <v>2411382.1800000002</v>
      </c>
      <c r="G222" s="113">
        <v>1955521.24</v>
      </c>
      <c r="H222" s="86">
        <v>4953850.76</v>
      </c>
      <c r="I222" s="113">
        <v>455860.94</v>
      </c>
      <c r="J222" s="114">
        <f t="shared" si="23"/>
        <v>4497989.8199999994</v>
      </c>
      <c r="K222" s="113">
        <f t="shared" si="24"/>
        <v>690934.55999999912</v>
      </c>
      <c r="L222" s="113">
        <v>3807055.2600000002</v>
      </c>
      <c r="M222" s="113">
        <v>0</v>
      </c>
      <c r="N222" s="113">
        <v>0</v>
      </c>
      <c r="O222" s="113">
        <v>0</v>
      </c>
      <c r="P222" s="113">
        <v>0</v>
      </c>
    </row>
    <row r="223" spans="2:16" ht="13.9" customHeight="1" outlineLevel="1" x14ac:dyDescent="0.25">
      <c r="B223" s="149"/>
      <c r="C223" s="150" t="s">
        <v>49</v>
      </c>
      <c r="D223" s="85">
        <v>0</v>
      </c>
      <c r="E223" s="86">
        <v>0</v>
      </c>
      <c r="F223" s="142">
        <f t="shared" si="22"/>
        <v>0</v>
      </c>
      <c r="G223" s="113">
        <v>0</v>
      </c>
      <c r="H223" s="86">
        <v>0</v>
      </c>
      <c r="I223" s="113">
        <v>0</v>
      </c>
      <c r="J223" s="114">
        <f t="shared" si="23"/>
        <v>0</v>
      </c>
      <c r="K223" s="113">
        <f t="shared" si="24"/>
        <v>0</v>
      </c>
      <c r="L223" s="113">
        <v>0</v>
      </c>
      <c r="M223" s="113">
        <v>0</v>
      </c>
      <c r="N223" s="113">
        <v>0</v>
      </c>
      <c r="O223" s="113">
        <v>0</v>
      </c>
      <c r="P223" s="113">
        <v>0</v>
      </c>
    </row>
    <row r="224" spans="2:16" ht="13.9" customHeight="1" outlineLevel="1" x14ac:dyDescent="0.25">
      <c r="B224" s="149"/>
      <c r="C224" s="150" t="s">
        <v>50</v>
      </c>
      <c r="D224" s="85">
        <v>1</v>
      </c>
      <c r="E224" s="86">
        <v>3517587</v>
      </c>
      <c r="F224" s="142">
        <f t="shared" si="22"/>
        <v>829367.8</v>
      </c>
      <c r="G224" s="113">
        <v>829367.8</v>
      </c>
      <c r="H224" s="86">
        <v>2688219.2</v>
      </c>
      <c r="I224" s="113">
        <v>0</v>
      </c>
      <c r="J224" s="114">
        <f t="shared" si="23"/>
        <v>2688219.2</v>
      </c>
      <c r="K224" s="113">
        <f t="shared" si="24"/>
        <v>0</v>
      </c>
      <c r="L224" s="113">
        <v>225908.3</v>
      </c>
      <c r="M224" s="113">
        <v>351758.7</v>
      </c>
      <c r="N224" s="113">
        <v>351758.7</v>
      </c>
      <c r="O224" s="113">
        <v>703517.4</v>
      </c>
      <c r="P224" s="113">
        <v>1055276.1000000001</v>
      </c>
    </row>
    <row r="225" spans="2:16" ht="13.9" customHeight="1" outlineLevel="1" x14ac:dyDescent="0.25">
      <c r="B225" s="149"/>
      <c r="C225" s="150" t="s">
        <v>51</v>
      </c>
      <c r="D225" s="85">
        <v>4</v>
      </c>
      <c r="E225" s="86">
        <v>4729335</v>
      </c>
      <c r="F225" s="142">
        <f t="shared" si="22"/>
        <v>1418800.5</v>
      </c>
      <c r="G225" s="113">
        <v>1084099.3899999999</v>
      </c>
      <c r="H225" s="86">
        <v>3645235.61</v>
      </c>
      <c r="I225" s="113">
        <v>334701.11</v>
      </c>
      <c r="J225" s="114">
        <f t="shared" si="23"/>
        <v>3310534.5</v>
      </c>
      <c r="K225" s="113">
        <f t="shared" si="24"/>
        <v>472933.5</v>
      </c>
      <c r="L225" s="113">
        <v>2837601</v>
      </c>
      <c r="M225" s="113">
        <v>0</v>
      </c>
      <c r="N225" s="113">
        <v>0</v>
      </c>
      <c r="O225" s="113">
        <v>0</v>
      </c>
      <c r="P225" s="113">
        <v>0</v>
      </c>
    </row>
    <row r="226" spans="2:16" ht="13.9" customHeight="1" outlineLevel="1" x14ac:dyDescent="0.25">
      <c r="B226" s="149"/>
      <c r="C226" s="150" t="s">
        <v>52</v>
      </c>
      <c r="D226" s="85">
        <v>4</v>
      </c>
      <c r="E226" s="86">
        <v>12294741.1</v>
      </c>
      <c r="F226" s="142">
        <f t="shared" si="22"/>
        <v>2473018.41</v>
      </c>
      <c r="G226" s="113">
        <v>2473018.41</v>
      </c>
      <c r="H226" s="86">
        <v>9821722.6899999995</v>
      </c>
      <c r="I226" s="113">
        <v>0</v>
      </c>
      <c r="J226" s="114">
        <f t="shared" si="23"/>
        <v>9821722.6899999995</v>
      </c>
      <c r="K226" s="113">
        <f t="shared" si="24"/>
        <v>1215403.92</v>
      </c>
      <c r="L226" s="113">
        <v>1229474.1099999999</v>
      </c>
      <c r="M226" s="113">
        <v>1763048.12</v>
      </c>
      <c r="N226" s="113">
        <v>5613796.54</v>
      </c>
      <c r="O226" s="113">
        <v>0</v>
      </c>
      <c r="P226" s="113">
        <v>0</v>
      </c>
    </row>
    <row r="227" spans="2:16" ht="13.9" customHeight="1" outlineLevel="1" x14ac:dyDescent="0.25">
      <c r="B227" s="149"/>
      <c r="C227" s="150" t="s">
        <v>53</v>
      </c>
      <c r="D227" s="85">
        <v>2</v>
      </c>
      <c r="E227" s="86">
        <v>6486563.25</v>
      </c>
      <c r="F227" s="142">
        <f t="shared" si="22"/>
        <v>1611553.78</v>
      </c>
      <c r="G227" s="113">
        <v>1611553</v>
      </c>
      <c r="H227" s="86">
        <v>4875010.25</v>
      </c>
      <c r="I227" s="113">
        <v>0.78</v>
      </c>
      <c r="J227" s="114">
        <f t="shared" si="23"/>
        <v>4875009.47</v>
      </c>
      <c r="K227" s="113">
        <f t="shared" si="24"/>
        <v>648614.1099999994</v>
      </c>
      <c r="L227" s="113">
        <v>1297312.6600000001</v>
      </c>
      <c r="M227" s="113">
        <v>2929082.7</v>
      </c>
      <c r="N227" s="113">
        <v>0</v>
      </c>
      <c r="O227" s="113">
        <v>0</v>
      </c>
      <c r="P227" s="113">
        <v>0</v>
      </c>
    </row>
    <row r="228" spans="2:16" ht="13.9" customHeight="1" outlineLevel="1" x14ac:dyDescent="0.25">
      <c r="B228" s="149"/>
      <c r="C228" s="150" t="s">
        <v>54</v>
      </c>
      <c r="D228" s="85">
        <v>9</v>
      </c>
      <c r="E228" s="86">
        <v>23162808.959999997</v>
      </c>
      <c r="F228" s="142">
        <f t="shared" si="22"/>
        <v>4716498.24</v>
      </c>
      <c r="G228" s="113">
        <v>4716498.24</v>
      </c>
      <c r="H228" s="86">
        <v>18446310.719999999</v>
      </c>
      <c r="I228" s="113">
        <v>0</v>
      </c>
      <c r="J228" s="114">
        <f t="shared" si="23"/>
        <v>18446310.719999999</v>
      </c>
      <c r="K228" s="113">
        <f t="shared" si="24"/>
        <v>2232344.3699999992</v>
      </c>
      <c r="L228" s="113">
        <v>2316280.92</v>
      </c>
      <c r="M228" s="113">
        <v>3948618.14</v>
      </c>
      <c r="N228" s="113">
        <v>9949067.2899999991</v>
      </c>
      <c r="O228" s="113">
        <v>0</v>
      </c>
      <c r="P228" s="113">
        <v>0</v>
      </c>
    </row>
    <row r="229" spans="2:16" ht="13.9" customHeight="1" outlineLevel="1" x14ac:dyDescent="0.25">
      <c r="B229" s="149"/>
      <c r="C229" s="150" t="s">
        <v>55</v>
      </c>
      <c r="D229" s="85">
        <v>2</v>
      </c>
      <c r="E229" s="86">
        <v>7903794.1500000004</v>
      </c>
      <c r="F229" s="142">
        <f t="shared" si="22"/>
        <v>1583111.47</v>
      </c>
      <c r="G229" s="113">
        <v>1583111.47</v>
      </c>
      <c r="H229" s="86">
        <v>6320682.6799999997</v>
      </c>
      <c r="I229" s="113">
        <v>0</v>
      </c>
      <c r="J229" s="114">
        <f t="shared" si="23"/>
        <v>6320682.6799999997</v>
      </c>
      <c r="K229" s="113">
        <f t="shared" si="24"/>
        <v>788026.76999999955</v>
      </c>
      <c r="L229" s="113">
        <v>790379.41999999993</v>
      </c>
      <c r="M229" s="113">
        <v>0</v>
      </c>
      <c r="N229" s="113">
        <v>0</v>
      </c>
      <c r="O229" s="113">
        <v>4742276.49</v>
      </c>
      <c r="P229" s="113">
        <v>0</v>
      </c>
    </row>
    <row r="230" spans="2:16" ht="13.9" customHeight="1" outlineLevel="1" x14ac:dyDescent="0.25">
      <c r="B230" s="149"/>
      <c r="C230" s="150" t="s">
        <v>56</v>
      </c>
      <c r="D230" s="85">
        <v>0</v>
      </c>
      <c r="E230" s="86">
        <v>0</v>
      </c>
      <c r="F230" s="142">
        <f t="shared" si="22"/>
        <v>0</v>
      </c>
      <c r="G230" s="113">
        <v>0</v>
      </c>
      <c r="H230" s="86">
        <v>0</v>
      </c>
      <c r="I230" s="113">
        <v>0</v>
      </c>
      <c r="J230" s="114">
        <f t="shared" si="23"/>
        <v>0</v>
      </c>
      <c r="K230" s="113">
        <f t="shared" si="24"/>
        <v>0</v>
      </c>
      <c r="L230" s="113">
        <v>0</v>
      </c>
      <c r="M230" s="113">
        <v>0</v>
      </c>
      <c r="N230" s="113">
        <v>0</v>
      </c>
      <c r="O230" s="113">
        <v>0</v>
      </c>
      <c r="P230" s="113">
        <v>0</v>
      </c>
    </row>
    <row r="231" spans="2:16" ht="13.9" customHeight="1" outlineLevel="1" x14ac:dyDescent="0.25">
      <c r="B231" s="149"/>
      <c r="C231" s="150" t="s">
        <v>57</v>
      </c>
      <c r="D231" s="85">
        <v>0</v>
      </c>
      <c r="E231" s="86">
        <v>0</v>
      </c>
      <c r="F231" s="142">
        <f t="shared" si="22"/>
        <v>0</v>
      </c>
      <c r="G231" s="113">
        <v>0</v>
      </c>
      <c r="H231" s="86">
        <v>0</v>
      </c>
      <c r="I231" s="113">
        <v>0</v>
      </c>
      <c r="J231" s="114">
        <f t="shared" si="23"/>
        <v>0</v>
      </c>
      <c r="K231" s="113">
        <f t="shared" si="24"/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</row>
    <row r="232" spans="2:16" ht="13.9" customHeight="1" outlineLevel="1" x14ac:dyDescent="0.25">
      <c r="B232" s="149"/>
      <c r="C232" s="150" t="s">
        <v>58</v>
      </c>
      <c r="D232" s="85">
        <v>3</v>
      </c>
      <c r="E232" s="86">
        <v>7929574</v>
      </c>
      <c r="F232" s="142">
        <f t="shared" si="22"/>
        <v>1592906</v>
      </c>
      <c r="G232" s="113">
        <v>1592906</v>
      </c>
      <c r="H232" s="86">
        <v>6336668</v>
      </c>
      <c r="I232" s="113">
        <v>0</v>
      </c>
      <c r="J232" s="114">
        <f t="shared" si="23"/>
        <v>6336668</v>
      </c>
      <c r="K232" s="113">
        <f t="shared" si="24"/>
        <v>785966.20000000019</v>
      </c>
      <c r="L232" s="113">
        <v>792957.4</v>
      </c>
      <c r="M232" s="113">
        <v>792957.4</v>
      </c>
      <c r="N232" s="113">
        <v>3964787</v>
      </c>
      <c r="O232" s="113">
        <v>0</v>
      </c>
      <c r="P232" s="113">
        <v>0</v>
      </c>
    </row>
    <row r="233" spans="2:16" ht="13.9" customHeight="1" outlineLevel="1" x14ac:dyDescent="0.25">
      <c r="B233" s="149"/>
      <c r="C233" s="150" t="s">
        <v>59</v>
      </c>
      <c r="D233" s="85">
        <v>1</v>
      </c>
      <c r="E233" s="86">
        <v>2589810.2999999998</v>
      </c>
      <c r="F233" s="142">
        <f t="shared" si="22"/>
        <v>517981</v>
      </c>
      <c r="G233" s="113">
        <v>517981</v>
      </c>
      <c r="H233" s="86">
        <v>2071829.2999999998</v>
      </c>
      <c r="I233" s="113">
        <v>0</v>
      </c>
      <c r="J233" s="114">
        <f t="shared" si="23"/>
        <v>2071829.2999999998</v>
      </c>
      <c r="K233" s="113">
        <f t="shared" si="24"/>
        <v>258962.08999999985</v>
      </c>
      <c r="L233" s="113">
        <v>258981.03</v>
      </c>
      <c r="M233" s="113">
        <v>258981.03</v>
      </c>
      <c r="N233" s="113">
        <v>1294905.1499999999</v>
      </c>
      <c r="O233" s="113">
        <v>0</v>
      </c>
      <c r="P233" s="113">
        <v>0</v>
      </c>
    </row>
    <row r="234" spans="2:16" ht="13.9" customHeight="1" outlineLevel="1" x14ac:dyDescent="0.25">
      <c r="B234" s="149"/>
      <c r="C234" s="150" t="s">
        <v>60</v>
      </c>
      <c r="D234" s="85">
        <v>0</v>
      </c>
      <c r="E234" s="86">
        <v>0</v>
      </c>
      <c r="F234" s="142">
        <f t="shared" si="22"/>
        <v>0</v>
      </c>
      <c r="G234" s="113">
        <v>0</v>
      </c>
      <c r="H234" s="86">
        <v>0</v>
      </c>
      <c r="I234" s="113">
        <v>0</v>
      </c>
      <c r="J234" s="114">
        <f t="shared" si="23"/>
        <v>0</v>
      </c>
      <c r="K234" s="113">
        <f t="shared" si="24"/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</row>
    <row r="235" spans="2:16" ht="13.9" customHeight="1" outlineLevel="1" x14ac:dyDescent="0.25">
      <c r="B235" s="149"/>
      <c r="C235" s="150" t="s">
        <v>61</v>
      </c>
      <c r="D235" s="85">
        <v>1</v>
      </c>
      <c r="E235" s="86">
        <v>3995907.5</v>
      </c>
      <c r="F235" s="142">
        <f t="shared" si="22"/>
        <v>813329.9</v>
      </c>
      <c r="G235" s="113">
        <v>813329.9</v>
      </c>
      <c r="H235" s="86">
        <v>3182577.6</v>
      </c>
      <c r="I235" s="113">
        <v>0</v>
      </c>
      <c r="J235" s="114">
        <f t="shared" si="23"/>
        <v>3182577.6</v>
      </c>
      <c r="K235" s="113">
        <f t="shared" si="24"/>
        <v>385442.35000000009</v>
      </c>
      <c r="L235" s="113">
        <v>399590.75</v>
      </c>
      <c r="M235" s="113">
        <v>799181.5</v>
      </c>
      <c r="N235" s="113">
        <v>1598363</v>
      </c>
      <c r="O235" s="113">
        <v>0</v>
      </c>
      <c r="P235" s="113">
        <v>0</v>
      </c>
    </row>
    <row r="236" spans="2:16" ht="13.9" customHeight="1" outlineLevel="1" x14ac:dyDescent="0.25">
      <c r="B236" s="149"/>
      <c r="C236" s="150" t="s">
        <v>62</v>
      </c>
      <c r="D236" s="85">
        <v>0</v>
      </c>
      <c r="E236" s="86">
        <v>0</v>
      </c>
      <c r="F236" s="142">
        <f t="shared" si="22"/>
        <v>0</v>
      </c>
      <c r="G236" s="113">
        <v>0</v>
      </c>
      <c r="H236" s="86">
        <v>0</v>
      </c>
      <c r="I236" s="113">
        <v>0</v>
      </c>
      <c r="J236" s="114">
        <f t="shared" si="23"/>
        <v>0</v>
      </c>
      <c r="K236" s="113">
        <f t="shared" si="24"/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</row>
    <row r="237" spans="2:16" ht="13.9" customHeight="1" outlineLevel="1" x14ac:dyDescent="0.25">
      <c r="B237" s="149"/>
      <c r="C237" s="150" t="s">
        <v>63</v>
      </c>
      <c r="D237" s="85">
        <v>0</v>
      </c>
      <c r="E237" s="86">
        <v>0</v>
      </c>
      <c r="F237" s="142">
        <f t="shared" si="22"/>
        <v>0</v>
      </c>
      <c r="G237" s="113">
        <v>0</v>
      </c>
      <c r="H237" s="86">
        <v>0</v>
      </c>
      <c r="I237" s="113">
        <v>0</v>
      </c>
      <c r="J237" s="114">
        <f t="shared" si="23"/>
        <v>0</v>
      </c>
      <c r="K237" s="113">
        <f t="shared" si="24"/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</row>
    <row r="238" spans="2:16" ht="13.9" customHeight="1" outlineLevel="1" x14ac:dyDescent="0.25">
      <c r="B238" s="149"/>
      <c r="C238" s="150" t="s">
        <v>64</v>
      </c>
      <c r="D238" s="85">
        <v>0</v>
      </c>
      <c r="E238" s="86">
        <v>0</v>
      </c>
      <c r="F238" s="142">
        <f t="shared" si="22"/>
        <v>0</v>
      </c>
      <c r="G238" s="113">
        <v>0</v>
      </c>
      <c r="H238" s="86">
        <v>0</v>
      </c>
      <c r="I238" s="113">
        <v>0</v>
      </c>
      <c r="J238" s="114">
        <f t="shared" si="23"/>
        <v>0</v>
      </c>
      <c r="K238" s="113">
        <f t="shared" si="24"/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</row>
    <row r="239" spans="2:16" ht="13.9" customHeight="1" outlineLevel="1" x14ac:dyDescent="0.25">
      <c r="B239" s="149"/>
      <c r="C239" s="150" t="s">
        <v>65</v>
      </c>
      <c r="D239" s="85">
        <v>0</v>
      </c>
      <c r="E239" s="86">
        <v>0</v>
      </c>
      <c r="F239" s="142">
        <f t="shared" si="22"/>
        <v>0</v>
      </c>
      <c r="G239" s="113">
        <v>0</v>
      </c>
      <c r="H239" s="86">
        <v>0</v>
      </c>
      <c r="I239" s="113">
        <v>0</v>
      </c>
      <c r="J239" s="114">
        <f t="shared" si="23"/>
        <v>0</v>
      </c>
      <c r="K239" s="113">
        <f t="shared" si="24"/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</row>
    <row r="240" spans="2:16" ht="13.9" customHeight="1" outlineLevel="1" x14ac:dyDescent="0.25">
      <c r="B240" s="149"/>
      <c r="C240" s="150" t="s">
        <v>66</v>
      </c>
      <c r="D240" s="85">
        <v>0</v>
      </c>
      <c r="E240" s="86">
        <v>0</v>
      </c>
      <c r="F240" s="142">
        <f t="shared" si="22"/>
        <v>0</v>
      </c>
      <c r="G240" s="113">
        <v>0</v>
      </c>
      <c r="H240" s="86">
        <v>0</v>
      </c>
      <c r="I240" s="113">
        <v>0</v>
      </c>
      <c r="J240" s="114">
        <f t="shared" si="23"/>
        <v>0</v>
      </c>
      <c r="K240" s="113">
        <f t="shared" si="24"/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</row>
    <row r="241" spans="2:16" ht="13.9" customHeight="1" outlineLevel="1" x14ac:dyDescent="0.25">
      <c r="B241" s="149"/>
      <c r="C241" s="150" t="s">
        <v>67</v>
      </c>
      <c r="D241" s="85">
        <v>0</v>
      </c>
      <c r="E241" s="86">
        <v>0</v>
      </c>
      <c r="F241" s="142">
        <f t="shared" si="22"/>
        <v>0</v>
      </c>
      <c r="G241" s="113">
        <v>0</v>
      </c>
      <c r="H241" s="86">
        <v>0</v>
      </c>
      <c r="I241" s="113">
        <v>0</v>
      </c>
      <c r="J241" s="114">
        <f t="shared" si="23"/>
        <v>0</v>
      </c>
      <c r="K241" s="113">
        <f t="shared" si="24"/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</row>
    <row r="242" spans="2:16" ht="13.9" customHeight="1" x14ac:dyDescent="0.25">
      <c r="B242" s="149"/>
      <c r="C242" s="148" t="s">
        <v>103</v>
      </c>
      <c r="D242" s="90">
        <f>SUM(D205:D241)</f>
        <v>81</v>
      </c>
      <c r="E242" s="91">
        <f t="shared" ref="E242:P242" si="25">SUM(E205:E241)</f>
        <v>232239806.36000001</v>
      </c>
      <c r="F242" s="92">
        <f t="shared" si="25"/>
        <v>60040190.019999996</v>
      </c>
      <c r="G242" s="93">
        <f t="shared" si="25"/>
        <v>56697413.319999993</v>
      </c>
      <c r="H242" s="90">
        <f t="shared" si="25"/>
        <v>175542393.04000005</v>
      </c>
      <c r="I242" s="91">
        <f t="shared" si="25"/>
        <v>3342776.6999999997</v>
      </c>
      <c r="J242" s="92">
        <f t="shared" si="25"/>
        <v>172199616.34</v>
      </c>
      <c r="K242" s="93">
        <f t="shared" si="25"/>
        <v>42301730.620000012</v>
      </c>
      <c r="L242" s="90">
        <f t="shared" si="25"/>
        <v>46315587.300000004</v>
      </c>
      <c r="M242" s="91">
        <f t="shared" si="25"/>
        <v>35821310.340000004</v>
      </c>
      <c r="N242" s="90">
        <f t="shared" si="25"/>
        <v>39511085.689999998</v>
      </c>
      <c r="O242" s="91">
        <f t="shared" si="25"/>
        <v>7194626.29</v>
      </c>
      <c r="P242" s="91">
        <f t="shared" si="25"/>
        <v>1055276.1000000001</v>
      </c>
    </row>
    <row r="243" spans="2:16" ht="13.9" customHeight="1" outlineLevel="1" x14ac:dyDescent="0.25">
      <c r="B243" s="149" t="s">
        <v>83</v>
      </c>
      <c r="C243" s="150" t="s">
        <v>70</v>
      </c>
      <c r="D243" s="85">
        <v>6</v>
      </c>
      <c r="E243" s="86">
        <v>12934673.239999998</v>
      </c>
      <c r="F243" s="142">
        <f t="shared" si="22"/>
        <v>2586943.7800000003</v>
      </c>
      <c r="G243" s="113">
        <v>2586943.7800000003</v>
      </c>
      <c r="H243" s="86">
        <v>10347729.460000001</v>
      </c>
      <c r="I243" s="113">
        <v>0</v>
      </c>
      <c r="J243" s="114">
        <f t="shared" si="23"/>
        <v>10347729.460000001</v>
      </c>
      <c r="K243" s="113">
        <f t="shared" si="24"/>
        <v>1534484.0000000019</v>
      </c>
      <c r="L243" s="113">
        <v>5914341.4799999995</v>
      </c>
      <c r="M243" s="113">
        <v>2898903.98</v>
      </c>
      <c r="N243" s="113">
        <v>0</v>
      </c>
      <c r="O243" s="113">
        <v>0</v>
      </c>
      <c r="P243" s="113">
        <v>0</v>
      </c>
    </row>
    <row r="244" spans="2:16" ht="13.9" customHeight="1" outlineLevel="1" x14ac:dyDescent="0.25">
      <c r="B244" s="149"/>
      <c r="C244" s="150" t="s">
        <v>71</v>
      </c>
      <c r="D244" s="85">
        <v>0</v>
      </c>
      <c r="E244" s="86">
        <v>0</v>
      </c>
      <c r="F244" s="142">
        <f t="shared" si="22"/>
        <v>0</v>
      </c>
      <c r="G244" s="113">
        <v>0</v>
      </c>
      <c r="H244" s="86">
        <v>0</v>
      </c>
      <c r="I244" s="113">
        <v>0</v>
      </c>
      <c r="J244" s="114">
        <f t="shared" si="23"/>
        <v>0</v>
      </c>
      <c r="K244" s="113">
        <f t="shared" si="24"/>
        <v>0</v>
      </c>
      <c r="L244" s="113">
        <v>0</v>
      </c>
      <c r="M244" s="113">
        <v>0</v>
      </c>
      <c r="N244" s="113">
        <v>0</v>
      </c>
      <c r="O244" s="113">
        <v>0</v>
      </c>
      <c r="P244" s="113">
        <v>0</v>
      </c>
    </row>
    <row r="245" spans="2:16" ht="13.9" customHeight="1" outlineLevel="1" x14ac:dyDescent="0.25">
      <c r="B245" s="149"/>
      <c r="C245" s="150" t="s">
        <v>72</v>
      </c>
      <c r="D245" s="85">
        <v>9</v>
      </c>
      <c r="E245" s="86">
        <v>14523366.390000001</v>
      </c>
      <c r="F245" s="142">
        <f t="shared" si="22"/>
        <v>3181093.9200000004</v>
      </c>
      <c r="G245" s="113">
        <v>2959195.3200000003</v>
      </c>
      <c r="H245" s="86">
        <v>11564171.070000002</v>
      </c>
      <c r="I245" s="113">
        <v>221898.59999999998</v>
      </c>
      <c r="J245" s="114">
        <f t="shared" si="23"/>
        <v>11342272.470000003</v>
      </c>
      <c r="K245" s="113">
        <f t="shared" si="24"/>
        <v>1324814.6100000013</v>
      </c>
      <c r="L245" s="113">
        <v>1710973.74</v>
      </c>
      <c r="M245" s="113">
        <v>2102417.7199999997</v>
      </c>
      <c r="N245" s="113">
        <v>5359432.07</v>
      </c>
      <c r="O245" s="113">
        <v>844634.33</v>
      </c>
      <c r="P245" s="113">
        <v>0</v>
      </c>
    </row>
    <row r="246" spans="2:16" ht="13.9" customHeight="1" x14ac:dyDescent="0.25">
      <c r="B246" s="149"/>
      <c r="C246" s="148" t="s">
        <v>104</v>
      </c>
      <c r="D246" s="90">
        <f>SUM(D243:D245)</f>
        <v>15</v>
      </c>
      <c r="E246" s="91">
        <f t="shared" ref="E246:P246" si="26">SUM(E243:E245)</f>
        <v>27458039.629999999</v>
      </c>
      <c r="F246" s="92">
        <f t="shared" si="26"/>
        <v>5768037.7000000011</v>
      </c>
      <c r="G246" s="93">
        <f t="shared" si="26"/>
        <v>5546139.1000000006</v>
      </c>
      <c r="H246" s="90">
        <f t="shared" si="26"/>
        <v>21911900.530000001</v>
      </c>
      <c r="I246" s="91">
        <f t="shared" si="26"/>
        <v>221898.59999999998</v>
      </c>
      <c r="J246" s="92">
        <f t="shared" si="26"/>
        <v>21690001.930000003</v>
      </c>
      <c r="K246" s="93">
        <f t="shared" si="26"/>
        <v>2859298.6100000031</v>
      </c>
      <c r="L246" s="90">
        <f t="shared" si="26"/>
        <v>7625315.2199999997</v>
      </c>
      <c r="M246" s="91">
        <f t="shared" si="26"/>
        <v>5001321.6999999993</v>
      </c>
      <c r="N246" s="90">
        <f t="shared" si="26"/>
        <v>5359432.07</v>
      </c>
      <c r="O246" s="91">
        <f t="shared" si="26"/>
        <v>844634.33</v>
      </c>
      <c r="P246" s="91">
        <f t="shared" si="26"/>
        <v>0</v>
      </c>
    </row>
    <row r="247" spans="2:16" ht="13.9" customHeight="1" outlineLevel="1" x14ac:dyDescent="0.25">
      <c r="B247" s="149" t="s">
        <v>105</v>
      </c>
      <c r="C247" s="150" t="s">
        <v>75</v>
      </c>
      <c r="D247" s="85">
        <v>0</v>
      </c>
      <c r="E247" s="86">
        <v>0</v>
      </c>
      <c r="F247" s="142">
        <f t="shared" si="22"/>
        <v>0</v>
      </c>
      <c r="G247" s="113">
        <v>0</v>
      </c>
      <c r="H247" s="86">
        <v>0</v>
      </c>
      <c r="I247" s="113">
        <v>0</v>
      </c>
      <c r="J247" s="114">
        <f t="shared" si="23"/>
        <v>0</v>
      </c>
      <c r="K247" s="113">
        <f t="shared" si="24"/>
        <v>0</v>
      </c>
      <c r="L247" s="113">
        <v>0</v>
      </c>
      <c r="M247" s="113">
        <v>0</v>
      </c>
      <c r="N247" s="113">
        <v>0</v>
      </c>
      <c r="O247" s="113">
        <v>0</v>
      </c>
      <c r="P247" s="113">
        <v>0</v>
      </c>
    </row>
    <row r="248" spans="2:16" ht="13.9" customHeight="1" outlineLevel="1" x14ac:dyDescent="0.25">
      <c r="B248" s="149"/>
      <c r="C248" s="150" t="s">
        <v>76</v>
      </c>
      <c r="D248" s="85">
        <v>8</v>
      </c>
      <c r="E248" s="86">
        <v>18116532.690000001</v>
      </c>
      <c r="F248" s="142">
        <f t="shared" si="22"/>
        <v>3793588.33</v>
      </c>
      <c r="G248" s="113">
        <v>3790558.77</v>
      </c>
      <c r="H248" s="86">
        <v>14325973.920000002</v>
      </c>
      <c r="I248" s="113">
        <v>3029.56</v>
      </c>
      <c r="J248" s="114">
        <f t="shared" si="23"/>
        <v>14322944.360000001</v>
      </c>
      <c r="K248" s="113">
        <f t="shared" si="24"/>
        <v>3608174.3200000003</v>
      </c>
      <c r="L248" s="113">
        <v>1811653.2600000002</v>
      </c>
      <c r="M248" s="113">
        <v>8903116.7800000012</v>
      </c>
      <c r="N248" s="113">
        <v>0</v>
      </c>
      <c r="O248" s="113">
        <v>0</v>
      </c>
      <c r="P248" s="113">
        <v>0</v>
      </c>
    </row>
    <row r="249" spans="2:16" ht="13.9" customHeight="1" x14ac:dyDescent="0.25">
      <c r="B249" s="149"/>
      <c r="C249" s="148" t="s">
        <v>106</v>
      </c>
      <c r="D249" s="90">
        <f>SUM(D247:D248)</f>
        <v>8</v>
      </c>
      <c r="E249" s="91">
        <f t="shared" ref="E249:P249" si="27">SUM(E247:E248)</f>
        <v>18116532.690000001</v>
      </c>
      <c r="F249" s="92">
        <f t="shared" si="27"/>
        <v>3793588.33</v>
      </c>
      <c r="G249" s="93">
        <f t="shared" si="27"/>
        <v>3790558.77</v>
      </c>
      <c r="H249" s="90">
        <f t="shared" si="27"/>
        <v>14325973.920000002</v>
      </c>
      <c r="I249" s="91">
        <f t="shared" si="27"/>
        <v>3029.56</v>
      </c>
      <c r="J249" s="92">
        <f t="shared" si="27"/>
        <v>14322944.360000001</v>
      </c>
      <c r="K249" s="93">
        <f t="shared" si="27"/>
        <v>3608174.3200000003</v>
      </c>
      <c r="L249" s="90">
        <f t="shared" si="27"/>
        <v>1811653.2600000002</v>
      </c>
      <c r="M249" s="91">
        <f t="shared" si="27"/>
        <v>8903116.7800000012</v>
      </c>
      <c r="N249" s="90">
        <f t="shared" si="27"/>
        <v>0</v>
      </c>
      <c r="O249" s="91">
        <f t="shared" si="27"/>
        <v>0</v>
      </c>
      <c r="P249" s="91">
        <f t="shared" si="27"/>
        <v>0</v>
      </c>
    </row>
    <row r="250" spans="2:16" ht="13.9" customHeight="1" x14ac:dyDescent="0.25">
      <c r="B250" s="155" t="s">
        <v>78</v>
      </c>
      <c r="C250" s="155"/>
      <c r="D250" s="90">
        <f>D242+D246+D249</f>
        <v>104</v>
      </c>
      <c r="E250" s="91">
        <f t="shared" ref="E250:P250" si="28">E242+E246+E249</f>
        <v>277814378.68000001</v>
      </c>
      <c r="F250" s="92">
        <f t="shared" si="28"/>
        <v>69601816.049999997</v>
      </c>
      <c r="G250" s="93">
        <f t="shared" si="28"/>
        <v>66034111.189999998</v>
      </c>
      <c r="H250" s="90">
        <f t="shared" si="28"/>
        <v>211780267.49000007</v>
      </c>
      <c r="I250" s="91">
        <f t="shared" si="28"/>
        <v>3567704.86</v>
      </c>
      <c r="J250" s="92">
        <f t="shared" si="28"/>
        <v>208212562.63000003</v>
      </c>
      <c r="K250" s="93">
        <f t="shared" si="28"/>
        <v>48769203.550000019</v>
      </c>
      <c r="L250" s="90">
        <f t="shared" si="28"/>
        <v>55752555.780000001</v>
      </c>
      <c r="M250" s="91">
        <f t="shared" si="28"/>
        <v>49725748.820000008</v>
      </c>
      <c r="N250" s="90">
        <f t="shared" si="28"/>
        <v>44870517.759999998</v>
      </c>
      <c r="O250" s="91">
        <f t="shared" si="28"/>
        <v>8039260.6200000001</v>
      </c>
      <c r="P250" s="91">
        <f t="shared" si="28"/>
        <v>1055276.1000000001</v>
      </c>
    </row>
    <row r="251" spans="2:16" ht="13.9" customHeight="1" x14ac:dyDescent="0.25"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</row>
    <row r="252" spans="2:16" ht="13.9" customHeight="1" x14ac:dyDescent="0.25">
      <c r="B252" s="107" t="s">
        <v>90</v>
      </c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</row>
    <row r="253" spans="2:16" ht="13.9" customHeight="1" x14ac:dyDescent="0.25">
      <c r="B253" s="154" t="s">
        <v>26</v>
      </c>
      <c r="C253" s="148" t="s">
        <v>27</v>
      </c>
      <c r="D253" s="109" t="s">
        <v>28</v>
      </c>
      <c r="E253" s="110" t="s">
        <v>29</v>
      </c>
      <c r="F253" s="111" t="s">
        <v>85</v>
      </c>
      <c r="G253" s="112" t="s">
        <v>81</v>
      </c>
      <c r="H253" s="110" t="s">
        <v>82</v>
      </c>
      <c r="I253" s="112" t="s">
        <v>86</v>
      </c>
      <c r="J253" s="110" t="s">
        <v>87</v>
      </c>
      <c r="K253" s="112">
        <v>2026</v>
      </c>
      <c r="L253" s="112">
        <v>2027</v>
      </c>
      <c r="M253" s="110">
        <v>2028</v>
      </c>
      <c r="N253" s="112">
        <v>2029</v>
      </c>
      <c r="O253" s="110">
        <v>2030</v>
      </c>
      <c r="P253" s="112">
        <v>2031</v>
      </c>
    </row>
    <row r="254" spans="2:16" ht="13.9" customHeight="1" outlineLevel="1" x14ac:dyDescent="0.25">
      <c r="B254" s="149" t="s">
        <v>30</v>
      </c>
      <c r="C254" s="150" t="s">
        <v>31</v>
      </c>
      <c r="D254" s="85">
        <v>0</v>
      </c>
      <c r="E254" s="86">
        <v>0</v>
      </c>
      <c r="F254" s="142">
        <f t="shared" ref="F254:F297" si="29">G254+I254</f>
        <v>0</v>
      </c>
      <c r="G254" s="113">
        <v>0</v>
      </c>
      <c r="H254" s="86">
        <v>0</v>
      </c>
      <c r="I254" s="113">
        <v>0</v>
      </c>
      <c r="J254" s="114">
        <f t="shared" ref="J254:J297" si="30">H254-I254</f>
        <v>0</v>
      </c>
      <c r="K254" s="113">
        <f t="shared" ref="K254:K297" si="31">MAX(J254-SUM(L254:P254),0)</f>
        <v>0</v>
      </c>
      <c r="L254" s="113">
        <v>0</v>
      </c>
      <c r="M254" s="113">
        <v>0</v>
      </c>
      <c r="N254" s="113">
        <v>0</v>
      </c>
      <c r="O254" s="113">
        <v>0</v>
      </c>
      <c r="P254" s="113">
        <v>0</v>
      </c>
    </row>
    <row r="255" spans="2:16" ht="13.9" customHeight="1" outlineLevel="1" x14ac:dyDescent="0.25">
      <c r="B255" s="149"/>
      <c r="C255" s="150" t="s">
        <v>32</v>
      </c>
      <c r="D255" s="85">
        <v>0</v>
      </c>
      <c r="E255" s="86">
        <v>0</v>
      </c>
      <c r="F255" s="142">
        <f t="shared" si="29"/>
        <v>0</v>
      </c>
      <c r="G255" s="113">
        <v>0</v>
      </c>
      <c r="H255" s="86">
        <v>0</v>
      </c>
      <c r="I255" s="113">
        <v>0</v>
      </c>
      <c r="J255" s="114">
        <f t="shared" si="30"/>
        <v>0</v>
      </c>
      <c r="K255" s="113">
        <f t="shared" si="31"/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</row>
    <row r="256" spans="2:16" ht="13.9" customHeight="1" outlineLevel="1" x14ac:dyDescent="0.25">
      <c r="B256" s="149"/>
      <c r="C256" s="150" t="s">
        <v>33</v>
      </c>
      <c r="D256" s="85">
        <v>0</v>
      </c>
      <c r="E256" s="86">
        <v>0</v>
      </c>
      <c r="F256" s="142">
        <f t="shared" si="29"/>
        <v>0</v>
      </c>
      <c r="G256" s="113">
        <v>0</v>
      </c>
      <c r="H256" s="86">
        <v>0</v>
      </c>
      <c r="I256" s="113">
        <v>0</v>
      </c>
      <c r="J256" s="114">
        <f t="shared" si="30"/>
        <v>0</v>
      </c>
      <c r="K256" s="113">
        <f t="shared" si="31"/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</row>
    <row r="257" spans="2:16" ht="13.9" customHeight="1" outlineLevel="1" x14ac:dyDescent="0.25">
      <c r="B257" s="149"/>
      <c r="C257" s="150" t="s">
        <v>34</v>
      </c>
      <c r="D257" s="85">
        <v>0</v>
      </c>
      <c r="E257" s="86">
        <v>0</v>
      </c>
      <c r="F257" s="142">
        <f t="shared" si="29"/>
        <v>0</v>
      </c>
      <c r="G257" s="113">
        <v>0</v>
      </c>
      <c r="H257" s="86">
        <v>0</v>
      </c>
      <c r="I257" s="113">
        <v>0</v>
      </c>
      <c r="J257" s="114">
        <f t="shared" si="30"/>
        <v>0</v>
      </c>
      <c r="K257" s="113">
        <f t="shared" si="31"/>
        <v>0</v>
      </c>
      <c r="L257" s="113">
        <v>0</v>
      </c>
      <c r="M257" s="113">
        <v>0</v>
      </c>
      <c r="N257" s="113">
        <v>0</v>
      </c>
      <c r="O257" s="113">
        <v>0</v>
      </c>
      <c r="P257" s="113">
        <v>0</v>
      </c>
    </row>
    <row r="258" spans="2:16" ht="13.9" customHeight="1" outlineLevel="1" x14ac:dyDescent="0.25">
      <c r="B258" s="149"/>
      <c r="C258" s="150" t="s">
        <v>35</v>
      </c>
      <c r="D258" s="85">
        <v>0</v>
      </c>
      <c r="E258" s="86">
        <v>0</v>
      </c>
      <c r="F258" s="142">
        <f t="shared" si="29"/>
        <v>0</v>
      </c>
      <c r="G258" s="113">
        <v>0</v>
      </c>
      <c r="H258" s="86">
        <v>0</v>
      </c>
      <c r="I258" s="113">
        <v>0</v>
      </c>
      <c r="J258" s="114">
        <f t="shared" si="30"/>
        <v>0</v>
      </c>
      <c r="K258" s="113">
        <f t="shared" si="31"/>
        <v>0</v>
      </c>
      <c r="L258" s="113">
        <v>0</v>
      </c>
      <c r="M258" s="113">
        <v>0</v>
      </c>
      <c r="N258" s="113">
        <v>0</v>
      </c>
      <c r="O258" s="113">
        <v>0</v>
      </c>
      <c r="P258" s="113">
        <v>0</v>
      </c>
    </row>
    <row r="259" spans="2:16" ht="13.9" customHeight="1" outlineLevel="1" x14ac:dyDescent="0.25">
      <c r="B259" s="149"/>
      <c r="C259" s="150" t="s">
        <v>36</v>
      </c>
      <c r="D259" s="85">
        <v>5</v>
      </c>
      <c r="E259" s="86">
        <v>42278177.5</v>
      </c>
      <c r="F259" s="142">
        <f t="shared" si="29"/>
        <v>15926483.4</v>
      </c>
      <c r="G259" s="113">
        <v>15451915</v>
      </c>
      <c r="H259" s="86">
        <v>26826262.5</v>
      </c>
      <c r="I259" s="113">
        <v>474568.4</v>
      </c>
      <c r="J259" s="114">
        <f t="shared" si="30"/>
        <v>26351694.100000001</v>
      </c>
      <c r="K259" s="113">
        <f t="shared" si="31"/>
        <v>8446635.1000000015</v>
      </c>
      <c r="L259" s="113">
        <v>17905059</v>
      </c>
      <c r="M259" s="113">
        <v>0</v>
      </c>
      <c r="N259" s="113">
        <v>0</v>
      </c>
      <c r="O259" s="113">
        <v>0</v>
      </c>
      <c r="P259" s="113">
        <v>0</v>
      </c>
    </row>
    <row r="260" spans="2:16" ht="13.9" customHeight="1" outlineLevel="1" x14ac:dyDescent="0.25">
      <c r="B260" s="149"/>
      <c r="C260" s="150" t="s">
        <v>37</v>
      </c>
      <c r="D260" s="85">
        <v>0</v>
      </c>
      <c r="E260" s="86">
        <v>0</v>
      </c>
      <c r="F260" s="142">
        <f t="shared" si="29"/>
        <v>0</v>
      </c>
      <c r="G260" s="113">
        <v>0</v>
      </c>
      <c r="H260" s="86">
        <v>0</v>
      </c>
      <c r="I260" s="113">
        <v>0</v>
      </c>
      <c r="J260" s="114">
        <f t="shared" si="30"/>
        <v>0</v>
      </c>
      <c r="K260" s="113">
        <f t="shared" si="31"/>
        <v>0</v>
      </c>
      <c r="L260" s="113">
        <v>0</v>
      </c>
      <c r="M260" s="113">
        <v>0</v>
      </c>
      <c r="N260" s="113">
        <v>0</v>
      </c>
      <c r="O260" s="113">
        <v>0</v>
      </c>
      <c r="P260" s="113">
        <v>0</v>
      </c>
    </row>
    <row r="261" spans="2:16" ht="13.9" customHeight="1" outlineLevel="1" x14ac:dyDescent="0.25">
      <c r="B261" s="149"/>
      <c r="C261" s="150" t="s">
        <v>38</v>
      </c>
      <c r="D261" s="85">
        <v>0</v>
      </c>
      <c r="E261" s="86">
        <v>0</v>
      </c>
      <c r="F261" s="142">
        <f t="shared" si="29"/>
        <v>0</v>
      </c>
      <c r="G261" s="113">
        <v>0</v>
      </c>
      <c r="H261" s="86">
        <v>0</v>
      </c>
      <c r="I261" s="113">
        <v>0</v>
      </c>
      <c r="J261" s="114">
        <f t="shared" si="30"/>
        <v>0</v>
      </c>
      <c r="K261" s="113">
        <f t="shared" si="31"/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</row>
    <row r="262" spans="2:16" ht="13.9" customHeight="1" outlineLevel="1" x14ac:dyDescent="0.25">
      <c r="B262" s="149"/>
      <c r="C262" s="150" t="s">
        <v>39</v>
      </c>
      <c r="D262" s="85">
        <v>0</v>
      </c>
      <c r="E262" s="86">
        <v>0</v>
      </c>
      <c r="F262" s="142">
        <f t="shared" si="29"/>
        <v>0</v>
      </c>
      <c r="G262" s="113">
        <v>0</v>
      </c>
      <c r="H262" s="86">
        <v>0</v>
      </c>
      <c r="I262" s="113">
        <v>0</v>
      </c>
      <c r="J262" s="114">
        <f t="shared" si="30"/>
        <v>0</v>
      </c>
      <c r="K262" s="113">
        <f t="shared" si="31"/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</row>
    <row r="263" spans="2:16" ht="13.9" customHeight="1" outlineLevel="1" x14ac:dyDescent="0.25">
      <c r="B263" s="149"/>
      <c r="C263" s="150" t="s">
        <v>40</v>
      </c>
      <c r="D263" s="85">
        <v>0</v>
      </c>
      <c r="E263" s="86">
        <v>0</v>
      </c>
      <c r="F263" s="142">
        <f t="shared" si="29"/>
        <v>0</v>
      </c>
      <c r="G263" s="113">
        <v>0</v>
      </c>
      <c r="H263" s="86">
        <v>0</v>
      </c>
      <c r="I263" s="113">
        <v>0</v>
      </c>
      <c r="J263" s="114">
        <f t="shared" si="30"/>
        <v>0</v>
      </c>
      <c r="K263" s="113">
        <f t="shared" si="31"/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</row>
    <row r="264" spans="2:16" ht="13.9" customHeight="1" outlineLevel="1" x14ac:dyDescent="0.25">
      <c r="B264" s="149"/>
      <c r="C264" s="150" t="s">
        <v>41</v>
      </c>
      <c r="D264" s="85">
        <v>0</v>
      </c>
      <c r="E264" s="86">
        <v>0</v>
      </c>
      <c r="F264" s="142">
        <f t="shared" si="29"/>
        <v>0</v>
      </c>
      <c r="G264" s="113">
        <v>0</v>
      </c>
      <c r="H264" s="86">
        <v>0</v>
      </c>
      <c r="I264" s="113">
        <v>0</v>
      </c>
      <c r="J264" s="114">
        <f t="shared" si="30"/>
        <v>0</v>
      </c>
      <c r="K264" s="113">
        <f t="shared" si="31"/>
        <v>0</v>
      </c>
      <c r="L264" s="113">
        <v>0</v>
      </c>
      <c r="M264" s="113">
        <v>0</v>
      </c>
      <c r="N264" s="113">
        <v>0</v>
      </c>
      <c r="O264" s="113">
        <v>0</v>
      </c>
      <c r="P264" s="113">
        <v>0</v>
      </c>
    </row>
    <row r="265" spans="2:16" ht="13.9" customHeight="1" outlineLevel="1" x14ac:dyDescent="0.25">
      <c r="B265" s="149"/>
      <c r="C265" s="150" t="s">
        <v>42</v>
      </c>
      <c r="D265" s="85">
        <v>9</v>
      </c>
      <c r="E265" s="86">
        <v>18418102.050000001</v>
      </c>
      <c r="F265" s="142">
        <f t="shared" si="29"/>
        <v>6486892.0600000005</v>
      </c>
      <c r="G265" s="113">
        <v>6486780.5600000005</v>
      </c>
      <c r="H265" s="86">
        <v>11931321.490000002</v>
      </c>
      <c r="I265" s="113">
        <v>111.5</v>
      </c>
      <c r="J265" s="114">
        <f t="shared" si="30"/>
        <v>11931209.990000002</v>
      </c>
      <c r="K265" s="113">
        <f t="shared" si="31"/>
        <v>1777878.7400000021</v>
      </c>
      <c r="L265" s="113">
        <v>10153331.25</v>
      </c>
      <c r="M265" s="113">
        <v>0</v>
      </c>
      <c r="N265" s="113">
        <v>0</v>
      </c>
      <c r="O265" s="113">
        <v>0</v>
      </c>
      <c r="P265" s="113">
        <v>0</v>
      </c>
    </row>
    <row r="266" spans="2:16" ht="13.9" customHeight="1" outlineLevel="1" x14ac:dyDescent="0.25">
      <c r="B266" s="149"/>
      <c r="C266" s="150" t="s">
        <v>43</v>
      </c>
      <c r="D266" s="85">
        <v>2</v>
      </c>
      <c r="E266" s="86">
        <v>11844748</v>
      </c>
      <c r="F266" s="142">
        <f t="shared" si="29"/>
        <v>4034601.4000000004</v>
      </c>
      <c r="G266" s="113">
        <v>4034601.2</v>
      </c>
      <c r="H266" s="86">
        <v>7810146.7999999998</v>
      </c>
      <c r="I266" s="113">
        <v>0.2</v>
      </c>
      <c r="J266" s="114">
        <f t="shared" si="30"/>
        <v>7810146.5999999996</v>
      </c>
      <c r="K266" s="113">
        <f t="shared" si="31"/>
        <v>3588294.5999999996</v>
      </c>
      <c r="L266" s="113">
        <v>4221852</v>
      </c>
      <c r="M266" s="113">
        <v>0</v>
      </c>
      <c r="N266" s="113">
        <v>0</v>
      </c>
      <c r="O266" s="113">
        <v>0</v>
      </c>
      <c r="P266" s="113">
        <v>0</v>
      </c>
    </row>
    <row r="267" spans="2:16" ht="13.9" customHeight="1" outlineLevel="1" x14ac:dyDescent="0.25">
      <c r="B267" s="149"/>
      <c r="C267" s="150" t="s">
        <v>44</v>
      </c>
      <c r="D267" s="85">
        <v>10</v>
      </c>
      <c r="E267" s="86">
        <v>22375152.100000001</v>
      </c>
      <c r="F267" s="142">
        <f t="shared" si="29"/>
        <v>6731695.1100000013</v>
      </c>
      <c r="G267" s="113">
        <v>6731695.1100000013</v>
      </c>
      <c r="H267" s="86">
        <v>15643456.990000002</v>
      </c>
      <c r="I267" s="113">
        <v>0</v>
      </c>
      <c r="J267" s="114">
        <f t="shared" si="30"/>
        <v>15643456.990000002</v>
      </c>
      <c r="K267" s="113">
        <f t="shared" si="31"/>
        <v>2117927.6400000025</v>
      </c>
      <c r="L267" s="113">
        <v>3837735.61</v>
      </c>
      <c r="M267" s="113">
        <v>9687793.7400000002</v>
      </c>
      <c r="N267" s="113">
        <v>0</v>
      </c>
      <c r="O267" s="113">
        <v>0</v>
      </c>
      <c r="P267" s="113">
        <v>0</v>
      </c>
    </row>
    <row r="268" spans="2:16" ht="13.9" customHeight="1" outlineLevel="1" x14ac:dyDescent="0.25">
      <c r="B268" s="149"/>
      <c r="C268" s="150" t="s">
        <v>45</v>
      </c>
      <c r="D268" s="85">
        <v>5</v>
      </c>
      <c r="E268" s="86">
        <v>12920428.85</v>
      </c>
      <c r="F268" s="142">
        <f t="shared" si="29"/>
        <v>3880706.1999999997</v>
      </c>
      <c r="G268" s="113">
        <v>3880706.1999999997</v>
      </c>
      <c r="H268" s="86">
        <v>9039722.6499999985</v>
      </c>
      <c r="I268" s="113">
        <v>0</v>
      </c>
      <c r="J268" s="114">
        <f t="shared" si="30"/>
        <v>9039722.6499999985</v>
      </c>
      <c r="K268" s="113">
        <f t="shared" si="31"/>
        <v>959878.28999999911</v>
      </c>
      <c r="L268" s="113">
        <v>1292042.8899999999</v>
      </c>
      <c r="M268" s="113">
        <v>964455.85</v>
      </c>
      <c r="N268" s="113">
        <v>5823345.6200000001</v>
      </c>
      <c r="O268" s="113">
        <v>0</v>
      </c>
      <c r="P268" s="113">
        <v>0</v>
      </c>
    </row>
    <row r="269" spans="2:16" ht="13.9" customHeight="1" outlineLevel="1" x14ac:dyDescent="0.25">
      <c r="B269" s="149"/>
      <c r="C269" s="150" t="s">
        <v>46</v>
      </c>
      <c r="D269" s="85">
        <v>0</v>
      </c>
      <c r="E269" s="86">
        <v>0</v>
      </c>
      <c r="F269" s="142">
        <f t="shared" si="29"/>
        <v>0</v>
      </c>
      <c r="G269" s="113">
        <v>0</v>
      </c>
      <c r="H269" s="86">
        <v>0</v>
      </c>
      <c r="I269" s="113">
        <v>0</v>
      </c>
      <c r="J269" s="114">
        <f t="shared" si="30"/>
        <v>0</v>
      </c>
      <c r="K269" s="113">
        <f t="shared" si="31"/>
        <v>0</v>
      </c>
      <c r="L269" s="113">
        <v>0</v>
      </c>
      <c r="M269" s="113">
        <v>0</v>
      </c>
      <c r="N269" s="113">
        <v>0</v>
      </c>
      <c r="O269" s="113">
        <v>0</v>
      </c>
      <c r="P269" s="113">
        <v>0</v>
      </c>
    </row>
    <row r="270" spans="2:16" ht="13.9" customHeight="1" outlineLevel="1" x14ac:dyDescent="0.25">
      <c r="B270" s="149"/>
      <c r="C270" s="150" t="s">
        <v>47</v>
      </c>
      <c r="D270" s="85">
        <v>5</v>
      </c>
      <c r="E270" s="86">
        <v>25639088.800000001</v>
      </c>
      <c r="F270" s="142">
        <f t="shared" si="29"/>
        <v>10721662.720000001</v>
      </c>
      <c r="G270" s="113">
        <v>9511253.0899999999</v>
      </c>
      <c r="H270" s="86">
        <v>16127835.710000001</v>
      </c>
      <c r="I270" s="113">
        <v>1210409.6300000001</v>
      </c>
      <c r="J270" s="114">
        <f t="shared" si="30"/>
        <v>14917426.08</v>
      </c>
      <c r="K270" s="113">
        <f t="shared" si="31"/>
        <v>14917426.08</v>
      </c>
      <c r="L270" s="113">
        <v>0</v>
      </c>
      <c r="M270" s="113">
        <v>0</v>
      </c>
      <c r="N270" s="113">
        <v>0</v>
      </c>
      <c r="O270" s="113">
        <v>0</v>
      </c>
      <c r="P270" s="113">
        <v>0</v>
      </c>
    </row>
    <row r="271" spans="2:16" ht="13.9" customHeight="1" outlineLevel="1" x14ac:dyDescent="0.25">
      <c r="B271" s="149"/>
      <c r="C271" s="150" t="s">
        <v>48</v>
      </c>
      <c r="D271" s="85">
        <v>6</v>
      </c>
      <c r="E271" s="86">
        <v>7094889.2999999998</v>
      </c>
      <c r="F271" s="142">
        <f t="shared" si="29"/>
        <v>2837955.7199999997</v>
      </c>
      <c r="G271" s="113">
        <v>2128477.6399999997</v>
      </c>
      <c r="H271" s="86">
        <v>4966411.66</v>
      </c>
      <c r="I271" s="113">
        <v>709478.08</v>
      </c>
      <c r="J271" s="114">
        <f t="shared" si="30"/>
        <v>4256933.58</v>
      </c>
      <c r="K271" s="113">
        <f t="shared" si="31"/>
        <v>709488.93000000017</v>
      </c>
      <c r="L271" s="113">
        <v>3547444.65</v>
      </c>
      <c r="M271" s="113">
        <v>0</v>
      </c>
      <c r="N271" s="113">
        <v>0</v>
      </c>
      <c r="O271" s="113">
        <v>0</v>
      </c>
      <c r="P271" s="113">
        <v>0</v>
      </c>
    </row>
    <row r="272" spans="2:16" ht="13.9" customHeight="1" outlineLevel="1" x14ac:dyDescent="0.25">
      <c r="B272" s="149"/>
      <c r="C272" s="150" t="s">
        <v>49</v>
      </c>
      <c r="D272" s="85">
        <v>1</v>
      </c>
      <c r="E272" s="86">
        <v>8037099.1799999997</v>
      </c>
      <c r="F272" s="142">
        <f t="shared" si="29"/>
        <v>2412130</v>
      </c>
      <c r="G272" s="113">
        <v>2412130</v>
      </c>
      <c r="H272" s="86">
        <v>5624969.1799999997</v>
      </c>
      <c r="I272" s="113">
        <v>0</v>
      </c>
      <c r="J272" s="114">
        <f t="shared" si="30"/>
        <v>5624969.1799999997</v>
      </c>
      <c r="K272" s="113">
        <f t="shared" si="31"/>
        <v>5624969.1799999997</v>
      </c>
      <c r="L272" s="113">
        <v>0</v>
      </c>
      <c r="M272" s="113">
        <v>0</v>
      </c>
      <c r="N272" s="113">
        <v>0</v>
      </c>
      <c r="O272" s="113">
        <v>0</v>
      </c>
      <c r="P272" s="113">
        <v>0</v>
      </c>
    </row>
    <row r="273" spans="2:16" ht="13.9" customHeight="1" outlineLevel="1" x14ac:dyDescent="0.25">
      <c r="B273" s="149"/>
      <c r="C273" s="150" t="s">
        <v>50</v>
      </c>
      <c r="D273" s="85">
        <v>0</v>
      </c>
      <c r="E273" s="86">
        <v>0</v>
      </c>
      <c r="F273" s="142">
        <f t="shared" si="29"/>
        <v>0</v>
      </c>
      <c r="G273" s="113">
        <v>0</v>
      </c>
      <c r="H273" s="86">
        <v>0</v>
      </c>
      <c r="I273" s="113">
        <v>0</v>
      </c>
      <c r="J273" s="114">
        <f t="shared" si="30"/>
        <v>0</v>
      </c>
      <c r="K273" s="113">
        <f t="shared" si="31"/>
        <v>0</v>
      </c>
      <c r="L273" s="113">
        <v>0</v>
      </c>
      <c r="M273" s="113">
        <v>0</v>
      </c>
      <c r="N273" s="113">
        <v>0</v>
      </c>
      <c r="O273" s="113">
        <v>0</v>
      </c>
      <c r="P273" s="113">
        <v>0</v>
      </c>
    </row>
    <row r="274" spans="2:16" ht="13.9" customHeight="1" outlineLevel="1" x14ac:dyDescent="0.25">
      <c r="B274" s="149"/>
      <c r="C274" s="150" t="s">
        <v>51</v>
      </c>
      <c r="D274" s="85">
        <v>12</v>
      </c>
      <c r="E274" s="86">
        <v>14996526.450000001</v>
      </c>
      <c r="F274" s="142">
        <f t="shared" si="29"/>
        <v>4753415.7299999995</v>
      </c>
      <c r="G274" s="113">
        <v>4751117.5799999991</v>
      </c>
      <c r="H274" s="86">
        <v>10245408.870000001</v>
      </c>
      <c r="I274" s="113">
        <v>2298.15</v>
      </c>
      <c r="J274" s="114">
        <f t="shared" si="30"/>
        <v>10243110.720000001</v>
      </c>
      <c r="K274" s="113">
        <f t="shared" si="31"/>
        <v>1595734.8800000008</v>
      </c>
      <c r="L274" s="113">
        <v>8647375.8399999999</v>
      </c>
      <c r="M274" s="113">
        <v>0</v>
      </c>
      <c r="N274" s="113">
        <v>0</v>
      </c>
      <c r="O274" s="113">
        <v>0</v>
      </c>
      <c r="P274" s="113">
        <v>0</v>
      </c>
    </row>
    <row r="275" spans="2:16" ht="13.9" customHeight="1" outlineLevel="1" x14ac:dyDescent="0.25">
      <c r="B275" s="149"/>
      <c r="C275" s="150" t="s">
        <v>52</v>
      </c>
      <c r="D275" s="85">
        <v>0</v>
      </c>
      <c r="E275" s="86">
        <v>0</v>
      </c>
      <c r="F275" s="142">
        <f t="shared" si="29"/>
        <v>0</v>
      </c>
      <c r="G275" s="113">
        <v>0</v>
      </c>
      <c r="H275" s="86">
        <v>0</v>
      </c>
      <c r="I275" s="113">
        <v>0</v>
      </c>
      <c r="J275" s="114">
        <f t="shared" si="30"/>
        <v>0</v>
      </c>
      <c r="K275" s="113">
        <f t="shared" si="31"/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</row>
    <row r="276" spans="2:16" ht="13.9" customHeight="1" outlineLevel="1" x14ac:dyDescent="0.25">
      <c r="B276" s="149"/>
      <c r="C276" s="150" t="s">
        <v>53</v>
      </c>
      <c r="D276" s="85">
        <v>0</v>
      </c>
      <c r="E276" s="86">
        <v>0</v>
      </c>
      <c r="F276" s="142">
        <f t="shared" si="29"/>
        <v>0</v>
      </c>
      <c r="G276" s="113">
        <v>0</v>
      </c>
      <c r="H276" s="86">
        <v>0</v>
      </c>
      <c r="I276" s="113">
        <v>0</v>
      </c>
      <c r="J276" s="114">
        <f t="shared" si="30"/>
        <v>0</v>
      </c>
      <c r="K276" s="113">
        <f t="shared" si="31"/>
        <v>0</v>
      </c>
      <c r="L276" s="113">
        <v>0</v>
      </c>
      <c r="M276" s="113">
        <v>0</v>
      </c>
      <c r="N276" s="113">
        <v>0</v>
      </c>
      <c r="O276" s="113">
        <v>0</v>
      </c>
      <c r="P276" s="113">
        <v>0</v>
      </c>
    </row>
    <row r="277" spans="2:16" ht="13.9" customHeight="1" outlineLevel="1" x14ac:dyDescent="0.25">
      <c r="B277" s="149"/>
      <c r="C277" s="150" t="s">
        <v>54</v>
      </c>
      <c r="D277" s="85">
        <v>2</v>
      </c>
      <c r="E277" s="86">
        <v>7963002.7800000003</v>
      </c>
      <c r="F277" s="142">
        <f t="shared" si="29"/>
        <v>2404625.35</v>
      </c>
      <c r="G277" s="113">
        <v>2404625.35</v>
      </c>
      <c r="H277" s="86">
        <v>5558377.4300000006</v>
      </c>
      <c r="I277" s="113">
        <v>0</v>
      </c>
      <c r="J277" s="114">
        <f t="shared" si="30"/>
        <v>5558377.4300000006</v>
      </c>
      <c r="K277" s="113">
        <f t="shared" si="31"/>
        <v>0</v>
      </c>
      <c r="L277" s="113">
        <v>327104.09000000003</v>
      </c>
      <c r="M277" s="113">
        <v>1128556.56</v>
      </c>
      <c r="N277" s="113">
        <v>4102716.8</v>
      </c>
      <c r="O277" s="113">
        <v>0</v>
      </c>
      <c r="P277" s="113">
        <v>0</v>
      </c>
    </row>
    <row r="278" spans="2:16" ht="13.9" customHeight="1" outlineLevel="1" x14ac:dyDescent="0.25">
      <c r="B278" s="149"/>
      <c r="C278" s="150" t="s">
        <v>55</v>
      </c>
      <c r="D278" s="85">
        <v>0</v>
      </c>
      <c r="E278" s="86">
        <v>0</v>
      </c>
      <c r="F278" s="142">
        <f t="shared" si="29"/>
        <v>0</v>
      </c>
      <c r="G278" s="113">
        <v>0</v>
      </c>
      <c r="H278" s="86">
        <v>0</v>
      </c>
      <c r="I278" s="113">
        <v>0</v>
      </c>
      <c r="J278" s="114">
        <f t="shared" si="30"/>
        <v>0</v>
      </c>
      <c r="K278" s="113">
        <f t="shared" si="31"/>
        <v>0</v>
      </c>
      <c r="L278" s="113">
        <v>0</v>
      </c>
      <c r="M278" s="113">
        <v>0</v>
      </c>
      <c r="N278" s="113">
        <v>0</v>
      </c>
      <c r="O278" s="113">
        <v>0</v>
      </c>
      <c r="P278" s="113">
        <v>0</v>
      </c>
    </row>
    <row r="279" spans="2:16" ht="13.9" customHeight="1" outlineLevel="1" x14ac:dyDescent="0.25">
      <c r="B279" s="149"/>
      <c r="C279" s="150" t="s">
        <v>56</v>
      </c>
      <c r="D279" s="85">
        <v>0</v>
      </c>
      <c r="E279" s="86">
        <v>0</v>
      </c>
      <c r="F279" s="142">
        <f t="shared" si="29"/>
        <v>0</v>
      </c>
      <c r="G279" s="113">
        <v>0</v>
      </c>
      <c r="H279" s="86">
        <v>0</v>
      </c>
      <c r="I279" s="113">
        <v>0</v>
      </c>
      <c r="J279" s="114">
        <f t="shared" si="30"/>
        <v>0</v>
      </c>
      <c r="K279" s="113">
        <f t="shared" si="31"/>
        <v>0</v>
      </c>
      <c r="L279" s="113">
        <v>0</v>
      </c>
      <c r="M279" s="113">
        <v>0</v>
      </c>
      <c r="N279" s="113">
        <v>0</v>
      </c>
      <c r="O279" s="113">
        <v>0</v>
      </c>
      <c r="P279" s="113">
        <v>0</v>
      </c>
    </row>
    <row r="280" spans="2:16" ht="13.9" customHeight="1" outlineLevel="1" x14ac:dyDescent="0.25">
      <c r="B280" s="149"/>
      <c r="C280" s="150" t="s">
        <v>57</v>
      </c>
      <c r="D280" s="85">
        <v>0</v>
      </c>
      <c r="E280" s="86">
        <v>0</v>
      </c>
      <c r="F280" s="142">
        <f t="shared" si="29"/>
        <v>0</v>
      </c>
      <c r="G280" s="113">
        <v>0</v>
      </c>
      <c r="H280" s="86">
        <v>0</v>
      </c>
      <c r="I280" s="113">
        <v>0</v>
      </c>
      <c r="J280" s="114">
        <f t="shared" si="30"/>
        <v>0</v>
      </c>
      <c r="K280" s="113">
        <f t="shared" si="31"/>
        <v>0</v>
      </c>
      <c r="L280" s="113">
        <v>0</v>
      </c>
      <c r="M280" s="113">
        <v>0</v>
      </c>
      <c r="N280" s="113">
        <v>0</v>
      </c>
      <c r="O280" s="113">
        <v>0</v>
      </c>
      <c r="P280" s="113">
        <v>0</v>
      </c>
    </row>
    <row r="281" spans="2:16" ht="13.9" customHeight="1" outlineLevel="1" x14ac:dyDescent="0.25">
      <c r="B281" s="149"/>
      <c r="C281" s="150" t="s">
        <v>58</v>
      </c>
      <c r="D281" s="85">
        <v>0</v>
      </c>
      <c r="E281" s="86">
        <v>0</v>
      </c>
      <c r="F281" s="142">
        <f t="shared" si="29"/>
        <v>0</v>
      </c>
      <c r="G281" s="113">
        <v>0</v>
      </c>
      <c r="H281" s="86">
        <v>0</v>
      </c>
      <c r="I281" s="113">
        <v>0</v>
      </c>
      <c r="J281" s="114">
        <f t="shared" si="30"/>
        <v>0</v>
      </c>
      <c r="K281" s="113">
        <f t="shared" si="31"/>
        <v>0</v>
      </c>
      <c r="L281" s="113">
        <v>0</v>
      </c>
      <c r="M281" s="113">
        <v>0</v>
      </c>
      <c r="N281" s="113">
        <v>0</v>
      </c>
      <c r="O281" s="113">
        <v>0</v>
      </c>
      <c r="P281" s="113">
        <v>0</v>
      </c>
    </row>
    <row r="282" spans="2:16" ht="13.9" customHeight="1" outlineLevel="1" x14ac:dyDescent="0.25">
      <c r="B282" s="149"/>
      <c r="C282" s="150" t="s">
        <v>59</v>
      </c>
      <c r="D282" s="85">
        <v>0</v>
      </c>
      <c r="E282" s="86">
        <v>0</v>
      </c>
      <c r="F282" s="142">
        <f t="shared" si="29"/>
        <v>0</v>
      </c>
      <c r="G282" s="113">
        <v>0</v>
      </c>
      <c r="H282" s="86">
        <v>0</v>
      </c>
      <c r="I282" s="113">
        <v>0</v>
      </c>
      <c r="J282" s="114">
        <f t="shared" si="30"/>
        <v>0</v>
      </c>
      <c r="K282" s="113">
        <f t="shared" si="31"/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</row>
    <row r="283" spans="2:16" ht="13.9" customHeight="1" outlineLevel="1" x14ac:dyDescent="0.25">
      <c r="B283" s="149"/>
      <c r="C283" s="150" t="s">
        <v>60</v>
      </c>
      <c r="D283" s="85">
        <v>0</v>
      </c>
      <c r="E283" s="86">
        <v>0</v>
      </c>
      <c r="F283" s="142">
        <f t="shared" si="29"/>
        <v>0</v>
      </c>
      <c r="G283" s="113">
        <v>0</v>
      </c>
      <c r="H283" s="86">
        <v>0</v>
      </c>
      <c r="I283" s="113">
        <v>0</v>
      </c>
      <c r="J283" s="114">
        <f t="shared" si="30"/>
        <v>0</v>
      </c>
      <c r="K283" s="113">
        <f t="shared" si="31"/>
        <v>0</v>
      </c>
      <c r="L283" s="113">
        <v>0</v>
      </c>
      <c r="M283" s="113">
        <v>0</v>
      </c>
      <c r="N283" s="113">
        <v>0</v>
      </c>
      <c r="O283" s="113">
        <v>0</v>
      </c>
      <c r="P283" s="113">
        <v>0</v>
      </c>
    </row>
    <row r="284" spans="2:16" ht="13.9" customHeight="1" outlineLevel="1" x14ac:dyDescent="0.25">
      <c r="B284" s="149"/>
      <c r="C284" s="150" t="s">
        <v>61</v>
      </c>
      <c r="D284" s="85">
        <v>0</v>
      </c>
      <c r="E284" s="86">
        <v>0</v>
      </c>
      <c r="F284" s="142">
        <f t="shared" si="29"/>
        <v>0</v>
      </c>
      <c r="G284" s="113">
        <v>0</v>
      </c>
      <c r="H284" s="86">
        <v>0</v>
      </c>
      <c r="I284" s="113">
        <v>0</v>
      </c>
      <c r="J284" s="114">
        <f t="shared" si="30"/>
        <v>0</v>
      </c>
      <c r="K284" s="113">
        <f t="shared" si="31"/>
        <v>0</v>
      </c>
      <c r="L284" s="113">
        <v>0</v>
      </c>
      <c r="M284" s="113">
        <v>0</v>
      </c>
      <c r="N284" s="113">
        <v>0</v>
      </c>
      <c r="O284" s="113">
        <v>0</v>
      </c>
      <c r="P284" s="113">
        <v>0</v>
      </c>
    </row>
    <row r="285" spans="2:16" ht="13.9" customHeight="1" outlineLevel="1" x14ac:dyDescent="0.25">
      <c r="B285" s="149"/>
      <c r="C285" s="150" t="s">
        <v>62</v>
      </c>
      <c r="D285" s="85">
        <v>0</v>
      </c>
      <c r="E285" s="86">
        <v>0</v>
      </c>
      <c r="F285" s="142">
        <f t="shared" si="29"/>
        <v>0</v>
      </c>
      <c r="G285" s="113">
        <v>0</v>
      </c>
      <c r="H285" s="86">
        <v>0</v>
      </c>
      <c r="I285" s="113">
        <v>0</v>
      </c>
      <c r="J285" s="114">
        <f t="shared" si="30"/>
        <v>0</v>
      </c>
      <c r="K285" s="113">
        <f t="shared" si="31"/>
        <v>0</v>
      </c>
      <c r="L285" s="113">
        <v>0</v>
      </c>
      <c r="M285" s="113">
        <v>0</v>
      </c>
      <c r="N285" s="113">
        <v>0</v>
      </c>
      <c r="O285" s="113">
        <v>0</v>
      </c>
      <c r="P285" s="113">
        <v>0</v>
      </c>
    </row>
    <row r="286" spans="2:16" ht="13.9" customHeight="1" outlineLevel="1" x14ac:dyDescent="0.25">
      <c r="B286" s="149"/>
      <c r="C286" s="150" t="s">
        <v>63</v>
      </c>
      <c r="D286" s="85">
        <v>0</v>
      </c>
      <c r="E286" s="86">
        <v>0</v>
      </c>
      <c r="F286" s="142">
        <f t="shared" si="29"/>
        <v>0</v>
      </c>
      <c r="G286" s="113">
        <v>0</v>
      </c>
      <c r="H286" s="86">
        <v>0</v>
      </c>
      <c r="I286" s="113">
        <v>0</v>
      </c>
      <c r="J286" s="114">
        <f t="shared" si="30"/>
        <v>0</v>
      </c>
      <c r="K286" s="113">
        <f t="shared" si="31"/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</row>
    <row r="287" spans="2:16" ht="13.9" customHeight="1" outlineLevel="1" x14ac:dyDescent="0.25">
      <c r="B287" s="149"/>
      <c r="C287" s="150" t="s">
        <v>64</v>
      </c>
      <c r="D287" s="85">
        <v>0</v>
      </c>
      <c r="E287" s="86">
        <v>0</v>
      </c>
      <c r="F287" s="142">
        <f t="shared" si="29"/>
        <v>0</v>
      </c>
      <c r="G287" s="113">
        <v>0</v>
      </c>
      <c r="H287" s="86">
        <v>0</v>
      </c>
      <c r="I287" s="113">
        <v>0</v>
      </c>
      <c r="J287" s="114">
        <f t="shared" si="30"/>
        <v>0</v>
      </c>
      <c r="K287" s="113">
        <f t="shared" si="31"/>
        <v>0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</row>
    <row r="288" spans="2:16" ht="13.9" customHeight="1" outlineLevel="1" x14ac:dyDescent="0.25">
      <c r="B288" s="149"/>
      <c r="C288" s="150" t="s">
        <v>65</v>
      </c>
      <c r="D288" s="85">
        <v>0</v>
      </c>
      <c r="E288" s="86">
        <v>0</v>
      </c>
      <c r="F288" s="142">
        <f t="shared" si="29"/>
        <v>0</v>
      </c>
      <c r="G288" s="113">
        <v>0</v>
      </c>
      <c r="H288" s="86">
        <v>0</v>
      </c>
      <c r="I288" s="113">
        <v>0</v>
      </c>
      <c r="J288" s="114">
        <f t="shared" si="30"/>
        <v>0</v>
      </c>
      <c r="K288" s="113">
        <f t="shared" si="31"/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</row>
    <row r="289" spans="2:16" ht="13.9" customHeight="1" outlineLevel="1" x14ac:dyDescent="0.25">
      <c r="B289" s="149"/>
      <c r="C289" s="150" t="s">
        <v>66</v>
      </c>
      <c r="D289" s="85">
        <v>0</v>
      </c>
      <c r="E289" s="86">
        <v>0</v>
      </c>
      <c r="F289" s="142">
        <f t="shared" si="29"/>
        <v>0</v>
      </c>
      <c r="G289" s="113">
        <v>0</v>
      </c>
      <c r="H289" s="86">
        <v>0</v>
      </c>
      <c r="I289" s="113">
        <v>0</v>
      </c>
      <c r="J289" s="114">
        <f t="shared" si="30"/>
        <v>0</v>
      </c>
      <c r="K289" s="113">
        <f t="shared" si="31"/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</row>
    <row r="290" spans="2:16" ht="13.9" customHeight="1" outlineLevel="1" x14ac:dyDescent="0.25">
      <c r="B290" s="149"/>
      <c r="C290" s="150" t="s">
        <v>67</v>
      </c>
      <c r="D290" s="85">
        <v>1</v>
      </c>
      <c r="E290" s="86">
        <v>3230680</v>
      </c>
      <c r="F290" s="142">
        <f t="shared" si="29"/>
        <v>1292272</v>
      </c>
      <c r="G290" s="113">
        <v>1292272</v>
      </c>
      <c r="H290" s="86">
        <v>1938408</v>
      </c>
      <c r="I290" s="113">
        <v>0</v>
      </c>
      <c r="J290" s="114">
        <f t="shared" si="30"/>
        <v>1938408</v>
      </c>
      <c r="K290" s="113">
        <f t="shared" si="31"/>
        <v>1938408</v>
      </c>
      <c r="L290" s="113">
        <v>0</v>
      </c>
      <c r="M290" s="113">
        <v>0</v>
      </c>
      <c r="N290" s="113">
        <v>0</v>
      </c>
      <c r="O290" s="113">
        <v>0</v>
      </c>
      <c r="P290" s="113">
        <v>0</v>
      </c>
    </row>
    <row r="291" spans="2:16" ht="13.9" customHeight="1" x14ac:dyDescent="0.25">
      <c r="B291" s="149"/>
      <c r="C291" s="148" t="s">
        <v>103</v>
      </c>
      <c r="D291" s="90">
        <f>SUM(D254:D290)</f>
        <v>58</v>
      </c>
      <c r="E291" s="91">
        <f t="shared" ref="E291:P291" si="32">SUM(E254:E290)</f>
        <v>174797895.00999999</v>
      </c>
      <c r="F291" s="92">
        <f t="shared" si="32"/>
        <v>61482439.689999998</v>
      </c>
      <c r="G291" s="93">
        <f t="shared" si="32"/>
        <v>59085573.730000012</v>
      </c>
      <c r="H291" s="90">
        <f t="shared" si="32"/>
        <v>115712321.28000003</v>
      </c>
      <c r="I291" s="91">
        <f t="shared" si="32"/>
        <v>2396865.96</v>
      </c>
      <c r="J291" s="92">
        <f t="shared" si="32"/>
        <v>113315455.32000002</v>
      </c>
      <c r="K291" s="93">
        <f t="shared" si="32"/>
        <v>41676641.440000005</v>
      </c>
      <c r="L291" s="90">
        <f t="shared" si="32"/>
        <v>49931945.329999998</v>
      </c>
      <c r="M291" s="91">
        <f t="shared" si="32"/>
        <v>11780806.15</v>
      </c>
      <c r="N291" s="90">
        <f t="shared" si="32"/>
        <v>9926062.4199999999</v>
      </c>
      <c r="O291" s="91">
        <f t="shared" si="32"/>
        <v>0</v>
      </c>
      <c r="P291" s="91">
        <f t="shared" si="32"/>
        <v>0</v>
      </c>
    </row>
    <row r="292" spans="2:16" ht="13.9" customHeight="1" outlineLevel="1" x14ac:dyDescent="0.25">
      <c r="B292" s="149" t="s">
        <v>83</v>
      </c>
      <c r="C292" s="150" t="s">
        <v>70</v>
      </c>
      <c r="D292" s="85">
        <v>15</v>
      </c>
      <c r="E292" s="86">
        <v>26524248.93</v>
      </c>
      <c r="F292" s="142">
        <f t="shared" si="29"/>
        <v>10609699.709999997</v>
      </c>
      <c r="G292" s="113">
        <v>10603143.089999998</v>
      </c>
      <c r="H292" s="86">
        <v>15921105.840000002</v>
      </c>
      <c r="I292" s="113">
        <v>6556.62</v>
      </c>
      <c r="J292" s="114">
        <f t="shared" si="30"/>
        <v>15914549.220000003</v>
      </c>
      <c r="K292" s="113">
        <f t="shared" si="31"/>
        <v>5182166.1300000027</v>
      </c>
      <c r="L292" s="113">
        <v>2854581.1</v>
      </c>
      <c r="M292" s="113">
        <v>7877801.9900000002</v>
      </c>
      <c r="N292" s="113">
        <v>0</v>
      </c>
      <c r="O292" s="113">
        <v>0</v>
      </c>
      <c r="P292" s="113">
        <v>0</v>
      </c>
    </row>
    <row r="293" spans="2:16" ht="13.9" customHeight="1" outlineLevel="1" x14ac:dyDescent="0.25">
      <c r="B293" s="149"/>
      <c r="C293" s="150" t="s">
        <v>71</v>
      </c>
      <c r="D293" s="85">
        <v>0</v>
      </c>
      <c r="E293" s="86">
        <v>0</v>
      </c>
      <c r="F293" s="142">
        <f t="shared" si="29"/>
        <v>0</v>
      </c>
      <c r="G293" s="113">
        <v>0</v>
      </c>
      <c r="H293" s="86">
        <v>0</v>
      </c>
      <c r="I293" s="113">
        <v>0</v>
      </c>
      <c r="J293" s="114">
        <f t="shared" si="30"/>
        <v>0</v>
      </c>
      <c r="K293" s="113">
        <f t="shared" si="31"/>
        <v>0</v>
      </c>
      <c r="L293" s="113">
        <v>0</v>
      </c>
      <c r="M293" s="113">
        <v>0</v>
      </c>
      <c r="N293" s="113">
        <v>0</v>
      </c>
      <c r="O293" s="113">
        <v>0</v>
      </c>
      <c r="P293" s="113">
        <v>0</v>
      </c>
    </row>
    <row r="294" spans="2:16" ht="13.9" customHeight="1" outlineLevel="1" x14ac:dyDescent="0.25">
      <c r="B294" s="149"/>
      <c r="C294" s="150" t="s">
        <v>72</v>
      </c>
      <c r="D294" s="85">
        <v>3</v>
      </c>
      <c r="E294" s="86">
        <v>9647310.4199999999</v>
      </c>
      <c r="F294" s="142">
        <f t="shared" si="29"/>
        <v>3639113.0600000005</v>
      </c>
      <c r="G294" s="113">
        <v>3069327.3600000003</v>
      </c>
      <c r="H294" s="86">
        <v>6577983.0599999996</v>
      </c>
      <c r="I294" s="113">
        <v>569785.69999999995</v>
      </c>
      <c r="J294" s="114">
        <f t="shared" si="30"/>
        <v>6008197.3599999994</v>
      </c>
      <c r="K294" s="113">
        <f t="shared" si="31"/>
        <v>1184542.1499999994</v>
      </c>
      <c r="L294" s="113">
        <v>964731.04</v>
      </c>
      <c r="M294" s="113">
        <v>0</v>
      </c>
      <c r="N294" s="113">
        <v>3858924.17</v>
      </c>
      <c r="O294" s="113">
        <v>0</v>
      </c>
      <c r="P294" s="113">
        <v>0</v>
      </c>
    </row>
    <row r="295" spans="2:16" ht="13.9" customHeight="1" x14ac:dyDescent="0.25">
      <c r="B295" s="149"/>
      <c r="C295" s="148" t="s">
        <v>104</v>
      </c>
      <c r="D295" s="90">
        <f>SUM(D292:D294)</f>
        <v>18</v>
      </c>
      <c r="E295" s="91">
        <f t="shared" ref="E295:P295" si="33">SUM(E292:E294)</f>
        <v>36171559.350000001</v>
      </c>
      <c r="F295" s="92">
        <f t="shared" si="33"/>
        <v>14248812.769999998</v>
      </c>
      <c r="G295" s="93">
        <f t="shared" si="33"/>
        <v>13672470.449999999</v>
      </c>
      <c r="H295" s="90">
        <f t="shared" si="33"/>
        <v>22499088.900000002</v>
      </c>
      <c r="I295" s="91">
        <f t="shared" si="33"/>
        <v>576342.31999999995</v>
      </c>
      <c r="J295" s="92">
        <f t="shared" si="33"/>
        <v>21922746.580000002</v>
      </c>
      <c r="K295" s="93">
        <f t="shared" si="33"/>
        <v>6366708.2800000021</v>
      </c>
      <c r="L295" s="90">
        <f t="shared" si="33"/>
        <v>3819312.14</v>
      </c>
      <c r="M295" s="91">
        <f t="shared" si="33"/>
        <v>7877801.9900000002</v>
      </c>
      <c r="N295" s="90">
        <f t="shared" si="33"/>
        <v>3858924.17</v>
      </c>
      <c r="O295" s="91">
        <f t="shared" si="33"/>
        <v>0</v>
      </c>
      <c r="P295" s="91">
        <f t="shared" si="33"/>
        <v>0</v>
      </c>
    </row>
    <row r="296" spans="2:16" ht="13.9" customHeight="1" outlineLevel="1" x14ac:dyDescent="0.25">
      <c r="B296" s="149" t="s">
        <v>105</v>
      </c>
      <c r="C296" s="150" t="s">
        <v>75</v>
      </c>
      <c r="D296" s="85">
        <v>0</v>
      </c>
      <c r="E296" s="86">
        <v>0</v>
      </c>
      <c r="F296" s="142">
        <f t="shared" si="29"/>
        <v>0</v>
      </c>
      <c r="G296" s="113">
        <v>0</v>
      </c>
      <c r="H296" s="86">
        <v>0</v>
      </c>
      <c r="I296" s="113">
        <v>0</v>
      </c>
      <c r="J296" s="114">
        <f t="shared" si="30"/>
        <v>0</v>
      </c>
      <c r="K296" s="113">
        <f t="shared" si="31"/>
        <v>0</v>
      </c>
      <c r="L296" s="113">
        <v>0</v>
      </c>
      <c r="M296" s="113">
        <v>0</v>
      </c>
      <c r="N296" s="113">
        <v>0</v>
      </c>
      <c r="O296" s="113">
        <v>0</v>
      </c>
      <c r="P296" s="113">
        <v>0</v>
      </c>
    </row>
    <row r="297" spans="2:16" ht="13.9" customHeight="1" outlineLevel="1" x14ac:dyDescent="0.25">
      <c r="B297" s="149"/>
      <c r="C297" s="150" t="s">
        <v>76</v>
      </c>
      <c r="D297" s="85">
        <v>7</v>
      </c>
      <c r="E297" s="86">
        <v>9231726.0299999993</v>
      </c>
      <c r="F297" s="142">
        <f t="shared" si="29"/>
        <v>2818825</v>
      </c>
      <c r="G297" s="113">
        <v>2818825</v>
      </c>
      <c r="H297" s="86">
        <v>6412901.0300000003</v>
      </c>
      <c r="I297" s="113">
        <v>0</v>
      </c>
      <c r="J297" s="114">
        <f t="shared" si="30"/>
        <v>6412901.0300000003</v>
      </c>
      <c r="K297" s="113">
        <f t="shared" si="31"/>
        <v>1797038.0200000005</v>
      </c>
      <c r="L297" s="113">
        <v>923172.59</v>
      </c>
      <c r="M297" s="113">
        <v>3692690.42</v>
      </c>
      <c r="N297" s="113">
        <v>0</v>
      </c>
      <c r="O297" s="113">
        <v>0</v>
      </c>
      <c r="P297" s="113">
        <v>0</v>
      </c>
    </row>
    <row r="298" spans="2:16" ht="13.9" customHeight="1" x14ac:dyDescent="0.25">
      <c r="B298" s="149"/>
      <c r="C298" s="148" t="s">
        <v>106</v>
      </c>
      <c r="D298" s="90">
        <f>SUM(D296:D297)</f>
        <v>7</v>
      </c>
      <c r="E298" s="91">
        <f t="shared" ref="E298:P298" si="34">SUM(E296:E297)</f>
        <v>9231726.0299999993</v>
      </c>
      <c r="F298" s="92">
        <f t="shared" si="34"/>
        <v>2818825</v>
      </c>
      <c r="G298" s="93">
        <f t="shared" si="34"/>
        <v>2818825</v>
      </c>
      <c r="H298" s="90">
        <f t="shared" si="34"/>
        <v>6412901.0300000003</v>
      </c>
      <c r="I298" s="91">
        <f t="shared" si="34"/>
        <v>0</v>
      </c>
      <c r="J298" s="92">
        <f t="shared" si="34"/>
        <v>6412901.0300000003</v>
      </c>
      <c r="K298" s="93">
        <f t="shared" si="34"/>
        <v>1797038.0200000005</v>
      </c>
      <c r="L298" s="90">
        <f t="shared" si="34"/>
        <v>923172.59</v>
      </c>
      <c r="M298" s="91">
        <f t="shared" si="34"/>
        <v>3692690.42</v>
      </c>
      <c r="N298" s="90">
        <f t="shared" si="34"/>
        <v>0</v>
      </c>
      <c r="O298" s="91">
        <f t="shared" si="34"/>
        <v>0</v>
      </c>
      <c r="P298" s="91">
        <f t="shared" si="34"/>
        <v>0</v>
      </c>
    </row>
    <row r="299" spans="2:16" ht="13.9" customHeight="1" x14ac:dyDescent="0.25">
      <c r="B299" s="155" t="s">
        <v>78</v>
      </c>
      <c r="C299" s="155"/>
      <c r="D299" s="90">
        <f>D291+D295+D298</f>
        <v>83</v>
      </c>
      <c r="E299" s="91">
        <f t="shared" ref="E299:P299" si="35">E291+E295+E298</f>
        <v>220201180.38999999</v>
      </c>
      <c r="F299" s="92">
        <f t="shared" si="35"/>
        <v>78550077.459999993</v>
      </c>
      <c r="G299" s="93">
        <f t="shared" si="35"/>
        <v>75576869.180000007</v>
      </c>
      <c r="H299" s="90">
        <f t="shared" si="35"/>
        <v>144624311.21000004</v>
      </c>
      <c r="I299" s="91">
        <f t="shared" si="35"/>
        <v>2973208.28</v>
      </c>
      <c r="J299" s="92">
        <f t="shared" si="35"/>
        <v>141651102.93000004</v>
      </c>
      <c r="K299" s="93">
        <f t="shared" si="35"/>
        <v>49840387.74000001</v>
      </c>
      <c r="L299" s="90">
        <f t="shared" si="35"/>
        <v>54674430.060000002</v>
      </c>
      <c r="M299" s="91">
        <f t="shared" si="35"/>
        <v>23351298.560000002</v>
      </c>
      <c r="N299" s="90">
        <f t="shared" si="35"/>
        <v>13784986.59</v>
      </c>
      <c r="O299" s="91">
        <f t="shared" si="35"/>
        <v>0</v>
      </c>
      <c r="P299" s="91">
        <f t="shared" si="35"/>
        <v>0</v>
      </c>
    </row>
    <row r="300" spans="2:16" ht="13.9" customHeight="1" x14ac:dyDescent="0.25"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</row>
    <row r="301" spans="2:16" ht="13.9" customHeight="1" x14ac:dyDescent="0.25">
      <c r="B301" s="107" t="s">
        <v>91</v>
      </c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</row>
    <row r="302" spans="2:16" ht="13.9" customHeight="1" x14ac:dyDescent="0.25">
      <c r="B302" s="154" t="s">
        <v>26</v>
      </c>
      <c r="C302" s="148" t="s">
        <v>27</v>
      </c>
      <c r="D302" s="109" t="s">
        <v>28</v>
      </c>
      <c r="E302" s="110" t="s">
        <v>29</v>
      </c>
      <c r="F302" s="111" t="s">
        <v>85</v>
      </c>
      <c r="G302" s="112" t="s">
        <v>81</v>
      </c>
      <c r="H302" s="110" t="s">
        <v>82</v>
      </c>
      <c r="I302" s="112" t="s">
        <v>86</v>
      </c>
      <c r="J302" s="110" t="s">
        <v>87</v>
      </c>
      <c r="K302" s="112">
        <v>2026</v>
      </c>
      <c r="L302" s="112">
        <v>2027</v>
      </c>
      <c r="M302" s="110">
        <v>2028</v>
      </c>
      <c r="N302" s="112">
        <v>2029</v>
      </c>
      <c r="O302" s="110">
        <v>2030</v>
      </c>
      <c r="P302" s="112">
        <v>2031</v>
      </c>
    </row>
    <row r="303" spans="2:16" ht="13.9" customHeight="1" outlineLevel="1" x14ac:dyDescent="0.25">
      <c r="B303" s="149" t="s">
        <v>30</v>
      </c>
      <c r="C303" s="150" t="s">
        <v>31</v>
      </c>
      <c r="D303" s="85">
        <v>15</v>
      </c>
      <c r="E303" s="86">
        <v>25989994.59</v>
      </c>
      <c r="F303" s="142">
        <f t="shared" ref="F303:F346" si="36">G303+I303</f>
        <v>15593996.76</v>
      </c>
      <c r="G303" s="113">
        <v>15578257.02</v>
      </c>
      <c r="H303" s="86">
        <v>10411737.569999998</v>
      </c>
      <c r="I303" s="113">
        <v>15739.739999999998</v>
      </c>
      <c r="J303" s="114">
        <f t="shared" ref="J303:J346" si="37">H303-I303</f>
        <v>10395997.829999998</v>
      </c>
      <c r="K303" s="113">
        <f t="shared" ref="K303:K346" si="38">MAX(J303-SUM(L303:P303),0)</f>
        <v>10395997.829999998</v>
      </c>
      <c r="L303" s="113">
        <v>0</v>
      </c>
      <c r="M303" s="113">
        <v>0</v>
      </c>
      <c r="N303" s="113">
        <v>0</v>
      </c>
      <c r="O303" s="113">
        <v>0</v>
      </c>
      <c r="P303" s="113">
        <v>0</v>
      </c>
    </row>
    <row r="304" spans="2:16" ht="13.9" customHeight="1" outlineLevel="1" x14ac:dyDescent="0.25">
      <c r="B304" s="149"/>
      <c r="C304" s="150" t="s">
        <v>32</v>
      </c>
      <c r="D304" s="85">
        <v>0</v>
      </c>
      <c r="E304" s="86">
        <v>0</v>
      </c>
      <c r="F304" s="142">
        <f t="shared" si="36"/>
        <v>0</v>
      </c>
      <c r="G304" s="113">
        <v>0</v>
      </c>
      <c r="H304" s="86">
        <v>0</v>
      </c>
      <c r="I304" s="113">
        <v>0</v>
      </c>
      <c r="J304" s="114">
        <f t="shared" si="37"/>
        <v>0</v>
      </c>
      <c r="K304" s="113">
        <f t="shared" si="38"/>
        <v>0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</row>
    <row r="305" spans="2:16" ht="13.9" customHeight="1" outlineLevel="1" x14ac:dyDescent="0.25">
      <c r="B305" s="149"/>
      <c r="C305" s="150" t="s">
        <v>33</v>
      </c>
      <c r="D305" s="85">
        <v>2</v>
      </c>
      <c r="E305" s="86">
        <v>2663006.5</v>
      </c>
      <c r="F305" s="142">
        <f t="shared" si="36"/>
        <v>1664379.07</v>
      </c>
      <c r="G305" s="113">
        <v>1331500.75</v>
      </c>
      <c r="H305" s="86">
        <v>1331505.75</v>
      </c>
      <c r="I305" s="113">
        <v>332878.32</v>
      </c>
      <c r="J305" s="114">
        <f t="shared" si="37"/>
        <v>998627.42999999993</v>
      </c>
      <c r="K305" s="113">
        <f t="shared" si="38"/>
        <v>665751.60999999987</v>
      </c>
      <c r="L305" s="113">
        <v>332875.82</v>
      </c>
      <c r="M305" s="113">
        <v>0</v>
      </c>
      <c r="N305" s="113">
        <v>0</v>
      </c>
      <c r="O305" s="113">
        <v>0</v>
      </c>
      <c r="P305" s="113">
        <v>0</v>
      </c>
    </row>
    <row r="306" spans="2:16" ht="13.9" customHeight="1" outlineLevel="1" x14ac:dyDescent="0.25">
      <c r="B306" s="149"/>
      <c r="C306" s="150" t="s">
        <v>34</v>
      </c>
      <c r="D306" s="85">
        <v>33</v>
      </c>
      <c r="E306" s="86">
        <v>76067835.25</v>
      </c>
      <c r="F306" s="142">
        <f t="shared" si="36"/>
        <v>46611747.560000002</v>
      </c>
      <c r="G306" s="113">
        <v>41095643.219999999</v>
      </c>
      <c r="H306" s="86">
        <v>34972192.030000009</v>
      </c>
      <c r="I306" s="113">
        <v>5516104.3399999999</v>
      </c>
      <c r="J306" s="114">
        <f t="shared" si="37"/>
        <v>29456087.690000009</v>
      </c>
      <c r="K306" s="113">
        <f t="shared" si="38"/>
        <v>7364021.4200000055</v>
      </c>
      <c r="L306" s="113">
        <v>14728044.180000002</v>
      </c>
      <c r="M306" s="113">
        <v>7364022.0900000008</v>
      </c>
      <c r="N306" s="113">
        <v>0</v>
      </c>
      <c r="O306" s="113">
        <v>0</v>
      </c>
      <c r="P306" s="113">
        <v>0</v>
      </c>
    </row>
    <row r="307" spans="2:16" ht="13.9" customHeight="1" outlineLevel="1" x14ac:dyDescent="0.25">
      <c r="B307" s="149"/>
      <c r="C307" s="150" t="s">
        <v>35</v>
      </c>
      <c r="D307" s="85">
        <v>0</v>
      </c>
      <c r="E307" s="86">
        <v>0</v>
      </c>
      <c r="F307" s="142">
        <f t="shared" si="36"/>
        <v>0</v>
      </c>
      <c r="G307" s="113">
        <v>0</v>
      </c>
      <c r="H307" s="86">
        <v>0</v>
      </c>
      <c r="I307" s="113">
        <v>0</v>
      </c>
      <c r="J307" s="114">
        <f t="shared" si="37"/>
        <v>0</v>
      </c>
      <c r="K307" s="113">
        <f t="shared" si="38"/>
        <v>0</v>
      </c>
      <c r="L307" s="113">
        <v>0</v>
      </c>
      <c r="M307" s="113">
        <v>0</v>
      </c>
      <c r="N307" s="113">
        <v>0</v>
      </c>
      <c r="O307" s="113">
        <v>0</v>
      </c>
      <c r="P307" s="113">
        <v>0</v>
      </c>
    </row>
    <row r="308" spans="2:16" ht="13.9" customHeight="1" outlineLevel="1" x14ac:dyDescent="0.25">
      <c r="B308" s="149"/>
      <c r="C308" s="150" t="s">
        <v>36</v>
      </c>
      <c r="D308" s="85">
        <v>3</v>
      </c>
      <c r="E308" s="86">
        <v>24328841.5</v>
      </c>
      <c r="F308" s="142">
        <f t="shared" si="36"/>
        <v>11394607.25</v>
      </c>
      <c r="G308" s="113">
        <v>10594925.75</v>
      </c>
      <c r="H308" s="86">
        <v>13733915.75</v>
      </c>
      <c r="I308" s="113">
        <v>799681.5</v>
      </c>
      <c r="J308" s="114">
        <f t="shared" si="37"/>
        <v>12934234.25</v>
      </c>
      <c r="K308" s="113">
        <f t="shared" si="38"/>
        <v>2384650.75</v>
      </c>
      <c r="L308" s="113">
        <v>10549583.5</v>
      </c>
      <c r="M308" s="113">
        <v>0</v>
      </c>
      <c r="N308" s="113">
        <v>0</v>
      </c>
      <c r="O308" s="113">
        <v>0</v>
      </c>
      <c r="P308" s="113">
        <v>0</v>
      </c>
    </row>
    <row r="309" spans="2:16" ht="13.9" customHeight="1" outlineLevel="1" x14ac:dyDescent="0.25">
      <c r="B309" s="149"/>
      <c r="C309" s="150" t="s">
        <v>37</v>
      </c>
      <c r="D309" s="85">
        <v>0</v>
      </c>
      <c r="E309" s="86">
        <v>0</v>
      </c>
      <c r="F309" s="142">
        <f t="shared" si="36"/>
        <v>0</v>
      </c>
      <c r="G309" s="113">
        <v>0</v>
      </c>
      <c r="H309" s="86">
        <v>0</v>
      </c>
      <c r="I309" s="113">
        <v>0</v>
      </c>
      <c r="J309" s="114">
        <f t="shared" si="37"/>
        <v>0</v>
      </c>
      <c r="K309" s="113">
        <f t="shared" si="38"/>
        <v>0</v>
      </c>
      <c r="L309" s="113">
        <v>0</v>
      </c>
      <c r="M309" s="113">
        <v>0</v>
      </c>
      <c r="N309" s="113">
        <v>0</v>
      </c>
      <c r="O309" s="113">
        <v>0</v>
      </c>
      <c r="P309" s="113">
        <v>0</v>
      </c>
    </row>
    <row r="310" spans="2:16" ht="13.9" customHeight="1" outlineLevel="1" x14ac:dyDescent="0.25">
      <c r="B310" s="149"/>
      <c r="C310" s="150" t="s">
        <v>38</v>
      </c>
      <c r="D310" s="85">
        <v>0</v>
      </c>
      <c r="E310" s="86">
        <v>0</v>
      </c>
      <c r="F310" s="142">
        <f t="shared" si="36"/>
        <v>0</v>
      </c>
      <c r="G310" s="113">
        <v>0</v>
      </c>
      <c r="H310" s="86">
        <v>0</v>
      </c>
      <c r="I310" s="113">
        <v>0</v>
      </c>
      <c r="J310" s="114">
        <f t="shared" si="37"/>
        <v>0</v>
      </c>
      <c r="K310" s="113">
        <f t="shared" si="38"/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</row>
    <row r="311" spans="2:16" ht="13.9" customHeight="1" outlineLevel="1" x14ac:dyDescent="0.25">
      <c r="B311" s="149"/>
      <c r="C311" s="150" t="s">
        <v>39</v>
      </c>
      <c r="D311" s="85">
        <v>0</v>
      </c>
      <c r="E311" s="86">
        <v>0</v>
      </c>
      <c r="F311" s="142">
        <f t="shared" si="36"/>
        <v>0</v>
      </c>
      <c r="G311" s="113">
        <v>0</v>
      </c>
      <c r="H311" s="86">
        <v>0</v>
      </c>
      <c r="I311" s="113">
        <v>0</v>
      </c>
      <c r="J311" s="114">
        <f t="shared" si="37"/>
        <v>0</v>
      </c>
      <c r="K311" s="113">
        <f t="shared" si="38"/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</row>
    <row r="312" spans="2:16" ht="13.9" customHeight="1" outlineLevel="1" x14ac:dyDescent="0.25">
      <c r="B312" s="149"/>
      <c r="C312" s="150" t="s">
        <v>40</v>
      </c>
      <c r="D312" s="85">
        <v>0</v>
      </c>
      <c r="E312" s="86">
        <v>0</v>
      </c>
      <c r="F312" s="142">
        <f t="shared" si="36"/>
        <v>0</v>
      </c>
      <c r="G312" s="113">
        <v>0</v>
      </c>
      <c r="H312" s="86">
        <v>0</v>
      </c>
      <c r="I312" s="113">
        <v>0</v>
      </c>
      <c r="J312" s="114">
        <f t="shared" si="37"/>
        <v>0</v>
      </c>
      <c r="K312" s="113">
        <f t="shared" si="38"/>
        <v>0</v>
      </c>
      <c r="L312" s="113">
        <v>0</v>
      </c>
      <c r="M312" s="113">
        <v>0</v>
      </c>
      <c r="N312" s="113">
        <v>0</v>
      </c>
      <c r="O312" s="113">
        <v>0</v>
      </c>
      <c r="P312" s="113">
        <v>0</v>
      </c>
    </row>
    <row r="313" spans="2:16" ht="13.9" customHeight="1" outlineLevel="1" x14ac:dyDescent="0.25">
      <c r="B313" s="149"/>
      <c r="C313" s="150" t="s">
        <v>41</v>
      </c>
      <c r="D313" s="85">
        <v>0</v>
      </c>
      <c r="E313" s="86">
        <v>0</v>
      </c>
      <c r="F313" s="142">
        <f t="shared" si="36"/>
        <v>0</v>
      </c>
      <c r="G313" s="113">
        <v>0</v>
      </c>
      <c r="H313" s="86">
        <v>0</v>
      </c>
      <c r="I313" s="113">
        <v>0</v>
      </c>
      <c r="J313" s="114">
        <f t="shared" si="37"/>
        <v>0</v>
      </c>
      <c r="K313" s="113">
        <f t="shared" si="38"/>
        <v>0</v>
      </c>
      <c r="L313" s="113">
        <v>0</v>
      </c>
      <c r="M313" s="113">
        <v>0</v>
      </c>
      <c r="N313" s="113">
        <v>0</v>
      </c>
      <c r="O313" s="113">
        <v>0</v>
      </c>
      <c r="P313" s="113">
        <v>0</v>
      </c>
    </row>
    <row r="314" spans="2:16" ht="13.9" customHeight="1" outlineLevel="1" x14ac:dyDescent="0.25">
      <c r="B314" s="149"/>
      <c r="C314" s="150" t="s">
        <v>42</v>
      </c>
      <c r="D314" s="85">
        <v>22</v>
      </c>
      <c r="E314" s="86">
        <v>47196516</v>
      </c>
      <c r="F314" s="142">
        <f t="shared" si="36"/>
        <v>27181785.219999999</v>
      </c>
      <c r="G314" s="113">
        <v>24288685.909999996</v>
      </c>
      <c r="H314" s="86">
        <v>22907830.090000004</v>
      </c>
      <c r="I314" s="113">
        <v>2893099.3100000005</v>
      </c>
      <c r="J314" s="114">
        <f t="shared" si="37"/>
        <v>20014730.780000001</v>
      </c>
      <c r="K314" s="113">
        <f t="shared" si="38"/>
        <v>4413626.6900000032</v>
      </c>
      <c r="L314" s="113">
        <v>15601104.089999998</v>
      </c>
      <c r="M314" s="113">
        <v>0</v>
      </c>
      <c r="N314" s="113">
        <v>0</v>
      </c>
      <c r="O314" s="113">
        <v>0</v>
      </c>
      <c r="P314" s="113">
        <v>0</v>
      </c>
    </row>
    <row r="315" spans="2:16" ht="13.9" customHeight="1" outlineLevel="1" x14ac:dyDescent="0.25">
      <c r="B315" s="149"/>
      <c r="C315" s="150" t="s">
        <v>43</v>
      </c>
      <c r="D315" s="85">
        <v>6</v>
      </c>
      <c r="E315" s="86">
        <v>40969493</v>
      </c>
      <c r="F315" s="142">
        <f t="shared" si="36"/>
        <v>21385892.300000001</v>
      </c>
      <c r="G315" s="113">
        <v>19795075.5</v>
      </c>
      <c r="H315" s="86">
        <v>21174417.5</v>
      </c>
      <c r="I315" s="113">
        <v>1590816.8</v>
      </c>
      <c r="J315" s="114">
        <f t="shared" si="37"/>
        <v>19583600.699999999</v>
      </c>
      <c r="K315" s="113">
        <f t="shared" si="38"/>
        <v>7563517.0999999996</v>
      </c>
      <c r="L315" s="113">
        <v>12020083.6</v>
      </c>
      <c r="M315" s="113">
        <v>0</v>
      </c>
      <c r="N315" s="113">
        <v>0</v>
      </c>
      <c r="O315" s="113">
        <v>0</v>
      </c>
      <c r="P315" s="113">
        <v>0</v>
      </c>
    </row>
    <row r="316" spans="2:16" ht="13.9" customHeight="1" outlineLevel="1" x14ac:dyDescent="0.25">
      <c r="B316" s="149"/>
      <c r="C316" s="150" t="s">
        <v>44</v>
      </c>
      <c r="D316" s="85">
        <v>0</v>
      </c>
      <c r="E316" s="86">
        <v>0</v>
      </c>
      <c r="F316" s="142">
        <f t="shared" si="36"/>
        <v>0</v>
      </c>
      <c r="G316" s="113">
        <v>0</v>
      </c>
      <c r="H316" s="86">
        <v>0</v>
      </c>
      <c r="I316" s="113">
        <v>0</v>
      </c>
      <c r="J316" s="114">
        <f t="shared" si="37"/>
        <v>0</v>
      </c>
      <c r="K316" s="113">
        <f t="shared" si="38"/>
        <v>0</v>
      </c>
      <c r="L316" s="113">
        <v>0</v>
      </c>
      <c r="M316" s="113">
        <v>0</v>
      </c>
      <c r="N316" s="113">
        <v>0</v>
      </c>
      <c r="O316" s="113">
        <v>0</v>
      </c>
      <c r="P316" s="113">
        <v>0</v>
      </c>
    </row>
    <row r="317" spans="2:16" ht="13.9" customHeight="1" outlineLevel="1" x14ac:dyDescent="0.25">
      <c r="B317" s="149"/>
      <c r="C317" s="150" t="s">
        <v>45</v>
      </c>
      <c r="D317" s="85">
        <v>0</v>
      </c>
      <c r="E317" s="86">
        <v>0</v>
      </c>
      <c r="F317" s="142">
        <f t="shared" si="36"/>
        <v>0</v>
      </c>
      <c r="G317" s="113">
        <v>0</v>
      </c>
      <c r="H317" s="86">
        <v>0</v>
      </c>
      <c r="I317" s="113">
        <v>0</v>
      </c>
      <c r="J317" s="114">
        <f t="shared" si="37"/>
        <v>0</v>
      </c>
      <c r="K317" s="113">
        <f t="shared" si="38"/>
        <v>0</v>
      </c>
      <c r="L317" s="113">
        <v>0</v>
      </c>
      <c r="M317" s="113">
        <v>0</v>
      </c>
      <c r="N317" s="113">
        <v>0</v>
      </c>
      <c r="O317" s="113">
        <v>0</v>
      </c>
      <c r="P317" s="113">
        <v>0</v>
      </c>
    </row>
    <row r="318" spans="2:16" ht="13.9" customHeight="1" outlineLevel="1" x14ac:dyDescent="0.25">
      <c r="B318" s="149"/>
      <c r="C318" s="150" t="s">
        <v>46</v>
      </c>
      <c r="D318" s="85">
        <v>0</v>
      </c>
      <c r="E318" s="86">
        <v>0</v>
      </c>
      <c r="F318" s="142">
        <f t="shared" si="36"/>
        <v>0</v>
      </c>
      <c r="G318" s="113">
        <v>0</v>
      </c>
      <c r="H318" s="86">
        <v>0</v>
      </c>
      <c r="I318" s="113">
        <v>0</v>
      </c>
      <c r="J318" s="114">
        <f t="shared" si="37"/>
        <v>0</v>
      </c>
      <c r="K318" s="113">
        <f t="shared" si="38"/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</row>
    <row r="319" spans="2:16" ht="13.9" customHeight="1" outlineLevel="1" x14ac:dyDescent="0.25">
      <c r="B319" s="149"/>
      <c r="C319" s="150" t="s">
        <v>47</v>
      </c>
      <c r="D319" s="85">
        <v>38</v>
      </c>
      <c r="E319" s="86">
        <v>88353270.299999982</v>
      </c>
      <c r="F319" s="142">
        <f t="shared" si="36"/>
        <v>48017442.339999989</v>
      </c>
      <c r="G319" s="113">
        <v>47029596.829999991</v>
      </c>
      <c r="H319" s="86">
        <v>41323673.469999999</v>
      </c>
      <c r="I319" s="113">
        <v>987845.51000000024</v>
      </c>
      <c r="J319" s="114">
        <f t="shared" si="37"/>
        <v>40335827.960000001</v>
      </c>
      <c r="K319" s="113">
        <f t="shared" si="38"/>
        <v>40335827.960000001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</row>
    <row r="320" spans="2:16" ht="13.9" customHeight="1" outlineLevel="1" x14ac:dyDescent="0.25">
      <c r="B320" s="149"/>
      <c r="C320" s="150" t="s">
        <v>48</v>
      </c>
      <c r="D320" s="85">
        <v>10</v>
      </c>
      <c r="E320" s="86">
        <v>14718925.700000001</v>
      </c>
      <c r="F320" s="142">
        <f t="shared" si="36"/>
        <v>7460105.0099999998</v>
      </c>
      <c r="G320" s="113">
        <v>7075713.1399999997</v>
      </c>
      <c r="H320" s="86">
        <v>7643212.5600000005</v>
      </c>
      <c r="I320" s="113">
        <v>384391.87</v>
      </c>
      <c r="J320" s="114">
        <f t="shared" si="37"/>
        <v>7258820.6900000004</v>
      </c>
      <c r="K320" s="113">
        <f t="shared" si="38"/>
        <v>1070779.3799999999</v>
      </c>
      <c r="L320" s="113">
        <v>6188041.3100000005</v>
      </c>
      <c r="M320" s="113">
        <v>0</v>
      </c>
      <c r="N320" s="113">
        <v>0</v>
      </c>
      <c r="O320" s="113">
        <v>0</v>
      </c>
      <c r="P320" s="113">
        <v>0</v>
      </c>
    </row>
    <row r="321" spans="2:16" ht="13.9" customHeight="1" outlineLevel="1" x14ac:dyDescent="0.25">
      <c r="B321" s="149"/>
      <c r="C321" s="150" t="s">
        <v>49</v>
      </c>
      <c r="D321" s="85">
        <v>6</v>
      </c>
      <c r="E321" s="86">
        <v>51118872.780000001</v>
      </c>
      <c r="F321" s="142">
        <f t="shared" si="36"/>
        <v>29867614.5</v>
      </c>
      <c r="G321" s="113">
        <v>28850761.420000002</v>
      </c>
      <c r="H321" s="86">
        <v>22268111.360000003</v>
      </c>
      <c r="I321" s="113">
        <v>1016853.08</v>
      </c>
      <c r="J321" s="114">
        <f t="shared" si="37"/>
        <v>21251258.280000005</v>
      </c>
      <c r="K321" s="113">
        <f t="shared" si="38"/>
        <v>11899493.250000006</v>
      </c>
      <c r="L321" s="113">
        <v>9351765.0299999993</v>
      </c>
      <c r="M321" s="113">
        <v>0</v>
      </c>
      <c r="N321" s="113">
        <v>0</v>
      </c>
      <c r="O321" s="113">
        <v>0</v>
      </c>
      <c r="P321" s="113">
        <v>0</v>
      </c>
    </row>
    <row r="322" spans="2:16" ht="13.9" customHeight="1" outlineLevel="1" x14ac:dyDescent="0.25">
      <c r="B322" s="149"/>
      <c r="C322" s="150" t="s">
        <v>50</v>
      </c>
      <c r="D322" s="85">
        <v>0</v>
      </c>
      <c r="E322" s="86">
        <v>0</v>
      </c>
      <c r="F322" s="142">
        <f t="shared" si="36"/>
        <v>0</v>
      </c>
      <c r="G322" s="113">
        <v>0</v>
      </c>
      <c r="H322" s="86">
        <v>0</v>
      </c>
      <c r="I322" s="113">
        <v>0</v>
      </c>
      <c r="J322" s="114">
        <f t="shared" si="37"/>
        <v>0</v>
      </c>
      <c r="K322" s="113">
        <f t="shared" si="38"/>
        <v>0</v>
      </c>
      <c r="L322" s="113">
        <v>0</v>
      </c>
      <c r="M322" s="113">
        <v>0</v>
      </c>
      <c r="N322" s="113">
        <v>0</v>
      </c>
      <c r="O322" s="113">
        <v>0</v>
      </c>
      <c r="P322" s="113">
        <v>0</v>
      </c>
    </row>
    <row r="323" spans="2:16" ht="13.9" customHeight="1" outlineLevel="1" x14ac:dyDescent="0.25">
      <c r="B323" s="149"/>
      <c r="C323" s="150" t="s">
        <v>51</v>
      </c>
      <c r="D323" s="85">
        <v>0</v>
      </c>
      <c r="E323" s="86">
        <v>0</v>
      </c>
      <c r="F323" s="142">
        <f t="shared" si="36"/>
        <v>0</v>
      </c>
      <c r="G323" s="113">
        <v>0</v>
      </c>
      <c r="H323" s="86">
        <v>0</v>
      </c>
      <c r="I323" s="113">
        <v>0</v>
      </c>
      <c r="J323" s="114">
        <f t="shared" si="37"/>
        <v>0</v>
      </c>
      <c r="K323" s="113">
        <f t="shared" si="38"/>
        <v>0</v>
      </c>
      <c r="L323" s="113">
        <v>0</v>
      </c>
      <c r="M323" s="113">
        <v>0</v>
      </c>
      <c r="N323" s="113">
        <v>0</v>
      </c>
      <c r="O323" s="113">
        <v>0</v>
      </c>
      <c r="P323" s="113">
        <v>0</v>
      </c>
    </row>
    <row r="324" spans="2:16" ht="13.9" customHeight="1" outlineLevel="1" x14ac:dyDescent="0.25">
      <c r="B324" s="149"/>
      <c r="C324" s="150" t="s">
        <v>52</v>
      </c>
      <c r="D324" s="85">
        <v>1</v>
      </c>
      <c r="E324" s="86">
        <v>3545929.5</v>
      </c>
      <c r="F324" s="142">
        <f t="shared" si="36"/>
        <v>1566407.2</v>
      </c>
      <c r="G324" s="113">
        <v>1566407.2</v>
      </c>
      <c r="H324" s="86">
        <v>1979522.3</v>
      </c>
      <c r="I324" s="113">
        <v>0</v>
      </c>
      <c r="J324" s="114">
        <f t="shared" si="37"/>
        <v>1979522.3</v>
      </c>
      <c r="K324" s="113">
        <f t="shared" si="38"/>
        <v>0</v>
      </c>
      <c r="L324" s="113">
        <v>0</v>
      </c>
      <c r="M324" s="113">
        <v>206557.55</v>
      </c>
      <c r="N324" s="113">
        <v>1772964.75</v>
      </c>
      <c r="O324" s="113">
        <v>0</v>
      </c>
      <c r="P324" s="113">
        <v>0</v>
      </c>
    </row>
    <row r="325" spans="2:16" ht="13.9" customHeight="1" outlineLevel="1" x14ac:dyDescent="0.25">
      <c r="B325" s="149"/>
      <c r="C325" s="150" t="s">
        <v>53</v>
      </c>
      <c r="D325" s="85">
        <v>0</v>
      </c>
      <c r="E325" s="86">
        <v>0</v>
      </c>
      <c r="F325" s="142">
        <f t="shared" si="36"/>
        <v>0</v>
      </c>
      <c r="G325" s="113">
        <v>0</v>
      </c>
      <c r="H325" s="86">
        <v>0</v>
      </c>
      <c r="I325" s="113">
        <v>0</v>
      </c>
      <c r="J325" s="114">
        <f t="shared" si="37"/>
        <v>0</v>
      </c>
      <c r="K325" s="113">
        <f t="shared" si="38"/>
        <v>0</v>
      </c>
      <c r="L325" s="113">
        <v>0</v>
      </c>
      <c r="M325" s="113">
        <v>0</v>
      </c>
      <c r="N325" s="113">
        <v>0</v>
      </c>
      <c r="O325" s="113">
        <v>0</v>
      </c>
      <c r="P325" s="113">
        <v>0</v>
      </c>
    </row>
    <row r="326" spans="2:16" ht="13.9" customHeight="1" outlineLevel="1" x14ac:dyDescent="0.25">
      <c r="B326" s="149"/>
      <c r="C326" s="150" t="s">
        <v>54</v>
      </c>
      <c r="D326" s="85">
        <v>0</v>
      </c>
      <c r="E326" s="86">
        <v>0</v>
      </c>
      <c r="F326" s="142">
        <f t="shared" si="36"/>
        <v>0</v>
      </c>
      <c r="G326" s="113">
        <v>0</v>
      </c>
      <c r="H326" s="86">
        <v>0</v>
      </c>
      <c r="I326" s="113">
        <v>0</v>
      </c>
      <c r="J326" s="114">
        <f t="shared" si="37"/>
        <v>0</v>
      </c>
      <c r="K326" s="113">
        <f t="shared" si="38"/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</row>
    <row r="327" spans="2:16" ht="13.9" customHeight="1" outlineLevel="1" x14ac:dyDescent="0.25">
      <c r="B327" s="149"/>
      <c r="C327" s="150" t="s">
        <v>55</v>
      </c>
      <c r="D327" s="85">
        <v>0</v>
      </c>
      <c r="E327" s="86">
        <v>0</v>
      </c>
      <c r="F327" s="142">
        <f t="shared" si="36"/>
        <v>0</v>
      </c>
      <c r="G327" s="113">
        <v>0</v>
      </c>
      <c r="H327" s="86">
        <v>0</v>
      </c>
      <c r="I327" s="113">
        <v>0</v>
      </c>
      <c r="J327" s="114">
        <f t="shared" si="37"/>
        <v>0</v>
      </c>
      <c r="K327" s="113">
        <f t="shared" si="38"/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</row>
    <row r="328" spans="2:16" ht="13.9" customHeight="1" outlineLevel="1" x14ac:dyDescent="0.25">
      <c r="B328" s="149"/>
      <c r="C328" s="150" t="s">
        <v>56</v>
      </c>
      <c r="D328" s="85">
        <v>0</v>
      </c>
      <c r="E328" s="86">
        <v>0</v>
      </c>
      <c r="F328" s="142">
        <f t="shared" si="36"/>
        <v>0</v>
      </c>
      <c r="G328" s="113">
        <v>0</v>
      </c>
      <c r="H328" s="86">
        <v>0</v>
      </c>
      <c r="I328" s="113">
        <v>0</v>
      </c>
      <c r="J328" s="114">
        <f t="shared" si="37"/>
        <v>0</v>
      </c>
      <c r="K328" s="113">
        <f t="shared" si="38"/>
        <v>0</v>
      </c>
      <c r="L328" s="113">
        <v>0</v>
      </c>
      <c r="M328" s="113">
        <v>0</v>
      </c>
      <c r="N328" s="113">
        <v>0</v>
      </c>
      <c r="O328" s="113">
        <v>0</v>
      </c>
      <c r="P328" s="113">
        <v>0</v>
      </c>
    </row>
    <row r="329" spans="2:16" ht="13.9" customHeight="1" outlineLevel="1" x14ac:dyDescent="0.25">
      <c r="B329" s="149"/>
      <c r="C329" s="150" t="s">
        <v>57</v>
      </c>
      <c r="D329" s="85">
        <v>0</v>
      </c>
      <c r="E329" s="86">
        <v>0</v>
      </c>
      <c r="F329" s="142">
        <f t="shared" si="36"/>
        <v>0</v>
      </c>
      <c r="G329" s="113">
        <v>0</v>
      </c>
      <c r="H329" s="86">
        <v>0</v>
      </c>
      <c r="I329" s="113">
        <v>0</v>
      </c>
      <c r="J329" s="114">
        <f t="shared" si="37"/>
        <v>0</v>
      </c>
      <c r="K329" s="113">
        <f t="shared" si="38"/>
        <v>0</v>
      </c>
      <c r="L329" s="113">
        <v>0</v>
      </c>
      <c r="M329" s="113">
        <v>0</v>
      </c>
      <c r="N329" s="113">
        <v>0</v>
      </c>
      <c r="O329" s="113">
        <v>0</v>
      </c>
      <c r="P329" s="113">
        <v>0</v>
      </c>
    </row>
    <row r="330" spans="2:16" ht="13.9" customHeight="1" outlineLevel="1" x14ac:dyDescent="0.25">
      <c r="B330" s="149"/>
      <c r="C330" s="150" t="s">
        <v>58</v>
      </c>
      <c r="D330" s="85">
        <v>0</v>
      </c>
      <c r="E330" s="86">
        <v>0</v>
      </c>
      <c r="F330" s="142">
        <f t="shared" si="36"/>
        <v>0</v>
      </c>
      <c r="G330" s="113">
        <v>0</v>
      </c>
      <c r="H330" s="86">
        <v>0</v>
      </c>
      <c r="I330" s="113">
        <v>0</v>
      </c>
      <c r="J330" s="114">
        <f t="shared" si="37"/>
        <v>0</v>
      </c>
      <c r="K330" s="113">
        <f t="shared" si="38"/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</row>
    <row r="331" spans="2:16" ht="13.9" customHeight="1" outlineLevel="1" x14ac:dyDescent="0.25">
      <c r="B331" s="149"/>
      <c r="C331" s="150" t="s">
        <v>59</v>
      </c>
      <c r="D331" s="85">
        <v>0</v>
      </c>
      <c r="E331" s="86">
        <v>0</v>
      </c>
      <c r="F331" s="142">
        <f t="shared" si="36"/>
        <v>0</v>
      </c>
      <c r="G331" s="113">
        <v>0</v>
      </c>
      <c r="H331" s="86">
        <v>0</v>
      </c>
      <c r="I331" s="113">
        <v>0</v>
      </c>
      <c r="J331" s="114">
        <f t="shared" si="37"/>
        <v>0</v>
      </c>
      <c r="K331" s="113">
        <f t="shared" si="38"/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</row>
    <row r="332" spans="2:16" ht="13.9" customHeight="1" outlineLevel="1" x14ac:dyDescent="0.25">
      <c r="B332" s="149"/>
      <c r="C332" s="150" t="s">
        <v>60</v>
      </c>
      <c r="D332" s="85">
        <v>0</v>
      </c>
      <c r="E332" s="86">
        <v>0</v>
      </c>
      <c r="F332" s="142">
        <f t="shared" si="36"/>
        <v>0</v>
      </c>
      <c r="G332" s="113">
        <v>0</v>
      </c>
      <c r="H332" s="86">
        <v>0</v>
      </c>
      <c r="I332" s="113">
        <v>0</v>
      </c>
      <c r="J332" s="114">
        <f t="shared" si="37"/>
        <v>0</v>
      </c>
      <c r="K332" s="113">
        <f t="shared" si="38"/>
        <v>0</v>
      </c>
      <c r="L332" s="113">
        <v>0</v>
      </c>
      <c r="M332" s="113">
        <v>0</v>
      </c>
      <c r="N332" s="113">
        <v>0</v>
      </c>
      <c r="O332" s="113">
        <v>0</v>
      </c>
      <c r="P332" s="113">
        <v>0</v>
      </c>
    </row>
    <row r="333" spans="2:16" ht="13.9" customHeight="1" outlineLevel="1" x14ac:dyDescent="0.25">
      <c r="B333" s="149"/>
      <c r="C333" s="150" t="s">
        <v>61</v>
      </c>
      <c r="D333" s="85">
        <v>0</v>
      </c>
      <c r="E333" s="86">
        <v>0</v>
      </c>
      <c r="F333" s="142">
        <f t="shared" si="36"/>
        <v>0</v>
      </c>
      <c r="G333" s="113">
        <v>0</v>
      </c>
      <c r="H333" s="86">
        <v>0</v>
      </c>
      <c r="I333" s="113">
        <v>0</v>
      </c>
      <c r="J333" s="114">
        <f t="shared" si="37"/>
        <v>0</v>
      </c>
      <c r="K333" s="113">
        <f t="shared" si="38"/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</row>
    <row r="334" spans="2:16" ht="13.9" customHeight="1" outlineLevel="1" x14ac:dyDescent="0.25">
      <c r="B334" s="149"/>
      <c r="C334" s="150" t="s">
        <v>62</v>
      </c>
      <c r="D334" s="85">
        <v>0</v>
      </c>
      <c r="E334" s="86">
        <v>0</v>
      </c>
      <c r="F334" s="142">
        <f t="shared" si="36"/>
        <v>0</v>
      </c>
      <c r="G334" s="113">
        <v>0</v>
      </c>
      <c r="H334" s="86">
        <v>0</v>
      </c>
      <c r="I334" s="113">
        <v>0</v>
      </c>
      <c r="J334" s="114">
        <f t="shared" si="37"/>
        <v>0</v>
      </c>
      <c r="K334" s="113">
        <f t="shared" si="38"/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</row>
    <row r="335" spans="2:16" ht="13.9" customHeight="1" outlineLevel="1" x14ac:dyDescent="0.25">
      <c r="B335" s="149"/>
      <c r="C335" s="150" t="s">
        <v>63</v>
      </c>
      <c r="D335" s="85">
        <v>0</v>
      </c>
      <c r="E335" s="86">
        <v>0</v>
      </c>
      <c r="F335" s="142">
        <f t="shared" si="36"/>
        <v>0</v>
      </c>
      <c r="G335" s="113">
        <v>0</v>
      </c>
      <c r="H335" s="86">
        <v>0</v>
      </c>
      <c r="I335" s="113">
        <v>0</v>
      </c>
      <c r="J335" s="114">
        <f t="shared" si="37"/>
        <v>0</v>
      </c>
      <c r="K335" s="113">
        <f t="shared" si="38"/>
        <v>0</v>
      </c>
      <c r="L335" s="113">
        <v>0</v>
      </c>
      <c r="M335" s="113">
        <v>0</v>
      </c>
      <c r="N335" s="113">
        <v>0</v>
      </c>
      <c r="O335" s="113">
        <v>0</v>
      </c>
      <c r="P335" s="113">
        <v>0</v>
      </c>
    </row>
    <row r="336" spans="2:16" ht="13.9" customHeight="1" outlineLevel="1" x14ac:dyDescent="0.25">
      <c r="B336" s="149"/>
      <c r="C336" s="150" t="s">
        <v>64</v>
      </c>
      <c r="D336" s="85">
        <v>4</v>
      </c>
      <c r="E336" s="86">
        <v>13445574.899999999</v>
      </c>
      <c r="F336" s="142">
        <f t="shared" si="36"/>
        <v>5967964</v>
      </c>
      <c r="G336" s="113">
        <v>5967964</v>
      </c>
      <c r="H336" s="86">
        <v>7477610.8999999994</v>
      </c>
      <c r="I336" s="113">
        <v>0</v>
      </c>
      <c r="J336" s="114">
        <f t="shared" si="37"/>
        <v>7477610.8999999994</v>
      </c>
      <c r="K336" s="113">
        <f t="shared" si="38"/>
        <v>7477610.8999999994</v>
      </c>
      <c r="L336" s="113">
        <v>0</v>
      </c>
      <c r="M336" s="113">
        <v>0</v>
      </c>
      <c r="N336" s="113">
        <v>0</v>
      </c>
      <c r="O336" s="113">
        <v>0</v>
      </c>
      <c r="P336" s="113">
        <v>0</v>
      </c>
    </row>
    <row r="337" spans="2:16" ht="13.9" customHeight="1" outlineLevel="1" x14ac:dyDescent="0.25">
      <c r="B337" s="149"/>
      <c r="C337" s="150" t="s">
        <v>65</v>
      </c>
      <c r="D337" s="85">
        <v>0</v>
      </c>
      <c r="E337" s="86">
        <v>0</v>
      </c>
      <c r="F337" s="142">
        <f t="shared" si="36"/>
        <v>0</v>
      </c>
      <c r="G337" s="113">
        <v>0</v>
      </c>
      <c r="H337" s="86">
        <v>0</v>
      </c>
      <c r="I337" s="113">
        <v>0</v>
      </c>
      <c r="J337" s="114">
        <f t="shared" si="37"/>
        <v>0</v>
      </c>
      <c r="K337" s="113">
        <f t="shared" si="38"/>
        <v>0</v>
      </c>
      <c r="L337" s="113">
        <v>0</v>
      </c>
      <c r="M337" s="113">
        <v>0</v>
      </c>
      <c r="N337" s="113">
        <v>0</v>
      </c>
      <c r="O337" s="113">
        <v>0</v>
      </c>
      <c r="P337" s="113">
        <v>0</v>
      </c>
    </row>
    <row r="338" spans="2:16" ht="13.9" customHeight="1" outlineLevel="1" x14ac:dyDescent="0.25">
      <c r="B338" s="149"/>
      <c r="C338" s="150" t="s">
        <v>66</v>
      </c>
      <c r="D338" s="85">
        <v>0</v>
      </c>
      <c r="E338" s="86">
        <v>0</v>
      </c>
      <c r="F338" s="142">
        <f t="shared" si="36"/>
        <v>0</v>
      </c>
      <c r="G338" s="113">
        <v>0</v>
      </c>
      <c r="H338" s="86">
        <v>0</v>
      </c>
      <c r="I338" s="113">
        <v>0</v>
      </c>
      <c r="J338" s="114">
        <f t="shared" si="37"/>
        <v>0</v>
      </c>
      <c r="K338" s="113">
        <f t="shared" si="38"/>
        <v>0</v>
      </c>
      <c r="L338" s="113">
        <v>0</v>
      </c>
      <c r="M338" s="113">
        <v>0</v>
      </c>
      <c r="N338" s="113">
        <v>0</v>
      </c>
      <c r="O338" s="113">
        <v>0</v>
      </c>
      <c r="P338" s="113">
        <v>0</v>
      </c>
    </row>
    <row r="339" spans="2:16" ht="13.9" customHeight="1" outlineLevel="1" x14ac:dyDescent="0.25">
      <c r="B339" s="149"/>
      <c r="C339" s="150" t="s">
        <v>67</v>
      </c>
      <c r="D339" s="85">
        <v>12</v>
      </c>
      <c r="E339" s="86">
        <v>31023356</v>
      </c>
      <c r="F339" s="142">
        <f t="shared" si="36"/>
        <v>17825738.920000002</v>
      </c>
      <c r="G339" s="113">
        <v>17822422.420000002</v>
      </c>
      <c r="H339" s="86">
        <v>13200933.58</v>
      </c>
      <c r="I339" s="113">
        <v>3316.5</v>
      </c>
      <c r="J339" s="114">
        <f t="shared" si="37"/>
        <v>13197617.08</v>
      </c>
      <c r="K339" s="113">
        <f t="shared" si="38"/>
        <v>13197617.08</v>
      </c>
      <c r="L339" s="113">
        <v>0</v>
      </c>
      <c r="M339" s="113">
        <v>0</v>
      </c>
      <c r="N339" s="113">
        <v>0</v>
      </c>
      <c r="O339" s="113">
        <v>0</v>
      </c>
      <c r="P339" s="113">
        <v>0</v>
      </c>
    </row>
    <row r="340" spans="2:16" ht="13.9" customHeight="1" x14ac:dyDescent="0.25">
      <c r="B340" s="149"/>
      <c r="C340" s="148" t="s">
        <v>103</v>
      </c>
      <c r="D340" s="90">
        <f>SUM(D303:D339)</f>
        <v>152</v>
      </c>
      <c r="E340" s="91">
        <f t="shared" ref="E340:P340" si="39">SUM(E303:E339)</f>
        <v>419421616.01999998</v>
      </c>
      <c r="F340" s="92">
        <f t="shared" si="39"/>
        <v>234537680.13</v>
      </c>
      <c r="G340" s="93">
        <f t="shared" si="39"/>
        <v>220996953.15999997</v>
      </c>
      <c r="H340" s="90">
        <f t="shared" si="39"/>
        <v>198424662.86000007</v>
      </c>
      <c r="I340" s="91">
        <f t="shared" si="39"/>
        <v>13540726.970000001</v>
      </c>
      <c r="J340" s="92">
        <f t="shared" si="39"/>
        <v>184883935.89000005</v>
      </c>
      <c r="K340" s="93">
        <f t="shared" si="39"/>
        <v>106768893.97000001</v>
      </c>
      <c r="L340" s="90">
        <f t="shared" si="39"/>
        <v>68771497.530000001</v>
      </c>
      <c r="M340" s="91">
        <f t="shared" si="39"/>
        <v>7570579.6400000006</v>
      </c>
      <c r="N340" s="90">
        <f t="shared" si="39"/>
        <v>1772964.75</v>
      </c>
      <c r="O340" s="91">
        <f t="shared" si="39"/>
        <v>0</v>
      </c>
      <c r="P340" s="91">
        <f t="shared" si="39"/>
        <v>0</v>
      </c>
    </row>
    <row r="341" spans="2:16" ht="13.9" customHeight="1" outlineLevel="1" x14ac:dyDescent="0.25">
      <c r="B341" s="149" t="s">
        <v>83</v>
      </c>
      <c r="C341" s="150" t="s">
        <v>70</v>
      </c>
      <c r="D341" s="85">
        <v>18</v>
      </c>
      <c r="E341" s="86">
        <v>45520447.220000006</v>
      </c>
      <c r="F341" s="142">
        <f t="shared" si="36"/>
        <v>20143876.889999997</v>
      </c>
      <c r="G341" s="113">
        <v>19914995.989999998</v>
      </c>
      <c r="H341" s="86">
        <v>25605451.23</v>
      </c>
      <c r="I341" s="113">
        <v>228880.9</v>
      </c>
      <c r="J341" s="114">
        <f t="shared" si="37"/>
        <v>25376570.330000002</v>
      </c>
      <c r="K341" s="113">
        <f t="shared" si="38"/>
        <v>6160096.4200000018</v>
      </c>
      <c r="L341" s="113">
        <v>10116968.4</v>
      </c>
      <c r="M341" s="113">
        <v>9099505.5099999998</v>
      </c>
      <c r="N341" s="113">
        <v>0</v>
      </c>
      <c r="O341" s="113">
        <v>0</v>
      </c>
      <c r="P341" s="113">
        <v>0</v>
      </c>
    </row>
    <row r="342" spans="2:16" ht="13.9" customHeight="1" outlineLevel="1" x14ac:dyDescent="0.25">
      <c r="B342" s="149"/>
      <c r="C342" s="150" t="s">
        <v>71</v>
      </c>
      <c r="D342" s="85">
        <v>0</v>
      </c>
      <c r="E342" s="86">
        <v>0</v>
      </c>
      <c r="F342" s="142">
        <f t="shared" si="36"/>
        <v>0</v>
      </c>
      <c r="G342" s="113">
        <v>0</v>
      </c>
      <c r="H342" s="86">
        <v>0</v>
      </c>
      <c r="I342" s="113">
        <v>0</v>
      </c>
      <c r="J342" s="114">
        <f t="shared" si="37"/>
        <v>0</v>
      </c>
      <c r="K342" s="113">
        <f t="shared" si="38"/>
        <v>0</v>
      </c>
      <c r="L342" s="113">
        <v>0</v>
      </c>
      <c r="M342" s="113">
        <v>0</v>
      </c>
      <c r="N342" s="113">
        <v>0</v>
      </c>
      <c r="O342" s="113">
        <v>0</v>
      </c>
      <c r="P342" s="113">
        <v>0</v>
      </c>
    </row>
    <row r="343" spans="2:16" ht="13.9" customHeight="1" outlineLevel="1" x14ac:dyDescent="0.25">
      <c r="B343" s="149"/>
      <c r="C343" s="150" t="s">
        <v>72</v>
      </c>
      <c r="D343" s="85">
        <v>3</v>
      </c>
      <c r="E343" s="86">
        <v>7573542.25</v>
      </c>
      <c r="F343" s="142">
        <f t="shared" si="36"/>
        <v>3639367.6400000006</v>
      </c>
      <c r="G343" s="113">
        <v>3639367.6400000006</v>
      </c>
      <c r="H343" s="86">
        <v>3934174.6100000003</v>
      </c>
      <c r="I343" s="113">
        <v>0</v>
      </c>
      <c r="J343" s="114">
        <f t="shared" si="37"/>
        <v>3934174.6100000003</v>
      </c>
      <c r="K343" s="113">
        <f t="shared" si="38"/>
        <v>155683.22000000067</v>
      </c>
      <c r="L343" s="113">
        <v>196134.05</v>
      </c>
      <c r="M343" s="113">
        <v>552940.44999999995</v>
      </c>
      <c r="N343" s="113">
        <v>3029416.8899999997</v>
      </c>
      <c r="O343" s="113">
        <v>0</v>
      </c>
      <c r="P343" s="113">
        <v>0</v>
      </c>
    </row>
    <row r="344" spans="2:16" ht="13.9" customHeight="1" x14ac:dyDescent="0.25">
      <c r="B344" s="149"/>
      <c r="C344" s="148" t="s">
        <v>104</v>
      </c>
      <c r="D344" s="90">
        <f>SUM(D341:D343)</f>
        <v>21</v>
      </c>
      <c r="E344" s="91">
        <f t="shared" ref="E344:P344" si="40">SUM(E341:E343)</f>
        <v>53093989.470000006</v>
      </c>
      <c r="F344" s="92">
        <f t="shared" si="40"/>
        <v>23783244.529999997</v>
      </c>
      <c r="G344" s="93">
        <f t="shared" si="40"/>
        <v>23554363.629999999</v>
      </c>
      <c r="H344" s="90">
        <f t="shared" si="40"/>
        <v>29539625.84</v>
      </c>
      <c r="I344" s="91">
        <f t="shared" si="40"/>
        <v>228880.9</v>
      </c>
      <c r="J344" s="92">
        <f t="shared" si="40"/>
        <v>29310744.940000001</v>
      </c>
      <c r="K344" s="93">
        <f t="shared" si="40"/>
        <v>6315779.6400000025</v>
      </c>
      <c r="L344" s="90">
        <f t="shared" si="40"/>
        <v>10313102.450000001</v>
      </c>
      <c r="M344" s="91">
        <f t="shared" si="40"/>
        <v>9652445.959999999</v>
      </c>
      <c r="N344" s="90">
        <f t="shared" si="40"/>
        <v>3029416.8899999997</v>
      </c>
      <c r="O344" s="91">
        <f t="shared" si="40"/>
        <v>0</v>
      </c>
      <c r="P344" s="91">
        <f t="shared" si="40"/>
        <v>0</v>
      </c>
    </row>
    <row r="345" spans="2:16" ht="13.9" customHeight="1" outlineLevel="1" x14ac:dyDescent="0.25">
      <c r="B345" s="149" t="s">
        <v>105</v>
      </c>
      <c r="C345" s="150" t="s">
        <v>75</v>
      </c>
      <c r="D345" s="85">
        <v>0</v>
      </c>
      <c r="E345" s="86">
        <v>0</v>
      </c>
      <c r="F345" s="142">
        <f t="shared" si="36"/>
        <v>0</v>
      </c>
      <c r="G345" s="113">
        <v>0</v>
      </c>
      <c r="H345" s="86">
        <v>0</v>
      </c>
      <c r="I345" s="113">
        <v>0</v>
      </c>
      <c r="J345" s="114">
        <f t="shared" si="37"/>
        <v>0</v>
      </c>
      <c r="K345" s="113">
        <f t="shared" si="38"/>
        <v>0</v>
      </c>
      <c r="L345" s="113">
        <v>0</v>
      </c>
      <c r="M345" s="113">
        <v>0</v>
      </c>
      <c r="N345" s="113">
        <v>0</v>
      </c>
      <c r="O345" s="113">
        <v>0</v>
      </c>
      <c r="P345" s="113">
        <v>0</v>
      </c>
    </row>
    <row r="346" spans="2:16" ht="13.9" customHeight="1" outlineLevel="1" x14ac:dyDescent="0.25">
      <c r="B346" s="149"/>
      <c r="C346" s="150" t="s">
        <v>76</v>
      </c>
      <c r="D346" s="85">
        <v>1</v>
      </c>
      <c r="E346" s="86">
        <v>1594215.93</v>
      </c>
      <c r="F346" s="142">
        <f t="shared" si="36"/>
        <v>639990.99</v>
      </c>
      <c r="G346" s="113">
        <v>639990.99</v>
      </c>
      <c r="H346" s="86">
        <v>954224.94</v>
      </c>
      <c r="I346" s="113">
        <v>0</v>
      </c>
      <c r="J346" s="114">
        <f t="shared" si="37"/>
        <v>954224.94</v>
      </c>
      <c r="K346" s="113">
        <f t="shared" si="38"/>
        <v>157116.97999999998</v>
      </c>
      <c r="L346" s="113">
        <v>159421.59</v>
      </c>
      <c r="M346" s="113">
        <v>637686.37</v>
      </c>
      <c r="N346" s="113">
        <v>0</v>
      </c>
      <c r="O346" s="113">
        <v>0</v>
      </c>
      <c r="P346" s="113">
        <v>0</v>
      </c>
    </row>
    <row r="347" spans="2:16" ht="13.9" customHeight="1" x14ac:dyDescent="0.25">
      <c r="B347" s="149"/>
      <c r="C347" s="148" t="s">
        <v>106</v>
      </c>
      <c r="D347" s="90">
        <f>SUM(D345:D346)</f>
        <v>1</v>
      </c>
      <c r="E347" s="91">
        <f t="shared" ref="E347:P347" si="41">SUM(E345:E346)</f>
        <v>1594215.93</v>
      </c>
      <c r="F347" s="92">
        <f t="shared" si="41"/>
        <v>639990.99</v>
      </c>
      <c r="G347" s="93">
        <f t="shared" si="41"/>
        <v>639990.99</v>
      </c>
      <c r="H347" s="90">
        <f t="shared" si="41"/>
        <v>954224.94</v>
      </c>
      <c r="I347" s="91">
        <f t="shared" si="41"/>
        <v>0</v>
      </c>
      <c r="J347" s="92">
        <f t="shared" si="41"/>
        <v>954224.94</v>
      </c>
      <c r="K347" s="93">
        <f t="shared" si="41"/>
        <v>157116.97999999998</v>
      </c>
      <c r="L347" s="90">
        <f t="shared" si="41"/>
        <v>159421.59</v>
      </c>
      <c r="M347" s="91">
        <f t="shared" si="41"/>
        <v>637686.37</v>
      </c>
      <c r="N347" s="90">
        <f t="shared" si="41"/>
        <v>0</v>
      </c>
      <c r="O347" s="91">
        <f t="shared" si="41"/>
        <v>0</v>
      </c>
      <c r="P347" s="91">
        <f t="shared" si="41"/>
        <v>0</v>
      </c>
    </row>
    <row r="348" spans="2:16" ht="13.9" customHeight="1" x14ac:dyDescent="0.25">
      <c r="B348" s="155" t="s">
        <v>78</v>
      </c>
      <c r="C348" s="155"/>
      <c r="D348" s="90">
        <f>D340+D344+D347</f>
        <v>174</v>
      </c>
      <c r="E348" s="91">
        <f t="shared" ref="E348:P348" si="42">E340+E344+E347</f>
        <v>474109821.42000002</v>
      </c>
      <c r="F348" s="92">
        <f t="shared" si="42"/>
        <v>258960915.65000001</v>
      </c>
      <c r="G348" s="93">
        <f t="shared" si="42"/>
        <v>245191307.77999997</v>
      </c>
      <c r="H348" s="90">
        <f t="shared" si="42"/>
        <v>228918513.64000008</v>
      </c>
      <c r="I348" s="91">
        <f t="shared" si="42"/>
        <v>13769607.870000001</v>
      </c>
      <c r="J348" s="92">
        <f t="shared" si="42"/>
        <v>215148905.77000004</v>
      </c>
      <c r="K348" s="93">
        <f t="shared" si="42"/>
        <v>113241790.59000002</v>
      </c>
      <c r="L348" s="90">
        <f t="shared" si="42"/>
        <v>79244021.570000008</v>
      </c>
      <c r="M348" s="91">
        <f t="shared" si="42"/>
        <v>17860711.970000003</v>
      </c>
      <c r="N348" s="90">
        <f t="shared" si="42"/>
        <v>4802381.6399999997</v>
      </c>
      <c r="O348" s="91">
        <f t="shared" si="42"/>
        <v>0</v>
      </c>
      <c r="P348" s="91">
        <f t="shared" si="42"/>
        <v>0</v>
      </c>
    </row>
    <row r="349" spans="2:16" ht="13.9" customHeight="1" x14ac:dyDescent="0.25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</row>
    <row r="350" spans="2:16" ht="13.9" customHeight="1" x14ac:dyDescent="0.25">
      <c r="B350" s="107" t="s">
        <v>92</v>
      </c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</row>
    <row r="351" spans="2:16" ht="13.9" customHeight="1" x14ac:dyDescent="0.25">
      <c r="B351" s="154" t="s">
        <v>26</v>
      </c>
      <c r="C351" s="148" t="s">
        <v>27</v>
      </c>
      <c r="D351" s="109" t="s">
        <v>28</v>
      </c>
      <c r="E351" s="110" t="s">
        <v>29</v>
      </c>
      <c r="F351" s="111" t="s">
        <v>85</v>
      </c>
      <c r="G351" s="112" t="s">
        <v>81</v>
      </c>
      <c r="H351" s="110" t="s">
        <v>82</v>
      </c>
      <c r="I351" s="112" t="s">
        <v>86</v>
      </c>
      <c r="J351" s="110" t="s">
        <v>87</v>
      </c>
      <c r="K351" s="112">
        <v>2026</v>
      </c>
      <c r="L351" s="112">
        <v>2027</v>
      </c>
      <c r="M351" s="110">
        <v>2028</v>
      </c>
      <c r="N351" s="112">
        <v>2029</v>
      </c>
      <c r="O351" s="110">
        <v>2030</v>
      </c>
      <c r="P351" s="112">
        <v>2031</v>
      </c>
    </row>
    <row r="352" spans="2:16" ht="13.9" customHeight="1" outlineLevel="1" x14ac:dyDescent="0.25">
      <c r="B352" s="149" t="s">
        <v>30</v>
      </c>
      <c r="C352" s="150" t="s">
        <v>31</v>
      </c>
      <c r="D352" s="85">
        <v>32</v>
      </c>
      <c r="E352" s="86">
        <v>59969634.079999983</v>
      </c>
      <c r="F352" s="142">
        <f t="shared" ref="F352:F395" si="43">G352+I352</f>
        <v>37650283.24000001</v>
      </c>
      <c r="G352" s="113">
        <v>37650283.24000001</v>
      </c>
      <c r="H352" s="86">
        <v>22319350.84</v>
      </c>
      <c r="I352" s="113">
        <v>0</v>
      </c>
      <c r="J352" s="114">
        <f t="shared" ref="J352:J395" si="44">MAX(0,H352-I352)</f>
        <v>22319350.84</v>
      </c>
      <c r="K352" s="113">
        <f t="shared" ref="K352:K395" si="45">MAX(J352-SUM(L352:P352),0)</f>
        <v>22319350.84</v>
      </c>
      <c r="L352" s="113">
        <v>0</v>
      </c>
      <c r="M352" s="113">
        <v>0</v>
      </c>
      <c r="N352" s="113">
        <v>0</v>
      </c>
      <c r="O352" s="113">
        <v>0</v>
      </c>
      <c r="P352" s="113">
        <v>0</v>
      </c>
    </row>
    <row r="353" spans="2:16" ht="13.9" customHeight="1" outlineLevel="1" x14ac:dyDescent="0.25">
      <c r="B353" s="149"/>
      <c r="C353" s="150" t="s">
        <v>32</v>
      </c>
      <c r="D353" s="85">
        <v>5</v>
      </c>
      <c r="E353" s="86">
        <v>12635059.810000001</v>
      </c>
      <c r="F353" s="142">
        <f t="shared" si="43"/>
        <v>11151613.620000001</v>
      </c>
      <c r="G353" s="113">
        <v>11002723.600000001</v>
      </c>
      <c r="H353" s="86">
        <v>1632338.8799999997</v>
      </c>
      <c r="I353" s="113">
        <v>148890.01999999999</v>
      </c>
      <c r="J353" s="114">
        <f t="shared" si="44"/>
        <v>1483448.8599999996</v>
      </c>
      <c r="K353" s="113">
        <f t="shared" si="45"/>
        <v>1483448.8599999996</v>
      </c>
      <c r="L353" s="113">
        <v>0</v>
      </c>
      <c r="M353" s="113">
        <v>0</v>
      </c>
      <c r="N353" s="113">
        <v>0</v>
      </c>
      <c r="O353" s="113">
        <v>0</v>
      </c>
      <c r="P353" s="113">
        <v>0</v>
      </c>
    </row>
    <row r="354" spans="2:16" ht="13.9" customHeight="1" outlineLevel="1" x14ac:dyDescent="0.25">
      <c r="B354" s="149"/>
      <c r="C354" s="150" t="s">
        <v>33</v>
      </c>
      <c r="D354" s="85">
        <v>47</v>
      </c>
      <c r="E354" s="86">
        <v>92148431.849999994</v>
      </c>
      <c r="F354" s="142">
        <f t="shared" si="43"/>
        <v>69917563.980000004</v>
      </c>
      <c r="G354" s="113">
        <v>69892720.600000009</v>
      </c>
      <c r="H354" s="86">
        <v>22414578.280000001</v>
      </c>
      <c r="I354" s="113">
        <v>24843.38</v>
      </c>
      <c r="J354" s="114">
        <f t="shared" si="44"/>
        <v>22389734.900000002</v>
      </c>
      <c r="K354" s="113">
        <f t="shared" si="45"/>
        <v>14688895.880000003</v>
      </c>
      <c r="L354" s="113">
        <v>7700839.0199999996</v>
      </c>
      <c r="M354" s="113">
        <v>0</v>
      </c>
      <c r="N354" s="113">
        <v>0</v>
      </c>
      <c r="O354" s="113">
        <v>0</v>
      </c>
      <c r="P354" s="113">
        <v>0</v>
      </c>
    </row>
    <row r="355" spans="2:16" ht="13.9" customHeight="1" outlineLevel="1" x14ac:dyDescent="0.25">
      <c r="B355" s="149"/>
      <c r="C355" s="150" t="s">
        <v>34</v>
      </c>
      <c r="D355" s="85">
        <v>20</v>
      </c>
      <c r="E355" s="86">
        <v>52918543</v>
      </c>
      <c r="F355" s="142">
        <f t="shared" si="43"/>
        <v>45961072.519999996</v>
      </c>
      <c r="G355" s="113">
        <v>41369272.889999993</v>
      </c>
      <c r="H355" s="86">
        <v>11656973.15</v>
      </c>
      <c r="I355" s="113">
        <v>4591799.63</v>
      </c>
      <c r="J355" s="114">
        <f t="shared" si="44"/>
        <v>7065173.5200000005</v>
      </c>
      <c r="K355" s="113">
        <f t="shared" si="45"/>
        <v>1591923.4799999995</v>
      </c>
      <c r="L355" s="113">
        <v>3306425.66</v>
      </c>
      <c r="M355" s="113">
        <v>2166824.3800000004</v>
      </c>
      <c r="N355" s="113">
        <v>0</v>
      </c>
      <c r="O355" s="113">
        <v>0</v>
      </c>
      <c r="P355" s="113">
        <v>0</v>
      </c>
    </row>
    <row r="356" spans="2:16" ht="13.9" customHeight="1" outlineLevel="1" x14ac:dyDescent="0.25">
      <c r="B356" s="149"/>
      <c r="C356" s="150" t="s">
        <v>35</v>
      </c>
      <c r="D356" s="85">
        <v>22</v>
      </c>
      <c r="E356" s="86">
        <v>24257950.989999998</v>
      </c>
      <c r="F356" s="142">
        <f t="shared" si="43"/>
        <v>24686284.259999998</v>
      </c>
      <c r="G356" s="113">
        <v>24686275.199999999</v>
      </c>
      <c r="H356" s="86">
        <v>9.0499999998137355</v>
      </c>
      <c r="I356" s="113">
        <v>9.06</v>
      </c>
      <c r="J356" s="114">
        <f t="shared" si="44"/>
        <v>0</v>
      </c>
      <c r="K356" s="113">
        <f t="shared" si="45"/>
        <v>0</v>
      </c>
      <c r="L356" s="113">
        <v>0</v>
      </c>
      <c r="M356" s="113">
        <v>0</v>
      </c>
      <c r="N356" s="113">
        <v>0</v>
      </c>
      <c r="O356" s="113">
        <v>0</v>
      </c>
      <c r="P356" s="113">
        <v>0</v>
      </c>
    </row>
    <row r="357" spans="2:16" ht="13.9" customHeight="1" outlineLevel="1" x14ac:dyDescent="0.25">
      <c r="B357" s="149"/>
      <c r="C357" s="150" t="s">
        <v>36</v>
      </c>
      <c r="D357" s="85">
        <v>0</v>
      </c>
      <c r="E357" s="86">
        <v>0</v>
      </c>
      <c r="F357" s="142">
        <f t="shared" si="43"/>
        <v>0</v>
      </c>
      <c r="G357" s="113">
        <v>0</v>
      </c>
      <c r="H357" s="86">
        <v>0</v>
      </c>
      <c r="I357" s="113">
        <v>0</v>
      </c>
      <c r="J357" s="114">
        <f t="shared" si="44"/>
        <v>0</v>
      </c>
      <c r="K357" s="113">
        <f t="shared" si="45"/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</row>
    <row r="358" spans="2:16" ht="13.9" customHeight="1" outlineLevel="1" x14ac:dyDescent="0.25">
      <c r="B358" s="149"/>
      <c r="C358" s="150" t="s">
        <v>37</v>
      </c>
      <c r="D358" s="85">
        <v>18</v>
      </c>
      <c r="E358" s="86">
        <v>25460981.039999999</v>
      </c>
      <c r="F358" s="142">
        <f t="shared" si="43"/>
        <v>26474161.060000002</v>
      </c>
      <c r="G358" s="113">
        <v>26474160.890000001</v>
      </c>
      <c r="H358" s="86">
        <v>0.15000000013969839</v>
      </c>
      <c r="I358" s="113">
        <v>0.16999999999999998</v>
      </c>
      <c r="J358" s="114">
        <f t="shared" si="44"/>
        <v>0</v>
      </c>
      <c r="K358" s="113">
        <f t="shared" si="45"/>
        <v>0</v>
      </c>
      <c r="L358" s="113">
        <v>0</v>
      </c>
      <c r="M358" s="113">
        <v>0</v>
      </c>
      <c r="N358" s="113">
        <v>0</v>
      </c>
      <c r="O358" s="113">
        <v>0</v>
      </c>
      <c r="P358" s="113">
        <v>0</v>
      </c>
    </row>
    <row r="359" spans="2:16" ht="13.9" customHeight="1" outlineLevel="1" x14ac:dyDescent="0.25">
      <c r="B359" s="149"/>
      <c r="C359" s="150" t="s">
        <v>38</v>
      </c>
      <c r="D359" s="85">
        <v>4</v>
      </c>
      <c r="E359" s="86">
        <v>20309394.25</v>
      </c>
      <c r="F359" s="142">
        <f t="shared" si="43"/>
        <v>20309405.25</v>
      </c>
      <c r="G359" s="113">
        <v>20309404</v>
      </c>
      <c r="H359" s="86">
        <v>1.25</v>
      </c>
      <c r="I359" s="113">
        <v>1.25</v>
      </c>
      <c r="J359" s="114">
        <f t="shared" si="44"/>
        <v>0</v>
      </c>
      <c r="K359" s="113">
        <f t="shared" si="45"/>
        <v>0</v>
      </c>
      <c r="L359" s="113">
        <v>0</v>
      </c>
      <c r="M359" s="113">
        <v>0</v>
      </c>
      <c r="N359" s="113">
        <v>0</v>
      </c>
      <c r="O359" s="113">
        <v>0</v>
      </c>
      <c r="P359" s="113">
        <v>0</v>
      </c>
    </row>
    <row r="360" spans="2:16" ht="13.9" customHeight="1" outlineLevel="1" x14ac:dyDescent="0.25">
      <c r="B360" s="149"/>
      <c r="C360" s="150" t="s">
        <v>39</v>
      </c>
      <c r="D360" s="85">
        <v>1</v>
      </c>
      <c r="E360" s="86">
        <v>11259941</v>
      </c>
      <c r="F360" s="142">
        <f t="shared" si="43"/>
        <v>12385935</v>
      </c>
      <c r="G360" s="113">
        <v>12385935</v>
      </c>
      <c r="H360" s="86">
        <v>0</v>
      </c>
      <c r="I360" s="113">
        <v>0</v>
      </c>
      <c r="J360" s="114">
        <f t="shared" si="44"/>
        <v>0</v>
      </c>
      <c r="K360" s="113">
        <f t="shared" si="45"/>
        <v>0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</row>
    <row r="361" spans="2:16" ht="13.9" customHeight="1" outlineLevel="1" x14ac:dyDescent="0.25">
      <c r="B361" s="149"/>
      <c r="C361" s="150" t="s">
        <v>40</v>
      </c>
      <c r="D361" s="85">
        <v>0</v>
      </c>
      <c r="E361" s="86">
        <v>0</v>
      </c>
      <c r="F361" s="142">
        <f t="shared" si="43"/>
        <v>0</v>
      </c>
      <c r="G361" s="113">
        <v>0</v>
      </c>
      <c r="H361" s="86">
        <v>0</v>
      </c>
      <c r="I361" s="113">
        <v>0</v>
      </c>
      <c r="J361" s="114">
        <f t="shared" si="44"/>
        <v>0</v>
      </c>
      <c r="K361" s="113">
        <f t="shared" si="45"/>
        <v>0</v>
      </c>
      <c r="L361" s="113">
        <v>0</v>
      </c>
      <c r="M361" s="113">
        <v>0</v>
      </c>
      <c r="N361" s="113">
        <v>0</v>
      </c>
      <c r="O361" s="113">
        <v>0</v>
      </c>
      <c r="P361" s="113">
        <v>0</v>
      </c>
    </row>
    <row r="362" spans="2:16" ht="13.9" customHeight="1" outlineLevel="1" x14ac:dyDescent="0.25">
      <c r="B362" s="149"/>
      <c r="C362" s="150" t="s">
        <v>41</v>
      </c>
      <c r="D362" s="85">
        <v>2</v>
      </c>
      <c r="E362" s="86">
        <v>3432017.3</v>
      </c>
      <c r="F362" s="142">
        <f t="shared" si="43"/>
        <v>3433018.63</v>
      </c>
      <c r="G362" s="113">
        <v>3433018.63</v>
      </c>
      <c r="H362" s="86">
        <v>0</v>
      </c>
      <c r="I362" s="113">
        <v>0</v>
      </c>
      <c r="J362" s="114">
        <f t="shared" si="44"/>
        <v>0</v>
      </c>
      <c r="K362" s="113">
        <f t="shared" si="45"/>
        <v>0</v>
      </c>
      <c r="L362" s="113">
        <v>0</v>
      </c>
      <c r="M362" s="113">
        <v>0</v>
      </c>
      <c r="N362" s="113">
        <v>0</v>
      </c>
      <c r="O362" s="113">
        <v>0</v>
      </c>
      <c r="P362" s="113">
        <v>0</v>
      </c>
    </row>
    <row r="363" spans="2:16" ht="13.9" customHeight="1" outlineLevel="1" x14ac:dyDescent="0.25">
      <c r="B363" s="149"/>
      <c r="C363" s="150" t="s">
        <v>42</v>
      </c>
      <c r="D363" s="85">
        <v>37</v>
      </c>
      <c r="E363" s="86">
        <v>66729072.400000006</v>
      </c>
      <c r="F363" s="142">
        <f t="shared" si="43"/>
        <v>47753859.410000004</v>
      </c>
      <c r="G363" s="113">
        <v>47506183.480000004</v>
      </c>
      <c r="H363" s="86">
        <v>19222888.990000002</v>
      </c>
      <c r="I363" s="113">
        <v>247675.93000000002</v>
      </c>
      <c r="J363" s="114">
        <f t="shared" si="44"/>
        <v>18975213.060000002</v>
      </c>
      <c r="K363" s="113">
        <f t="shared" si="45"/>
        <v>5829264.9300000016</v>
      </c>
      <c r="L363" s="113">
        <v>13145948.130000001</v>
      </c>
      <c r="M363" s="113">
        <v>0</v>
      </c>
      <c r="N363" s="113">
        <v>0</v>
      </c>
      <c r="O363" s="113">
        <v>0</v>
      </c>
      <c r="P363" s="113">
        <v>0</v>
      </c>
    </row>
    <row r="364" spans="2:16" ht="13.9" customHeight="1" outlineLevel="1" x14ac:dyDescent="0.25">
      <c r="B364" s="149"/>
      <c r="C364" s="150" t="s">
        <v>43</v>
      </c>
      <c r="D364" s="85">
        <v>7</v>
      </c>
      <c r="E364" s="86">
        <v>31988210</v>
      </c>
      <c r="F364" s="142">
        <f t="shared" si="43"/>
        <v>25767558.32</v>
      </c>
      <c r="G364" s="113">
        <v>24570108.91</v>
      </c>
      <c r="H364" s="86">
        <v>7418110.0499999998</v>
      </c>
      <c r="I364" s="113">
        <v>1197449.4099999999</v>
      </c>
      <c r="J364" s="114">
        <f t="shared" si="44"/>
        <v>6220660.6399999997</v>
      </c>
      <c r="K364" s="113">
        <f t="shared" si="45"/>
        <v>4195415.84</v>
      </c>
      <c r="L364" s="113">
        <v>2025244.8</v>
      </c>
      <c r="M364" s="113">
        <v>0</v>
      </c>
      <c r="N364" s="113">
        <v>0</v>
      </c>
      <c r="O364" s="113">
        <v>0</v>
      </c>
      <c r="P364" s="113">
        <v>0</v>
      </c>
    </row>
    <row r="365" spans="2:16" ht="13.9" customHeight="1" outlineLevel="1" x14ac:dyDescent="0.25">
      <c r="B365" s="149"/>
      <c r="C365" s="150" t="s">
        <v>44</v>
      </c>
      <c r="D365" s="85">
        <v>10</v>
      </c>
      <c r="E365" s="86">
        <v>28658453.100000001</v>
      </c>
      <c r="F365" s="142">
        <f t="shared" si="43"/>
        <v>28657437.870000001</v>
      </c>
      <c r="G365" s="113">
        <v>28657437.870000001</v>
      </c>
      <c r="H365" s="86">
        <v>1019.8800000003539</v>
      </c>
      <c r="I365" s="113">
        <v>0</v>
      </c>
      <c r="J365" s="114">
        <f t="shared" si="44"/>
        <v>1019.8800000003539</v>
      </c>
      <c r="K365" s="113">
        <f t="shared" si="45"/>
        <v>3.539071258273907E-10</v>
      </c>
      <c r="L365" s="113">
        <v>0</v>
      </c>
      <c r="M365" s="113">
        <v>1019.88</v>
      </c>
      <c r="N365" s="113">
        <v>0</v>
      </c>
      <c r="O365" s="113">
        <v>0</v>
      </c>
      <c r="P365" s="113">
        <v>0</v>
      </c>
    </row>
    <row r="366" spans="2:16" ht="13.9" customHeight="1" outlineLevel="1" x14ac:dyDescent="0.25">
      <c r="B366" s="149"/>
      <c r="C366" s="150" t="s">
        <v>45</v>
      </c>
      <c r="D366" s="85">
        <v>0</v>
      </c>
      <c r="E366" s="86">
        <v>0</v>
      </c>
      <c r="F366" s="142">
        <f t="shared" si="43"/>
        <v>0</v>
      </c>
      <c r="G366" s="113">
        <v>0</v>
      </c>
      <c r="H366" s="86">
        <v>0</v>
      </c>
      <c r="I366" s="113">
        <v>0</v>
      </c>
      <c r="J366" s="114">
        <f t="shared" si="44"/>
        <v>0</v>
      </c>
      <c r="K366" s="113">
        <f t="shared" si="45"/>
        <v>0</v>
      </c>
      <c r="L366" s="113">
        <v>0</v>
      </c>
      <c r="M366" s="113">
        <v>0</v>
      </c>
      <c r="N366" s="113">
        <v>0</v>
      </c>
      <c r="O366" s="113">
        <v>0</v>
      </c>
      <c r="P366" s="113">
        <v>0</v>
      </c>
    </row>
    <row r="367" spans="2:16" ht="13.9" customHeight="1" outlineLevel="1" x14ac:dyDescent="0.25">
      <c r="B367" s="149"/>
      <c r="C367" s="150" t="s">
        <v>46</v>
      </c>
      <c r="D367" s="85">
        <v>0</v>
      </c>
      <c r="E367" s="86">
        <v>0</v>
      </c>
      <c r="F367" s="142">
        <f t="shared" si="43"/>
        <v>0</v>
      </c>
      <c r="G367" s="113">
        <v>0</v>
      </c>
      <c r="H367" s="86">
        <v>0</v>
      </c>
      <c r="I367" s="113">
        <v>0</v>
      </c>
      <c r="J367" s="114">
        <f t="shared" si="44"/>
        <v>0</v>
      </c>
      <c r="K367" s="113">
        <f t="shared" si="45"/>
        <v>0</v>
      </c>
      <c r="L367" s="113">
        <v>0</v>
      </c>
      <c r="M367" s="113">
        <v>0</v>
      </c>
      <c r="N367" s="113">
        <v>0</v>
      </c>
      <c r="O367" s="113">
        <v>0</v>
      </c>
      <c r="P367" s="113">
        <v>0</v>
      </c>
    </row>
    <row r="368" spans="2:16" ht="13.9" customHeight="1" outlineLevel="1" x14ac:dyDescent="0.25">
      <c r="B368" s="149"/>
      <c r="C368" s="150" t="s">
        <v>47</v>
      </c>
      <c r="D368" s="85">
        <v>41</v>
      </c>
      <c r="E368" s="86">
        <v>94050362.030000016</v>
      </c>
      <c r="F368" s="142">
        <f t="shared" si="43"/>
        <v>68911538.950000003</v>
      </c>
      <c r="G368" s="113">
        <v>68911536.430000007</v>
      </c>
      <c r="H368" s="86">
        <v>25139298.239999998</v>
      </c>
      <c r="I368" s="113">
        <v>2.52</v>
      </c>
      <c r="J368" s="114">
        <f t="shared" si="44"/>
        <v>25139295.719999999</v>
      </c>
      <c r="K368" s="113">
        <f t="shared" si="45"/>
        <v>25139295.719999999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</row>
    <row r="369" spans="2:16" ht="13.9" customHeight="1" outlineLevel="1" x14ac:dyDescent="0.25">
      <c r="B369" s="149"/>
      <c r="C369" s="150" t="s">
        <v>48</v>
      </c>
      <c r="D369" s="85">
        <v>7</v>
      </c>
      <c r="E369" s="86">
        <v>7628908.5</v>
      </c>
      <c r="F369" s="142">
        <f t="shared" si="43"/>
        <v>5128367.7</v>
      </c>
      <c r="G369" s="113">
        <v>5128367.7</v>
      </c>
      <c r="H369" s="86">
        <v>2500541.8400000003</v>
      </c>
      <c r="I369" s="113">
        <v>0</v>
      </c>
      <c r="J369" s="114">
        <f t="shared" si="44"/>
        <v>2500541.8400000003</v>
      </c>
      <c r="K369" s="113">
        <f t="shared" si="45"/>
        <v>591401.0700000003</v>
      </c>
      <c r="L369" s="113">
        <v>1909140.77</v>
      </c>
      <c r="M369" s="113">
        <v>0</v>
      </c>
      <c r="N369" s="113">
        <v>0</v>
      </c>
      <c r="O369" s="113">
        <v>0</v>
      </c>
      <c r="P369" s="113">
        <v>0</v>
      </c>
    </row>
    <row r="370" spans="2:16" ht="13.9" customHeight="1" outlineLevel="1" x14ac:dyDescent="0.25">
      <c r="B370" s="149"/>
      <c r="C370" s="150" t="s">
        <v>49</v>
      </c>
      <c r="D370" s="85">
        <v>11</v>
      </c>
      <c r="E370" s="86">
        <v>94776588.399999976</v>
      </c>
      <c r="F370" s="142">
        <f t="shared" si="43"/>
        <v>80338418.340000004</v>
      </c>
      <c r="G370" s="113">
        <v>79510555.100000009</v>
      </c>
      <c r="H370" s="86">
        <v>15267036.590000002</v>
      </c>
      <c r="I370" s="113">
        <v>827863.24</v>
      </c>
      <c r="J370" s="114">
        <f t="shared" si="44"/>
        <v>14439173.350000001</v>
      </c>
      <c r="K370" s="113">
        <f t="shared" si="45"/>
        <v>11146043.32</v>
      </c>
      <c r="L370" s="113">
        <v>3293130.0300000003</v>
      </c>
      <c r="M370" s="113">
        <v>0</v>
      </c>
      <c r="N370" s="113">
        <v>0</v>
      </c>
      <c r="O370" s="113">
        <v>0</v>
      </c>
      <c r="P370" s="113">
        <v>0</v>
      </c>
    </row>
    <row r="371" spans="2:16" ht="13.9" customHeight="1" outlineLevel="1" x14ac:dyDescent="0.25">
      <c r="B371" s="149"/>
      <c r="C371" s="150" t="s">
        <v>50</v>
      </c>
      <c r="D371" s="85">
        <v>0</v>
      </c>
      <c r="E371" s="86">
        <v>0</v>
      </c>
      <c r="F371" s="142">
        <f t="shared" si="43"/>
        <v>0</v>
      </c>
      <c r="G371" s="113">
        <v>0</v>
      </c>
      <c r="H371" s="86">
        <v>0</v>
      </c>
      <c r="I371" s="113">
        <v>0</v>
      </c>
      <c r="J371" s="114">
        <f t="shared" si="44"/>
        <v>0</v>
      </c>
      <c r="K371" s="113">
        <f t="shared" si="45"/>
        <v>0</v>
      </c>
      <c r="L371" s="113">
        <v>0</v>
      </c>
      <c r="M371" s="113">
        <v>0</v>
      </c>
      <c r="N371" s="113">
        <v>0</v>
      </c>
      <c r="O371" s="113">
        <v>0</v>
      </c>
      <c r="P371" s="113">
        <v>0</v>
      </c>
    </row>
    <row r="372" spans="2:16" ht="13.9" customHeight="1" outlineLevel="1" x14ac:dyDescent="0.25">
      <c r="B372" s="149"/>
      <c r="C372" s="150" t="s">
        <v>51</v>
      </c>
      <c r="D372" s="85">
        <v>2</v>
      </c>
      <c r="E372" s="86">
        <v>2628359.5999999996</v>
      </c>
      <c r="F372" s="142">
        <f t="shared" si="43"/>
        <v>2628358.6399999997</v>
      </c>
      <c r="G372" s="113">
        <v>2628358.6399999997</v>
      </c>
      <c r="H372" s="86">
        <v>1.4499999999534339</v>
      </c>
      <c r="I372" s="113">
        <v>0</v>
      </c>
      <c r="J372" s="114">
        <f t="shared" si="44"/>
        <v>1.4499999999534339</v>
      </c>
      <c r="K372" s="113">
        <f t="shared" si="45"/>
        <v>0</v>
      </c>
      <c r="L372" s="113">
        <v>1.45</v>
      </c>
      <c r="M372" s="113">
        <v>0</v>
      </c>
      <c r="N372" s="113">
        <v>0</v>
      </c>
      <c r="O372" s="113">
        <v>0</v>
      </c>
      <c r="P372" s="113">
        <v>0</v>
      </c>
    </row>
    <row r="373" spans="2:16" ht="13.9" customHeight="1" outlineLevel="1" x14ac:dyDescent="0.25">
      <c r="B373" s="149"/>
      <c r="C373" s="150" t="s">
        <v>52</v>
      </c>
      <c r="D373" s="85">
        <v>0</v>
      </c>
      <c r="E373" s="86">
        <v>0</v>
      </c>
      <c r="F373" s="142">
        <f t="shared" si="43"/>
        <v>0</v>
      </c>
      <c r="G373" s="113">
        <v>0</v>
      </c>
      <c r="H373" s="86">
        <v>0</v>
      </c>
      <c r="I373" s="113">
        <v>0</v>
      </c>
      <c r="J373" s="114">
        <f t="shared" si="44"/>
        <v>0</v>
      </c>
      <c r="K373" s="113">
        <f t="shared" si="45"/>
        <v>0</v>
      </c>
      <c r="L373" s="113">
        <v>0</v>
      </c>
      <c r="M373" s="113">
        <v>0</v>
      </c>
      <c r="N373" s="113">
        <v>0</v>
      </c>
      <c r="O373" s="113">
        <v>0</v>
      </c>
      <c r="P373" s="113">
        <v>0</v>
      </c>
    </row>
    <row r="374" spans="2:16" ht="13.9" customHeight="1" outlineLevel="1" x14ac:dyDescent="0.25">
      <c r="B374" s="149"/>
      <c r="C374" s="150" t="s">
        <v>53</v>
      </c>
      <c r="D374" s="85">
        <v>0</v>
      </c>
      <c r="E374" s="86">
        <v>0</v>
      </c>
      <c r="F374" s="142">
        <f t="shared" si="43"/>
        <v>0</v>
      </c>
      <c r="G374" s="113">
        <v>0</v>
      </c>
      <c r="H374" s="86">
        <v>0</v>
      </c>
      <c r="I374" s="113">
        <v>0</v>
      </c>
      <c r="J374" s="114">
        <f t="shared" si="44"/>
        <v>0</v>
      </c>
      <c r="K374" s="113">
        <f t="shared" si="45"/>
        <v>0</v>
      </c>
      <c r="L374" s="113">
        <v>0</v>
      </c>
      <c r="M374" s="113">
        <v>0</v>
      </c>
      <c r="N374" s="113">
        <v>0</v>
      </c>
      <c r="O374" s="113">
        <v>0</v>
      </c>
      <c r="P374" s="113">
        <v>0</v>
      </c>
    </row>
    <row r="375" spans="2:16" ht="13.9" customHeight="1" outlineLevel="1" x14ac:dyDescent="0.25">
      <c r="B375" s="149"/>
      <c r="C375" s="150" t="s">
        <v>54</v>
      </c>
      <c r="D375" s="85">
        <v>0</v>
      </c>
      <c r="E375" s="86">
        <v>0</v>
      </c>
      <c r="F375" s="142">
        <f t="shared" si="43"/>
        <v>0</v>
      </c>
      <c r="G375" s="113">
        <v>0</v>
      </c>
      <c r="H375" s="86">
        <v>0</v>
      </c>
      <c r="I375" s="113">
        <v>0</v>
      </c>
      <c r="J375" s="114">
        <f t="shared" si="44"/>
        <v>0</v>
      </c>
      <c r="K375" s="113">
        <f t="shared" si="45"/>
        <v>0</v>
      </c>
      <c r="L375" s="113">
        <v>0</v>
      </c>
      <c r="M375" s="113">
        <v>0</v>
      </c>
      <c r="N375" s="113">
        <v>0</v>
      </c>
      <c r="O375" s="113">
        <v>0</v>
      </c>
      <c r="P375" s="113">
        <v>0</v>
      </c>
    </row>
    <row r="376" spans="2:16" ht="13.9" customHeight="1" outlineLevel="1" x14ac:dyDescent="0.25">
      <c r="B376" s="149"/>
      <c r="C376" s="150" t="s">
        <v>55</v>
      </c>
      <c r="D376" s="85">
        <v>0</v>
      </c>
      <c r="E376" s="86">
        <v>0</v>
      </c>
      <c r="F376" s="142">
        <f t="shared" si="43"/>
        <v>0</v>
      </c>
      <c r="G376" s="113">
        <v>0</v>
      </c>
      <c r="H376" s="86">
        <v>0</v>
      </c>
      <c r="I376" s="113">
        <v>0</v>
      </c>
      <c r="J376" s="114">
        <f t="shared" si="44"/>
        <v>0</v>
      </c>
      <c r="K376" s="113">
        <f t="shared" si="45"/>
        <v>0</v>
      </c>
      <c r="L376" s="113">
        <v>0</v>
      </c>
      <c r="M376" s="113">
        <v>0</v>
      </c>
      <c r="N376" s="113">
        <v>0</v>
      </c>
      <c r="O376" s="113">
        <v>0</v>
      </c>
      <c r="P376" s="113">
        <v>0</v>
      </c>
    </row>
    <row r="377" spans="2:16" ht="13.9" customHeight="1" outlineLevel="1" x14ac:dyDescent="0.25">
      <c r="B377" s="149"/>
      <c r="C377" s="150" t="s">
        <v>56</v>
      </c>
      <c r="D377" s="85">
        <v>0</v>
      </c>
      <c r="E377" s="86">
        <v>0</v>
      </c>
      <c r="F377" s="142">
        <f t="shared" si="43"/>
        <v>0</v>
      </c>
      <c r="G377" s="113">
        <v>0</v>
      </c>
      <c r="H377" s="86">
        <v>0</v>
      </c>
      <c r="I377" s="113">
        <v>0</v>
      </c>
      <c r="J377" s="114">
        <f t="shared" si="44"/>
        <v>0</v>
      </c>
      <c r="K377" s="113">
        <f t="shared" si="45"/>
        <v>0</v>
      </c>
      <c r="L377" s="113">
        <v>0</v>
      </c>
      <c r="M377" s="113">
        <v>0</v>
      </c>
      <c r="N377" s="113">
        <v>0</v>
      </c>
      <c r="O377" s="113">
        <v>0</v>
      </c>
      <c r="P377" s="113">
        <v>0</v>
      </c>
    </row>
    <row r="378" spans="2:16" ht="13.9" customHeight="1" outlineLevel="1" x14ac:dyDescent="0.25">
      <c r="B378" s="149"/>
      <c r="C378" s="150" t="s">
        <v>57</v>
      </c>
      <c r="D378" s="85">
        <v>0</v>
      </c>
      <c r="E378" s="86">
        <v>0</v>
      </c>
      <c r="F378" s="142">
        <f t="shared" si="43"/>
        <v>0</v>
      </c>
      <c r="G378" s="113">
        <v>0</v>
      </c>
      <c r="H378" s="86">
        <v>0</v>
      </c>
      <c r="I378" s="113">
        <v>0</v>
      </c>
      <c r="J378" s="114">
        <f t="shared" si="44"/>
        <v>0</v>
      </c>
      <c r="K378" s="113">
        <f t="shared" si="45"/>
        <v>0</v>
      </c>
      <c r="L378" s="113">
        <v>0</v>
      </c>
      <c r="M378" s="113">
        <v>0</v>
      </c>
      <c r="N378" s="113">
        <v>0</v>
      </c>
      <c r="O378" s="113">
        <v>0</v>
      </c>
      <c r="P378" s="113">
        <v>0</v>
      </c>
    </row>
    <row r="379" spans="2:16" ht="13.9" customHeight="1" outlineLevel="1" x14ac:dyDescent="0.25">
      <c r="B379" s="149"/>
      <c r="C379" s="150" t="s">
        <v>58</v>
      </c>
      <c r="D379" s="85">
        <v>0</v>
      </c>
      <c r="E379" s="86">
        <v>0</v>
      </c>
      <c r="F379" s="142">
        <f t="shared" si="43"/>
        <v>0</v>
      </c>
      <c r="G379" s="113">
        <v>0</v>
      </c>
      <c r="H379" s="86">
        <v>0</v>
      </c>
      <c r="I379" s="113">
        <v>0</v>
      </c>
      <c r="J379" s="114">
        <f t="shared" si="44"/>
        <v>0</v>
      </c>
      <c r="K379" s="113">
        <f t="shared" si="45"/>
        <v>0</v>
      </c>
      <c r="L379" s="113">
        <v>0</v>
      </c>
      <c r="M379" s="113">
        <v>0</v>
      </c>
      <c r="N379" s="113">
        <v>0</v>
      </c>
      <c r="O379" s="113">
        <v>0</v>
      </c>
      <c r="P379" s="113">
        <v>0</v>
      </c>
    </row>
    <row r="380" spans="2:16" ht="13.9" customHeight="1" outlineLevel="1" x14ac:dyDescent="0.25">
      <c r="B380" s="149"/>
      <c r="C380" s="150" t="s">
        <v>59</v>
      </c>
      <c r="D380" s="85">
        <v>0</v>
      </c>
      <c r="E380" s="86">
        <v>0</v>
      </c>
      <c r="F380" s="142">
        <f t="shared" si="43"/>
        <v>0</v>
      </c>
      <c r="G380" s="113">
        <v>0</v>
      </c>
      <c r="H380" s="86">
        <v>0</v>
      </c>
      <c r="I380" s="113">
        <v>0</v>
      </c>
      <c r="J380" s="114">
        <f t="shared" si="44"/>
        <v>0</v>
      </c>
      <c r="K380" s="113">
        <f t="shared" si="45"/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</row>
    <row r="381" spans="2:16" ht="13.9" customHeight="1" outlineLevel="1" x14ac:dyDescent="0.25">
      <c r="B381" s="149"/>
      <c r="C381" s="150" t="s">
        <v>60</v>
      </c>
      <c r="D381" s="85">
        <v>0</v>
      </c>
      <c r="E381" s="86">
        <v>0</v>
      </c>
      <c r="F381" s="142">
        <f t="shared" si="43"/>
        <v>0</v>
      </c>
      <c r="G381" s="113">
        <v>0</v>
      </c>
      <c r="H381" s="86">
        <v>0</v>
      </c>
      <c r="I381" s="113">
        <v>0</v>
      </c>
      <c r="J381" s="114">
        <f t="shared" si="44"/>
        <v>0</v>
      </c>
      <c r="K381" s="113">
        <f t="shared" si="45"/>
        <v>0</v>
      </c>
      <c r="L381" s="113">
        <v>0</v>
      </c>
      <c r="M381" s="113">
        <v>0</v>
      </c>
      <c r="N381" s="113">
        <v>0</v>
      </c>
      <c r="O381" s="113">
        <v>0</v>
      </c>
      <c r="P381" s="113">
        <v>0</v>
      </c>
    </row>
    <row r="382" spans="2:16" ht="13.9" customHeight="1" outlineLevel="1" x14ac:dyDescent="0.25">
      <c r="B382" s="149"/>
      <c r="C382" s="150" t="s">
        <v>61</v>
      </c>
      <c r="D382" s="85">
        <v>0</v>
      </c>
      <c r="E382" s="86">
        <v>0</v>
      </c>
      <c r="F382" s="142">
        <f t="shared" si="43"/>
        <v>0</v>
      </c>
      <c r="G382" s="113">
        <v>0</v>
      </c>
      <c r="H382" s="86">
        <v>0</v>
      </c>
      <c r="I382" s="113">
        <v>0</v>
      </c>
      <c r="J382" s="114">
        <f t="shared" si="44"/>
        <v>0</v>
      </c>
      <c r="K382" s="113">
        <f t="shared" si="45"/>
        <v>0</v>
      </c>
      <c r="L382" s="113">
        <v>0</v>
      </c>
      <c r="M382" s="113">
        <v>0</v>
      </c>
      <c r="N382" s="113">
        <v>0</v>
      </c>
      <c r="O382" s="113">
        <v>0</v>
      </c>
      <c r="P382" s="113">
        <v>0</v>
      </c>
    </row>
    <row r="383" spans="2:16" ht="13.9" customHeight="1" outlineLevel="1" x14ac:dyDescent="0.25">
      <c r="B383" s="149"/>
      <c r="C383" s="150" t="s">
        <v>62</v>
      </c>
      <c r="D383" s="85">
        <v>0</v>
      </c>
      <c r="E383" s="86">
        <v>0</v>
      </c>
      <c r="F383" s="142">
        <f t="shared" si="43"/>
        <v>0</v>
      </c>
      <c r="G383" s="113">
        <v>0</v>
      </c>
      <c r="H383" s="86">
        <v>0</v>
      </c>
      <c r="I383" s="113">
        <v>0</v>
      </c>
      <c r="J383" s="114">
        <f t="shared" si="44"/>
        <v>0</v>
      </c>
      <c r="K383" s="113">
        <f t="shared" si="45"/>
        <v>0</v>
      </c>
      <c r="L383" s="113">
        <v>0</v>
      </c>
      <c r="M383" s="113">
        <v>0</v>
      </c>
      <c r="N383" s="113">
        <v>0</v>
      </c>
      <c r="O383" s="113">
        <v>0</v>
      </c>
      <c r="P383" s="113">
        <v>0</v>
      </c>
    </row>
    <row r="384" spans="2:16" ht="13.9" customHeight="1" outlineLevel="1" x14ac:dyDescent="0.25">
      <c r="B384" s="149"/>
      <c r="C384" s="150" t="s">
        <v>63</v>
      </c>
      <c r="D384" s="85">
        <v>0</v>
      </c>
      <c r="E384" s="86">
        <v>0</v>
      </c>
      <c r="F384" s="142">
        <f t="shared" si="43"/>
        <v>0</v>
      </c>
      <c r="G384" s="113">
        <v>0</v>
      </c>
      <c r="H384" s="86">
        <v>0</v>
      </c>
      <c r="I384" s="113">
        <v>0</v>
      </c>
      <c r="J384" s="114">
        <f t="shared" si="44"/>
        <v>0</v>
      </c>
      <c r="K384" s="113">
        <f t="shared" si="45"/>
        <v>0</v>
      </c>
      <c r="L384" s="113">
        <v>0</v>
      </c>
      <c r="M384" s="113">
        <v>0</v>
      </c>
      <c r="N384" s="113">
        <v>0</v>
      </c>
      <c r="O384" s="113">
        <v>0</v>
      </c>
      <c r="P384" s="113">
        <v>0</v>
      </c>
    </row>
    <row r="385" spans="2:16" ht="13.9" customHeight="1" outlineLevel="1" x14ac:dyDescent="0.25">
      <c r="B385" s="149"/>
      <c r="C385" s="150" t="s">
        <v>64</v>
      </c>
      <c r="D385" s="85">
        <v>6</v>
      </c>
      <c r="E385" s="86">
        <v>12985914.4</v>
      </c>
      <c r="F385" s="142">
        <f t="shared" si="43"/>
        <v>9115391.120000001</v>
      </c>
      <c r="G385" s="113">
        <v>9115390.8000000007</v>
      </c>
      <c r="H385" s="86">
        <v>3870523.5999999996</v>
      </c>
      <c r="I385" s="113">
        <v>0.32</v>
      </c>
      <c r="J385" s="114">
        <f t="shared" si="44"/>
        <v>3870523.28</v>
      </c>
      <c r="K385" s="113">
        <f t="shared" si="45"/>
        <v>3870523.28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</row>
    <row r="386" spans="2:16" ht="13.9" customHeight="1" outlineLevel="1" x14ac:dyDescent="0.25">
      <c r="B386" s="149"/>
      <c r="C386" s="150" t="s">
        <v>65</v>
      </c>
      <c r="D386" s="85">
        <v>4</v>
      </c>
      <c r="E386" s="86">
        <v>7550709.3399999999</v>
      </c>
      <c r="F386" s="142">
        <f t="shared" si="43"/>
        <v>7561921.8100000005</v>
      </c>
      <c r="G386" s="113">
        <v>7561921.8100000005</v>
      </c>
      <c r="H386" s="86">
        <v>0</v>
      </c>
      <c r="I386" s="113">
        <v>0</v>
      </c>
      <c r="J386" s="114">
        <f t="shared" si="44"/>
        <v>0</v>
      </c>
      <c r="K386" s="113">
        <f t="shared" si="45"/>
        <v>0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</row>
    <row r="387" spans="2:16" ht="13.9" customHeight="1" outlineLevel="1" x14ac:dyDescent="0.25">
      <c r="B387" s="149"/>
      <c r="C387" s="150" t="s">
        <v>66</v>
      </c>
      <c r="D387" s="85">
        <v>15</v>
      </c>
      <c r="E387" s="86">
        <v>28166641</v>
      </c>
      <c r="F387" s="142">
        <f t="shared" si="43"/>
        <v>28769507.659999996</v>
      </c>
      <c r="G387" s="113">
        <v>28769500.759999998</v>
      </c>
      <c r="H387" s="86">
        <v>6.8999999999068677</v>
      </c>
      <c r="I387" s="113">
        <v>6.9</v>
      </c>
      <c r="J387" s="114">
        <f t="shared" si="44"/>
        <v>0</v>
      </c>
      <c r="K387" s="113">
        <f t="shared" si="45"/>
        <v>0</v>
      </c>
      <c r="L387" s="113">
        <v>0</v>
      </c>
      <c r="M387" s="113">
        <v>0</v>
      </c>
      <c r="N387" s="113">
        <v>0</v>
      </c>
      <c r="O387" s="113">
        <v>0</v>
      </c>
      <c r="P387" s="113">
        <v>0</v>
      </c>
    </row>
    <row r="388" spans="2:16" ht="13.9" customHeight="1" outlineLevel="1" x14ac:dyDescent="0.25">
      <c r="B388" s="149"/>
      <c r="C388" s="150" t="s">
        <v>67</v>
      </c>
      <c r="D388" s="85">
        <v>14</v>
      </c>
      <c r="E388" s="86">
        <v>37521519</v>
      </c>
      <c r="F388" s="142">
        <f t="shared" si="43"/>
        <v>27883733.679999996</v>
      </c>
      <c r="G388" s="113">
        <v>26484895.679999996</v>
      </c>
      <c r="H388" s="86">
        <v>11061239.720000003</v>
      </c>
      <c r="I388" s="113">
        <v>1398838</v>
      </c>
      <c r="J388" s="114">
        <f t="shared" si="44"/>
        <v>9662401.7200000025</v>
      </c>
      <c r="K388" s="113">
        <f t="shared" si="45"/>
        <v>9662401.7200000025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</row>
    <row r="389" spans="2:16" ht="13.9" customHeight="1" x14ac:dyDescent="0.25">
      <c r="B389" s="149"/>
      <c r="C389" s="148" t="s">
        <v>103</v>
      </c>
      <c r="D389" s="90">
        <f>SUM(D352:D388)</f>
        <v>305</v>
      </c>
      <c r="E389" s="91">
        <f t="shared" ref="E389:P389" si="46">SUM(E352:E388)</f>
        <v>715076691.09000003</v>
      </c>
      <c r="F389" s="92">
        <f t="shared" si="46"/>
        <v>584485431.05999994</v>
      </c>
      <c r="G389" s="93">
        <f t="shared" si="46"/>
        <v>576048051.23000002</v>
      </c>
      <c r="H389" s="90">
        <f t="shared" si="46"/>
        <v>142503918.86000001</v>
      </c>
      <c r="I389" s="91">
        <f t="shared" si="46"/>
        <v>8437379.8300000001</v>
      </c>
      <c r="J389" s="92">
        <f t="shared" si="46"/>
        <v>134066539.06000002</v>
      </c>
      <c r="K389" s="93">
        <f t="shared" si="46"/>
        <v>100517964.94</v>
      </c>
      <c r="L389" s="90">
        <f t="shared" si="46"/>
        <v>31380729.860000003</v>
      </c>
      <c r="M389" s="91">
        <f t="shared" si="46"/>
        <v>2167844.2600000002</v>
      </c>
      <c r="N389" s="90">
        <f t="shared" si="46"/>
        <v>0</v>
      </c>
      <c r="O389" s="91">
        <f t="shared" si="46"/>
        <v>0</v>
      </c>
      <c r="P389" s="91">
        <f t="shared" si="46"/>
        <v>0</v>
      </c>
    </row>
    <row r="390" spans="2:16" ht="13.9" customHeight="1" outlineLevel="1" x14ac:dyDescent="0.25">
      <c r="B390" s="149" t="s">
        <v>83</v>
      </c>
      <c r="C390" s="150" t="s">
        <v>70</v>
      </c>
      <c r="D390" s="85">
        <v>5</v>
      </c>
      <c r="E390" s="86">
        <v>10779955.079999998</v>
      </c>
      <c r="F390" s="142">
        <f t="shared" si="43"/>
        <v>6535072</v>
      </c>
      <c r="G390" s="113">
        <v>6535072</v>
      </c>
      <c r="H390" s="86">
        <v>4244883.08</v>
      </c>
      <c r="I390" s="113">
        <v>0</v>
      </c>
      <c r="J390" s="114">
        <f t="shared" si="44"/>
        <v>4244883.08</v>
      </c>
      <c r="K390" s="113">
        <f t="shared" si="45"/>
        <v>0</v>
      </c>
      <c r="L390" s="113">
        <v>2590480.8200000003</v>
      </c>
      <c r="M390" s="113">
        <v>1654402.27</v>
      </c>
      <c r="N390" s="113">
        <v>0</v>
      </c>
      <c r="O390" s="113">
        <v>0</v>
      </c>
      <c r="P390" s="113">
        <v>0</v>
      </c>
    </row>
    <row r="391" spans="2:16" ht="13.9" customHeight="1" outlineLevel="1" x14ac:dyDescent="0.25">
      <c r="B391" s="149"/>
      <c r="C391" s="150" t="s">
        <v>71</v>
      </c>
      <c r="D391" s="85">
        <v>0</v>
      </c>
      <c r="E391" s="86">
        <v>0</v>
      </c>
      <c r="F391" s="142">
        <f t="shared" si="43"/>
        <v>0</v>
      </c>
      <c r="G391" s="113">
        <v>0</v>
      </c>
      <c r="H391" s="86">
        <v>0</v>
      </c>
      <c r="I391" s="113">
        <v>0</v>
      </c>
      <c r="J391" s="114">
        <f t="shared" si="44"/>
        <v>0</v>
      </c>
      <c r="K391" s="113">
        <f t="shared" si="45"/>
        <v>0</v>
      </c>
      <c r="L391" s="113">
        <v>0</v>
      </c>
      <c r="M391" s="113">
        <v>0</v>
      </c>
      <c r="N391" s="113">
        <v>0</v>
      </c>
      <c r="O391" s="113">
        <v>0</v>
      </c>
      <c r="P391" s="113">
        <v>0</v>
      </c>
    </row>
    <row r="392" spans="2:16" ht="13.9" customHeight="1" outlineLevel="1" x14ac:dyDescent="0.25">
      <c r="B392" s="149"/>
      <c r="C392" s="150" t="s">
        <v>72</v>
      </c>
      <c r="D392" s="85">
        <v>0</v>
      </c>
      <c r="E392" s="86">
        <v>0</v>
      </c>
      <c r="F392" s="142">
        <f t="shared" si="43"/>
        <v>0</v>
      </c>
      <c r="G392" s="113">
        <v>0</v>
      </c>
      <c r="H392" s="86">
        <v>0</v>
      </c>
      <c r="I392" s="113">
        <v>0</v>
      </c>
      <c r="J392" s="114">
        <f t="shared" si="44"/>
        <v>0</v>
      </c>
      <c r="K392" s="113">
        <f t="shared" si="45"/>
        <v>0</v>
      </c>
      <c r="L392" s="113">
        <v>0</v>
      </c>
      <c r="M392" s="113">
        <v>0</v>
      </c>
      <c r="N392" s="113">
        <v>0</v>
      </c>
      <c r="O392" s="113">
        <v>0</v>
      </c>
      <c r="P392" s="113">
        <v>0</v>
      </c>
    </row>
    <row r="393" spans="2:16" ht="13.9" customHeight="1" x14ac:dyDescent="0.25">
      <c r="B393" s="149"/>
      <c r="C393" s="148" t="s">
        <v>104</v>
      </c>
      <c r="D393" s="90">
        <f>SUM(D390:D392)</f>
        <v>5</v>
      </c>
      <c r="E393" s="91">
        <f t="shared" ref="E393:P393" si="47">SUM(E390:E392)</f>
        <v>10779955.079999998</v>
      </c>
      <c r="F393" s="92">
        <f t="shared" si="47"/>
        <v>6535072</v>
      </c>
      <c r="G393" s="93">
        <f t="shared" si="47"/>
        <v>6535072</v>
      </c>
      <c r="H393" s="90">
        <f t="shared" si="47"/>
        <v>4244883.08</v>
      </c>
      <c r="I393" s="91">
        <f t="shared" si="47"/>
        <v>0</v>
      </c>
      <c r="J393" s="92">
        <f t="shared" si="47"/>
        <v>4244883.08</v>
      </c>
      <c r="K393" s="93">
        <f t="shared" si="47"/>
        <v>0</v>
      </c>
      <c r="L393" s="90">
        <f t="shared" si="47"/>
        <v>2590480.8200000003</v>
      </c>
      <c r="M393" s="91">
        <f t="shared" si="47"/>
        <v>1654402.27</v>
      </c>
      <c r="N393" s="90">
        <f t="shared" si="47"/>
        <v>0</v>
      </c>
      <c r="O393" s="91">
        <f t="shared" si="47"/>
        <v>0</v>
      </c>
      <c r="P393" s="91">
        <f t="shared" si="47"/>
        <v>0</v>
      </c>
    </row>
    <row r="394" spans="2:16" ht="13.9" customHeight="1" outlineLevel="1" x14ac:dyDescent="0.25">
      <c r="B394" s="149" t="s">
        <v>105</v>
      </c>
      <c r="C394" s="150" t="s">
        <v>75</v>
      </c>
      <c r="D394" s="85">
        <v>0</v>
      </c>
      <c r="E394" s="86">
        <v>0</v>
      </c>
      <c r="F394" s="142">
        <f t="shared" si="43"/>
        <v>0</v>
      </c>
      <c r="G394" s="113">
        <v>0</v>
      </c>
      <c r="H394" s="86">
        <v>0</v>
      </c>
      <c r="I394" s="113">
        <v>0</v>
      </c>
      <c r="J394" s="114">
        <f t="shared" si="44"/>
        <v>0</v>
      </c>
      <c r="K394" s="113">
        <f t="shared" si="45"/>
        <v>0</v>
      </c>
      <c r="L394" s="113">
        <v>0</v>
      </c>
      <c r="M394" s="113">
        <v>0</v>
      </c>
      <c r="N394" s="113">
        <v>0</v>
      </c>
      <c r="O394" s="113">
        <v>0</v>
      </c>
      <c r="P394" s="113">
        <v>0</v>
      </c>
    </row>
    <row r="395" spans="2:16" ht="13.9" customHeight="1" outlineLevel="1" x14ac:dyDescent="0.25">
      <c r="B395" s="149"/>
      <c r="C395" s="150" t="s">
        <v>76</v>
      </c>
      <c r="D395" s="85">
        <v>0</v>
      </c>
      <c r="E395" s="86">
        <v>0</v>
      </c>
      <c r="F395" s="142">
        <f t="shared" si="43"/>
        <v>0</v>
      </c>
      <c r="G395" s="113">
        <v>0</v>
      </c>
      <c r="H395" s="86">
        <v>0</v>
      </c>
      <c r="I395" s="113">
        <v>0</v>
      </c>
      <c r="J395" s="114">
        <f t="shared" si="44"/>
        <v>0</v>
      </c>
      <c r="K395" s="113">
        <f t="shared" si="45"/>
        <v>0</v>
      </c>
      <c r="L395" s="113">
        <v>0</v>
      </c>
      <c r="M395" s="113">
        <v>0</v>
      </c>
      <c r="N395" s="113">
        <v>0</v>
      </c>
      <c r="O395" s="113">
        <v>0</v>
      </c>
      <c r="P395" s="113">
        <v>0</v>
      </c>
    </row>
    <row r="396" spans="2:16" ht="13.9" customHeight="1" x14ac:dyDescent="0.25">
      <c r="B396" s="149"/>
      <c r="C396" s="148" t="s">
        <v>106</v>
      </c>
      <c r="D396" s="90">
        <f>SUM(D394:D395)</f>
        <v>0</v>
      </c>
      <c r="E396" s="91">
        <f t="shared" ref="E396:P396" si="48">SUM(E394:E395)</f>
        <v>0</v>
      </c>
      <c r="F396" s="92">
        <f t="shared" si="48"/>
        <v>0</v>
      </c>
      <c r="G396" s="93">
        <f t="shared" si="48"/>
        <v>0</v>
      </c>
      <c r="H396" s="90">
        <f t="shared" si="48"/>
        <v>0</v>
      </c>
      <c r="I396" s="91">
        <f t="shared" si="48"/>
        <v>0</v>
      </c>
      <c r="J396" s="92">
        <f t="shared" si="48"/>
        <v>0</v>
      </c>
      <c r="K396" s="93">
        <f t="shared" si="48"/>
        <v>0</v>
      </c>
      <c r="L396" s="90">
        <f t="shared" si="48"/>
        <v>0</v>
      </c>
      <c r="M396" s="91">
        <f t="shared" si="48"/>
        <v>0</v>
      </c>
      <c r="N396" s="90">
        <f t="shared" si="48"/>
        <v>0</v>
      </c>
      <c r="O396" s="91">
        <f t="shared" si="48"/>
        <v>0</v>
      </c>
      <c r="P396" s="91">
        <f t="shared" si="48"/>
        <v>0</v>
      </c>
    </row>
    <row r="397" spans="2:16" ht="13.9" customHeight="1" x14ac:dyDescent="0.25">
      <c r="B397" s="155" t="s">
        <v>78</v>
      </c>
      <c r="C397" s="155"/>
      <c r="D397" s="90">
        <f>+D389+D393+D396</f>
        <v>310</v>
      </c>
      <c r="E397" s="91">
        <f t="shared" ref="E397:P397" si="49">+E389+E393+E396</f>
        <v>725856646.17000008</v>
      </c>
      <c r="F397" s="92">
        <f t="shared" si="49"/>
        <v>591020503.05999994</v>
      </c>
      <c r="G397" s="93">
        <f t="shared" si="49"/>
        <v>582583123.23000002</v>
      </c>
      <c r="H397" s="90">
        <f t="shared" si="49"/>
        <v>146748801.94000003</v>
      </c>
      <c r="I397" s="91">
        <f t="shared" si="49"/>
        <v>8437379.8300000001</v>
      </c>
      <c r="J397" s="92">
        <f t="shared" si="49"/>
        <v>138311422.14000002</v>
      </c>
      <c r="K397" s="93">
        <f t="shared" si="49"/>
        <v>100517964.94</v>
      </c>
      <c r="L397" s="90">
        <f t="shared" si="49"/>
        <v>33971210.680000007</v>
      </c>
      <c r="M397" s="91">
        <f t="shared" si="49"/>
        <v>3822246.5300000003</v>
      </c>
      <c r="N397" s="90">
        <f t="shared" si="49"/>
        <v>0</v>
      </c>
      <c r="O397" s="91">
        <f t="shared" si="49"/>
        <v>0</v>
      </c>
      <c r="P397" s="91">
        <f t="shared" si="49"/>
        <v>0</v>
      </c>
    </row>
    <row r="398" spans="2:16" ht="13.9" customHeight="1" x14ac:dyDescent="0.25"/>
    <row r="399" spans="2:16" ht="13.9" customHeight="1" x14ac:dyDescent="0.25"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</row>
    <row r="400" spans="2:16" x14ac:dyDescent="0.25"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</row>
    <row r="401" spans="3:18" x14ac:dyDescent="0.25">
      <c r="C401" s="14"/>
      <c r="D401" s="14"/>
      <c r="E401" s="14"/>
      <c r="F401" s="14"/>
      <c r="G401" s="14"/>
      <c r="H401" s="157"/>
      <c r="I401" s="14"/>
      <c r="J401" s="157"/>
      <c r="K401" s="157"/>
      <c r="L401" s="157"/>
      <c r="M401" s="157"/>
      <c r="N401" s="157"/>
      <c r="O401" s="157"/>
      <c r="P401" s="157"/>
    </row>
    <row r="402" spans="3:18" x14ac:dyDescent="0.25">
      <c r="C402" s="14"/>
      <c r="D402" s="14"/>
      <c r="E402" s="14"/>
      <c r="F402" s="14"/>
      <c r="G402" s="14"/>
      <c r="H402" s="95"/>
      <c r="I402" s="14"/>
      <c r="J402" s="95"/>
      <c r="K402" s="95"/>
      <c r="L402" s="95"/>
      <c r="M402" s="95"/>
      <c r="N402" s="95"/>
      <c r="O402" s="95"/>
      <c r="P402" s="95"/>
    </row>
    <row r="403" spans="3:18" x14ac:dyDescent="0.25">
      <c r="C403" s="14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</row>
    <row r="404" spans="3:18" x14ac:dyDescent="0.25">
      <c r="C404" s="14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</row>
    <row r="405" spans="3:18" x14ac:dyDescent="0.25">
      <c r="C405" s="14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</row>
    <row r="406" spans="3:18" x14ac:dyDescent="0.25">
      <c r="C406" s="14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</row>
    <row r="407" spans="3:18" x14ac:dyDescent="0.25">
      <c r="C407" s="14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</row>
    <row r="408" spans="3:18" x14ac:dyDescent="0.25">
      <c r="C408" s="14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</row>
    <row r="409" spans="3:18" x14ac:dyDescent="0.25">
      <c r="C409" s="14"/>
      <c r="D409" s="9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3:18" x14ac:dyDescent="0.25"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3:18" x14ac:dyDescent="0.25"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3:18" x14ac:dyDescent="0.25"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3:18" x14ac:dyDescent="0.25"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spans="3:18" x14ac:dyDescent="0.25"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</sheetData>
  <mergeCells count="48">
    <mergeCell ref="B345:B347"/>
    <mergeCell ref="B348:C348"/>
    <mergeCell ref="B352:B389"/>
    <mergeCell ref="B390:B393"/>
    <mergeCell ref="B394:B396"/>
    <mergeCell ref="B397:C397"/>
    <mergeCell ref="B254:B291"/>
    <mergeCell ref="B292:B295"/>
    <mergeCell ref="B296:B298"/>
    <mergeCell ref="B299:C299"/>
    <mergeCell ref="B303:B340"/>
    <mergeCell ref="B341:B344"/>
    <mergeCell ref="B197:B199"/>
    <mergeCell ref="B200:C200"/>
    <mergeCell ref="B205:B242"/>
    <mergeCell ref="B243:B246"/>
    <mergeCell ref="B247:B249"/>
    <mergeCell ref="B250:C250"/>
    <mergeCell ref="B106:B143"/>
    <mergeCell ref="B144:B147"/>
    <mergeCell ref="B148:B150"/>
    <mergeCell ref="B151:C151"/>
    <mergeCell ref="B155:B192"/>
    <mergeCell ref="B193:B196"/>
    <mergeCell ref="L55:M55"/>
    <mergeCell ref="N55:O55"/>
    <mergeCell ref="B57:B94"/>
    <mergeCell ref="B95:B98"/>
    <mergeCell ref="B99:B101"/>
    <mergeCell ref="B102:C102"/>
    <mergeCell ref="B52:C52"/>
    <mergeCell ref="B55:B56"/>
    <mergeCell ref="D55:E55"/>
    <mergeCell ref="F55:G55"/>
    <mergeCell ref="H55:I55"/>
    <mergeCell ref="J55:K55"/>
    <mergeCell ref="N3:O3"/>
    <mergeCell ref="B5:B42"/>
    <mergeCell ref="B43:B46"/>
    <mergeCell ref="B47:B49"/>
    <mergeCell ref="B50:C50"/>
    <mergeCell ref="B51:C51"/>
    <mergeCell ref="B3:B4"/>
    <mergeCell ref="D3:E3"/>
    <mergeCell ref="F3:G3"/>
    <mergeCell ref="H3:I3"/>
    <mergeCell ref="J3:K3"/>
    <mergeCell ref="L3:M3"/>
  </mergeCells>
  <conditionalFormatting sqref="B3">
    <cfRule type="cellIs" dxfId="74" priority="9" operator="lessThan">
      <formula>0</formula>
    </cfRule>
  </conditionalFormatting>
  <conditionalFormatting sqref="B151">
    <cfRule type="cellIs" dxfId="73" priority="10" operator="lessThan">
      <formula>0</formula>
    </cfRule>
  </conditionalFormatting>
  <conditionalFormatting sqref="B200">
    <cfRule type="cellIs" dxfId="72" priority="8" operator="lessThan">
      <formula>0</formula>
    </cfRule>
  </conditionalFormatting>
  <conditionalFormatting sqref="B250">
    <cfRule type="cellIs" dxfId="71" priority="7" operator="lessThan">
      <formula>0</formula>
    </cfRule>
  </conditionalFormatting>
  <conditionalFormatting sqref="B299">
    <cfRule type="cellIs" dxfId="70" priority="6" operator="lessThan">
      <formula>0</formula>
    </cfRule>
  </conditionalFormatting>
  <conditionalFormatting sqref="B348">
    <cfRule type="cellIs" dxfId="69" priority="5" operator="lessThan">
      <formula>0</formula>
    </cfRule>
  </conditionalFormatting>
  <conditionalFormatting sqref="B397">
    <cfRule type="cellIs" dxfId="68" priority="4" operator="lessThan">
      <formula>0</formula>
    </cfRule>
  </conditionalFormatting>
  <conditionalFormatting sqref="C3:C49 B50:B52 C53:C101 B102 C105:C150 B153 C154:C199 B203 C204:C249 C251 B252 C253:C298 B301 C302:C347 B350 C351:C396 C401:C402">
    <cfRule type="cellIs" dxfId="67" priority="11" operator="lessThan">
      <formula>0</formula>
    </cfRule>
  </conditionalFormatting>
  <conditionalFormatting sqref="C404:C456">
    <cfRule type="duplicateValues" dxfId="66" priority="14"/>
  </conditionalFormatting>
  <conditionalFormatting sqref="C1:Q2 D3:Q104 D105:P200 D203:P397">
    <cfRule type="cellIs" dxfId="65" priority="12" operator="lessThan">
      <formula>0</formula>
    </cfRule>
  </conditionalFormatting>
  <conditionalFormatting sqref="D399:P402">
    <cfRule type="cellIs" dxfId="64" priority="3" operator="lessThan">
      <formula>0</formula>
    </cfRule>
  </conditionalFormatting>
  <conditionalFormatting sqref="R1:R23">
    <cfRule type="cellIs" dxfId="63" priority="13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7" fitToHeight="2" orientation="landscape" r:id="rId1"/>
  <headerFooter alignWithMargins="0">
    <oddHeader>&amp;LSOBHA LLC&amp;C&amp;18
Bulk buyers_10mn to 15mn investment_Paid% category VS Balance collectibles YOY breakup&amp;R&amp;D</oddHeader>
    <oddFooter>&amp;LCOLLECTIONS&amp;R&amp;P/&amp;N</oddFooter>
  </headerFooter>
  <rowBreaks count="3" manualBreakCount="3">
    <brk id="102" min="1" max="15" man="1"/>
    <brk id="202" min="1" max="15" man="1"/>
    <brk id="300" min="1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8A11-3BDD-4498-A290-1B0969934990}">
  <dimension ref="A3:R412"/>
  <sheetViews>
    <sheetView view="pageBreakPreview" topLeftCell="C368" zoomScale="70" zoomScaleNormal="100" zoomScaleSheetLayoutView="70" workbookViewId="0">
      <selection activeCell="D397" sqref="D397"/>
    </sheetView>
  </sheetViews>
  <sheetFormatPr defaultRowHeight="15" outlineLevelRow="1" x14ac:dyDescent="0.25"/>
  <cols>
    <col min="1" max="1" width="12.7109375" bestFit="1" customWidth="1"/>
    <col min="2" max="2" width="12.7109375" customWidth="1"/>
    <col min="3" max="3" width="78.85546875" bestFit="1" customWidth="1"/>
    <col min="4" max="4" width="15.42578125" bestFit="1" customWidth="1"/>
    <col min="5" max="5" width="22.5703125" bestFit="1" customWidth="1"/>
    <col min="6" max="6" width="26.5703125" bestFit="1" customWidth="1"/>
    <col min="7" max="9" width="22.5703125" bestFit="1" customWidth="1"/>
    <col min="10" max="10" width="22.28515625" bestFit="1" customWidth="1"/>
    <col min="11" max="11" width="22.5703125" bestFit="1" customWidth="1"/>
    <col min="12" max="12" width="17.7109375" bestFit="1" customWidth="1"/>
    <col min="13" max="13" width="22.5703125" bestFit="1" customWidth="1"/>
    <col min="14" max="14" width="17.7109375" bestFit="1" customWidth="1"/>
    <col min="15" max="15" width="22.5703125" bestFit="1" customWidth="1"/>
    <col min="16" max="16" width="17.5703125" customWidth="1"/>
    <col min="17" max="17" width="11.42578125" bestFit="1" customWidth="1"/>
    <col min="18" max="18" width="22.28515625" bestFit="1" customWidth="1"/>
    <col min="19" max="19" width="17.85546875" bestFit="1" customWidth="1"/>
    <col min="20" max="21" width="15" bestFit="1" customWidth="1"/>
    <col min="23" max="23" width="18.42578125" customWidth="1"/>
  </cols>
  <sheetData>
    <row r="3" spans="1:18" ht="13.9" customHeight="1" x14ac:dyDescent="0.25">
      <c r="A3">
        <v>3</v>
      </c>
      <c r="B3" s="147" t="s">
        <v>26</v>
      </c>
      <c r="C3" s="148" t="s">
        <v>19</v>
      </c>
      <c r="D3" s="73" t="s">
        <v>20</v>
      </c>
      <c r="E3" s="74"/>
      <c r="F3" s="75" t="s">
        <v>21</v>
      </c>
      <c r="G3" s="76"/>
      <c r="H3" s="73" t="s">
        <v>22</v>
      </c>
      <c r="I3" s="74"/>
      <c r="J3" s="75" t="s">
        <v>23</v>
      </c>
      <c r="K3" s="76"/>
      <c r="L3" s="73" t="s">
        <v>24</v>
      </c>
      <c r="M3" s="74"/>
      <c r="N3" s="73" t="s">
        <v>25</v>
      </c>
      <c r="O3" s="74"/>
      <c r="P3" s="77"/>
      <c r="Q3" s="77"/>
      <c r="R3" s="77"/>
    </row>
    <row r="4" spans="1:18" ht="13.9" customHeight="1" x14ac:dyDescent="0.25">
      <c r="A4" t="s">
        <v>94</v>
      </c>
      <c r="B4" s="147"/>
      <c r="C4" s="148" t="s">
        <v>102</v>
      </c>
      <c r="D4" s="79" t="s">
        <v>28</v>
      </c>
      <c r="E4" s="80" t="s">
        <v>29</v>
      </c>
      <c r="F4" s="81" t="s">
        <v>28</v>
      </c>
      <c r="G4" s="82" t="s">
        <v>29</v>
      </c>
      <c r="H4" s="79" t="s">
        <v>28</v>
      </c>
      <c r="I4" s="80" t="s">
        <v>29</v>
      </c>
      <c r="J4" s="81" t="s">
        <v>28</v>
      </c>
      <c r="K4" s="82" t="s">
        <v>29</v>
      </c>
      <c r="L4" s="79" t="s">
        <v>28</v>
      </c>
      <c r="M4" s="80" t="s">
        <v>29</v>
      </c>
      <c r="N4" s="79" t="s">
        <v>28</v>
      </c>
      <c r="O4" s="80" t="s">
        <v>29</v>
      </c>
      <c r="P4" s="83"/>
      <c r="Q4" s="83"/>
      <c r="R4" s="83"/>
    </row>
    <row r="5" spans="1:18" ht="13.9" customHeight="1" outlineLevel="1" x14ac:dyDescent="0.25">
      <c r="B5" s="149" t="s">
        <v>30</v>
      </c>
      <c r="C5" s="150" t="s">
        <v>31</v>
      </c>
      <c r="D5" s="85">
        <v>0</v>
      </c>
      <c r="E5" s="86">
        <v>0</v>
      </c>
      <c r="F5" s="85">
        <v>4</v>
      </c>
      <c r="G5" s="86">
        <v>8518440.6500000004</v>
      </c>
      <c r="H5" s="85">
        <v>0</v>
      </c>
      <c r="I5" s="86">
        <v>0</v>
      </c>
      <c r="J5" s="85">
        <v>0</v>
      </c>
      <c r="K5" s="86">
        <v>0</v>
      </c>
      <c r="L5" s="85">
        <v>21</v>
      </c>
      <c r="M5" s="86">
        <v>36653959.82</v>
      </c>
      <c r="N5" s="85">
        <v>57</v>
      </c>
      <c r="O5" s="86">
        <v>111975968.05000001</v>
      </c>
      <c r="P5" s="87"/>
      <c r="Q5" s="87"/>
      <c r="R5" s="87"/>
    </row>
    <row r="6" spans="1:18" ht="13.9" customHeight="1" outlineLevel="1" x14ac:dyDescent="0.25">
      <c r="B6" s="149"/>
      <c r="C6" s="150" t="s">
        <v>32</v>
      </c>
      <c r="D6" s="85">
        <v>0</v>
      </c>
      <c r="E6" s="86">
        <v>0</v>
      </c>
      <c r="F6" s="85">
        <v>0</v>
      </c>
      <c r="G6" s="86">
        <v>0</v>
      </c>
      <c r="H6" s="85">
        <v>0</v>
      </c>
      <c r="I6" s="86">
        <v>0</v>
      </c>
      <c r="J6" s="85">
        <v>0</v>
      </c>
      <c r="K6" s="86">
        <v>0</v>
      </c>
      <c r="L6" s="85">
        <v>0</v>
      </c>
      <c r="M6" s="86">
        <v>0</v>
      </c>
      <c r="N6" s="85">
        <v>33</v>
      </c>
      <c r="O6" s="86">
        <v>68476015.159999996</v>
      </c>
      <c r="P6" s="87"/>
      <c r="Q6" s="87"/>
      <c r="R6" s="87"/>
    </row>
    <row r="7" spans="1:18" ht="13.9" customHeight="1" outlineLevel="1" x14ac:dyDescent="0.25">
      <c r="B7" s="149"/>
      <c r="C7" s="150" t="s">
        <v>33</v>
      </c>
      <c r="D7" s="85">
        <v>0</v>
      </c>
      <c r="E7" s="86">
        <v>0</v>
      </c>
      <c r="F7" s="85">
        <v>0</v>
      </c>
      <c r="G7" s="86">
        <v>0</v>
      </c>
      <c r="H7" s="85">
        <v>0</v>
      </c>
      <c r="I7" s="86">
        <v>0</v>
      </c>
      <c r="J7" s="85">
        <v>0</v>
      </c>
      <c r="K7" s="86">
        <v>0</v>
      </c>
      <c r="L7" s="85">
        <v>0</v>
      </c>
      <c r="M7" s="86">
        <v>0</v>
      </c>
      <c r="N7" s="85">
        <v>75</v>
      </c>
      <c r="O7" s="86">
        <v>130166989.51000001</v>
      </c>
      <c r="P7" s="87"/>
      <c r="Q7" s="87"/>
      <c r="R7" s="87"/>
    </row>
    <row r="8" spans="1:18" ht="13.9" customHeight="1" outlineLevel="1" x14ac:dyDescent="0.25">
      <c r="B8" s="149"/>
      <c r="C8" s="150" t="s">
        <v>34</v>
      </c>
      <c r="D8" s="85">
        <v>0</v>
      </c>
      <c r="E8" s="86">
        <v>0</v>
      </c>
      <c r="F8" s="85">
        <v>0</v>
      </c>
      <c r="G8" s="86">
        <v>0</v>
      </c>
      <c r="H8" s="85">
        <v>0</v>
      </c>
      <c r="I8" s="86">
        <v>0</v>
      </c>
      <c r="J8" s="85">
        <v>0</v>
      </c>
      <c r="K8" s="86">
        <v>0</v>
      </c>
      <c r="L8" s="85">
        <v>24</v>
      </c>
      <c r="M8" s="86">
        <v>58152045.909999996</v>
      </c>
      <c r="N8" s="85">
        <v>27</v>
      </c>
      <c r="O8" s="86">
        <v>68472815.99000001</v>
      </c>
      <c r="P8" s="87"/>
      <c r="Q8" s="87"/>
      <c r="R8" s="87"/>
    </row>
    <row r="9" spans="1:18" ht="13.9" customHeight="1" outlineLevel="1" x14ac:dyDescent="0.25">
      <c r="B9" s="149"/>
      <c r="C9" s="150" t="s">
        <v>35</v>
      </c>
      <c r="D9" s="85">
        <v>0</v>
      </c>
      <c r="E9" s="86">
        <v>0</v>
      </c>
      <c r="F9" s="85">
        <v>0</v>
      </c>
      <c r="G9" s="86">
        <v>0</v>
      </c>
      <c r="H9" s="85">
        <v>0</v>
      </c>
      <c r="I9" s="86">
        <v>0</v>
      </c>
      <c r="J9" s="85">
        <v>0</v>
      </c>
      <c r="K9" s="86">
        <v>0</v>
      </c>
      <c r="L9" s="85">
        <v>0</v>
      </c>
      <c r="M9" s="86">
        <v>0</v>
      </c>
      <c r="N9" s="85">
        <v>71</v>
      </c>
      <c r="O9" s="86">
        <v>78391793.329999983</v>
      </c>
      <c r="P9" s="87"/>
      <c r="Q9" s="87"/>
      <c r="R9" s="87"/>
    </row>
    <row r="10" spans="1:18" ht="13.9" customHeight="1" outlineLevel="1" x14ac:dyDescent="0.25">
      <c r="B10" s="149"/>
      <c r="C10" s="150" t="s">
        <v>36</v>
      </c>
      <c r="D10" s="85">
        <v>0</v>
      </c>
      <c r="E10" s="86">
        <v>0</v>
      </c>
      <c r="F10" s="85">
        <v>0</v>
      </c>
      <c r="G10" s="86">
        <v>0</v>
      </c>
      <c r="H10" s="85">
        <v>0</v>
      </c>
      <c r="I10" s="86">
        <v>0</v>
      </c>
      <c r="J10" s="85">
        <v>0</v>
      </c>
      <c r="K10" s="86">
        <v>0</v>
      </c>
      <c r="L10" s="85">
        <v>0</v>
      </c>
      <c r="M10" s="86">
        <v>0</v>
      </c>
      <c r="N10" s="85">
        <v>0</v>
      </c>
      <c r="O10" s="86">
        <v>0</v>
      </c>
      <c r="P10" s="87"/>
      <c r="Q10" s="87"/>
      <c r="R10" s="87"/>
    </row>
    <row r="11" spans="1:18" ht="13.9" customHeight="1" outlineLevel="1" x14ac:dyDescent="0.25">
      <c r="B11" s="149"/>
      <c r="C11" s="150" t="s">
        <v>37</v>
      </c>
      <c r="D11" s="85">
        <v>0</v>
      </c>
      <c r="E11" s="86">
        <v>0</v>
      </c>
      <c r="F11" s="85">
        <v>0</v>
      </c>
      <c r="G11" s="86">
        <v>0</v>
      </c>
      <c r="H11" s="85">
        <v>0</v>
      </c>
      <c r="I11" s="86">
        <v>0</v>
      </c>
      <c r="J11" s="85">
        <v>0</v>
      </c>
      <c r="K11" s="86">
        <v>0</v>
      </c>
      <c r="L11" s="85">
        <v>0</v>
      </c>
      <c r="M11" s="86">
        <v>0</v>
      </c>
      <c r="N11" s="85">
        <v>38</v>
      </c>
      <c r="O11" s="86">
        <v>68649077.629999995</v>
      </c>
      <c r="P11" s="87"/>
      <c r="Q11" s="87"/>
      <c r="R11" s="87"/>
    </row>
    <row r="12" spans="1:18" ht="13.9" customHeight="1" outlineLevel="1" x14ac:dyDescent="0.25">
      <c r="B12" s="149"/>
      <c r="C12" s="150" t="s">
        <v>38</v>
      </c>
      <c r="D12" s="85">
        <v>0</v>
      </c>
      <c r="E12" s="86">
        <v>0</v>
      </c>
      <c r="F12" s="85">
        <v>0</v>
      </c>
      <c r="G12" s="86">
        <v>0</v>
      </c>
      <c r="H12" s="85">
        <v>0</v>
      </c>
      <c r="I12" s="86">
        <v>0</v>
      </c>
      <c r="J12" s="85">
        <v>0</v>
      </c>
      <c r="K12" s="86">
        <v>0</v>
      </c>
      <c r="L12" s="85">
        <v>0</v>
      </c>
      <c r="M12" s="86">
        <v>0</v>
      </c>
      <c r="N12" s="85">
        <v>2</v>
      </c>
      <c r="O12" s="86">
        <v>9901228.5999999996</v>
      </c>
      <c r="P12" s="87"/>
      <c r="Q12" s="87"/>
      <c r="R12" s="87"/>
    </row>
    <row r="13" spans="1:18" ht="13.9" customHeight="1" outlineLevel="1" x14ac:dyDescent="0.25">
      <c r="B13" s="149"/>
      <c r="C13" s="150" t="s">
        <v>39</v>
      </c>
      <c r="D13" s="85">
        <v>0</v>
      </c>
      <c r="E13" s="86">
        <v>0</v>
      </c>
      <c r="F13" s="85">
        <v>0</v>
      </c>
      <c r="G13" s="86">
        <v>0</v>
      </c>
      <c r="H13" s="85">
        <v>0</v>
      </c>
      <c r="I13" s="86">
        <v>0</v>
      </c>
      <c r="J13" s="85">
        <v>0</v>
      </c>
      <c r="K13" s="86">
        <v>0</v>
      </c>
      <c r="L13" s="85">
        <v>0</v>
      </c>
      <c r="M13" s="86">
        <v>0</v>
      </c>
      <c r="N13" s="85">
        <v>3</v>
      </c>
      <c r="O13" s="86">
        <v>16010352.039999999</v>
      </c>
      <c r="P13" s="87"/>
      <c r="Q13" s="87"/>
      <c r="R13" s="87"/>
    </row>
    <row r="14" spans="1:18" ht="13.9" customHeight="1" outlineLevel="1" x14ac:dyDescent="0.25">
      <c r="B14" s="149"/>
      <c r="C14" s="150" t="s">
        <v>40</v>
      </c>
      <c r="D14" s="85">
        <v>0</v>
      </c>
      <c r="E14" s="86">
        <v>0</v>
      </c>
      <c r="F14" s="85">
        <v>0</v>
      </c>
      <c r="G14" s="86">
        <v>0</v>
      </c>
      <c r="H14" s="85">
        <v>0</v>
      </c>
      <c r="I14" s="86">
        <v>0</v>
      </c>
      <c r="J14" s="85">
        <v>0</v>
      </c>
      <c r="K14" s="86">
        <v>0</v>
      </c>
      <c r="L14" s="85">
        <v>0</v>
      </c>
      <c r="M14" s="86">
        <v>0</v>
      </c>
      <c r="N14" s="85">
        <v>0</v>
      </c>
      <c r="O14" s="86">
        <v>0</v>
      </c>
      <c r="P14" s="87"/>
      <c r="Q14" s="87"/>
      <c r="R14" s="87"/>
    </row>
    <row r="15" spans="1:18" ht="13.9" customHeight="1" outlineLevel="1" x14ac:dyDescent="0.25">
      <c r="B15" s="149"/>
      <c r="C15" s="150" t="s">
        <v>41</v>
      </c>
      <c r="D15" s="85">
        <v>0</v>
      </c>
      <c r="E15" s="86">
        <v>0</v>
      </c>
      <c r="F15" s="85">
        <v>0</v>
      </c>
      <c r="G15" s="86">
        <v>0</v>
      </c>
      <c r="H15" s="85">
        <v>0</v>
      </c>
      <c r="I15" s="86">
        <v>0</v>
      </c>
      <c r="J15" s="85">
        <v>0</v>
      </c>
      <c r="K15" s="86">
        <v>0</v>
      </c>
      <c r="L15" s="85">
        <v>0</v>
      </c>
      <c r="M15" s="86">
        <v>0</v>
      </c>
      <c r="N15" s="85">
        <v>23</v>
      </c>
      <c r="O15" s="86">
        <v>45547360.689999998</v>
      </c>
      <c r="P15" s="87"/>
      <c r="Q15" s="87"/>
      <c r="R15" s="87"/>
    </row>
    <row r="16" spans="1:18" ht="13.9" customHeight="1" outlineLevel="1" x14ac:dyDescent="0.25">
      <c r="B16" s="149"/>
      <c r="C16" s="150" t="s">
        <v>42</v>
      </c>
      <c r="D16" s="85">
        <v>0</v>
      </c>
      <c r="E16" s="86">
        <v>0</v>
      </c>
      <c r="F16" s="85">
        <v>0</v>
      </c>
      <c r="G16" s="86">
        <v>0</v>
      </c>
      <c r="H16" s="85">
        <v>9</v>
      </c>
      <c r="I16" s="86">
        <v>16674882.560000001</v>
      </c>
      <c r="J16" s="85">
        <v>34</v>
      </c>
      <c r="K16" s="86">
        <v>67328685.450000018</v>
      </c>
      <c r="L16" s="85">
        <v>103</v>
      </c>
      <c r="M16" s="86">
        <v>219100845.72999993</v>
      </c>
      <c r="N16" s="85">
        <v>61</v>
      </c>
      <c r="O16" s="86">
        <v>121251877.3</v>
      </c>
      <c r="P16" s="87"/>
      <c r="Q16" s="87"/>
      <c r="R16" s="87"/>
    </row>
    <row r="17" spans="2:18" ht="13.9" customHeight="1" outlineLevel="1" x14ac:dyDescent="0.25">
      <c r="B17" s="149"/>
      <c r="C17" s="150" t="s">
        <v>43</v>
      </c>
      <c r="D17" s="85">
        <v>0</v>
      </c>
      <c r="E17" s="86">
        <v>0</v>
      </c>
      <c r="F17" s="85">
        <v>0</v>
      </c>
      <c r="G17" s="86">
        <v>0</v>
      </c>
      <c r="H17" s="85">
        <v>1</v>
      </c>
      <c r="I17" s="86">
        <v>3643992</v>
      </c>
      <c r="J17" s="85">
        <v>0</v>
      </c>
      <c r="K17" s="86">
        <v>0</v>
      </c>
      <c r="L17" s="85">
        <v>4</v>
      </c>
      <c r="M17" s="86">
        <v>18313998</v>
      </c>
      <c r="N17" s="85">
        <v>10</v>
      </c>
      <c r="O17" s="86">
        <v>41932394.200000003</v>
      </c>
      <c r="P17" s="87"/>
      <c r="Q17" s="87"/>
      <c r="R17" s="87"/>
    </row>
    <row r="18" spans="2:18" ht="13.9" customHeight="1" outlineLevel="1" x14ac:dyDescent="0.25">
      <c r="B18" s="149"/>
      <c r="C18" s="150" t="s">
        <v>44</v>
      </c>
      <c r="D18" s="85">
        <v>0</v>
      </c>
      <c r="E18" s="86">
        <v>0</v>
      </c>
      <c r="F18" s="85">
        <v>3</v>
      </c>
      <c r="G18" s="86">
        <v>5928849.9000000004</v>
      </c>
      <c r="H18" s="85">
        <v>16</v>
      </c>
      <c r="I18" s="86">
        <v>37049759.100000001</v>
      </c>
      <c r="J18" s="85">
        <v>16</v>
      </c>
      <c r="K18" s="86">
        <v>40615388.5</v>
      </c>
      <c r="L18" s="85">
        <v>6</v>
      </c>
      <c r="M18" s="86">
        <v>12353038.07</v>
      </c>
      <c r="N18" s="85">
        <v>2</v>
      </c>
      <c r="O18" s="86">
        <v>4433111.9000000004</v>
      </c>
      <c r="P18" s="87"/>
      <c r="Q18" s="87"/>
      <c r="R18" s="87"/>
    </row>
    <row r="19" spans="2:18" ht="13.9" customHeight="1" outlineLevel="1" x14ac:dyDescent="0.25">
      <c r="B19" s="149"/>
      <c r="C19" s="150" t="s">
        <v>45</v>
      </c>
      <c r="D19" s="85">
        <v>0</v>
      </c>
      <c r="E19" s="86">
        <v>0</v>
      </c>
      <c r="F19" s="85">
        <v>18</v>
      </c>
      <c r="G19" s="86">
        <v>41328881.029999994</v>
      </c>
      <c r="H19" s="85">
        <v>22</v>
      </c>
      <c r="I19" s="86">
        <v>50568313.509999998</v>
      </c>
      <c r="J19" s="85">
        <v>18</v>
      </c>
      <c r="K19" s="86">
        <v>37787029.450000003</v>
      </c>
      <c r="L19" s="85">
        <v>1</v>
      </c>
      <c r="M19" s="86">
        <v>2811016.7</v>
      </c>
      <c r="N19" s="85">
        <v>2</v>
      </c>
      <c r="O19" s="86">
        <v>3773340.85</v>
      </c>
      <c r="P19" s="87"/>
      <c r="Q19" s="87"/>
      <c r="R19" s="87"/>
    </row>
    <row r="20" spans="2:18" ht="13.9" customHeight="1" outlineLevel="1" x14ac:dyDescent="0.25">
      <c r="B20" s="149"/>
      <c r="C20" s="150" t="s">
        <v>46</v>
      </c>
      <c r="D20" s="85">
        <v>0</v>
      </c>
      <c r="E20" s="86">
        <v>0</v>
      </c>
      <c r="F20" s="85">
        <v>1</v>
      </c>
      <c r="G20" s="86">
        <v>6181490</v>
      </c>
      <c r="H20" s="85">
        <v>1</v>
      </c>
      <c r="I20" s="86">
        <v>2165450</v>
      </c>
      <c r="J20" s="85">
        <v>0</v>
      </c>
      <c r="K20" s="86">
        <v>0</v>
      </c>
      <c r="L20" s="85">
        <v>0</v>
      </c>
      <c r="M20" s="86">
        <v>0</v>
      </c>
      <c r="N20" s="85">
        <v>0</v>
      </c>
      <c r="O20" s="86">
        <v>0</v>
      </c>
      <c r="P20" s="87"/>
      <c r="Q20" s="87"/>
      <c r="R20" s="87"/>
    </row>
    <row r="21" spans="2:18" ht="13.9" customHeight="1" outlineLevel="1" x14ac:dyDescent="0.25">
      <c r="B21" s="149"/>
      <c r="C21" s="150" t="s">
        <v>47</v>
      </c>
      <c r="D21" s="85">
        <v>0</v>
      </c>
      <c r="E21" s="86">
        <v>0</v>
      </c>
      <c r="F21" s="85">
        <v>1</v>
      </c>
      <c r="G21" s="86">
        <v>4899995.8</v>
      </c>
      <c r="H21" s="85">
        <v>4</v>
      </c>
      <c r="I21" s="86">
        <v>6518411.5899999999</v>
      </c>
      <c r="J21" s="85">
        <v>7</v>
      </c>
      <c r="K21" s="86">
        <v>14442528.449999999</v>
      </c>
      <c r="L21" s="85">
        <v>79</v>
      </c>
      <c r="M21" s="86">
        <v>154662826.34999999</v>
      </c>
      <c r="N21" s="85">
        <v>54</v>
      </c>
      <c r="O21" s="86">
        <v>100401065.53000002</v>
      </c>
      <c r="P21" s="87"/>
      <c r="Q21" s="87"/>
      <c r="R21" s="87"/>
    </row>
    <row r="22" spans="2:18" ht="13.9" customHeight="1" outlineLevel="1" x14ac:dyDescent="0.25">
      <c r="B22" s="149"/>
      <c r="C22" s="150" t="s">
        <v>48</v>
      </c>
      <c r="D22" s="85">
        <v>1</v>
      </c>
      <c r="E22" s="86">
        <v>4967550</v>
      </c>
      <c r="F22" s="85">
        <v>2</v>
      </c>
      <c r="G22" s="86">
        <v>4051913.75</v>
      </c>
      <c r="H22" s="85">
        <v>6</v>
      </c>
      <c r="I22" s="86">
        <v>11112454</v>
      </c>
      <c r="J22" s="85">
        <v>20</v>
      </c>
      <c r="K22" s="86">
        <v>28561002.25</v>
      </c>
      <c r="L22" s="85">
        <v>36</v>
      </c>
      <c r="M22" s="86">
        <v>45959924.960000001</v>
      </c>
      <c r="N22" s="85">
        <v>12</v>
      </c>
      <c r="O22" s="86">
        <v>17288179.490000002</v>
      </c>
      <c r="P22" s="87"/>
      <c r="Q22" s="87"/>
      <c r="R22" s="87"/>
    </row>
    <row r="23" spans="2:18" ht="13.9" customHeight="1" outlineLevel="1" x14ac:dyDescent="0.25">
      <c r="B23" s="149"/>
      <c r="C23" s="150" t="s">
        <v>49</v>
      </c>
      <c r="D23" s="85">
        <v>2</v>
      </c>
      <c r="E23" s="86">
        <v>3581000.5</v>
      </c>
      <c r="F23" s="85">
        <v>0</v>
      </c>
      <c r="G23" s="86">
        <v>0</v>
      </c>
      <c r="H23" s="85">
        <v>2</v>
      </c>
      <c r="I23" s="86">
        <v>6061412.7000000002</v>
      </c>
      <c r="J23" s="85">
        <v>0</v>
      </c>
      <c r="K23" s="86">
        <v>0</v>
      </c>
      <c r="L23" s="85">
        <v>0</v>
      </c>
      <c r="M23" s="86">
        <v>0</v>
      </c>
      <c r="N23" s="85">
        <v>0</v>
      </c>
      <c r="O23" s="86">
        <v>0</v>
      </c>
      <c r="P23" s="87"/>
      <c r="Q23" s="87"/>
      <c r="R23" s="87"/>
    </row>
    <row r="24" spans="2:18" ht="13.9" customHeight="1" outlineLevel="1" x14ac:dyDescent="0.25">
      <c r="B24" s="149"/>
      <c r="C24" s="150" t="s">
        <v>50</v>
      </c>
      <c r="D24" s="85">
        <v>0</v>
      </c>
      <c r="E24" s="86">
        <v>0</v>
      </c>
      <c r="F24" s="85">
        <v>3</v>
      </c>
      <c r="G24" s="86">
        <v>13005488.25</v>
      </c>
      <c r="H24" s="85">
        <v>7</v>
      </c>
      <c r="I24" s="86">
        <v>23226027.25</v>
      </c>
      <c r="J24" s="85">
        <v>0</v>
      </c>
      <c r="K24" s="86">
        <v>0</v>
      </c>
      <c r="L24" s="85">
        <v>0</v>
      </c>
      <c r="M24" s="86">
        <v>0</v>
      </c>
      <c r="N24" s="85">
        <v>0</v>
      </c>
      <c r="O24" s="86">
        <v>0</v>
      </c>
      <c r="P24" s="87"/>
    </row>
    <row r="25" spans="2:18" ht="13.9" customHeight="1" outlineLevel="1" x14ac:dyDescent="0.25">
      <c r="B25" s="149"/>
      <c r="C25" s="150" t="s">
        <v>51</v>
      </c>
      <c r="D25" s="85">
        <v>1</v>
      </c>
      <c r="E25" s="86">
        <v>3995145</v>
      </c>
      <c r="F25" s="85">
        <v>3</v>
      </c>
      <c r="G25" s="86">
        <v>5988401.25</v>
      </c>
      <c r="H25" s="85">
        <v>18</v>
      </c>
      <c r="I25" s="86">
        <v>21711637.699999999</v>
      </c>
      <c r="J25" s="85">
        <v>22</v>
      </c>
      <c r="K25" s="86">
        <v>28148505.600000005</v>
      </c>
      <c r="L25" s="85">
        <v>4</v>
      </c>
      <c r="M25" s="86">
        <v>4573028.2</v>
      </c>
      <c r="N25" s="85">
        <v>2</v>
      </c>
      <c r="O25" s="86">
        <v>3836862.75</v>
      </c>
      <c r="P25" s="87"/>
    </row>
    <row r="26" spans="2:18" ht="13.9" customHeight="1" outlineLevel="1" x14ac:dyDescent="0.25">
      <c r="B26" s="149"/>
      <c r="C26" s="150" t="s">
        <v>52</v>
      </c>
      <c r="D26" s="85">
        <v>0</v>
      </c>
      <c r="E26" s="86">
        <v>0</v>
      </c>
      <c r="F26" s="85">
        <v>5</v>
      </c>
      <c r="G26" s="86">
        <v>8673954.5499999989</v>
      </c>
      <c r="H26" s="85">
        <v>10</v>
      </c>
      <c r="I26" s="86">
        <v>20071586.939999998</v>
      </c>
      <c r="J26" s="85">
        <v>0</v>
      </c>
      <c r="K26" s="86">
        <v>0</v>
      </c>
      <c r="L26" s="85">
        <v>0</v>
      </c>
      <c r="M26" s="86">
        <v>0</v>
      </c>
      <c r="N26" s="85">
        <v>0</v>
      </c>
      <c r="O26" s="86">
        <v>0</v>
      </c>
      <c r="P26" s="87"/>
    </row>
    <row r="27" spans="2:18" ht="13.9" customHeight="1" outlineLevel="1" x14ac:dyDescent="0.25">
      <c r="B27" s="149"/>
      <c r="C27" s="150" t="s">
        <v>53</v>
      </c>
      <c r="D27" s="85">
        <v>0</v>
      </c>
      <c r="E27" s="86">
        <v>0</v>
      </c>
      <c r="F27" s="85">
        <v>2</v>
      </c>
      <c r="G27" s="86">
        <v>7000017.9000000004</v>
      </c>
      <c r="H27" s="85">
        <v>4</v>
      </c>
      <c r="I27" s="86">
        <v>11267763.850000001</v>
      </c>
      <c r="J27" s="85">
        <v>4</v>
      </c>
      <c r="K27" s="86">
        <v>13158494.75</v>
      </c>
      <c r="L27" s="85">
        <v>0</v>
      </c>
      <c r="M27" s="86">
        <v>0</v>
      </c>
      <c r="N27" s="85">
        <v>0</v>
      </c>
      <c r="O27" s="86">
        <v>0</v>
      </c>
      <c r="P27" s="87"/>
    </row>
    <row r="28" spans="2:18" ht="13.9" customHeight="1" outlineLevel="1" x14ac:dyDescent="0.25">
      <c r="B28" s="149"/>
      <c r="C28" s="150" t="s">
        <v>54</v>
      </c>
      <c r="D28" s="85">
        <v>0</v>
      </c>
      <c r="E28" s="86">
        <v>0</v>
      </c>
      <c r="F28" s="85">
        <v>4</v>
      </c>
      <c r="G28" s="86">
        <v>12900821.75</v>
      </c>
      <c r="H28" s="85">
        <v>14</v>
      </c>
      <c r="I28" s="86">
        <v>30344880.699999999</v>
      </c>
      <c r="J28" s="85">
        <v>2</v>
      </c>
      <c r="K28" s="86">
        <v>3156899.5</v>
      </c>
      <c r="L28" s="85">
        <v>0</v>
      </c>
      <c r="M28" s="86">
        <v>0</v>
      </c>
      <c r="N28" s="85">
        <v>0</v>
      </c>
      <c r="O28" s="86">
        <v>0</v>
      </c>
      <c r="P28" s="87"/>
    </row>
    <row r="29" spans="2:18" ht="13.9" customHeight="1" outlineLevel="1" x14ac:dyDescent="0.25">
      <c r="B29" s="149"/>
      <c r="C29" s="150" t="s">
        <v>55</v>
      </c>
      <c r="D29" s="85">
        <v>0</v>
      </c>
      <c r="E29" s="86">
        <v>0</v>
      </c>
      <c r="F29" s="85">
        <v>1</v>
      </c>
      <c r="G29" s="86">
        <v>2010252.39</v>
      </c>
      <c r="H29" s="85">
        <v>2</v>
      </c>
      <c r="I29" s="86">
        <v>4880643.2</v>
      </c>
      <c r="J29" s="85">
        <v>0</v>
      </c>
      <c r="K29" s="86">
        <v>0</v>
      </c>
      <c r="L29" s="85">
        <v>0</v>
      </c>
      <c r="M29" s="86">
        <v>0</v>
      </c>
      <c r="N29" s="85">
        <v>0</v>
      </c>
      <c r="O29" s="86">
        <v>0</v>
      </c>
      <c r="P29" s="87"/>
    </row>
    <row r="30" spans="2:18" ht="13.9" customHeight="1" outlineLevel="1" x14ac:dyDescent="0.25">
      <c r="B30" s="149"/>
      <c r="C30" s="150" t="s">
        <v>56</v>
      </c>
      <c r="D30" s="85">
        <v>2</v>
      </c>
      <c r="E30" s="86">
        <v>3880065.49</v>
      </c>
      <c r="F30" s="85">
        <v>4</v>
      </c>
      <c r="G30" s="86">
        <v>7964125.7999999998</v>
      </c>
      <c r="H30" s="85">
        <v>5</v>
      </c>
      <c r="I30" s="86">
        <v>11874148.200000001</v>
      </c>
      <c r="J30" s="85">
        <v>0</v>
      </c>
      <c r="K30" s="86">
        <v>0</v>
      </c>
      <c r="L30" s="85">
        <v>0</v>
      </c>
      <c r="M30" s="86">
        <v>0</v>
      </c>
      <c r="N30" s="85">
        <v>0</v>
      </c>
      <c r="O30" s="86">
        <v>0</v>
      </c>
      <c r="P30" s="87"/>
    </row>
    <row r="31" spans="2:18" ht="13.9" customHeight="1" outlineLevel="1" x14ac:dyDescent="0.25">
      <c r="B31" s="149"/>
      <c r="C31" s="150" t="s">
        <v>57</v>
      </c>
      <c r="D31" s="85">
        <v>0</v>
      </c>
      <c r="E31" s="86">
        <v>0</v>
      </c>
      <c r="F31" s="85">
        <v>0</v>
      </c>
      <c r="G31" s="86">
        <v>0</v>
      </c>
      <c r="H31" s="85">
        <v>0</v>
      </c>
      <c r="I31" s="86">
        <v>0</v>
      </c>
      <c r="J31" s="85">
        <v>0</v>
      </c>
      <c r="K31" s="86">
        <v>0</v>
      </c>
      <c r="L31" s="85">
        <v>0</v>
      </c>
      <c r="M31" s="86">
        <v>0</v>
      </c>
      <c r="N31" s="85">
        <v>0</v>
      </c>
      <c r="O31" s="86">
        <v>0</v>
      </c>
      <c r="P31" s="87"/>
    </row>
    <row r="32" spans="2:18" ht="13.9" customHeight="1" outlineLevel="1" x14ac:dyDescent="0.25">
      <c r="B32" s="149"/>
      <c r="C32" s="150" t="s">
        <v>58</v>
      </c>
      <c r="D32" s="85">
        <v>0</v>
      </c>
      <c r="E32" s="86">
        <v>0</v>
      </c>
      <c r="F32" s="85">
        <v>4</v>
      </c>
      <c r="G32" s="86">
        <v>7535611.6499999994</v>
      </c>
      <c r="H32" s="85">
        <v>7</v>
      </c>
      <c r="I32" s="86">
        <v>14545115.199999999</v>
      </c>
      <c r="J32" s="85">
        <v>1</v>
      </c>
      <c r="K32" s="86">
        <v>2557012.5</v>
      </c>
      <c r="L32" s="85">
        <v>0</v>
      </c>
      <c r="M32" s="86">
        <v>0</v>
      </c>
      <c r="N32" s="85">
        <v>0</v>
      </c>
      <c r="O32" s="86">
        <v>0</v>
      </c>
      <c r="P32" s="87"/>
    </row>
    <row r="33" spans="2:16" ht="13.9" customHeight="1" outlineLevel="1" x14ac:dyDescent="0.25">
      <c r="B33" s="149"/>
      <c r="C33" s="150" t="s">
        <v>59</v>
      </c>
      <c r="D33" s="85">
        <v>0</v>
      </c>
      <c r="E33" s="86">
        <v>0</v>
      </c>
      <c r="F33" s="85">
        <v>2</v>
      </c>
      <c r="G33" s="86">
        <v>4112982.5</v>
      </c>
      <c r="H33" s="85">
        <v>9</v>
      </c>
      <c r="I33" s="86">
        <v>21299563.850000001</v>
      </c>
      <c r="J33" s="85">
        <v>1</v>
      </c>
      <c r="K33" s="86">
        <v>2659569.5</v>
      </c>
      <c r="L33" s="85">
        <v>0</v>
      </c>
      <c r="M33" s="86">
        <v>0</v>
      </c>
      <c r="N33" s="85">
        <v>0</v>
      </c>
      <c r="O33" s="86">
        <v>0</v>
      </c>
      <c r="P33" s="87"/>
    </row>
    <row r="34" spans="2:16" ht="13.9" customHeight="1" outlineLevel="1" x14ac:dyDescent="0.25">
      <c r="B34" s="149"/>
      <c r="C34" s="150" t="s">
        <v>60</v>
      </c>
      <c r="D34" s="85">
        <v>1</v>
      </c>
      <c r="E34" s="86">
        <v>3895087.68</v>
      </c>
      <c r="F34" s="85">
        <v>4</v>
      </c>
      <c r="G34" s="86">
        <v>16372293.5</v>
      </c>
      <c r="H34" s="85">
        <v>2</v>
      </c>
      <c r="I34" s="86">
        <v>8114766</v>
      </c>
      <c r="J34" s="85">
        <v>0</v>
      </c>
      <c r="K34" s="86">
        <v>0</v>
      </c>
      <c r="L34" s="85">
        <v>1</v>
      </c>
      <c r="M34" s="86">
        <v>4057383</v>
      </c>
      <c r="N34" s="85">
        <v>0</v>
      </c>
      <c r="O34" s="86">
        <v>0</v>
      </c>
      <c r="P34" s="87"/>
    </row>
    <row r="35" spans="2:16" ht="13.9" customHeight="1" outlineLevel="1" x14ac:dyDescent="0.25">
      <c r="B35" s="149"/>
      <c r="C35" s="150" t="s">
        <v>61</v>
      </c>
      <c r="D35" s="85">
        <v>0</v>
      </c>
      <c r="E35" s="86">
        <v>0</v>
      </c>
      <c r="F35" s="85">
        <v>2</v>
      </c>
      <c r="G35" s="86">
        <v>9716241</v>
      </c>
      <c r="H35" s="85">
        <v>0</v>
      </c>
      <c r="I35" s="86">
        <v>0</v>
      </c>
      <c r="J35" s="85">
        <v>0</v>
      </c>
      <c r="K35" s="86">
        <v>0</v>
      </c>
      <c r="L35" s="85">
        <v>0</v>
      </c>
      <c r="M35" s="86">
        <v>0</v>
      </c>
      <c r="N35" s="85">
        <v>0</v>
      </c>
      <c r="O35" s="86">
        <v>0</v>
      </c>
      <c r="P35" s="87"/>
    </row>
    <row r="36" spans="2:16" ht="13.9" customHeight="1" outlineLevel="1" x14ac:dyDescent="0.25">
      <c r="B36" s="149"/>
      <c r="C36" s="150" t="s">
        <v>62</v>
      </c>
      <c r="D36" s="85">
        <v>0</v>
      </c>
      <c r="E36" s="86">
        <v>0</v>
      </c>
      <c r="F36" s="85">
        <v>0</v>
      </c>
      <c r="G36" s="86">
        <v>0</v>
      </c>
      <c r="H36" s="85">
        <v>0</v>
      </c>
      <c r="I36" s="86">
        <v>0</v>
      </c>
      <c r="J36" s="85">
        <v>0</v>
      </c>
      <c r="K36" s="86">
        <v>0</v>
      </c>
      <c r="L36" s="85">
        <v>0</v>
      </c>
      <c r="M36" s="86">
        <v>0</v>
      </c>
      <c r="N36" s="85">
        <v>0</v>
      </c>
      <c r="O36" s="86">
        <v>0</v>
      </c>
      <c r="P36" s="87"/>
    </row>
    <row r="37" spans="2:16" ht="13.9" customHeight="1" outlineLevel="1" x14ac:dyDescent="0.25">
      <c r="B37" s="149"/>
      <c r="C37" s="150" t="s">
        <v>63</v>
      </c>
      <c r="D37" s="85">
        <v>2</v>
      </c>
      <c r="E37" s="86">
        <v>8216884.5</v>
      </c>
      <c r="F37" s="85">
        <v>0</v>
      </c>
      <c r="G37" s="86">
        <v>0</v>
      </c>
      <c r="H37" s="85">
        <v>0</v>
      </c>
      <c r="I37" s="86">
        <v>0</v>
      </c>
      <c r="J37" s="85">
        <v>0</v>
      </c>
      <c r="K37" s="86">
        <v>0</v>
      </c>
      <c r="L37" s="85">
        <v>1</v>
      </c>
      <c r="M37" s="86">
        <v>5575639.5</v>
      </c>
      <c r="N37" s="85">
        <v>0</v>
      </c>
      <c r="O37" s="86">
        <v>0</v>
      </c>
      <c r="P37" s="87"/>
    </row>
    <row r="38" spans="2:16" ht="13.9" customHeight="1" outlineLevel="1" x14ac:dyDescent="0.25">
      <c r="B38" s="149"/>
      <c r="C38" s="150" t="s">
        <v>64</v>
      </c>
      <c r="D38" s="85">
        <v>0</v>
      </c>
      <c r="E38" s="86">
        <v>0</v>
      </c>
      <c r="F38" s="85">
        <v>0</v>
      </c>
      <c r="G38" s="86">
        <v>0</v>
      </c>
      <c r="H38" s="85">
        <v>0</v>
      </c>
      <c r="I38" s="86">
        <v>0</v>
      </c>
      <c r="J38" s="85">
        <v>0</v>
      </c>
      <c r="K38" s="86">
        <v>0</v>
      </c>
      <c r="L38" s="85">
        <v>12</v>
      </c>
      <c r="M38" s="86">
        <v>31773432.949999996</v>
      </c>
      <c r="N38" s="85">
        <v>25</v>
      </c>
      <c r="O38" s="86">
        <v>54229367.420000009</v>
      </c>
      <c r="P38" s="87"/>
    </row>
    <row r="39" spans="2:16" ht="13.9" customHeight="1" outlineLevel="1" x14ac:dyDescent="0.25">
      <c r="B39" s="149"/>
      <c r="C39" s="150" t="s">
        <v>65</v>
      </c>
      <c r="D39" s="85">
        <v>0</v>
      </c>
      <c r="E39" s="86">
        <v>0</v>
      </c>
      <c r="F39" s="85">
        <v>0</v>
      </c>
      <c r="G39" s="86">
        <v>0</v>
      </c>
      <c r="H39" s="85">
        <v>0</v>
      </c>
      <c r="I39" s="86">
        <v>0</v>
      </c>
      <c r="J39" s="85">
        <v>0</v>
      </c>
      <c r="K39" s="86">
        <v>0</v>
      </c>
      <c r="L39" s="85">
        <v>0</v>
      </c>
      <c r="M39" s="86">
        <v>0</v>
      </c>
      <c r="N39" s="85">
        <v>40</v>
      </c>
      <c r="O39" s="86">
        <v>52625000.019999996</v>
      </c>
      <c r="P39" s="87"/>
    </row>
    <row r="40" spans="2:16" ht="13.9" customHeight="1" outlineLevel="1" x14ac:dyDescent="0.25">
      <c r="B40" s="149"/>
      <c r="C40" s="150" t="s">
        <v>66</v>
      </c>
      <c r="D40" s="85">
        <v>0</v>
      </c>
      <c r="E40" s="86">
        <v>0</v>
      </c>
      <c r="F40" s="85">
        <v>0</v>
      </c>
      <c r="G40" s="86">
        <v>0</v>
      </c>
      <c r="H40" s="85">
        <v>0</v>
      </c>
      <c r="I40" s="86">
        <v>0</v>
      </c>
      <c r="J40" s="85">
        <v>0</v>
      </c>
      <c r="K40" s="86">
        <v>0</v>
      </c>
      <c r="L40" s="85">
        <v>0</v>
      </c>
      <c r="M40" s="86">
        <v>0</v>
      </c>
      <c r="N40" s="85">
        <v>15</v>
      </c>
      <c r="O40" s="86">
        <v>28602630.75</v>
      </c>
      <c r="P40" s="87"/>
    </row>
    <row r="41" spans="2:16" ht="13.9" customHeight="1" outlineLevel="1" x14ac:dyDescent="0.25">
      <c r="B41" s="149"/>
      <c r="C41" s="150" t="s">
        <v>67</v>
      </c>
      <c r="D41" s="85">
        <v>0</v>
      </c>
      <c r="E41" s="86">
        <v>0</v>
      </c>
      <c r="F41" s="85">
        <v>0</v>
      </c>
      <c r="G41" s="86">
        <v>0</v>
      </c>
      <c r="H41" s="85">
        <v>0</v>
      </c>
      <c r="I41" s="86">
        <v>0</v>
      </c>
      <c r="J41" s="85">
        <v>0</v>
      </c>
      <c r="K41" s="86">
        <v>0</v>
      </c>
      <c r="L41" s="85">
        <v>0</v>
      </c>
      <c r="M41" s="86">
        <v>0</v>
      </c>
      <c r="N41" s="85">
        <v>13</v>
      </c>
      <c r="O41" s="86">
        <v>27576946.199999999</v>
      </c>
      <c r="P41" s="87"/>
    </row>
    <row r="42" spans="2:16" ht="13.9" customHeight="1" x14ac:dyDescent="0.25">
      <c r="B42" s="149"/>
      <c r="C42" s="148" t="s">
        <v>103</v>
      </c>
      <c r="D42" s="90">
        <f>SUM(D5:D41)</f>
        <v>9</v>
      </c>
      <c r="E42" s="91">
        <f t="shared" ref="E42:O42" si="0">SUM(E5:E41)</f>
        <v>28535733.170000002</v>
      </c>
      <c r="F42" s="92">
        <f t="shared" si="0"/>
        <v>63</v>
      </c>
      <c r="G42" s="93">
        <f t="shared" si="0"/>
        <v>166189761.66999999</v>
      </c>
      <c r="H42" s="90">
        <f t="shared" si="0"/>
        <v>139</v>
      </c>
      <c r="I42" s="91">
        <f t="shared" si="0"/>
        <v>301130808.34999996</v>
      </c>
      <c r="J42" s="92">
        <f t="shared" si="0"/>
        <v>125</v>
      </c>
      <c r="K42" s="93">
        <f t="shared" si="0"/>
        <v>238415115.95000002</v>
      </c>
      <c r="L42" s="90">
        <f t="shared" si="0"/>
        <v>292</v>
      </c>
      <c r="M42" s="91">
        <f t="shared" si="0"/>
        <v>593987139.19000006</v>
      </c>
      <c r="N42" s="90">
        <f t="shared" si="0"/>
        <v>565</v>
      </c>
      <c r="O42" s="91">
        <f t="shared" si="0"/>
        <v>1053542377.41</v>
      </c>
      <c r="P42" s="94"/>
    </row>
    <row r="43" spans="2:16" ht="13.9" customHeight="1" outlineLevel="1" x14ac:dyDescent="0.25">
      <c r="B43" s="149" t="s">
        <v>83</v>
      </c>
      <c r="C43" s="150" t="s">
        <v>70</v>
      </c>
      <c r="D43" s="85">
        <v>3</v>
      </c>
      <c r="E43" s="86">
        <v>5588067.79</v>
      </c>
      <c r="F43" s="85">
        <v>7</v>
      </c>
      <c r="G43" s="86">
        <v>13214057.640000001</v>
      </c>
      <c r="H43" s="85">
        <v>14</v>
      </c>
      <c r="I43" s="86">
        <v>29673414.07</v>
      </c>
      <c r="J43" s="85">
        <v>28</v>
      </c>
      <c r="K43" s="86">
        <v>60154797.439999983</v>
      </c>
      <c r="L43" s="85">
        <v>75</v>
      </c>
      <c r="M43" s="86">
        <v>118955476.91999997</v>
      </c>
      <c r="N43" s="85">
        <v>11</v>
      </c>
      <c r="O43" s="86">
        <v>18958389.560000002</v>
      </c>
      <c r="P43" s="87"/>
    </row>
    <row r="44" spans="2:16" ht="13.9" customHeight="1" outlineLevel="1" x14ac:dyDescent="0.25">
      <c r="B44" s="149"/>
      <c r="C44" s="150" t="s">
        <v>71</v>
      </c>
      <c r="D44" s="85">
        <v>0</v>
      </c>
      <c r="E44" s="86">
        <v>0</v>
      </c>
      <c r="F44" s="85">
        <v>0</v>
      </c>
      <c r="G44" s="86">
        <v>0</v>
      </c>
      <c r="H44" s="85">
        <v>0</v>
      </c>
      <c r="I44" s="86">
        <v>0</v>
      </c>
      <c r="J44" s="85">
        <v>0</v>
      </c>
      <c r="K44" s="86">
        <v>0</v>
      </c>
      <c r="L44" s="85">
        <v>0</v>
      </c>
      <c r="M44" s="86">
        <v>0</v>
      </c>
      <c r="N44" s="85">
        <v>0</v>
      </c>
      <c r="O44" s="86">
        <v>0</v>
      </c>
      <c r="P44" s="87"/>
    </row>
    <row r="45" spans="2:16" ht="13.9" customHeight="1" outlineLevel="1" x14ac:dyDescent="0.25">
      <c r="B45" s="149"/>
      <c r="C45" s="150" t="s">
        <v>72</v>
      </c>
      <c r="D45" s="85">
        <v>0</v>
      </c>
      <c r="E45" s="86">
        <v>0</v>
      </c>
      <c r="F45" s="85">
        <v>14</v>
      </c>
      <c r="G45" s="86">
        <v>22461863.139999997</v>
      </c>
      <c r="H45" s="85">
        <v>31</v>
      </c>
      <c r="I45" s="86">
        <v>48407244.659999996</v>
      </c>
      <c r="J45" s="85">
        <v>31</v>
      </c>
      <c r="K45" s="86">
        <v>50573624.460000008</v>
      </c>
      <c r="L45" s="85">
        <v>3</v>
      </c>
      <c r="M45" s="86">
        <v>4402678.6899999995</v>
      </c>
      <c r="N45" s="85">
        <v>3</v>
      </c>
      <c r="O45" s="86">
        <v>7276184.1200000001</v>
      </c>
      <c r="P45" s="87"/>
    </row>
    <row r="46" spans="2:16" ht="13.9" customHeight="1" x14ac:dyDescent="0.25">
      <c r="B46" s="149"/>
      <c r="C46" s="148" t="s">
        <v>104</v>
      </c>
      <c r="D46" s="90">
        <f>SUM(D43:D45)</f>
        <v>3</v>
      </c>
      <c r="E46" s="91">
        <f t="shared" ref="E46:O46" si="1">SUM(E43:E45)</f>
        <v>5588067.79</v>
      </c>
      <c r="F46" s="92">
        <f t="shared" si="1"/>
        <v>21</v>
      </c>
      <c r="G46" s="93">
        <f t="shared" si="1"/>
        <v>35675920.780000001</v>
      </c>
      <c r="H46" s="90">
        <f t="shared" si="1"/>
        <v>45</v>
      </c>
      <c r="I46" s="91">
        <f t="shared" si="1"/>
        <v>78080658.729999989</v>
      </c>
      <c r="J46" s="92">
        <f t="shared" si="1"/>
        <v>59</v>
      </c>
      <c r="K46" s="93">
        <f t="shared" si="1"/>
        <v>110728421.89999999</v>
      </c>
      <c r="L46" s="90">
        <f t="shared" si="1"/>
        <v>78</v>
      </c>
      <c r="M46" s="91">
        <f t="shared" si="1"/>
        <v>123358155.60999997</v>
      </c>
      <c r="N46" s="90">
        <f t="shared" si="1"/>
        <v>14</v>
      </c>
      <c r="O46" s="91">
        <f t="shared" si="1"/>
        <v>26234573.680000003</v>
      </c>
      <c r="P46" s="94"/>
    </row>
    <row r="47" spans="2:16" ht="13.9" customHeight="1" outlineLevel="1" x14ac:dyDescent="0.25">
      <c r="B47" s="149" t="s">
        <v>105</v>
      </c>
      <c r="C47" s="150" t="s">
        <v>75</v>
      </c>
      <c r="D47" s="85">
        <v>0</v>
      </c>
      <c r="E47" s="86">
        <v>0</v>
      </c>
      <c r="F47" s="85">
        <v>0</v>
      </c>
      <c r="G47" s="86">
        <v>0</v>
      </c>
      <c r="H47" s="85">
        <v>0</v>
      </c>
      <c r="I47" s="86">
        <v>0</v>
      </c>
      <c r="J47" s="85">
        <v>0</v>
      </c>
      <c r="K47" s="86">
        <v>0</v>
      </c>
      <c r="L47" s="85">
        <v>0</v>
      </c>
      <c r="M47" s="86">
        <v>0</v>
      </c>
      <c r="N47" s="85">
        <v>0</v>
      </c>
      <c r="O47" s="86">
        <v>0</v>
      </c>
      <c r="P47" s="87"/>
    </row>
    <row r="48" spans="2:16" ht="13.9" customHeight="1" outlineLevel="1" x14ac:dyDescent="0.25">
      <c r="B48" s="149"/>
      <c r="C48" s="150" t="s">
        <v>76</v>
      </c>
      <c r="D48" s="85">
        <v>0</v>
      </c>
      <c r="E48" s="86">
        <v>0</v>
      </c>
      <c r="F48" s="85">
        <v>3</v>
      </c>
      <c r="G48" s="86">
        <v>4687242.76</v>
      </c>
      <c r="H48" s="85">
        <v>14</v>
      </c>
      <c r="I48" s="86">
        <v>19451757.25</v>
      </c>
      <c r="J48" s="85">
        <v>18</v>
      </c>
      <c r="K48" s="86">
        <v>24379369.080000002</v>
      </c>
      <c r="L48" s="85">
        <v>1</v>
      </c>
      <c r="M48" s="86">
        <v>1185468.1599999999</v>
      </c>
      <c r="N48" s="85">
        <v>2</v>
      </c>
      <c r="O48" s="86">
        <v>2761687.3899999997</v>
      </c>
      <c r="P48" s="87"/>
    </row>
    <row r="49" spans="2:16" ht="13.9" customHeight="1" x14ac:dyDescent="0.25">
      <c r="B49" s="149"/>
      <c r="C49" s="148" t="s">
        <v>106</v>
      </c>
      <c r="D49" s="90">
        <f>SUM(D47:D48)</f>
        <v>0</v>
      </c>
      <c r="E49" s="91">
        <f t="shared" ref="E49:O49" si="2">SUM(E47:E48)</f>
        <v>0</v>
      </c>
      <c r="F49" s="92">
        <f t="shared" si="2"/>
        <v>3</v>
      </c>
      <c r="G49" s="93">
        <f t="shared" si="2"/>
        <v>4687242.76</v>
      </c>
      <c r="H49" s="90">
        <f t="shared" si="2"/>
        <v>14</v>
      </c>
      <c r="I49" s="91">
        <f t="shared" si="2"/>
        <v>19451757.25</v>
      </c>
      <c r="J49" s="92">
        <f t="shared" si="2"/>
        <v>18</v>
      </c>
      <c r="K49" s="93">
        <f t="shared" si="2"/>
        <v>24379369.080000002</v>
      </c>
      <c r="L49" s="90">
        <f t="shared" si="2"/>
        <v>1</v>
      </c>
      <c r="M49" s="91">
        <f t="shared" si="2"/>
        <v>1185468.1599999999</v>
      </c>
      <c r="N49" s="90">
        <f t="shared" si="2"/>
        <v>2</v>
      </c>
      <c r="O49" s="91">
        <f t="shared" si="2"/>
        <v>2761687.3899999997</v>
      </c>
      <c r="P49" s="94"/>
    </row>
    <row r="50" spans="2:16" ht="13.9" customHeight="1" x14ac:dyDescent="0.25">
      <c r="B50" s="151" t="s">
        <v>78</v>
      </c>
      <c r="C50" s="151"/>
      <c r="D50" s="90">
        <f>D42+D46+D49</f>
        <v>12</v>
      </c>
      <c r="E50" s="91">
        <f t="shared" ref="E50:O50" si="3">E42+E46+E49</f>
        <v>34123800.960000001</v>
      </c>
      <c r="F50" s="92">
        <f t="shared" si="3"/>
        <v>87</v>
      </c>
      <c r="G50" s="93">
        <f t="shared" si="3"/>
        <v>206552925.20999998</v>
      </c>
      <c r="H50" s="90">
        <f t="shared" si="3"/>
        <v>198</v>
      </c>
      <c r="I50" s="91">
        <f t="shared" si="3"/>
        <v>398663224.32999992</v>
      </c>
      <c r="J50" s="92">
        <f t="shared" si="3"/>
        <v>202</v>
      </c>
      <c r="K50" s="93">
        <f t="shared" si="3"/>
        <v>373522906.93000001</v>
      </c>
      <c r="L50" s="90">
        <f t="shared" si="3"/>
        <v>371</v>
      </c>
      <c r="M50" s="91">
        <f t="shared" si="3"/>
        <v>718530762.96000004</v>
      </c>
      <c r="N50" s="90">
        <f t="shared" si="3"/>
        <v>581</v>
      </c>
      <c r="O50" s="91">
        <f t="shared" si="3"/>
        <v>1082538638.48</v>
      </c>
      <c r="P50" s="94"/>
    </row>
    <row r="51" spans="2:16" ht="13.9" customHeight="1" x14ac:dyDescent="0.25">
      <c r="B51" s="151" t="s">
        <v>79</v>
      </c>
      <c r="C51" s="151"/>
      <c r="D51" s="97">
        <f>D50/SUM($D$50,$F$50,$H$50,$J$50,$L$50,$N$50)</f>
        <v>8.2701585113714674E-3</v>
      </c>
      <c r="E51" s="98">
        <f>E50/SUM($E$50,$G$50,$I$50,$K$50,$M$50,$O$50)</f>
        <v>1.2126731499109793E-2</v>
      </c>
      <c r="F51" s="97">
        <f>F50/SUM($D$50,$F$50,$H$50,$J$50,$L$50,$N$50)</f>
        <v>5.9958649207443142E-2</v>
      </c>
      <c r="G51" s="98">
        <f>G50/SUM($E$50,$G$50,$I$50,$K$50,$M$50,$O$50)</f>
        <v>7.3403659437397448E-2</v>
      </c>
      <c r="H51" s="97">
        <f>H50/SUM($D$50,$F$50,$H$50,$J$50,$L$50,$N$50)</f>
        <v>0.13645761543762921</v>
      </c>
      <c r="I51" s="98">
        <f>I50/SUM($E$50,$G$50,$I$50,$K$50,$M$50,$O$50)</f>
        <v>0.14167477666647613</v>
      </c>
      <c r="J51" s="97">
        <f>J50/SUM($D$50,$F$50,$H$50,$J$50,$L$50,$N$50)</f>
        <v>0.13921433494141972</v>
      </c>
      <c r="K51" s="98">
        <f>K50/SUM($E$50,$G$50,$I$50,$K$50,$M$50,$O$50)</f>
        <v>0.13274054688153611</v>
      </c>
      <c r="L51" s="97">
        <f>L50/SUM($D$50,$F$50,$H$50,$J$50,$L$50,$N$50)</f>
        <v>0.25568573397656791</v>
      </c>
      <c r="M51" s="98">
        <f>M50/SUM($E$50,$G$50,$I$50,$K$50,$M$50,$O$50)</f>
        <v>0.25534756947153475</v>
      </c>
      <c r="N51" s="97">
        <f>N50/SUM($D$50,$F$50,$H$50,$J$50,$L$50,$N$50)</f>
        <v>0.40041350792556857</v>
      </c>
      <c r="O51" s="98">
        <f>O50/SUM($E$50,$G$50,$I$50,$K$50,$M$50,$O$50)</f>
        <v>0.3847067160439458</v>
      </c>
      <c r="P51" s="99"/>
    </row>
    <row r="52" spans="2:16" ht="13.9" customHeight="1" x14ac:dyDescent="0.25">
      <c r="B52" s="152" t="s">
        <v>80</v>
      </c>
      <c r="C52" s="153"/>
      <c r="D52" s="102">
        <f>D51</f>
        <v>8.2701585113714674E-3</v>
      </c>
      <c r="E52" s="103">
        <f>E51</f>
        <v>1.2126731499109793E-2</v>
      </c>
      <c r="F52" s="102">
        <f>D51+F51</f>
        <v>6.8228807718814607E-2</v>
      </c>
      <c r="G52" s="103">
        <f>E51+G51</f>
        <v>8.5530390936507245E-2</v>
      </c>
      <c r="H52" s="102">
        <f>F51+H51+D51</f>
        <v>0.20468642315644384</v>
      </c>
      <c r="I52" s="103">
        <f>G51+I51+E51</f>
        <v>0.22720516760298334</v>
      </c>
      <c r="J52" s="102">
        <f>H51+J51+F51+D51</f>
        <v>0.34390075809786352</v>
      </c>
      <c r="K52" s="103">
        <f>I51+K51+G51+E51</f>
        <v>0.35994571448451951</v>
      </c>
      <c r="L52" s="102">
        <f>J51+L51+H51+F51+D51</f>
        <v>0.59958649207443138</v>
      </c>
      <c r="M52" s="103">
        <f>K51+M51+I51+G51+E51</f>
        <v>0.6152932839560542</v>
      </c>
      <c r="N52" s="102">
        <f>L51+N51+J51+H51+F51+D51</f>
        <v>1</v>
      </c>
      <c r="O52" s="103">
        <f>M51+O51+K51+I51+G51+E51</f>
        <v>1</v>
      </c>
      <c r="P52" s="99"/>
    </row>
    <row r="53" spans="2:16" ht="13.9" customHeight="1" x14ac:dyDescent="0.25"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  <row r="54" spans="2:16" ht="13.9" customHeight="1" x14ac:dyDescent="0.25"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  <row r="55" spans="2:16" ht="13.9" customHeight="1" x14ac:dyDescent="0.25">
      <c r="B55" s="149" t="s">
        <v>26</v>
      </c>
      <c r="C55" s="148" t="s">
        <v>19</v>
      </c>
      <c r="D55" s="73" t="s">
        <v>20</v>
      </c>
      <c r="E55" s="74"/>
      <c r="F55" s="75" t="s">
        <v>21</v>
      </c>
      <c r="G55" s="76"/>
      <c r="H55" s="73" t="s">
        <v>22</v>
      </c>
      <c r="I55" s="74"/>
      <c r="J55" s="75" t="s">
        <v>23</v>
      </c>
      <c r="K55" s="76"/>
      <c r="L55" s="73" t="s">
        <v>24</v>
      </c>
      <c r="M55" s="74"/>
      <c r="N55" s="73" t="s">
        <v>25</v>
      </c>
      <c r="O55" s="74"/>
      <c r="P55" s="77"/>
    </row>
    <row r="56" spans="2:16" ht="13.9" customHeight="1" x14ac:dyDescent="0.25">
      <c r="B56" s="149"/>
      <c r="C56" s="148" t="s">
        <v>102</v>
      </c>
      <c r="D56" s="79" t="s">
        <v>81</v>
      </c>
      <c r="E56" s="80" t="s">
        <v>82</v>
      </c>
      <c r="F56" s="79" t="s">
        <v>81</v>
      </c>
      <c r="G56" s="80" t="s">
        <v>82</v>
      </c>
      <c r="H56" s="79" t="s">
        <v>81</v>
      </c>
      <c r="I56" s="80" t="s">
        <v>82</v>
      </c>
      <c r="J56" s="79" t="s">
        <v>81</v>
      </c>
      <c r="K56" s="80" t="s">
        <v>82</v>
      </c>
      <c r="L56" s="79" t="s">
        <v>81</v>
      </c>
      <c r="M56" s="80" t="s">
        <v>82</v>
      </c>
      <c r="N56" s="79" t="s">
        <v>81</v>
      </c>
      <c r="O56" s="80" t="s">
        <v>82</v>
      </c>
      <c r="P56" s="83"/>
    </row>
    <row r="57" spans="2:16" ht="13.9" customHeight="1" outlineLevel="1" x14ac:dyDescent="0.25">
      <c r="B57" s="149" t="s">
        <v>30</v>
      </c>
      <c r="C57" s="150" t="s">
        <v>31</v>
      </c>
      <c r="D57" s="85">
        <v>0</v>
      </c>
      <c r="E57" s="86">
        <v>0</v>
      </c>
      <c r="F57" s="85">
        <v>878203.29</v>
      </c>
      <c r="G57" s="86">
        <v>7640237.3599999994</v>
      </c>
      <c r="H57" s="85">
        <v>0</v>
      </c>
      <c r="I57" s="86">
        <v>0</v>
      </c>
      <c r="J57" s="85">
        <v>0</v>
      </c>
      <c r="K57" s="86">
        <v>0</v>
      </c>
      <c r="L57" s="85">
        <v>21680998.380000003</v>
      </c>
      <c r="M57" s="86">
        <v>14972961.440000005</v>
      </c>
      <c r="N57" s="85">
        <v>89198160.449999958</v>
      </c>
      <c r="O57" s="86">
        <v>23084163.169999998</v>
      </c>
      <c r="P57" s="87"/>
    </row>
    <row r="58" spans="2:16" ht="13.9" customHeight="1" outlineLevel="1" x14ac:dyDescent="0.25">
      <c r="B58" s="149"/>
      <c r="C58" s="150" t="s">
        <v>32</v>
      </c>
      <c r="D58" s="85">
        <v>0</v>
      </c>
      <c r="E58" s="86">
        <v>0</v>
      </c>
      <c r="F58" s="85">
        <v>0</v>
      </c>
      <c r="G58" s="86">
        <v>0</v>
      </c>
      <c r="H58" s="85">
        <v>0</v>
      </c>
      <c r="I58" s="86">
        <v>0</v>
      </c>
      <c r="J58" s="85">
        <v>0</v>
      </c>
      <c r="K58" s="86">
        <v>0</v>
      </c>
      <c r="L58" s="85">
        <v>0</v>
      </c>
      <c r="M58" s="86">
        <v>0</v>
      </c>
      <c r="N58" s="85">
        <v>60185914.289999984</v>
      </c>
      <c r="O58" s="86">
        <v>8568364.5300000031</v>
      </c>
      <c r="P58" s="87"/>
    </row>
    <row r="59" spans="2:16" ht="13.9" customHeight="1" outlineLevel="1" x14ac:dyDescent="0.25">
      <c r="B59" s="149"/>
      <c r="C59" s="150" t="s">
        <v>33</v>
      </c>
      <c r="D59" s="85">
        <v>0</v>
      </c>
      <c r="E59" s="86">
        <v>0</v>
      </c>
      <c r="F59" s="85">
        <v>0</v>
      </c>
      <c r="G59" s="86">
        <v>0</v>
      </c>
      <c r="H59" s="85">
        <v>0</v>
      </c>
      <c r="I59" s="86">
        <v>0</v>
      </c>
      <c r="J59" s="85">
        <v>0</v>
      </c>
      <c r="K59" s="86">
        <v>0</v>
      </c>
      <c r="L59" s="85">
        <v>0</v>
      </c>
      <c r="M59" s="86">
        <v>0</v>
      </c>
      <c r="N59" s="85">
        <v>103211305.09000002</v>
      </c>
      <c r="O59" s="86">
        <v>27264849.530000005</v>
      </c>
      <c r="P59" s="87"/>
    </row>
    <row r="60" spans="2:16" ht="13.9" customHeight="1" outlineLevel="1" x14ac:dyDescent="0.25">
      <c r="B60" s="149"/>
      <c r="C60" s="150" t="s">
        <v>34</v>
      </c>
      <c r="D60" s="85">
        <v>0</v>
      </c>
      <c r="E60" s="86">
        <v>0</v>
      </c>
      <c r="F60" s="85">
        <v>0</v>
      </c>
      <c r="G60" s="86">
        <v>0</v>
      </c>
      <c r="H60" s="85">
        <v>0</v>
      </c>
      <c r="I60" s="86">
        <v>0</v>
      </c>
      <c r="J60" s="85">
        <v>0</v>
      </c>
      <c r="K60" s="86">
        <v>0</v>
      </c>
      <c r="L60" s="85">
        <v>33398417.949999999</v>
      </c>
      <c r="M60" s="86">
        <v>24753627.960000001</v>
      </c>
      <c r="N60" s="85">
        <v>54421309.189999998</v>
      </c>
      <c r="O60" s="86">
        <v>14382911.719999999</v>
      </c>
      <c r="P60" s="87"/>
    </row>
    <row r="61" spans="2:16" ht="13.9" customHeight="1" outlineLevel="1" x14ac:dyDescent="0.25">
      <c r="B61" s="149"/>
      <c r="C61" s="150" t="s">
        <v>35</v>
      </c>
      <c r="D61" s="85">
        <v>0</v>
      </c>
      <c r="E61" s="86">
        <v>0</v>
      </c>
      <c r="F61" s="85">
        <v>0</v>
      </c>
      <c r="G61" s="86">
        <v>0</v>
      </c>
      <c r="H61" s="85">
        <v>0</v>
      </c>
      <c r="I61" s="86">
        <v>0</v>
      </c>
      <c r="J61" s="85">
        <v>0</v>
      </c>
      <c r="K61" s="86">
        <v>0</v>
      </c>
      <c r="L61" s="85">
        <v>0</v>
      </c>
      <c r="M61" s="86">
        <v>0</v>
      </c>
      <c r="N61" s="85">
        <v>78674024.960000023</v>
      </c>
      <c r="O61" s="86">
        <v>4009.7900000001537</v>
      </c>
      <c r="P61" s="87"/>
    </row>
    <row r="62" spans="2:16" ht="13.9" customHeight="1" outlineLevel="1" x14ac:dyDescent="0.25">
      <c r="B62" s="149"/>
      <c r="C62" s="150" t="s">
        <v>36</v>
      </c>
      <c r="D62" s="85">
        <v>0</v>
      </c>
      <c r="E62" s="86">
        <v>0</v>
      </c>
      <c r="F62" s="85">
        <v>0</v>
      </c>
      <c r="G62" s="86">
        <v>0</v>
      </c>
      <c r="H62" s="85">
        <v>0</v>
      </c>
      <c r="I62" s="86">
        <v>0</v>
      </c>
      <c r="J62" s="85">
        <v>0</v>
      </c>
      <c r="K62" s="86">
        <v>0</v>
      </c>
      <c r="L62" s="85">
        <v>0</v>
      </c>
      <c r="M62" s="86">
        <v>0</v>
      </c>
      <c r="N62" s="85">
        <v>0</v>
      </c>
      <c r="O62" s="86">
        <v>0</v>
      </c>
      <c r="P62" s="87"/>
    </row>
    <row r="63" spans="2:16" ht="13.9" customHeight="1" outlineLevel="1" x14ac:dyDescent="0.25">
      <c r="B63" s="149"/>
      <c r="C63" s="150" t="s">
        <v>37</v>
      </c>
      <c r="D63" s="85">
        <v>0</v>
      </c>
      <c r="E63" s="86">
        <v>0</v>
      </c>
      <c r="F63" s="85">
        <v>0</v>
      </c>
      <c r="G63" s="86">
        <v>0</v>
      </c>
      <c r="H63" s="85">
        <v>0</v>
      </c>
      <c r="I63" s="86">
        <v>0</v>
      </c>
      <c r="J63" s="85">
        <v>0</v>
      </c>
      <c r="K63" s="86">
        <v>0</v>
      </c>
      <c r="L63" s="85">
        <v>0</v>
      </c>
      <c r="M63" s="86">
        <v>0</v>
      </c>
      <c r="N63" s="85">
        <v>71943153.219999999</v>
      </c>
      <c r="O63" s="86">
        <v>159051.7799999998</v>
      </c>
      <c r="P63" s="87"/>
    </row>
    <row r="64" spans="2:16" ht="13.9" customHeight="1" outlineLevel="1" x14ac:dyDescent="0.25">
      <c r="B64" s="149"/>
      <c r="C64" s="150" t="s">
        <v>38</v>
      </c>
      <c r="D64" s="85">
        <v>0</v>
      </c>
      <c r="E64" s="86">
        <v>0</v>
      </c>
      <c r="F64" s="85">
        <v>0</v>
      </c>
      <c r="G64" s="86">
        <v>0</v>
      </c>
      <c r="H64" s="85">
        <v>0</v>
      </c>
      <c r="I64" s="86">
        <v>0</v>
      </c>
      <c r="J64" s="85">
        <v>0</v>
      </c>
      <c r="K64" s="86">
        <v>0</v>
      </c>
      <c r="L64" s="85">
        <v>0</v>
      </c>
      <c r="M64" s="86">
        <v>0</v>
      </c>
      <c r="N64" s="85">
        <v>9901288</v>
      </c>
      <c r="O64" s="86">
        <v>0</v>
      </c>
      <c r="P64" s="87"/>
    </row>
    <row r="65" spans="2:16" ht="13.9" customHeight="1" outlineLevel="1" x14ac:dyDescent="0.25">
      <c r="B65" s="149"/>
      <c r="C65" s="150" t="s">
        <v>39</v>
      </c>
      <c r="D65" s="85">
        <v>0</v>
      </c>
      <c r="E65" s="86">
        <v>0</v>
      </c>
      <c r="F65" s="85">
        <v>0</v>
      </c>
      <c r="G65" s="86">
        <v>0</v>
      </c>
      <c r="H65" s="85">
        <v>0</v>
      </c>
      <c r="I65" s="86">
        <v>0</v>
      </c>
      <c r="J65" s="85">
        <v>0</v>
      </c>
      <c r="K65" s="86">
        <v>0</v>
      </c>
      <c r="L65" s="85">
        <v>0</v>
      </c>
      <c r="M65" s="86">
        <v>0</v>
      </c>
      <c r="N65" s="85">
        <v>16010573.219999999</v>
      </c>
      <c r="O65" s="86">
        <v>0</v>
      </c>
      <c r="P65" s="87"/>
    </row>
    <row r="66" spans="2:16" ht="13.9" customHeight="1" outlineLevel="1" x14ac:dyDescent="0.25">
      <c r="B66" s="149"/>
      <c r="C66" s="150" t="s">
        <v>40</v>
      </c>
      <c r="D66" s="85">
        <v>0</v>
      </c>
      <c r="E66" s="86">
        <v>0</v>
      </c>
      <c r="F66" s="85">
        <v>0</v>
      </c>
      <c r="G66" s="86">
        <v>0</v>
      </c>
      <c r="H66" s="85">
        <v>0</v>
      </c>
      <c r="I66" s="86">
        <v>0</v>
      </c>
      <c r="J66" s="85">
        <v>0</v>
      </c>
      <c r="K66" s="86">
        <v>0</v>
      </c>
      <c r="L66" s="85">
        <v>0</v>
      </c>
      <c r="M66" s="86">
        <v>0</v>
      </c>
      <c r="N66" s="85">
        <v>0</v>
      </c>
      <c r="O66" s="86">
        <v>0</v>
      </c>
      <c r="P66" s="87"/>
    </row>
    <row r="67" spans="2:16" ht="13.9" customHeight="1" outlineLevel="1" x14ac:dyDescent="0.25">
      <c r="B67" s="149"/>
      <c r="C67" s="150" t="s">
        <v>41</v>
      </c>
      <c r="D67" s="85">
        <v>0</v>
      </c>
      <c r="E67" s="86">
        <v>0</v>
      </c>
      <c r="F67" s="85">
        <v>0</v>
      </c>
      <c r="G67" s="86">
        <v>0</v>
      </c>
      <c r="H67" s="85">
        <v>0</v>
      </c>
      <c r="I67" s="86">
        <v>0</v>
      </c>
      <c r="J67" s="85">
        <v>0</v>
      </c>
      <c r="K67" s="86">
        <v>0</v>
      </c>
      <c r="L67" s="85">
        <v>0</v>
      </c>
      <c r="M67" s="86">
        <v>0</v>
      </c>
      <c r="N67" s="85">
        <v>45876655.810000002</v>
      </c>
      <c r="O67" s="86">
        <v>5.3599999998696148</v>
      </c>
      <c r="P67" s="87"/>
    </row>
    <row r="68" spans="2:16" ht="13.9" customHeight="1" outlineLevel="1" x14ac:dyDescent="0.25">
      <c r="B68" s="149"/>
      <c r="C68" s="150" t="s">
        <v>42</v>
      </c>
      <c r="D68" s="85">
        <v>0</v>
      </c>
      <c r="E68" s="86">
        <v>0</v>
      </c>
      <c r="F68" s="85">
        <v>0</v>
      </c>
      <c r="G68" s="86">
        <v>0</v>
      </c>
      <c r="H68" s="85">
        <v>3975844.1</v>
      </c>
      <c r="I68" s="86">
        <v>12699038.460000001</v>
      </c>
      <c r="J68" s="85">
        <v>22987922.27</v>
      </c>
      <c r="K68" s="86">
        <v>44340763.180000015</v>
      </c>
      <c r="L68" s="85">
        <v>108791660.32000001</v>
      </c>
      <c r="M68" s="86">
        <v>110309185.41000006</v>
      </c>
      <c r="N68" s="85">
        <v>90452320.200000033</v>
      </c>
      <c r="O68" s="86">
        <v>30799803.280000005</v>
      </c>
      <c r="P68" s="87"/>
    </row>
    <row r="69" spans="2:16" ht="13.9" customHeight="1" outlineLevel="1" x14ac:dyDescent="0.25">
      <c r="B69" s="149"/>
      <c r="C69" s="150" t="s">
        <v>43</v>
      </c>
      <c r="D69" s="85">
        <v>0</v>
      </c>
      <c r="E69" s="86">
        <v>0</v>
      </c>
      <c r="F69" s="85">
        <v>0</v>
      </c>
      <c r="G69" s="86">
        <v>0</v>
      </c>
      <c r="H69" s="85">
        <v>729174.3</v>
      </c>
      <c r="I69" s="86">
        <v>2914817.7</v>
      </c>
      <c r="J69" s="85">
        <v>0</v>
      </c>
      <c r="K69" s="86">
        <v>0</v>
      </c>
      <c r="L69" s="85">
        <v>8550560.0999999996</v>
      </c>
      <c r="M69" s="86">
        <v>9763437.9000000004</v>
      </c>
      <c r="N69" s="85">
        <v>33421436.530000001</v>
      </c>
      <c r="O69" s="86">
        <v>8511103.5899999999</v>
      </c>
      <c r="P69" s="87"/>
    </row>
    <row r="70" spans="2:16" ht="13.9" customHeight="1" outlineLevel="1" x14ac:dyDescent="0.25">
      <c r="B70" s="149"/>
      <c r="C70" s="150" t="s">
        <v>44</v>
      </c>
      <c r="D70" s="85">
        <v>0</v>
      </c>
      <c r="E70" s="86">
        <v>0</v>
      </c>
      <c r="F70" s="85">
        <v>968700.23</v>
      </c>
      <c r="G70" s="86">
        <v>4960149.67</v>
      </c>
      <c r="H70" s="85">
        <v>9664165</v>
      </c>
      <c r="I70" s="86">
        <v>27385594.100000005</v>
      </c>
      <c r="J70" s="85">
        <v>12413884.690000001</v>
      </c>
      <c r="K70" s="86">
        <v>28201503.810000002</v>
      </c>
      <c r="L70" s="85">
        <v>5552571.1200000001</v>
      </c>
      <c r="M70" s="86">
        <v>6800466.9499999993</v>
      </c>
      <c r="N70" s="85">
        <v>3834460.4000000004</v>
      </c>
      <c r="O70" s="86">
        <v>598651.69999999995</v>
      </c>
      <c r="P70" s="87"/>
    </row>
    <row r="71" spans="2:16" ht="13.9" customHeight="1" outlineLevel="1" x14ac:dyDescent="0.25">
      <c r="B71" s="149"/>
      <c r="C71" s="150" t="s">
        <v>45</v>
      </c>
      <c r="D71" s="85">
        <v>0</v>
      </c>
      <c r="E71" s="86">
        <v>0</v>
      </c>
      <c r="F71" s="85">
        <v>7619955.4899999993</v>
      </c>
      <c r="G71" s="86">
        <v>33708925.539999992</v>
      </c>
      <c r="H71" s="85">
        <v>11301454.500000002</v>
      </c>
      <c r="I71" s="86">
        <v>39266859.010000005</v>
      </c>
      <c r="J71" s="85">
        <v>11812490.130000001</v>
      </c>
      <c r="K71" s="86">
        <v>25974539.319999997</v>
      </c>
      <c r="L71" s="85">
        <v>1686609.93</v>
      </c>
      <c r="M71" s="86">
        <v>1124406.7700000003</v>
      </c>
      <c r="N71" s="85">
        <v>2276904.58</v>
      </c>
      <c r="O71" s="86">
        <v>1496436.27</v>
      </c>
      <c r="P71" s="87"/>
    </row>
    <row r="72" spans="2:16" ht="13.9" customHeight="1" outlineLevel="1" x14ac:dyDescent="0.25">
      <c r="B72" s="149"/>
      <c r="C72" s="150" t="s">
        <v>46</v>
      </c>
      <c r="D72" s="85">
        <v>0</v>
      </c>
      <c r="E72" s="86">
        <v>0</v>
      </c>
      <c r="F72" s="85">
        <v>651223</v>
      </c>
      <c r="G72" s="86">
        <v>5530267</v>
      </c>
      <c r="H72" s="85">
        <v>455854.25</v>
      </c>
      <c r="I72" s="86">
        <v>1709595.75</v>
      </c>
      <c r="J72" s="85">
        <v>0</v>
      </c>
      <c r="K72" s="86">
        <v>0</v>
      </c>
      <c r="L72" s="85">
        <v>0</v>
      </c>
      <c r="M72" s="86">
        <v>0</v>
      </c>
      <c r="N72" s="85">
        <v>0</v>
      </c>
      <c r="O72" s="86">
        <v>0</v>
      </c>
      <c r="P72" s="87"/>
    </row>
    <row r="73" spans="2:16" ht="13.9" customHeight="1" outlineLevel="1" x14ac:dyDescent="0.25">
      <c r="B73" s="149"/>
      <c r="C73" s="150" t="s">
        <v>47</v>
      </c>
      <c r="D73" s="85">
        <v>0</v>
      </c>
      <c r="E73" s="86">
        <v>0</v>
      </c>
      <c r="F73" s="85">
        <v>976186</v>
      </c>
      <c r="G73" s="86">
        <v>3923809.8</v>
      </c>
      <c r="H73" s="85">
        <v>1820331.75</v>
      </c>
      <c r="I73" s="86">
        <v>4698079.84</v>
      </c>
      <c r="J73" s="85">
        <v>4494049.59</v>
      </c>
      <c r="K73" s="86">
        <v>9948478.8599999994</v>
      </c>
      <c r="L73" s="85">
        <v>88390400.010000005</v>
      </c>
      <c r="M73" s="86">
        <v>66272426.340000011</v>
      </c>
      <c r="N73" s="85">
        <v>75572842.570000008</v>
      </c>
      <c r="O73" s="86">
        <v>25424350.100000001</v>
      </c>
      <c r="P73" s="87"/>
    </row>
    <row r="74" spans="2:16" ht="13.9" customHeight="1" outlineLevel="1" x14ac:dyDescent="0.25">
      <c r="B74" s="149"/>
      <c r="C74" s="150" t="s">
        <v>48</v>
      </c>
      <c r="D74" s="85">
        <v>0</v>
      </c>
      <c r="E74" s="86">
        <v>4967550</v>
      </c>
      <c r="F74" s="85">
        <v>570593</v>
      </c>
      <c r="G74" s="86">
        <v>3481320.75</v>
      </c>
      <c r="H74" s="85">
        <v>2951377.2399999998</v>
      </c>
      <c r="I74" s="86">
        <v>8161076.7599999998</v>
      </c>
      <c r="J74" s="85">
        <v>9511493.1199999992</v>
      </c>
      <c r="K74" s="86">
        <v>19049509.129999999</v>
      </c>
      <c r="L74" s="85">
        <v>22458222.260000002</v>
      </c>
      <c r="M74" s="86">
        <v>23501702.699999996</v>
      </c>
      <c r="N74" s="85">
        <v>12168637.459999999</v>
      </c>
      <c r="O74" s="86">
        <v>5119542.0299999993</v>
      </c>
      <c r="P74" s="87"/>
    </row>
    <row r="75" spans="2:16" ht="13.9" customHeight="1" outlineLevel="1" x14ac:dyDescent="0.25">
      <c r="B75" s="149"/>
      <c r="C75" s="150" t="s">
        <v>49</v>
      </c>
      <c r="D75" s="85">
        <v>71620.009999999995</v>
      </c>
      <c r="E75" s="86">
        <v>3509380.49</v>
      </c>
      <c r="F75" s="85">
        <v>0</v>
      </c>
      <c r="G75" s="86">
        <v>0</v>
      </c>
      <c r="H75" s="85">
        <v>1272898.1000000001</v>
      </c>
      <c r="I75" s="86">
        <v>4788514.5999999996</v>
      </c>
      <c r="J75" s="85">
        <v>0</v>
      </c>
      <c r="K75" s="86">
        <v>0</v>
      </c>
      <c r="L75" s="85">
        <v>0</v>
      </c>
      <c r="M75" s="86">
        <v>0</v>
      </c>
      <c r="N75" s="85">
        <v>0</v>
      </c>
      <c r="O75" s="86">
        <v>0</v>
      </c>
      <c r="P75" s="87"/>
    </row>
    <row r="76" spans="2:16" ht="13.9" customHeight="1" outlineLevel="1" x14ac:dyDescent="0.25">
      <c r="B76" s="149"/>
      <c r="C76" s="150" t="s">
        <v>50</v>
      </c>
      <c r="D76" s="85">
        <v>0</v>
      </c>
      <c r="E76" s="86">
        <v>0</v>
      </c>
      <c r="F76" s="85">
        <v>1577713.33</v>
      </c>
      <c r="G76" s="86">
        <v>11427774.92</v>
      </c>
      <c r="H76" s="85">
        <v>4651946.2699999996</v>
      </c>
      <c r="I76" s="86">
        <v>18574080.98</v>
      </c>
      <c r="J76" s="85">
        <v>0</v>
      </c>
      <c r="K76" s="86">
        <v>0</v>
      </c>
      <c r="L76" s="85">
        <v>0</v>
      </c>
      <c r="M76" s="86">
        <v>0</v>
      </c>
      <c r="N76" s="85">
        <v>0</v>
      </c>
      <c r="O76" s="86">
        <v>0</v>
      </c>
      <c r="P76" s="87"/>
    </row>
    <row r="77" spans="2:16" ht="13.9" customHeight="1" outlineLevel="1" x14ac:dyDescent="0.25">
      <c r="B77" s="149"/>
      <c r="C77" s="150" t="s">
        <v>51</v>
      </c>
      <c r="D77" s="85">
        <v>80000</v>
      </c>
      <c r="E77" s="86">
        <v>3915145</v>
      </c>
      <c r="F77" s="85">
        <v>629004.80000000005</v>
      </c>
      <c r="G77" s="86">
        <v>5359396.45</v>
      </c>
      <c r="H77" s="85">
        <v>5407496.4000000004</v>
      </c>
      <c r="I77" s="86">
        <v>16304141.300000003</v>
      </c>
      <c r="J77" s="85">
        <v>8690200.4899999984</v>
      </c>
      <c r="K77" s="86">
        <v>19458305.109999999</v>
      </c>
      <c r="L77" s="85">
        <v>1831929.34</v>
      </c>
      <c r="M77" s="86">
        <v>2741098.86</v>
      </c>
      <c r="N77" s="85">
        <v>3520435</v>
      </c>
      <c r="O77" s="86">
        <v>316428.25</v>
      </c>
      <c r="P77" s="87"/>
    </row>
    <row r="78" spans="2:16" ht="13.9" customHeight="1" outlineLevel="1" x14ac:dyDescent="0.25">
      <c r="B78" s="149"/>
      <c r="C78" s="150" t="s">
        <v>52</v>
      </c>
      <c r="D78" s="85">
        <v>0</v>
      </c>
      <c r="E78" s="86">
        <v>0</v>
      </c>
      <c r="F78" s="85">
        <v>1730536.02</v>
      </c>
      <c r="G78" s="86">
        <v>6943418.5300000003</v>
      </c>
      <c r="H78" s="85">
        <v>4023588.0199999996</v>
      </c>
      <c r="I78" s="86">
        <v>16047998.92</v>
      </c>
      <c r="J78" s="85">
        <v>0</v>
      </c>
      <c r="K78" s="86">
        <v>0</v>
      </c>
      <c r="L78" s="85">
        <v>0</v>
      </c>
      <c r="M78" s="86">
        <v>0</v>
      </c>
      <c r="N78" s="85">
        <v>0</v>
      </c>
      <c r="O78" s="86">
        <v>0</v>
      </c>
      <c r="P78" s="87"/>
    </row>
    <row r="79" spans="2:16" ht="13.9" customHeight="1" outlineLevel="1" x14ac:dyDescent="0.25">
      <c r="B79" s="149"/>
      <c r="C79" s="150" t="s">
        <v>53</v>
      </c>
      <c r="D79" s="85">
        <v>0</v>
      </c>
      <c r="E79" s="86">
        <v>0</v>
      </c>
      <c r="F79" s="85">
        <v>1209996</v>
      </c>
      <c r="G79" s="86">
        <v>5790021.9000000004</v>
      </c>
      <c r="H79" s="85">
        <v>2580456.4500000002</v>
      </c>
      <c r="I79" s="86">
        <v>8687307.3999999985</v>
      </c>
      <c r="J79" s="85">
        <v>3949533.65</v>
      </c>
      <c r="K79" s="86">
        <v>9208961.0999999996</v>
      </c>
      <c r="L79" s="85">
        <v>0</v>
      </c>
      <c r="M79" s="86">
        <v>0</v>
      </c>
      <c r="N79" s="85">
        <v>0</v>
      </c>
      <c r="O79" s="86">
        <v>0</v>
      </c>
      <c r="P79" s="87"/>
    </row>
    <row r="80" spans="2:16" ht="13.9" customHeight="1" outlineLevel="1" x14ac:dyDescent="0.25">
      <c r="B80" s="149"/>
      <c r="C80" s="150" t="s">
        <v>54</v>
      </c>
      <c r="D80" s="85">
        <v>0</v>
      </c>
      <c r="E80" s="86">
        <v>0</v>
      </c>
      <c r="F80" s="85">
        <v>2578353.66</v>
      </c>
      <c r="G80" s="86">
        <v>10322468.09</v>
      </c>
      <c r="H80" s="85">
        <v>6133188.0799999991</v>
      </c>
      <c r="I80" s="86">
        <v>24211692.619999997</v>
      </c>
      <c r="J80" s="85">
        <v>969056.44</v>
      </c>
      <c r="K80" s="86">
        <v>2187843.06</v>
      </c>
      <c r="L80" s="85">
        <v>0</v>
      </c>
      <c r="M80" s="86">
        <v>0</v>
      </c>
      <c r="N80" s="85">
        <v>0</v>
      </c>
      <c r="O80" s="86">
        <v>0</v>
      </c>
      <c r="P80" s="87"/>
    </row>
    <row r="81" spans="2:16" ht="13.9" customHeight="1" outlineLevel="1" x14ac:dyDescent="0.25">
      <c r="B81" s="149"/>
      <c r="C81" s="150" t="s">
        <v>55</v>
      </c>
      <c r="D81" s="85">
        <v>0</v>
      </c>
      <c r="E81" s="86">
        <v>0</v>
      </c>
      <c r="F81" s="85">
        <v>399589.9</v>
      </c>
      <c r="G81" s="86">
        <v>1610662.4899999998</v>
      </c>
      <c r="H81" s="85">
        <v>1016370</v>
      </c>
      <c r="I81" s="86">
        <v>3864273.2</v>
      </c>
      <c r="J81" s="85">
        <v>0</v>
      </c>
      <c r="K81" s="86">
        <v>0</v>
      </c>
      <c r="L81" s="85">
        <v>0</v>
      </c>
      <c r="M81" s="86">
        <v>0</v>
      </c>
      <c r="N81" s="85">
        <v>0</v>
      </c>
      <c r="O81" s="86">
        <v>0</v>
      </c>
      <c r="P81" s="87"/>
    </row>
    <row r="82" spans="2:16" ht="13.9" customHeight="1" outlineLevel="1" x14ac:dyDescent="0.25">
      <c r="B82" s="149"/>
      <c r="C82" s="150" t="s">
        <v>56</v>
      </c>
      <c r="D82" s="85">
        <v>20000</v>
      </c>
      <c r="E82" s="86">
        <v>3860065.49</v>
      </c>
      <c r="F82" s="85">
        <v>1004287</v>
      </c>
      <c r="G82" s="86">
        <v>6959838.7999999998</v>
      </c>
      <c r="H82" s="85">
        <v>2381511.7999999998</v>
      </c>
      <c r="I82" s="86">
        <v>9492636.4000000004</v>
      </c>
      <c r="J82" s="85">
        <v>0</v>
      </c>
      <c r="K82" s="86">
        <v>0</v>
      </c>
      <c r="L82" s="85">
        <v>0</v>
      </c>
      <c r="M82" s="86">
        <v>0</v>
      </c>
      <c r="N82" s="85">
        <v>0</v>
      </c>
      <c r="O82" s="86">
        <v>0</v>
      </c>
      <c r="P82" s="87"/>
    </row>
    <row r="83" spans="2:16" ht="13.9" customHeight="1" outlineLevel="1" x14ac:dyDescent="0.25">
      <c r="B83" s="149"/>
      <c r="C83" s="150" t="s">
        <v>57</v>
      </c>
      <c r="D83" s="85">
        <v>0</v>
      </c>
      <c r="E83" s="86">
        <v>0</v>
      </c>
      <c r="F83" s="85">
        <v>0</v>
      </c>
      <c r="G83" s="86">
        <v>0</v>
      </c>
      <c r="H83" s="85">
        <v>0</v>
      </c>
      <c r="I83" s="86">
        <v>0</v>
      </c>
      <c r="J83" s="85">
        <v>0</v>
      </c>
      <c r="K83" s="86">
        <v>0</v>
      </c>
      <c r="L83" s="85">
        <v>0</v>
      </c>
      <c r="M83" s="86">
        <v>0</v>
      </c>
      <c r="N83" s="85">
        <v>0</v>
      </c>
      <c r="O83" s="86">
        <v>0</v>
      </c>
      <c r="P83" s="87"/>
    </row>
    <row r="84" spans="2:16" ht="13.9" customHeight="1" outlineLevel="1" x14ac:dyDescent="0.25">
      <c r="B84" s="149"/>
      <c r="C84" s="150" t="s">
        <v>58</v>
      </c>
      <c r="D84" s="85">
        <v>0</v>
      </c>
      <c r="E84" s="86">
        <v>0</v>
      </c>
      <c r="F84" s="85">
        <v>1507063.69</v>
      </c>
      <c r="G84" s="86">
        <v>6028547.96</v>
      </c>
      <c r="H84" s="85">
        <v>2931140.74</v>
      </c>
      <c r="I84" s="86">
        <v>11613974.459999999</v>
      </c>
      <c r="J84" s="85">
        <v>774801</v>
      </c>
      <c r="K84" s="86">
        <v>1782211.5</v>
      </c>
      <c r="L84" s="85">
        <v>0</v>
      </c>
      <c r="M84" s="86">
        <v>0</v>
      </c>
      <c r="N84" s="85">
        <v>0</v>
      </c>
      <c r="O84" s="86">
        <v>0</v>
      </c>
      <c r="P84" s="87"/>
    </row>
    <row r="85" spans="2:16" ht="13.9" customHeight="1" outlineLevel="1" x14ac:dyDescent="0.25">
      <c r="B85" s="149"/>
      <c r="C85" s="150" t="s">
        <v>59</v>
      </c>
      <c r="D85" s="85">
        <v>0</v>
      </c>
      <c r="E85" s="86">
        <v>0</v>
      </c>
      <c r="F85" s="85">
        <v>822596</v>
      </c>
      <c r="G85" s="86">
        <v>3290386.5</v>
      </c>
      <c r="H85" s="85">
        <v>4263857.8599999994</v>
      </c>
      <c r="I85" s="86">
        <v>17035705.989999998</v>
      </c>
      <c r="J85" s="85">
        <v>805713.9</v>
      </c>
      <c r="K85" s="86">
        <v>1853855.6</v>
      </c>
      <c r="L85" s="85">
        <v>0</v>
      </c>
      <c r="M85" s="86">
        <v>0</v>
      </c>
      <c r="N85" s="85">
        <v>0</v>
      </c>
      <c r="O85" s="86">
        <v>0</v>
      </c>
      <c r="P85" s="87"/>
    </row>
    <row r="86" spans="2:16" ht="13.9" customHeight="1" outlineLevel="1" x14ac:dyDescent="0.25">
      <c r="B86" s="149"/>
      <c r="C86" s="150" t="s">
        <v>60</v>
      </c>
      <c r="D86" s="85">
        <v>0</v>
      </c>
      <c r="E86" s="86">
        <v>3895087.68</v>
      </c>
      <c r="F86" s="85">
        <v>2036886.2</v>
      </c>
      <c r="G86" s="86">
        <v>14335407.300000001</v>
      </c>
      <c r="H86" s="85">
        <v>1623100</v>
      </c>
      <c r="I86" s="86">
        <v>6491666</v>
      </c>
      <c r="J86" s="85">
        <v>0</v>
      </c>
      <c r="K86" s="86">
        <v>0</v>
      </c>
      <c r="L86" s="85">
        <v>1670038</v>
      </c>
      <c r="M86" s="86">
        <v>2387345</v>
      </c>
      <c r="N86" s="85">
        <v>0</v>
      </c>
      <c r="O86" s="86">
        <v>0</v>
      </c>
      <c r="P86" s="87"/>
    </row>
    <row r="87" spans="2:16" ht="13.9" customHeight="1" outlineLevel="1" x14ac:dyDescent="0.25">
      <c r="B87" s="149"/>
      <c r="C87" s="150" t="s">
        <v>61</v>
      </c>
      <c r="D87" s="85">
        <v>0</v>
      </c>
      <c r="E87" s="86">
        <v>0</v>
      </c>
      <c r="F87" s="85">
        <v>1085029.26</v>
      </c>
      <c r="G87" s="86">
        <v>8631211.7400000002</v>
      </c>
      <c r="H87" s="85">
        <v>0</v>
      </c>
      <c r="I87" s="86">
        <v>0</v>
      </c>
      <c r="J87" s="85">
        <v>0</v>
      </c>
      <c r="K87" s="86">
        <v>0</v>
      </c>
      <c r="L87" s="85">
        <v>0</v>
      </c>
      <c r="M87" s="86">
        <v>0</v>
      </c>
      <c r="N87" s="85">
        <v>0</v>
      </c>
      <c r="O87" s="86">
        <v>0</v>
      </c>
      <c r="P87" s="87"/>
    </row>
    <row r="88" spans="2:16" ht="13.9" customHeight="1" outlineLevel="1" x14ac:dyDescent="0.25">
      <c r="B88" s="149"/>
      <c r="C88" s="150" t="s">
        <v>62</v>
      </c>
      <c r="D88" s="85">
        <v>0</v>
      </c>
      <c r="E88" s="86">
        <v>0</v>
      </c>
      <c r="F88" s="85">
        <v>0</v>
      </c>
      <c r="G88" s="86">
        <v>0</v>
      </c>
      <c r="H88" s="85">
        <v>0</v>
      </c>
      <c r="I88" s="86">
        <v>0</v>
      </c>
      <c r="J88" s="85">
        <v>0</v>
      </c>
      <c r="K88" s="86">
        <v>0</v>
      </c>
      <c r="L88" s="85">
        <v>0</v>
      </c>
      <c r="M88" s="86">
        <v>0</v>
      </c>
      <c r="N88" s="85">
        <v>0</v>
      </c>
      <c r="O88" s="86">
        <v>0</v>
      </c>
      <c r="P88" s="87"/>
    </row>
    <row r="89" spans="2:16" ht="13.9" customHeight="1" outlineLevel="1" x14ac:dyDescent="0.25">
      <c r="B89" s="149"/>
      <c r="C89" s="150" t="s">
        <v>63</v>
      </c>
      <c r="D89" s="85">
        <v>83200</v>
      </c>
      <c r="E89" s="86">
        <v>8133684.5</v>
      </c>
      <c r="F89" s="85">
        <v>0</v>
      </c>
      <c r="G89" s="86">
        <v>0</v>
      </c>
      <c r="H89" s="85">
        <v>0</v>
      </c>
      <c r="I89" s="86">
        <v>0</v>
      </c>
      <c r="J89" s="85">
        <v>0</v>
      </c>
      <c r="K89" s="86">
        <v>0</v>
      </c>
      <c r="L89" s="85">
        <v>2661720</v>
      </c>
      <c r="M89" s="86">
        <v>2913919.5</v>
      </c>
      <c r="N89" s="85">
        <v>0</v>
      </c>
      <c r="O89" s="86">
        <v>0</v>
      </c>
      <c r="P89" s="87"/>
    </row>
    <row r="90" spans="2:16" ht="13.9" customHeight="1" outlineLevel="1" x14ac:dyDescent="0.25">
      <c r="B90" s="149"/>
      <c r="C90" s="150" t="s">
        <v>64</v>
      </c>
      <c r="D90" s="85">
        <v>0</v>
      </c>
      <c r="E90" s="86">
        <v>0</v>
      </c>
      <c r="F90" s="85">
        <v>0</v>
      </c>
      <c r="G90" s="86">
        <v>0</v>
      </c>
      <c r="H90" s="85">
        <v>0</v>
      </c>
      <c r="I90" s="86">
        <v>0</v>
      </c>
      <c r="J90" s="85">
        <v>0</v>
      </c>
      <c r="K90" s="86">
        <v>0</v>
      </c>
      <c r="L90" s="85">
        <v>14517096.110000001</v>
      </c>
      <c r="M90" s="86">
        <v>17256336.84</v>
      </c>
      <c r="N90" s="85">
        <v>37620048.169999994</v>
      </c>
      <c r="O90" s="86">
        <v>16609320.249999996</v>
      </c>
      <c r="P90" s="87"/>
    </row>
    <row r="91" spans="2:16" ht="13.9" customHeight="1" outlineLevel="1" x14ac:dyDescent="0.25">
      <c r="B91" s="149"/>
      <c r="C91" s="150" t="s">
        <v>65</v>
      </c>
      <c r="D91" s="85">
        <v>0</v>
      </c>
      <c r="E91" s="86">
        <v>0</v>
      </c>
      <c r="F91" s="85">
        <v>0</v>
      </c>
      <c r="G91" s="86">
        <v>0</v>
      </c>
      <c r="H91" s="85">
        <v>0</v>
      </c>
      <c r="I91" s="86">
        <v>0</v>
      </c>
      <c r="J91" s="85">
        <v>0</v>
      </c>
      <c r="K91" s="86">
        <v>0</v>
      </c>
      <c r="L91" s="85">
        <v>0</v>
      </c>
      <c r="M91" s="86">
        <v>0</v>
      </c>
      <c r="N91" s="85">
        <v>53334318.800000012</v>
      </c>
      <c r="O91" s="86">
        <v>0.44999999972060323</v>
      </c>
      <c r="P91" s="87"/>
    </row>
    <row r="92" spans="2:16" ht="13.9" customHeight="1" outlineLevel="1" x14ac:dyDescent="0.25">
      <c r="B92" s="149"/>
      <c r="C92" s="150" t="s">
        <v>66</v>
      </c>
      <c r="D92" s="85">
        <v>0</v>
      </c>
      <c r="E92" s="86">
        <v>0</v>
      </c>
      <c r="F92" s="85">
        <v>0</v>
      </c>
      <c r="G92" s="86">
        <v>0</v>
      </c>
      <c r="H92" s="85">
        <v>0</v>
      </c>
      <c r="I92" s="86">
        <v>0</v>
      </c>
      <c r="J92" s="85">
        <v>0</v>
      </c>
      <c r="K92" s="86">
        <v>0</v>
      </c>
      <c r="L92" s="85">
        <v>0</v>
      </c>
      <c r="M92" s="86">
        <v>0</v>
      </c>
      <c r="N92" s="85">
        <v>29139657</v>
      </c>
      <c r="O92" s="86">
        <v>38150.560000000056</v>
      </c>
      <c r="P92" s="87"/>
    </row>
    <row r="93" spans="2:16" ht="13.9" customHeight="1" outlineLevel="1" x14ac:dyDescent="0.25">
      <c r="B93" s="149"/>
      <c r="C93" s="150" t="s">
        <v>67</v>
      </c>
      <c r="D93" s="85">
        <v>0</v>
      </c>
      <c r="E93" s="86">
        <v>0</v>
      </c>
      <c r="F93" s="85">
        <v>0</v>
      </c>
      <c r="G93" s="86">
        <v>0</v>
      </c>
      <c r="H93" s="85">
        <v>0</v>
      </c>
      <c r="I93" s="86">
        <v>0</v>
      </c>
      <c r="J93" s="85">
        <v>0</v>
      </c>
      <c r="K93" s="86">
        <v>0</v>
      </c>
      <c r="L93" s="85">
        <v>0</v>
      </c>
      <c r="M93" s="86">
        <v>0</v>
      </c>
      <c r="N93" s="85">
        <v>20644848.310000002</v>
      </c>
      <c r="O93" s="86">
        <v>7062621.8700000001</v>
      </c>
      <c r="P93" s="87"/>
    </row>
    <row r="94" spans="2:16" ht="13.9" customHeight="1" x14ac:dyDescent="0.25">
      <c r="B94" s="149"/>
      <c r="C94" s="148" t="s">
        <v>103</v>
      </c>
      <c r="D94" s="90">
        <f>SUM(D57:D93)</f>
        <v>254820.01</v>
      </c>
      <c r="E94" s="91">
        <f t="shared" ref="E94:O94" si="4">SUM(E57:E93)</f>
        <v>28280913.16</v>
      </c>
      <c r="F94" s="92">
        <f t="shared" si="4"/>
        <v>26245916.870000001</v>
      </c>
      <c r="G94" s="93">
        <f t="shared" si="4"/>
        <v>139943844.79999998</v>
      </c>
      <c r="H94" s="90">
        <f t="shared" si="4"/>
        <v>67183754.860000014</v>
      </c>
      <c r="I94" s="91">
        <f t="shared" si="4"/>
        <v>233947053.49000004</v>
      </c>
      <c r="J94" s="92">
        <f t="shared" si="4"/>
        <v>76409145.280000016</v>
      </c>
      <c r="K94" s="93">
        <f t="shared" si="4"/>
        <v>162005970.66999999</v>
      </c>
      <c r="L94" s="90">
        <f t="shared" si="4"/>
        <v>311190223.51999998</v>
      </c>
      <c r="M94" s="91">
        <f t="shared" si="4"/>
        <v>282796915.67000008</v>
      </c>
      <c r="N94" s="90">
        <f t="shared" si="4"/>
        <v>891408293.25</v>
      </c>
      <c r="O94" s="91">
        <f t="shared" si="4"/>
        <v>169439764.23000002</v>
      </c>
      <c r="P94" s="94"/>
    </row>
    <row r="95" spans="2:16" ht="13.9" customHeight="1" outlineLevel="1" x14ac:dyDescent="0.25">
      <c r="B95" s="149" t="s">
        <v>83</v>
      </c>
      <c r="C95" s="150" t="s">
        <v>70</v>
      </c>
      <c r="D95" s="85">
        <v>22271</v>
      </c>
      <c r="E95" s="86">
        <v>5565796.79</v>
      </c>
      <c r="F95" s="85">
        <v>2057687.8200000003</v>
      </c>
      <c r="G95" s="86">
        <v>11156369.820000002</v>
      </c>
      <c r="H95" s="85">
        <v>8114851.8799999999</v>
      </c>
      <c r="I95" s="86">
        <v>21558562.189999998</v>
      </c>
      <c r="J95" s="85">
        <v>20536343.59</v>
      </c>
      <c r="K95" s="86">
        <v>39618453.849999994</v>
      </c>
      <c r="L95" s="85">
        <v>55016844.820000008</v>
      </c>
      <c r="M95" s="86">
        <v>63938632.099999987</v>
      </c>
      <c r="N95" s="85">
        <v>14826517.310000001</v>
      </c>
      <c r="O95" s="86">
        <v>4136605.9700000007</v>
      </c>
      <c r="P95" s="87"/>
    </row>
    <row r="96" spans="2:16" ht="13.9" customHeight="1" outlineLevel="1" x14ac:dyDescent="0.25">
      <c r="B96" s="149"/>
      <c r="C96" s="150" t="s">
        <v>71</v>
      </c>
      <c r="D96" s="85">
        <v>0</v>
      </c>
      <c r="E96" s="86">
        <v>0</v>
      </c>
      <c r="F96" s="85">
        <v>0</v>
      </c>
      <c r="G96" s="86">
        <v>0</v>
      </c>
      <c r="H96" s="85">
        <v>0</v>
      </c>
      <c r="I96" s="86">
        <v>0</v>
      </c>
      <c r="J96" s="85">
        <v>0</v>
      </c>
      <c r="K96" s="86">
        <v>0</v>
      </c>
      <c r="L96" s="85">
        <v>0</v>
      </c>
      <c r="M96" s="86">
        <v>0</v>
      </c>
      <c r="N96" s="85">
        <v>0</v>
      </c>
      <c r="O96" s="86">
        <v>0</v>
      </c>
      <c r="P96" s="87"/>
    </row>
    <row r="97" spans="2:16" ht="13.9" customHeight="1" outlineLevel="1" x14ac:dyDescent="0.25">
      <c r="B97" s="149"/>
      <c r="C97" s="150" t="s">
        <v>72</v>
      </c>
      <c r="D97" s="85">
        <v>0</v>
      </c>
      <c r="E97" s="86">
        <v>0</v>
      </c>
      <c r="F97" s="85">
        <v>3954065.41</v>
      </c>
      <c r="G97" s="86">
        <v>18507797.73</v>
      </c>
      <c r="H97" s="85">
        <v>11003456.080000002</v>
      </c>
      <c r="I97" s="86">
        <v>37403788.579999998</v>
      </c>
      <c r="J97" s="85">
        <v>16407925.560000001</v>
      </c>
      <c r="K97" s="86">
        <v>34165698.900000006</v>
      </c>
      <c r="L97" s="85">
        <v>1764015.24</v>
      </c>
      <c r="M97" s="86">
        <v>2638663.4500000002</v>
      </c>
      <c r="N97" s="85">
        <v>6626576</v>
      </c>
      <c r="O97" s="86">
        <v>649608.80000000005</v>
      </c>
      <c r="P97" s="87"/>
    </row>
    <row r="98" spans="2:16" ht="13.9" customHeight="1" x14ac:dyDescent="0.25">
      <c r="B98" s="149"/>
      <c r="C98" s="148" t="s">
        <v>104</v>
      </c>
      <c r="D98" s="90">
        <f>SUM(D95:D97)</f>
        <v>22271</v>
      </c>
      <c r="E98" s="91">
        <f t="shared" ref="E98:O98" si="5">SUM(E95:E97)</f>
        <v>5565796.79</v>
      </c>
      <c r="F98" s="92">
        <f t="shared" si="5"/>
        <v>6011753.2300000004</v>
      </c>
      <c r="G98" s="93">
        <f t="shared" si="5"/>
        <v>29664167.550000004</v>
      </c>
      <c r="H98" s="90">
        <f t="shared" si="5"/>
        <v>19118307.960000001</v>
      </c>
      <c r="I98" s="91">
        <f t="shared" si="5"/>
        <v>58962350.769999996</v>
      </c>
      <c r="J98" s="92">
        <f t="shared" si="5"/>
        <v>36944269.149999999</v>
      </c>
      <c r="K98" s="93">
        <f t="shared" si="5"/>
        <v>73784152.75</v>
      </c>
      <c r="L98" s="90">
        <f t="shared" si="5"/>
        <v>56780860.06000001</v>
      </c>
      <c r="M98" s="91">
        <f t="shared" si="5"/>
        <v>66577295.54999999</v>
      </c>
      <c r="N98" s="90">
        <f t="shared" si="5"/>
        <v>21453093.310000002</v>
      </c>
      <c r="O98" s="91">
        <f t="shared" si="5"/>
        <v>4786214.7700000005</v>
      </c>
      <c r="P98" s="94"/>
    </row>
    <row r="99" spans="2:16" ht="13.9" customHeight="1" outlineLevel="1" x14ac:dyDescent="0.25">
      <c r="B99" s="149" t="s">
        <v>105</v>
      </c>
      <c r="C99" s="150" t="s">
        <v>75</v>
      </c>
      <c r="D99" s="85">
        <v>0</v>
      </c>
      <c r="E99" s="86">
        <v>0</v>
      </c>
      <c r="F99" s="85">
        <v>0</v>
      </c>
      <c r="G99" s="86">
        <v>0</v>
      </c>
      <c r="H99" s="85">
        <v>0</v>
      </c>
      <c r="I99" s="86">
        <v>0</v>
      </c>
      <c r="J99" s="85">
        <v>0</v>
      </c>
      <c r="K99" s="86">
        <v>0</v>
      </c>
      <c r="L99" s="85">
        <v>0</v>
      </c>
      <c r="M99" s="86">
        <v>0</v>
      </c>
      <c r="N99" s="85">
        <v>0</v>
      </c>
      <c r="O99" s="86">
        <v>0</v>
      </c>
      <c r="P99" s="87"/>
    </row>
    <row r="100" spans="2:16" ht="13.9" customHeight="1" outlineLevel="1" x14ac:dyDescent="0.25">
      <c r="B100" s="149"/>
      <c r="C100" s="150" t="s">
        <v>76</v>
      </c>
      <c r="D100" s="85">
        <v>0</v>
      </c>
      <c r="E100" s="86">
        <v>0</v>
      </c>
      <c r="F100" s="85">
        <v>468744</v>
      </c>
      <c r="G100" s="86">
        <v>4218498.76</v>
      </c>
      <c r="H100" s="85">
        <v>4894576.3600000003</v>
      </c>
      <c r="I100" s="86">
        <v>14557180.889999999</v>
      </c>
      <c r="J100" s="85">
        <v>7341945.2200000007</v>
      </c>
      <c r="K100" s="86">
        <v>17037423.859999999</v>
      </c>
      <c r="L100" s="85">
        <v>481119</v>
      </c>
      <c r="M100" s="86">
        <v>704349.15999999992</v>
      </c>
      <c r="N100" s="85">
        <v>1718093</v>
      </c>
      <c r="O100" s="86">
        <v>1043594.3899999999</v>
      </c>
      <c r="P100" s="87"/>
    </row>
    <row r="101" spans="2:16" ht="13.9" customHeight="1" x14ac:dyDescent="0.25">
      <c r="B101" s="149"/>
      <c r="C101" s="148" t="s">
        <v>106</v>
      </c>
      <c r="D101" s="90">
        <f>SUM(D99:D100)</f>
        <v>0</v>
      </c>
      <c r="E101" s="91">
        <f t="shared" ref="E101:O101" si="6">SUM(E99:E100)</f>
        <v>0</v>
      </c>
      <c r="F101" s="92">
        <f t="shared" si="6"/>
        <v>468744</v>
      </c>
      <c r="G101" s="93">
        <f t="shared" si="6"/>
        <v>4218498.76</v>
      </c>
      <c r="H101" s="90">
        <f t="shared" si="6"/>
        <v>4894576.3600000003</v>
      </c>
      <c r="I101" s="91">
        <f t="shared" si="6"/>
        <v>14557180.889999999</v>
      </c>
      <c r="J101" s="92">
        <f t="shared" si="6"/>
        <v>7341945.2200000007</v>
      </c>
      <c r="K101" s="93">
        <f t="shared" si="6"/>
        <v>17037423.859999999</v>
      </c>
      <c r="L101" s="90">
        <f t="shared" si="6"/>
        <v>481119</v>
      </c>
      <c r="M101" s="91">
        <f t="shared" si="6"/>
        <v>704349.15999999992</v>
      </c>
      <c r="N101" s="90">
        <f t="shared" si="6"/>
        <v>1718093</v>
      </c>
      <c r="O101" s="91">
        <f t="shared" si="6"/>
        <v>1043594.3899999999</v>
      </c>
      <c r="P101" s="94"/>
    </row>
    <row r="102" spans="2:16" ht="13.9" customHeight="1" x14ac:dyDescent="0.25">
      <c r="B102" s="151" t="s">
        <v>78</v>
      </c>
      <c r="C102" s="151"/>
      <c r="D102" s="90">
        <f>D94+D98+D101</f>
        <v>277091.01</v>
      </c>
      <c r="E102" s="91">
        <f t="shared" ref="E102:O102" si="7">E94+E98+E101</f>
        <v>33846709.950000003</v>
      </c>
      <c r="F102" s="92">
        <f t="shared" si="7"/>
        <v>32726414.100000001</v>
      </c>
      <c r="G102" s="93">
        <f t="shared" si="7"/>
        <v>173826511.10999998</v>
      </c>
      <c r="H102" s="90">
        <f t="shared" si="7"/>
        <v>91196639.180000022</v>
      </c>
      <c r="I102" s="91">
        <f t="shared" si="7"/>
        <v>307466585.15000004</v>
      </c>
      <c r="J102" s="92">
        <f t="shared" si="7"/>
        <v>120695359.65000001</v>
      </c>
      <c r="K102" s="93">
        <f t="shared" si="7"/>
        <v>252827547.27999997</v>
      </c>
      <c r="L102" s="90">
        <f t="shared" si="7"/>
        <v>368452202.57999998</v>
      </c>
      <c r="M102" s="91">
        <f t="shared" si="7"/>
        <v>350078560.38000011</v>
      </c>
      <c r="N102" s="90">
        <f t="shared" si="7"/>
        <v>914579479.55999994</v>
      </c>
      <c r="O102" s="91">
        <f t="shared" si="7"/>
        <v>175269573.39000002</v>
      </c>
      <c r="P102" s="94"/>
    </row>
    <row r="103" spans="2:16" ht="13.9" customHeight="1" x14ac:dyDescent="0.25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</row>
    <row r="104" spans="2:16" ht="13.9" customHeight="1" x14ac:dyDescent="0.25">
      <c r="B104" s="135" t="s">
        <v>84</v>
      </c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</row>
    <row r="105" spans="2:16" ht="13.9" customHeight="1" x14ac:dyDescent="0.25">
      <c r="B105" s="154" t="s">
        <v>26</v>
      </c>
      <c r="C105" s="148" t="s">
        <v>27</v>
      </c>
      <c r="D105" s="109" t="s">
        <v>28</v>
      </c>
      <c r="E105" s="110" t="s">
        <v>29</v>
      </c>
      <c r="F105" s="111" t="s">
        <v>85</v>
      </c>
      <c r="G105" s="112" t="s">
        <v>81</v>
      </c>
      <c r="H105" s="110" t="s">
        <v>82</v>
      </c>
      <c r="I105" s="112" t="s">
        <v>86</v>
      </c>
      <c r="J105" s="110" t="s">
        <v>87</v>
      </c>
      <c r="K105" s="112">
        <v>2026</v>
      </c>
      <c r="L105" s="112">
        <v>2027</v>
      </c>
      <c r="M105" s="110">
        <v>2028</v>
      </c>
      <c r="N105" s="112">
        <v>2029</v>
      </c>
      <c r="O105" s="110">
        <v>2030</v>
      </c>
      <c r="P105" s="112">
        <v>2031</v>
      </c>
    </row>
    <row r="106" spans="2:16" ht="13.9" customHeight="1" outlineLevel="1" x14ac:dyDescent="0.25">
      <c r="B106" s="149" t="s">
        <v>30</v>
      </c>
      <c r="C106" s="150" t="s">
        <v>31</v>
      </c>
      <c r="D106" s="85">
        <v>0</v>
      </c>
      <c r="E106" s="86">
        <v>0</v>
      </c>
      <c r="F106" s="113">
        <f t="shared" ref="F106:F146" si="8">G106+I106</f>
        <v>0</v>
      </c>
      <c r="G106" s="113">
        <v>0</v>
      </c>
      <c r="H106" s="86">
        <v>0</v>
      </c>
      <c r="I106" s="113">
        <v>0</v>
      </c>
      <c r="J106" s="114">
        <f t="shared" ref="J106:J146" si="9">H106-I106</f>
        <v>0</v>
      </c>
      <c r="K106" s="113">
        <f t="shared" ref="K106:K149" si="10">MAX(J106-SUM(L106:P106),0)</f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</row>
    <row r="107" spans="2:16" ht="13.9" customHeight="1" outlineLevel="1" x14ac:dyDescent="0.25">
      <c r="B107" s="149"/>
      <c r="C107" s="150" t="s">
        <v>32</v>
      </c>
      <c r="D107" s="85">
        <v>0</v>
      </c>
      <c r="E107" s="86">
        <v>0</v>
      </c>
      <c r="F107" s="113">
        <f t="shared" si="8"/>
        <v>0</v>
      </c>
      <c r="G107" s="113">
        <v>0</v>
      </c>
      <c r="H107" s="86">
        <v>0</v>
      </c>
      <c r="I107" s="113">
        <v>0</v>
      </c>
      <c r="J107" s="114">
        <f t="shared" si="9"/>
        <v>0</v>
      </c>
      <c r="K107" s="113">
        <f t="shared" si="10"/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</row>
    <row r="108" spans="2:16" ht="13.9" customHeight="1" outlineLevel="1" x14ac:dyDescent="0.25">
      <c r="B108" s="149"/>
      <c r="C108" s="150" t="s">
        <v>33</v>
      </c>
      <c r="D108" s="85">
        <v>0</v>
      </c>
      <c r="E108" s="86">
        <v>0</v>
      </c>
      <c r="F108" s="113">
        <f t="shared" si="8"/>
        <v>0</v>
      </c>
      <c r="G108" s="113">
        <v>0</v>
      </c>
      <c r="H108" s="86">
        <v>0</v>
      </c>
      <c r="I108" s="113">
        <v>0</v>
      </c>
      <c r="J108" s="114">
        <f t="shared" si="9"/>
        <v>0</v>
      </c>
      <c r="K108" s="113">
        <f t="shared" si="10"/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</row>
    <row r="109" spans="2:16" ht="13.9" customHeight="1" outlineLevel="1" x14ac:dyDescent="0.25">
      <c r="B109" s="149"/>
      <c r="C109" s="150" t="s">
        <v>34</v>
      </c>
      <c r="D109" s="85">
        <v>0</v>
      </c>
      <c r="E109" s="86">
        <v>0</v>
      </c>
      <c r="F109" s="113">
        <f t="shared" si="8"/>
        <v>0</v>
      </c>
      <c r="G109" s="113">
        <v>0</v>
      </c>
      <c r="H109" s="86">
        <v>0</v>
      </c>
      <c r="I109" s="113">
        <v>0</v>
      </c>
      <c r="J109" s="114">
        <f t="shared" si="9"/>
        <v>0</v>
      </c>
      <c r="K109" s="113">
        <f t="shared" si="10"/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</row>
    <row r="110" spans="2:16" ht="13.9" customHeight="1" outlineLevel="1" x14ac:dyDescent="0.25">
      <c r="B110" s="149"/>
      <c r="C110" s="150" t="s">
        <v>35</v>
      </c>
      <c r="D110" s="85">
        <v>0</v>
      </c>
      <c r="E110" s="86">
        <v>0</v>
      </c>
      <c r="F110" s="113">
        <f t="shared" si="8"/>
        <v>0</v>
      </c>
      <c r="G110" s="113">
        <v>0</v>
      </c>
      <c r="H110" s="86">
        <v>0</v>
      </c>
      <c r="I110" s="113">
        <v>0</v>
      </c>
      <c r="J110" s="114">
        <f t="shared" si="9"/>
        <v>0</v>
      </c>
      <c r="K110" s="113">
        <f t="shared" si="10"/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</row>
    <row r="111" spans="2:16" ht="13.9" customHeight="1" outlineLevel="1" x14ac:dyDescent="0.25">
      <c r="B111" s="149"/>
      <c r="C111" s="150" t="s">
        <v>36</v>
      </c>
      <c r="D111" s="85">
        <v>0</v>
      </c>
      <c r="E111" s="86">
        <v>0</v>
      </c>
      <c r="F111" s="113">
        <f t="shared" si="8"/>
        <v>0</v>
      </c>
      <c r="G111" s="113">
        <v>0</v>
      </c>
      <c r="H111" s="86">
        <v>0</v>
      </c>
      <c r="I111" s="113">
        <v>0</v>
      </c>
      <c r="J111" s="114">
        <f t="shared" si="9"/>
        <v>0</v>
      </c>
      <c r="K111" s="113">
        <f t="shared" si="10"/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</row>
    <row r="112" spans="2:16" ht="13.9" customHeight="1" outlineLevel="1" x14ac:dyDescent="0.25">
      <c r="B112" s="149"/>
      <c r="C112" s="150" t="s">
        <v>37</v>
      </c>
      <c r="D112" s="85">
        <v>0</v>
      </c>
      <c r="E112" s="86">
        <v>0</v>
      </c>
      <c r="F112" s="113">
        <f t="shared" si="8"/>
        <v>0</v>
      </c>
      <c r="G112" s="113">
        <v>0</v>
      </c>
      <c r="H112" s="86">
        <v>0</v>
      </c>
      <c r="I112" s="113">
        <v>0</v>
      </c>
      <c r="J112" s="114">
        <f t="shared" si="9"/>
        <v>0</v>
      </c>
      <c r="K112" s="113">
        <f t="shared" si="10"/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</row>
    <row r="113" spans="2:16" ht="13.9" customHeight="1" outlineLevel="1" x14ac:dyDescent="0.25">
      <c r="B113" s="149"/>
      <c r="C113" s="150" t="s">
        <v>38</v>
      </c>
      <c r="D113" s="85">
        <v>0</v>
      </c>
      <c r="E113" s="86">
        <v>0</v>
      </c>
      <c r="F113" s="113">
        <f t="shared" si="8"/>
        <v>0</v>
      </c>
      <c r="G113" s="113">
        <v>0</v>
      </c>
      <c r="H113" s="86">
        <v>0</v>
      </c>
      <c r="I113" s="113">
        <v>0</v>
      </c>
      <c r="J113" s="114">
        <f t="shared" si="9"/>
        <v>0</v>
      </c>
      <c r="K113" s="113">
        <f t="shared" si="10"/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</row>
    <row r="114" spans="2:16" ht="13.9" customHeight="1" outlineLevel="1" x14ac:dyDescent="0.25">
      <c r="B114" s="149"/>
      <c r="C114" s="150" t="s">
        <v>39</v>
      </c>
      <c r="D114" s="85">
        <v>0</v>
      </c>
      <c r="E114" s="86">
        <v>0</v>
      </c>
      <c r="F114" s="113">
        <f t="shared" si="8"/>
        <v>0</v>
      </c>
      <c r="G114" s="113">
        <v>0</v>
      </c>
      <c r="H114" s="86">
        <v>0</v>
      </c>
      <c r="I114" s="113">
        <v>0</v>
      </c>
      <c r="J114" s="114">
        <f t="shared" si="9"/>
        <v>0</v>
      </c>
      <c r="K114" s="113">
        <f t="shared" si="10"/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</row>
    <row r="115" spans="2:16" ht="13.9" customHeight="1" outlineLevel="1" x14ac:dyDescent="0.25">
      <c r="B115" s="149"/>
      <c r="C115" s="150" t="s">
        <v>40</v>
      </c>
      <c r="D115" s="85">
        <v>0</v>
      </c>
      <c r="E115" s="86">
        <v>0</v>
      </c>
      <c r="F115" s="113">
        <f t="shared" si="8"/>
        <v>0</v>
      </c>
      <c r="G115" s="113">
        <v>0</v>
      </c>
      <c r="H115" s="86">
        <v>0</v>
      </c>
      <c r="I115" s="113">
        <v>0</v>
      </c>
      <c r="J115" s="114">
        <f t="shared" si="9"/>
        <v>0</v>
      </c>
      <c r="K115" s="113">
        <f t="shared" si="10"/>
        <v>0</v>
      </c>
      <c r="L115" s="113">
        <v>0</v>
      </c>
      <c r="M115" s="113">
        <v>0</v>
      </c>
      <c r="N115" s="113">
        <v>0</v>
      </c>
      <c r="O115" s="113">
        <v>0</v>
      </c>
      <c r="P115" s="113">
        <v>0</v>
      </c>
    </row>
    <row r="116" spans="2:16" ht="13.9" customHeight="1" outlineLevel="1" x14ac:dyDescent="0.25">
      <c r="B116" s="149"/>
      <c r="C116" s="150" t="s">
        <v>41</v>
      </c>
      <c r="D116" s="85">
        <v>0</v>
      </c>
      <c r="E116" s="86">
        <v>0</v>
      </c>
      <c r="F116" s="113">
        <f t="shared" si="8"/>
        <v>0</v>
      </c>
      <c r="G116" s="113">
        <v>0</v>
      </c>
      <c r="H116" s="86">
        <v>0</v>
      </c>
      <c r="I116" s="113">
        <v>0</v>
      </c>
      <c r="J116" s="114">
        <f t="shared" si="9"/>
        <v>0</v>
      </c>
      <c r="K116" s="113">
        <f t="shared" si="10"/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</row>
    <row r="117" spans="2:16" ht="13.9" customHeight="1" outlineLevel="1" x14ac:dyDescent="0.25">
      <c r="B117" s="149"/>
      <c r="C117" s="150" t="s">
        <v>42</v>
      </c>
      <c r="D117" s="85">
        <v>0</v>
      </c>
      <c r="E117" s="86">
        <v>0</v>
      </c>
      <c r="F117" s="113">
        <f t="shared" si="8"/>
        <v>0</v>
      </c>
      <c r="G117" s="113">
        <v>0</v>
      </c>
      <c r="H117" s="86">
        <v>0</v>
      </c>
      <c r="I117" s="113">
        <v>0</v>
      </c>
      <c r="J117" s="114">
        <f t="shared" si="9"/>
        <v>0</v>
      </c>
      <c r="K117" s="113">
        <f t="shared" si="10"/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</row>
    <row r="118" spans="2:16" ht="13.9" customHeight="1" outlineLevel="1" x14ac:dyDescent="0.25">
      <c r="B118" s="149"/>
      <c r="C118" s="150" t="s">
        <v>43</v>
      </c>
      <c r="D118" s="85">
        <v>0</v>
      </c>
      <c r="E118" s="86">
        <v>0</v>
      </c>
      <c r="F118" s="113">
        <f t="shared" si="8"/>
        <v>0</v>
      </c>
      <c r="G118" s="113">
        <v>0</v>
      </c>
      <c r="H118" s="86">
        <v>0</v>
      </c>
      <c r="I118" s="113">
        <v>0</v>
      </c>
      <c r="J118" s="114">
        <f t="shared" si="9"/>
        <v>0</v>
      </c>
      <c r="K118" s="113">
        <f t="shared" si="10"/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</row>
    <row r="119" spans="2:16" ht="13.9" customHeight="1" outlineLevel="1" x14ac:dyDescent="0.25">
      <c r="B119" s="149"/>
      <c r="C119" s="150" t="s">
        <v>44</v>
      </c>
      <c r="D119" s="85">
        <v>0</v>
      </c>
      <c r="E119" s="86">
        <v>0</v>
      </c>
      <c r="F119" s="113">
        <f t="shared" si="8"/>
        <v>0</v>
      </c>
      <c r="G119" s="113">
        <v>0</v>
      </c>
      <c r="H119" s="86">
        <v>0</v>
      </c>
      <c r="I119" s="113">
        <v>0</v>
      </c>
      <c r="J119" s="114">
        <f t="shared" si="9"/>
        <v>0</v>
      </c>
      <c r="K119" s="113">
        <f t="shared" si="10"/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</row>
    <row r="120" spans="2:16" ht="13.9" customHeight="1" outlineLevel="1" x14ac:dyDescent="0.25">
      <c r="B120" s="149"/>
      <c r="C120" s="150" t="s">
        <v>45</v>
      </c>
      <c r="D120" s="85">
        <v>0</v>
      </c>
      <c r="E120" s="86">
        <v>0</v>
      </c>
      <c r="F120" s="113">
        <f t="shared" si="8"/>
        <v>0</v>
      </c>
      <c r="G120" s="113">
        <v>0</v>
      </c>
      <c r="H120" s="86">
        <v>0</v>
      </c>
      <c r="I120" s="113">
        <v>0</v>
      </c>
      <c r="J120" s="114">
        <f t="shared" si="9"/>
        <v>0</v>
      </c>
      <c r="K120" s="113">
        <f t="shared" si="10"/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</row>
    <row r="121" spans="2:16" ht="13.9" customHeight="1" outlineLevel="1" x14ac:dyDescent="0.25">
      <c r="B121" s="149"/>
      <c r="C121" s="150" t="s">
        <v>46</v>
      </c>
      <c r="D121" s="85">
        <v>0</v>
      </c>
      <c r="E121" s="86">
        <v>0</v>
      </c>
      <c r="F121" s="113">
        <f t="shared" si="8"/>
        <v>0</v>
      </c>
      <c r="G121" s="113">
        <v>0</v>
      </c>
      <c r="H121" s="86">
        <v>0</v>
      </c>
      <c r="I121" s="113">
        <v>0</v>
      </c>
      <c r="J121" s="114">
        <f t="shared" si="9"/>
        <v>0</v>
      </c>
      <c r="K121" s="113">
        <f t="shared" si="10"/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</row>
    <row r="122" spans="2:16" ht="13.9" customHeight="1" outlineLevel="1" x14ac:dyDescent="0.25">
      <c r="B122" s="149"/>
      <c r="C122" s="150" t="s">
        <v>47</v>
      </c>
      <c r="D122" s="85">
        <v>0</v>
      </c>
      <c r="E122" s="86">
        <v>0</v>
      </c>
      <c r="F122" s="113">
        <f t="shared" si="8"/>
        <v>0</v>
      </c>
      <c r="G122" s="113">
        <v>0</v>
      </c>
      <c r="H122" s="86">
        <v>0</v>
      </c>
      <c r="I122" s="113">
        <v>0</v>
      </c>
      <c r="J122" s="114">
        <f t="shared" si="9"/>
        <v>0</v>
      </c>
      <c r="K122" s="113">
        <f t="shared" si="10"/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</row>
    <row r="123" spans="2:16" ht="13.9" customHeight="1" outlineLevel="1" x14ac:dyDescent="0.25">
      <c r="B123" s="149"/>
      <c r="C123" s="150" t="s">
        <v>48</v>
      </c>
      <c r="D123" s="85">
        <v>1</v>
      </c>
      <c r="E123" s="86">
        <v>4967550</v>
      </c>
      <c r="F123" s="113">
        <f t="shared" si="8"/>
        <v>521593</v>
      </c>
      <c r="G123" s="113">
        <v>0</v>
      </c>
      <c r="H123" s="86">
        <v>4967550</v>
      </c>
      <c r="I123" s="113">
        <v>521593</v>
      </c>
      <c r="J123" s="114">
        <f t="shared" si="9"/>
        <v>4445957</v>
      </c>
      <c r="K123" s="113">
        <f t="shared" si="10"/>
        <v>794807</v>
      </c>
      <c r="L123" s="113">
        <v>3651150</v>
      </c>
      <c r="M123" s="113">
        <v>0</v>
      </c>
      <c r="N123" s="113">
        <v>0</v>
      </c>
      <c r="O123" s="113">
        <v>0</v>
      </c>
      <c r="P123" s="113">
        <v>0</v>
      </c>
    </row>
    <row r="124" spans="2:16" ht="13.9" customHeight="1" outlineLevel="1" x14ac:dyDescent="0.25">
      <c r="B124" s="149"/>
      <c r="C124" s="150" t="s">
        <v>49</v>
      </c>
      <c r="D124" s="85">
        <v>2</v>
      </c>
      <c r="E124" s="86">
        <v>3581000.5</v>
      </c>
      <c r="F124" s="113">
        <f t="shared" si="8"/>
        <v>1128015.1499999999</v>
      </c>
      <c r="G124" s="113">
        <v>71620.009999999995</v>
      </c>
      <c r="H124" s="86">
        <v>3509380.49</v>
      </c>
      <c r="I124" s="113">
        <v>1056395.1399999999</v>
      </c>
      <c r="J124" s="114">
        <f t="shared" si="9"/>
        <v>2452985.3500000006</v>
      </c>
      <c r="K124" s="113">
        <f t="shared" si="10"/>
        <v>948965.15000000037</v>
      </c>
      <c r="L124" s="113">
        <v>1504020.2000000002</v>
      </c>
      <c r="M124" s="113">
        <v>0</v>
      </c>
      <c r="N124" s="113">
        <v>0</v>
      </c>
      <c r="O124" s="113">
        <v>0</v>
      </c>
      <c r="P124" s="113">
        <v>0</v>
      </c>
    </row>
    <row r="125" spans="2:16" ht="13.9" customHeight="1" outlineLevel="1" x14ac:dyDescent="0.25">
      <c r="B125" s="149"/>
      <c r="C125" s="150" t="s">
        <v>50</v>
      </c>
      <c r="D125" s="85">
        <v>0</v>
      </c>
      <c r="E125" s="86">
        <v>0</v>
      </c>
      <c r="F125" s="113">
        <f t="shared" si="8"/>
        <v>0</v>
      </c>
      <c r="G125" s="113">
        <v>0</v>
      </c>
      <c r="H125" s="86">
        <v>0</v>
      </c>
      <c r="I125" s="113">
        <v>0</v>
      </c>
      <c r="J125" s="114">
        <f t="shared" si="9"/>
        <v>0</v>
      </c>
      <c r="K125" s="113">
        <f t="shared" si="10"/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</row>
    <row r="126" spans="2:16" ht="13.9" customHeight="1" outlineLevel="1" x14ac:dyDescent="0.25">
      <c r="B126" s="149"/>
      <c r="C126" s="150" t="s">
        <v>51</v>
      </c>
      <c r="D126" s="85">
        <v>1</v>
      </c>
      <c r="E126" s="86">
        <v>3995145</v>
      </c>
      <c r="F126" s="113">
        <f t="shared" si="8"/>
        <v>419490.5</v>
      </c>
      <c r="G126" s="113">
        <v>80000</v>
      </c>
      <c r="H126" s="86">
        <v>3915145</v>
      </c>
      <c r="I126" s="113">
        <v>339490.5</v>
      </c>
      <c r="J126" s="114">
        <f t="shared" si="9"/>
        <v>3575654.5</v>
      </c>
      <c r="K126" s="113">
        <f t="shared" si="10"/>
        <v>639222</v>
      </c>
      <c r="L126" s="113">
        <v>2936432.5</v>
      </c>
      <c r="M126" s="113">
        <v>0</v>
      </c>
      <c r="N126" s="113">
        <v>0</v>
      </c>
      <c r="O126" s="113">
        <v>0</v>
      </c>
      <c r="P126" s="113">
        <v>0</v>
      </c>
    </row>
    <row r="127" spans="2:16" ht="13.9" customHeight="1" outlineLevel="1" x14ac:dyDescent="0.25">
      <c r="B127" s="149"/>
      <c r="C127" s="150" t="s">
        <v>52</v>
      </c>
      <c r="D127" s="85">
        <v>0</v>
      </c>
      <c r="E127" s="86">
        <v>0</v>
      </c>
      <c r="F127" s="113">
        <f t="shared" si="8"/>
        <v>0</v>
      </c>
      <c r="G127" s="113">
        <v>0</v>
      </c>
      <c r="H127" s="86">
        <v>0</v>
      </c>
      <c r="I127" s="113">
        <v>0</v>
      </c>
      <c r="J127" s="114">
        <f t="shared" si="9"/>
        <v>0</v>
      </c>
      <c r="K127" s="113">
        <f t="shared" si="10"/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</row>
    <row r="128" spans="2:16" ht="13.9" customHeight="1" outlineLevel="1" x14ac:dyDescent="0.25">
      <c r="B128" s="149"/>
      <c r="C128" s="150" t="s">
        <v>53</v>
      </c>
      <c r="D128" s="85">
        <v>0</v>
      </c>
      <c r="E128" s="86">
        <v>0</v>
      </c>
      <c r="F128" s="113">
        <f t="shared" si="8"/>
        <v>0</v>
      </c>
      <c r="G128" s="113">
        <v>0</v>
      </c>
      <c r="H128" s="86">
        <v>0</v>
      </c>
      <c r="I128" s="113">
        <v>0</v>
      </c>
      <c r="J128" s="114">
        <f t="shared" si="9"/>
        <v>0</v>
      </c>
      <c r="K128" s="113">
        <f t="shared" si="10"/>
        <v>0</v>
      </c>
      <c r="L128" s="113">
        <v>0</v>
      </c>
      <c r="M128" s="113">
        <v>0</v>
      </c>
      <c r="N128" s="113">
        <v>0</v>
      </c>
      <c r="O128" s="113">
        <v>0</v>
      </c>
      <c r="P128" s="113">
        <v>0</v>
      </c>
    </row>
    <row r="129" spans="2:16" ht="13.9" customHeight="1" outlineLevel="1" x14ac:dyDescent="0.25">
      <c r="B129" s="149"/>
      <c r="C129" s="150" t="s">
        <v>54</v>
      </c>
      <c r="D129" s="85">
        <v>0</v>
      </c>
      <c r="E129" s="86">
        <v>0</v>
      </c>
      <c r="F129" s="113">
        <f t="shared" si="8"/>
        <v>0</v>
      </c>
      <c r="G129" s="113">
        <v>0</v>
      </c>
      <c r="H129" s="86">
        <v>0</v>
      </c>
      <c r="I129" s="113">
        <v>0</v>
      </c>
      <c r="J129" s="114">
        <f t="shared" si="9"/>
        <v>0</v>
      </c>
      <c r="K129" s="113">
        <f t="shared" si="10"/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</row>
    <row r="130" spans="2:16" ht="13.9" customHeight="1" outlineLevel="1" x14ac:dyDescent="0.25">
      <c r="B130" s="149"/>
      <c r="C130" s="150" t="s">
        <v>55</v>
      </c>
      <c r="D130" s="85">
        <v>0</v>
      </c>
      <c r="E130" s="86">
        <v>0</v>
      </c>
      <c r="F130" s="113">
        <f t="shared" si="8"/>
        <v>0</v>
      </c>
      <c r="G130" s="113">
        <v>0</v>
      </c>
      <c r="H130" s="86">
        <v>0</v>
      </c>
      <c r="I130" s="113">
        <v>0</v>
      </c>
      <c r="J130" s="114">
        <f t="shared" si="9"/>
        <v>0</v>
      </c>
      <c r="K130" s="113">
        <f t="shared" si="10"/>
        <v>0</v>
      </c>
      <c r="L130" s="113">
        <v>0</v>
      </c>
      <c r="M130" s="113">
        <v>0</v>
      </c>
      <c r="N130" s="113">
        <v>0</v>
      </c>
      <c r="O130" s="113">
        <v>0</v>
      </c>
      <c r="P130" s="113">
        <v>0</v>
      </c>
    </row>
    <row r="131" spans="2:16" ht="13.9" customHeight="1" outlineLevel="1" x14ac:dyDescent="0.25">
      <c r="B131" s="149"/>
      <c r="C131" s="150" t="s">
        <v>56</v>
      </c>
      <c r="D131" s="85">
        <v>2</v>
      </c>
      <c r="E131" s="86">
        <v>3880065.49</v>
      </c>
      <c r="F131" s="113">
        <f t="shared" si="8"/>
        <v>388006.55</v>
      </c>
      <c r="G131" s="113">
        <v>20000</v>
      </c>
      <c r="H131" s="86">
        <v>3860065.49</v>
      </c>
      <c r="I131" s="113">
        <v>368006.55</v>
      </c>
      <c r="J131" s="114">
        <f t="shared" si="9"/>
        <v>3492058.9400000004</v>
      </c>
      <c r="K131" s="113">
        <f t="shared" si="10"/>
        <v>388006.5400000005</v>
      </c>
      <c r="L131" s="113">
        <v>577285.57999999996</v>
      </c>
      <c r="M131" s="113">
        <v>198727.52</v>
      </c>
      <c r="N131" s="113">
        <v>198727.52</v>
      </c>
      <c r="O131" s="113">
        <v>2129311.7799999998</v>
      </c>
      <c r="P131" s="113">
        <v>0</v>
      </c>
    </row>
    <row r="132" spans="2:16" ht="13.9" customHeight="1" outlineLevel="1" x14ac:dyDescent="0.25">
      <c r="B132" s="149"/>
      <c r="C132" s="150" t="s">
        <v>57</v>
      </c>
      <c r="D132" s="85">
        <v>0</v>
      </c>
      <c r="E132" s="86">
        <v>0</v>
      </c>
      <c r="F132" s="113">
        <f t="shared" si="8"/>
        <v>0</v>
      </c>
      <c r="G132" s="113">
        <v>0</v>
      </c>
      <c r="H132" s="86">
        <v>0</v>
      </c>
      <c r="I132" s="113">
        <v>0</v>
      </c>
      <c r="J132" s="114">
        <f t="shared" si="9"/>
        <v>0</v>
      </c>
      <c r="K132" s="113">
        <f t="shared" si="10"/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</row>
    <row r="133" spans="2:16" ht="13.9" customHeight="1" outlineLevel="1" x14ac:dyDescent="0.25">
      <c r="B133" s="149"/>
      <c r="C133" s="150" t="s">
        <v>58</v>
      </c>
      <c r="D133" s="85">
        <v>0</v>
      </c>
      <c r="E133" s="86">
        <v>0</v>
      </c>
      <c r="F133" s="113">
        <f t="shared" si="8"/>
        <v>0</v>
      </c>
      <c r="G133" s="113">
        <v>0</v>
      </c>
      <c r="H133" s="86">
        <v>0</v>
      </c>
      <c r="I133" s="113">
        <v>0</v>
      </c>
      <c r="J133" s="114">
        <f t="shared" si="9"/>
        <v>0</v>
      </c>
      <c r="K133" s="113">
        <f t="shared" si="10"/>
        <v>0</v>
      </c>
      <c r="L133" s="113">
        <v>0</v>
      </c>
      <c r="M133" s="113">
        <v>0</v>
      </c>
      <c r="N133" s="113">
        <v>0</v>
      </c>
      <c r="O133" s="113">
        <v>0</v>
      </c>
      <c r="P133" s="113">
        <v>0</v>
      </c>
    </row>
    <row r="134" spans="2:16" ht="13.9" customHeight="1" outlineLevel="1" x14ac:dyDescent="0.25">
      <c r="B134" s="149"/>
      <c r="C134" s="150" t="s">
        <v>59</v>
      </c>
      <c r="D134" s="85">
        <v>0</v>
      </c>
      <c r="E134" s="86">
        <v>0</v>
      </c>
      <c r="F134" s="113">
        <f t="shared" si="8"/>
        <v>0</v>
      </c>
      <c r="G134" s="113">
        <v>0</v>
      </c>
      <c r="H134" s="86">
        <v>0</v>
      </c>
      <c r="I134" s="113">
        <v>0</v>
      </c>
      <c r="J134" s="114">
        <f t="shared" si="9"/>
        <v>0</v>
      </c>
      <c r="K134" s="113">
        <f t="shared" si="10"/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</row>
    <row r="135" spans="2:16" ht="13.9" customHeight="1" outlineLevel="1" x14ac:dyDescent="0.25">
      <c r="B135" s="149"/>
      <c r="C135" s="150" t="s">
        <v>60</v>
      </c>
      <c r="D135" s="85">
        <v>1</v>
      </c>
      <c r="E135" s="86">
        <v>3895087.68</v>
      </c>
      <c r="F135" s="113">
        <f t="shared" si="8"/>
        <v>389508.77</v>
      </c>
      <c r="G135" s="113">
        <v>0</v>
      </c>
      <c r="H135" s="86">
        <v>3895087.68</v>
      </c>
      <c r="I135" s="113">
        <v>389508.77</v>
      </c>
      <c r="J135" s="114">
        <f t="shared" si="9"/>
        <v>3505578.91</v>
      </c>
      <c r="K135" s="113">
        <f t="shared" si="10"/>
        <v>389508.76000000024</v>
      </c>
      <c r="L135" s="113">
        <v>779017.54</v>
      </c>
      <c r="M135" s="113">
        <v>0</v>
      </c>
      <c r="N135" s="113">
        <v>2337052.61</v>
      </c>
      <c r="O135" s="113">
        <v>0</v>
      </c>
      <c r="P135" s="113">
        <v>0</v>
      </c>
    </row>
    <row r="136" spans="2:16" ht="13.9" customHeight="1" outlineLevel="1" x14ac:dyDescent="0.25">
      <c r="B136" s="149"/>
      <c r="C136" s="150" t="s">
        <v>61</v>
      </c>
      <c r="D136" s="85">
        <v>0</v>
      </c>
      <c r="E136" s="86">
        <v>0</v>
      </c>
      <c r="F136" s="113">
        <f t="shared" si="8"/>
        <v>0</v>
      </c>
      <c r="G136" s="113">
        <v>0</v>
      </c>
      <c r="H136" s="86">
        <v>0</v>
      </c>
      <c r="I136" s="113">
        <v>0</v>
      </c>
      <c r="J136" s="114">
        <f t="shared" si="9"/>
        <v>0</v>
      </c>
      <c r="K136" s="113">
        <f t="shared" si="10"/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</row>
    <row r="137" spans="2:16" ht="13.9" customHeight="1" outlineLevel="1" x14ac:dyDescent="0.25">
      <c r="B137" s="149"/>
      <c r="C137" s="150" t="s">
        <v>62</v>
      </c>
      <c r="D137" s="85">
        <v>0</v>
      </c>
      <c r="E137" s="86">
        <v>0</v>
      </c>
      <c r="F137" s="113">
        <f t="shared" si="8"/>
        <v>0</v>
      </c>
      <c r="G137" s="113">
        <v>0</v>
      </c>
      <c r="H137" s="86">
        <v>0</v>
      </c>
      <c r="I137" s="113">
        <v>0</v>
      </c>
      <c r="J137" s="114">
        <f t="shared" si="9"/>
        <v>0</v>
      </c>
      <c r="K137" s="113">
        <f t="shared" si="10"/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</row>
    <row r="138" spans="2:16" ht="13.9" customHeight="1" outlineLevel="1" x14ac:dyDescent="0.25">
      <c r="B138" s="149"/>
      <c r="C138" s="150" t="s">
        <v>63</v>
      </c>
      <c r="D138" s="85">
        <v>2</v>
      </c>
      <c r="E138" s="86">
        <v>8216884.5</v>
      </c>
      <c r="F138" s="113">
        <f t="shared" si="8"/>
        <v>821688.45</v>
      </c>
      <c r="G138" s="113">
        <v>83200</v>
      </c>
      <c r="H138" s="86">
        <v>8133684.5</v>
      </c>
      <c r="I138" s="113">
        <v>738488.45</v>
      </c>
      <c r="J138" s="114">
        <f t="shared" si="9"/>
        <v>7395196.0499999998</v>
      </c>
      <c r="K138" s="113">
        <f t="shared" si="10"/>
        <v>1237638.5999999996</v>
      </c>
      <c r="L138" s="113">
        <v>821688.45</v>
      </c>
      <c r="M138" s="113">
        <v>1237638.6000000001</v>
      </c>
      <c r="N138" s="113">
        <v>4098230.4</v>
      </c>
      <c r="O138" s="113">
        <v>0</v>
      </c>
      <c r="P138" s="113">
        <v>0</v>
      </c>
    </row>
    <row r="139" spans="2:16" ht="13.9" customHeight="1" outlineLevel="1" x14ac:dyDescent="0.25">
      <c r="B139" s="149"/>
      <c r="C139" s="150" t="s">
        <v>64</v>
      </c>
      <c r="D139" s="85">
        <v>0</v>
      </c>
      <c r="E139" s="86">
        <v>0</v>
      </c>
      <c r="F139" s="113">
        <f t="shared" si="8"/>
        <v>0</v>
      </c>
      <c r="G139" s="113">
        <v>0</v>
      </c>
      <c r="H139" s="86">
        <v>0</v>
      </c>
      <c r="I139" s="113">
        <v>0</v>
      </c>
      <c r="J139" s="114">
        <f t="shared" si="9"/>
        <v>0</v>
      </c>
      <c r="K139" s="113">
        <f t="shared" si="10"/>
        <v>0</v>
      </c>
      <c r="L139" s="113">
        <v>0</v>
      </c>
      <c r="M139" s="113">
        <v>0</v>
      </c>
      <c r="N139" s="113">
        <v>0</v>
      </c>
      <c r="O139" s="113">
        <v>0</v>
      </c>
      <c r="P139" s="113">
        <v>0</v>
      </c>
    </row>
    <row r="140" spans="2:16" ht="13.9" customHeight="1" outlineLevel="1" x14ac:dyDescent="0.25">
      <c r="B140" s="149"/>
      <c r="C140" s="150" t="s">
        <v>65</v>
      </c>
      <c r="D140" s="85">
        <v>0</v>
      </c>
      <c r="E140" s="86">
        <v>0</v>
      </c>
      <c r="F140" s="113">
        <f t="shared" si="8"/>
        <v>0</v>
      </c>
      <c r="G140" s="113">
        <v>0</v>
      </c>
      <c r="H140" s="86">
        <v>0</v>
      </c>
      <c r="I140" s="113">
        <v>0</v>
      </c>
      <c r="J140" s="114">
        <f t="shared" si="9"/>
        <v>0</v>
      </c>
      <c r="K140" s="113">
        <f t="shared" si="10"/>
        <v>0</v>
      </c>
      <c r="L140" s="113">
        <v>0</v>
      </c>
      <c r="M140" s="113">
        <v>0</v>
      </c>
      <c r="N140" s="113">
        <v>0</v>
      </c>
      <c r="O140" s="113">
        <v>0</v>
      </c>
      <c r="P140" s="113">
        <v>0</v>
      </c>
    </row>
    <row r="141" spans="2:16" ht="13.9" customHeight="1" outlineLevel="1" x14ac:dyDescent="0.25">
      <c r="B141" s="149"/>
      <c r="C141" s="150" t="s">
        <v>66</v>
      </c>
      <c r="D141" s="85">
        <v>0</v>
      </c>
      <c r="E141" s="86">
        <v>0</v>
      </c>
      <c r="F141" s="113">
        <f t="shared" si="8"/>
        <v>0</v>
      </c>
      <c r="G141" s="113">
        <v>0</v>
      </c>
      <c r="H141" s="86">
        <v>0</v>
      </c>
      <c r="I141" s="113">
        <v>0</v>
      </c>
      <c r="J141" s="114">
        <f t="shared" si="9"/>
        <v>0</v>
      </c>
      <c r="K141" s="113">
        <f t="shared" si="10"/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</row>
    <row r="142" spans="2:16" ht="13.9" customHeight="1" outlineLevel="1" x14ac:dyDescent="0.25">
      <c r="B142" s="149"/>
      <c r="C142" s="150" t="s">
        <v>67</v>
      </c>
      <c r="D142" s="85">
        <v>0</v>
      </c>
      <c r="E142" s="86">
        <v>0</v>
      </c>
      <c r="F142" s="113">
        <f t="shared" si="8"/>
        <v>0</v>
      </c>
      <c r="G142" s="113">
        <v>0</v>
      </c>
      <c r="H142" s="86">
        <v>0</v>
      </c>
      <c r="I142" s="113">
        <v>0</v>
      </c>
      <c r="J142" s="114">
        <f t="shared" si="9"/>
        <v>0</v>
      </c>
      <c r="K142" s="113">
        <f t="shared" si="10"/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</row>
    <row r="143" spans="2:16" ht="13.9" customHeight="1" x14ac:dyDescent="0.25">
      <c r="B143" s="149"/>
      <c r="C143" s="148" t="s">
        <v>103</v>
      </c>
      <c r="D143" s="90">
        <f>SUM(D106:D142)</f>
        <v>9</v>
      </c>
      <c r="E143" s="91">
        <f t="shared" ref="E143:P143" si="11">SUM(E106:E142)</f>
        <v>28535733.170000002</v>
      </c>
      <c r="F143" s="92">
        <f t="shared" si="11"/>
        <v>3668302.42</v>
      </c>
      <c r="G143" s="93">
        <f t="shared" si="11"/>
        <v>254820.01</v>
      </c>
      <c r="H143" s="90">
        <f t="shared" si="11"/>
        <v>28280913.16</v>
      </c>
      <c r="I143" s="91">
        <f t="shared" si="11"/>
        <v>3413482.41</v>
      </c>
      <c r="J143" s="92">
        <f t="shared" si="11"/>
        <v>24867430.750000004</v>
      </c>
      <c r="K143" s="93">
        <f t="shared" si="11"/>
        <v>4398148.0500000007</v>
      </c>
      <c r="L143" s="90">
        <f t="shared" si="11"/>
        <v>10269594.27</v>
      </c>
      <c r="M143" s="91">
        <f t="shared" si="11"/>
        <v>1436366.12</v>
      </c>
      <c r="N143" s="90">
        <f t="shared" si="11"/>
        <v>6634010.5299999993</v>
      </c>
      <c r="O143" s="91">
        <f t="shared" si="11"/>
        <v>2129311.7799999998</v>
      </c>
      <c r="P143" s="91">
        <f t="shared" si="11"/>
        <v>0</v>
      </c>
    </row>
    <row r="144" spans="2:16" ht="13.9" customHeight="1" outlineLevel="1" x14ac:dyDescent="0.25">
      <c r="B144" s="149" t="s">
        <v>83</v>
      </c>
      <c r="C144" s="150" t="s">
        <v>70</v>
      </c>
      <c r="D144" s="85">
        <v>3</v>
      </c>
      <c r="E144" s="86">
        <v>5588067.79</v>
      </c>
      <c r="F144" s="113">
        <f t="shared" si="8"/>
        <v>866123.66</v>
      </c>
      <c r="G144" s="113">
        <v>22271</v>
      </c>
      <c r="H144" s="86">
        <v>5565796.79</v>
      </c>
      <c r="I144" s="113">
        <v>843852.66</v>
      </c>
      <c r="J144" s="114">
        <f t="shared" si="9"/>
        <v>4721944.13</v>
      </c>
      <c r="K144" s="113">
        <f t="shared" si="10"/>
        <v>362844.37999999989</v>
      </c>
      <c r="L144" s="113">
        <v>3101650.25</v>
      </c>
      <c r="M144" s="113">
        <v>0</v>
      </c>
      <c r="N144" s="113">
        <v>1257449.5</v>
      </c>
      <c r="O144" s="113">
        <v>0</v>
      </c>
      <c r="P144" s="113">
        <v>0</v>
      </c>
    </row>
    <row r="145" spans="2:16" ht="13.9" customHeight="1" outlineLevel="1" x14ac:dyDescent="0.25">
      <c r="B145" s="149"/>
      <c r="C145" s="150" t="s">
        <v>71</v>
      </c>
      <c r="D145" s="85">
        <v>0</v>
      </c>
      <c r="E145" s="86">
        <v>0</v>
      </c>
      <c r="F145" s="113">
        <f t="shared" si="8"/>
        <v>0</v>
      </c>
      <c r="G145" s="113">
        <v>0</v>
      </c>
      <c r="H145" s="86">
        <v>0</v>
      </c>
      <c r="I145" s="113">
        <v>0</v>
      </c>
      <c r="J145" s="114">
        <f t="shared" si="9"/>
        <v>0</v>
      </c>
      <c r="K145" s="113">
        <f t="shared" si="10"/>
        <v>0</v>
      </c>
      <c r="L145" s="113">
        <v>0</v>
      </c>
      <c r="M145" s="113">
        <v>0</v>
      </c>
      <c r="N145" s="113">
        <v>0</v>
      </c>
      <c r="O145" s="113">
        <v>0</v>
      </c>
      <c r="P145" s="113">
        <v>0</v>
      </c>
    </row>
    <row r="146" spans="2:16" ht="13.9" customHeight="1" outlineLevel="1" x14ac:dyDescent="0.25">
      <c r="B146" s="149"/>
      <c r="C146" s="150" t="s">
        <v>72</v>
      </c>
      <c r="D146" s="85">
        <v>0</v>
      </c>
      <c r="E146" s="86">
        <v>0</v>
      </c>
      <c r="F146" s="113">
        <f t="shared" si="8"/>
        <v>0</v>
      </c>
      <c r="G146" s="113">
        <v>0</v>
      </c>
      <c r="H146" s="86">
        <v>0</v>
      </c>
      <c r="I146" s="113">
        <v>0</v>
      </c>
      <c r="J146" s="114">
        <f t="shared" si="9"/>
        <v>0</v>
      </c>
      <c r="K146" s="113">
        <f t="shared" si="10"/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</row>
    <row r="147" spans="2:16" ht="13.9" customHeight="1" x14ac:dyDescent="0.25">
      <c r="B147" s="149"/>
      <c r="C147" s="148" t="s">
        <v>104</v>
      </c>
      <c r="D147" s="90">
        <f>SUM(D144:D146)</f>
        <v>3</v>
      </c>
      <c r="E147" s="91">
        <f t="shared" ref="E147:P147" si="12">SUM(E144:E146)</f>
        <v>5588067.79</v>
      </c>
      <c r="F147" s="92">
        <f t="shared" si="12"/>
        <v>866123.66</v>
      </c>
      <c r="G147" s="93">
        <f t="shared" si="12"/>
        <v>22271</v>
      </c>
      <c r="H147" s="90">
        <f t="shared" si="12"/>
        <v>5565796.79</v>
      </c>
      <c r="I147" s="91">
        <f t="shared" si="12"/>
        <v>843852.66</v>
      </c>
      <c r="J147" s="92">
        <f t="shared" si="12"/>
        <v>4721944.13</v>
      </c>
      <c r="K147" s="93">
        <f t="shared" si="12"/>
        <v>362844.37999999989</v>
      </c>
      <c r="L147" s="90">
        <f t="shared" si="12"/>
        <v>3101650.25</v>
      </c>
      <c r="M147" s="91">
        <f t="shared" si="12"/>
        <v>0</v>
      </c>
      <c r="N147" s="90">
        <f t="shared" si="12"/>
        <v>1257449.5</v>
      </c>
      <c r="O147" s="91">
        <f t="shared" si="12"/>
        <v>0</v>
      </c>
      <c r="P147" s="91">
        <f t="shared" si="12"/>
        <v>0</v>
      </c>
    </row>
    <row r="148" spans="2:16" ht="13.9" customHeight="1" outlineLevel="1" x14ac:dyDescent="0.25">
      <c r="B148" s="149" t="s">
        <v>105</v>
      </c>
      <c r="C148" s="150" t="s">
        <v>75</v>
      </c>
      <c r="D148" s="85">
        <v>0</v>
      </c>
      <c r="E148" s="86">
        <v>0</v>
      </c>
      <c r="F148" s="113">
        <f>G148+I148</f>
        <v>0</v>
      </c>
      <c r="G148" s="113">
        <v>0</v>
      </c>
      <c r="H148" s="86">
        <v>0</v>
      </c>
      <c r="I148" s="113">
        <v>0</v>
      </c>
      <c r="J148" s="114">
        <f>H148-I148</f>
        <v>0</v>
      </c>
      <c r="K148" s="113">
        <f t="shared" si="10"/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</row>
    <row r="149" spans="2:16" ht="13.9" customHeight="1" outlineLevel="1" x14ac:dyDescent="0.25">
      <c r="B149" s="149"/>
      <c r="C149" s="150" t="s">
        <v>76</v>
      </c>
      <c r="D149" s="85">
        <v>0</v>
      </c>
      <c r="E149" s="86">
        <v>0</v>
      </c>
      <c r="F149" s="113">
        <f>G149+I149</f>
        <v>0</v>
      </c>
      <c r="G149" s="113">
        <v>0</v>
      </c>
      <c r="H149" s="86">
        <v>0</v>
      </c>
      <c r="I149" s="113">
        <v>0</v>
      </c>
      <c r="J149" s="114">
        <f>H149-I149</f>
        <v>0</v>
      </c>
      <c r="K149" s="113">
        <f t="shared" si="10"/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</row>
    <row r="150" spans="2:16" ht="13.9" customHeight="1" x14ac:dyDescent="0.25">
      <c r="B150" s="149"/>
      <c r="C150" s="148" t="s">
        <v>106</v>
      </c>
      <c r="D150" s="90">
        <f>SUM(D148:D149)</f>
        <v>0</v>
      </c>
      <c r="E150" s="91">
        <f t="shared" ref="E150:P150" si="13">SUM(E148:E149)</f>
        <v>0</v>
      </c>
      <c r="F150" s="92">
        <f t="shared" si="13"/>
        <v>0</v>
      </c>
      <c r="G150" s="93">
        <f t="shared" si="13"/>
        <v>0</v>
      </c>
      <c r="H150" s="90">
        <f t="shared" si="13"/>
        <v>0</v>
      </c>
      <c r="I150" s="91">
        <f t="shared" si="13"/>
        <v>0</v>
      </c>
      <c r="J150" s="92">
        <f t="shared" si="13"/>
        <v>0</v>
      </c>
      <c r="K150" s="93">
        <f t="shared" si="13"/>
        <v>0</v>
      </c>
      <c r="L150" s="90">
        <f t="shared" si="13"/>
        <v>0</v>
      </c>
      <c r="M150" s="91">
        <f t="shared" si="13"/>
        <v>0</v>
      </c>
      <c r="N150" s="90">
        <f t="shared" si="13"/>
        <v>0</v>
      </c>
      <c r="O150" s="91">
        <f t="shared" si="13"/>
        <v>0</v>
      </c>
      <c r="P150" s="91">
        <f t="shared" si="13"/>
        <v>0</v>
      </c>
    </row>
    <row r="151" spans="2:16" ht="13.9" customHeight="1" x14ac:dyDescent="0.25">
      <c r="B151" s="155" t="s">
        <v>78</v>
      </c>
      <c r="C151" s="155"/>
      <c r="D151" s="90">
        <f>D143+D147+D150</f>
        <v>12</v>
      </c>
      <c r="E151" s="91">
        <f t="shared" ref="E151:P151" si="14">E143+E147+E150</f>
        <v>34123800.960000001</v>
      </c>
      <c r="F151" s="92">
        <f t="shared" si="14"/>
        <v>4534426.08</v>
      </c>
      <c r="G151" s="93">
        <f t="shared" si="14"/>
        <v>277091.01</v>
      </c>
      <c r="H151" s="90">
        <f t="shared" si="14"/>
        <v>33846709.950000003</v>
      </c>
      <c r="I151" s="91">
        <f t="shared" si="14"/>
        <v>4257335.07</v>
      </c>
      <c r="J151" s="92">
        <f t="shared" si="14"/>
        <v>29589374.880000003</v>
      </c>
      <c r="K151" s="93">
        <f t="shared" si="14"/>
        <v>4760992.4300000006</v>
      </c>
      <c r="L151" s="90">
        <f t="shared" si="14"/>
        <v>13371244.52</v>
      </c>
      <c r="M151" s="91">
        <f t="shared" si="14"/>
        <v>1436366.12</v>
      </c>
      <c r="N151" s="90">
        <f t="shared" si="14"/>
        <v>7891460.0299999993</v>
      </c>
      <c r="O151" s="91">
        <f t="shared" si="14"/>
        <v>2129311.7799999998</v>
      </c>
      <c r="P151" s="91">
        <f t="shared" si="14"/>
        <v>0</v>
      </c>
    </row>
    <row r="152" spans="2:16" ht="13.9" customHeight="1" x14ac:dyDescent="0.25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</row>
    <row r="153" spans="2:16" ht="13.9" customHeight="1" x14ac:dyDescent="0.25">
      <c r="B153" s="107" t="s">
        <v>88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</row>
    <row r="154" spans="2:16" ht="13.9" customHeight="1" x14ac:dyDescent="0.25">
      <c r="B154" s="154" t="s">
        <v>26</v>
      </c>
      <c r="C154" s="148" t="s">
        <v>27</v>
      </c>
      <c r="D154" s="109" t="s">
        <v>28</v>
      </c>
      <c r="E154" s="110" t="s">
        <v>29</v>
      </c>
      <c r="F154" s="111" t="s">
        <v>85</v>
      </c>
      <c r="G154" s="112" t="s">
        <v>81</v>
      </c>
      <c r="H154" s="110" t="s">
        <v>82</v>
      </c>
      <c r="I154" s="112" t="s">
        <v>86</v>
      </c>
      <c r="J154" s="110" t="s">
        <v>87</v>
      </c>
      <c r="K154" s="112">
        <v>2026</v>
      </c>
      <c r="L154" s="112">
        <v>2027</v>
      </c>
      <c r="M154" s="110">
        <v>2028</v>
      </c>
      <c r="N154" s="112">
        <v>2029</v>
      </c>
      <c r="O154" s="110">
        <v>2030</v>
      </c>
      <c r="P154" s="112">
        <v>2031</v>
      </c>
    </row>
    <row r="155" spans="2:16" ht="13.9" customHeight="1" outlineLevel="1" x14ac:dyDescent="0.25">
      <c r="B155" s="149" t="s">
        <v>30</v>
      </c>
      <c r="C155" s="150" t="s">
        <v>31</v>
      </c>
      <c r="D155" s="85">
        <v>4</v>
      </c>
      <c r="E155" s="86">
        <v>8518440.6500000004</v>
      </c>
      <c r="F155" s="142">
        <f t="shared" ref="F155:F198" si="15">G155+I155</f>
        <v>5111064.42</v>
      </c>
      <c r="G155" s="113">
        <v>878203.29</v>
      </c>
      <c r="H155" s="86">
        <v>7640237.3599999994</v>
      </c>
      <c r="I155" s="113">
        <v>4232861.13</v>
      </c>
      <c r="J155" s="114">
        <f t="shared" ref="J155:J198" si="16">H155-I155</f>
        <v>3407376.2299999995</v>
      </c>
      <c r="K155" s="113">
        <f t="shared" ref="K155:K198" si="17">MAX(J155-SUM(L155:P155),0)</f>
        <v>3407376.2299999995</v>
      </c>
      <c r="L155" s="113">
        <v>0</v>
      </c>
      <c r="M155" s="113">
        <v>0</v>
      </c>
      <c r="N155" s="113">
        <v>0</v>
      </c>
      <c r="O155" s="113">
        <v>0</v>
      </c>
      <c r="P155" s="113">
        <v>0</v>
      </c>
    </row>
    <row r="156" spans="2:16" ht="13.9" customHeight="1" outlineLevel="1" x14ac:dyDescent="0.25">
      <c r="B156" s="149"/>
      <c r="C156" s="150" t="s">
        <v>32</v>
      </c>
      <c r="D156" s="85">
        <v>0</v>
      </c>
      <c r="E156" s="86">
        <v>0</v>
      </c>
      <c r="F156" s="142">
        <f t="shared" si="15"/>
        <v>0</v>
      </c>
      <c r="G156" s="113">
        <v>0</v>
      </c>
      <c r="H156" s="86">
        <v>0</v>
      </c>
      <c r="I156" s="113">
        <v>0</v>
      </c>
      <c r="J156" s="114">
        <f t="shared" si="16"/>
        <v>0</v>
      </c>
      <c r="K156" s="113">
        <f t="shared" si="17"/>
        <v>0</v>
      </c>
      <c r="L156" s="113">
        <v>0</v>
      </c>
      <c r="M156" s="113">
        <v>0</v>
      </c>
      <c r="N156" s="113">
        <v>0</v>
      </c>
      <c r="O156" s="113">
        <v>0</v>
      </c>
      <c r="P156" s="113">
        <v>0</v>
      </c>
    </row>
    <row r="157" spans="2:16" ht="13.9" customHeight="1" outlineLevel="1" x14ac:dyDescent="0.25">
      <c r="B157" s="149"/>
      <c r="C157" s="150" t="s">
        <v>33</v>
      </c>
      <c r="D157" s="85">
        <v>0</v>
      </c>
      <c r="E157" s="86">
        <v>0</v>
      </c>
      <c r="F157" s="142">
        <f t="shared" si="15"/>
        <v>0</v>
      </c>
      <c r="G157" s="113">
        <v>0</v>
      </c>
      <c r="H157" s="86">
        <v>0</v>
      </c>
      <c r="I157" s="113">
        <v>0</v>
      </c>
      <c r="J157" s="114">
        <f t="shared" si="16"/>
        <v>0</v>
      </c>
      <c r="K157" s="113">
        <f t="shared" si="17"/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</row>
    <row r="158" spans="2:16" ht="13.9" customHeight="1" outlineLevel="1" x14ac:dyDescent="0.25">
      <c r="B158" s="149"/>
      <c r="C158" s="150" t="s">
        <v>34</v>
      </c>
      <c r="D158" s="85">
        <v>0</v>
      </c>
      <c r="E158" s="86">
        <v>0</v>
      </c>
      <c r="F158" s="142">
        <f t="shared" si="15"/>
        <v>0</v>
      </c>
      <c r="G158" s="113">
        <v>0</v>
      </c>
      <c r="H158" s="86">
        <v>0</v>
      </c>
      <c r="I158" s="113">
        <v>0</v>
      </c>
      <c r="J158" s="114">
        <f t="shared" si="16"/>
        <v>0</v>
      </c>
      <c r="K158" s="113">
        <f t="shared" si="17"/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</row>
    <row r="159" spans="2:16" ht="13.9" customHeight="1" outlineLevel="1" x14ac:dyDescent="0.25">
      <c r="B159" s="149"/>
      <c r="C159" s="150" t="s">
        <v>35</v>
      </c>
      <c r="D159" s="85">
        <v>0</v>
      </c>
      <c r="E159" s="86">
        <v>0</v>
      </c>
      <c r="F159" s="142">
        <f t="shared" si="15"/>
        <v>0</v>
      </c>
      <c r="G159" s="113">
        <v>0</v>
      </c>
      <c r="H159" s="86">
        <v>0</v>
      </c>
      <c r="I159" s="113">
        <v>0</v>
      </c>
      <c r="J159" s="114">
        <f t="shared" si="16"/>
        <v>0</v>
      </c>
      <c r="K159" s="113">
        <f t="shared" si="17"/>
        <v>0</v>
      </c>
      <c r="L159" s="113">
        <v>0</v>
      </c>
      <c r="M159" s="113">
        <v>0</v>
      </c>
      <c r="N159" s="113">
        <v>0</v>
      </c>
      <c r="O159" s="113">
        <v>0</v>
      </c>
      <c r="P159" s="113">
        <v>0</v>
      </c>
    </row>
    <row r="160" spans="2:16" ht="13.9" customHeight="1" outlineLevel="1" x14ac:dyDescent="0.25">
      <c r="B160" s="149"/>
      <c r="C160" s="150" t="s">
        <v>36</v>
      </c>
      <c r="D160" s="85">
        <v>0</v>
      </c>
      <c r="E160" s="86">
        <v>0</v>
      </c>
      <c r="F160" s="142">
        <f t="shared" si="15"/>
        <v>0</v>
      </c>
      <c r="G160" s="113">
        <v>0</v>
      </c>
      <c r="H160" s="86">
        <v>0</v>
      </c>
      <c r="I160" s="113">
        <v>0</v>
      </c>
      <c r="J160" s="114">
        <f t="shared" si="16"/>
        <v>0</v>
      </c>
      <c r="K160" s="113">
        <f t="shared" si="17"/>
        <v>0</v>
      </c>
      <c r="L160" s="113">
        <v>0</v>
      </c>
      <c r="M160" s="113">
        <v>0</v>
      </c>
      <c r="N160" s="113">
        <v>0</v>
      </c>
      <c r="O160" s="113">
        <v>0</v>
      </c>
      <c r="P160" s="113">
        <v>0</v>
      </c>
    </row>
    <row r="161" spans="2:16" ht="13.9" customHeight="1" outlineLevel="1" x14ac:dyDescent="0.25">
      <c r="B161" s="149"/>
      <c r="C161" s="150" t="s">
        <v>37</v>
      </c>
      <c r="D161" s="85">
        <v>0</v>
      </c>
      <c r="E161" s="86">
        <v>0</v>
      </c>
      <c r="F161" s="142">
        <f t="shared" si="15"/>
        <v>0</v>
      </c>
      <c r="G161" s="113">
        <v>0</v>
      </c>
      <c r="H161" s="86">
        <v>0</v>
      </c>
      <c r="I161" s="113">
        <v>0</v>
      </c>
      <c r="J161" s="114">
        <f t="shared" si="16"/>
        <v>0</v>
      </c>
      <c r="K161" s="113">
        <f t="shared" si="17"/>
        <v>0</v>
      </c>
      <c r="L161" s="113">
        <v>0</v>
      </c>
      <c r="M161" s="113">
        <v>0</v>
      </c>
      <c r="N161" s="113">
        <v>0</v>
      </c>
      <c r="O161" s="113">
        <v>0</v>
      </c>
      <c r="P161" s="113">
        <v>0</v>
      </c>
    </row>
    <row r="162" spans="2:16" ht="13.9" customHeight="1" outlineLevel="1" x14ac:dyDescent="0.25">
      <c r="B162" s="149"/>
      <c r="C162" s="150" t="s">
        <v>38</v>
      </c>
      <c r="D162" s="85">
        <v>0</v>
      </c>
      <c r="E162" s="86">
        <v>0</v>
      </c>
      <c r="F162" s="142">
        <f t="shared" si="15"/>
        <v>0</v>
      </c>
      <c r="G162" s="113">
        <v>0</v>
      </c>
      <c r="H162" s="86">
        <v>0</v>
      </c>
      <c r="I162" s="113">
        <v>0</v>
      </c>
      <c r="J162" s="114">
        <f t="shared" si="16"/>
        <v>0</v>
      </c>
      <c r="K162" s="113">
        <f t="shared" si="17"/>
        <v>0</v>
      </c>
      <c r="L162" s="113">
        <v>0</v>
      </c>
      <c r="M162" s="113">
        <v>0</v>
      </c>
      <c r="N162" s="113">
        <v>0</v>
      </c>
      <c r="O162" s="113">
        <v>0</v>
      </c>
      <c r="P162" s="113">
        <v>0</v>
      </c>
    </row>
    <row r="163" spans="2:16" ht="13.9" customHeight="1" outlineLevel="1" x14ac:dyDescent="0.25">
      <c r="B163" s="149"/>
      <c r="C163" s="150" t="s">
        <v>39</v>
      </c>
      <c r="D163" s="85">
        <v>0</v>
      </c>
      <c r="E163" s="86">
        <v>0</v>
      </c>
      <c r="F163" s="142">
        <f t="shared" si="15"/>
        <v>0</v>
      </c>
      <c r="G163" s="113">
        <v>0</v>
      </c>
      <c r="H163" s="86">
        <v>0</v>
      </c>
      <c r="I163" s="113">
        <v>0</v>
      </c>
      <c r="J163" s="114">
        <f t="shared" si="16"/>
        <v>0</v>
      </c>
      <c r="K163" s="113">
        <f t="shared" si="17"/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</row>
    <row r="164" spans="2:16" ht="13.9" customHeight="1" outlineLevel="1" x14ac:dyDescent="0.25">
      <c r="B164" s="149"/>
      <c r="C164" s="150" t="s">
        <v>40</v>
      </c>
      <c r="D164" s="85">
        <v>0</v>
      </c>
      <c r="E164" s="86">
        <v>0</v>
      </c>
      <c r="F164" s="142">
        <f t="shared" si="15"/>
        <v>0</v>
      </c>
      <c r="G164" s="113">
        <v>0</v>
      </c>
      <c r="H164" s="86">
        <v>0</v>
      </c>
      <c r="I164" s="113">
        <v>0</v>
      </c>
      <c r="J164" s="114">
        <f t="shared" si="16"/>
        <v>0</v>
      </c>
      <c r="K164" s="113">
        <f t="shared" si="17"/>
        <v>0</v>
      </c>
      <c r="L164" s="113">
        <v>0</v>
      </c>
      <c r="M164" s="113">
        <v>0</v>
      </c>
      <c r="N164" s="113">
        <v>0</v>
      </c>
      <c r="O164" s="113">
        <v>0</v>
      </c>
      <c r="P164" s="113">
        <v>0</v>
      </c>
    </row>
    <row r="165" spans="2:16" ht="13.9" customHeight="1" outlineLevel="1" x14ac:dyDescent="0.25">
      <c r="B165" s="149"/>
      <c r="C165" s="150" t="s">
        <v>41</v>
      </c>
      <c r="D165" s="85">
        <v>0</v>
      </c>
      <c r="E165" s="86">
        <v>0</v>
      </c>
      <c r="F165" s="142">
        <f t="shared" si="15"/>
        <v>0</v>
      </c>
      <c r="G165" s="113">
        <v>0</v>
      </c>
      <c r="H165" s="86">
        <v>0</v>
      </c>
      <c r="I165" s="113">
        <v>0</v>
      </c>
      <c r="J165" s="114">
        <f t="shared" si="16"/>
        <v>0</v>
      </c>
      <c r="K165" s="113">
        <f t="shared" si="17"/>
        <v>0</v>
      </c>
      <c r="L165" s="113">
        <v>0</v>
      </c>
      <c r="M165" s="113">
        <v>0</v>
      </c>
      <c r="N165" s="113">
        <v>0</v>
      </c>
      <c r="O165" s="113">
        <v>0</v>
      </c>
      <c r="P165" s="113">
        <v>0</v>
      </c>
    </row>
    <row r="166" spans="2:16" ht="13.9" customHeight="1" outlineLevel="1" x14ac:dyDescent="0.25">
      <c r="B166" s="149"/>
      <c r="C166" s="150" t="s">
        <v>42</v>
      </c>
      <c r="D166" s="85">
        <v>0</v>
      </c>
      <c r="E166" s="86">
        <v>0</v>
      </c>
      <c r="F166" s="142">
        <f t="shared" si="15"/>
        <v>0</v>
      </c>
      <c r="G166" s="113">
        <v>0</v>
      </c>
      <c r="H166" s="86">
        <v>0</v>
      </c>
      <c r="I166" s="113">
        <v>0</v>
      </c>
      <c r="J166" s="114">
        <f t="shared" si="16"/>
        <v>0</v>
      </c>
      <c r="K166" s="113">
        <f t="shared" si="17"/>
        <v>0</v>
      </c>
      <c r="L166" s="113">
        <v>0</v>
      </c>
      <c r="M166" s="113">
        <v>0</v>
      </c>
      <c r="N166" s="113">
        <v>0</v>
      </c>
      <c r="O166" s="113">
        <v>0</v>
      </c>
      <c r="P166" s="113">
        <v>0</v>
      </c>
    </row>
    <row r="167" spans="2:16" ht="13.9" customHeight="1" outlineLevel="1" x14ac:dyDescent="0.25">
      <c r="B167" s="149"/>
      <c r="C167" s="150" t="s">
        <v>43</v>
      </c>
      <c r="D167" s="85">
        <v>0</v>
      </c>
      <c r="E167" s="86">
        <v>0</v>
      </c>
      <c r="F167" s="142">
        <f t="shared" si="15"/>
        <v>0</v>
      </c>
      <c r="G167" s="113">
        <v>0</v>
      </c>
      <c r="H167" s="86">
        <v>0</v>
      </c>
      <c r="I167" s="113">
        <v>0</v>
      </c>
      <c r="J167" s="114">
        <f t="shared" si="16"/>
        <v>0</v>
      </c>
      <c r="K167" s="113">
        <f t="shared" si="17"/>
        <v>0</v>
      </c>
      <c r="L167" s="113">
        <v>0</v>
      </c>
      <c r="M167" s="113">
        <v>0</v>
      </c>
      <c r="N167" s="113">
        <v>0</v>
      </c>
      <c r="O167" s="113">
        <v>0</v>
      </c>
      <c r="P167" s="113">
        <v>0</v>
      </c>
    </row>
    <row r="168" spans="2:16" ht="13.9" customHeight="1" outlineLevel="1" x14ac:dyDescent="0.25">
      <c r="B168" s="149"/>
      <c r="C168" s="150" t="s">
        <v>44</v>
      </c>
      <c r="D168" s="85">
        <v>3</v>
      </c>
      <c r="E168" s="86">
        <v>5928849.9000000004</v>
      </c>
      <c r="F168" s="142">
        <f t="shared" si="15"/>
        <v>968700.23</v>
      </c>
      <c r="G168" s="113">
        <v>968700.23</v>
      </c>
      <c r="H168" s="86">
        <v>4960149.67</v>
      </c>
      <c r="I168" s="113">
        <v>0</v>
      </c>
      <c r="J168" s="114">
        <f t="shared" si="16"/>
        <v>4960149.67</v>
      </c>
      <c r="K168" s="113">
        <f t="shared" si="17"/>
        <v>809954.71</v>
      </c>
      <c r="L168" s="113">
        <v>592885</v>
      </c>
      <c r="M168" s="113">
        <v>3557309.96</v>
      </c>
      <c r="N168" s="113">
        <v>0</v>
      </c>
      <c r="O168" s="113">
        <v>0</v>
      </c>
      <c r="P168" s="113">
        <v>0</v>
      </c>
    </row>
    <row r="169" spans="2:16" ht="13.9" customHeight="1" outlineLevel="1" x14ac:dyDescent="0.25">
      <c r="B169" s="149"/>
      <c r="C169" s="150" t="s">
        <v>45</v>
      </c>
      <c r="D169" s="85">
        <v>18</v>
      </c>
      <c r="E169" s="86">
        <v>41328881.029999994</v>
      </c>
      <c r="F169" s="142">
        <f t="shared" si="15"/>
        <v>8318257.0299999993</v>
      </c>
      <c r="G169" s="113">
        <v>7619955.4899999993</v>
      </c>
      <c r="H169" s="86">
        <v>33708925.539999992</v>
      </c>
      <c r="I169" s="113">
        <v>698301.54</v>
      </c>
      <c r="J169" s="114">
        <f t="shared" si="16"/>
        <v>33010623.999999993</v>
      </c>
      <c r="K169" s="113">
        <f t="shared" si="17"/>
        <v>3890206.7399999946</v>
      </c>
      <c r="L169" s="113">
        <v>4132888.14</v>
      </c>
      <c r="M169" s="113">
        <v>6893659.2599999988</v>
      </c>
      <c r="N169" s="113">
        <v>12415201.459999997</v>
      </c>
      <c r="O169" s="113">
        <v>5678668.4000000004</v>
      </c>
      <c r="P169" s="113">
        <v>0</v>
      </c>
    </row>
    <row r="170" spans="2:16" ht="13.9" customHeight="1" outlineLevel="1" x14ac:dyDescent="0.25">
      <c r="B170" s="149"/>
      <c r="C170" s="150" t="s">
        <v>46</v>
      </c>
      <c r="D170" s="85">
        <v>1</v>
      </c>
      <c r="E170" s="86">
        <v>6181490</v>
      </c>
      <c r="F170" s="142">
        <f t="shared" si="15"/>
        <v>973584.67999999993</v>
      </c>
      <c r="G170" s="113">
        <v>651223</v>
      </c>
      <c r="H170" s="86">
        <v>5530267</v>
      </c>
      <c r="I170" s="113">
        <v>322361.68</v>
      </c>
      <c r="J170" s="114">
        <f t="shared" si="16"/>
        <v>5207905.32</v>
      </c>
      <c r="K170" s="113">
        <f t="shared" si="17"/>
        <v>664510.17000000086</v>
      </c>
      <c r="L170" s="113">
        <v>649056.44999999995</v>
      </c>
      <c r="M170" s="113">
        <v>649056.44999999995</v>
      </c>
      <c r="N170" s="113">
        <v>649056.44999999995</v>
      </c>
      <c r="O170" s="113">
        <v>2596225.7999999998</v>
      </c>
      <c r="P170" s="113">
        <v>0</v>
      </c>
    </row>
    <row r="171" spans="2:16" ht="13.9" customHeight="1" outlineLevel="1" x14ac:dyDescent="0.25">
      <c r="B171" s="149"/>
      <c r="C171" s="150" t="s">
        <v>47</v>
      </c>
      <c r="D171" s="85">
        <v>1</v>
      </c>
      <c r="E171" s="86">
        <v>4899995.8</v>
      </c>
      <c r="F171" s="142">
        <f t="shared" si="15"/>
        <v>2939997.48</v>
      </c>
      <c r="G171" s="113">
        <v>976186</v>
      </c>
      <c r="H171" s="86">
        <v>3923809.8</v>
      </c>
      <c r="I171" s="113">
        <v>1963811.48</v>
      </c>
      <c r="J171" s="114">
        <f t="shared" si="16"/>
        <v>1959998.3199999998</v>
      </c>
      <c r="K171" s="113">
        <f t="shared" si="17"/>
        <v>1959998.3199999998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</row>
    <row r="172" spans="2:16" ht="13.9" customHeight="1" outlineLevel="1" x14ac:dyDescent="0.25">
      <c r="B172" s="149"/>
      <c r="C172" s="150" t="s">
        <v>48</v>
      </c>
      <c r="D172" s="85">
        <v>2</v>
      </c>
      <c r="E172" s="86">
        <v>4051913.75</v>
      </c>
      <c r="F172" s="142">
        <f t="shared" si="15"/>
        <v>836442.26</v>
      </c>
      <c r="G172" s="113">
        <v>570593</v>
      </c>
      <c r="H172" s="86">
        <v>3481320.75</v>
      </c>
      <c r="I172" s="113">
        <v>265849.26</v>
      </c>
      <c r="J172" s="114">
        <f t="shared" si="16"/>
        <v>3215471.49</v>
      </c>
      <c r="K172" s="113">
        <f t="shared" si="17"/>
        <v>706144.73000000045</v>
      </c>
      <c r="L172" s="113">
        <v>2509326.7599999998</v>
      </c>
      <c r="M172" s="113">
        <v>0</v>
      </c>
      <c r="N172" s="113">
        <v>0</v>
      </c>
      <c r="O172" s="113">
        <v>0</v>
      </c>
      <c r="P172" s="113">
        <v>0</v>
      </c>
    </row>
    <row r="173" spans="2:16" ht="13.9" customHeight="1" outlineLevel="1" x14ac:dyDescent="0.25">
      <c r="B173" s="149"/>
      <c r="C173" s="150" t="s">
        <v>49</v>
      </c>
      <c r="D173" s="85">
        <v>0</v>
      </c>
      <c r="E173" s="86">
        <v>0</v>
      </c>
      <c r="F173" s="142">
        <f t="shared" si="15"/>
        <v>0</v>
      </c>
      <c r="G173" s="113">
        <v>0</v>
      </c>
      <c r="H173" s="86">
        <v>0</v>
      </c>
      <c r="I173" s="113">
        <v>0</v>
      </c>
      <c r="J173" s="114">
        <f t="shared" si="16"/>
        <v>0</v>
      </c>
      <c r="K173" s="113">
        <f t="shared" si="17"/>
        <v>0</v>
      </c>
      <c r="L173" s="113">
        <v>0</v>
      </c>
      <c r="M173" s="113">
        <v>0</v>
      </c>
      <c r="N173" s="113">
        <v>0</v>
      </c>
      <c r="O173" s="113">
        <v>0</v>
      </c>
      <c r="P173" s="113">
        <v>0</v>
      </c>
    </row>
    <row r="174" spans="2:16" ht="13.9" customHeight="1" outlineLevel="1" x14ac:dyDescent="0.25">
      <c r="B174" s="149"/>
      <c r="C174" s="150" t="s">
        <v>50</v>
      </c>
      <c r="D174" s="85">
        <v>3</v>
      </c>
      <c r="E174" s="86">
        <v>13005488.25</v>
      </c>
      <c r="F174" s="142">
        <f t="shared" si="15"/>
        <v>1594367.75</v>
      </c>
      <c r="G174" s="113">
        <v>1577713.33</v>
      </c>
      <c r="H174" s="86">
        <v>11427774.92</v>
      </c>
      <c r="I174" s="113">
        <v>16654.419999999998</v>
      </c>
      <c r="J174" s="114">
        <f t="shared" si="16"/>
        <v>11411120.5</v>
      </c>
      <c r="K174" s="113">
        <f t="shared" si="17"/>
        <v>2307278.6999999993</v>
      </c>
      <c r="L174" s="113">
        <v>1300548.83</v>
      </c>
      <c r="M174" s="113">
        <v>1300548.83</v>
      </c>
      <c r="N174" s="113">
        <v>1300548.83</v>
      </c>
      <c r="O174" s="113">
        <v>1300548.83</v>
      </c>
      <c r="P174" s="113">
        <v>3901646.48</v>
      </c>
    </row>
    <row r="175" spans="2:16" ht="13.9" customHeight="1" outlineLevel="1" x14ac:dyDescent="0.25">
      <c r="B175" s="149"/>
      <c r="C175" s="150" t="s">
        <v>51</v>
      </c>
      <c r="D175" s="85">
        <v>3</v>
      </c>
      <c r="E175" s="86">
        <v>5988401.25</v>
      </c>
      <c r="F175" s="142">
        <f t="shared" si="15"/>
        <v>749068</v>
      </c>
      <c r="G175" s="113">
        <v>629004.80000000005</v>
      </c>
      <c r="H175" s="86">
        <v>5359396.45</v>
      </c>
      <c r="I175" s="113">
        <v>120063.2</v>
      </c>
      <c r="J175" s="114">
        <f t="shared" si="16"/>
        <v>5239333.25</v>
      </c>
      <c r="K175" s="113">
        <f t="shared" si="17"/>
        <v>961162.37000000011</v>
      </c>
      <c r="L175" s="113">
        <v>4278170.88</v>
      </c>
      <c r="M175" s="113">
        <v>0</v>
      </c>
      <c r="N175" s="113">
        <v>0</v>
      </c>
      <c r="O175" s="113">
        <v>0</v>
      </c>
      <c r="P175" s="113">
        <v>0</v>
      </c>
    </row>
    <row r="176" spans="2:16" ht="13.9" customHeight="1" outlineLevel="1" x14ac:dyDescent="0.25">
      <c r="B176" s="149"/>
      <c r="C176" s="150" t="s">
        <v>52</v>
      </c>
      <c r="D176" s="85">
        <v>5</v>
      </c>
      <c r="E176" s="86">
        <v>8673954.5499999989</v>
      </c>
      <c r="F176" s="142">
        <f t="shared" si="15"/>
        <v>1734790.92</v>
      </c>
      <c r="G176" s="113">
        <v>1730536.02</v>
      </c>
      <c r="H176" s="86">
        <v>6943418.5300000003</v>
      </c>
      <c r="I176" s="113">
        <v>4254.8999999999996</v>
      </c>
      <c r="J176" s="114">
        <f t="shared" si="16"/>
        <v>6939163.6299999999</v>
      </c>
      <c r="K176" s="113">
        <f t="shared" si="17"/>
        <v>867395.4299999997</v>
      </c>
      <c r="L176" s="113">
        <v>867395.46</v>
      </c>
      <c r="M176" s="113">
        <v>1734790.92</v>
      </c>
      <c r="N176" s="113">
        <v>3469581.8200000003</v>
      </c>
      <c r="O176" s="113">
        <v>0</v>
      </c>
      <c r="P176" s="113">
        <v>0</v>
      </c>
    </row>
    <row r="177" spans="2:16" ht="13.9" customHeight="1" outlineLevel="1" x14ac:dyDescent="0.25">
      <c r="B177" s="149"/>
      <c r="C177" s="150" t="s">
        <v>53</v>
      </c>
      <c r="D177" s="85">
        <v>2</v>
      </c>
      <c r="E177" s="86">
        <v>7000017.9000000004</v>
      </c>
      <c r="F177" s="142">
        <f t="shared" si="15"/>
        <v>1209996.54</v>
      </c>
      <c r="G177" s="113">
        <v>1209996</v>
      </c>
      <c r="H177" s="86">
        <v>5790021.9000000004</v>
      </c>
      <c r="I177" s="113">
        <v>0.54</v>
      </c>
      <c r="J177" s="114">
        <f t="shared" si="16"/>
        <v>5790021.3600000003</v>
      </c>
      <c r="K177" s="113">
        <f t="shared" si="17"/>
        <v>699998.30999999959</v>
      </c>
      <c r="L177" s="113">
        <v>890012.31</v>
      </c>
      <c r="M177" s="113">
        <v>4200010.74</v>
      </c>
      <c r="N177" s="113">
        <v>0</v>
      </c>
      <c r="O177" s="113">
        <v>0</v>
      </c>
      <c r="P177" s="113">
        <v>0</v>
      </c>
    </row>
    <row r="178" spans="2:16" ht="13.9" customHeight="1" outlineLevel="1" x14ac:dyDescent="0.25">
      <c r="B178" s="149"/>
      <c r="C178" s="150" t="s">
        <v>54</v>
      </c>
      <c r="D178" s="85">
        <v>4</v>
      </c>
      <c r="E178" s="86">
        <v>12900821.75</v>
      </c>
      <c r="F178" s="142">
        <f t="shared" si="15"/>
        <v>2580164.35</v>
      </c>
      <c r="G178" s="113">
        <v>2578353.66</v>
      </c>
      <c r="H178" s="86">
        <v>10322468.09</v>
      </c>
      <c r="I178" s="113">
        <v>1810.69</v>
      </c>
      <c r="J178" s="114">
        <f t="shared" si="16"/>
        <v>10320657.4</v>
      </c>
      <c r="K178" s="113">
        <f t="shared" si="17"/>
        <v>1290082.160000002</v>
      </c>
      <c r="L178" s="113">
        <v>1290082.18</v>
      </c>
      <c r="M178" s="113">
        <v>2580164.36</v>
      </c>
      <c r="N178" s="113">
        <v>5160328.6999999993</v>
      </c>
      <c r="O178" s="113">
        <v>0</v>
      </c>
      <c r="P178" s="113">
        <v>0</v>
      </c>
    </row>
    <row r="179" spans="2:16" ht="13.9" customHeight="1" outlineLevel="1" x14ac:dyDescent="0.25">
      <c r="B179" s="149"/>
      <c r="C179" s="150" t="s">
        <v>55</v>
      </c>
      <c r="D179" s="85">
        <v>1</v>
      </c>
      <c r="E179" s="86">
        <v>2010252.39</v>
      </c>
      <c r="F179" s="142">
        <f t="shared" si="15"/>
        <v>402050.48000000004</v>
      </c>
      <c r="G179" s="113">
        <v>399589.9</v>
      </c>
      <c r="H179" s="86">
        <v>1610662.4899999998</v>
      </c>
      <c r="I179" s="113">
        <v>2460.58</v>
      </c>
      <c r="J179" s="114">
        <f t="shared" si="16"/>
        <v>1608201.9099999997</v>
      </c>
      <c r="K179" s="113">
        <f t="shared" si="17"/>
        <v>201025.22999999975</v>
      </c>
      <c r="L179" s="113">
        <v>201025.24</v>
      </c>
      <c r="M179" s="113">
        <v>201025.24</v>
      </c>
      <c r="N179" s="113">
        <v>201025.24</v>
      </c>
      <c r="O179" s="113">
        <v>804100.96</v>
      </c>
      <c r="P179" s="113">
        <v>0</v>
      </c>
    </row>
    <row r="180" spans="2:16" ht="13.9" customHeight="1" outlineLevel="1" x14ac:dyDescent="0.25">
      <c r="B180" s="149"/>
      <c r="C180" s="150" t="s">
        <v>56</v>
      </c>
      <c r="D180" s="85">
        <v>4</v>
      </c>
      <c r="E180" s="86">
        <v>7964125.7999999998</v>
      </c>
      <c r="F180" s="142">
        <f t="shared" si="15"/>
        <v>1008099.18</v>
      </c>
      <c r="G180" s="113">
        <v>1004287</v>
      </c>
      <c r="H180" s="86">
        <v>6959838.7999999998</v>
      </c>
      <c r="I180" s="113">
        <v>3812.1800000000003</v>
      </c>
      <c r="J180" s="114">
        <f t="shared" si="16"/>
        <v>6956026.6200000001</v>
      </c>
      <c r="K180" s="113">
        <f t="shared" si="17"/>
        <v>584725.97999999952</v>
      </c>
      <c r="L180" s="113">
        <v>1007676.28</v>
      </c>
      <c r="M180" s="113">
        <v>796412.58000000007</v>
      </c>
      <c r="N180" s="113">
        <v>1381561.46</v>
      </c>
      <c r="O180" s="113">
        <v>3185650.3200000003</v>
      </c>
      <c r="P180" s="113">
        <v>0</v>
      </c>
    </row>
    <row r="181" spans="2:16" ht="13.9" customHeight="1" outlineLevel="1" x14ac:dyDescent="0.25">
      <c r="B181" s="149"/>
      <c r="C181" s="150" t="s">
        <v>57</v>
      </c>
      <c r="D181" s="85">
        <v>0</v>
      </c>
      <c r="E181" s="86">
        <v>0</v>
      </c>
      <c r="F181" s="142">
        <f t="shared" si="15"/>
        <v>0</v>
      </c>
      <c r="G181" s="113">
        <v>0</v>
      </c>
      <c r="H181" s="86">
        <v>0</v>
      </c>
      <c r="I181" s="113">
        <v>0</v>
      </c>
      <c r="J181" s="114">
        <f t="shared" si="16"/>
        <v>0</v>
      </c>
      <c r="K181" s="113">
        <f t="shared" si="17"/>
        <v>0</v>
      </c>
      <c r="L181" s="113">
        <v>0</v>
      </c>
      <c r="M181" s="113">
        <v>0</v>
      </c>
      <c r="N181" s="113">
        <v>0</v>
      </c>
      <c r="O181" s="113">
        <v>0</v>
      </c>
      <c r="P181" s="113">
        <v>0</v>
      </c>
    </row>
    <row r="182" spans="2:16" ht="13.9" customHeight="1" outlineLevel="1" x14ac:dyDescent="0.25">
      <c r="B182" s="149"/>
      <c r="C182" s="150" t="s">
        <v>58</v>
      </c>
      <c r="D182" s="85">
        <v>4</v>
      </c>
      <c r="E182" s="86">
        <v>7535611.6499999994</v>
      </c>
      <c r="F182" s="142">
        <f t="shared" si="15"/>
        <v>1507122.3399999999</v>
      </c>
      <c r="G182" s="113">
        <v>1507063.69</v>
      </c>
      <c r="H182" s="86">
        <v>6028547.96</v>
      </c>
      <c r="I182" s="113">
        <v>58.65</v>
      </c>
      <c r="J182" s="114">
        <f t="shared" si="16"/>
        <v>6028489.3099999996</v>
      </c>
      <c r="K182" s="113">
        <f t="shared" si="17"/>
        <v>753561.13999999966</v>
      </c>
      <c r="L182" s="113">
        <v>753561.17</v>
      </c>
      <c r="M182" s="113">
        <v>753561.17</v>
      </c>
      <c r="N182" s="113">
        <v>3767805.83</v>
      </c>
      <c r="O182" s="113">
        <v>0</v>
      </c>
      <c r="P182" s="113">
        <v>0</v>
      </c>
    </row>
    <row r="183" spans="2:16" ht="13.9" customHeight="1" outlineLevel="1" x14ac:dyDescent="0.25">
      <c r="B183" s="149"/>
      <c r="C183" s="150" t="s">
        <v>59</v>
      </c>
      <c r="D183" s="85">
        <v>2</v>
      </c>
      <c r="E183" s="86">
        <v>4112982.5</v>
      </c>
      <c r="F183" s="142">
        <f t="shared" si="15"/>
        <v>822596.53</v>
      </c>
      <c r="G183" s="113">
        <v>822596</v>
      </c>
      <c r="H183" s="86">
        <v>3290386.5</v>
      </c>
      <c r="I183" s="113">
        <v>0.53</v>
      </c>
      <c r="J183" s="114">
        <f t="shared" si="16"/>
        <v>3290385.97</v>
      </c>
      <c r="K183" s="113">
        <f t="shared" si="17"/>
        <v>411298.19000000041</v>
      </c>
      <c r="L183" s="113">
        <v>411298.26</v>
      </c>
      <c r="M183" s="113">
        <v>411298.26</v>
      </c>
      <c r="N183" s="113">
        <v>2056491.2599999998</v>
      </c>
      <c r="O183" s="113">
        <v>0</v>
      </c>
      <c r="P183" s="113">
        <v>0</v>
      </c>
    </row>
    <row r="184" spans="2:16" ht="13.9" customHeight="1" outlineLevel="1" x14ac:dyDescent="0.25">
      <c r="B184" s="149"/>
      <c r="C184" s="150" t="s">
        <v>60</v>
      </c>
      <c r="D184" s="85">
        <v>4</v>
      </c>
      <c r="E184" s="86">
        <v>16372293.5</v>
      </c>
      <c r="F184" s="142">
        <f t="shared" si="15"/>
        <v>2036887.7</v>
      </c>
      <c r="G184" s="113">
        <v>2036886.2</v>
      </c>
      <c r="H184" s="86">
        <v>14335407.300000001</v>
      </c>
      <c r="I184" s="113">
        <v>1.5</v>
      </c>
      <c r="J184" s="114">
        <f t="shared" si="16"/>
        <v>14335405.800000001</v>
      </c>
      <c r="K184" s="113">
        <f t="shared" si="17"/>
        <v>2600858.59</v>
      </c>
      <c r="L184" s="113">
        <v>2032892.59</v>
      </c>
      <c r="M184" s="113">
        <v>3233884.88</v>
      </c>
      <c r="N184" s="113">
        <v>6467769.7400000002</v>
      </c>
      <c r="O184" s="113">
        <v>0</v>
      </c>
      <c r="P184" s="113">
        <v>0</v>
      </c>
    </row>
    <row r="185" spans="2:16" ht="13.9" customHeight="1" outlineLevel="1" x14ac:dyDescent="0.25">
      <c r="B185" s="149"/>
      <c r="C185" s="150" t="s">
        <v>61</v>
      </c>
      <c r="D185" s="85">
        <v>2</v>
      </c>
      <c r="E185" s="86">
        <v>9716241</v>
      </c>
      <c r="F185" s="142">
        <f t="shared" si="15"/>
        <v>1537510.6</v>
      </c>
      <c r="G185" s="113">
        <v>1085029.26</v>
      </c>
      <c r="H185" s="86">
        <v>8631211.7400000002</v>
      </c>
      <c r="I185" s="113">
        <v>452481.34</v>
      </c>
      <c r="J185" s="114">
        <f t="shared" si="16"/>
        <v>8178730.4000000004</v>
      </c>
      <c r="K185" s="113">
        <f t="shared" si="17"/>
        <v>1377361.6999999993</v>
      </c>
      <c r="L185" s="113">
        <v>971624.10000000009</v>
      </c>
      <c r="M185" s="113">
        <v>1943248.2000000002</v>
      </c>
      <c r="N185" s="113">
        <v>3886496.4000000004</v>
      </c>
      <c r="O185" s="113">
        <v>0</v>
      </c>
      <c r="P185" s="113">
        <v>0</v>
      </c>
    </row>
    <row r="186" spans="2:16" ht="13.9" customHeight="1" outlineLevel="1" x14ac:dyDescent="0.25">
      <c r="B186" s="149"/>
      <c r="C186" s="150" t="s">
        <v>62</v>
      </c>
      <c r="D186" s="85">
        <v>0</v>
      </c>
      <c r="E186" s="86">
        <v>0</v>
      </c>
      <c r="F186" s="142">
        <f t="shared" si="15"/>
        <v>0</v>
      </c>
      <c r="G186" s="113">
        <v>0</v>
      </c>
      <c r="H186" s="86">
        <v>0</v>
      </c>
      <c r="I186" s="113">
        <v>0</v>
      </c>
      <c r="J186" s="114">
        <f t="shared" si="16"/>
        <v>0</v>
      </c>
      <c r="K186" s="113">
        <f t="shared" si="17"/>
        <v>0</v>
      </c>
      <c r="L186" s="113">
        <v>0</v>
      </c>
      <c r="M186" s="113">
        <v>0</v>
      </c>
      <c r="N186" s="113">
        <v>0</v>
      </c>
      <c r="O186" s="113">
        <v>0</v>
      </c>
      <c r="P186" s="113">
        <v>0</v>
      </c>
    </row>
    <row r="187" spans="2:16" ht="13.9" customHeight="1" outlineLevel="1" x14ac:dyDescent="0.25">
      <c r="B187" s="149"/>
      <c r="C187" s="150" t="s">
        <v>63</v>
      </c>
      <c r="D187" s="85">
        <v>0</v>
      </c>
      <c r="E187" s="86">
        <v>0</v>
      </c>
      <c r="F187" s="142">
        <f t="shared" si="15"/>
        <v>0</v>
      </c>
      <c r="G187" s="113">
        <v>0</v>
      </c>
      <c r="H187" s="86">
        <v>0</v>
      </c>
      <c r="I187" s="113">
        <v>0</v>
      </c>
      <c r="J187" s="114">
        <f t="shared" si="16"/>
        <v>0</v>
      </c>
      <c r="K187" s="113">
        <f t="shared" si="17"/>
        <v>0</v>
      </c>
      <c r="L187" s="113">
        <v>0</v>
      </c>
      <c r="M187" s="113">
        <v>0</v>
      </c>
      <c r="N187" s="113">
        <v>0</v>
      </c>
      <c r="O187" s="113">
        <v>0</v>
      </c>
      <c r="P187" s="113">
        <v>0</v>
      </c>
    </row>
    <row r="188" spans="2:16" ht="13.9" customHeight="1" outlineLevel="1" x14ac:dyDescent="0.25">
      <c r="B188" s="149"/>
      <c r="C188" s="150" t="s">
        <v>64</v>
      </c>
      <c r="D188" s="85">
        <v>0</v>
      </c>
      <c r="E188" s="86">
        <v>0</v>
      </c>
      <c r="F188" s="142">
        <f t="shared" si="15"/>
        <v>0</v>
      </c>
      <c r="G188" s="113">
        <v>0</v>
      </c>
      <c r="H188" s="86">
        <v>0</v>
      </c>
      <c r="I188" s="113">
        <v>0</v>
      </c>
      <c r="J188" s="114">
        <f t="shared" si="16"/>
        <v>0</v>
      </c>
      <c r="K188" s="113">
        <f t="shared" si="17"/>
        <v>0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</row>
    <row r="189" spans="2:16" ht="13.9" customHeight="1" outlineLevel="1" x14ac:dyDescent="0.25">
      <c r="B189" s="149"/>
      <c r="C189" s="150" t="s">
        <v>65</v>
      </c>
      <c r="D189" s="85">
        <v>0</v>
      </c>
      <c r="E189" s="86">
        <v>0</v>
      </c>
      <c r="F189" s="142">
        <f t="shared" si="15"/>
        <v>0</v>
      </c>
      <c r="G189" s="113">
        <v>0</v>
      </c>
      <c r="H189" s="86">
        <v>0</v>
      </c>
      <c r="I189" s="113">
        <v>0</v>
      </c>
      <c r="J189" s="114">
        <f t="shared" si="16"/>
        <v>0</v>
      </c>
      <c r="K189" s="113">
        <f t="shared" si="17"/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</row>
    <row r="190" spans="2:16" ht="13.9" customHeight="1" outlineLevel="1" x14ac:dyDescent="0.25">
      <c r="B190" s="149"/>
      <c r="C190" s="150" t="s">
        <v>66</v>
      </c>
      <c r="D190" s="85">
        <v>0</v>
      </c>
      <c r="E190" s="86">
        <v>0</v>
      </c>
      <c r="F190" s="142">
        <f t="shared" si="15"/>
        <v>0</v>
      </c>
      <c r="G190" s="113">
        <v>0</v>
      </c>
      <c r="H190" s="86">
        <v>0</v>
      </c>
      <c r="I190" s="113">
        <v>0</v>
      </c>
      <c r="J190" s="114">
        <f t="shared" si="16"/>
        <v>0</v>
      </c>
      <c r="K190" s="113">
        <f t="shared" si="17"/>
        <v>0</v>
      </c>
      <c r="L190" s="113">
        <v>0</v>
      </c>
      <c r="M190" s="113">
        <v>0</v>
      </c>
      <c r="N190" s="113">
        <v>0</v>
      </c>
      <c r="O190" s="113">
        <v>0</v>
      </c>
      <c r="P190" s="113">
        <v>0</v>
      </c>
    </row>
    <row r="191" spans="2:16" ht="13.9" customHeight="1" outlineLevel="1" x14ac:dyDescent="0.25">
      <c r="B191" s="149"/>
      <c r="C191" s="150" t="s">
        <v>67</v>
      </c>
      <c r="D191" s="85">
        <v>0</v>
      </c>
      <c r="E191" s="86">
        <v>0</v>
      </c>
      <c r="F191" s="142">
        <f t="shared" si="15"/>
        <v>0</v>
      </c>
      <c r="G191" s="113">
        <v>0</v>
      </c>
      <c r="H191" s="86">
        <v>0</v>
      </c>
      <c r="I191" s="113">
        <v>0</v>
      </c>
      <c r="J191" s="114">
        <f t="shared" si="16"/>
        <v>0</v>
      </c>
      <c r="K191" s="113">
        <f t="shared" si="17"/>
        <v>0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</row>
    <row r="192" spans="2:16" ht="13.9" customHeight="1" x14ac:dyDescent="0.25">
      <c r="B192" s="149"/>
      <c r="C192" s="148" t="s">
        <v>103</v>
      </c>
      <c r="D192" s="90">
        <f>SUM(D155:D191)</f>
        <v>63</v>
      </c>
      <c r="E192" s="91">
        <f t="shared" ref="E192:P192" si="18">SUM(E155:E191)</f>
        <v>166189761.66999999</v>
      </c>
      <c r="F192" s="92">
        <f t="shared" si="18"/>
        <v>34330700.490000002</v>
      </c>
      <c r="G192" s="93">
        <f t="shared" si="18"/>
        <v>26245916.870000001</v>
      </c>
      <c r="H192" s="90">
        <f t="shared" si="18"/>
        <v>139943844.79999998</v>
      </c>
      <c r="I192" s="91">
        <f t="shared" si="18"/>
        <v>8084783.620000001</v>
      </c>
      <c r="J192" s="92">
        <f t="shared" si="18"/>
        <v>131859061.18000001</v>
      </c>
      <c r="K192" s="93">
        <f t="shared" si="18"/>
        <v>23492938.699999999</v>
      </c>
      <c r="L192" s="90">
        <f t="shared" si="18"/>
        <v>21888443.650000006</v>
      </c>
      <c r="M192" s="91">
        <f t="shared" si="18"/>
        <v>28254970.849999998</v>
      </c>
      <c r="N192" s="90">
        <f t="shared" si="18"/>
        <v>40755867.18999999</v>
      </c>
      <c r="O192" s="91">
        <f t="shared" si="18"/>
        <v>13565194.310000002</v>
      </c>
      <c r="P192" s="91">
        <f t="shared" si="18"/>
        <v>3901646.48</v>
      </c>
    </row>
    <row r="193" spans="2:16" ht="13.9" customHeight="1" outlineLevel="1" x14ac:dyDescent="0.25">
      <c r="B193" s="149" t="s">
        <v>83</v>
      </c>
      <c r="C193" s="150" t="s">
        <v>70</v>
      </c>
      <c r="D193" s="85">
        <v>7</v>
      </c>
      <c r="E193" s="86">
        <v>13214057.640000001</v>
      </c>
      <c r="F193" s="142">
        <f t="shared" si="15"/>
        <v>2379600.9700000002</v>
      </c>
      <c r="G193" s="113">
        <v>2057687.8200000003</v>
      </c>
      <c r="H193" s="86">
        <v>11156369.820000002</v>
      </c>
      <c r="I193" s="113">
        <v>321913.15000000002</v>
      </c>
      <c r="J193" s="114">
        <f t="shared" si="16"/>
        <v>10834456.670000002</v>
      </c>
      <c r="K193" s="113">
        <f t="shared" si="17"/>
        <v>1677218.7100000009</v>
      </c>
      <c r="L193" s="113">
        <v>2719271.2300000004</v>
      </c>
      <c r="M193" s="113">
        <v>2233452.9700000002</v>
      </c>
      <c r="N193" s="113">
        <v>2879735.85</v>
      </c>
      <c r="O193" s="113">
        <v>1324777.9100000001</v>
      </c>
      <c r="P193" s="113">
        <v>0</v>
      </c>
    </row>
    <row r="194" spans="2:16" ht="13.9" customHeight="1" outlineLevel="1" x14ac:dyDescent="0.25">
      <c r="B194" s="149"/>
      <c r="C194" s="150" t="s">
        <v>71</v>
      </c>
      <c r="D194" s="85">
        <v>0</v>
      </c>
      <c r="E194" s="86">
        <v>0</v>
      </c>
      <c r="F194" s="142">
        <f t="shared" si="15"/>
        <v>0</v>
      </c>
      <c r="G194" s="113">
        <v>0</v>
      </c>
      <c r="H194" s="86">
        <v>0</v>
      </c>
      <c r="I194" s="113">
        <v>0</v>
      </c>
      <c r="J194" s="114">
        <f t="shared" si="16"/>
        <v>0</v>
      </c>
      <c r="K194" s="113">
        <f t="shared" si="17"/>
        <v>0</v>
      </c>
      <c r="L194" s="113">
        <v>0</v>
      </c>
      <c r="M194" s="113">
        <v>0</v>
      </c>
      <c r="N194" s="113">
        <v>0</v>
      </c>
      <c r="O194" s="113">
        <v>0</v>
      </c>
      <c r="P194" s="113">
        <v>0</v>
      </c>
    </row>
    <row r="195" spans="2:16" ht="13.9" customHeight="1" outlineLevel="1" x14ac:dyDescent="0.25">
      <c r="B195" s="149"/>
      <c r="C195" s="150" t="s">
        <v>72</v>
      </c>
      <c r="D195" s="85">
        <v>14</v>
      </c>
      <c r="E195" s="86">
        <v>22461863.139999997</v>
      </c>
      <c r="F195" s="142">
        <f t="shared" si="15"/>
        <v>4174158.46</v>
      </c>
      <c r="G195" s="113">
        <v>3954065.41</v>
      </c>
      <c r="H195" s="86">
        <v>18507797.73</v>
      </c>
      <c r="I195" s="113">
        <v>220093.05000000002</v>
      </c>
      <c r="J195" s="114">
        <f t="shared" si="16"/>
        <v>18287704.68</v>
      </c>
      <c r="K195" s="113">
        <f t="shared" si="17"/>
        <v>3195014.5900000017</v>
      </c>
      <c r="L195" s="113">
        <v>2609260.7999999998</v>
      </c>
      <c r="M195" s="113">
        <v>2225083.4299999997</v>
      </c>
      <c r="N195" s="113">
        <v>9380550.0800000001</v>
      </c>
      <c r="O195" s="113">
        <v>877795.78</v>
      </c>
      <c r="P195" s="113">
        <v>0</v>
      </c>
    </row>
    <row r="196" spans="2:16" ht="13.9" customHeight="1" x14ac:dyDescent="0.25">
      <c r="B196" s="149"/>
      <c r="C196" s="148" t="s">
        <v>104</v>
      </c>
      <c r="D196" s="90">
        <f>SUM(D193:D195)</f>
        <v>21</v>
      </c>
      <c r="E196" s="91">
        <f t="shared" ref="E196:P196" si="19">SUM(E193:E195)</f>
        <v>35675920.780000001</v>
      </c>
      <c r="F196" s="92">
        <f t="shared" si="19"/>
        <v>6553759.4299999997</v>
      </c>
      <c r="G196" s="93">
        <f t="shared" si="19"/>
        <v>6011753.2300000004</v>
      </c>
      <c r="H196" s="90">
        <f t="shared" si="19"/>
        <v>29664167.550000004</v>
      </c>
      <c r="I196" s="91">
        <f t="shared" si="19"/>
        <v>542006.20000000007</v>
      </c>
      <c r="J196" s="92">
        <f t="shared" si="19"/>
        <v>29122161.350000001</v>
      </c>
      <c r="K196" s="93">
        <f t="shared" si="19"/>
        <v>4872233.3000000026</v>
      </c>
      <c r="L196" s="90">
        <f t="shared" si="19"/>
        <v>5328532.03</v>
      </c>
      <c r="M196" s="91">
        <f t="shared" si="19"/>
        <v>4458536.4000000004</v>
      </c>
      <c r="N196" s="90">
        <f t="shared" si="19"/>
        <v>12260285.93</v>
      </c>
      <c r="O196" s="91">
        <f t="shared" si="19"/>
        <v>2202573.6900000004</v>
      </c>
      <c r="P196" s="91">
        <f t="shared" si="19"/>
        <v>0</v>
      </c>
    </row>
    <row r="197" spans="2:16" ht="13.9" customHeight="1" outlineLevel="1" x14ac:dyDescent="0.25">
      <c r="B197" s="149" t="s">
        <v>105</v>
      </c>
      <c r="C197" s="150" t="s">
        <v>75</v>
      </c>
      <c r="D197" s="85">
        <v>0</v>
      </c>
      <c r="E197" s="86">
        <v>0</v>
      </c>
      <c r="F197" s="142">
        <f t="shared" si="15"/>
        <v>0</v>
      </c>
      <c r="G197" s="113">
        <v>0</v>
      </c>
      <c r="H197" s="86">
        <v>0</v>
      </c>
      <c r="I197" s="113">
        <v>0</v>
      </c>
      <c r="J197" s="114">
        <f t="shared" si="16"/>
        <v>0</v>
      </c>
      <c r="K197" s="113">
        <f t="shared" si="17"/>
        <v>0</v>
      </c>
      <c r="L197" s="113">
        <v>0</v>
      </c>
      <c r="M197" s="113">
        <v>0</v>
      </c>
      <c r="N197" s="113">
        <v>0</v>
      </c>
      <c r="O197" s="113">
        <v>0</v>
      </c>
      <c r="P197" s="113">
        <v>0</v>
      </c>
    </row>
    <row r="198" spans="2:16" ht="13.9" customHeight="1" outlineLevel="1" x14ac:dyDescent="0.25">
      <c r="B198" s="149"/>
      <c r="C198" s="150" t="s">
        <v>76</v>
      </c>
      <c r="D198" s="85">
        <v>3</v>
      </c>
      <c r="E198" s="86">
        <v>4687242.76</v>
      </c>
      <c r="F198" s="142">
        <f t="shared" si="15"/>
        <v>468745.05</v>
      </c>
      <c r="G198" s="113">
        <v>468744</v>
      </c>
      <c r="H198" s="86">
        <v>4218498.76</v>
      </c>
      <c r="I198" s="113">
        <v>1.05</v>
      </c>
      <c r="J198" s="114">
        <f t="shared" si="16"/>
        <v>4218497.71</v>
      </c>
      <c r="K198" s="113">
        <f t="shared" si="17"/>
        <v>468703.47999999952</v>
      </c>
      <c r="L198" s="113">
        <v>1406172.84</v>
      </c>
      <c r="M198" s="113">
        <v>2343621.39</v>
      </c>
      <c r="N198" s="113">
        <v>0</v>
      </c>
      <c r="O198" s="113">
        <v>0</v>
      </c>
      <c r="P198" s="113">
        <v>0</v>
      </c>
    </row>
    <row r="199" spans="2:16" ht="13.9" customHeight="1" x14ac:dyDescent="0.25">
      <c r="B199" s="149"/>
      <c r="C199" s="148" t="s">
        <v>106</v>
      </c>
      <c r="D199" s="90">
        <f>SUM(D197:D198)</f>
        <v>3</v>
      </c>
      <c r="E199" s="91">
        <f t="shared" ref="E199:P199" si="20">SUM(E197:E198)</f>
        <v>4687242.76</v>
      </c>
      <c r="F199" s="92">
        <f t="shared" si="20"/>
        <v>468745.05</v>
      </c>
      <c r="G199" s="93">
        <f t="shared" si="20"/>
        <v>468744</v>
      </c>
      <c r="H199" s="90">
        <f t="shared" si="20"/>
        <v>4218498.76</v>
      </c>
      <c r="I199" s="91">
        <f t="shared" si="20"/>
        <v>1.05</v>
      </c>
      <c r="J199" s="92">
        <f t="shared" si="20"/>
        <v>4218497.71</v>
      </c>
      <c r="K199" s="93">
        <f t="shared" si="20"/>
        <v>468703.47999999952</v>
      </c>
      <c r="L199" s="90">
        <f t="shared" si="20"/>
        <v>1406172.84</v>
      </c>
      <c r="M199" s="91">
        <f t="shared" si="20"/>
        <v>2343621.39</v>
      </c>
      <c r="N199" s="90">
        <f t="shared" si="20"/>
        <v>0</v>
      </c>
      <c r="O199" s="91">
        <f t="shared" si="20"/>
        <v>0</v>
      </c>
      <c r="P199" s="91">
        <f t="shared" si="20"/>
        <v>0</v>
      </c>
    </row>
    <row r="200" spans="2:16" ht="13.9" customHeight="1" x14ac:dyDescent="0.25">
      <c r="B200" s="155" t="s">
        <v>78</v>
      </c>
      <c r="C200" s="155"/>
      <c r="D200" s="90">
        <f>D192+D196+D199</f>
        <v>87</v>
      </c>
      <c r="E200" s="91">
        <f t="shared" ref="E200:P200" si="21">E192+E196+E199</f>
        <v>206552925.20999998</v>
      </c>
      <c r="F200" s="92">
        <f t="shared" si="21"/>
        <v>41353204.969999999</v>
      </c>
      <c r="G200" s="93">
        <f t="shared" si="21"/>
        <v>32726414.100000001</v>
      </c>
      <c r="H200" s="90">
        <f t="shared" si="21"/>
        <v>173826511.10999998</v>
      </c>
      <c r="I200" s="91">
        <f t="shared" si="21"/>
        <v>8626790.870000001</v>
      </c>
      <c r="J200" s="92">
        <f t="shared" si="21"/>
        <v>165199720.24000001</v>
      </c>
      <c r="K200" s="93">
        <f t="shared" si="21"/>
        <v>28833875.48</v>
      </c>
      <c r="L200" s="90">
        <f t="shared" si="21"/>
        <v>28623148.520000007</v>
      </c>
      <c r="M200" s="91">
        <f t="shared" si="21"/>
        <v>35057128.640000001</v>
      </c>
      <c r="N200" s="90">
        <f t="shared" si="21"/>
        <v>53016153.11999999</v>
      </c>
      <c r="O200" s="91">
        <f t="shared" si="21"/>
        <v>15767768.000000004</v>
      </c>
      <c r="P200" s="91">
        <f t="shared" si="21"/>
        <v>3901646.48</v>
      </c>
    </row>
    <row r="201" spans="2:16" ht="13.9" customHeight="1" x14ac:dyDescent="0.25"/>
    <row r="202" spans="2:16" ht="13.9" customHeight="1" x14ac:dyDescent="0.25"/>
    <row r="203" spans="2:16" ht="13.9" customHeight="1" x14ac:dyDescent="0.25">
      <c r="B203" s="107" t="s">
        <v>89</v>
      </c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</row>
    <row r="204" spans="2:16" ht="13.9" customHeight="1" x14ac:dyDescent="0.25">
      <c r="B204" s="154" t="s">
        <v>26</v>
      </c>
      <c r="C204" s="148" t="s">
        <v>27</v>
      </c>
      <c r="D204" s="109" t="s">
        <v>28</v>
      </c>
      <c r="E204" s="110" t="s">
        <v>29</v>
      </c>
      <c r="F204" s="111" t="s">
        <v>85</v>
      </c>
      <c r="G204" s="112" t="s">
        <v>81</v>
      </c>
      <c r="H204" s="110" t="s">
        <v>82</v>
      </c>
      <c r="I204" s="112" t="s">
        <v>86</v>
      </c>
      <c r="J204" s="110" t="s">
        <v>87</v>
      </c>
      <c r="K204" s="112">
        <v>2026</v>
      </c>
      <c r="L204" s="112">
        <v>2027</v>
      </c>
      <c r="M204" s="110">
        <v>2028</v>
      </c>
      <c r="N204" s="112">
        <v>2029</v>
      </c>
      <c r="O204" s="110">
        <v>2030</v>
      </c>
      <c r="P204" s="112">
        <v>2031</v>
      </c>
    </row>
    <row r="205" spans="2:16" ht="13.9" customHeight="1" outlineLevel="1" x14ac:dyDescent="0.25">
      <c r="B205" s="149" t="s">
        <v>30</v>
      </c>
      <c r="C205" s="150" t="s">
        <v>31</v>
      </c>
      <c r="D205" s="85">
        <v>0</v>
      </c>
      <c r="E205" s="86">
        <v>0</v>
      </c>
      <c r="F205" s="142">
        <f t="shared" ref="F205:F241" si="22">G205+I205</f>
        <v>0</v>
      </c>
      <c r="G205" s="113">
        <v>0</v>
      </c>
      <c r="H205" s="86">
        <v>0</v>
      </c>
      <c r="I205" s="113">
        <v>0</v>
      </c>
      <c r="J205" s="114">
        <f t="shared" ref="J205:J241" si="23">H205-I205</f>
        <v>0</v>
      </c>
      <c r="K205" s="113">
        <f t="shared" ref="K205:K241" si="24">MAX(J205-SUM(L205:P205),0)</f>
        <v>0</v>
      </c>
      <c r="L205" s="113">
        <v>0</v>
      </c>
      <c r="M205" s="113">
        <v>0</v>
      </c>
      <c r="N205" s="113">
        <v>0</v>
      </c>
      <c r="O205" s="113">
        <v>0</v>
      </c>
      <c r="P205" s="113">
        <v>0</v>
      </c>
    </row>
    <row r="206" spans="2:16" ht="13.9" customHeight="1" outlineLevel="1" x14ac:dyDescent="0.25">
      <c r="B206" s="149"/>
      <c r="C206" s="150" t="s">
        <v>32</v>
      </c>
      <c r="D206" s="85">
        <v>0</v>
      </c>
      <c r="E206" s="86">
        <v>0</v>
      </c>
      <c r="F206" s="142">
        <f t="shared" si="22"/>
        <v>0</v>
      </c>
      <c r="G206" s="113">
        <v>0</v>
      </c>
      <c r="H206" s="86">
        <v>0</v>
      </c>
      <c r="I206" s="113">
        <v>0</v>
      </c>
      <c r="J206" s="114">
        <f t="shared" si="23"/>
        <v>0</v>
      </c>
      <c r="K206" s="113">
        <f t="shared" si="24"/>
        <v>0</v>
      </c>
      <c r="L206" s="113">
        <v>0</v>
      </c>
      <c r="M206" s="113">
        <v>0</v>
      </c>
      <c r="N206" s="113">
        <v>0</v>
      </c>
      <c r="O206" s="113">
        <v>0</v>
      </c>
      <c r="P206" s="113">
        <v>0</v>
      </c>
    </row>
    <row r="207" spans="2:16" ht="13.9" customHeight="1" outlineLevel="1" x14ac:dyDescent="0.25">
      <c r="B207" s="149"/>
      <c r="C207" s="150" t="s">
        <v>33</v>
      </c>
      <c r="D207" s="85">
        <v>0</v>
      </c>
      <c r="E207" s="86">
        <v>0</v>
      </c>
      <c r="F207" s="142">
        <f t="shared" si="22"/>
        <v>0</v>
      </c>
      <c r="G207" s="113">
        <v>0</v>
      </c>
      <c r="H207" s="86">
        <v>0</v>
      </c>
      <c r="I207" s="113">
        <v>0</v>
      </c>
      <c r="J207" s="114">
        <f t="shared" si="23"/>
        <v>0</v>
      </c>
      <c r="K207" s="113">
        <f t="shared" si="24"/>
        <v>0</v>
      </c>
      <c r="L207" s="113">
        <v>0</v>
      </c>
      <c r="M207" s="113">
        <v>0</v>
      </c>
      <c r="N207" s="113">
        <v>0</v>
      </c>
      <c r="O207" s="113">
        <v>0</v>
      </c>
      <c r="P207" s="113">
        <v>0</v>
      </c>
    </row>
    <row r="208" spans="2:16" ht="13.9" customHeight="1" outlineLevel="1" x14ac:dyDescent="0.25">
      <c r="B208" s="149"/>
      <c r="C208" s="150" t="s">
        <v>34</v>
      </c>
      <c r="D208" s="85">
        <v>0</v>
      </c>
      <c r="E208" s="86">
        <v>0</v>
      </c>
      <c r="F208" s="142">
        <f t="shared" si="22"/>
        <v>0</v>
      </c>
      <c r="G208" s="113">
        <v>0</v>
      </c>
      <c r="H208" s="86">
        <v>0</v>
      </c>
      <c r="I208" s="113">
        <v>0</v>
      </c>
      <c r="J208" s="114">
        <f t="shared" si="23"/>
        <v>0</v>
      </c>
      <c r="K208" s="113">
        <f t="shared" si="24"/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</row>
    <row r="209" spans="2:16" ht="13.9" customHeight="1" outlineLevel="1" x14ac:dyDescent="0.25">
      <c r="B209" s="149"/>
      <c r="C209" s="150" t="s">
        <v>35</v>
      </c>
      <c r="D209" s="85">
        <v>0</v>
      </c>
      <c r="E209" s="86">
        <v>0</v>
      </c>
      <c r="F209" s="142">
        <f t="shared" si="22"/>
        <v>0</v>
      </c>
      <c r="G209" s="113">
        <v>0</v>
      </c>
      <c r="H209" s="86">
        <v>0</v>
      </c>
      <c r="I209" s="113">
        <v>0</v>
      </c>
      <c r="J209" s="114">
        <f t="shared" si="23"/>
        <v>0</v>
      </c>
      <c r="K209" s="113">
        <f t="shared" si="24"/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</row>
    <row r="210" spans="2:16" ht="13.9" customHeight="1" outlineLevel="1" x14ac:dyDescent="0.25">
      <c r="B210" s="149"/>
      <c r="C210" s="150" t="s">
        <v>36</v>
      </c>
      <c r="D210" s="85">
        <v>0</v>
      </c>
      <c r="E210" s="86">
        <v>0</v>
      </c>
      <c r="F210" s="142">
        <f t="shared" si="22"/>
        <v>0</v>
      </c>
      <c r="G210" s="113">
        <v>0</v>
      </c>
      <c r="H210" s="86">
        <v>0</v>
      </c>
      <c r="I210" s="113">
        <v>0</v>
      </c>
      <c r="J210" s="114">
        <f t="shared" si="23"/>
        <v>0</v>
      </c>
      <c r="K210" s="113">
        <f t="shared" si="24"/>
        <v>0</v>
      </c>
      <c r="L210" s="113">
        <v>0</v>
      </c>
      <c r="M210" s="113">
        <v>0</v>
      </c>
      <c r="N210" s="113">
        <v>0</v>
      </c>
      <c r="O210" s="113">
        <v>0</v>
      </c>
      <c r="P210" s="113">
        <v>0</v>
      </c>
    </row>
    <row r="211" spans="2:16" ht="13.9" customHeight="1" outlineLevel="1" x14ac:dyDescent="0.25">
      <c r="B211" s="149"/>
      <c r="C211" s="150" t="s">
        <v>37</v>
      </c>
      <c r="D211" s="85">
        <v>0</v>
      </c>
      <c r="E211" s="86">
        <v>0</v>
      </c>
      <c r="F211" s="142">
        <f t="shared" si="22"/>
        <v>0</v>
      </c>
      <c r="G211" s="113">
        <v>0</v>
      </c>
      <c r="H211" s="86">
        <v>0</v>
      </c>
      <c r="I211" s="113">
        <v>0</v>
      </c>
      <c r="J211" s="114">
        <f t="shared" si="23"/>
        <v>0</v>
      </c>
      <c r="K211" s="113">
        <f t="shared" si="24"/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</row>
    <row r="212" spans="2:16" ht="13.9" customHeight="1" outlineLevel="1" x14ac:dyDescent="0.25">
      <c r="B212" s="149"/>
      <c r="C212" s="150" t="s">
        <v>38</v>
      </c>
      <c r="D212" s="85">
        <v>0</v>
      </c>
      <c r="E212" s="86">
        <v>0</v>
      </c>
      <c r="F212" s="142">
        <f t="shared" si="22"/>
        <v>0</v>
      </c>
      <c r="G212" s="113">
        <v>0</v>
      </c>
      <c r="H212" s="86">
        <v>0</v>
      </c>
      <c r="I212" s="113">
        <v>0</v>
      </c>
      <c r="J212" s="114">
        <f t="shared" si="23"/>
        <v>0</v>
      </c>
      <c r="K212" s="113">
        <f t="shared" si="24"/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</row>
    <row r="213" spans="2:16" ht="13.9" customHeight="1" outlineLevel="1" x14ac:dyDescent="0.25">
      <c r="B213" s="149"/>
      <c r="C213" s="150" t="s">
        <v>39</v>
      </c>
      <c r="D213" s="85">
        <v>0</v>
      </c>
      <c r="E213" s="86">
        <v>0</v>
      </c>
      <c r="F213" s="142">
        <f t="shared" si="22"/>
        <v>0</v>
      </c>
      <c r="G213" s="113">
        <v>0</v>
      </c>
      <c r="H213" s="86">
        <v>0</v>
      </c>
      <c r="I213" s="113">
        <v>0</v>
      </c>
      <c r="J213" s="114">
        <f t="shared" si="23"/>
        <v>0</v>
      </c>
      <c r="K213" s="113">
        <f t="shared" si="24"/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</row>
    <row r="214" spans="2:16" ht="13.9" customHeight="1" outlineLevel="1" x14ac:dyDescent="0.25">
      <c r="B214" s="149"/>
      <c r="C214" s="150" t="s">
        <v>40</v>
      </c>
      <c r="D214" s="85">
        <v>0</v>
      </c>
      <c r="E214" s="86">
        <v>0</v>
      </c>
      <c r="F214" s="142">
        <f t="shared" si="22"/>
        <v>0</v>
      </c>
      <c r="G214" s="113">
        <v>0</v>
      </c>
      <c r="H214" s="86">
        <v>0</v>
      </c>
      <c r="I214" s="113">
        <v>0</v>
      </c>
      <c r="J214" s="114">
        <f t="shared" si="23"/>
        <v>0</v>
      </c>
      <c r="K214" s="113">
        <f t="shared" si="24"/>
        <v>0</v>
      </c>
      <c r="L214" s="113">
        <v>0</v>
      </c>
      <c r="M214" s="113">
        <v>0</v>
      </c>
      <c r="N214" s="113">
        <v>0</v>
      </c>
      <c r="O214" s="113">
        <v>0</v>
      </c>
      <c r="P214" s="113">
        <v>0</v>
      </c>
    </row>
    <row r="215" spans="2:16" ht="13.9" customHeight="1" outlineLevel="1" x14ac:dyDescent="0.25">
      <c r="B215" s="149"/>
      <c r="C215" s="150" t="s">
        <v>41</v>
      </c>
      <c r="D215" s="85">
        <v>0</v>
      </c>
      <c r="E215" s="86">
        <v>0</v>
      </c>
      <c r="F215" s="142">
        <f t="shared" si="22"/>
        <v>0</v>
      </c>
      <c r="G215" s="113">
        <v>0</v>
      </c>
      <c r="H215" s="86">
        <v>0</v>
      </c>
      <c r="I215" s="113">
        <v>0</v>
      </c>
      <c r="J215" s="114">
        <f t="shared" si="23"/>
        <v>0</v>
      </c>
      <c r="K215" s="113">
        <f t="shared" si="24"/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</row>
    <row r="216" spans="2:16" ht="13.9" customHeight="1" outlineLevel="1" x14ac:dyDescent="0.25">
      <c r="B216" s="149"/>
      <c r="C216" s="150" t="s">
        <v>42</v>
      </c>
      <c r="D216" s="85">
        <v>9</v>
      </c>
      <c r="E216" s="86">
        <v>16674882.560000001</v>
      </c>
      <c r="F216" s="142">
        <f t="shared" si="22"/>
        <v>4166247.06</v>
      </c>
      <c r="G216" s="113">
        <v>3975844.1</v>
      </c>
      <c r="H216" s="86">
        <v>12699038.460000001</v>
      </c>
      <c r="I216" s="113">
        <v>190402.96</v>
      </c>
      <c r="J216" s="114">
        <f t="shared" si="23"/>
        <v>12508635.5</v>
      </c>
      <c r="K216" s="113">
        <f t="shared" si="24"/>
        <v>2565372.1799999997</v>
      </c>
      <c r="L216" s="113">
        <v>9943263.3200000003</v>
      </c>
      <c r="M216" s="113">
        <v>0</v>
      </c>
      <c r="N216" s="113">
        <v>0</v>
      </c>
      <c r="O216" s="113">
        <v>0</v>
      </c>
      <c r="P216" s="113">
        <v>0</v>
      </c>
    </row>
    <row r="217" spans="2:16" ht="13.9" customHeight="1" outlineLevel="1" x14ac:dyDescent="0.25">
      <c r="B217" s="149"/>
      <c r="C217" s="150" t="s">
        <v>43</v>
      </c>
      <c r="D217" s="85">
        <v>1</v>
      </c>
      <c r="E217" s="86">
        <v>3643992</v>
      </c>
      <c r="F217" s="142">
        <f t="shared" si="22"/>
        <v>729174.3</v>
      </c>
      <c r="G217" s="113">
        <v>729174.3</v>
      </c>
      <c r="H217" s="86">
        <v>2914817.7</v>
      </c>
      <c r="I217" s="113">
        <v>0</v>
      </c>
      <c r="J217" s="114">
        <f t="shared" si="23"/>
        <v>2914817.7</v>
      </c>
      <c r="K217" s="113">
        <f t="shared" si="24"/>
        <v>364023.30000000028</v>
      </c>
      <c r="L217" s="113">
        <v>2550794.4</v>
      </c>
      <c r="M217" s="113">
        <v>0</v>
      </c>
      <c r="N217" s="113">
        <v>0</v>
      </c>
      <c r="O217" s="113">
        <v>0</v>
      </c>
      <c r="P217" s="113">
        <v>0</v>
      </c>
    </row>
    <row r="218" spans="2:16" ht="13.9" customHeight="1" outlineLevel="1" x14ac:dyDescent="0.25">
      <c r="B218" s="149"/>
      <c r="C218" s="150" t="s">
        <v>44</v>
      </c>
      <c r="D218" s="85">
        <v>16</v>
      </c>
      <c r="E218" s="86">
        <v>37049759.100000001</v>
      </c>
      <c r="F218" s="142">
        <f t="shared" si="22"/>
        <v>10060595.9</v>
      </c>
      <c r="G218" s="113">
        <v>9664165</v>
      </c>
      <c r="H218" s="86">
        <v>27385594.100000005</v>
      </c>
      <c r="I218" s="113">
        <v>396430.89999999997</v>
      </c>
      <c r="J218" s="114">
        <f t="shared" si="23"/>
        <v>26989163.200000007</v>
      </c>
      <c r="K218" s="113">
        <f t="shared" si="24"/>
        <v>5290478.4700000025</v>
      </c>
      <c r="L218" s="113">
        <v>4828800.1900000013</v>
      </c>
      <c r="M218" s="113">
        <v>16869884.540000003</v>
      </c>
      <c r="N218" s="113">
        <v>0</v>
      </c>
      <c r="O218" s="113">
        <v>0</v>
      </c>
      <c r="P218" s="113">
        <v>0</v>
      </c>
    </row>
    <row r="219" spans="2:16" ht="13.9" customHeight="1" outlineLevel="1" x14ac:dyDescent="0.25">
      <c r="B219" s="149"/>
      <c r="C219" s="150" t="s">
        <v>45</v>
      </c>
      <c r="D219" s="85">
        <v>22</v>
      </c>
      <c r="E219" s="86">
        <v>50568313.509999998</v>
      </c>
      <c r="F219" s="142">
        <f t="shared" si="22"/>
        <v>11549592.180000002</v>
      </c>
      <c r="G219" s="113">
        <v>11301454.500000002</v>
      </c>
      <c r="H219" s="86">
        <v>39266859.010000005</v>
      </c>
      <c r="I219" s="113">
        <v>248137.68</v>
      </c>
      <c r="J219" s="114">
        <f t="shared" si="23"/>
        <v>39018721.330000006</v>
      </c>
      <c r="K219" s="113">
        <f t="shared" si="24"/>
        <v>3979433.9100000113</v>
      </c>
      <c r="L219" s="113">
        <v>5056831.37</v>
      </c>
      <c r="M219" s="113">
        <v>8179976.8699999992</v>
      </c>
      <c r="N219" s="113">
        <v>15501864.089999996</v>
      </c>
      <c r="O219" s="113">
        <v>6300615.0899999999</v>
      </c>
      <c r="P219" s="113">
        <v>0</v>
      </c>
    </row>
    <row r="220" spans="2:16" ht="13.9" customHeight="1" outlineLevel="1" x14ac:dyDescent="0.25">
      <c r="B220" s="149"/>
      <c r="C220" s="150" t="s">
        <v>46</v>
      </c>
      <c r="D220" s="85">
        <v>1</v>
      </c>
      <c r="E220" s="86">
        <v>2165450</v>
      </c>
      <c r="F220" s="142">
        <f t="shared" si="22"/>
        <v>455854.25</v>
      </c>
      <c r="G220" s="113">
        <v>455854.25</v>
      </c>
      <c r="H220" s="86">
        <v>1709595.75</v>
      </c>
      <c r="I220" s="113">
        <v>0</v>
      </c>
      <c r="J220" s="114">
        <f t="shared" si="23"/>
        <v>1709595.75</v>
      </c>
      <c r="K220" s="113">
        <f t="shared" si="24"/>
        <v>117990</v>
      </c>
      <c r="L220" s="113">
        <v>454744.5</v>
      </c>
      <c r="M220" s="113">
        <v>227372.25</v>
      </c>
      <c r="N220" s="113">
        <v>0</v>
      </c>
      <c r="O220" s="113">
        <v>909489</v>
      </c>
      <c r="P220" s="113">
        <v>0</v>
      </c>
    </row>
    <row r="221" spans="2:16" ht="13.9" customHeight="1" outlineLevel="1" x14ac:dyDescent="0.25">
      <c r="B221" s="149"/>
      <c r="C221" s="150" t="s">
        <v>47</v>
      </c>
      <c r="D221" s="85">
        <v>4</v>
      </c>
      <c r="E221" s="86">
        <v>6518411.5899999999</v>
      </c>
      <c r="F221" s="142">
        <f t="shared" si="22"/>
        <v>2513370.84</v>
      </c>
      <c r="G221" s="113">
        <v>1820331.75</v>
      </c>
      <c r="H221" s="86">
        <v>4698079.84</v>
      </c>
      <c r="I221" s="113">
        <v>693039.09</v>
      </c>
      <c r="J221" s="114">
        <f t="shared" si="23"/>
        <v>4005040.75</v>
      </c>
      <c r="K221" s="113">
        <f t="shared" si="24"/>
        <v>4005040.75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</row>
    <row r="222" spans="2:16" ht="13.9" customHeight="1" outlineLevel="1" x14ac:dyDescent="0.25">
      <c r="B222" s="149"/>
      <c r="C222" s="150" t="s">
        <v>48</v>
      </c>
      <c r="D222" s="85">
        <v>6</v>
      </c>
      <c r="E222" s="86">
        <v>11112454</v>
      </c>
      <c r="F222" s="142">
        <f t="shared" si="22"/>
        <v>3161505.0599999996</v>
      </c>
      <c r="G222" s="113">
        <v>2951377.2399999998</v>
      </c>
      <c r="H222" s="86">
        <v>8161076.7599999998</v>
      </c>
      <c r="I222" s="113">
        <v>210127.81999999998</v>
      </c>
      <c r="J222" s="114">
        <f t="shared" si="23"/>
        <v>7950948.9399999995</v>
      </c>
      <c r="K222" s="113">
        <f t="shared" si="24"/>
        <v>1392306.7599999988</v>
      </c>
      <c r="L222" s="113">
        <v>6558642.1800000006</v>
      </c>
      <c r="M222" s="113">
        <v>0</v>
      </c>
      <c r="N222" s="113">
        <v>0</v>
      </c>
      <c r="O222" s="113">
        <v>0</v>
      </c>
      <c r="P222" s="113">
        <v>0</v>
      </c>
    </row>
    <row r="223" spans="2:16" ht="13.9" customHeight="1" outlineLevel="1" x14ac:dyDescent="0.25">
      <c r="B223" s="149"/>
      <c r="C223" s="150" t="s">
        <v>49</v>
      </c>
      <c r="D223" s="85">
        <v>2</v>
      </c>
      <c r="E223" s="86">
        <v>6061412.7000000002</v>
      </c>
      <c r="F223" s="142">
        <f t="shared" si="22"/>
        <v>1272898.1000000001</v>
      </c>
      <c r="G223" s="113">
        <v>1272898.1000000001</v>
      </c>
      <c r="H223" s="86">
        <v>4788514.5999999996</v>
      </c>
      <c r="I223" s="113">
        <v>0</v>
      </c>
      <c r="J223" s="114">
        <f t="shared" si="23"/>
        <v>4788514.5999999996</v>
      </c>
      <c r="K223" s="113">
        <f t="shared" si="24"/>
        <v>718983.21</v>
      </c>
      <c r="L223" s="113">
        <v>4069531.3899999997</v>
      </c>
      <c r="M223" s="113">
        <v>0</v>
      </c>
      <c r="N223" s="113">
        <v>0</v>
      </c>
      <c r="O223" s="113">
        <v>0</v>
      </c>
      <c r="P223" s="113">
        <v>0</v>
      </c>
    </row>
    <row r="224" spans="2:16" ht="13.9" customHeight="1" outlineLevel="1" x14ac:dyDescent="0.25">
      <c r="B224" s="149"/>
      <c r="C224" s="150" t="s">
        <v>50</v>
      </c>
      <c r="D224" s="85">
        <v>7</v>
      </c>
      <c r="E224" s="86">
        <v>23226027.25</v>
      </c>
      <c r="F224" s="142">
        <f t="shared" si="22"/>
        <v>4651946.2699999996</v>
      </c>
      <c r="G224" s="113">
        <v>4651946.2699999996</v>
      </c>
      <c r="H224" s="86">
        <v>18574080.98</v>
      </c>
      <c r="I224" s="113">
        <v>0</v>
      </c>
      <c r="J224" s="114">
        <f t="shared" si="23"/>
        <v>18574080.98</v>
      </c>
      <c r="K224" s="113">
        <f t="shared" si="24"/>
        <v>2315861.8300000019</v>
      </c>
      <c r="L224" s="113">
        <v>2322602.7399999998</v>
      </c>
      <c r="M224" s="113">
        <v>2322602.7399999998</v>
      </c>
      <c r="N224" s="113">
        <v>2322602.7399999998</v>
      </c>
      <c r="O224" s="113">
        <v>2322602.7399999998</v>
      </c>
      <c r="P224" s="113">
        <v>6967808.1900000004</v>
      </c>
    </row>
    <row r="225" spans="2:16" ht="13.9" customHeight="1" outlineLevel="1" x14ac:dyDescent="0.25">
      <c r="B225" s="149"/>
      <c r="C225" s="150" t="s">
        <v>51</v>
      </c>
      <c r="D225" s="85">
        <v>18</v>
      </c>
      <c r="E225" s="86">
        <v>21711637.699999999</v>
      </c>
      <c r="F225" s="142">
        <f t="shared" si="22"/>
        <v>5958482</v>
      </c>
      <c r="G225" s="113">
        <v>5407496.4000000004</v>
      </c>
      <c r="H225" s="86">
        <v>16304141.300000003</v>
      </c>
      <c r="I225" s="113">
        <v>550985.6</v>
      </c>
      <c r="J225" s="114">
        <f t="shared" si="23"/>
        <v>15753155.700000003</v>
      </c>
      <c r="K225" s="113">
        <f t="shared" si="24"/>
        <v>2419045.7300000042</v>
      </c>
      <c r="L225" s="113">
        <v>13334109.969999999</v>
      </c>
      <c r="M225" s="113">
        <v>0</v>
      </c>
      <c r="N225" s="113">
        <v>0</v>
      </c>
      <c r="O225" s="113">
        <v>0</v>
      </c>
      <c r="P225" s="113">
        <v>0</v>
      </c>
    </row>
    <row r="226" spans="2:16" ht="13.9" customHeight="1" outlineLevel="1" x14ac:dyDescent="0.25">
      <c r="B226" s="149"/>
      <c r="C226" s="150" t="s">
        <v>52</v>
      </c>
      <c r="D226" s="85">
        <v>10</v>
      </c>
      <c r="E226" s="86">
        <v>20071586.939999998</v>
      </c>
      <c r="F226" s="142">
        <f t="shared" si="22"/>
        <v>4023588.0199999996</v>
      </c>
      <c r="G226" s="113">
        <v>4023588.0199999996</v>
      </c>
      <c r="H226" s="86">
        <v>16047998.92</v>
      </c>
      <c r="I226" s="113">
        <v>0</v>
      </c>
      <c r="J226" s="114">
        <f t="shared" si="23"/>
        <v>16047998.92</v>
      </c>
      <c r="K226" s="113">
        <f t="shared" si="24"/>
        <v>1997888.0100000016</v>
      </c>
      <c r="L226" s="113">
        <v>2007158.7099999997</v>
      </c>
      <c r="M226" s="113">
        <v>3266870.5599999996</v>
      </c>
      <c r="N226" s="113">
        <v>8776081.6399999987</v>
      </c>
      <c r="O226" s="113">
        <v>0</v>
      </c>
      <c r="P226" s="113">
        <v>0</v>
      </c>
    </row>
    <row r="227" spans="2:16" ht="13.9" customHeight="1" outlineLevel="1" x14ac:dyDescent="0.25">
      <c r="B227" s="149"/>
      <c r="C227" s="150" t="s">
        <v>53</v>
      </c>
      <c r="D227" s="85">
        <v>4</v>
      </c>
      <c r="E227" s="86">
        <v>11267763.850000001</v>
      </c>
      <c r="F227" s="142">
        <f t="shared" si="22"/>
        <v>2580456.4500000002</v>
      </c>
      <c r="G227" s="113">
        <v>2580456.4500000002</v>
      </c>
      <c r="H227" s="86">
        <v>8687307.3999999985</v>
      </c>
      <c r="I227" s="113">
        <v>0</v>
      </c>
      <c r="J227" s="114">
        <f t="shared" si="23"/>
        <v>8687307.3999999985</v>
      </c>
      <c r="K227" s="113">
        <f t="shared" si="24"/>
        <v>1620068.1899999995</v>
      </c>
      <c r="L227" s="113">
        <v>1760176.4300000002</v>
      </c>
      <c r="M227" s="113">
        <v>5307062.7799999993</v>
      </c>
      <c r="N227" s="113">
        <v>0</v>
      </c>
      <c r="O227" s="113">
        <v>0</v>
      </c>
      <c r="P227" s="113">
        <v>0</v>
      </c>
    </row>
    <row r="228" spans="2:16" ht="13.9" customHeight="1" outlineLevel="1" x14ac:dyDescent="0.25">
      <c r="B228" s="149"/>
      <c r="C228" s="150" t="s">
        <v>54</v>
      </c>
      <c r="D228" s="85">
        <v>14</v>
      </c>
      <c r="E228" s="86">
        <v>30344880.699999999</v>
      </c>
      <c r="F228" s="142">
        <f t="shared" si="22"/>
        <v>6133188.0799999991</v>
      </c>
      <c r="G228" s="113">
        <v>6133188.0799999991</v>
      </c>
      <c r="H228" s="86">
        <v>24211692.619999997</v>
      </c>
      <c r="I228" s="113">
        <v>0</v>
      </c>
      <c r="J228" s="114">
        <f t="shared" si="23"/>
        <v>24211692.619999997</v>
      </c>
      <c r="K228" s="113">
        <f t="shared" si="24"/>
        <v>2970276.0700000003</v>
      </c>
      <c r="L228" s="113">
        <v>3034488.0900000003</v>
      </c>
      <c r="M228" s="113">
        <v>4598599.41</v>
      </c>
      <c r="N228" s="113">
        <v>13608329.049999999</v>
      </c>
      <c r="O228" s="113">
        <v>0</v>
      </c>
      <c r="P228" s="113">
        <v>0</v>
      </c>
    </row>
    <row r="229" spans="2:16" ht="13.9" customHeight="1" outlineLevel="1" x14ac:dyDescent="0.25">
      <c r="B229" s="149"/>
      <c r="C229" s="150" t="s">
        <v>55</v>
      </c>
      <c r="D229" s="85">
        <v>2</v>
      </c>
      <c r="E229" s="86">
        <v>4880643.2</v>
      </c>
      <c r="F229" s="142">
        <f t="shared" si="22"/>
        <v>1016370</v>
      </c>
      <c r="G229" s="113">
        <v>1016370</v>
      </c>
      <c r="H229" s="86">
        <v>3864273.2</v>
      </c>
      <c r="I229" s="113">
        <v>0</v>
      </c>
      <c r="J229" s="114">
        <f t="shared" si="23"/>
        <v>3864273.2</v>
      </c>
      <c r="K229" s="113">
        <f t="shared" si="24"/>
        <v>447822.96000000043</v>
      </c>
      <c r="L229" s="113">
        <v>488064.32</v>
      </c>
      <c r="M229" s="113">
        <v>0</v>
      </c>
      <c r="N229" s="113">
        <v>0</v>
      </c>
      <c r="O229" s="113">
        <v>2928385.92</v>
      </c>
      <c r="P229" s="113">
        <v>0</v>
      </c>
    </row>
    <row r="230" spans="2:16" ht="13.9" customHeight="1" outlineLevel="1" x14ac:dyDescent="0.25">
      <c r="B230" s="149"/>
      <c r="C230" s="150" t="s">
        <v>56</v>
      </c>
      <c r="D230" s="85">
        <v>5</v>
      </c>
      <c r="E230" s="86">
        <v>11874148.200000001</v>
      </c>
      <c r="F230" s="142">
        <f t="shared" si="22"/>
        <v>2381511.7999999998</v>
      </c>
      <c r="G230" s="113">
        <v>2381511.7999999998</v>
      </c>
      <c r="H230" s="86">
        <v>9492636.4000000004</v>
      </c>
      <c r="I230" s="113">
        <v>0</v>
      </c>
      <c r="J230" s="114">
        <f t="shared" si="23"/>
        <v>9492636.4000000004</v>
      </c>
      <c r="K230" s="113">
        <f t="shared" si="24"/>
        <v>1180732.6600000001</v>
      </c>
      <c r="L230" s="113">
        <v>1187414.82</v>
      </c>
      <c r="M230" s="113">
        <v>1187414.82</v>
      </c>
      <c r="N230" s="113">
        <v>1187414.82</v>
      </c>
      <c r="O230" s="113">
        <v>4749659.28</v>
      </c>
      <c r="P230" s="113">
        <v>0</v>
      </c>
    </row>
    <row r="231" spans="2:16" ht="13.9" customHeight="1" outlineLevel="1" x14ac:dyDescent="0.25">
      <c r="B231" s="149"/>
      <c r="C231" s="150" t="s">
        <v>57</v>
      </c>
      <c r="D231" s="85">
        <v>0</v>
      </c>
      <c r="E231" s="86">
        <v>0</v>
      </c>
      <c r="F231" s="142">
        <f t="shared" si="22"/>
        <v>0</v>
      </c>
      <c r="G231" s="113">
        <v>0</v>
      </c>
      <c r="H231" s="86">
        <v>0</v>
      </c>
      <c r="I231" s="113">
        <v>0</v>
      </c>
      <c r="J231" s="114">
        <f t="shared" si="23"/>
        <v>0</v>
      </c>
      <c r="K231" s="113">
        <f t="shared" si="24"/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</row>
    <row r="232" spans="2:16" ht="13.9" customHeight="1" outlineLevel="1" x14ac:dyDescent="0.25">
      <c r="B232" s="149"/>
      <c r="C232" s="150" t="s">
        <v>58</v>
      </c>
      <c r="D232" s="85">
        <v>7</v>
      </c>
      <c r="E232" s="86">
        <v>14545115.199999999</v>
      </c>
      <c r="F232" s="142">
        <f t="shared" si="22"/>
        <v>2931140.74</v>
      </c>
      <c r="G232" s="113">
        <v>2931140.74</v>
      </c>
      <c r="H232" s="86">
        <v>11613974.459999999</v>
      </c>
      <c r="I232" s="113">
        <v>0</v>
      </c>
      <c r="J232" s="114">
        <f t="shared" si="23"/>
        <v>11613974.459999999</v>
      </c>
      <c r="K232" s="113">
        <f t="shared" si="24"/>
        <v>1432393.7599999998</v>
      </c>
      <c r="L232" s="113">
        <v>1454511.54</v>
      </c>
      <c r="M232" s="113">
        <v>1454511.54</v>
      </c>
      <c r="N232" s="113">
        <v>7272557.6200000001</v>
      </c>
      <c r="O232" s="113">
        <v>0</v>
      </c>
      <c r="P232" s="113">
        <v>0</v>
      </c>
    </row>
    <row r="233" spans="2:16" ht="13.9" customHeight="1" outlineLevel="1" x14ac:dyDescent="0.25">
      <c r="B233" s="149"/>
      <c r="C233" s="150" t="s">
        <v>59</v>
      </c>
      <c r="D233" s="85">
        <v>9</v>
      </c>
      <c r="E233" s="86">
        <v>21299563.850000001</v>
      </c>
      <c r="F233" s="142">
        <f t="shared" si="22"/>
        <v>4263857.8599999994</v>
      </c>
      <c r="G233" s="113">
        <v>4263857.8599999994</v>
      </c>
      <c r="H233" s="86">
        <v>17035705.989999998</v>
      </c>
      <c r="I233" s="113">
        <v>0</v>
      </c>
      <c r="J233" s="114">
        <f t="shared" si="23"/>
        <v>17035705.989999998</v>
      </c>
      <c r="K233" s="113">
        <f t="shared" si="24"/>
        <v>2126011.2199999988</v>
      </c>
      <c r="L233" s="113">
        <v>2129956.4099999997</v>
      </c>
      <c r="M233" s="113">
        <v>2129956.4099999997</v>
      </c>
      <c r="N233" s="113">
        <v>10649781.950000001</v>
      </c>
      <c r="O233" s="113">
        <v>0</v>
      </c>
      <c r="P233" s="113">
        <v>0</v>
      </c>
    </row>
    <row r="234" spans="2:16" ht="13.9" customHeight="1" outlineLevel="1" x14ac:dyDescent="0.25">
      <c r="B234" s="149"/>
      <c r="C234" s="150" t="s">
        <v>60</v>
      </c>
      <c r="D234" s="85">
        <v>2</v>
      </c>
      <c r="E234" s="86">
        <v>8114766</v>
      </c>
      <c r="F234" s="142">
        <f t="shared" si="22"/>
        <v>1623100</v>
      </c>
      <c r="G234" s="113">
        <v>1623100</v>
      </c>
      <c r="H234" s="86">
        <v>6491666</v>
      </c>
      <c r="I234" s="113">
        <v>0</v>
      </c>
      <c r="J234" s="114">
        <f t="shared" si="23"/>
        <v>6491666</v>
      </c>
      <c r="K234" s="113">
        <f t="shared" si="24"/>
        <v>811329.80000000075</v>
      </c>
      <c r="L234" s="113">
        <v>811476.6</v>
      </c>
      <c r="M234" s="113">
        <v>1622953.2</v>
      </c>
      <c r="N234" s="113">
        <v>3245906.4</v>
      </c>
      <c r="O234" s="113">
        <v>0</v>
      </c>
      <c r="P234" s="113">
        <v>0</v>
      </c>
    </row>
    <row r="235" spans="2:16" ht="13.9" customHeight="1" outlineLevel="1" x14ac:dyDescent="0.25">
      <c r="B235" s="149"/>
      <c r="C235" s="150" t="s">
        <v>61</v>
      </c>
      <c r="D235" s="85">
        <v>0</v>
      </c>
      <c r="E235" s="86">
        <v>0</v>
      </c>
      <c r="F235" s="142">
        <f t="shared" si="22"/>
        <v>0</v>
      </c>
      <c r="G235" s="113">
        <v>0</v>
      </c>
      <c r="H235" s="86">
        <v>0</v>
      </c>
      <c r="I235" s="113">
        <v>0</v>
      </c>
      <c r="J235" s="114">
        <f t="shared" si="23"/>
        <v>0</v>
      </c>
      <c r="K235" s="113">
        <f t="shared" si="24"/>
        <v>0</v>
      </c>
      <c r="L235" s="113">
        <v>0</v>
      </c>
      <c r="M235" s="113">
        <v>0</v>
      </c>
      <c r="N235" s="113">
        <v>0</v>
      </c>
      <c r="O235" s="113">
        <v>0</v>
      </c>
      <c r="P235" s="113">
        <v>0</v>
      </c>
    </row>
    <row r="236" spans="2:16" ht="13.9" customHeight="1" outlineLevel="1" x14ac:dyDescent="0.25">
      <c r="B236" s="149"/>
      <c r="C236" s="150" t="s">
        <v>62</v>
      </c>
      <c r="D236" s="85">
        <v>0</v>
      </c>
      <c r="E236" s="86">
        <v>0</v>
      </c>
      <c r="F236" s="142">
        <f t="shared" si="22"/>
        <v>0</v>
      </c>
      <c r="G236" s="113">
        <v>0</v>
      </c>
      <c r="H236" s="86">
        <v>0</v>
      </c>
      <c r="I236" s="113">
        <v>0</v>
      </c>
      <c r="J236" s="114">
        <f t="shared" si="23"/>
        <v>0</v>
      </c>
      <c r="K236" s="113">
        <f t="shared" si="24"/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</row>
    <row r="237" spans="2:16" ht="13.9" customHeight="1" outlineLevel="1" x14ac:dyDescent="0.25">
      <c r="B237" s="149"/>
      <c r="C237" s="150" t="s">
        <v>63</v>
      </c>
      <c r="D237" s="85">
        <v>0</v>
      </c>
      <c r="E237" s="86">
        <v>0</v>
      </c>
      <c r="F237" s="142">
        <f t="shared" si="22"/>
        <v>0</v>
      </c>
      <c r="G237" s="113">
        <v>0</v>
      </c>
      <c r="H237" s="86">
        <v>0</v>
      </c>
      <c r="I237" s="113">
        <v>0</v>
      </c>
      <c r="J237" s="114">
        <f t="shared" si="23"/>
        <v>0</v>
      </c>
      <c r="K237" s="113">
        <f t="shared" si="24"/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</row>
    <row r="238" spans="2:16" ht="13.9" customHeight="1" outlineLevel="1" x14ac:dyDescent="0.25">
      <c r="B238" s="149"/>
      <c r="C238" s="150" t="s">
        <v>64</v>
      </c>
      <c r="D238" s="85">
        <v>0</v>
      </c>
      <c r="E238" s="86">
        <v>0</v>
      </c>
      <c r="F238" s="142">
        <f t="shared" si="22"/>
        <v>0</v>
      </c>
      <c r="G238" s="113">
        <v>0</v>
      </c>
      <c r="H238" s="86">
        <v>0</v>
      </c>
      <c r="I238" s="113">
        <v>0</v>
      </c>
      <c r="J238" s="114">
        <f t="shared" si="23"/>
        <v>0</v>
      </c>
      <c r="K238" s="113">
        <f t="shared" si="24"/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</row>
    <row r="239" spans="2:16" ht="13.9" customHeight="1" outlineLevel="1" x14ac:dyDescent="0.25">
      <c r="B239" s="149"/>
      <c r="C239" s="150" t="s">
        <v>65</v>
      </c>
      <c r="D239" s="85">
        <v>0</v>
      </c>
      <c r="E239" s="86">
        <v>0</v>
      </c>
      <c r="F239" s="142">
        <f t="shared" si="22"/>
        <v>0</v>
      </c>
      <c r="G239" s="113">
        <v>0</v>
      </c>
      <c r="H239" s="86">
        <v>0</v>
      </c>
      <c r="I239" s="113">
        <v>0</v>
      </c>
      <c r="J239" s="114">
        <f t="shared" si="23"/>
        <v>0</v>
      </c>
      <c r="K239" s="113">
        <f t="shared" si="24"/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</row>
    <row r="240" spans="2:16" ht="13.9" customHeight="1" outlineLevel="1" x14ac:dyDescent="0.25">
      <c r="B240" s="149"/>
      <c r="C240" s="150" t="s">
        <v>66</v>
      </c>
      <c r="D240" s="85">
        <v>0</v>
      </c>
      <c r="E240" s="86">
        <v>0</v>
      </c>
      <c r="F240" s="142">
        <f t="shared" si="22"/>
        <v>0</v>
      </c>
      <c r="G240" s="113">
        <v>0</v>
      </c>
      <c r="H240" s="86">
        <v>0</v>
      </c>
      <c r="I240" s="113">
        <v>0</v>
      </c>
      <c r="J240" s="114">
        <f t="shared" si="23"/>
        <v>0</v>
      </c>
      <c r="K240" s="113">
        <f t="shared" si="24"/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</row>
    <row r="241" spans="2:16" ht="13.9" customHeight="1" outlineLevel="1" x14ac:dyDescent="0.25">
      <c r="B241" s="149"/>
      <c r="C241" s="150" t="s">
        <v>67</v>
      </c>
      <c r="D241" s="85">
        <v>0</v>
      </c>
      <c r="E241" s="86">
        <v>0</v>
      </c>
      <c r="F241" s="142">
        <f t="shared" si="22"/>
        <v>0</v>
      </c>
      <c r="G241" s="113">
        <v>0</v>
      </c>
      <c r="H241" s="86">
        <v>0</v>
      </c>
      <c r="I241" s="113">
        <v>0</v>
      </c>
      <c r="J241" s="114">
        <f t="shared" si="23"/>
        <v>0</v>
      </c>
      <c r="K241" s="113">
        <f t="shared" si="24"/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</row>
    <row r="242" spans="2:16" ht="13.9" customHeight="1" x14ac:dyDescent="0.25">
      <c r="B242" s="149"/>
      <c r="C242" s="148" t="s">
        <v>103</v>
      </c>
      <c r="D242" s="90">
        <f>SUM(D205:D241)</f>
        <v>139</v>
      </c>
      <c r="E242" s="91">
        <f t="shared" ref="E242:P242" si="25">SUM(E205:E241)</f>
        <v>301130808.34999996</v>
      </c>
      <c r="F242" s="92">
        <f t="shared" si="25"/>
        <v>69472878.909999996</v>
      </c>
      <c r="G242" s="93">
        <f t="shared" si="25"/>
        <v>67183754.860000014</v>
      </c>
      <c r="H242" s="90">
        <f t="shared" si="25"/>
        <v>233947053.49000004</v>
      </c>
      <c r="I242" s="91">
        <f t="shared" si="25"/>
        <v>2289124.0499999998</v>
      </c>
      <c r="J242" s="92">
        <f t="shared" si="25"/>
        <v>231657929.44000003</v>
      </c>
      <c r="K242" s="93">
        <f t="shared" si="25"/>
        <v>35755058.810000017</v>
      </c>
      <c r="L242" s="90">
        <f t="shared" si="25"/>
        <v>61992566.980000004</v>
      </c>
      <c r="M242" s="91">
        <f t="shared" si="25"/>
        <v>47167205.120000005</v>
      </c>
      <c r="N242" s="90">
        <f t="shared" si="25"/>
        <v>62564538.309999987</v>
      </c>
      <c r="O242" s="91">
        <f t="shared" si="25"/>
        <v>17210752.030000001</v>
      </c>
      <c r="P242" s="91">
        <f t="shared" si="25"/>
        <v>6967808.1900000004</v>
      </c>
    </row>
    <row r="243" spans="2:16" ht="13.9" customHeight="1" outlineLevel="1" x14ac:dyDescent="0.25">
      <c r="B243" s="149" t="s">
        <v>83</v>
      </c>
      <c r="C243" s="150" t="s">
        <v>70</v>
      </c>
      <c r="D243" s="85">
        <v>14</v>
      </c>
      <c r="E243" s="86">
        <v>29673414.07</v>
      </c>
      <c r="F243" s="142">
        <f>G243+I243</f>
        <v>8755062.5099999998</v>
      </c>
      <c r="G243" s="113">
        <v>8114851.8799999999</v>
      </c>
      <c r="H243" s="86">
        <v>21558562.189999998</v>
      </c>
      <c r="I243" s="113">
        <v>640210.62999999989</v>
      </c>
      <c r="J243" s="114">
        <f>H243-I243</f>
        <v>20918351.559999999</v>
      </c>
      <c r="K243" s="113">
        <f>MAX(J243-SUM(L243:P243),0)</f>
        <v>3967594.9999999963</v>
      </c>
      <c r="L243" s="113">
        <v>7008622.3800000018</v>
      </c>
      <c r="M243" s="113">
        <v>5599395.6200000001</v>
      </c>
      <c r="N243" s="113">
        <v>4342738.5600000005</v>
      </c>
      <c r="O243" s="113">
        <v>0</v>
      </c>
      <c r="P243" s="113">
        <v>0</v>
      </c>
    </row>
    <row r="244" spans="2:16" ht="13.9" customHeight="1" outlineLevel="1" x14ac:dyDescent="0.25">
      <c r="B244" s="149"/>
      <c r="C244" s="150" t="s">
        <v>71</v>
      </c>
      <c r="D244" s="85">
        <v>0</v>
      </c>
      <c r="E244" s="86">
        <v>0</v>
      </c>
      <c r="F244" s="142">
        <f>G244+I244</f>
        <v>0</v>
      </c>
      <c r="G244" s="113">
        <v>0</v>
      </c>
      <c r="H244" s="86">
        <v>0</v>
      </c>
      <c r="I244" s="113">
        <v>0</v>
      </c>
      <c r="J244" s="114">
        <f>H244-I244</f>
        <v>0</v>
      </c>
      <c r="K244" s="113">
        <f>MAX(J244-SUM(L244:P244),0)</f>
        <v>0</v>
      </c>
      <c r="L244" s="113">
        <v>0</v>
      </c>
      <c r="M244" s="113">
        <v>0</v>
      </c>
      <c r="N244" s="113">
        <v>0</v>
      </c>
      <c r="O244" s="113">
        <v>0</v>
      </c>
      <c r="P244" s="113">
        <v>0</v>
      </c>
    </row>
    <row r="245" spans="2:16" ht="13.9" customHeight="1" outlineLevel="1" x14ac:dyDescent="0.25">
      <c r="B245" s="149"/>
      <c r="C245" s="150" t="s">
        <v>72</v>
      </c>
      <c r="D245" s="85">
        <v>31</v>
      </c>
      <c r="E245" s="86">
        <v>48407244.659999996</v>
      </c>
      <c r="F245" s="142">
        <f>G245+I245</f>
        <v>12167504.190000001</v>
      </c>
      <c r="G245" s="113">
        <v>11003456.080000002</v>
      </c>
      <c r="H245" s="86">
        <v>37403788.579999998</v>
      </c>
      <c r="I245" s="113">
        <v>1164048.1100000001</v>
      </c>
      <c r="J245" s="114">
        <f>H245-I245</f>
        <v>36239740.469999999</v>
      </c>
      <c r="K245" s="113">
        <f>MAX(J245-SUM(L245:P245),0)</f>
        <v>6534382.9699999988</v>
      </c>
      <c r="L245" s="113">
        <v>7298533.6000000006</v>
      </c>
      <c r="M245" s="113">
        <v>2715318.12</v>
      </c>
      <c r="N245" s="113">
        <v>19107535.68</v>
      </c>
      <c r="O245" s="113">
        <v>583970.1</v>
      </c>
      <c r="P245" s="113">
        <v>0</v>
      </c>
    </row>
    <row r="246" spans="2:16" ht="13.9" customHeight="1" x14ac:dyDescent="0.25">
      <c r="B246" s="149"/>
      <c r="C246" s="148" t="s">
        <v>104</v>
      </c>
      <c r="D246" s="90">
        <f>SUM(D243:D245)</f>
        <v>45</v>
      </c>
      <c r="E246" s="91">
        <f t="shared" ref="E246:P246" si="26">SUM(E243:E245)</f>
        <v>78080658.729999989</v>
      </c>
      <c r="F246" s="92">
        <f t="shared" si="26"/>
        <v>20922566.700000003</v>
      </c>
      <c r="G246" s="93">
        <f t="shared" si="26"/>
        <v>19118307.960000001</v>
      </c>
      <c r="H246" s="90">
        <f t="shared" si="26"/>
        <v>58962350.769999996</v>
      </c>
      <c r="I246" s="91">
        <f t="shared" si="26"/>
        <v>1804258.74</v>
      </c>
      <c r="J246" s="92">
        <f t="shared" si="26"/>
        <v>57158092.030000001</v>
      </c>
      <c r="K246" s="93">
        <f t="shared" si="26"/>
        <v>10501977.969999995</v>
      </c>
      <c r="L246" s="90">
        <f t="shared" si="26"/>
        <v>14307155.980000002</v>
      </c>
      <c r="M246" s="91">
        <f t="shared" si="26"/>
        <v>8314713.7400000002</v>
      </c>
      <c r="N246" s="90">
        <f t="shared" si="26"/>
        <v>23450274.240000002</v>
      </c>
      <c r="O246" s="91">
        <f t="shared" si="26"/>
        <v>583970.1</v>
      </c>
      <c r="P246" s="91">
        <f t="shared" si="26"/>
        <v>0</v>
      </c>
    </row>
    <row r="247" spans="2:16" ht="13.9" customHeight="1" outlineLevel="1" x14ac:dyDescent="0.25">
      <c r="B247" s="149" t="s">
        <v>105</v>
      </c>
      <c r="C247" s="150" t="s">
        <v>75</v>
      </c>
      <c r="D247" s="85">
        <v>0</v>
      </c>
      <c r="E247" s="86">
        <v>0</v>
      </c>
      <c r="F247" s="142">
        <f>G247+I247</f>
        <v>0</v>
      </c>
      <c r="G247" s="113">
        <v>0</v>
      </c>
      <c r="H247" s="86">
        <v>0</v>
      </c>
      <c r="I247" s="113">
        <v>0</v>
      </c>
      <c r="J247" s="114">
        <f>H247-I247</f>
        <v>0</v>
      </c>
      <c r="K247" s="113">
        <f>MAX(J247-SUM(L247:P247),0)</f>
        <v>0</v>
      </c>
      <c r="L247" s="113">
        <v>0</v>
      </c>
      <c r="M247" s="113">
        <v>0</v>
      </c>
      <c r="N247" s="113">
        <v>0</v>
      </c>
      <c r="O247" s="113">
        <v>0</v>
      </c>
      <c r="P247" s="113">
        <v>0</v>
      </c>
    </row>
    <row r="248" spans="2:16" ht="13.9" customHeight="1" outlineLevel="1" x14ac:dyDescent="0.25">
      <c r="B248" s="149"/>
      <c r="C248" s="150" t="s">
        <v>76</v>
      </c>
      <c r="D248" s="85">
        <v>14</v>
      </c>
      <c r="E248" s="86">
        <v>19451757.25</v>
      </c>
      <c r="F248" s="142">
        <f>G248+I248</f>
        <v>5138420.29</v>
      </c>
      <c r="G248" s="113">
        <v>4894576.3600000003</v>
      </c>
      <c r="H248" s="86">
        <v>14557180.889999999</v>
      </c>
      <c r="I248" s="113">
        <v>243843.93000000002</v>
      </c>
      <c r="J248" s="114">
        <f>H248-I248</f>
        <v>14313336.959999999</v>
      </c>
      <c r="K248" s="113">
        <f>MAX(J248-SUM(L248:P248),0)</f>
        <v>3189174.9300000016</v>
      </c>
      <c r="L248" s="113">
        <v>2878384.0599999991</v>
      </c>
      <c r="M248" s="113">
        <v>8245777.9699999988</v>
      </c>
      <c r="N248" s="113">
        <v>0</v>
      </c>
      <c r="O248" s="113">
        <v>0</v>
      </c>
      <c r="P248" s="113">
        <v>0</v>
      </c>
    </row>
    <row r="249" spans="2:16" ht="13.9" customHeight="1" x14ac:dyDescent="0.25">
      <c r="B249" s="149"/>
      <c r="C249" s="148" t="s">
        <v>106</v>
      </c>
      <c r="D249" s="90">
        <f>SUM(D247:D248)</f>
        <v>14</v>
      </c>
      <c r="E249" s="91">
        <f t="shared" ref="E249:P249" si="27">SUM(E247:E248)</f>
        <v>19451757.25</v>
      </c>
      <c r="F249" s="92">
        <f t="shared" si="27"/>
        <v>5138420.29</v>
      </c>
      <c r="G249" s="93">
        <f t="shared" si="27"/>
        <v>4894576.3600000003</v>
      </c>
      <c r="H249" s="90">
        <f t="shared" si="27"/>
        <v>14557180.889999999</v>
      </c>
      <c r="I249" s="91">
        <f t="shared" si="27"/>
        <v>243843.93000000002</v>
      </c>
      <c r="J249" s="92">
        <f t="shared" si="27"/>
        <v>14313336.959999999</v>
      </c>
      <c r="K249" s="93">
        <f t="shared" si="27"/>
        <v>3189174.9300000016</v>
      </c>
      <c r="L249" s="90">
        <f t="shared" si="27"/>
        <v>2878384.0599999991</v>
      </c>
      <c r="M249" s="91">
        <f t="shared" si="27"/>
        <v>8245777.9699999988</v>
      </c>
      <c r="N249" s="90">
        <f t="shared" si="27"/>
        <v>0</v>
      </c>
      <c r="O249" s="91">
        <f t="shared" si="27"/>
        <v>0</v>
      </c>
      <c r="P249" s="91">
        <f t="shared" si="27"/>
        <v>0</v>
      </c>
    </row>
    <row r="250" spans="2:16" ht="13.9" customHeight="1" x14ac:dyDescent="0.25">
      <c r="B250" s="155" t="s">
        <v>78</v>
      </c>
      <c r="C250" s="155"/>
      <c r="D250" s="90">
        <f>D242+D246+D249</f>
        <v>198</v>
      </c>
      <c r="E250" s="91">
        <f t="shared" ref="E250:P250" si="28">E242+E246+E249</f>
        <v>398663224.32999992</v>
      </c>
      <c r="F250" s="92">
        <f t="shared" si="28"/>
        <v>95533865.900000006</v>
      </c>
      <c r="G250" s="93">
        <f t="shared" si="28"/>
        <v>91196639.180000022</v>
      </c>
      <c r="H250" s="90">
        <f t="shared" si="28"/>
        <v>307466585.15000004</v>
      </c>
      <c r="I250" s="91">
        <f t="shared" si="28"/>
        <v>4337226.72</v>
      </c>
      <c r="J250" s="92">
        <f t="shared" si="28"/>
        <v>303129358.43000001</v>
      </c>
      <c r="K250" s="93">
        <f t="shared" si="28"/>
        <v>49446211.710000016</v>
      </c>
      <c r="L250" s="90">
        <f t="shared" si="28"/>
        <v>79178107.020000011</v>
      </c>
      <c r="M250" s="91">
        <f t="shared" si="28"/>
        <v>63727696.830000006</v>
      </c>
      <c r="N250" s="90">
        <f t="shared" si="28"/>
        <v>86014812.549999982</v>
      </c>
      <c r="O250" s="91">
        <f t="shared" si="28"/>
        <v>17794722.130000003</v>
      </c>
      <c r="P250" s="91">
        <f t="shared" si="28"/>
        <v>6967808.1900000004</v>
      </c>
    </row>
    <row r="251" spans="2:16" ht="13.9" customHeight="1" x14ac:dyDescent="0.25"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</row>
    <row r="252" spans="2:16" ht="13.9" customHeight="1" x14ac:dyDescent="0.25">
      <c r="B252" s="107" t="s">
        <v>90</v>
      </c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</row>
    <row r="253" spans="2:16" ht="13.9" customHeight="1" x14ac:dyDescent="0.25">
      <c r="B253" s="154" t="s">
        <v>26</v>
      </c>
      <c r="C253" s="148" t="s">
        <v>27</v>
      </c>
      <c r="D253" s="109" t="s">
        <v>28</v>
      </c>
      <c r="E253" s="110" t="s">
        <v>29</v>
      </c>
      <c r="F253" s="111" t="s">
        <v>85</v>
      </c>
      <c r="G253" s="112" t="s">
        <v>81</v>
      </c>
      <c r="H253" s="110" t="s">
        <v>82</v>
      </c>
      <c r="I253" s="112" t="s">
        <v>86</v>
      </c>
      <c r="J253" s="110" t="s">
        <v>87</v>
      </c>
      <c r="K253" s="112">
        <v>2026</v>
      </c>
      <c r="L253" s="112">
        <v>2027</v>
      </c>
      <c r="M253" s="110">
        <v>2028</v>
      </c>
      <c r="N253" s="112">
        <v>2029</v>
      </c>
      <c r="O253" s="110">
        <v>2030</v>
      </c>
      <c r="P253" s="112">
        <v>2031</v>
      </c>
    </row>
    <row r="254" spans="2:16" ht="13.9" customHeight="1" outlineLevel="1" x14ac:dyDescent="0.25">
      <c r="B254" s="149" t="s">
        <v>30</v>
      </c>
      <c r="C254" s="150" t="s">
        <v>31</v>
      </c>
      <c r="D254" s="85">
        <v>0</v>
      </c>
      <c r="E254" s="86">
        <v>0</v>
      </c>
      <c r="F254" s="142">
        <f t="shared" ref="F254:F297" si="29">G254+I254</f>
        <v>0</v>
      </c>
      <c r="G254" s="113">
        <v>0</v>
      </c>
      <c r="H254" s="86">
        <v>0</v>
      </c>
      <c r="I254" s="113">
        <v>0</v>
      </c>
      <c r="J254" s="114">
        <f t="shared" ref="J254:J297" si="30">H254-I254</f>
        <v>0</v>
      </c>
      <c r="K254" s="113">
        <f t="shared" ref="K254:K297" si="31">MAX(J254-SUM(L254:P254),0)</f>
        <v>0</v>
      </c>
      <c r="L254" s="113">
        <v>0</v>
      </c>
      <c r="M254" s="113">
        <v>0</v>
      </c>
      <c r="N254" s="113">
        <v>0</v>
      </c>
      <c r="O254" s="113">
        <v>0</v>
      </c>
      <c r="P254" s="113">
        <v>0</v>
      </c>
    </row>
    <row r="255" spans="2:16" ht="13.9" customHeight="1" outlineLevel="1" x14ac:dyDescent="0.25">
      <c r="B255" s="149"/>
      <c r="C255" s="150" t="s">
        <v>32</v>
      </c>
      <c r="D255" s="85">
        <v>0</v>
      </c>
      <c r="E255" s="86">
        <v>0</v>
      </c>
      <c r="F255" s="142">
        <f t="shared" si="29"/>
        <v>0</v>
      </c>
      <c r="G255" s="113">
        <v>0</v>
      </c>
      <c r="H255" s="86">
        <v>0</v>
      </c>
      <c r="I255" s="113">
        <v>0</v>
      </c>
      <c r="J255" s="114">
        <f t="shared" si="30"/>
        <v>0</v>
      </c>
      <c r="K255" s="113">
        <f t="shared" si="31"/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</row>
    <row r="256" spans="2:16" ht="13.9" customHeight="1" outlineLevel="1" x14ac:dyDescent="0.25">
      <c r="B256" s="149"/>
      <c r="C256" s="150" t="s">
        <v>33</v>
      </c>
      <c r="D256" s="85">
        <v>0</v>
      </c>
      <c r="E256" s="86">
        <v>0</v>
      </c>
      <c r="F256" s="142">
        <f t="shared" si="29"/>
        <v>0</v>
      </c>
      <c r="G256" s="113">
        <v>0</v>
      </c>
      <c r="H256" s="86">
        <v>0</v>
      </c>
      <c r="I256" s="113">
        <v>0</v>
      </c>
      <c r="J256" s="114">
        <f t="shared" si="30"/>
        <v>0</v>
      </c>
      <c r="K256" s="113">
        <f t="shared" si="31"/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</row>
    <row r="257" spans="2:16" ht="13.9" customHeight="1" outlineLevel="1" x14ac:dyDescent="0.25">
      <c r="B257" s="149"/>
      <c r="C257" s="150" t="s">
        <v>34</v>
      </c>
      <c r="D257" s="85">
        <v>0</v>
      </c>
      <c r="E257" s="86">
        <v>0</v>
      </c>
      <c r="F257" s="142">
        <f t="shared" si="29"/>
        <v>0</v>
      </c>
      <c r="G257" s="113">
        <v>0</v>
      </c>
      <c r="H257" s="86">
        <v>0</v>
      </c>
      <c r="I257" s="113">
        <v>0</v>
      </c>
      <c r="J257" s="114">
        <f t="shared" si="30"/>
        <v>0</v>
      </c>
      <c r="K257" s="113">
        <f t="shared" si="31"/>
        <v>0</v>
      </c>
      <c r="L257" s="113">
        <v>0</v>
      </c>
      <c r="M257" s="113">
        <v>0</v>
      </c>
      <c r="N257" s="113">
        <v>0</v>
      </c>
      <c r="O257" s="113">
        <v>0</v>
      </c>
      <c r="P257" s="113">
        <v>0</v>
      </c>
    </row>
    <row r="258" spans="2:16" ht="13.9" customHeight="1" outlineLevel="1" x14ac:dyDescent="0.25">
      <c r="B258" s="149"/>
      <c r="C258" s="150" t="s">
        <v>35</v>
      </c>
      <c r="D258" s="85">
        <v>0</v>
      </c>
      <c r="E258" s="86">
        <v>0</v>
      </c>
      <c r="F258" s="142">
        <f t="shared" si="29"/>
        <v>0</v>
      </c>
      <c r="G258" s="113">
        <v>0</v>
      </c>
      <c r="H258" s="86">
        <v>0</v>
      </c>
      <c r="I258" s="113">
        <v>0</v>
      </c>
      <c r="J258" s="114">
        <f t="shared" si="30"/>
        <v>0</v>
      </c>
      <c r="K258" s="113">
        <f t="shared" si="31"/>
        <v>0</v>
      </c>
      <c r="L258" s="113">
        <v>0</v>
      </c>
      <c r="M258" s="113">
        <v>0</v>
      </c>
      <c r="N258" s="113">
        <v>0</v>
      </c>
      <c r="O258" s="113">
        <v>0</v>
      </c>
      <c r="P258" s="113">
        <v>0</v>
      </c>
    </row>
    <row r="259" spans="2:16" ht="13.9" customHeight="1" outlineLevel="1" x14ac:dyDescent="0.25">
      <c r="B259" s="149"/>
      <c r="C259" s="150" t="s">
        <v>36</v>
      </c>
      <c r="D259" s="85">
        <v>0</v>
      </c>
      <c r="E259" s="86">
        <v>0</v>
      </c>
      <c r="F259" s="142">
        <f t="shared" si="29"/>
        <v>0</v>
      </c>
      <c r="G259" s="113">
        <v>0</v>
      </c>
      <c r="H259" s="86">
        <v>0</v>
      </c>
      <c r="I259" s="113">
        <v>0</v>
      </c>
      <c r="J259" s="114">
        <f t="shared" si="30"/>
        <v>0</v>
      </c>
      <c r="K259" s="113">
        <f t="shared" si="31"/>
        <v>0</v>
      </c>
      <c r="L259" s="113">
        <v>0</v>
      </c>
      <c r="M259" s="113">
        <v>0</v>
      </c>
      <c r="N259" s="113">
        <v>0</v>
      </c>
      <c r="O259" s="113">
        <v>0</v>
      </c>
      <c r="P259" s="113">
        <v>0</v>
      </c>
    </row>
    <row r="260" spans="2:16" ht="13.9" customHeight="1" outlineLevel="1" x14ac:dyDescent="0.25">
      <c r="B260" s="149"/>
      <c r="C260" s="150" t="s">
        <v>37</v>
      </c>
      <c r="D260" s="85">
        <v>0</v>
      </c>
      <c r="E260" s="86">
        <v>0</v>
      </c>
      <c r="F260" s="142">
        <f t="shared" si="29"/>
        <v>0</v>
      </c>
      <c r="G260" s="113">
        <v>0</v>
      </c>
      <c r="H260" s="86">
        <v>0</v>
      </c>
      <c r="I260" s="113">
        <v>0</v>
      </c>
      <c r="J260" s="114">
        <f t="shared" si="30"/>
        <v>0</v>
      </c>
      <c r="K260" s="113">
        <f t="shared" si="31"/>
        <v>0</v>
      </c>
      <c r="L260" s="113">
        <v>0</v>
      </c>
      <c r="M260" s="113">
        <v>0</v>
      </c>
      <c r="N260" s="113">
        <v>0</v>
      </c>
      <c r="O260" s="113">
        <v>0</v>
      </c>
      <c r="P260" s="113">
        <v>0</v>
      </c>
    </row>
    <row r="261" spans="2:16" ht="13.9" customHeight="1" outlineLevel="1" x14ac:dyDescent="0.25">
      <c r="B261" s="149"/>
      <c r="C261" s="150" t="s">
        <v>38</v>
      </c>
      <c r="D261" s="85">
        <v>0</v>
      </c>
      <c r="E261" s="86">
        <v>0</v>
      </c>
      <c r="F261" s="142">
        <f t="shared" si="29"/>
        <v>0</v>
      </c>
      <c r="G261" s="113">
        <v>0</v>
      </c>
      <c r="H261" s="86">
        <v>0</v>
      </c>
      <c r="I261" s="113">
        <v>0</v>
      </c>
      <c r="J261" s="114">
        <f t="shared" si="30"/>
        <v>0</v>
      </c>
      <c r="K261" s="113">
        <f t="shared" si="31"/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</row>
    <row r="262" spans="2:16" ht="13.9" customHeight="1" outlineLevel="1" x14ac:dyDescent="0.25">
      <c r="B262" s="149"/>
      <c r="C262" s="150" t="s">
        <v>39</v>
      </c>
      <c r="D262" s="85">
        <v>0</v>
      </c>
      <c r="E262" s="86">
        <v>0</v>
      </c>
      <c r="F262" s="142">
        <f t="shared" si="29"/>
        <v>0</v>
      </c>
      <c r="G262" s="113">
        <v>0</v>
      </c>
      <c r="H262" s="86">
        <v>0</v>
      </c>
      <c r="I262" s="113">
        <v>0</v>
      </c>
      <c r="J262" s="114">
        <f t="shared" si="30"/>
        <v>0</v>
      </c>
      <c r="K262" s="113">
        <f t="shared" si="31"/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</row>
    <row r="263" spans="2:16" ht="13.9" customHeight="1" outlineLevel="1" x14ac:dyDescent="0.25">
      <c r="B263" s="149"/>
      <c r="C263" s="150" t="s">
        <v>40</v>
      </c>
      <c r="D263" s="85">
        <v>0</v>
      </c>
      <c r="E263" s="86">
        <v>0</v>
      </c>
      <c r="F263" s="142">
        <f t="shared" si="29"/>
        <v>0</v>
      </c>
      <c r="G263" s="113">
        <v>0</v>
      </c>
      <c r="H263" s="86">
        <v>0</v>
      </c>
      <c r="I263" s="113">
        <v>0</v>
      </c>
      <c r="J263" s="114">
        <f t="shared" si="30"/>
        <v>0</v>
      </c>
      <c r="K263" s="113">
        <f t="shared" si="31"/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</row>
    <row r="264" spans="2:16" ht="13.9" customHeight="1" outlineLevel="1" x14ac:dyDescent="0.25">
      <c r="B264" s="149"/>
      <c r="C264" s="150" t="s">
        <v>41</v>
      </c>
      <c r="D264" s="85">
        <v>0</v>
      </c>
      <c r="E264" s="86">
        <v>0</v>
      </c>
      <c r="F264" s="142">
        <f t="shared" si="29"/>
        <v>0</v>
      </c>
      <c r="G264" s="113">
        <v>0</v>
      </c>
      <c r="H264" s="86">
        <v>0</v>
      </c>
      <c r="I264" s="113">
        <v>0</v>
      </c>
      <c r="J264" s="114">
        <f t="shared" si="30"/>
        <v>0</v>
      </c>
      <c r="K264" s="113">
        <f t="shared" si="31"/>
        <v>0</v>
      </c>
      <c r="L264" s="113">
        <v>0</v>
      </c>
      <c r="M264" s="113">
        <v>0</v>
      </c>
      <c r="N264" s="113">
        <v>0</v>
      </c>
      <c r="O264" s="113">
        <v>0</v>
      </c>
      <c r="P264" s="113">
        <v>0</v>
      </c>
    </row>
    <row r="265" spans="2:16" ht="13.9" customHeight="1" outlineLevel="1" x14ac:dyDescent="0.25">
      <c r="B265" s="149"/>
      <c r="C265" s="150" t="s">
        <v>42</v>
      </c>
      <c r="D265" s="85">
        <v>34</v>
      </c>
      <c r="E265" s="86">
        <v>67328685.450000018</v>
      </c>
      <c r="F265" s="142">
        <f t="shared" si="29"/>
        <v>27235208.399999999</v>
      </c>
      <c r="G265" s="113">
        <v>22987922.27</v>
      </c>
      <c r="H265" s="86">
        <v>44340763.180000015</v>
      </c>
      <c r="I265" s="113">
        <v>4247286.13</v>
      </c>
      <c r="J265" s="114">
        <f t="shared" si="30"/>
        <v>40093477.050000012</v>
      </c>
      <c r="K265" s="113">
        <f t="shared" si="31"/>
        <v>6965589.6200000122</v>
      </c>
      <c r="L265" s="113">
        <v>33127887.43</v>
      </c>
      <c r="M265" s="113">
        <v>0</v>
      </c>
      <c r="N265" s="113">
        <v>0</v>
      </c>
      <c r="O265" s="113">
        <v>0</v>
      </c>
      <c r="P265" s="113">
        <v>0</v>
      </c>
    </row>
    <row r="266" spans="2:16" ht="13.9" customHeight="1" outlineLevel="1" x14ac:dyDescent="0.25">
      <c r="B266" s="149"/>
      <c r="C266" s="150" t="s">
        <v>43</v>
      </c>
      <c r="D266" s="85">
        <v>0</v>
      </c>
      <c r="E266" s="86">
        <v>0</v>
      </c>
      <c r="F266" s="142">
        <f t="shared" si="29"/>
        <v>0</v>
      </c>
      <c r="G266" s="113">
        <v>0</v>
      </c>
      <c r="H266" s="86">
        <v>0</v>
      </c>
      <c r="I266" s="113">
        <v>0</v>
      </c>
      <c r="J266" s="114">
        <f t="shared" si="30"/>
        <v>0</v>
      </c>
      <c r="K266" s="113">
        <f t="shared" si="31"/>
        <v>0</v>
      </c>
      <c r="L266" s="113">
        <v>0</v>
      </c>
      <c r="M266" s="113">
        <v>0</v>
      </c>
      <c r="N266" s="113">
        <v>0</v>
      </c>
      <c r="O266" s="113">
        <v>0</v>
      </c>
      <c r="P266" s="113">
        <v>0</v>
      </c>
    </row>
    <row r="267" spans="2:16" ht="13.9" customHeight="1" outlineLevel="1" x14ac:dyDescent="0.25">
      <c r="B267" s="149"/>
      <c r="C267" s="150" t="s">
        <v>44</v>
      </c>
      <c r="D267" s="85">
        <v>16</v>
      </c>
      <c r="E267" s="86">
        <v>40615388.5</v>
      </c>
      <c r="F267" s="142">
        <f t="shared" si="29"/>
        <v>12413884.690000001</v>
      </c>
      <c r="G267" s="113">
        <v>12413884.690000001</v>
      </c>
      <c r="H267" s="86">
        <v>28201503.810000002</v>
      </c>
      <c r="I267" s="113">
        <v>0</v>
      </c>
      <c r="J267" s="114">
        <f t="shared" si="30"/>
        <v>28201503.810000002</v>
      </c>
      <c r="K267" s="113">
        <f t="shared" si="31"/>
        <v>4686488.820000004</v>
      </c>
      <c r="L267" s="113">
        <v>6134786.5399999991</v>
      </c>
      <c r="M267" s="113">
        <v>17380228.449999999</v>
      </c>
      <c r="N267" s="113">
        <v>0</v>
      </c>
      <c r="O267" s="113">
        <v>0</v>
      </c>
      <c r="P267" s="113">
        <v>0</v>
      </c>
    </row>
    <row r="268" spans="2:16" ht="13.9" customHeight="1" outlineLevel="1" x14ac:dyDescent="0.25">
      <c r="B268" s="149"/>
      <c r="C268" s="150" t="s">
        <v>45</v>
      </c>
      <c r="D268" s="85">
        <v>18</v>
      </c>
      <c r="E268" s="86">
        <v>37787029.450000003</v>
      </c>
      <c r="F268" s="142">
        <f t="shared" si="29"/>
        <v>11812490.130000001</v>
      </c>
      <c r="G268" s="113">
        <v>11812490.130000001</v>
      </c>
      <c r="H268" s="86">
        <v>25974539.319999997</v>
      </c>
      <c r="I268" s="113">
        <v>0</v>
      </c>
      <c r="J268" s="114">
        <f t="shared" si="30"/>
        <v>25974539.319999997</v>
      </c>
      <c r="K268" s="113">
        <f t="shared" si="31"/>
        <v>1841619.9599999972</v>
      </c>
      <c r="L268" s="113">
        <v>3347131.7899999991</v>
      </c>
      <c r="M268" s="113">
        <v>5304002.0499999989</v>
      </c>
      <c r="N268" s="113">
        <v>15481785.52</v>
      </c>
      <c r="O268" s="113">
        <v>0</v>
      </c>
      <c r="P268" s="113">
        <v>0</v>
      </c>
    </row>
    <row r="269" spans="2:16" ht="13.9" customHeight="1" outlineLevel="1" x14ac:dyDescent="0.25">
      <c r="B269" s="149"/>
      <c r="C269" s="150" t="s">
        <v>46</v>
      </c>
      <c r="D269" s="85">
        <v>0</v>
      </c>
      <c r="E269" s="86">
        <v>0</v>
      </c>
      <c r="F269" s="142">
        <f t="shared" si="29"/>
        <v>0</v>
      </c>
      <c r="G269" s="113">
        <v>0</v>
      </c>
      <c r="H269" s="86">
        <v>0</v>
      </c>
      <c r="I269" s="113">
        <v>0</v>
      </c>
      <c r="J269" s="114">
        <f t="shared" si="30"/>
        <v>0</v>
      </c>
      <c r="K269" s="113">
        <f t="shared" si="31"/>
        <v>0</v>
      </c>
      <c r="L269" s="113">
        <v>0</v>
      </c>
      <c r="M269" s="113">
        <v>0</v>
      </c>
      <c r="N269" s="113">
        <v>0</v>
      </c>
      <c r="O269" s="113">
        <v>0</v>
      </c>
      <c r="P269" s="113">
        <v>0</v>
      </c>
    </row>
    <row r="270" spans="2:16" ht="13.9" customHeight="1" outlineLevel="1" x14ac:dyDescent="0.25">
      <c r="B270" s="149"/>
      <c r="C270" s="150" t="s">
        <v>47</v>
      </c>
      <c r="D270" s="85">
        <v>7</v>
      </c>
      <c r="E270" s="86">
        <v>14442528.449999999</v>
      </c>
      <c r="F270" s="142">
        <f t="shared" si="29"/>
        <v>6327789.2199999997</v>
      </c>
      <c r="G270" s="113">
        <v>4494049.59</v>
      </c>
      <c r="H270" s="86">
        <v>9948478.8599999994</v>
      </c>
      <c r="I270" s="113">
        <v>1833739.63</v>
      </c>
      <c r="J270" s="114">
        <f t="shared" si="30"/>
        <v>8114739.2299999995</v>
      </c>
      <c r="K270" s="113">
        <f t="shared" si="31"/>
        <v>8114739.2299999995</v>
      </c>
      <c r="L270" s="113">
        <v>0</v>
      </c>
      <c r="M270" s="113">
        <v>0</v>
      </c>
      <c r="N270" s="113">
        <v>0</v>
      </c>
      <c r="O270" s="113">
        <v>0</v>
      </c>
      <c r="P270" s="113">
        <v>0</v>
      </c>
    </row>
    <row r="271" spans="2:16" ht="13.9" customHeight="1" outlineLevel="1" x14ac:dyDescent="0.25">
      <c r="B271" s="149"/>
      <c r="C271" s="150" t="s">
        <v>48</v>
      </c>
      <c r="D271" s="85">
        <v>20</v>
      </c>
      <c r="E271" s="86">
        <v>28561002.25</v>
      </c>
      <c r="F271" s="142">
        <f t="shared" si="29"/>
        <v>9857271.6600000001</v>
      </c>
      <c r="G271" s="113">
        <v>9511493.1199999992</v>
      </c>
      <c r="H271" s="86">
        <v>19049509.129999999</v>
      </c>
      <c r="I271" s="113">
        <v>345778.54000000004</v>
      </c>
      <c r="J271" s="114">
        <f t="shared" si="30"/>
        <v>18703730.59</v>
      </c>
      <c r="K271" s="113">
        <f t="shared" si="31"/>
        <v>2984510.42</v>
      </c>
      <c r="L271" s="113">
        <v>15719220.17</v>
      </c>
      <c r="M271" s="113">
        <v>0</v>
      </c>
      <c r="N271" s="113">
        <v>0</v>
      </c>
      <c r="O271" s="113">
        <v>0</v>
      </c>
      <c r="P271" s="113">
        <v>0</v>
      </c>
    </row>
    <row r="272" spans="2:16" ht="13.9" customHeight="1" outlineLevel="1" x14ac:dyDescent="0.25">
      <c r="B272" s="149"/>
      <c r="C272" s="150" t="s">
        <v>49</v>
      </c>
      <c r="D272" s="85">
        <v>0</v>
      </c>
      <c r="E272" s="86">
        <v>0</v>
      </c>
      <c r="F272" s="142">
        <f t="shared" si="29"/>
        <v>0</v>
      </c>
      <c r="G272" s="113">
        <v>0</v>
      </c>
      <c r="H272" s="86">
        <v>0</v>
      </c>
      <c r="I272" s="113">
        <v>0</v>
      </c>
      <c r="J272" s="114">
        <f t="shared" si="30"/>
        <v>0</v>
      </c>
      <c r="K272" s="113">
        <f t="shared" si="31"/>
        <v>0</v>
      </c>
      <c r="L272" s="113">
        <v>0</v>
      </c>
      <c r="M272" s="113">
        <v>0</v>
      </c>
      <c r="N272" s="113">
        <v>0</v>
      </c>
      <c r="O272" s="113">
        <v>0</v>
      </c>
      <c r="P272" s="113">
        <v>0</v>
      </c>
    </row>
    <row r="273" spans="2:16" ht="13.9" customHeight="1" outlineLevel="1" x14ac:dyDescent="0.25">
      <c r="B273" s="149"/>
      <c r="C273" s="150" t="s">
        <v>50</v>
      </c>
      <c r="D273" s="85">
        <v>0</v>
      </c>
      <c r="E273" s="86">
        <v>0</v>
      </c>
      <c r="F273" s="142">
        <f t="shared" si="29"/>
        <v>0</v>
      </c>
      <c r="G273" s="113">
        <v>0</v>
      </c>
      <c r="H273" s="86">
        <v>0</v>
      </c>
      <c r="I273" s="113">
        <v>0</v>
      </c>
      <c r="J273" s="114">
        <f t="shared" si="30"/>
        <v>0</v>
      </c>
      <c r="K273" s="113">
        <f t="shared" si="31"/>
        <v>0</v>
      </c>
      <c r="L273" s="113">
        <v>0</v>
      </c>
      <c r="M273" s="113">
        <v>0</v>
      </c>
      <c r="N273" s="113">
        <v>0</v>
      </c>
      <c r="O273" s="113">
        <v>0</v>
      </c>
      <c r="P273" s="113">
        <v>0</v>
      </c>
    </row>
    <row r="274" spans="2:16" ht="13.9" customHeight="1" outlineLevel="1" x14ac:dyDescent="0.25">
      <c r="B274" s="149"/>
      <c r="C274" s="150" t="s">
        <v>51</v>
      </c>
      <c r="D274" s="85">
        <v>22</v>
      </c>
      <c r="E274" s="86">
        <v>28148505.600000005</v>
      </c>
      <c r="F274" s="142">
        <f t="shared" si="29"/>
        <v>8950576.3199999984</v>
      </c>
      <c r="G274" s="113">
        <v>8690200.4899999984</v>
      </c>
      <c r="H274" s="86">
        <v>19458305.109999999</v>
      </c>
      <c r="I274" s="113">
        <v>260375.83000000002</v>
      </c>
      <c r="J274" s="114">
        <f t="shared" si="30"/>
        <v>19197929.280000001</v>
      </c>
      <c r="K274" s="113">
        <f t="shared" si="31"/>
        <v>2807247.3600000013</v>
      </c>
      <c r="L274" s="113">
        <v>16390681.92</v>
      </c>
      <c r="M274" s="113">
        <v>0</v>
      </c>
      <c r="N274" s="113">
        <v>0</v>
      </c>
      <c r="O274" s="113">
        <v>0</v>
      </c>
      <c r="P274" s="113">
        <v>0</v>
      </c>
    </row>
    <row r="275" spans="2:16" ht="13.9" customHeight="1" outlineLevel="1" x14ac:dyDescent="0.25">
      <c r="B275" s="149"/>
      <c r="C275" s="150" t="s">
        <v>52</v>
      </c>
      <c r="D275" s="85">
        <v>0</v>
      </c>
      <c r="E275" s="86">
        <v>0</v>
      </c>
      <c r="F275" s="142">
        <f t="shared" si="29"/>
        <v>0</v>
      </c>
      <c r="G275" s="113">
        <v>0</v>
      </c>
      <c r="H275" s="86">
        <v>0</v>
      </c>
      <c r="I275" s="113">
        <v>0</v>
      </c>
      <c r="J275" s="114">
        <f t="shared" si="30"/>
        <v>0</v>
      </c>
      <c r="K275" s="113">
        <f t="shared" si="31"/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</row>
    <row r="276" spans="2:16" ht="13.9" customHeight="1" outlineLevel="1" x14ac:dyDescent="0.25">
      <c r="B276" s="149"/>
      <c r="C276" s="150" t="s">
        <v>53</v>
      </c>
      <c r="D276" s="85">
        <v>4</v>
      </c>
      <c r="E276" s="86">
        <v>13158494.75</v>
      </c>
      <c r="F276" s="142">
        <f t="shared" si="29"/>
        <v>3949533.65</v>
      </c>
      <c r="G276" s="113">
        <v>3949533.65</v>
      </c>
      <c r="H276" s="86">
        <v>9208961.0999999996</v>
      </c>
      <c r="I276" s="113">
        <v>0</v>
      </c>
      <c r="J276" s="114">
        <f t="shared" si="30"/>
        <v>9208961.0999999996</v>
      </c>
      <c r="K276" s="113">
        <f t="shared" si="31"/>
        <v>1313864.2399999993</v>
      </c>
      <c r="L276" s="113">
        <v>2631698.96</v>
      </c>
      <c r="M276" s="113">
        <v>5263397.9000000004</v>
      </c>
      <c r="N276" s="113">
        <v>0</v>
      </c>
      <c r="O276" s="113">
        <v>0</v>
      </c>
      <c r="P276" s="113">
        <v>0</v>
      </c>
    </row>
    <row r="277" spans="2:16" ht="13.9" customHeight="1" outlineLevel="1" x14ac:dyDescent="0.25">
      <c r="B277" s="149"/>
      <c r="C277" s="150" t="s">
        <v>54</v>
      </c>
      <c r="D277" s="85">
        <v>2</v>
      </c>
      <c r="E277" s="86">
        <v>3156899.5</v>
      </c>
      <c r="F277" s="142">
        <f t="shared" si="29"/>
        <v>969056.44</v>
      </c>
      <c r="G277" s="113">
        <v>969056.44</v>
      </c>
      <c r="H277" s="86">
        <v>2187843.06</v>
      </c>
      <c r="I277" s="113">
        <v>0</v>
      </c>
      <c r="J277" s="114">
        <f t="shared" si="30"/>
        <v>2187843.06</v>
      </c>
      <c r="K277" s="113">
        <f t="shared" si="31"/>
        <v>0</v>
      </c>
      <c r="L277" s="113">
        <v>293703.36</v>
      </c>
      <c r="M277" s="113">
        <v>631379.9</v>
      </c>
      <c r="N277" s="113">
        <v>1262759.8</v>
      </c>
      <c r="O277" s="113">
        <v>0</v>
      </c>
      <c r="P277" s="113">
        <v>0</v>
      </c>
    </row>
    <row r="278" spans="2:16" ht="13.9" customHeight="1" outlineLevel="1" x14ac:dyDescent="0.25">
      <c r="B278" s="149"/>
      <c r="C278" s="150" t="s">
        <v>55</v>
      </c>
      <c r="D278" s="85">
        <v>0</v>
      </c>
      <c r="E278" s="86">
        <v>0</v>
      </c>
      <c r="F278" s="142">
        <f t="shared" si="29"/>
        <v>0</v>
      </c>
      <c r="G278" s="113">
        <v>0</v>
      </c>
      <c r="H278" s="86">
        <v>0</v>
      </c>
      <c r="I278" s="113">
        <v>0</v>
      </c>
      <c r="J278" s="114">
        <f t="shared" si="30"/>
        <v>0</v>
      </c>
      <c r="K278" s="113">
        <f t="shared" si="31"/>
        <v>0</v>
      </c>
      <c r="L278" s="113">
        <v>0</v>
      </c>
      <c r="M278" s="113">
        <v>0</v>
      </c>
      <c r="N278" s="113">
        <v>0</v>
      </c>
      <c r="O278" s="113">
        <v>0</v>
      </c>
      <c r="P278" s="113">
        <v>0</v>
      </c>
    </row>
    <row r="279" spans="2:16" ht="13.9" customHeight="1" outlineLevel="1" x14ac:dyDescent="0.25">
      <c r="B279" s="149"/>
      <c r="C279" s="150" t="s">
        <v>56</v>
      </c>
      <c r="D279" s="85">
        <v>0</v>
      </c>
      <c r="E279" s="86">
        <v>0</v>
      </c>
      <c r="F279" s="142">
        <f t="shared" si="29"/>
        <v>0</v>
      </c>
      <c r="G279" s="113">
        <v>0</v>
      </c>
      <c r="H279" s="86">
        <v>0</v>
      </c>
      <c r="I279" s="113">
        <v>0</v>
      </c>
      <c r="J279" s="114">
        <f t="shared" si="30"/>
        <v>0</v>
      </c>
      <c r="K279" s="113">
        <f t="shared" si="31"/>
        <v>0</v>
      </c>
      <c r="L279" s="113">
        <v>0</v>
      </c>
      <c r="M279" s="113">
        <v>0</v>
      </c>
      <c r="N279" s="113">
        <v>0</v>
      </c>
      <c r="O279" s="113">
        <v>0</v>
      </c>
      <c r="P279" s="113">
        <v>0</v>
      </c>
    </row>
    <row r="280" spans="2:16" ht="13.9" customHeight="1" outlineLevel="1" x14ac:dyDescent="0.25">
      <c r="B280" s="149"/>
      <c r="C280" s="150" t="s">
        <v>57</v>
      </c>
      <c r="D280" s="85">
        <v>0</v>
      </c>
      <c r="E280" s="86">
        <v>0</v>
      </c>
      <c r="F280" s="142">
        <f t="shared" si="29"/>
        <v>0</v>
      </c>
      <c r="G280" s="113">
        <v>0</v>
      </c>
      <c r="H280" s="86">
        <v>0</v>
      </c>
      <c r="I280" s="113">
        <v>0</v>
      </c>
      <c r="J280" s="114">
        <f t="shared" si="30"/>
        <v>0</v>
      </c>
      <c r="K280" s="113">
        <f t="shared" si="31"/>
        <v>0</v>
      </c>
      <c r="L280" s="113">
        <v>0</v>
      </c>
      <c r="M280" s="113">
        <v>0</v>
      </c>
      <c r="N280" s="113">
        <v>0</v>
      </c>
      <c r="O280" s="113">
        <v>0</v>
      </c>
      <c r="P280" s="113">
        <v>0</v>
      </c>
    </row>
    <row r="281" spans="2:16" ht="13.9" customHeight="1" outlineLevel="1" x14ac:dyDescent="0.25">
      <c r="B281" s="149"/>
      <c r="C281" s="150" t="s">
        <v>58</v>
      </c>
      <c r="D281" s="85">
        <v>1</v>
      </c>
      <c r="E281" s="86">
        <v>2557012.5</v>
      </c>
      <c r="F281" s="142">
        <f t="shared" si="29"/>
        <v>774801</v>
      </c>
      <c r="G281" s="113">
        <v>774801</v>
      </c>
      <c r="H281" s="86">
        <v>1782211.5</v>
      </c>
      <c r="I281" s="113">
        <v>0</v>
      </c>
      <c r="J281" s="114">
        <f t="shared" si="30"/>
        <v>1782211.5</v>
      </c>
      <c r="K281" s="113">
        <f t="shared" si="31"/>
        <v>0</v>
      </c>
      <c r="L281" s="113">
        <v>248004</v>
      </c>
      <c r="M281" s="113">
        <v>255701.25</v>
      </c>
      <c r="N281" s="113">
        <v>1278506.25</v>
      </c>
      <c r="O281" s="113">
        <v>0</v>
      </c>
      <c r="P281" s="113">
        <v>0</v>
      </c>
    </row>
    <row r="282" spans="2:16" ht="13.9" customHeight="1" outlineLevel="1" x14ac:dyDescent="0.25">
      <c r="B282" s="149"/>
      <c r="C282" s="150" t="s">
        <v>59</v>
      </c>
      <c r="D282" s="85">
        <v>1</v>
      </c>
      <c r="E282" s="86">
        <v>2659569.5</v>
      </c>
      <c r="F282" s="142">
        <f t="shared" si="29"/>
        <v>805713.9</v>
      </c>
      <c r="G282" s="113">
        <v>805713.9</v>
      </c>
      <c r="H282" s="86">
        <v>1853855.6</v>
      </c>
      <c r="I282" s="113">
        <v>0</v>
      </c>
      <c r="J282" s="114">
        <f t="shared" si="30"/>
        <v>1853855.6</v>
      </c>
      <c r="K282" s="113">
        <f t="shared" si="31"/>
        <v>0</v>
      </c>
      <c r="L282" s="113">
        <v>258113.9</v>
      </c>
      <c r="M282" s="113">
        <v>265956.95</v>
      </c>
      <c r="N282" s="113">
        <v>1329784.75</v>
      </c>
      <c r="O282" s="113">
        <v>0</v>
      </c>
      <c r="P282" s="113">
        <v>0</v>
      </c>
    </row>
    <row r="283" spans="2:16" ht="13.9" customHeight="1" outlineLevel="1" x14ac:dyDescent="0.25">
      <c r="B283" s="149"/>
      <c r="C283" s="150" t="s">
        <v>60</v>
      </c>
      <c r="D283" s="85">
        <v>0</v>
      </c>
      <c r="E283" s="86">
        <v>0</v>
      </c>
      <c r="F283" s="142">
        <f t="shared" si="29"/>
        <v>0</v>
      </c>
      <c r="G283" s="113">
        <v>0</v>
      </c>
      <c r="H283" s="86">
        <v>0</v>
      </c>
      <c r="I283" s="113">
        <v>0</v>
      </c>
      <c r="J283" s="114">
        <f t="shared" si="30"/>
        <v>0</v>
      </c>
      <c r="K283" s="113">
        <f t="shared" si="31"/>
        <v>0</v>
      </c>
      <c r="L283" s="113">
        <v>0</v>
      </c>
      <c r="M283" s="113">
        <v>0</v>
      </c>
      <c r="N283" s="113">
        <v>0</v>
      </c>
      <c r="O283" s="113">
        <v>0</v>
      </c>
      <c r="P283" s="113">
        <v>0</v>
      </c>
    </row>
    <row r="284" spans="2:16" ht="13.9" customHeight="1" outlineLevel="1" x14ac:dyDescent="0.25">
      <c r="B284" s="149"/>
      <c r="C284" s="150" t="s">
        <v>61</v>
      </c>
      <c r="D284" s="85">
        <v>0</v>
      </c>
      <c r="E284" s="86">
        <v>0</v>
      </c>
      <c r="F284" s="142">
        <f t="shared" si="29"/>
        <v>0</v>
      </c>
      <c r="G284" s="113">
        <v>0</v>
      </c>
      <c r="H284" s="86">
        <v>0</v>
      </c>
      <c r="I284" s="113">
        <v>0</v>
      </c>
      <c r="J284" s="114">
        <f t="shared" si="30"/>
        <v>0</v>
      </c>
      <c r="K284" s="113">
        <f t="shared" si="31"/>
        <v>0</v>
      </c>
      <c r="L284" s="113">
        <v>0</v>
      </c>
      <c r="M284" s="113">
        <v>0</v>
      </c>
      <c r="N284" s="113">
        <v>0</v>
      </c>
      <c r="O284" s="113">
        <v>0</v>
      </c>
      <c r="P284" s="113">
        <v>0</v>
      </c>
    </row>
    <row r="285" spans="2:16" ht="13.9" customHeight="1" outlineLevel="1" x14ac:dyDescent="0.25">
      <c r="B285" s="149"/>
      <c r="C285" s="150" t="s">
        <v>62</v>
      </c>
      <c r="D285" s="85">
        <v>0</v>
      </c>
      <c r="E285" s="86">
        <v>0</v>
      </c>
      <c r="F285" s="142">
        <f t="shared" si="29"/>
        <v>0</v>
      </c>
      <c r="G285" s="113">
        <v>0</v>
      </c>
      <c r="H285" s="86">
        <v>0</v>
      </c>
      <c r="I285" s="113">
        <v>0</v>
      </c>
      <c r="J285" s="114">
        <f t="shared" si="30"/>
        <v>0</v>
      </c>
      <c r="K285" s="113">
        <f t="shared" si="31"/>
        <v>0</v>
      </c>
      <c r="L285" s="113">
        <v>0</v>
      </c>
      <c r="M285" s="113">
        <v>0</v>
      </c>
      <c r="N285" s="113">
        <v>0</v>
      </c>
      <c r="O285" s="113">
        <v>0</v>
      </c>
      <c r="P285" s="113">
        <v>0</v>
      </c>
    </row>
    <row r="286" spans="2:16" ht="13.9" customHeight="1" outlineLevel="1" x14ac:dyDescent="0.25">
      <c r="B286" s="149"/>
      <c r="C286" s="150" t="s">
        <v>63</v>
      </c>
      <c r="D286" s="85">
        <v>0</v>
      </c>
      <c r="E286" s="86">
        <v>0</v>
      </c>
      <c r="F286" s="142">
        <f t="shared" si="29"/>
        <v>0</v>
      </c>
      <c r="G286" s="113">
        <v>0</v>
      </c>
      <c r="H286" s="86">
        <v>0</v>
      </c>
      <c r="I286" s="113">
        <v>0</v>
      </c>
      <c r="J286" s="114">
        <f t="shared" si="30"/>
        <v>0</v>
      </c>
      <c r="K286" s="113">
        <f t="shared" si="31"/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</row>
    <row r="287" spans="2:16" ht="13.9" customHeight="1" outlineLevel="1" x14ac:dyDescent="0.25">
      <c r="B287" s="149"/>
      <c r="C287" s="150" t="s">
        <v>64</v>
      </c>
      <c r="D287" s="85">
        <v>0</v>
      </c>
      <c r="E287" s="86">
        <v>0</v>
      </c>
      <c r="F287" s="142">
        <f t="shared" si="29"/>
        <v>0</v>
      </c>
      <c r="G287" s="113">
        <v>0</v>
      </c>
      <c r="H287" s="86">
        <v>0</v>
      </c>
      <c r="I287" s="113">
        <v>0</v>
      </c>
      <c r="J287" s="114">
        <f t="shared" si="30"/>
        <v>0</v>
      </c>
      <c r="K287" s="113">
        <f t="shared" si="31"/>
        <v>0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</row>
    <row r="288" spans="2:16" ht="13.9" customHeight="1" outlineLevel="1" x14ac:dyDescent="0.25">
      <c r="B288" s="149"/>
      <c r="C288" s="150" t="s">
        <v>65</v>
      </c>
      <c r="D288" s="85">
        <v>0</v>
      </c>
      <c r="E288" s="86">
        <v>0</v>
      </c>
      <c r="F288" s="142">
        <f t="shared" si="29"/>
        <v>0</v>
      </c>
      <c r="G288" s="113">
        <v>0</v>
      </c>
      <c r="H288" s="86">
        <v>0</v>
      </c>
      <c r="I288" s="113">
        <v>0</v>
      </c>
      <c r="J288" s="114">
        <f t="shared" si="30"/>
        <v>0</v>
      </c>
      <c r="K288" s="113">
        <f t="shared" si="31"/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</row>
    <row r="289" spans="2:16" ht="13.9" customHeight="1" outlineLevel="1" x14ac:dyDescent="0.25">
      <c r="B289" s="149"/>
      <c r="C289" s="150" t="s">
        <v>66</v>
      </c>
      <c r="D289" s="85">
        <v>0</v>
      </c>
      <c r="E289" s="86">
        <v>0</v>
      </c>
      <c r="F289" s="142">
        <f t="shared" si="29"/>
        <v>0</v>
      </c>
      <c r="G289" s="113">
        <v>0</v>
      </c>
      <c r="H289" s="86">
        <v>0</v>
      </c>
      <c r="I289" s="113">
        <v>0</v>
      </c>
      <c r="J289" s="114">
        <f t="shared" si="30"/>
        <v>0</v>
      </c>
      <c r="K289" s="113">
        <f t="shared" si="31"/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</row>
    <row r="290" spans="2:16" ht="13.9" customHeight="1" outlineLevel="1" x14ac:dyDescent="0.25">
      <c r="B290" s="149"/>
      <c r="C290" s="150" t="s">
        <v>67</v>
      </c>
      <c r="D290" s="85">
        <v>0</v>
      </c>
      <c r="E290" s="86">
        <v>0</v>
      </c>
      <c r="F290" s="142">
        <f t="shared" si="29"/>
        <v>0</v>
      </c>
      <c r="G290" s="113">
        <v>0</v>
      </c>
      <c r="H290" s="86">
        <v>0</v>
      </c>
      <c r="I290" s="113">
        <v>0</v>
      </c>
      <c r="J290" s="114">
        <f t="shared" si="30"/>
        <v>0</v>
      </c>
      <c r="K290" s="113">
        <f t="shared" si="31"/>
        <v>0</v>
      </c>
      <c r="L290" s="113">
        <v>0</v>
      </c>
      <c r="M290" s="113">
        <v>0</v>
      </c>
      <c r="N290" s="113">
        <v>0</v>
      </c>
      <c r="O290" s="113">
        <v>0</v>
      </c>
      <c r="P290" s="113">
        <v>0</v>
      </c>
    </row>
    <row r="291" spans="2:16" ht="13.9" customHeight="1" x14ac:dyDescent="0.25">
      <c r="B291" s="149"/>
      <c r="C291" s="148" t="s">
        <v>103</v>
      </c>
      <c r="D291" s="90">
        <f>SUM(D254:D290)</f>
        <v>125</v>
      </c>
      <c r="E291" s="91">
        <f t="shared" ref="E291:P291" si="32">SUM(E254:E290)</f>
        <v>238415115.95000002</v>
      </c>
      <c r="F291" s="92">
        <f t="shared" si="32"/>
        <v>83096325.410000011</v>
      </c>
      <c r="G291" s="93">
        <f t="shared" si="32"/>
        <v>76409145.280000016</v>
      </c>
      <c r="H291" s="90">
        <f t="shared" si="32"/>
        <v>162005970.66999999</v>
      </c>
      <c r="I291" s="91">
        <f t="shared" si="32"/>
        <v>6687180.1299999999</v>
      </c>
      <c r="J291" s="92">
        <f t="shared" si="32"/>
        <v>155318790.54000002</v>
      </c>
      <c r="K291" s="93">
        <f t="shared" si="32"/>
        <v>28714059.65000001</v>
      </c>
      <c r="L291" s="90">
        <f t="shared" si="32"/>
        <v>78151228.069999993</v>
      </c>
      <c r="M291" s="91">
        <f t="shared" si="32"/>
        <v>29100666.499999996</v>
      </c>
      <c r="N291" s="90">
        <f t="shared" si="32"/>
        <v>19352836.32</v>
      </c>
      <c r="O291" s="91">
        <f t="shared" si="32"/>
        <v>0</v>
      </c>
      <c r="P291" s="91">
        <f t="shared" si="32"/>
        <v>0</v>
      </c>
    </row>
    <row r="292" spans="2:16" ht="13.9" customHeight="1" outlineLevel="1" x14ac:dyDescent="0.25">
      <c r="B292" s="149" t="s">
        <v>83</v>
      </c>
      <c r="C292" s="150" t="s">
        <v>70</v>
      </c>
      <c r="D292" s="85">
        <v>28</v>
      </c>
      <c r="E292" s="86">
        <v>60154797.439999983</v>
      </c>
      <c r="F292" s="142">
        <f t="shared" si="29"/>
        <v>21773004.82</v>
      </c>
      <c r="G292" s="113">
        <v>20536343.59</v>
      </c>
      <c r="H292" s="86">
        <v>39618453.849999994</v>
      </c>
      <c r="I292" s="113">
        <v>1236661.2299999997</v>
      </c>
      <c r="J292" s="114">
        <f t="shared" si="30"/>
        <v>38381792.619999997</v>
      </c>
      <c r="K292" s="113">
        <f t="shared" si="31"/>
        <v>8907593.2299999967</v>
      </c>
      <c r="L292" s="113">
        <v>11698687.479999999</v>
      </c>
      <c r="M292" s="113">
        <v>13972402.809999999</v>
      </c>
      <c r="N292" s="113">
        <v>3803109.0999999996</v>
      </c>
      <c r="O292" s="113">
        <v>0</v>
      </c>
      <c r="P292" s="113">
        <v>0</v>
      </c>
    </row>
    <row r="293" spans="2:16" ht="13.9" customHeight="1" outlineLevel="1" x14ac:dyDescent="0.25">
      <c r="B293" s="149"/>
      <c r="C293" s="150" t="s">
        <v>71</v>
      </c>
      <c r="D293" s="85">
        <v>0</v>
      </c>
      <c r="E293" s="86">
        <v>0</v>
      </c>
      <c r="F293" s="142">
        <f t="shared" si="29"/>
        <v>0</v>
      </c>
      <c r="G293" s="113">
        <v>0</v>
      </c>
      <c r="H293" s="86">
        <v>0</v>
      </c>
      <c r="I293" s="113">
        <v>0</v>
      </c>
      <c r="J293" s="114">
        <f t="shared" si="30"/>
        <v>0</v>
      </c>
      <c r="K293" s="113">
        <f t="shared" si="31"/>
        <v>0</v>
      </c>
      <c r="L293" s="113">
        <v>0</v>
      </c>
      <c r="M293" s="113">
        <v>0</v>
      </c>
      <c r="N293" s="113">
        <v>0</v>
      </c>
      <c r="O293" s="113">
        <v>0</v>
      </c>
      <c r="P293" s="113">
        <v>0</v>
      </c>
    </row>
    <row r="294" spans="2:16" ht="13.9" customHeight="1" outlineLevel="1" x14ac:dyDescent="0.25">
      <c r="B294" s="149"/>
      <c r="C294" s="150" t="s">
        <v>72</v>
      </c>
      <c r="D294" s="85">
        <v>31</v>
      </c>
      <c r="E294" s="86">
        <v>50573624.460000008</v>
      </c>
      <c r="F294" s="142">
        <f t="shared" si="29"/>
        <v>16585482.57</v>
      </c>
      <c r="G294" s="113">
        <v>16407925.560000001</v>
      </c>
      <c r="H294" s="86">
        <v>34165698.900000006</v>
      </c>
      <c r="I294" s="113">
        <v>177557.01</v>
      </c>
      <c r="J294" s="114">
        <f t="shared" si="30"/>
        <v>33988141.890000008</v>
      </c>
      <c r="K294" s="113">
        <f t="shared" si="31"/>
        <v>5508891.3600000069</v>
      </c>
      <c r="L294" s="113">
        <v>6678694.1399999997</v>
      </c>
      <c r="M294" s="113">
        <v>1571106.6300000001</v>
      </c>
      <c r="N294" s="113">
        <v>19683869.25</v>
      </c>
      <c r="O294" s="113">
        <v>545580.51</v>
      </c>
      <c r="P294" s="113">
        <v>0</v>
      </c>
    </row>
    <row r="295" spans="2:16" ht="13.9" customHeight="1" x14ac:dyDescent="0.25">
      <c r="B295" s="149"/>
      <c r="C295" s="148" t="s">
        <v>104</v>
      </c>
      <c r="D295" s="90">
        <f>SUM(D292:D294)</f>
        <v>59</v>
      </c>
      <c r="E295" s="91">
        <f t="shared" ref="E295:P295" si="33">SUM(E292:E294)</f>
        <v>110728421.89999999</v>
      </c>
      <c r="F295" s="92">
        <f t="shared" si="33"/>
        <v>38358487.390000001</v>
      </c>
      <c r="G295" s="93">
        <f t="shared" si="33"/>
        <v>36944269.149999999</v>
      </c>
      <c r="H295" s="90">
        <f t="shared" si="33"/>
        <v>73784152.75</v>
      </c>
      <c r="I295" s="91">
        <f t="shared" si="33"/>
        <v>1414218.2399999998</v>
      </c>
      <c r="J295" s="92">
        <f t="shared" si="33"/>
        <v>72369934.510000005</v>
      </c>
      <c r="K295" s="93">
        <f t="shared" si="33"/>
        <v>14416484.590000004</v>
      </c>
      <c r="L295" s="90">
        <f t="shared" si="33"/>
        <v>18377381.619999997</v>
      </c>
      <c r="M295" s="91">
        <f t="shared" si="33"/>
        <v>15543509.439999999</v>
      </c>
      <c r="N295" s="90">
        <f t="shared" si="33"/>
        <v>23486978.350000001</v>
      </c>
      <c r="O295" s="91">
        <f t="shared" si="33"/>
        <v>545580.51</v>
      </c>
      <c r="P295" s="91">
        <f t="shared" si="33"/>
        <v>0</v>
      </c>
    </row>
    <row r="296" spans="2:16" ht="13.9" customHeight="1" outlineLevel="1" x14ac:dyDescent="0.25">
      <c r="B296" s="149" t="s">
        <v>105</v>
      </c>
      <c r="C296" s="150" t="s">
        <v>75</v>
      </c>
      <c r="D296" s="85">
        <v>0</v>
      </c>
      <c r="E296" s="86">
        <v>0</v>
      </c>
      <c r="F296" s="142">
        <f t="shared" si="29"/>
        <v>0</v>
      </c>
      <c r="G296" s="113">
        <v>0</v>
      </c>
      <c r="H296" s="86">
        <v>0</v>
      </c>
      <c r="I296" s="113">
        <v>0</v>
      </c>
      <c r="J296" s="114">
        <f t="shared" si="30"/>
        <v>0</v>
      </c>
      <c r="K296" s="113">
        <f t="shared" si="31"/>
        <v>0</v>
      </c>
      <c r="L296" s="113">
        <v>0</v>
      </c>
      <c r="M296" s="113">
        <v>0</v>
      </c>
      <c r="N296" s="113">
        <v>0</v>
      </c>
      <c r="O296" s="113">
        <v>0</v>
      </c>
      <c r="P296" s="113">
        <v>0</v>
      </c>
    </row>
    <row r="297" spans="2:16" ht="13.9" customHeight="1" outlineLevel="1" x14ac:dyDescent="0.25">
      <c r="B297" s="149"/>
      <c r="C297" s="150" t="s">
        <v>76</v>
      </c>
      <c r="D297" s="85">
        <v>18</v>
      </c>
      <c r="E297" s="86">
        <v>24379369.080000002</v>
      </c>
      <c r="F297" s="142">
        <f t="shared" si="29"/>
        <v>7341945.2200000007</v>
      </c>
      <c r="G297" s="113">
        <v>7341945.2200000007</v>
      </c>
      <c r="H297" s="86">
        <v>17037423.859999999</v>
      </c>
      <c r="I297" s="113">
        <v>0</v>
      </c>
      <c r="J297" s="114">
        <f t="shared" si="30"/>
        <v>17037423.859999999</v>
      </c>
      <c r="K297" s="113">
        <f t="shared" si="31"/>
        <v>4195311.8999999985</v>
      </c>
      <c r="L297" s="113">
        <v>3090364.33</v>
      </c>
      <c r="M297" s="113">
        <v>9751747.6300000008</v>
      </c>
      <c r="N297" s="113">
        <v>0</v>
      </c>
      <c r="O297" s="113">
        <v>0</v>
      </c>
      <c r="P297" s="113">
        <v>0</v>
      </c>
    </row>
    <row r="298" spans="2:16" ht="13.9" customHeight="1" x14ac:dyDescent="0.25">
      <c r="B298" s="149"/>
      <c r="C298" s="148" t="s">
        <v>106</v>
      </c>
      <c r="D298" s="90">
        <f>SUM(D296:D297)</f>
        <v>18</v>
      </c>
      <c r="E298" s="91">
        <f t="shared" ref="E298:P298" si="34">SUM(E296:E297)</f>
        <v>24379369.080000002</v>
      </c>
      <c r="F298" s="92">
        <f t="shared" si="34"/>
        <v>7341945.2200000007</v>
      </c>
      <c r="G298" s="93">
        <f t="shared" si="34"/>
        <v>7341945.2200000007</v>
      </c>
      <c r="H298" s="90">
        <f t="shared" si="34"/>
        <v>17037423.859999999</v>
      </c>
      <c r="I298" s="91">
        <f t="shared" si="34"/>
        <v>0</v>
      </c>
      <c r="J298" s="92">
        <f t="shared" si="34"/>
        <v>17037423.859999999</v>
      </c>
      <c r="K298" s="93">
        <f t="shared" si="34"/>
        <v>4195311.8999999985</v>
      </c>
      <c r="L298" s="90">
        <f t="shared" si="34"/>
        <v>3090364.33</v>
      </c>
      <c r="M298" s="91">
        <f t="shared" si="34"/>
        <v>9751747.6300000008</v>
      </c>
      <c r="N298" s="90">
        <f t="shared" si="34"/>
        <v>0</v>
      </c>
      <c r="O298" s="91">
        <f t="shared" si="34"/>
        <v>0</v>
      </c>
      <c r="P298" s="91">
        <f t="shared" si="34"/>
        <v>0</v>
      </c>
    </row>
    <row r="299" spans="2:16" ht="13.9" customHeight="1" x14ac:dyDescent="0.25">
      <c r="B299" s="155" t="s">
        <v>78</v>
      </c>
      <c r="C299" s="155"/>
      <c r="D299" s="90">
        <f>D291+D295+D298</f>
        <v>202</v>
      </c>
      <c r="E299" s="91">
        <f t="shared" ref="E299:P299" si="35">E291+E295+E298</f>
        <v>373522906.93000001</v>
      </c>
      <c r="F299" s="92">
        <f t="shared" si="35"/>
        <v>128796758.02000001</v>
      </c>
      <c r="G299" s="93">
        <f t="shared" si="35"/>
        <v>120695359.65000001</v>
      </c>
      <c r="H299" s="90">
        <f t="shared" si="35"/>
        <v>252827547.27999997</v>
      </c>
      <c r="I299" s="91">
        <f t="shared" si="35"/>
        <v>8101398.3699999992</v>
      </c>
      <c r="J299" s="92">
        <f t="shared" si="35"/>
        <v>244726148.91000003</v>
      </c>
      <c r="K299" s="93">
        <f t="shared" si="35"/>
        <v>47325856.140000008</v>
      </c>
      <c r="L299" s="90">
        <f t="shared" si="35"/>
        <v>99618974.019999996</v>
      </c>
      <c r="M299" s="91">
        <f t="shared" si="35"/>
        <v>54395923.57</v>
      </c>
      <c r="N299" s="90">
        <f t="shared" si="35"/>
        <v>42839814.670000002</v>
      </c>
      <c r="O299" s="91">
        <f t="shared" si="35"/>
        <v>545580.51</v>
      </c>
      <c r="P299" s="91">
        <f t="shared" si="35"/>
        <v>0</v>
      </c>
    </row>
    <row r="300" spans="2:16" ht="13.9" customHeight="1" x14ac:dyDescent="0.25"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</row>
    <row r="301" spans="2:16" ht="13.9" customHeight="1" x14ac:dyDescent="0.25">
      <c r="B301" s="107" t="s">
        <v>91</v>
      </c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</row>
    <row r="302" spans="2:16" ht="13.9" customHeight="1" x14ac:dyDescent="0.25">
      <c r="B302" s="154" t="s">
        <v>26</v>
      </c>
      <c r="C302" s="148" t="s">
        <v>27</v>
      </c>
      <c r="D302" s="109" t="s">
        <v>28</v>
      </c>
      <c r="E302" s="110" t="s">
        <v>29</v>
      </c>
      <c r="F302" s="111" t="s">
        <v>85</v>
      </c>
      <c r="G302" s="112" t="s">
        <v>81</v>
      </c>
      <c r="H302" s="110" t="s">
        <v>82</v>
      </c>
      <c r="I302" s="112" t="s">
        <v>86</v>
      </c>
      <c r="J302" s="110" t="s">
        <v>87</v>
      </c>
      <c r="K302" s="112">
        <v>2026</v>
      </c>
      <c r="L302" s="112">
        <v>2027</v>
      </c>
      <c r="M302" s="110">
        <v>2028</v>
      </c>
      <c r="N302" s="112">
        <v>2029</v>
      </c>
      <c r="O302" s="110">
        <v>2030</v>
      </c>
      <c r="P302" s="112">
        <v>2031</v>
      </c>
    </row>
    <row r="303" spans="2:16" ht="13.9" customHeight="1" outlineLevel="1" x14ac:dyDescent="0.25">
      <c r="B303" s="149" t="s">
        <v>30</v>
      </c>
      <c r="C303" s="150" t="s">
        <v>31</v>
      </c>
      <c r="D303" s="85">
        <v>21</v>
      </c>
      <c r="E303" s="86">
        <v>36653959.82</v>
      </c>
      <c r="F303" s="142">
        <f t="shared" ref="F303:F346" si="36">G303+I303</f>
        <v>21992375.820000004</v>
      </c>
      <c r="G303" s="113">
        <v>21680998.380000003</v>
      </c>
      <c r="H303" s="86">
        <v>14972961.440000005</v>
      </c>
      <c r="I303" s="113">
        <v>311377.44000000012</v>
      </c>
      <c r="J303" s="114">
        <f t="shared" ref="J303:J346" si="37">H303-I303</f>
        <v>14661584.000000006</v>
      </c>
      <c r="K303" s="113">
        <f t="shared" ref="K303:K346" si="38">MAX(J303-SUM(L303:P303),0)</f>
        <v>14661584.000000006</v>
      </c>
      <c r="L303" s="113">
        <v>0</v>
      </c>
      <c r="M303" s="113">
        <v>0</v>
      </c>
      <c r="N303" s="113">
        <v>0</v>
      </c>
      <c r="O303" s="113">
        <v>0</v>
      </c>
      <c r="P303" s="113">
        <v>0</v>
      </c>
    </row>
    <row r="304" spans="2:16" ht="13.9" customHeight="1" outlineLevel="1" x14ac:dyDescent="0.25">
      <c r="B304" s="149"/>
      <c r="C304" s="150" t="s">
        <v>32</v>
      </c>
      <c r="D304" s="85">
        <v>0</v>
      </c>
      <c r="E304" s="86">
        <v>0</v>
      </c>
      <c r="F304" s="142">
        <f t="shared" si="36"/>
        <v>0</v>
      </c>
      <c r="G304" s="113">
        <v>0</v>
      </c>
      <c r="H304" s="86">
        <v>0</v>
      </c>
      <c r="I304" s="113">
        <v>0</v>
      </c>
      <c r="J304" s="114">
        <f t="shared" si="37"/>
        <v>0</v>
      </c>
      <c r="K304" s="113">
        <f t="shared" si="38"/>
        <v>0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</row>
    <row r="305" spans="2:16" ht="13.9" customHeight="1" outlineLevel="1" x14ac:dyDescent="0.25">
      <c r="B305" s="149"/>
      <c r="C305" s="150" t="s">
        <v>33</v>
      </c>
      <c r="D305" s="85">
        <v>0</v>
      </c>
      <c r="E305" s="86">
        <v>0</v>
      </c>
      <c r="F305" s="142">
        <f t="shared" si="36"/>
        <v>0</v>
      </c>
      <c r="G305" s="113">
        <v>0</v>
      </c>
      <c r="H305" s="86">
        <v>0</v>
      </c>
      <c r="I305" s="113">
        <v>0</v>
      </c>
      <c r="J305" s="114">
        <f t="shared" si="37"/>
        <v>0</v>
      </c>
      <c r="K305" s="113">
        <f t="shared" si="38"/>
        <v>0</v>
      </c>
      <c r="L305" s="113">
        <v>0</v>
      </c>
      <c r="M305" s="113">
        <v>0</v>
      </c>
      <c r="N305" s="113">
        <v>0</v>
      </c>
      <c r="O305" s="113">
        <v>0</v>
      </c>
      <c r="P305" s="113">
        <v>0</v>
      </c>
    </row>
    <row r="306" spans="2:16" ht="13.9" customHeight="1" outlineLevel="1" x14ac:dyDescent="0.25">
      <c r="B306" s="149"/>
      <c r="C306" s="150" t="s">
        <v>34</v>
      </c>
      <c r="D306" s="85">
        <v>24</v>
      </c>
      <c r="E306" s="86">
        <v>58152045.909999996</v>
      </c>
      <c r="F306" s="142">
        <f t="shared" si="36"/>
        <v>39247929.329999998</v>
      </c>
      <c r="G306" s="113">
        <v>33398417.949999999</v>
      </c>
      <c r="H306" s="86">
        <v>24753627.960000001</v>
      </c>
      <c r="I306" s="113">
        <v>5849511.3799999999</v>
      </c>
      <c r="J306" s="114">
        <f t="shared" si="37"/>
        <v>18904116.580000002</v>
      </c>
      <c r="K306" s="113">
        <f t="shared" si="38"/>
        <v>4726029.0100000016</v>
      </c>
      <c r="L306" s="113">
        <v>9452058.3800000008</v>
      </c>
      <c r="M306" s="113">
        <v>4726029.1900000004</v>
      </c>
      <c r="N306" s="113">
        <v>0</v>
      </c>
      <c r="O306" s="113">
        <v>0</v>
      </c>
      <c r="P306" s="113">
        <v>0</v>
      </c>
    </row>
    <row r="307" spans="2:16" ht="13.9" customHeight="1" outlineLevel="1" x14ac:dyDescent="0.25">
      <c r="B307" s="149"/>
      <c r="C307" s="150" t="s">
        <v>35</v>
      </c>
      <c r="D307" s="85">
        <v>0</v>
      </c>
      <c r="E307" s="86">
        <v>0</v>
      </c>
      <c r="F307" s="142">
        <f t="shared" si="36"/>
        <v>0</v>
      </c>
      <c r="G307" s="113">
        <v>0</v>
      </c>
      <c r="H307" s="86">
        <v>0</v>
      </c>
      <c r="I307" s="113">
        <v>0</v>
      </c>
      <c r="J307" s="114">
        <f t="shared" si="37"/>
        <v>0</v>
      </c>
      <c r="K307" s="113">
        <f t="shared" si="38"/>
        <v>0</v>
      </c>
      <c r="L307" s="113">
        <v>0</v>
      </c>
      <c r="M307" s="113">
        <v>0</v>
      </c>
      <c r="N307" s="113">
        <v>0</v>
      </c>
      <c r="O307" s="113">
        <v>0</v>
      </c>
      <c r="P307" s="113">
        <v>0</v>
      </c>
    </row>
    <row r="308" spans="2:16" ht="13.9" customHeight="1" outlineLevel="1" x14ac:dyDescent="0.25">
      <c r="B308" s="149"/>
      <c r="C308" s="150" t="s">
        <v>36</v>
      </c>
      <c r="D308" s="85">
        <v>0</v>
      </c>
      <c r="E308" s="86">
        <v>0</v>
      </c>
      <c r="F308" s="142">
        <f t="shared" si="36"/>
        <v>0</v>
      </c>
      <c r="G308" s="113">
        <v>0</v>
      </c>
      <c r="H308" s="86">
        <v>0</v>
      </c>
      <c r="I308" s="113">
        <v>0</v>
      </c>
      <c r="J308" s="114">
        <f t="shared" si="37"/>
        <v>0</v>
      </c>
      <c r="K308" s="113">
        <f t="shared" si="38"/>
        <v>0</v>
      </c>
      <c r="L308" s="113">
        <v>0</v>
      </c>
      <c r="M308" s="113">
        <v>0</v>
      </c>
      <c r="N308" s="113">
        <v>0</v>
      </c>
      <c r="O308" s="113">
        <v>0</v>
      </c>
      <c r="P308" s="113">
        <v>0</v>
      </c>
    </row>
    <row r="309" spans="2:16" ht="13.9" customHeight="1" outlineLevel="1" x14ac:dyDescent="0.25">
      <c r="B309" s="149"/>
      <c r="C309" s="150" t="s">
        <v>37</v>
      </c>
      <c r="D309" s="85">
        <v>0</v>
      </c>
      <c r="E309" s="86">
        <v>0</v>
      </c>
      <c r="F309" s="142">
        <f t="shared" si="36"/>
        <v>0</v>
      </c>
      <c r="G309" s="113">
        <v>0</v>
      </c>
      <c r="H309" s="86">
        <v>0</v>
      </c>
      <c r="I309" s="113">
        <v>0</v>
      </c>
      <c r="J309" s="114">
        <f t="shared" si="37"/>
        <v>0</v>
      </c>
      <c r="K309" s="113">
        <f t="shared" si="38"/>
        <v>0</v>
      </c>
      <c r="L309" s="113">
        <v>0</v>
      </c>
      <c r="M309" s="113">
        <v>0</v>
      </c>
      <c r="N309" s="113">
        <v>0</v>
      </c>
      <c r="O309" s="113">
        <v>0</v>
      </c>
      <c r="P309" s="113">
        <v>0</v>
      </c>
    </row>
    <row r="310" spans="2:16" ht="13.9" customHeight="1" outlineLevel="1" x14ac:dyDescent="0.25">
      <c r="B310" s="149"/>
      <c r="C310" s="150" t="s">
        <v>38</v>
      </c>
      <c r="D310" s="85">
        <v>0</v>
      </c>
      <c r="E310" s="86">
        <v>0</v>
      </c>
      <c r="F310" s="142">
        <f t="shared" si="36"/>
        <v>0</v>
      </c>
      <c r="G310" s="113">
        <v>0</v>
      </c>
      <c r="H310" s="86">
        <v>0</v>
      </c>
      <c r="I310" s="113">
        <v>0</v>
      </c>
      <c r="J310" s="114">
        <f t="shared" si="37"/>
        <v>0</v>
      </c>
      <c r="K310" s="113">
        <f t="shared" si="38"/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</row>
    <row r="311" spans="2:16" ht="13.9" customHeight="1" outlineLevel="1" x14ac:dyDescent="0.25">
      <c r="B311" s="149"/>
      <c r="C311" s="150" t="s">
        <v>39</v>
      </c>
      <c r="D311" s="85">
        <v>0</v>
      </c>
      <c r="E311" s="86">
        <v>0</v>
      </c>
      <c r="F311" s="142">
        <f t="shared" si="36"/>
        <v>0</v>
      </c>
      <c r="G311" s="113">
        <v>0</v>
      </c>
      <c r="H311" s="86">
        <v>0</v>
      </c>
      <c r="I311" s="113">
        <v>0</v>
      </c>
      <c r="J311" s="114">
        <f t="shared" si="37"/>
        <v>0</v>
      </c>
      <c r="K311" s="113">
        <f t="shared" si="38"/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</row>
    <row r="312" spans="2:16" ht="13.9" customHeight="1" outlineLevel="1" x14ac:dyDescent="0.25">
      <c r="B312" s="149"/>
      <c r="C312" s="150" t="s">
        <v>40</v>
      </c>
      <c r="D312" s="85">
        <v>0</v>
      </c>
      <c r="E312" s="86">
        <v>0</v>
      </c>
      <c r="F312" s="142">
        <f t="shared" si="36"/>
        <v>0</v>
      </c>
      <c r="G312" s="113">
        <v>0</v>
      </c>
      <c r="H312" s="86">
        <v>0</v>
      </c>
      <c r="I312" s="113">
        <v>0</v>
      </c>
      <c r="J312" s="114">
        <f t="shared" si="37"/>
        <v>0</v>
      </c>
      <c r="K312" s="113">
        <f t="shared" si="38"/>
        <v>0</v>
      </c>
      <c r="L312" s="113">
        <v>0</v>
      </c>
      <c r="M312" s="113">
        <v>0</v>
      </c>
      <c r="N312" s="113">
        <v>0</v>
      </c>
      <c r="O312" s="113">
        <v>0</v>
      </c>
      <c r="P312" s="113">
        <v>0</v>
      </c>
    </row>
    <row r="313" spans="2:16" ht="13.9" customHeight="1" outlineLevel="1" x14ac:dyDescent="0.25">
      <c r="B313" s="149"/>
      <c r="C313" s="150" t="s">
        <v>41</v>
      </c>
      <c r="D313" s="85">
        <v>0</v>
      </c>
      <c r="E313" s="86">
        <v>0</v>
      </c>
      <c r="F313" s="142">
        <f t="shared" si="36"/>
        <v>0</v>
      </c>
      <c r="G313" s="113">
        <v>0</v>
      </c>
      <c r="H313" s="86">
        <v>0</v>
      </c>
      <c r="I313" s="113">
        <v>0</v>
      </c>
      <c r="J313" s="114">
        <f t="shared" si="37"/>
        <v>0</v>
      </c>
      <c r="K313" s="113">
        <f t="shared" si="38"/>
        <v>0</v>
      </c>
      <c r="L313" s="113">
        <v>0</v>
      </c>
      <c r="M313" s="113">
        <v>0</v>
      </c>
      <c r="N313" s="113">
        <v>0</v>
      </c>
      <c r="O313" s="113">
        <v>0</v>
      </c>
      <c r="P313" s="113">
        <v>0</v>
      </c>
    </row>
    <row r="314" spans="2:16" ht="13.9" customHeight="1" outlineLevel="1" x14ac:dyDescent="0.25">
      <c r="B314" s="149"/>
      <c r="C314" s="150" t="s">
        <v>42</v>
      </c>
      <c r="D314" s="85">
        <v>103</v>
      </c>
      <c r="E314" s="86">
        <v>219100845.72999993</v>
      </c>
      <c r="F314" s="142">
        <f t="shared" si="36"/>
        <v>116006978.05000001</v>
      </c>
      <c r="G314" s="113">
        <v>108791660.32000001</v>
      </c>
      <c r="H314" s="86">
        <v>110309185.41000006</v>
      </c>
      <c r="I314" s="113">
        <v>7215317.7299999967</v>
      </c>
      <c r="J314" s="114">
        <f t="shared" si="37"/>
        <v>103093867.68000007</v>
      </c>
      <c r="K314" s="113">
        <f t="shared" si="38"/>
        <v>24310246.710000038</v>
      </c>
      <c r="L314" s="113">
        <v>78783620.970000029</v>
      </c>
      <c r="M314" s="113">
        <v>0</v>
      </c>
      <c r="N314" s="113">
        <v>0</v>
      </c>
      <c r="O314" s="113">
        <v>0</v>
      </c>
      <c r="P314" s="113">
        <v>0</v>
      </c>
    </row>
    <row r="315" spans="2:16" ht="13.9" customHeight="1" outlineLevel="1" x14ac:dyDescent="0.25">
      <c r="B315" s="149"/>
      <c r="C315" s="150" t="s">
        <v>43</v>
      </c>
      <c r="D315" s="85">
        <v>4</v>
      </c>
      <c r="E315" s="86">
        <v>18313998</v>
      </c>
      <c r="F315" s="142">
        <f t="shared" si="36"/>
        <v>10451245.559999999</v>
      </c>
      <c r="G315" s="113">
        <v>8550560.0999999996</v>
      </c>
      <c r="H315" s="86">
        <v>9763437.9000000004</v>
      </c>
      <c r="I315" s="113">
        <v>1900685.46</v>
      </c>
      <c r="J315" s="114">
        <f t="shared" si="37"/>
        <v>7862752.4400000004</v>
      </c>
      <c r="K315" s="113">
        <f t="shared" si="38"/>
        <v>4681455.6400000006</v>
      </c>
      <c r="L315" s="113">
        <v>3181296.8</v>
      </c>
      <c r="M315" s="113">
        <v>0</v>
      </c>
      <c r="N315" s="113">
        <v>0</v>
      </c>
      <c r="O315" s="113">
        <v>0</v>
      </c>
      <c r="P315" s="113">
        <v>0</v>
      </c>
    </row>
    <row r="316" spans="2:16" ht="13.9" customHeight="1" outlineLevel="1" x14ac:dyDescent="0.25">
      <c r="B316" s="149"/>
      <c r="C316" s="150" t="s">
        <v>44</v>
      </c>
      <c r="D316" s="85">
        <v>6</v>
      </c>
      <c r="E316" s="86">
        <v>12353038.07</v>
      </c>
      <c r="F316" s="142">
        <f t="shared" si="36"/>
        <v>5552571.1200000001</v>
      </c>
      <c r="G316" s="113">
        <v>5552571.1200000001</v>
      </c>
      <c r="H316" s="86">
        <v>6800466.9499999993</v>
      </c>
      <c r="I316" s="113">
        <v>0</v>
      </c>
      <c r="J316" s="114">
        <f t="shared" si="37"/>
        <v>6800466.9499999993</v>
      </c>
      <c r="K316" s="113">
        <f t="shared" si="38"/>
        <v>852002.80999999959</v>
      </c>
      <c r="L316" s="113">
        <v>1007248.9099999999</v>
      </c>
      <c r="M316" s="113">
        <v>4941215.2299999995</v>
      </c>
      <c r="N316" s="113">
        <v>0</v>
      </c>
      <c r="O316" s="113">
        <v>0</v>
      </c>
      <c r="P316" s="113">
        <v>0</v>
      </c>
    </row>
    <row r="317" spans="2:16" ht="13.9" customHeight="1" outlineLevel="1" x14ac:dyDescent="0.25">
      <c r="B317" s="149"/>
      <c r="C317" s="150" t="s">
        <v>45</v>
      </c>
      <c r="D317" s="85">
        <v>1</v>
      </c>
      <c r="E317" s="86">
        <v>2811016.7</v>
      </c>
      <c r="F317" s="142">
        <f t="shared" si="36"/>
        <v>1686609.93</v>
      </c>
      <c r="G317" s="113">
        <v>1686609.93</v>
      </c>
      <c r="H317" s="86">
        <v>1124406.7700000003</v>
      </c>
      <c r="I317" s="113">
        <v>0</v>
      </c>
      <c r="J317" s="114">
        <f t="shared" si="37"/>
        <v>1124406.7700000003</v>
      </c>
      <c r="K317" s="113">
        <f t="shared" si="38"/>
        <v>2.3283064365386963E-10</v>
      </c>
      <c r="L317" s="113">
        <v>0</v>
      </c>
      <c r="M317" s="113">
        <v>0.09</v>
      </c>
      <c r="N317" s="113">
        <v>1124406.68</v>
      </c>
      <c r="O317" s="113">
        <v>0</v>
      </c>
      <c r="P317" s="113">
        <v>0</v>
      </c>
    </row>
    <row r="318" spans="2:16" ht="13.9" customHeight="1" outlineLevel="1" x14ac:dyDescent="0.25">
      <c r="B318" s="149"/>
      <c r="C318" s="150" t="s">
        <v>46</v>
      </c>
      <c r="D318" s="85">
        <v>0</v>
      </c>
      <c r="E318" s="86">
        <v>0</v>
      </c>
      <c r="F318" s="142">
        <f t="shared" si="36"/>
        <v>0</v>
      </c>
      <c r="G318" s="113">
        <v>0</v>
      </c>
      <c r="H318" s="86">
        <v>0</v>
      </c>
      <c r="I318" s="113">
        <v>0</v>
      </c>
      <c r="J318" s="114">
        <f t="shared" si="37"/>
        <v>0</v>
      </c>
      <c r="K318" s="113">
        <f t="shared" si="38"/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</row>
    <row r="319" spans="2:16" ht="13.9" customHeight="1" outlineLevel="1" x14ac:dyDescent="0.25">
      <c r="B319" s="149"/>
      <c r="C319" s="150" t="s">
        <v>47</v>
      </c>
      <c r="D319" s="85">
        <v>79</v>
      </c>
      <c r="E319" s="86">
        <v>154662826.34999999</v>
      </c>
      <c r="F319" s="142">
        <f t="shared" si="36"/>
        <v>89448722.260000005</v>
      </c>
      <c r="G319" s="113">
        <v>88390400.010000005</v>
      </c>
      <c r="H319" s="86">
        <v>66272426.340000011</v>
      </c>
      <c r="I319" s="113">
        <v>1058322.25</v>
      </c>
      <c r="J319" s="114">
        <f t="shared" si="37"/>
        <v>65214104.090000011</v>
      </c>
      <c r="K319" s="113">
        <f t="shared" si="38"/>
        <v>65214104.090000011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</row>
    <row r="320" spans="2:16" ht="13.9" customHeight="1" outlineLevel="1" x14ac:dyDescent="0.25">
      <c r="B320" s="149"/>
      <c r="C320" s="150" t="s">
        <v>48</v>
      </c>
      <c r="D320" s="85">
        <v>36</v>
      </c>
      <c r="E320" s="86">
        <v>45959924.960000001</v>
      </c>
      <c r="F320" s="142">
        <f t="shared" si="36"/>
        <v>23409385.600000001</v>
      </c>
      <c r="G320" s="113">
        <v>22458222.260000002</v>
      </c>
      <c r="H320" s="86">
        <v>23501702.699999996</v>
      </c>
      <c r="I320" s="113">
        <v>951163.34</v>
      </c>
      <c r="J320" s="114">
        <f t="shared" si="37"/>
        <v>22550539.359999996</v>
      </c>
      <c r="K320" s="113">
        <f t="shared" si="38"/>
        <v>5444333.179999996</v>
      </c>
      <c r="L320" s="113">
        <v>17106206.18</v>
      </c>
      <c r="M320" s="113">
        <v>0</v>
      </c>
      <c r="N320" s="113">
        <v>0</v>
      </c>
      <c r="O320" s="113">
        <v>0</v>
      </c>
      <c r="P320" s="113">
        <v>0</v>
      </c>
    </row>
    <row r="321" spans="2:16" ht="13.9" customHeight="1" outlineLevel="1" x14ac:dyDescent="0.25">
      <c r="B321" s="149"/>
      <c r="C321" s="150" t="s">
        <v>49</v>
      </c>
      <c r="D321" s="85">
        <v>0</v>
      </c>
      <c r="E321" s="86">
        <v>0</v>
      </c>
      <c r="F321" s="142">
        <f t="shared" si="36"/>
        <v>0</v>
      </c>
      <c r="G321" s="113">
        <v>0</v>
      </c>
      <c r="H321" s="86">
        <v>0</v>
      </c>
      <c r="I321" s="113">
        <v>0</v>
      </c>
      <c r="J321" s="114">
        <f t="shared" si="37"/>
        <v>0</v>
      </c>
      <c r="K321" s="113">
        <f t="shared" si="38"/>
        <v>0</v>
      </c>
      <c r="L321" s="113">
        <v>0</v>
      </c>
      <c r="M321" s="113">
        <v>0</v>
      </c>
      <c r="N321" s="113">
        <v>0</v>
      </c>
      <c r="O321" s="113">
        <v>0</v>
      </c>
      <c r="P321" s="113">
        <v>0</v>
      </c>
    </row>
    <row r="322" spans="2:16" ht="13.9" customHeight="1" outlineLevel="1" x14ac:dyDescent="0.25">
      <c r="B322" s="149"/>
      <c r="C322" s="150" t="s">
        <v>50</v>
      </c>
      <c r="D322" s="85">
        <v>0</v>
      </c>
      <c r="E322" s="86">
        <v>0</v>
      </c>
      <c r="F322" s="142">
        <f t="shared" si="36"/>
        <v>0</v>
      </c>
      <c r="G322" s="113">
        <v>0</v>
      </c>
      <c r="H322" s="86">
        <v>0</v>
      </c>
      <c r="I322" s="113">
        <v>0</v>
      </c>
      <c r="J322" s="114">
        <f t="shared" si="37"/>
        <v>0</v>
      </c>
      <c r="K322" s="113">
        <f t="shared" si="38"/>
        <v>0</v>
      </c>
      <c r="L322" s="113">
        <v>0</v>
      </c>
      <c r="M322" s="113">
        <v>0</v>
      </c>
      <c r="N322" s="113">
        <v>0</v>
      </c>
      <c r="O322" s="113">
        <v>0</v>
      </c>
      <c r="P322" s="113">
        <v>0</v>
      </c>
    </row>
    <row r="323" spans="2:16" ht="13.9" customHeight="1" outlineLevel="1" x14ac:dyDescent="0.25">
      <c r="B323" s="149"/>
      <c r="C323" s="150" t="s">
        <v>51</v>
      </c>
      <c r="D323" s="85">
        <v>4</v>
      </c>
      <c r="E323" s="86">
        <v>4573028.2</v>
      </c>
      <c r="F323" s="142">
        <f t="shared" si="36"/>
        <v>1831929.34</v>
      </c>
      <c r="G323" s="113">
        <v>1831929.34</v>
      </c>
      <c r="H323" s="86">
        <v>2741098.86</v>
      </c>
      <c r="I323" s="113">
        <v>0</v>
      </c>
      <c r="J323" s="114">
        <f t="shared" si="37"/>
        <v>2741098.86</v>
      </c>
      <c r="K323" s="113">
        <f t="shared" si="38"/>
        <v>465109.63999999966</v>
      </c>
      <c r="L323" s="113">
        <v>2275989.2200000002</v>
      </c>
      <c r="M323" s="113">
        <v>0</v>
      </c>
      <c r="N323" s="113">
        <v>0</v>
      </c>
      <c r="O323" s="113">
        <v>0</v>
      </c>
      <c r="P323" s="113">
        <v>0</v>
      </c>
    </row>
    <row r="324" spans="2:16" ht="13.9" customHeight="1" outlineLevel="1" x14ac:dyDescent="0.25">
      <c r="B324" s="149"/>
      <c r="C324" s="150" t="s">
        <v>52</v>
      </c>
      <c r="D324" s="85">
        <v>0</v>
      </c>
      <c r="E324" s="86">
        <v>0</v>
      </c>
      <c r="F324" s="142">
        <f t="shared" si="36"/>
        <v>0</v>
      </c>
      <c r="G324" s="113">
        <v>0</v>
      </c>
      <c r="H324" s="86">
        <v>0</v>
      </c>
      <c r="I324" s="113">
        <v>0</v>
      </c>
      <c r="J324" s="114">
        <f t="shared" si="37"/>
        <v>0</v>
      </c>
      <c r="K324" s="113">
        <f t="shared" si="38"/>
        <v>0</v>
      </c>
      <c r="L324" s="113">
        <v>0</v>
      </c>
      <c r="M324" s="113">
        <v>0</v>
      </c>
      <c r="N324" s="113">
        <v>0</v>
      </c>
      <c r="O324" s="113">
        <v>0</v>
      </c>
      <c r="P324" s="113">
        <v>0</v>
      </c>
    </row>
    <row r="325" spans="2:16" ht="13.9" customHeight="1" outlineLevel="1" x14ac:dyDescent="0.25">
      <c r="B325" s="149"/>
      <c r="C325" s="150" t="s">
        <v>53</v>
      </c>
      <c r="D325" s="85">
        <v>0</v>
      </c>
      <c r="E325" s="86">
        <v>0</v>
      </c>
      <c r="F325" s="142">
        <f t="shared" si="36"/>
        <v>0</v>
      </c>
      <c r="G325" s="113">
        <v>0</v>
      </c>
      <c r="H325" s="86">
        <v>0</v>
      </c>
      <c r="I325" s="113">
        <v>0</v>
      </c>
      <c r="J325" s="114">
        <f t="shared" si="37"/>
        <v>0</v>
      </c>
      <c r="K325" s="113">
        <f t="shared" si="38"/>
        <v>0</v>
      </c>
      <c r="L325" s="113">
        <v>0</v>
      </c>
      <c r="M325" s="113">
        <v>0</v>
      </c>
      <c r="N325" s="113">
        <v>0</v>
      </c>
      <c r="O325" s="113">
        <v>0</v>
      </c>
      <c r="P325" s="113">
        <v>0</v>
      </c>
    </row>
    <row r="326" spans="2:16" ht="13.9" customHeight="1" outlineLevel="1" x14ac:dyDescent="0.25">
      <c r="B326" s="149"/>
      <c r="C326" s="150" t="s">
        <v>54</v>
      </c>
      <c r="D326" s="85">
        <v>0</v>
      </c>
      <c r="E326" s="86">
        <v>0</v>
      </c>
      <c r="F326" s="142">
        <f t="shared" si="36"/>
        <v>0</v>
      </c>
      <c r="G326" s="113">
        <v>0</v>
      </c>
      <c r="H326" s="86">
        <v>0</v>
      </c>
      <c r="I326" s="113">
        <v>0</v>
      </c>
      <c r="J326" s="114">
        <f t="shared" si="37"/>
        <v>0</v>
      </c>
      <c r="K326" s="113">
        <f t="shared" si="38"/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</row>
    <row r="327" spans="2:16" ht="13.9" customHeight="1" outlineLevel="1" x14ac:dyDescent="0.25">
      <c r="B327" s="149"/>
      <c r="C327" s="150" t="s">
        <v>55</v>
      </c>
      <c r="D327" s="85">
        <v>0</v>
      </c>
      <c r="E327" s="86">
        <v>0</v>
      </c>
      <c r="F327" s="142">
        <f t="shared" si="36"/>
        <v>0</v>
      </c>
      <c r="G327" s="113">
        <v>0</v>
      </c>
      <c r="H327" s="86">
        <v>0</v>
      </c>
      <c r="I327" s="113">
        <v>0</v>
      </c>
      <c r="J327" s="114">
        <f t="shared" si="37"/>
        <v>0</v>
      </c>
      <c r="K327" s="113">
        <f t="shared" si="38"/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</row>
    <row r="328" spans="2:16" ht="13.9" customHeight="1" outlineLevel="1" x14ac:dyDescent="0.25">
      <c r="B328" s="149"/>
      <c r="C328" s="150" t="s">
        <v>56</v>
      </c>
      <c r="D328" s="85">
        <v>0</v>
      </c>
      <c r="E328" s="86">
        <v>0</v>
      </c>
      <c r="F328" s="142">
        <f t="shared" si="36"/>
        <v>0</v>
      </c>
      <c r="G328" s="113">
        <v>0</v>
      </c>
      <c r="H328" s="86">
        <v>0</v>
      </c>
      <c r="I328" s="113">
        <v>0</v>
      </c>
      <c r="J328" s="114">
        <f t="shared" si="37"/>
        <v>0</v>
      </c>
      <c r="K328" s="113">
        <f t="shared" si="38"/>
        <v>0</v>
      </c>
      <c r="L328" s="113">
        <v>0</v>
      </c>
      <c r="M328" s="113">
        <v>0</v>
      </c>
      <c r="N328" s="113">
        <v>0</v>
      </c>
      <c r="O328" s="113">
        <v>0</v>
      </c>
      <c r="P328" s="113">
        <v>0</v>
      </c>
    </row>
    <row r="329" spans="2:16" ht="13.9" customHeight="1" outlineLevel="1" x14ac:dyDescent="0.25">
      <c r="B329" s="149"/>
      <c r="C329" s="150" t="s">
        <v>57</v>
      </c>
      <c r="D329" s="85">
        <v>0</v>
      </c>
      <c r="E329" s="86">
        <v>0</v>
      </c>
      <c r="F329" s="142">
        <f t="shared" si="36"/>
        <v>0</v>
      </c>
      <c r="G329" s="113">
        <v>0</v>
      </c>
      <c r="H329" s="86">
        <v>0</v>
      </c>
      <c r="I329" s="113">
        <v>0</v>
      </c>
      <c r="J329" s="114">
        <f t="shared" si="37"/>
        <v>0</v>
      </c>
      <c r="K329" s="113">
        <f t="shared" si="38"/>
        <v>0</v>
      </c>
      <c r="L329" s="113">
        <v>0</v>
      </c>
      <c r="M329" s="113">
        <v>0</v>
      </c>
      <c r="N329" s="113">
        <v>0</v>
      </c>
      <c r="O329" s="113">
        <v>0</v>
      </c>
      <c r="P329" s="113">
        <v>0</v>
      </c>
    </row>
    <row r="330" spans="2:16" ht="13.9" customHeight="1" outlineLevel="1" x14ac:dyDescent="0.25">
      <c r="B330" s="149"/>
      <c r="C330" s="150" t="s">
        <v>58</v>
      </c>
      <c r="D330" s="85">
        <v>0</v>
      </c>
      <c r="E330" s="86">
        <v>0</v>
      </c>
      <c r="F330" s="142">
        <f t="shared" si="36"/>
        <v>0</v>
      </c>
      <c r="G330" s="113">
        <v>0</v>
      </c>
      <c r="H330" s="86">
        <v>0</v>
      </c>
      <c r="I330" s="113">
        <v>0</v>
      </c>
      <c r="J330" s="114">
        <f t="shared" si="37"/>
        <v>0</v>
      </c>
      <c r="K330" s="113">
        <f t="shared" si="38"/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</row>
    <row r="331" spans="2:16" ht="13.9" customHeight="1" outlineLevel="1" x14ac:dyDescent="0.25">
      <c r="B331" s="149"/>
      <c r="C331" s="150" t="s">
        <v>59</v>
      </c>
      <c r="D331" s="85">
        <v>0</v>
      </c>
      <c r="E331" s="86">
        <v>0</v>
      </c>
      <c r="F331" s="142">
        <f t="shared" si="36"/>
        <v>0</v>
      </c>
      <c r="G331" s="113">
        <v>0</v>
      </c>
      <c r="H331" s="86">
        <v>0</v>
      </c>
      <c r="I331" s="113">
        <v>0</v>
      </c>
      <c r="J331" s="114">
        <f t="shared" si="37"/>
        <v>0</v>
      </c>
      <c r="K331" s="113">
        <f t="shared" si="38"/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</row>
    <row r="332" spans="2:16" ht="13.9" customHeight="1" outlineLevel="1" x14ac:dyDescent="0.25">
      <c r="B332" s="149"/>
      <c r="C332" s="150" t="s">
        <v>60</v>
      </c>
      <c r="D332" s="85">
        <v>1</v>
      </c>
      <c r="E332" s="86">
        <v>4057383</v>
      </c>
      <c r="F332" s="142">
        <f t="shared" si="36"/>
        <v>1670038</v>
      </c>
      <c r="G332" s="113">
        <v>1670038</v>
      </c>
      <c r="H332" s="86">
        <v>2387345</v>
      </c>
      <c r="I332" s="113">
        <v>0</v>
      </c>
      <c r="J332" s="114">
        <f t="shared" si="37"/>
        <v>2387345</v>
      </c>
      <c r="K332" s="113">
        <f t="shared" si="38"/>
        <v>0</v>
      </c>
      <c r="L332" s="113">
        <v>0</v>
      </c>
      <c r="M332" s="113">
        <v>764391.8</v>
      </c>
      <c r="N332" s="113">
        <v>1622953.2</v>
      </c>
      <c r="O332" s="113">
        <v>0</v>
      </c>
      <c r="P332" s="113">
        <v>0</v>
      </c>
    </row>
    <row r="333" spans="2:16" ht="13.9" customHeight="1" outlineLevel="1" x14ac:dyDescent="0.25">
      <c r="B333" s="149"/>
      <c r="C333" s="150" t="s">
        <v>61</v>
      </c>
      <c r="D333" s="85">
        <v>0</v>
      </c>
      <c r="E333" s="86">
        <v>0</v>
      </c>
      <c r="F333" s="142">
        <f t="shared" si="36"/>
        <v>0</v>
      </c>
      <c r="G333" s="113">
        <v>0</v>
      </c>
      <c r="H333" s="86">
        <v>0</v>
      </c>
      <c r="I333" s="113">
        <v>0</v>
      </c>
      <c r="J333" s="114">
        <f t="shared" si="37"/>
        <v>0</v>
      </c>
      <c r="K333" s="113">
        <f t="shared" si="38"/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</row>
    <row r="334" spans="2:16" ht="13.9" customHeight="1" outlineLevel="1" x14ac:dyDescent="0.25">
      <c r="B334" s="149"/>
      <c r="C334" s="150" t="s">
        <v>62</v>
      </c>
      <c r="D334" s="85">
        <v>0</v>
      </c>
      <c r="E334" s="86">
        <v>0</v>
      </c>
      <c r="F334" s="142">
        <f t="shared" si="36"/>
        <v>0</v>
      </c>
      <c r="G334" s="113">
        <v>0</v>
      </c>
      <c r="H334" s="86">
        <v>0</v>
      </c>
      <c r="I334" s="113">
        <v>0</v>
      </c>
      <c r="J334" s="114">
        <f t="shared" si="37"/>
        <v>0</v>
      </c>
      <c r="K334" s="113">
        <f t="shared" si="38"/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</row>
    <row r="335" spans="2:16" ht="13.9" customHeight="1" outlineLevel="1" x14ac:dyDescent="0.25">
      <c r="B335" s="149"/>
      <c r="C335" s="150" t="s">
        <v>63</v>
      </c>
      <c r="D335" s="85">
        <v>1</v>
      </c>
      <c r="E335" s="86">
        <v>5575639.5</v>
      </c>
      <c r="F335" s="142">
        <f t="shared" si="36"/>
        <v>2661720</v>
      </c>
      <c r="G335" s="113">
        <v>2661720</v>
      </c>
      <c r="H335" s="86">
        <v>2913919.5</v>
      </c>
      <c r="I335" s="113">
        <v>0</v>
      </c>
      <c r="J335" s="114">
        <f t="shared" si="37"/>
        <v>2913919.5</v>
      </c>
      <c r="K335" s="113">
        <f t="shared" si="38"/>
        <v>0</v>
      </c>
      <c r="L335" s="113">
        <v>0</v>
      </c>
      <c r="M335" s="113">
        <v>683663.7</v>
      </c>
      <c r="N335" s="113">
        <v>2230255.7999999998</v>
      </c>
      <c r="O335" s="113">
        <v>0</v>
      </c>
      <c r="P335" s="113">
        <v>0</v>
      </c>
    </row>
    <row r="336" spans="2:16" ht="13.9" customHeight="1" outlineLevel="1" x14ac:dyDescent="0.25">
      <c r="B336" s="149"/>
      <c r="C336" s="150" t="s">
        <v>64</v>
      </c>
      <c r="D336" s="85">
        <v>12</v>
      </c>
      <c r="E336" s="86">
        <v>31773432.949999996</v>
      </c>
      <c r="F336" s="142">
        <f t="shared" si="36"/>
        <v>15110650.330000002</v>
      </c>
      <c r="G336" s="113">
        <v>14517096.110000001</v>
      </c>
      <c r="H336" s="86">
        <v>17256336.84</v>
      </c>
      <c r="I336" s="113">
        <v>593554.21999999986</v>
      </c>
      <c r="J336" s="114">
        <f t="shared" si="37"/>
        <v>16662782.619999999</v>
      </c>
      <c r="K336" s="113">
        <f t="shared" si="38"/>
        <v>16662782.619999999</v>
      </c>
      <c r="L336" s="113">
        <v>0</v>
      </c>
      <c r="M336" s="113">
        <v>0</v>
      </c>
      <c r="N336" s="113">
        <v>0</v>
      </c>
      <c r="O336" s="113">
        <v>0</v>
      </c>
      <c r="P336" s="113">
        <v>0</v>
      </c>
    </row>
    <row r="337" spans="2:16" ht="13.9" customHeight="1" outlineLevel="1" x14ac:dyDescent="0.25">
      <c r="B337" s="149"/>
      <c r="C337" s="150" t="s">
        <v>65</v>
      </c>
      <c r="D337" s="85">
        <v>0</v>
      </c>
      <c r="E337" s="86">
        <v>0</v>
      </c>
      <c r="F337" s="142">
        <f t="shared" si="36"/>
        <v>0</v>
      </c>
      <c r="G337" s="113">
        <v>0</v>
      </c>
      <c r="H337" s="86">
        <v>0</v>
      </c>
      <c r="I337" s="113">
        <v>0</v>
      </c>
      <c r="J337" s="114">
        <f t="shared" si="37"/>
        <v>0</v>
      </c>
      <c r="K337" s="113">
        <f t="shared" si="38"/>
        <v>0</v>
      </c>
      <c r="L337" s="113">
        <v>0</v>
      </c>
      <c r="M337" s="113">
        <v>0</v>
      </c>
      <c r="N337" s="113">
        <v>0</v>
      </c>
      <c r="O337" s="113">
        <v>0</v>
      </c>
      <c r="P337" s="113">
        <v>0</v>
      </c>
    </row>
    <row r="338" spans="2:16" ht="13.9" customHeight="1" outlineLevel="1" x14ac:dyDescent="0.25">
      <c r="B338" s="149"/>
      <c r="C338" s="150" t="s">
        <v>66</v>
      </c>
      <c r="D338" s="85">
        <v>0</v>
      </c>
      <c r="E338" s="86">
        <v>0</v>
      </c>
      <c r="F338" s="142">
        <f t="shared" si="36"/>
        <v>0</v>
      </c>
      <c r="G338" s="113">
        <v>0</v>
      </c>
      <c r="H338" s="86">
        <v>0</v>
      </c>
      <c r="I338" s="113">
        <v>0</v>
      </c>
      <c r="J338" s="114">
        <f t="shared" si="37"/>
        <v>0</v>
      </c>
      <c r="K338" s="113">
        <f t="shared" si="38"/>
        <v>0</v>
      </c>
      <c r="L338" s="113">
        <v>0</v>
      </c>
      <c r="M338" s="113">
        <v>0</v>
      </c>
      <c r="N338" s="113">
        <v>0</v>
      </c>
      <c r="O338" s="113">
        <v>0</v>
      </c>
      <c r="P338" s="113">
        <v>0</v>
      </c>
    </row>
    <row r="339" spans="2:16" ht="13.9" customHeight="1" outlineLevel="1" x14ac:dyDescent="0.25">
      <c r="B339" s="149"/>
      <c r="C339" s="150" t="s">
        <v>67</v>
      </c>
      <c r="D339" s="85">
        <v>0</v>
      </c>
      <c r="E339" s="86">
        <v>0</v>
      </c>
      <c r="F339" s="142">
        <f t="shared" si="36"/>
        <v>0</v>
      </c>
      <c r="G339" s="113">
        <v>0</v>
      </c>
      <c r="H339" s="86">
        <v>0</v>
      </c>
      <c r="I339" s="113">
        <v>0</v>
      </c>
      <c r="J339" s="114">
        <f t="shared" si="37"/>
        <v>0</v>
      </c>
      <c r="K339" s="113">
        <f t="shared" si="38"/>
        <v>0</v>
      </c>
      <c r="L339" s="113">
        <v>0</v>
      </c>
      <c r="M339" s="113">
        <v>0</v>
      </c>
      <c r="N339" s="113">
        <v>0</v>
      </c>
      <c r="O339" s="113">
        <v>0</v>
      </c>
      <c r="P339" s="113">
        <v>0</v>
      </c>
    </row>
    <row r="340" spans="2:16" ht="13.9" customHeight="1" x14ac:dyDescent="0.25">
      <c r="B340" s="149"/>
      <c r="C340" s="148" t="s">
        <v>103</v>
      </c>
      <c r="D340" s="90">
        <f>SUM(D303:D339)</f>
        <v>292</v>
      </c>
      <c r="E340" s="91">
        <f t="shared" ref="E340:P340" si="39">SUM(E303:E339)</f>
        <v>593987139.19000006</v>
      </c>
      <c r="F340" s="92">
        <f t="shared" si="39"/>
        <v>329070155.34000003</v>
      </c>
      <c r="G340" s="93">
        <f t="shared" si="39"/>
        <v>311190223.51999998</v>
      </c>
      <c r="H340" s="90">
        <f t="shared" si="39"/>
        <v>282796915.67000008</v>
      </c>
      <c r="I340" s="91">
        <f t="shared" si="39"/>
        <v>17879931.819999997</v>
      </c>
      <c r="J340" s="92">
        <f t="shared" si="39"/>
        <v>264916983.85000008</v>
      </c>
      <c r="K340" s="93">
        <f t="shared" si="39"/>
        <v>137017647.70000005</v>
      </c>
      <c r="L340" s="90">
        <f t="shared" si="39"/>
        <v>111806420.46000001</v>
      </c>
      <c r="M340" s="91">
        <f t="shared" si="39"/>
        <v>11115300.01</v>
      </c>
      <c r="N340" s="90">
        <f t="shared" si="39"/>
        <v>4977615.68</v>
      </c>
      <c r="O340" s="91">
        <f t="shared" si="39"/>
        <v>0</v>
      </c>
      <c r="P340" s="91">
        <f t="shared" si="39"/>
        <v>0</v>
      </c>
    </row>
    <row r="341" spans="2:16" ht="13.9" customHeight="1" outlineLevel="1" x14ac:dyDescent="0.25">
      <c r="B341" s="149" t="s">
        <v>83</v>
      </c>
      <c r="C341" s="150" t="s">
        <v>70</v>
      </c>
      <c r="D341" s="85">
        <v>75</v>
      </c>
      <c r="E341" s="86">
        <v>118955476.91999997</v>
      </c>
      <c r="F341" s="142">
        <f t="shared" si="36"/>
        <v>55986537.030000009</v>
      </c>
      <c r="G341" s="113">
        <v>55016844.820000008</v>
      </c>
      <c r="H341" s="86">
        <v>63938632.099999987</v>
      </c>
      <c r="I341" s="113">
        <v>969692.21000000008</v>
      </c>
      <c r="J341" s="114">
        <f t="shared" si="37"/>
        <v>62968939.889999986</v>
      </c>
      <c r="K341" s="113">
        <f t="shared" si="38"/>
        <v>12485590.579999976</v>
      </c>
      <c r="L341" s="113">
        <v>36370787.040000014</v>
      </c>
      <c r="M341" s="113">
        <v>12424982.579999998</v>
      </c>
      <c r="N341" s="113">
        <v>1687579.69</v>
      </c>
      <c r="O341" s="113">
        <v>0</v>
      </c>
      <c r="P341" s="113">
        <v>0</v>
      </c>
    </row>
    <row r="342" spans="2:16" ht="13.9" customHeight="1" outlineLevel="1" x14ac:dyDescent="0.25">
      <c r="B342" s="149"/>
      <c r="C342" s="150" t="s">
        <v>71</v>
      </c>
      <c r="D342" s="85">
        <v>0</v>
      </c>
      <c r="E342" s="86">
        <v>0</v>
      </c>
      <c r="F342" s="142">
        <f t="shared" si="36"/>
        <v>0</v>
      </c>
      <c r="G342" s="113">
        <v>0</v>
      </c>
      <c r="H342" s="86">
        <v>0</v>
      </c>
      <c r="I342" s="113">
        <v>0</v>
      </c>
      <c r="J342" s="114">
        <f t="shared" si="37"/>
        <v>0</v>
      </c>
      <c r="K342" s="113">
        <f t="shared" si="38"/>
        <v>0</v>
      </c>
      <c r="L342" s="113">
        <v>0</v>
      </c>
      <c r="M342" s="113">
        <v>0</v>
      </c>
      <c r="N342" s="113">
        <v>0</v>
      </c>
      <c r="O342" s="113">
        <v>0</v>
      </c>
      <c r="P342" s="113">
        <v>0</v>
      </c>
    </row>
    <row r="343" spans="2:16" ht="13.9" customHeight="1" outlineLevel="1" x14ac:dyDescent="0.25">
      <c r="B343" s="149"/>
      <c r="C343" s="150" t="s">
        <v>72</v>
      </c>
      <c r="D343" s="85">
        <v>3</v>
      </c>
      <c r="E343" s="86">
        <v>4402678.6899999995</v>
      </c>
      <c r="F343" s="142">
        <f t="shared" si="36"/>
        <v>1764015.24</v>
      </c>
      <c r="G343" s="113">
        <v>1764015.24</v>
      </c>
      <c r="H343" s="86">
        <v>2638663.4500000002</v>
      </c>
      <c r="I343" s="113">
        <v>0</v>
      </c>
      <c r="J343" s="114">
        <f t="shared" si="37"/>
        <v>2638663.4500000002</v>
      </c>
      <c r="K343" s="113">
        <f t="shared" si="38"/>
        <v>437324.10000000009</v>
      </c>
      <c r="L343" s="113">
        <v>440267.87</v>
      </c>
      <c r="M343" s="113">
        <v>0</v>
      </c>
      <c r="N343" s="113">
        <v>1761071.48</v>
      </c>
      <c r="O343" s="113">
        <v>0</v>
      </c>
      <c r="P343" s="113">
        <v>0</v>
      </c>
    </row>
    <row r="344" spans="2:16" ht="13.9" customHeight="1" x14ac:dyDescent="0.25">
      <c r="B344" s="149"/>
      <c r="C344" s="148" t="s">
        <v>104</v>
      </c>
      <c r="D344" s="90">
        <f>SUM(D341:D343)</f>
        <v>78</v>
      </c>
      <c r="E344" s="91">
        <f t="shared" ref="E344:P344" si="40">SUM(E341:E343)</f>
        <v>123358155.60999997</v>
      </c>
      <c r="F344" s="92">
        <f t="shared" si="40"/>
        <v>57750552.270000011</v>
      </c>
      <c r="G344" s="93">
        <f t="shared" si="40"/>
        <v>56780860.06000001</v>
      </c>
      <c r="H344" s="90">
        <f t="shared" si="40"/>
        <v>66577295.54999999</v>
      </c>
      <c r="I344" s="91">
        <f t="shared" si="40"/>
        <v>969692.21000000008</v>
      </c>
      <c r="J344" s="92">
        <f t="shared" si="40"/>
        <v>65607603.339999989</v>
      </c>
      <c r="K344" s="93">
        <f t="shared" si="40"/>
        <v>12922914.679999975</v>
      </c>
      <c r="L344" s="90">
        <f t="shared" si="40"/>
        <v>36811054.910000011</v>
      </c>
      <c r="M344" s="91">
        <f t="shared" si="40"/>
        <v>12424982.579999998</v>
      </c>
      <c r="N344" s="90">
        <f t="shared" si="40"/>
        <v>3448651.17</v>
      </c>
      <c r="O344" s="91">
        <f t="shared" si="40"/>
        <v>0</v>
      </c>
      <c r="P344" s="91">
        <f t="shared" si="40"/>
        <v>0</v>
      </c>
    </row>
    <row r="345" spans="2:16" ht="13.9" customHeight="1" outlineLevel="1" x14ac:dyDescent="0.25">
      <c r="B345" s="149" t="s">
        <v>105</v>
      </c>
      <c r="C345" s="150" t="s">
        <v>75</v>
      </c>
      <c r="D345" s="85">
        <v>0</v>
      </c>
      <c r="E345" s="86">
        <v>0</v>
      </c>
      <c r="F345" s="142">
        <f t="shared" si="36"/>
        <v>0</v>
      </c>
      <c r="G345" s="113">
        <v>0</v>
      </c>
      <c r="H345" s="86">
        <v>0</v>
      </c>
      <c r="I345" s="113">
        <v>0</v>
      </c>
      <c r="J345" s="114">
        <f t="shared" si="37"/>
        <v>0</v>
      </c>
      <c r="K345" s="113">
        <f t="shared" si="38"/>
        <v>0</v>
      </c>
      <c r="L345" s="113">
        <v>0</v>
      </c>
      <c r="M345" s="113">
        <v>0</v>
      </c>
      <c r="N345" s="113">
        <v>0</v>
      </c>
      <c r="O345" s="113">
        <v>0</v>
      </c>
      <c r="P345" s="113">
        <v>0</v>
      </c>
    </row>
    <row r="346" spans="2:16" ht="13.9" customHeight="1" outlineLevel="1" x14ac:dyDescent="0.25">
      <c r="B346" s="149"/>
      <c r="C346" s="150" t="s">
        <v>76</v>
      </c>
      <c r="D346" s="85">
        <v>1</v>
      </c>
      <c r="E346" s="86">
        <v>1185468.1599999999</v>
      </c>
      <c r="F346" s="142">
        <f t="shared" si="36"/>
        <v>481119</v>
      </c>
      <c r="G346" s="113">
        <v>481119</v>
      </c>
      <c r="H346" s="86">
        <v>704349.15999999992</v>
      </c>
      <c r="I346" s="113">
        <v>0</v>
      </c>
      <c r="J346" s="114">
        <f t="shared" si="37"/>
        <v>704349.15999999992</v>
      </c>
      <c r="K346" s="113">
        <f t="shared" si="38"/>
        <v>111615.07999999984</v>
      </c>
      <c r="L346" s="113">
        <v>118546.82</v>
      </c>
      <c r="M346" s="113">
        <v>474187.26</v>
      </c>
      <c r="N346" s="113">
        <v>0</v>
      </c>
      <c r="O346" s="113">
        <v>0</v>
      </c>
      <c r="P346" s="113">
        <v>0</v>
      </c>
    </row>
    <row r="347" spans="2:16" ht="13.9" customHeight="1" x14ac:dyDescent="0.25">
      <c r="B347" s="149"/>
      <c r="C347" s="148" t="s">
        <v>106</v>
      </c>
      <c r="D347" s="90">
        <f>SUM(D345:D346)</f>
        <v>1</v>
      </c>
      <c r="E347" s="91">
        <f t="shared" ref="E347:P347" si="41">SUM(E345:E346)</f>
        <v>1185468.1599999999</v>
      </c>
      <c r="F347" s="92">
        <f t="shared" si="41"/>
        <v>481119</v>
      </c>
      <c r="G347" s="93">
        <f t="shared" si="41"/>
        <v>481119</v>
      </c>
      <c r="H347" s="90">
        <f t="shared" si="41"/>
        <v>704349.15999999992</v>
      </c>
      <c r="I347" s="91">
        <f t="shared" si="41"/>
        <v>0</v>
      </c>
      <c r="J347" s="92">
        <f t="shared" si="41"/>
        <v>704349.15999999992</v>
      </c>
      <c r="K347" s="93">
        <f t="shared" si="41"/>
        <v>111615.07999999984</v>
      </c>
      <c r="L347" s="90">
        <f t="shared" si="41"/>
        <v>118546.82</v>
      </c>
      <c r="M347" s="91">
        <f t="shared" si="41"/>
        <v>474187.26</v>
      </c>
      <c r="N347" s="90">
        <f t="shared" si="41"/>
        <v>0</v>
      </c>
      <c r="O347" s="91">
        <f t="shared" si="41"/>
        <v>0</v>
      </c>
      <c r="P347" s="91">
        <f t="shared" si="41"/>
        <v>0</v>
      </c>
    </row>
    <row r="348" spans="2:16" ht="13.9" customHeight="1" x14ac:dyDescent="0.25">
      <c r="B348" s="155" t="s">
        <v>78</v>
      </c>
      <c r="C348" s="155"/>
      <c r="D348" s="90">
        <f>D340+D344+D347</f>
        <v>371</v>
      </c>
      <c r="E348" s="91">
        <f t="shared" ref="E348:P348" si="42">E340+E344+E347</f>
        <v>718530762.96000004</v>
      </c>
      <c r="F348" s="92">
        <f t="shared" si="42"/>
        <v>387301826.61000001</v>
      </c>
      <c r="G348" s="93">
        <f t="shared" si="42"/>
        <v>368452202.57999998</v>
      </c>
      <c r="H348" s="90">
        <f t="shared" si="42"/>
        <v>350078560.38000011</v>
      </c>
      <c r="I348" s="91">
        <f t="shared" si="42"/>
        <v>18849624.029999997</v>
      </c>
      <c r="J348" s="92">
        <f t="shared" si="42"/>
        <v>331228936.35000008</v>
      </c>
      <c r="K348" s="93">
        <f t="shared" si="42"/>
        <v>150052177.46000004</v>
      </c>
      <c r="L348" s="90">
        <f t="shared" si="42"/>
        <v>148736022.19</v>
      </c>
      <c r="M348" s="91">
        <f t="shared" si="42"/>
        <v>24014469.849999998</v>
      </c>
      <c r="N348" s="90">
        <f t="shared" si="42"/>
        <v>8426266.8499999996</v>
      </c>
      <c r="O348" s="91">
        <f t="shared" si="42"/>
        <v>0</v>
      </c>
      <c r="P348" s="91">
        <f t="shared" si="42"/>
        <v>0</v>
      </c>
    </row>
    <row r="349" spans="2:16" ht="13.9" customHeight="1" x14ac:dyDescent="0.25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</row>
    <row r="350" spans="2:16" ht="13.9" customHeight="1" x14ac:dyDescent="0.25">
      <c r="B350" s="107" t="s">
        <v>92</v>
      </c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</row>
    <row r="351" spans="2:16" ht="13.9" customHeight="1" x14ac:dyDescent="0.25">
      <c r="B351" s="154" t="s">
        <v>26</v>
      </c>
      <c r="C351" s="148" t="s">
        <v>27</v>
      </c>
      <c r="D351" s="109" t="s">
        <v>28</v>
      </c>
      <c r="E351" s="110" t="s">
        <v>29</v>
      </c>
      <c r="F351" s="111" t="s">
        <v>85</v>
      </c>
      <c r="G351" s="112" t="s">
        <v>81</v>
      </c>
      <c r="H351" s="110" t="s">
        <v>82</v>
      </c>
      <c r="I351" s="112" t="s">
        <v>86</v>
      </c>
      <c r="J351" s="110" t="s">
        <v>87</v>
      </c>
      <c r="K351" s="112">
        <v>2026</v>
      </c>
      <c r="L351" s="112">
        <v>2027</v>
      </c>
      <c r="M351" s="110">
        <v>2028</v>
      </c>
      <c r="N351" s="112">
        <v>2029</v>
      </c>
      <c r="O351" s="110">
        <v>2030</v>
      </c>
      <c r="P351" s="112">
        <v>2031</v>
      </c>
    </row>
    <row r="352" spans="2:16" ht="13.9" customHeight="1" outlineLevel="1" x14ac:dyDescent="0.25">
      <c r="B352" s="149" t="s">
        <v>30</v>
      </c>
      <c r="C352" s="150" t="s">
        <v>31</v>
      </c>
      <c r="D352" s="85">
        <v>57</v>
      </c>
      <c r="E352" s="86">
        <v>111975968.05000001</v>
      </c>
      <c r="F352" s="142">
        <f t="shared" ref="F352:F395" si="43">G352+I352</f>
        <v>89198160.449999958</v>
      </c>
      <c r="G352" s="113">
        <v>89198160.449999958</v>
      </c>
      <c r="H352" s="86">
        <v>23084163.169999998</v>
      </c>
      <c r="I352" s="113">
        <v>0</v>
      </c>
      <c r="J352" s="114">
        <f t="shared" ref="J352:J395" si="44">MAX(0,H352-I352)</f>
        <v>23084163.169999998</v>
      </c>
      <c r="K352" s="113">
        <f t="shared" ref="K352:K395" si="45">MAX(J352-SUM(L352:P352),0)</f>
        <v>23084163.169999998</v>
      </c>
      <c r="L352" s="113">
        <v>0</v>
      </c>
      <c r="M352" s="113">
        <v>0</v>
      </c>
      <c r="N352" s="113">
        <v>0</v>
      </c>
      <c r="O352" s="113">
        <v>0</v>
      </c>
      <c r="P352" s="113">
        <v>0</v>
      </c>
    </row>
    <row r="353" spans="2:16" ht="13.9" customHeight="1" outlineLevel="1" x14ac:dyDescent="0.25">
      <c r="B353" s="149"/>
      <c r="C353" s="150" t="s">
        <v>32</v>
      </c>
      <c r="D353" s="85">
        <v>33</v>
      </c>
      <c r="E353" s="86">
        <v>68476015.159999996</v>
      </c>
      <c r="F353" s="142">
        <f t="shared" si="43"/>
        <v>60359633.649999984</v>
      </c>
      <c r="G353" s="113">
        <v>60185914.289999984</v>
      </c>
      <c r="H353" s="86">
        <v>8568364.5300000031</v>
      </c>
      <c r="I353" s="113">
        <v>173719.35999999996</v>
      </c>
      <c r="J353" s="114">
        <f t="shared" si="44"/>
        <v>8394645.1700000037</v>
      </c>
      <c r="K353" s="113">
        <f t="shared" si="45"/>
        <v>8085222.0000000037</v>
      </c>
      <c r="L353" s="113">
        <v>309423.17</v>
      </c>
      <c r="M353" s="113">
        <v>0</v>
      </c>
      <c r="N353" s="113">
        <v>0</v>
      </c>
      <c r="O353" s="113">
        <v>0</v>
      </c>
      <c r="P353" s="113">
        <v>0</v>
      </c>
    </row>
    <row r="354" spans="2:16" ht="13.9" customHeight="1" outlineLevel="1" x14ac:dyDescent="0.25">
      <c r="B354" s="149"/>
      <c r="C354" s="150" t="s">
        <v>33</v>
      </c>
      <c r="D354" s="85">
        <v>75</v>
      </c>
      <c r="E354" s="86">
        <v>130166989.51000001</v>
      </c>
      <c r="F354" s="142">
        <f t="shared" si="43"/>
        <v>103252199.68000002</v>
      </c>
      <c r="G354" s="113">
        <v>103211305.09000002</v>
      </c>
      <c r="H354" s="86">
        <v>27264849.530000005</v>
      </c>
      <c r="I354" s="113">
        <v>40894.589999999997</v>
      </c>
      <c r="J354" s="114">
        <f t="shared" si="44"/>
        <v>27223954.940000005</v>
      </c>
      <c r="K354" s="113">
        <f t="shared" si="45"/>
        <v>17631591.570000008</v>
      </c>
      <c r="L354" s="113">
        <v>9592363.3699999992</v>
      </c>
      <c r="M354" s="113">
        <v>0</v>
      </c>
      <c r="N354" s="113">
        <v>0</v>
      </c>
      <c r="O354" s="113">
        <v>0</v>
      </c>
      <c r="P354" s="113">
        <v>0</v>
      </c>
    </row>
    <row r="355" spans="2:16" ht="13.9" customHeight="1" outlineLevel="1" x14ac:dyDescent="0.25">
      <c r="B355" s="149"/>
      <c r="C355" s="150" t="s">
        <v>34</v>
      </c>
      <c r="D355" s="85">
        <v>27</v>
      </c>
      <c r="E355" s="86">
        <v>68472815.99000001</v>
      </c>
      <c r="F355" s="142">
        <f t="shared" si="43"/>
        <v>54421511.869999997</v>
      </c>
      <c r="G355" s="113">
        <v>54421309.189999998</v>
      </c>
      <c r="H355" s="86">
        <v>14382911.719999999</v>
      </c>
      <c r="I355" s="113">
        <v>202.68</v>
      </c>
      <c r="J355" s="114">
        <f t="shared" si="44"/>
        <v>14382709.039999999</v>
      </c>
      <c r="K355" s="113">
        <f t="shared" si="45"/>
        <v>3335000.83</v>
      </c>
      <c r="L355" s="113">
        <v>7344204.5999999996</v>
      </c>
      <c r="M355" s="113">
        <v>3703503.6099999994</v>
      </c>
      <c r="N355" s="113">
        <v>0</v>
      </c>
      <c r="O355" s="113">
        <v>0</v>
      </c>
      <c r="P355" s="113">
        <v>0</v>
      </c>
    </row>
    <row r="356" spans="2:16" ht="13.9" customHeight="1" outlineLevel="1" x14ac:dyDescent="0.25">
      <c r="B356" s="149"/>
      <c r="C356" s="150" t="s">
        <v>35</v>
      </c>
      <c r="D356" s="85">
        <v>71</v>
      </c>
      <c r="E356" s="86">
        <v>78391793.329999983</v>
      </c>
      <c r="F356" s="142">
        <f t="shared" si="43"/>
        <v>78678034.910000026</v>
      </c>
      <c r="G356" s="113">
        <v>78674024.960000023</v>
      </c>
      <c r="H356" s="86">
        <v>4009.7900000001537</v>
      </c>
      <c r="I356" s="113">
        <v>4009.95</v>
      </c>
      <c r="J356" s="114">
        <f t="shared" si="44"/>
        <v>0</v>
      </c>
      <c r="K356" s="113">
        <f t="shared" si="45"/>
        <v>0</v>
      </c>
      <c r="L356" s="113">
        <v>0</v>
      </c>
      <c r="M356" s="113">
        <v>0</v>
      </c>
      <c r="N356" s="113">
        <v>0</v>
      </c>
      <c r="O356" s="113">
        <v>0</v>
      </c>
      <c r="P356" s="113">
        <v>0</v>
      </c>
    </row>
    <row r="357" spans="2:16" ht="13.9" customHeight="1" outlineLevel="1" x14ac:dyDescent="0.25">
      <c r="B357" s="149"/>
      <c r="C357" s="150" t="s">
        <v>36</v>
      </c>
      <c r="D357" s="85">
        <v>0</v>
      </c>
      <c r="E357" s="86">
        <v>0</v>
      </c>
      <c r="F357" s="142">
        <f t="shared" si="43"/>
        <v>0</v>
      </c>
      <c r="G357" s="113">
        <v>0</v>
      </c>
      <c r="H357" s="86">
        <v>0</v>
      </c>
      <c r="I357" s="113">
        <v>0</v>
      </c>
      <c r="J357" s="114">
        <f t="shared" si="44"/>
        <v>0</v>
      </c>
      <c r="K357" s="113">
        <f t="shared" si="45"/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</row>
    <row r="358" spans="2:16" ht="13.9" customHeight="1" outlineLevel="1" x14ac:dyDescent="0.25">
      <c r="B358" s="149"/>
      <c r="C358" s="150" t="s">
        <v>37</v>
      </c>
      <c r="D358" s="85">
        <v>38</v>
      </c>
      <c r="E358" s="86">
        <v>68649077.629999995</v>
      </c>
      <c r="F358" s="142">
        <f t="shared" si="43"/>
        <v>71943154</v>
      </c>
      <c r="G358" s="113">
        <v>71943153.219999999</v>
      </c>
      <c r="H358" s="86">
        <v>159051.7799999998</v>
      </c>
      <c r="I358" s="113">
        <v>0.78</v>
      </c>
      <c r="J358" s="114">
        <f t="shared" si="44"/>
        <v>159050.9999999998</v>
      </c>
      <c r="K358" s="113">
        <f t="shared" si="45"/>
        <v>159050.9999999998</v>
      </c>
      <c r="L358" s="113">
        <v>0</v>
      </c>
      <c r="M358" s="113">
        <v>0</v>
      </c>
      <c r="N358" s="113">
        <v>0</v>
      </c>
      <c r="O358" s="113">
        <v>0</v>
      </c>
      <c r="P358" s="113">
        <v>0</v>
      </c>
    </row>
    <row r="359" spans="2:16" ht="13.9" customHeight="1" outlineLevel="1" x14ac:dyDescent="0.25">
      <c r="B359" s="149"/>
      <c r="C359" s="150" t="s">
        <v>38</v>
      </c>
      <c r="D359" s="85">
        <v>2</v>
      </c>
      <c r="E359" s="86">
        <v>9901228.5999999996</v>
      </c>
      <c r="F359" s="142">
        <f t="shared" si="43"/>
        <v>9901288</v>
      </c>
      <c r="G359" s="113">
        <v>9901288</v>
      </c>
      <c r="H359" s="86">
        <v>0</v>
      </c>
      <c r="I359" s="113">
        <v>0</v>
      </c>
      <c r="J359" s="114">
        <f t="shared" si="44"/>
        <v>0</v>
      </c>
      <c r="K359" s="113">
        <f t="shared" si="45"/>
        <v>0</v>
      </c>
      <c r="L359" s="113">
        <v>0</v>
      </c>
      <c r="M359" s="113">
        <v>0</v>
      </c>
      <c r="N359" s="113">
        <v>0</v>
      </c>
      <c r="O359" s="113">
        <v>0</v>
      </c>
      <c r="P359" s="113">
        <v>0</v>
      </c>
    </row>
    <row r="360" spans="2:16" ht="13.9" customHeight="1" outlineLevel="1" x14ac:dyDescent="0.25">
      <c r="B360" s="149"/>
      <c r="C360" s="150" t="s">
        <v>39</v>
      </c>
      <c r="D360" s="85">
        <v>3</v>
      </c>
      <c r="E360" s="86">
        <v>16010352.039999999</v>
      </c>
      <c r="F360" s="142">
        <f t="shared" si="43"/>
        <v>16010573.219999999</v>
      </c>
      <c r="G360" s="113">
        <v>16010573.219999999</v>
      </c>
      <c r="H360" s="86">
        <v>0</v>
      </c>
      <c r="I360" s="113">
        <v>0</v>
      </c>
      <c r="J360" s="114">
        <f t="shared" si="44"/>
        <v>0</v>
      </c>
      <c r="K360" s="113">
        <f t="shared" si="45"/>
        <v>0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</row>
    <row r="361" spans="2:16" ht="13.9" customHeight="1" outlineLevel="1" x14ac:dyDescent="0.25">
      <c r="B361" s="149"/>
      <c r="C361" s="150" t="s">
        <v>40</v>
      </c>
      <c r="D361" s="85">
        <v>0</v>
      </c>
      <c r="E361" s="86">
        <v>0</v>
      </c>
      <c r="F361" s="142">
        <f t="shared" si="43"/>
        <v>0</v>
      </c>
      <c r="G361" s="113">
        <v>0</v>
      </c>
      <c r="H361" s="86">
        <v>0</v>
      </c>
      <c r="I361" s="113">
        <v>0</v>
      </c>
      <c r="J361" s="114">
        <f t="shared" si="44"/>
        <v>0</v>
      </c>
      <c r="K361" s="113">
        <f t="shared" si="45"/>
        <v>0</v>
      </c>
      <c r="L361" s="113">
        <v>0</v>
      </c>
      <c r="M361" s="113">
        <v>0</v>
      </c>
      <c r="N361" s="113">
        <v>0</v>
      </c>
      <c r="O361" s="113">
        <v>0</v>
      </c>
      <c r="P361" s="113">
        <v>0</v>
      </c>
    </row>
    <row r="362" spans="2:16" ht="13.9" customHeight="1" outlineLevel="1" x14ac:dyDescent="0.25">
      <c r="B362" s="149"/>
      <c r="C362" s="150" t="s">
        <v>41</v>
      </c>
      <c r="D362" s="85">
        <v>23</v>
      </c>
      <c r="E362" s="86">
        <v>45547360.689999998</v>
      </c>
      <c r="F362" s="142">
        <f t="shared" si="43"/>
        <v>45876661.170000002</v>
      </c>
      <c r="G362" s="113">
        <v>45876655.810000002</v>
      </c>
      <c r="H362" s="86">
        <v>5.3599999998696148</v>
      </c>
      <c r="I362" s="113">
        <v>5.36</v>
      </c>
      <c r="J362" s="114">
        <f t="shared" si="44"/>
        <v>0</v>
      </c>
      <c r="K362" s="113">
        <f t="shared" si="45"/>
        <v>0</v>
      </c>
      <c r="L362" s="113">
        <v>0</v>
      </c>
      <c r="M362" s="113">
        <v>0</v>
      </c>
      <c r="N362" s="113">
        <v>0</v>
      </c>
      <c r="O362" s="113">
        <v>0</v>
      </c>
      <c r="P362" s="113">
        <v>0</v>
      </c>
    </row>
    <row r="363" spans="2:16" ht="13.9" customHeight="1" outlineLevel="1" x14ac:dyDescent="0.25">
      <c r="B363" s="149"/>
      <c r="C363" s="150" t="s">
        <v>42</v>
      </c>
      <c r="D363" s="85">
        <v>61</v>
      </c>
      <c r="E363" s="86">
        <v>121251877.3</v>
      </c>
      <c r="F363" s="142">
        <f t="shared" si="43"/>
        <v>90967323.060000032</v>
      </c>
      <c r="G363" s="113">
        <v>90452320.200000033</v>
      </c>
      <c r="H363" s="86">
        <v>30799803.280000005</v>
      </c>
      <c r="I363" s="113">
        <v>515002.86</v>
      </c>
      <c r="J363" s="114">
        <f t="shared" si="44"/>
        <v>30284800.420000006</v>
      </c>
      <c r="K363" s="113">
        <f t="shared" si="45"/>
        <v>9253155.9700000137</v>
      </c>
      <c r="L363" s="113">
        <v>21031644.449999992</v>
      </c>
      <c r="M363" s="113">
        <v>0</v>
      </c>
      <c r="N363" s="113">
        <v>0</v>
      </c>
      <c r="O363" s="113">
        <v>0</v>
      </c>
      <c r="P363" s="113">
        <v>0</v>
      </c>
    </row>
    <row r="364" spans="2:16" ht="13.9" customHeight="1" outlineLevel="1" x14ac:dyDescent="0.25">
      <c r="B364" s="149"/>
      <c r="C364" s="150" t="s">
        <v>43</v>
      </c>
      <c r="D364" s="85">
        <v>10</v>
      </c>
      <c r="E364" s="86">
        <v>41932394.200000003</v>
      </c>
      <c r="F364" s="142">
        <f t="shared" si="43"/>
        <v>34604925.609999999</v>
      </c>
      <c r="G364" s="113">
        <v>33421436.530000001</v>
      </c>
      <c r="H364" s="86">
        <v>8511103.5899999999</v>
      </c>
      <c r="I364" s="113">
        <v>1183489.08</v>
      </c>
      <c r="J364" s="114">
        <f t="shared" si="44"/>
        <v>7327614.5099999998</v>
      </c>
      <c r="K364" s="113">
        <f t="shared" si="45"/>
        <v>5722483.0499999998</v>
      </c>
      <c r="L364" s="113">
        <v>1605131.46</v>
      </c>
      <c r="M364" s="113">
        <v>0</v>
      </c>
      <c r="N364" s="113">
        <v>0</v>
      </c>
      <c r="O364" s="113">
        <v>0</v>
      </c>
      <c r="P364" s="113">
        <v>0</v>
      </c>
    </row>
    <row r="365" spans="2:16" ht="13.9" customHeight="1" outlineLevel="1" x14ac:dyDescent="0.25">
      <c r="B365" s="149"/>
      <c r="C365" s="150" t="s">
        <v>44</v>
      </c>
      <c r="D365" s="85">
        <v>2</v>
      </c>
      <c r="E365" s="86">
        <v>4433111.9000000004</v>
      </c>
      <c r="F365" s="142">
        <f t="shared" si="43"/>
        <v>3834460.4000000004</v>
      </c>
      <c r="G365" s="113">
        <v>3834460.4000000004</v>
      </c>
      <c r="H365" s="86">
        <v>598651.69999999995</v>
      </c>
      <c r="I365" s="113">
        <v>0</v>
      </c>
      <c r="J365" s="114">
        <f t="shared" si="44"/>
        <v>598651.69999999995</v>
      </c>
      <c r="K365" s="113">
        <f t="shared" si="45"/>
        <v>0</v>
      </c>
      <c r="L365" s="113">
        <v>0</v>
      </c>
      <c r="M365" s="113">
        <v>598651.69999999995</v>
      </c>
      <c r="N365" s="113">
        <v>0</v>
      </c>
      <c r="O365" s="113">
        <v>0</v>
      </c>
      <c r="P365" s="113">
        <v>0</v>
      </c>
    </row>
    <row r="366" spans="2:16" ht="13.9" customHeight="1" outlineLevel="1" x14ac:dyDescent="0.25">
      <c r="B366" s="149"/>
      <c r="C366" s="150" t="s">
        <v>45</v>
      </c>
      <c r="D366" s="85">
        <v>2</v>
      </c>
      <c r="E366" s="86">
        <v>3773340.85</v>
      </c>
      <c r="F366" s="142">
        <f t="shared" si="43"/>
        <v>2276904.58</v>
      </c>
      <c r="G366" s="113">
        <v>2276904.58</v>
      </c>
      <c r="H366" s="86">
        <v>1496436.27</v>
      </c>
      <c r="I366" s="113">
        <v>0</v>
      </c>
      <c r="J366" s="114">
        <f t="shared" si="44"/>
        <v>1496436.27</v>
      </c>
      <c r="K366" s="113">
        <f t="shared" si="45"/>
        <v>0</v>
      </c>
      <c r="L366" s="113">
        <v>0</v>
      </c>
      <c r="M366" s="113">
        <v>0</v>
      </c>
      <c r="N366" s="113">
        <v>1496436.29</v>
      </c>
      <c r="O366" s="113">
        <v>0</v>
      </c>
      <c r="P366" s="113">
        <v>0</v>
      </c>
    </row>
    <row r="367" spans="2:16" ht="13.9" customHeight="1" outlineLevel="1" x14ac:dyDescent="0.25">
      <c r="B367" s="149"/>
      <c r="C367" s="150" t="s">
        <v>46</v>
      </c>
      <c r="D367" s="85">
        <v>0</v>
      </c>
      <c r="E367" s="86">
        <v>0</v>
      </c>
      <c r="F367" s="142">
        <f t="shared" si="43"/>
        <v>0</v>
      </c>
      <c r="G367" s="113">
        <v>0</v>
      </c>
      <c r="H367" s="86">
        <v>0</v>
      </c>
      <c r="I367" s="113">
        <v>0</v>
      </c>
      <c r="J367" s="114">
        <f t="shared" si="44"/>
        <v>0</v>
      </c>
      <c r="K367" s="113">
        <f t="shared" si="45"/>
        <v>0</v>
      </c>
      <c r="L367" s="113">
        <v>0</v>
      </c>
      <c r="M367" s="113">
        <v>0</v>
      </c>
      <c r="N367" s="113">
        <v>0</v>
      </c>
      <c r="O367" s="113">
        <v>0</v>
      </c>
      <c r="P367" s="113">
        <v>0</v>
      </c>
    </row>
    <row r="368" spans="2:16" ht="13.9" customHeight="1" outlineLevel="1" x14ac:dyDescent="0.25">
      <c r="B368" s="149"/>
      <c r="C368" s="150" t="s">
        <v>47</v>
      </c>
      <c r="D368" s="85">
        <v>54</v>
      </c>
      <c r="E368" s="86">
        <v>100401065.53000002</v>
      </c>
      <c r="F368" s="142">
        <f t="shared" si="43"/>
        <v>75572842.570000008</v>
      </c>
      <c r="G368" s="113">
        <v>75572842.570000008</v>
      </c>
      <c r="H368" s="86">
        <v>25424350.100000001</v>
      </c>
      <c r="I368" s="113">
        <v>0</v>
      </c>
      <c r="J368" s="114">
        <f t="shared" si="44"/>
        <v>25424350.100000001</v>
      </c>
      <c r="K368" s="113">
        <f t="shared" si="45"/>
        <v>25424350.100000001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</row>
    <row r="369" spans="2:16" ht="13.9" customHeight="1" outlineLevel="1" x14ac:dyDescent="0.25">
      <c r="B369" s="149"/>
      <c r="C369" s="150" t="s">
        <v>48</v>
      </c>
      <c r="D369" s="85">
        <v>12</v>
      </c>
      <c r="E369" s="86">
        <v>17288179.490000002</v>
      </c>
      <c r="F369" s="142">
        <f t="shared" si="43"/>
        <v>12168637.459999999</v>
      </c>
      <c r="G369" s="113">
        <v>12168637.459999999</v>
      </c>
      <c r="H369" s="86">
        <v>5119542.0299999993</v>
      </c>
      <c r="I369" s="113">
        <v>0</v>
      </c>
      <c r="J369" s="114">
        <f t="shared" si="44"/>
        <v>5119542.0299999993</v>
      </c>
      <c r="K369" s="113">
        <f t="shared" si="45"/>
        <v>464869.45999999903</v>
      </c>
      <c r="L369" s="113">
        <v>4654672.57</v>
      </c>
      <c r="M369" s="113">
        <v>0</v>
      </c>
      <c r="N369" s="113">
        <v>0</v>
      </c>
      <c r="O369" s="113">
        <v>0</v>
      </c>
      <c r="P369" s="113">
        <v>0</v>
      </c>
    </row>
    <row r="370" spans="2:16" ht="13.9" customHeight="1" outlineLevel="1" x14ac:dyDescent="0.25">
      <c r="B370" s="149"/>
      <c r="C370" s="150" t="s">
        <v>49</v>
      </c>
      <c r="D370" s="85">
        <v>0</v>
      </c>
      <c r="E370" s="86">
        <v>0</v>
      </c>
      <c r="F370" s="142">
        <f t="shared" si="43"/>
        <v>0</v>
      </c>
      <c r="G370" s="113">
        <v>0</v>
      </c>
      <c r="H370" s="86">
        <v>0</v>
      </c>
      <c r="I370" s="113">
        <v>0</v>
      </c>
      <c r="J370" s="114">
        <f t="shared" si="44"/>
        <v>0</v>
      </c>
      <c r="K370" s="113">
        <f t="shared" si="45"/>
        <v>0</v>
      </c>
      <c r="L370" s="113">
        <v>0</v>
      </c>
      <c r="M370" s="113">
        <v>0</v>
      </c>
      <c r="N370" s="113">
        <v>0</v>
      </c>
      <c r="O370" s="113">
        <v>0</v>
      </c>
      <c r="P370" s="113">
        <v>0</v>
      </c>
    </row>
    <row r="371" spans="2:16" ht="13.9" customHeight="1" outlineLevel="1" x14ac:dyDescent="0.25">
      <c r="B371" s="149"/>
      <c r="C371" s="150" t="s">
        <v>50</v>
      </c>
      <c r="D371" s="85">
        <v>0</v>
      </c>
      <c r="E371" s="86">
        <v>0</v>
      </c>
      <c r="F371" s="142">
        <f t="shared" si="43"/>
        <v>0</v>
      </c>
      <c r="G371" s="113">
        <v>0</v>
      </c>
      <c r="H371" s="86">
        <v>0</v>
      </c>
      <c r="I371" s="113">
        <v>0</v>
      </c>
      <c r="J371" s="114">
        <f t="shared" si="44"/>
        <v>0</v>
      </c>
      <c r="K371" s="113">
        <f t="shared" si="45"/>
        <v>0</v>
      </c>
      <c r="L371" s="113">
        <v>0</v>
      </c>
      <c r="M371" s="113">
        <v>0</v>
      </c>
      <c r="N371" s="113">
        <v>0</v>
      </c>
      <c r="O371" s="113">
        <v>0</v>
      </c>
      <c r="P371" s="113">
        <v>0</v>
      </c>
    </row>
    <row r="372" spans="2:16" ht="13.9" customHeight="1" outlineLevel="1" x14ac:dyDescent="0.25">
      <c r="B372" s="149"/>
      <c r="C372" s="150" t="s">
        <v>51</v>
      </c>
      <c r="D372" s="85">
        <v>2</v>
      </c>
      <c r="E372" s="86">
        <v>3836862.75</v>
      </c>
      <c r="F372" s="142">
        <f t="shared" si="43"/>
        <v>3520435</v>
      </c>
      <c r="G372" s="113">
        <v>3520435</v>
      </c>
      <c r="H372" s="86">
        <v>316428.25</v>
      </c>
      <c r="I372" s="113">
        <v>0</v>
      </c>
      <c r="J372" s="114">
        <f t="shared" si="44"/>
        <v>316428.25</v>
      </c>
      <c r="K372" s="113">
        <f t="shared" si="45"/>
        <v>0</v>
      </c>
      <c r="L372" s="113">
        <v>316428.28000000003</v>
      </c>
      <c r="M372" s="113">
        <v>0</v>
      </c>
      <c r="N372" s="113">
        <v>0</v>
      </c>
      <c r="O372" s="113">
        <v>0</v>
      </c>
      <c r="P372" s="113">
        <v>0</v>
      </c>
    </row>
    <row r="373" spans="2:16" ht="13.9" customHeight="1" outlineLevel="1" x14ac:dyDescent="0.25">
      <c r="B373" s="149"/>
      <c r="C373" s="150" t="s">
        <v>52</v>
      </c>
      <c r="D373" s="85">
        <v>0</v>
      </c>
      <c r="E373" s="86">
        <v>0</v>
      </c>
      <c r="F373" s="142">
        <f t="shared" si="43"/>
        <v>0</v>
      </c>
      <c r="G373" s="113">
        <v>0</v>
      </c>
      <c r="H373" s="86">
        <v>0</v>
      </c>
      <c r="I373" s="113">
        <v>0</v>
      </c>
      <c r="J373" s="114">
        <f t="shared" si="44"/>
        <v>0</v>
      </c>
      <c r="K373" s="113">
        <f t="shared" si="45"/>
        <v>0</v>
      </c>
      <c r="L373" s="113">
        <v>0</v>
      </c>
      <c r="M373" s="113">
        <v>0</v>
      </c>
      <c r="N373" s="113">
        <v>0</v>
      </c>
      <c r="O373" s="113">
        <v>0</v>
      </c>
      <c r="P373" s="113">
        <v>0</v>
      </c>
    </row>
    <row r="374" spans="2:16" ht="13.9" customHeight="1" outlineLevel="1" x14ac:dyDescent="0.25">
      <c r="B374" s="149"/>
      <c r="C374" s="150" t="s">
        <v>53</v>
      </c>
      <c r="D374" s="85">
        <v>0</v>
      </c>
      <c r="E374" s="86">
        <v>0</v>
      </c>
      <c r="F374" s="142">
        <f t="shared" si="43"/>
        <v>0</v>
      </c>
      <c r="G374" s="113">
        <v>0</v>
      </c>
      <c r="H374" s="86">
        <v>0</v>
      </c>
      <c r="I374" s="113">
        <v>0</v>
      </c>
      <c r="J374" s="114">
        <f t="shared" si="44"/>
        <v>0</v>
      </c>
      <c r="K374" s="113">
        <f t="shared" si="45"/>
        <v>0</v>
      </c>
      <c r="L374" s="113">
        <v>0</v>
      </c>
      <c r="M374" s="113">
        <v>0</v>
      </c>
      <c r="N374" s="113">
        <v>0</v>
      </c>
      <c r="O374" s="113">
        <v>0</v>
      </c>
      <c r="P374" s="113">
        <v>0</v>
      </c>
    </row>
    <row r="375" spans="2:16" ht="13.9" customHeight="1" outlineLevel="1" x14ac:dyDescent="0.25">
      <c r="B375" s="149"/>
      <c r="C375" s="150" t="s">
        <v>54</v>
      </c>
      <c r="D375" s="85">
        <v>0</v>
      </c>
      <c r="E375" s="86">
        <v>0</v>
      </c>
      <c r="F375" s="142">
        <f t="shared" si="43"/>
        <v>0</v>
      </c>
      <c r="G375" s="113">
        <v>0</v>
      </c>
      <c r="H375" s="86">
        <v>0</v>
      </c>
      <c r="I375" s="113">
        <v>0</v>
      </c>
      <c r="J375" s="114">
        <f t="shared" si="44"/>
        <v>0</v>
      </c>
      <c r="K375" s="113">
        <f t="shared" si="45"/>
        <v>0</v>
      </c>
      <c r="L375" s="113">
        <v>0</v>
      </c>
      <c r="M375" s="113">
        <v>0</v>
      </c>
      <c r="N375" s="113">
        <v>0</v>
      </c>
      <c r="O375" s="113">
        <v>0</v>
      </c>
      <c r="P375" s="113">
        <v>0</v>
      </c>
    </row>
    <row r="376" spans="2:16" ht="13.9" customHeight="1" outlineLevel="1" x14ac:dyDescent="0.25">
      <c r="B376" s="149"/>
      <c r="C376" s="150" t="s">
        <v>55</v>
      </c>
      <c r="D376" s="85">
        <v>0</v>
      </c>
      <c r="E376" s="86">
        <v>0</v>
      </c>
      <c r="F376" s="142">
        <f t="shared" si="43"/>
        <v>0</v>
      </c>
      <c r="G376" s="113">
        <v>0</v>
      </c>
      <c r="H376" s="86">
        <v>0</v>
      </c>
      <c r="I376" s="113">
        <v>0</v>
      </c>
      <c r="J376" s="114">
        <f t="shared" si="44"/>
        <v>0</v>
      </c>
      <c r="K376" s="113">
        <f t="shared" si="45"/>
        <v>0</v>
      </c>
      <c r="L376" s="113">
        <v>0</v>
      </c>
      <c r="M376" s="113">
        <v>0</v>
      </c>
      <c r="N376" s="113">
        <v>0</v>
      </c>
      <c r="O376" s="113">
        <v>0</v>
      </c>
      <c r="P376" s="113">
        <v>0</v>
      </c>
    </row>
    <row r="377" spans="2:16" ht="13.9" customHeight="1" outlineLevel="1" x14ac:dyDescent="0.25">
      <c r="B377" s="149"/>
      <c r="C377" s="150" t="s">
        <v>56</v>
      </c>
      <c r="D377" s="85">
        <v>0</v>
      </c>
      <c r="E377" s="86">
        <v>0</v>
      </c>
      <c r="F377" s="142">
        <f t="shared" si="43"/>
        <v>0</v>
      </c>
      <c r="G377" s="113">
        <v>0</v>
      </c>
      <c r="H377" s="86">
        <v>0</v>
      </c>
      <c r="I377" s="113">
        <v>0</v>
      </c>
      <c r="J377" s="114">
        <f t="shared" si="44"/>
        <v>0</v>
      </c>
      <c r="K377" s="113">
        <f t="shared" si="45"/>
        <v>0</v>
      </c>
      <c r="L377" s="113">
        <v>0</v>
      </c>
      <c r="M377" s="113">
        <v>0</v>
      </c>
      <c r="N377" s="113">
        <v>0</v>
      </c>
      <c r="O377" s="113">
        <v>0</v>
      </c>
      <c r="P377" s="113">
        <v>0</v>
      </c>
    </row>
    <row r="378" spans="2:16" ht="13.9" customHeight="1" outlineLevel="1" x14ac:dyDescent="0.25">
      <c r="B378" s="149"/>
      <c r="C378" s="150" t="s">
        <v>57</v>
      </c>
      <c r="D378" s="85">
        <v>0</v>
      </c>
      <c r="E378" s="86">
        <v>0</v>
      </c>
      <c r="F378" s="142">
        <f t="shared" si="43"/>
        <v>0</v>
      </c>
      <c r="G378" s="113">
        <v>0</v>
      </c>
      <c r="H378" s="86">
        <v>0</v>
      </c>
      <c r="I378" s="113">
        <v>0</v>
      </c>
      <c r="J378" s="114">
        <f t="shared" si="44"/>
        <v>0</v>
      </c>
      <c r="K378" s="113">
        <f t="shared" si="45"/>
        <v>0</v>
      </c>
      <c r="L378" s="113">
        <v>0</v>
      </c>
      <c r="M378" s="113">
        <v>0</v>
      </c>
      <c r="N378" s="113">
        <v>0</v>
      </c>
      <c r="O378" s="113">
        <v>0</v>
      </c>
      <c r="P378" s="113">
        <v>0</v>
      </c>
    </row>
    <row r="379" spans="2:16" ht="13.9" customHeight="1" outlineLevel="1" x14ac:dyDescent="0.25">
      <c r="B379" s="149"/>
      <c r="C379" s="150" t="s">
        <v>58</v>
      </c>
      <c r="D379" s="85">
        <v>0</v>
      </c>
      <c r="E379" s="86">
        <v>0</v>
      </c>
      <c r="F379" s="142">
        <f t="shared" si="43"/>
        <v>0</v>
      </c>
      <c r="G379" s="113">
        <v>0</v>
      </c>
      <c r="H379" s="86">
        <v>0</v>
      </c>
      <c r="I379" s="113">
        <v>0</v>
      </c>
      <c r="J379" s="114">
        <f t="shared" si="44"/>
        <v>0</v>
      </c>
      <c r="K379" s="113">
        <f t="shared" si="45"/>
        <v>0</v>
      </c>
      <c r="L379" s="113">
        <v>0</v>
      </c>
      <c r="M379" s="113">
        <v>0</v>
      </c>
      <c r="N379" s="113">
        <v>0</v>
      </c>
      <c r="O379" s="113">
        <v>0</v>
      </c>
      <c r="P379" s="113">
        <v>0</v>
      </c>
    </row>
    <row r="380" spans="2:16" ht="13.9" customHeight="1" outlineLevel="1" x14ac:dyDescent="0.25">
      <c r="B380" s="149"/>
      <c r="C380" s="150" t="s">
        <v>59</v>
      </c>
      <c r="D380" s="85">
        <v>0</v>
      </c>
      <c r="E380" s="86">
        <v>0</v>
      </c>
      <c r="F380" s="142">
        <f t="shared" si="43"/>
        <v>0</v>
      </c>
      <c r="G380" s="113">
        <v>0</v>
      </c>
      <c r="H380" s="86">
        <v>0</v>
      </c>
      <c r="I380" s="113">
        <v>0</v>
      </c>
      <c r="J380" s="114">
        <f t="shared" si="44"/>
        <v>0</v>
      </c>
      <c r="K380" s="113">
        <f t="shared" si="45"/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</row>
    <row r="381" spans="2:16" ht="13.9" customHeight="1" outlineLevel="1" x14ac:dyDescent="0.25">
      <c r="B381" s="149"/>
      <c r="C381" s="150" t="s">
        <v>60</v>
      </c>
      <c r="D381" s="85">
        <v>0</v>
      </c>
      <c r="E381" s="86">
        <v>0</v>
      </c>
      <c r="F381" s="142">
        <f t="shared" si="43"/>
        <v>0</v>
      </c>
      <c r="G381" s="113">
        <v>0</v>
      </c>
      <c r="H381" s="86">
        <v>0</v>
      </c>
      <c r="I381" s="113">
        <v>0</v>
      </c>
      <c r="J381" s="114">
        <f t="shared" si="44"/>
        <v>0</v>
      </c>
      <c r="K381" s="113">
        <f t="shared" si="45"/>
        <v>0</v>
      </c>
      <c r="L381" s="113">
        <v>0</v>
      </c>
      <c r="M381" s="113">
        <v>0</v>
      </c>
      <c r="N381" s="113">
        <v>0</v>
      </c>
      <c r="O381" s="113">
        <v>0</v>
      </c>
      <c r="P381" s="113">
        <v>0</v>
      </c>
    </row>
    <row r="382" spans="2:16" ht="13.9" customHeight="1" outlineLevel="1" x14ac:dyDescent="0.25">
      <c r="B382" s="149"/>
      <c r="C382" s="150" t="s">
        <v>61</v>
      </c>
      <c r="D382" s="85">
        <v>0</v>
      </c>
      <c r="E382" s="86">
        <v>0</v>
      </c>
      <c r="F382" s="142">
        <f t="shared" si="43"/>
        <v>0</v>
      </c>
      <c r="G382" s="113">
        <v>0</v>
      </c>
      <c r="H382" s="86">
        <v>0</v>
      </c>
      <c r="I382" s="113">
        <v>0</v>
      </c>
      <c r="J382" s="114">
        <f t="shared" si="44"/>
        <v>0</v>
      </c>
      <c r="K382" s="113">
        <f t="shared" si="45"/>
        <v>0</v>
      </c>
      <c r="L382" s="113">
        <v>0</v>
      </c>
      <c r="M382" s="113">
        <v>0</v>
      </c>
      <c r="N382" s="113">
        <v>0</v>
      </c>
      <c r="O382" s="113">
        <v>0</v>
      </c>
      <c r="P382" s="113">
        <v>0</v>
      </c>
    </row>
    <row r="383" spans="2:16" ht="13.9" customHeight="1" outlineLevel="1" x14ac:dyDescent="0.25">
      <c r="B383" s="149"/>
      <c r="C383" s="150" t="s">
        <v>62</v>
      </c>
      <c r="D383" s="85">
        <v>0</v>
      </c>
      <c r="E383" s="86">
        <v>0</v>
      </c>
      <c r="F383" s="142">
        <f t="shared" si="43"/>
        <v>0</v>
      </c>
      <c r="G383" s="113">
        <v>0</v>
      </c>
      <c r="H383" s="86">
        <v>0</v>
      </c>
      <c r="I383" s="113">
        <v>0</v>
      </c>
      <c r="J383" s="114">
        <f t="shared" si="44"/>
        <v>0</v>
      </c>
      <c r="K383" s="113">
        <f t="shared" si="45"/>
        <v>0</v>
      </c>
      <c r="L383" s="113">
        <v>0</v>
      </c>
      <c r="M383" s="113">
        <v>0</v>
      </c>
      <c r="N383" s="113">
        <v>0</v>
      </c>
      <c r="O383" s="113">
        <v>0</v>
      </c>
      <c r="P383" s="113">
        <v>0</v>
      </c>
    </row>
    <row r="384" spans="2:16" ht="13.9" customHeight="1" outlineLevel="1" x14ac:dyDescent="0.25">
      <c r="B384" s="149"/>
      <c r="C384" s="150" t="s">
        <v>63</v>
      </c>
      <c r="D384" s="85">
        <v>0</v>
      </c>
      <c r="E384" s="86">
        <v>0</v>
      </c>
      <c r="F384" s="142">
        <f t="shared" si="43"/>
        <v>0</v>
      </c>
      <c r="G384" s="113">
        <v>0</v>
      </c>
      <c r="H384" s="86">
        <v>0</v>
      </c>
      <c r="I384" s="113">
        <v>0</v>
      </c>
      <c r="J384" s="114">
        <f t="shared" si="44"/>
        <v>0</v>
      </c>
      <c r="K384" s="113">
        <f t="shared" si="45"/>
        <v>0</v>
      </c>
      <c r="L384" s="113">
        <v>0</v>
      </c>
      <c r="M384" s="113">
        <v>0</v>
      </c>
      <c r="N384" s="113">
        <v>0</v>
      </c>
      <c r="O384" s="113">
        <v>0</v>
      </c>
      <c r="P384" s="113">
        <v>0</v>
      </c>
    </row>
    <row r="385" spans="2:16" ht="13.9" customHeight="1" outlineLevel="1" x14ac:dyDescent="0.25">
      <c r="B385" s="149"/>
      <c r="C385" s="150" t="s">
        <v>64</v>
      </c>
      <c r="D385" s="85">
        <v>25</v>
      </c>
      <c r="E385" s="86">
        <v>54229367.420000009</v>
      </c>
      <c r="F385" s="142">
        <f t="shared" si="43"/>
        <v>38051868.919999994</v>
      </c>
      <c r="G385" s="113">
        <v>37620048.169999994</v>
      </c>
      <c r="H385" s="86">
        <v>16609320.249999996</v>
      </c>
      <c r="I385" s="113">
        <v>431820.75</v>
      </c>
      <c r="J385" s="114">
        <f t="shared" si="44"/>
        <v>16177499.499999996</v>
      </c>
      <c r="K385" s="113">
        <f t="shared" si="45"/>
        <v>16177499.499999996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</row>
    <row r="386" spans="2:16" ht="13.9" customHeight="1" outlineLevel="1" x14ac:dyDescent="0.25">
      <c r="B386" s="149"/>
      <c r="C386" s="150" t="s">
        <v>65</v>
      </c>
      <c r="D386" s="85">
        <v>40</v>
      </c>
      <c r="E386" s="86">
        <v>52625000.019999996</v>
      </c>
      <c r="F386" s="142">
        <f t="shared" si="43"/>
        <v>53334319.24000001</v>
      </c>
      <c r="G386" s="113">
        <v>53334318.800000012</v>
      </c>
      <c r="H386" s="86">
        <v>0.44999999972060323</v>
      </c>
      <c r="I386" s="113">
        <v>0.44</v>
      </c>
      <c r="J386" s="114">
        <f t="shared" si="44"/>
        <v>9.9999997206032254E-3</v>
      </c>
      <c r="K386" s="113">
        <f t="shared" si="45"/>
        <v>9.9999997206032254E-3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</row>
    <row r="387" spans="2:16" ht="13.9" customHeight="1" outlineLevel="1" x14ac:dyDescent="0.25">
      <c r="B387" s="149"/>
      <c r="C387" s="150" t="s">
        <v>66</v>
      </c>
      <c r="D387" s="85">
        <v>15</v>
      </c>
      <c r="E387" s="86">
        <v>28602630.75</v>
      </c>
      <c r="F387" s="142">
        <f t="shared" si="43"/>
        <v>29177807.559999999</v>
      </c>
      <c r="G387" s="113">
        <v>29139657</v>
      </c>
      <c r="H387" s="86">
        <v>38150.560000000056</v>
      </c>
      <c r="I387" s="113">
        <v>38150.559999999998</v>
      </c>
      <c r="J387" s="114">
        <f t="shared" si="44"/>
        <v>5.8207660913467407E-11</v>
      </c>
      <c r="K387" s="113">
        <f t="shared" si="45"/>
        <v>5.8207660913467407E-11</v>
      </c>
      <c r="L387" s="113">
        <v>0</v>
      </c>
      <c r="M387" s="113">
        <v>0</v>
      </c>
      <c r="N387" s="113">
        <v>0</v>
      </c>
      <c r="O387" s="113">
        <v>0</v>
      </c>
      <c r="P387" s="113">
        <v>0</v>
      </c>
    </row>
    <row r="388" spans="2:16" ht="13.9" customHeight="1" outlineLevel="1" x14ac:dyDescent="0.25">
      <c r="B388" s="149"/>
      <c r="C388" s="150" t="s">
        <v>67</v>
      </c>
      <c r="D388" s="85">
        <v>13</v>
      </c>
      <c r="E388" s="86">
        <v>27576946.199999999</v>
      </c>
      <c r="F388" s="142">
        <f t="shared" si="43"/>
        <v>20644848.310000002</v>
      </c>
      <c r="G388" s="113">
        <v>20644848.310000002</v>
      </c>
      <c r="H388" s="86">
        <v>7062621.8700000001</v>
      </c>
      <c r="I388" s="113">
        <v>0</v>
      </c>
      <c r="J388" s="114">
        <f t="shared" si="44"/>
        <v>7062621.8700000001</v>
      </c>
      <c r="K388" s="113">
        <f t="shared" si="45"/>
        <v>7062621.8700000001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</row>
    <row r="389" spans="2:16" ht="13.9" customHeight="1" x14ac:dyDescent="0.25">
      <c r="B389" s="149"/>
      <c r="C389" s="148" t="s">
        <v>103</v>
      </c>
      <c r="D389" s="90">
        <f>SUM(D352:D388)</f>
        <v>565</v>
      </c>
      <c r="E389" s="91">
        <f t="shared" ref="E389:P389" si="46">SUM(E352:E388)</f>
        <v>1053542377.41</v>
      </c>
      <c r="F389" s="92">
        <f t="shared" si="46"/>
        <v>893795589.66000009</v>
      </c>
      <c r="G389" s="93">
        <f t="shared" si="46"/>
        <v>891408293.25</v>
      </c>
      <c r="H389" s="90">
        <f t="shared" si="46"/>
        <v>169439764.23000002</v>
      </c>
      <c r="I389" s="91">
        <f t="shared" si="46"/>
        <v>2387296.41</v>
      </c>
      <c r="J389" s="92">
        <f t="shared" si="46"/>
        <v>167052467.98000002</v>
      </c>
      <c r="K389" s="93">
        <f t="shared" si="46"/>
        <v>116400008.53000003</v>
      </c>
      <c r="L389" s="90">
        <f t="shared" si="46"/>
        <v>44853867.899999991</v>
      </c>
      <c r="M389" s="91">
        <f t="shared" si="46"/>
        <v>4302155.3099999996</v>
      </c>
      <c r="N389" s="90">
        <f t="shared" si="46"/>
        <v>1496436.29</v>
      </c>
      <c r="O389" s="91">
        <f t="shared" si="46"/>
        <v>0</v>
      </c>
      <c r="P389" s="91">
        <f t="shared" si="46"/>
        <v>0</v>
      </c>
    </row>
    <row r="390" spans="2:16" ht="13.9" customHeight="1" outlineLevel="1" x14ac:dyDescent="0.25">
      <c r="B390" s="149" t="s">
        <v>83</v>
      </c>
      <c r="C390" s="150" t="s">
        <v>70</v>
      </c>
      <c r="D390" s="85">
        <v>11</v>
      </c>
      <c r="E390" s="86">
        <v>18958389.560000002</v>
      </c>
      <c r="F390" s="142">
        <f t="shared" si="43"/>
        <v>14826517.310000001</v>
      </c>
      <c r="G390" s="113">
        <v>14826517.310000001</v>
      </c>
      <c r="H390" s="86">
        <v>4136605.9700000007</v>
      </c>
      <c r="I390" s="113">
        <v>0</v>
      </c>
      <c r="J390" s="114">
        <f t="shared" si="44"/>
        <v>4136605.9700000007</v>
      </c>
      <c r="K390" s="113">
        <f t="shared" si="45"/>
        <v>3.0000000726431608E-2</v>
      </c>
      <c r="L390" s="113">
        <v>3661546.16</v>
      </c>
      <c r="M390" s="113">
        <v>475059.27</v>
      </c>
      <c r="N390" s="113">
        <v>0.51</v>
      </c>
      <c r="O390" s="113">
        <v>0</v>
      </c>
      <c r="P390" s="113">
        <v>0</v>
      </c>
    </row>
    <row r="391" spans="2:16" ht="13.9" customHeight="1" outlineLevel="1" x14ac:dyDescent="0.25">
      <c r="B391" s="149"/>
      <c r="C391" s="150" t="s">
        <v>71</v>
      </c>
      <c r="D391" s="85">
        <v>0</v>
      </c>
      <c r="E391" s="86">
        <v>0</v>
      </c>
      <c r="F391" s="142">
        <f t="shared" si="43"/>
        <v>0</v>
      </c>
      <c r="G391" s="113">
        <v>0</v>
      </c>
      <c r="H391" s="86">
        <v>0</v>
      </c>
      <c r="I391" s="113">
        <v>0</v>
      </c>
      <c r="J391" s="114">
        <f t="shared" si="44"/>
        <v>0</v>
      </c>
      <c r="K391" s="113">
        <f t="shared" si="45"/>
        <v>0</v>
      </c>
      <c r="L391" s="113">
        <v>0</v>
      </c>
      <c r="M391" s="113">
        <v>0</v>
      </c>
      <c r="N391" s="113">
        <v>0</v>
      </c>
      <c r="O391" s="113">
        <v>0</v>
      </c>
      <c r="P391" s="113">
        <v>0</v>
      </c>
    </row>
    <row r="392" spans="2:16" ht="13.9" customHeight="1" outlineLevel="1" x14ac:dyDescent="0.25">
      <c r="B392" s="149"/>
      <c r="C392" s="150" t="s">
        <v>72</v>
      </c>
      <c r="D392" s="85">
        <v>3</v>
      </c>
      <c r="E392" s="86">
        <v>7276184.1200000001</v>
      </c>
      <c r="F392" s="142">
        <f t="shared" si="43"/>
        <v>6626576</v>
      </c>
      <c r="G392" s="113">
        <v>6626576</v>
      </c>
      <c r="H392" s="86">
        <v>649608.80000000005</v>
      </c>
      <c r="I392" s="113">
        <v>0</v>
      </c>
      <c r="J392" s="114">
        <f t="shared" si="44"/>
        <v>649608.80000000005</v>
      </c>
      <c r="K392" s="113">
        <f t="shared" si="45"/>
        <v>0</v>
      </c>
      <c r="L392" s="113">
        <v>0</v>
      </c>
      <c r="M392" s="113">
        <v>0</v>
      </c>
      <c r="N392" s="113">
        <v>649608.80000000005</v>
      </c>
      <c r="O392" s="113">
        <v>0</v>
      </c>
      <c r="P392" s="113">
        <v>0</v>
      </c>
    </row>
    <row r="393" spans="2:16" ht="13.9" customHeight="1" x14ac:dyDescent="0.25">
      <c r="B393" s="149"/>
      <c r="C393" s="148" t="s">
        <v>104</v>
      </c>
      <c r="D393" s="90">
        <f>SUM(D390:D392)</f>
        <v>14</v>
      </c>
      <c r="E393" s="91">
        <f t="shared" ref="E393:P393" si="47">SUM(E390:E392)</f>
        <v>26234573.680000003</v>
      </c>
      <c r="F393" s="92">
        <f t="shared" si="47"/>
        <v>21453093.310000002</v>
      </c>
      <c r="G393" s="93">
        <f t="shared" si="47"/>
        <v>21453093.310000002</v>
      </c>
      <c r="H393" s="90">
        <f t="shared" si="47"/>
        <v>4786214.7700000005</v>
      </c>
      <c r="I393" s="91">
        <f t="shared" si="47"/>
        <v>0</v>
      </c>
      <c r="J393" s="92">
        <f t="shared" si="47"/>
        <v>4786214.7700000005</v>
      </c>
      <c r="K393" s="93">
        <f t="shared" si="47"/>
        <v>3.0000000726431608E-2</v>
      </c>
      <c r="L393" s="90">
        <f t="shared" si="47"/>
        <v>3661546.16</v>
      </c>
      <c r="M393" s="91">
        <f t="shared" si="47"/>
        <v>475059.27</v>
      </c>
      <c r="N393" s="90">
        <f t="shared" si="47"/>
        <v>649609.31000000006</v>
      </c>
      <c r="O393" s="91">
        <f t="shared" si="47"/>
        <v>0</v>
      </c>
      <c r="P393" s="91">
        <f t="shared" si="47"/>
        <v>0</v>
      </c>
    </row>
    <row r="394" spans="2:16" ht="13.9" customHeight="1" outlineLevel="1" x14ac:dyDescent="0.25">
      <c r="B394" s="149" t="s">
        <v>105</v>
      </c>
      <c r="C394" s="150" t="s">
        <v>75</v>
      </c>
      <c r="D394" s="85">
        <v>0</v>
      </c>
      <c r="E394" s="86">
        <v>0</v>
      </c>
      <c r="F394" s="142">
        <f t="shared" si="43"/>
        <v>0</v>
      </c>
      <c r="G394" s="113">
        <v>0</v>
      </c>
      <c r="H394" s="86">
        <v>0</v>
      </c>
      <c r="I394" s="113">
        <v>0</v>
      </c>
      <c r="J394" s="114">
        <f t="shared" si="44"/>
        <v>0</v>
      </c>
      <c r="K394" s="113">
        <f t="shared" si="45"/>
        <v>0</v>
      </c>
      <c r="L394" s="113">
        <v>0</v>
      </c>
      <c r="M394" s="113">
        <v>0</v>
      </c>
      <c r="N394" s="113">
        <v>0</v>
      </c>
      <c r="O394" s="113">
        <v>0</v>
      </c>
      <c r="P394" s="113">
        <v>0</v>
      </c>
    </row>
    <row r="395" spans="2:16" ht="13.9" customHeight="1" outlineLevel="1" x14ac:dyDescent="0.25">
      <c r="B395" s="149"/>
      <c r="C395" s="150" t="s">
        <v>76</v>
      </c>
      <c r="D395" s="85">
        <v>2</v>
      </c>
      <c r="E395" s="86">
        <v>2761687.3899999997</v>
      </c>
      <c r="F395" s="142">
        <f t="shared" si="43"/>
        <v>1718093</v>
      </c>
      <c r="G395" s="113">
        <v>1718093</v>
      </c>
      <c r="H395" s="86">
        <v>1043594.3899999999</v>
      </c>
      <c r="I395" s="113">
        <v>0</v>
      </c>
      <c r="J395" s="114">
        <f t="shared" si="44"/>
        <v>1043594.3899999999</v>
      </c>
      <c r="K395" s="113">
        <f t="shared" si="45"/>
        <v>4.9999999930150807E-2</v>
      </c>
      <c r="L395" s="113">
        <v>0</v>
      </c>
      <c r="M395" s="113">
        <v>1043594.34</v>
      </c>
      <c r="N395" s="113">
        <v>0</v>
      </c>
      <c r="O395" s="113">
        <v>0</v>
      </c>
      <c r="P395" s="113">
        <v>0</v>
      </c>
    </row>
    <row r="396" spans="2:16" ht="13.5" customHeight="1" x14ac:dyDescent="0.25">
      <c r="B396" s="149"/>
      <c r="C396" s="148" t="s">
        <v>106</v>
      </c>
      <c r="D396" s="90">
        <f>SUM(D394:D395)</f>
        <v>2</v>
      </c>
      <c r="E396" s="91">
        <f t="shared" ref="E396:P396" si="48">SUM(E394:E395)</f>
        <v>2761687.3899999997</v>
      </c>
      <c r="F396" s="92">
        <f t="shared" si="48"/>
        <v>1718093</v>
      </c>
      <c r="G396" s="93">
        <f t="shared" si="48"/>
        <v>1718093</v>
      </c>
      <c r="H396" s="90">
        <f t="shared" si="48"/>
        <v>1043594.3899999999</v>
      </c>
      <c r="I396" s="91">
        <f t="shared" si="48"/>
        <v>0</v>
      </c>
      <c r="J396" s="92">
        <f t="shared" si="48"/>
        <v>1043594.3899999999</v>
      </c>
      <c r="K396" s="93">
        <f t="shared" si="48"/>
        <v>4.9999999930150807E-2</v>
      </c>
      <c r="L396" s="90">
        <f t="shared" si="48"/>
        <v>0</v>
      </c>
      <c r="M396" s="91">
        <f t="shared" si="48"/>
        <v>1043594.34</v>
      </c>
      <c r="N396" s="90">
        <f t="shared" si="48"/>
        <v>0</v>
      </c>
      <c r="O396" s="91">
        <f t="shared" si="48"/>
        <v>0</v>
      </c>
      <c r="P396" s="91">
        <f t="shared" si="48"/>
        <v>0</v>
      </c>
    </row>
    <row r="397" spans="2:16" ht="13.5" customHeight="1" x14ac:dyDescent="0.25">
      <c r="B397" s="155" t="s">
        <v>78</v>
      </c>
      <c r="C397" s="155"/>
      <c r="D397" s="90">
        <f>+D389+D393+D396</f>
        <v>581</v>
      </c>
      <c r="E397" s="91">
        <f t="shared" ref="E397:P397" si="49">+E389+E393+E396</f>
        <v>1082538638.48</v>
      </c>
      <c r="F397" s="92">
        <f t="shared" si="49"/>
        <v>916966775.97000003</v>
      </c>
      <c r="G397" s="93">
        <f t="shared" si="49"/>
        <v>914579479.55999994</v>
      </c>
      <c r="H397" s="90">
        <f t="shared" si="49"/>
        <v>175269573.39000002</v>
      </c>
      <c r="I397" s="91">
        <f t="shared" si="49"/>
        <v>2387296.41</v>
      </c>
      <c r="J397" s="92">
        <f t="shared" si="49"/>
        <v>172882277.14000002</v>
      </c>
      <c r="K397" s="93">
        <f t="shared" si="49"/>
        <v>116400008.61000003</v>
      </c>
      <c r="L397" s="90">
        <f t="shared" si="49"/>
        <v>48515414.059999987</v>
      </c>
      <c r="M397" s="91">
        <f t="shared" si="49"/>
        <v>5820808.9199999999</v>
      </c>
      <c r="N397" s="90">
        <f t="shared" si="49"/>
        <v>2146045.6</v>
      </c>
      <c r="O397" s="91">
        <f t="shared" si="49"/>
        <v>0</v>
      </c>
      <c r="P397" s="91">
        <f t="shared" si="49"/>
        <v>0</v>
      </c>
    </row>
    <row r="398" spans="2:16" ht="13.5" customHeight="1" x14ac:dyDescent="0.25"/>
    <row r="399" spans="2:16" ht="13.9" customHeight="1" x14ac:dyDescent="0.25"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</row>
    <row r="400" spans="2:16" x14ac:dyDescent="0.25"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</row>
    <row r="401" spans="4:16" x14ac:dyDescent="0.25">
      <c r="H401" s="71"/>
      <c r="J401" s="71"/>
      <c r="K401" s="71"/>
      <c r="L401" s="71"/>
      <c r="M401" s="71"/>
      <c r="N401" s="71"/>
      <c r="O401" s="71"/>
      <c r="P401" s="71"/>
    </row>
    <row r="402" spans="4:16" x14ac:dyDescent="0.25">
      <c r="D402" s="14"/>
      <c r="E402" s="14"/>
      <c r="F402" s="14"/>
      <c r="G402" s="14"/>
      <c r="H402" s="95"/>
      <c r="I402" s="14"/>
      <c r="J402" s="95"/>
      <c r="K402" s="95"/>
      <c r="L402" s="95"/>
      <c r="M402" s="95"/>
      <c r="N402" s="95"/>
      <c r="O402" s="95"/>
      <c r="P402" s="95"/>
    </row>
    <row r="403" spans="4:16" x14ac:dyDescent="0.25"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</row>
    <row r="404" spans="4:16" x14ac:dyDescent="0.25"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</row>
    <row r="405" spans="4:16" x14ac:dyDescent="0.25"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</row>
    <row r="406" spans="4:16" x14ac:dyDescent="0.25"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</row>
    <row r="407" spans="4:16" x14ac:dyDescent="0.25"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</row>
    <row r="408" spans="4:16" x14ac:dyDescent="0.25"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</row>
    <row r="409" spans="4:16" x14ac:dyDescent="0.25">
      <c r="D409" s="9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4:16" x14ac:dyDescent="0.25"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4:16" x14ac:dyDescent="0.25"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4:16" x14ac:dyDescent="0.25"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</sheetData>
  <mergeCells count="48">
    <mergeCell ref="B345:B347"/>
    <mergeCell ref="B348:C348"/>
    <mergeCell ref="B352:B389"/>
    <mergeCell ref="B390:B393"/>
    <mergeCell ref="B394:B396"/>
    <mergeCell ref="B397:C397"/>
    <mergeCell ref="B254:B291"/>
    <mergeCell ref="B292:B295"/>
    <mergeCell ref="B296:B298"/>
    <mergeCell ref="B299:C299"/>
    <mergeCell ref="B303:B340"/>
    <mergeCell ref="B341:B344"/>
    <mergeCell ref="B197:B199"/>
    <mergeCell ref="B200:C200"/>
    <mergeCell ref="B205:B242"/>
    <mergeCell ref="B243:B246"/>
    <mergeCell ref="B247:B249"/>
    <mergeCell ref="B250:C250"/>
    <mergeCell ref="B106:B143"/>
    <mergeCell ref="B144:B147"/>
    <mergeCell ref="B148:B150"/>
    <mergeCell ref="B151:C151"/>
    <mergeCell ref="B155:B192"/>
    <mergeCell ref="B193:B196"/>
    <mergeCell ref="L55:M55"/>
    <mergeCell ref="N55:O55"/>
    <mergeCell ref="B57:B94"/>
    <mergeCell ref="B95:B98"/>
    <mergeCell ref="B99:B101"/>
    <mergeCell ref="B102:C102"/>
    <mergeCell ref="B52:C52"/>
    <mergeCell ref="B55:B56"/>
    <mergeCell ref="D55:E55"/>
    <mergeCell ref="F55:G55"/>
    <mergeCell ref="H55:I55"/>
    <mergeCell ref="J55:K55"/>
    <mergeCell ref="N3:O3"/>
    <mergeCell ref="B5:B42"/>
    <mergeCell ref="B43:B46"/>
    <mergeCell ref="B47:B49"/>
    <mergeCell ref="B50:C50"/>
    <mergeCell ref="B51:C51"/>
    <mergeCell ref="B3:B4"/>
    <mergeCell ref="D3:E3"/>
    <mergeCell ref="F3:G3"/>
    <mergeCell ref="H3:I3"/>
    <mergeCell ref="J3:K3"/>
    <mergeCell ref="L3:M3"/>
  </mergeCells>
  <conditionalFormatting sqref="B3">
    <cfRule type="cellIs" dxfId="60" priority="10" operator="lessThan">
      <formula>0</formula>
    </cfRule>
  </conditionalFormatting>
  <conditionalFormatting sqref="B104">
    <cfRule type="cellIs" dxfId="59" priority="3" operator="lessThan">
      <formula>0</formula>
    </cfRule>
  </conditionalFormatting>
  <conditionalFormatting sqref="B151">
    <cfRule type="cellIs" dxfId="58" priority="11" operator="lessThan">
      <formula>0</formula>
    </cfRule>
  </conditionalFormatting>
  <conditionalFormatting sqref="B200">
    <cfRule type="cellIs" dxfId="57" priority="9" operator="lessThan">
      <formula>0</formula>
    </cfRule>
  </conditionalFormatting>
  <conditionalFormatting sqref="B250">
    <cfRule type="cellIs" dxfId="56" priority="8" operator="lessThan">
      <formula>0</formula>
    </cfRule>
  </conditionalFormatting>
  <conditionalFormatting sqref="B299">
    <cfRule type="cellIs" dxfId="55" priority="7" operator="lessThan">
      <formula>0</formula>
    </cfRule>
  </conditionalFormatting>
  <conditionalFormatting sqref="B348">
    <cfRule type="cellIs" dxfId="54" priority="6" operator="lessThan">
      <formula>0</formula>
    </cfRule>
  </conditionalFormatting>
  <conditionalFormatting sqref="B397">
    <cfRule type="cellIs" dxfId="53" priority="5" operator="lessThan">
      <formula>0</formula>
    </cfRule>
  </conditionalFormatting>
  <conditionalFormatting sqref="C3:C49 B50:B52 C53:C101 B102 C105:C150 B153 C154:C199 B203 C204:C249 C251 B252 C253:C298 B301 C302:C347 B350 C351:C396 C401:C402">
    <cfRule type="cellIs" dxfId="52" priority="12" operator="lessThan">
      <formula>0</formula>
    </cfRule>
  </conditionalFormatting>
  <conditionalFormatting sqref="C404:C456">
    <cfRule type="duplicateValues" dxfId="51" priority="14"/>
  </conditionalFormatting>
  <conditionalFormatting sqref="C1:R2 D3:R104 D105:P200 D203:P397">
    <cfRule type="cellIs" dxfId="50" priority="13" operator="lessThan">
      <formula>0</formula>
    </cfRule>
  </conditionalFormatting>
  <conditionalFormatting sqref="D399:P402">
    <cfRule type="cellIs" dxfId="49" priority="4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7" fitToHeight="2" orientation="landscape" r:id="rId1"/>
  <headerFooter alignWithMargins="0">
    <oddHeader>&amp;LSOBHA LLC&amp;C&amp;12
&amp;18Bulk buyers_5mn to 10mn investment_Paid% category VS Balance collectibles YOY breakup&amp;R&amp;D</oddHeader>
    <oddFooter>&amp;LCOLLECTIONS&amp;R&amp;P/&amp;N</oddFooter>
  </headerFooter>
  <rowBreaks count="3" manualBreakCount="3">
    <brk id="102" min="1" max="15" man="1"/>
    <brk id="202" min="1" max="15" man="1"/>
    <brk id="300" min="1" max="1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C2CB-8D15-4FD1-9949-425683086081}">
  <dimension ref="A3:R413"/>
  <sheetViews>
    <sheetView view="pageBreakPreview" topLeftCell="A371" zoomScale="70" zoomScaleNormal="100" zoomScaleSheetLayoutView="70" workbookViewId="0">
      <selection activeCell="F404" sqref="F404"/>
    </sheetView>
  </sheetViews>
  <sheetFormatPr defaultRowHeight="15" outlineLevelRow="1" x14ac:dyDescent="0.25"/>
  <cols>
    <col min="1" max="1" width="14.5703125" bestFit="1" customWidth="1"/>
    <col min="2" max="2" width="14.5703125" customWidth="1"/>
    <col min="3" max="3" width="78.85546875" bestFit="1" customWidth="1"/>
    <col min="4" max="4" width="15.42578125" bestFit="1" customWidth="1"/>
    <col min="5" max="5" width="22.5703125" bestFit="1" customWidth="1"/>
    <col min="6" max="6" width="26.5703125" bestFit="1" customWidth="1"/>
    <col min="7" max="9" width="22.5703125" bestFit="1" customWidth="1"/>
    <col min="10" max="10" width="22.28515625" bestFit="1" customWidth="1"/>
    <col min="11" max="11" width="22.5703125" bestFit="1" customWidth="1"/>
    <col min="12" max="12" width="17.7109375" bestFit="1" customWidth="1"/>
    <col min="13" max="13" width="22.5703125" bestFit="1" customWidth="1"/>
    <col min="14" max="14" width="19.85546875" bestFit="1" customWidth="1"/>
    <col min="15" max="15" width="22.5703125" bestFit="1" customWidth="1"/>
    <col min="16" max="16" width="16.28515625" bestFit="1" customWidth="1"/>
    <col min="17" max="17" width="8.140625" bestFit="1" customWidth="1"/>
    <col min="18" max="18" width="22.28515625" bestFit="1" customWidth="1"/>
    <col min="19" max="19" width="17.85546875" bestFit="1" customWidth="1"/>
    <col min="20" max="21" width="15" bestFit="1" customWidth="1"/>
    <col min="23" max="23" width="18.42578125" customWidth="1"/>
  </cols>
  <sheetData>
    <row r="3" spans="1:18" ht="13.9" customHeight="1" x14ac:dyDescent="0.25">
      <c r="A3">
        <v>3</v>
      </c>
      <c r="B3" s="147" t="s">
        <v>26</v>
      </c>
      <c r="C3" s="148" t="s">
        <v>19</v>
      </c>
      <c r="D3" s="73" t="s">
        <v>20</v>
      </c>
      <c r="E3" s="74"/>
      <c r="F3" s="75" t="s">
        <v>21</v>
      </c>
      <c r="G3" s="76"/>
      <c r="H3" s="73" t="s">
        <v>22</v>
      </c>
      <c r="I3" s="74"/>
      <c r="J3" s="75" t="s">
        <v>23</v>
      </c>
      <c r="K3" s="76"/>
      <c r="L3" s="73" t="s">
        <v>24</v>
      </c>
      <c r="M3" s="74"/>
      <c r="N3" s="73" t="s">
        <v>25</v>
      </c>
      <c r="O3" s="74"/>
      <c r="P3" s="77"/>
      <c r="Q3" s="77"/>
      <c r="R3" s="77"/>
    </row>
    <row r="4" spans="1:18" ht="13.9" customHeight="1" x14ac:dyDescent="0.25">
      <c r="A4" t="s">
        <v>96</v>
      </c>
      <c r="B4" s="147"/>
      <c r="C4" s="148" t="s">
        <v>102</v>
      </c>
      <c r="D4" s="79" t="s">
        <v>28</v>
      </c>
      <c r="E4" s="80" t="s">
        <v>29</v>
      </c>
      <c r="F4" s="81" t="s">
        <v>28</v>
      </c>
      <c r="G4" s="82" t="s">
        <v>29</v>
      </c>
      <c r="H4" s="79" t="s">
        <v>28</v>
      </c>
      <c r="I4" s="80" t="s">
        <v>29</v>
      </c>
      <c r="J4" s="81" t="s">
        <v>28</v>
      </c>
      <c r="K4" s="82" t="s">
        <v>29</v>
      </c>
      <c r="L4" s="79" t="s">
        <v>28</v>
      </c>
      <c r="M4" s="80" t="s">
        <v>29</v>
      </c>
      <c r="N4" s="79" t="s">
        <v>28</v>
      </c>
      <c r="O4" s="80" t="s">
        <v>29</v>
      </c>
      <c r="P4" s="83"/>
      <c r="Q4" s="83"/>
      <c r="R4" s="83"/>
    </row>
    <row r="5" spans="1:18" ht="13.9" customHeight="1" outlineLevel="1" x14ac:dyDescent="0.25">
      <c r="B5" s="149" t="s">
        <v>30</v>
      </c>
      <c r="C5" s="150" t="s">
        <v>31</v>
      </c>
      <c r="D5" s="85">
        <v>0</v>
      </c>
      <c r="E5" s="86">
        <v>0</v>
      </c>
      <c r="F5" s="85">
        <v>0</v>
      </c>
      <c r="G5" s="86">
        <v>0</v>
      </c>
      <c r="H5" s="85">
        <v>0</v>
      </c>
      <c r="I5" s="86">
        <v>0</v>
      </c>
      <c r="J5" s="85">
        <v>0</v>
      </c>
      <c r="K5" s="86">
        <v>0</v>
      </c>
      <c r="L5" s="85">
        <v>47</v>
      </c>
      <c r="M5" s="86">
        <v>80243600.890000001</v>
      </c>
      <c r="N5" s="85">
        <v>53</v>
      </c>
      <c r="O5" s="86">
        <v>106269786.13</v>
      </c>
      <c r="P5" s="87"/>
      <c r="Q5" s="87"/>
      <c r="R5" s="87"/>
    </row>
    <row r="6" spans="1:18" ht="13.9" customHeight="1" outlineLevel="1" x14ac:dyDescent="0.25">
      <c r="B6" s="149"/>
      <c r="C6" s="150" t="s">
        <v>32</v>
      </c>
      <c r="D6" s="85">
        <v>0</v>
      </c>
      <c r="E6" s="86">
        <v>0</v>
      </c>
      <c r="F6" s="85">
        <v>0</v>
      </c>
      <c r="G6" s="86">
        <v>0</v>
      </c>
      <c r="H6" s="85">
        <v>0</v>
      </c>
      <c r="I6" s="86">
        <v>0</v>
      </c>
      <c r="J6" s="85">
        <v>0</v>
      </c>
      <c r="K6" s="86">
        <v>0</v>
      </c>
      <c r="L6" s="85">
        <v>0</v>
      </c>
      <c r="M6" s="86">
        <v>0</v>
      </c>
      <c r="N6" s="85">
        <v>14</v>
      </c>
      <c r="O6" s="86">
        <v>30495695.75</v>
      </c>
      <c r="P6" s="87"/>
      <c r="Q6" s="87"/>
      <c r="R6" s="87"/>
    </row>
    <row r="7" spans="1:18" ht="13.9" customHeight="1" outlineLevel="1" x14ac:dyDescent="0.25">
      <c r="B7" s="149"/>
      <c r="C7" s="150" t="s">
        <v>33</v>
      </c>
      <c r="D7" s="85">
        <v>0</v>
      </c>
      <c r="E7" s="86">
        <v>0</v>
      </c>
      <c r="F7" s="85">
        <v>0</v>
      </c>
      <c r="G7" s="86">
        <v>0</v>
      </c>
      <c r="H7" s="85">
        <v>0</v>
      </c>
      <c r="I7" s="86">
        <v>0</v>
      </c>
      <c r="J7" s="85">
        <v>0</v>
      </c>
      <c r="K7" s="86">
        <v>0</v>
      </c>
      <c r="L7" s="85">
        <v>0</v>
      </c>
      <c r="M7" s="86">
        <v>0</v>
      </c>
      <c r="N7" s="85">
        <v>23</v>
      </c>
      <c r="O7" s="86">
        <v>49150061.479999997</v>
      </c>
      <c r="P7" s="87"/>
      <c r="Q7" s="87"/>
      <c r="R7" s="87"/>
    </row>
    <row r="8" spans="1:18" ht="13.9" customHeight="1" outlineLevel="1" x14ac:dyDescent="0.25">
      <c r="B8" s="149"/>
      <c r="C8" s="150" t="s">
        <v>34</v>
      </c>
      <c r="D8" s="85">
        <v>0</v>
      </c>
      <c r="E8" s="86">
        <v>0</v>
      </c>
      <c r="F8" s="85">
        <v>0</v>
      </c>
      <c r="G8" s="86">
        <v>0</v>
      </c>
      <c r="H8" s="85">
        <v>0</v>
      </c>
      <c r="I8" s="86">
        <v>0</v>
      </c>
      <c r="J8" s="85">
        <v>0</v>
      </c>
      <c r="K8" s="86">
        <v>0</v>
      </c>
      <c r="L8" s="85">
        <v>33</v>
      </c>
      <c r="M8" s="86">
        <v>94723874.25</v>
      </c>
      <c r="N8" s="85">
        <v>42</v>
      </c>
      <c r="O8" s="86">
        <v>130062304.75</v>
      </c>
      <c r="P8" s="87"/>
      <c r="Q8" s="87"/>
      <c r="R8" s="87"/>
    </row>
    <row r="9" spans="1:18" ht="13.9" customHeight="1" outlineLevel="1" x14ac:dyDescent="0.25">
      <c r="B9" s="149"/>
      <c r="C9" s="150" t="s">
        <v>35</v>
      </c>
      <c r="D9" s="85">
        <v>0</v>
      </c>
      <c r="E9" s="86">
        <v>0</v>
      </c>
      <c r="F9" s="85">
        <v>0</v>
      </c>
      <c r="G9" s="86">
        <v>0</v>
      </c>
      <c r="H9" s="85">
        <v>0</v>
      </c>
      <c r="I9" s="86">
        <v>0</v>
      </c>
      <c r="J9" s="85">
        <v>0</v>
      </c>
      <c r="K9" s="86">
        <v>0</v>
      </c>
      <c r="L9" s="85">
        <v>0</v>
      </c>
      <c r="M9" s="86">
        <v>0</v>
      </c>
      <c r="N9" s="85">
        <v>31</v>
      </c>
      <c r="O9" s="86">
        <v>31818369.159999996</v>
      </c>
      <c r="P9" s="87"/>
      <c r="Q9" s="87"/>
      <c r="R9" s="87"/>
    </row>
    <row r="10" spans="1:18" ht="13.9" customHeight="1" outlineLevel="1" x14ac:dyDescent="0.25">
      <c r="B10" s="149"/>
      <c r="C10" s="150" t="s">
        <v>36</v>
      </c>
      <c r="D10" s="85">
        <v>0</v>
      </c>
      <c r="E10" s="86">
        <v>0</v>
      </c>
      <c r="F10" s="85">
        <v>2</v>
      </c>
      <c r="G10" s="86">
        <v>19650256</v>
      </c>
      <c r="H10" s="85">
        <v>4</v>
      </c>
      <c r="I10" s="86">
        <v>42848976</v>
      </c>
      <c r="J10" s="85">
        <v>7</v>
      </c>
      <c r="K10" s="86">
        <v>59414722.5</v>
      </c>
      <c r="L10" s="85">
        <v>9</v>
      </c>
      <c r="M10" s="86">
        <v>82373792.400000006</v>
      </c>
      <c r="N10" s="85">
        <v>1</v>
      </c>
      <c r="O10" s="86">
        <v>8938598.4000000004</v>
      </c>
      <c r="P10" s="87"/>
      <c r="Q10" s="87"/>
      <c r="R10" s="87"/>
    </row>
    <row r="11" spans="1:18" ht="13.9" customHeight="1" outlineLevel="1" x14ac:dyDescent="0.25">
      <c r="B11" s="149"/>
      <c r="C11" s="150" t="s">
        <v>37</v>
      </c>
      <c r="D11" s="85">
        <v>0</v>
      </c>
      <c r="E11" s="86">
        <v>0</v>
      </c>
      <c r="F11" s="85">
        <v>0</v>
      </c>
      <c r="G11" s="86">
        <v>0</v>
      </c>
      <c r="H11" s="85">
        <v>0</v>
      </c>
      <c r="I11" s="86">
        <v>0</v>
      </c>
      <c r="J11" s="85">
        <v>0</v>
      </c>
      <c r="K11" s="86">
        <v>0</v>
      </c>
      <c r="L11" s="85">
        <v>0</v>
      </c>
      <c r="M11" s="86">
        <v>0</v>
      </c>
      <c r="N11" s="85">
        <v>19</v>
      </c>
      <c r="O11" s="86">
        <v>38806342.049999997</v>
      </c>
      <c r="P11" s="87"/>
      <c r="Q11" s="87"/>
      <c r="R11" s="87"/>
    </row>
    <row r="12" spans="1:18" ht="13.9" customHeight="1" outlineLevel="1" x14ac:dyDescent="0.25">
      <c r="B12" s="149"/>
      <c r="C12" s="150" t="s">
        <v>38</v>
      </c>
      <c r="D12" s="85">
        <v>0</v>
      </c>
      <c r="E12" s="86">
        <v>0</v>
      </c>
      <c r="F12" s="85">
        <v>0</v>
      </c>
      <c r="G12" s="86">
        <v>0</v>
      </c>
      <c r="H12" s="85">
        <v>0</v>
      </c>
      <c r="I12" s="86">
        <v>0</v>
      </c>
      <c r="J12" s="85">
        <v>0</v>
      </c>
      <c r="K12" s="86">
        <v>0</v>
      </c>
      <c r="L12" s="85">
        <v>0</v>
      </c>
      <c r="M12" s="86">
        <v>0</v>
      </c>
      <c r="N12" s="85">
        <v>35</v>
      </c>
      <c r="O12" s="86">
        <v>172442612.94999999</v>
      </c>
      <c r="P12" s="87"/>
      <c r="Q12" s="87"/>
      <c r="R12" s="87"/>
    </row>
    <row r="13" spans="1:18" ht="13.9" customHeight="1" outlineLevel="1" x14ac:dyDescent="0.25">
      <c r="B13" s="149"/>
      <c r="C13" s="150" t="s">
        <v>39</v>
      </c>
      <c r="D13" s="85">
        <v>0</v>
      </c>
      <c r="E13" s="86">
        <v>0</v>
      </c>
      <c r="F13" s="85">
        <v>0</v>
      </c>
      <c r="G13" s="86">
        <v>0</v>
      </c>
      <c r="H13" s="85">
        <v>0</v>
      </c>
      <c r="I13" s="86">
        <v>0</v>
      </c>
      <c r="J13" s="85">
        <v>0</v>
      </c>
      <c r="K13" s="86">
        <v>0</v>
      </c>
      <c r="L13" s="85">
        <v>0</v>
      </c>
      <c r="M13" s="86">
        <v>0</v>
      </c>
      <c r="N13" s="85">
        <v>8</v>
      </c>
      <c r="O13" s="86">
        <v>108508429.64</v>
      </c>
      <c r="P13" s="87"/>
      <c r="Q13" s="87"/>
      <c r="R13" s="87"/>
    </row>
    <row r="14" spans="1:18" ht="13.9" customHeight="1" outlineLevel="1" x14ac:dyDescent="0.25">
      <c r="B14" s="149"/>
      <c r="C14" s="150" t="s">
        <v>40</v>
      </c>
      <c r="D14" s="85">
        <v>0</v>
      </c>
      <c r="E14" s="86">
        <v>0</v>
      </c>
      <c r="F14" s="85">
        <v>0</v>
      </c>
      <c r="G14" s="86">
        <v>0</v>
      </c>
      <c r="H14" s="85">
        <v>0</v>
      </c>
      <c r="I14" s="86">
        <v>0</v>
      </c>
      <c r="J14" s="85">
        <v>0</v>
      </c>
      <c r="K14" s="86">
        <v>0</v>
      </c>
      <c r="L14" s="85">
        <v>0</v>
      </c>
      <c r="M14" s="86">
        <v>0</v>
      </c>
      <c r="N14" s="85">
        <v>1</v>
      </c>
      <c r="O14" s="86">
        <v>22862061</v>
      </c>
      <c r="P14" s="87"/>
      <c r="Q14" s="87"/>
      <c r="R14" s="87"/>
    </row>
    <row r="15" spans="1:18" ht="13.9" customHeight="1" outlineLevel="1" x14ac:dyDescent="0.25">
      <c r="B15" s="149"/>
      <c r="C15" s="150" t="s">
        <v>41</v>
      </c>
      <c r="D15" s="85">
        <v>0</v>
      </c>
      <c r="E15" s="86">
        <v>0</v>
      </c>
      <c r="F15" s="85">
        <v>0</v>
      </c>
      <c r="G15" s="86">
        <v>0</v>
      </c>
      <c r="H15" s="85">
        <v>0</v>
      </c>
      <c r="I15" s="86">
        <v>0</v>
      </c>
      <c r="J15" s="85">
        <v>0</v>
      </c>
      <c r="K15" s="86">
        <v>0</v>
      </c>
      <c r="L15" s="85">
        <v>0</v>
      </c>
      <c r="M15" s="86">
        <v>0</v>
      </c>
      <c r="N15" s="85">
        <v>13</v>
      </c>
      <c r="O15" s="86">
        <v>25441429.950000003</v>
      </c>
      <c r="P15" s="87"/>
      <c r="Q15" s="87"/>
      <c r="R15" s="87"/>
    </row>
    <row r="16" spans="1:18" ht="13.9" customHeight="1" outlineLevel="1" x14ac:dyDescent="0.25">
      <c r="B16" s="149"/>
      <c r="C16" s="150" t="s">
        <v>42</v>
      </c>
      <c r="D16" s="85">
        <v>0</v>
      </c>
      <c r="E16" s="86">
        <v>0</v>
      </c>
      <c r="F16" s="85">
        <v>19</v>
      </c>
      <c r="G16" s="86">
        <v>55500118.150000006</v>
      </c>
      <c r="H16" s="85">
        <v>12</v>
      </c>
      <c r="I16" s="86">
        <v>21347787.75</v>
      </c>
      <c r="J16" s="85">
        <v>7</v>
      </c>
      <c r="K16" s="86">
        <v>13626533.640000001</v>
      </c>
      <c r="L16" s="85">
        <v>39</v>
      </c>
      <c r="M16" s="86">
        <v>89736937.769999996</v>
      </c>
      <c r="N16" s="85">
        <v>34</v>
      </c>
      <c r="O16" s="86">
        <v>79968372.140000001</v>
      </c>
      <c r="P16" s="87"/>
      <c r="Q16" s="87"/>
      <c r="R16" s="87"/>
    </row>
    <row r="17" spans="2:18" ht="13.9" customHeight="1" outlineLevel="1" x14ac:dyDescent="0.25">
      <c r="B17" s="149"/>
      <c r="C17" s="150" t="s">
        <v>43</v>
      </c>
      <c r="D17" s="85">
        <v>0</v>
      </c>
      <c r="E17" s="86">
        <v>0</v>
      </c>
      <c r="F17" s="85">
        <v>0</v>
      </c>
      <c r="G17" s="86">
        <v>0</v>
      </c>
      <c r="H17" s="85">
        <v>4</v>
      </c>
      <c r="I17" s="86">
        <v>44478640</v>
      </c>
      <c r="J17" s="85">
        <v>4</v>
      </c>
      <c r="K17" s="86">
        <v>29482694</v>
      </c>
      <c r="L17" s="85">
        <v>13</v>
      </c>
      <c r="M17" s="86">
        <v>91678063.140000001</v>
      </c>
      <c r="N17" s="85">
        <v>24</v>
      </c>
      <c r="O17" s="86">
        <v>151131258.68000001</v>
      </c>
      <c r="P17" s="87"/>
      <c r="Q17" s="87"/>
      <c r="R17" s="87"/>
    </row>
    <row r="18" spans="2:18" ht="13.9" customHeight="1" outlineLevel="1" x14ac:dyDescent="0.25">
      <c r="B18" s="149"/>
      <c r="C18" s="150" t="s">
        <v>44</v>
      </c>
      <c r="D18" s="85">
        <v>0</v>
      </c>
      <c r="E18" s="86">
        <v>0</v>
      </c>
      <c r="F18" s="85">
        <v>2</v>
      </c>
      <c r="G18" s="86">
        <v>5003539.4000000004</v>
      </c>
      <c r="H18" s="85">
        <v>18</v>
      </c>
      <c r="I18" s="86">
        <v>40881448.649999999</v>
      </c>
      <c r="J18" s="85">
        <v>12</v>
      </c>
      <c r="K18" s="86">
        <v>31718075.900000002</v>
      </c>
      <c r="L18" s="85">
        <v>1</v>
      </c>
      <c r="M18" s="86">
        <v>3817841.3</v>
      </c>
      <c r="N18" s="85">
        <v>6</v>
      </c>
      <c r="O18" s="86">
        <v>16266890.919999998</v>
      </c>
      <c r="P18" s="87"/>
      <c r="Q18" s="87"/>
      <c r="R18" s="87"/>
    </row>
    <row r="19" spans="2:18" ht="13.9" customHeight="1" outlineLevel="1" x14ac:dyDescent="0.25">
      <c r="B19" s="149"/>
      <c r="C19" s="150" t="s">
        <v>45</v>
      </c>
      <c r="D19" s="85">
        <v>0</v>
      </c>
      <c r="E19" s="86">
        <v>0</v>
      </c>
      <c r="F19" s="85">
        <v>11</v>
      </c>
      <c r="G19" s="86">
        <v>35375417.300000004</v>
      </c>
      <c r="H19" s="85">
        <v>13</v>
      </c>
      <c r="I19" s="86">
        <v>34906058.950000003</v>
      </c>
      <c r="J19" s="85">
        <v>4</v>
      </c>
      <c r="K19" s="86">
        <v>8509581.4000000004</v>
      </c>
      <c r="L19" s="85">
        <v>0</v>
      </c>
      <c r="M19" s="86">
        <v>0</v>
      </c>
      <c r="N19" s="85">
        <v>0</v>
      </c>
      <c r="O19" s="86">
        <v>0</v>
      </c>
      <c r="P19" s="87"/>
      <c r="Q19" s="87"/>
      <c r="R19" s="87"/>
    </row>
    <row r="20" spans="2:18" ht="13.9" customHeight="1" outlineLevel="1" x14ac:dyDescent="0.25">
      <c r="B20" s="149"/>
      <c r="C20" s="150" t="s">
        <v>46</v>
      </c>
      <c r="D20" s="85">
        <v>0</v>
      </c>
      <c r="E20" s="86">
        <v>0</v>
      </c>
      <c r="F20" s="85">
        <v>5</v>
      </c>
      <c r="G20" s="86">
        <v>35858970</v>
      </c>
      <c r="H20" s="85">
        <v>0</v>
      </c>
      <c r="I20" s="86">
        <v>0</v>
      </c>
      <c r="J20" s="85">
        <v>0</v>
      </c>
      <c r="K20" s="86">
        <v>0</v>
      </c>
      <c r="L20" s="85">
        <v>0</v>
      </c>
      <c r="M20" s="86">
        <v>0</v>
      </c>
      <c r="N20" s="85">
        <v>0</v>
      </c>
      <c r="O20" s="86">
        <v>0</v>
      </c>
      <c r="P20" s="87"/>
      <c r="Q20" s="87"/>
      <c r="R20" s="87"/>
    </row>
    <row r="21" spans="2:18" ht="13.9" customHeight="1" outlineLevel="1" x14ac:dyDescent="0.25">
      <c r="B21" s="149"/>
      <c r="C21" s="150" t="s">
        <v>47</v>
      </c>
      <c r="D21" s="85">
        <v>0</v>
      </c>
      <c r="E21" s="86">
        <v>0</v>
      </c>
      <c r="F21" s="85">
        <v>3</v>
      </c>
      <c r="G21" s="86">
        <v>5098134.05</v>
      </c>
      <c r="H21" s="85">
        <v>2</v>
      </c>
      <c r="I21" s="86">
        <v>4205700.95</v>
      </c>
      <c r="J21" s="85">
        <v>8</v>
      </c>
      <c r="K21" s="86">
        <v>30613991.119999997</v>
      </c>
      <c r="L21" s="85">
        <v>84</v>
      </c>
      <c r="M21" s="86">
        <v>177496084.59999996</v>
      </c>
      <c r="N21" s="85">
        <v>29</v>
      </c>
      <c r="O21" s="86">
        <v>65581752.150000006</v>
      </c>
      <c r="P21" s="87"/>
      <c r="Q21" s="87"/>
      <c r="R21" s="87"/>
    </row>
    <row r="22" spans="2:18" ht="13.9" customHeight="1" outlineLevel="1" x14ac:dyDescent="0.25">
      <c r="B22" s="149"/>
      <c r="C22" s="150" t="s">
        <v>48</v>
      </c>
      <c r="D22" s="85">
        <v>0</v>
      </c>
      <c r="E22" s="86">
        <v>0</v>
      </c>
      <c r="F22" s="85">
        <v>7</v>
      </c>
      <c r="G22" s="86">
        <v>7537841</v>
      </c>
      <c r="H22" s="85">
        <v>0</v>
      </c>
      <c r="I22" s="86">
        <v>0</v>
      </c>
      <c r="J22" s="85">
        <v>15</v>
      </c>
      <c r="K22" s="86">
        <v>22403569.800000001</v>
      </c>
      <c r="L22" s="85">
        <v>32</v>
      </c>
      <c r="M22" s="86">
        <v>37354053.349999994</v>
      </c>
      <c r="N22" s="85">
        <v>1</v>
      </c>
      <c r="O22" s="86">
        <v>1041733.1</v>
      </c>
      <c r="P22" s="87"/>
      <c r="Q22" s="87"/>
      <c r="R22" s="87"/>
    </row>
    <row r="23" spans="2:18" ht="13.9" customHeight="1" outlineLevel="1" x14ac:dyDescent="0.25">
      <c r="B23" s="149"/>
      <c r="C23" s="150" t="s">
        <v>49</v>
      </c>
      <c r="D23" s="85">
        <v>0</v>
      </c>
      <c r="E23" s="86">
        <v>0</v>
      </c>
      <c r="F23" s="85">
        <v>1</v>
      </c>
      <c r="G23" s="86">
        <v>9631931.1300000008</v>
      </c>
      <c r="H23" s="85">
        <v>0</v>
      </c>
      <c r="I23" s="86">
        <v>0</v>
      </c>
      <c r="J23" s="85">
        <v>0</v>
      </c>
      <c r="K23" s="86">
        <v>0</v>
      </c>
      <c r="L23" s="85">
        <v>5</v>
      </c>
      <c r="M23" s="86">
        <v>52424322.970000006</v>
      </c>
      <c r="N23" s="85">
        <v>13</v>
      </c>
      <c r="O23" s="86">
        <v>130320968.56</v>
      </c>
      <c r="P23" s="87"/>
      <c r="Q23" s="87"/>
      <c r="R23" s="87"/>
    </row>
    <row r="24" spans="2:18" ht="13.9" customHeight="1" outlineLevel="1" x14ac:dyDescent="0.25">
      <c r="B24" s="149"/>
      <c r="C24" s="150" t="s">
        <v>50</v>
      </c>
      <c r="D24" s="85">
        <v>0</v>
      </c>
      <c r="E24" s="86">
        <v>0</v>
      </c>
      <c r="F24" s="85">
        <v>3</v>
      </c>
      <c r="G24" s="86">
        <v>23744342.5</v>
      </c>
      <c r="H24" s="85">
        <v>8</v>
      </c>
      <c r="I24" s="86">
        <v>47430909.5</v>
      </c>
      <c r="J24" s="85">
        <v>0</v>
      </c>
      <c r="K24" s="86">
        <v>0</v>
      </c>
      <c r="L24" s="85">
        <v>0</v>
      </c>
      <c r="M24" s="86">
        <v>0</v>
      </c>
      <c r="N24" s="85">
        <v>0</v>
      </c>
      <c r="O24" s="86">
        <v>0</v>
      </c>
      <c r="P24" s="87"/>
    </row>
    <row r="25" spans="2:18" ht="13.9" customHeight="1" outlineLevel="1" x14ac:dyDescent="0.25">
      <c r="B25" s="149"/>
      <c r="C25" s="150" t="s">
        <v>51</v>
      </c>
      <c r="D25" s="85">
        <v>0</v>
      </c>
      <c r="E25" s="86">
        <v>0</v>
      </c>
      <c r="F25" s="85">
        <v>1</v>
      </c>
      <c r="G25" s="86">
        <v>1411209.8</v>
      </c>
      <c r="H25" s="85">
        <v>9</v>
      </c>
      <c r="I25" s="86">
        <v>12290852.999999998</v>
      </c>
      <c r="J25" s="85">
        <v>7</v>
      </c>
      <c r="K25" s="86">
        <v>9799573.3000000007</v>
      </c>
      <c r="L25" s="85">
        <v>2</v>
      </c>
      <c r="M25" s="86">
        <v>2545888.2999999998</v>
      </c>
      <c r="N25" s="85">
        <v>0</v>
      </c>
      <c r="O25" s="86">
        <v>0</v>
      </c>
      <c r="P25" s="87"/>
    </row>
    <row r="26" spans="2:18" ht="13.9" customHeight="1" outlineLevel="1" x14ac:dyDescent="0.25">
      <c r="B26" s="149"/>
      <c r="C26" s="150" t="s">
        <v>52</v>
      </c>
      <c r="D26" s="85">
        <v>0</v>
      </c>
      <c r="E26" s="86">
        <v>0</v>
      </c>
      <c r="F26" s="85">
        <v>1</v>
      </c>
      <c r="G26" s="86">
        <v>1850675.9</v>
      </c>
      <c r="H26" s="85">
        <v>5</v>
      </c>
      <c r="I26" s="86">
        <v>12348409.85</v>
      </c>
      <c r="J26" s="85">
        <v>0</v>
      </c>
      <c r="K26" s="86">
        <v>0</v>
      </c>
      <c r="L26" s="85">
        <v>0</v>
      </c>
      <c r="M26" s="86">
        <v>0</v>
      </c>
      <c r="N26" s="85">
        <v>0</v>
      </c>
      <c r="O26" s="86">
        <v>0</v>
      </c>
      <c r="P26" s="87"/>
    </row>
    <row r="27" spans="2:18" ht="13.9" customHeight="1" outlineLevel="1" x14ac:dyDescent="0.25">
      <c r="B27" s="149"/>
      <c r="C27" s="150" t="s">
        <v>53</v>
      </c>
      <c r="D27" s="85">
        <v>0</v>
      </c>
      <c r="E27" s="86">
        <v>0</v>
      </c>
      <c r="F27" s="85">
        <v>6</v>
      </c>
      <c r="G27" s="86">
        <v>42725188.75</v>
      </c>
      <c r="H27" s="85">
        <v>10</v>
      </c>
      <c r="I27" s="86">
        <v>38001438</v>
      </c>
      <c r="J27" s="85">
        <v>6</v>
      </c>
      <c r="K27" s="86">
        <v>36536976.629999995</v>
      </c>
      <c r="L27" s="85">
        <v>0</v>
      </c>
      <c r="M27" s="86">
        <v>0</v>
      </c>
      <c r="N27" s="85">
        <v>0</v>
      </c>
      <c r="O27" s="86">
        <v>0</v>
      </c>
      <c r="P27" s="87"/>
    </row>
    <row r="28" spans="2:18" ht="13.9" customHeight="1" outlineLevel="1" x14ac:dyDescent="0.25">
      <c r="B28" s="149"/>
      <c r="C28" s="150" t="s">
        <v>54</v>
      </c>
      <c r="D28" s="85">
        <v>0</v>
      </c>
      <c r="E28" s="86">
        <v>0</v>
      </c>
      <c r="F28" s="85">
        <v>10</v>
      </c>
      <c r="G28" s="86">
        <v>24587863.299999997</v>
      </c>
      <c r="H28" s="85">
        <v>6</v>
      </c>
      <c r="I28" s="86">
        <v>15463143.1</v>
      </c>
      <c r="J28" s="85">
        <v>0</v>
      </c>
      <c r="K28" s="86">
        <v>0</v>
      </c>
      <c r="L28" s="85">
        <v>0</v>
      </c>
      <c r="M28" s="86">
        <v>0</v>
      </c>
      <c r="N28" s="85">
        <v>0</v>
      </c>
      <c r="O28" s="86">
        <v>0</v>
      </c>
      <c r="P28" s="87"/>
    </row>
    <row r="29" spans="2:18" ht="13.9" customHeight="1" outlineLevel="1" x14ac:dyDescent="0.25">
      <c r="B29" s="149"/>
      <c r="C29" s="150" t="s">
        <v>55</v>
      </c>
      <c r="D29" s="85">
        <v>0</v>
      </c>
      <c r="E29" s="86">
        <v>0</v>
      </c>
      <c r="F29" s="85">
        <v>1</v>
      </c>
      <c r="G29" s="86">
        <v>5770991</v>
      </c>
      <c r="H29" s="85">
        <v>0</v>
      </c>
      <c r="I29" s="86">
        <v>0</v>
      </c>
      <c r="J29" s="85">
        <v>0</v>
      </c>
      <c r="K29" s="86">
        <v>0</v>
      </c>
      <c r="L29" s="85">
        <v>0</v>
      </c>
      <c r="M29" s="86">
        <v>0</v>
      </c>
      <c r="N29" s="85">
        <v>0</v>
      </c>
      <c r="O29" s="86">
        <v>0</v>
      </c>
      <c r="P29" s="87"/>
    </row>
    <row r="30" spans="2:18" ht="13.9" customHeight="1" outlineLevel="1" x14ac:dyDescent="0.25">
      <c r="B30" s="149"/>
      <c r="C30" s="150" t="s">
        <v>56</v>
      </c>
      <c r="D30" s="85">
        <v>0</v>
      </c>
      <c r="E30" s="86">
        <v>0</v>
      </c>
      <c r="F30" s="85">
        <v>0</v>
      </c>
      <c r="G30" s="86">
        <v>0</v>
      </c>
      <c r="H30" s="85">
        <v>1</v>
      </c>
      <c r="I30" s="86">
        <v>2119087.7999999998</v>
      </c>
      <c r="J30" s="85">
        <v>0</v>
      </c>
      <c r="K30" s="86">
        <v>0</v>
      </c>
      <c r="L30" s="85">
        <v>0</v>
      </c>
      <c r="M30" s="86">
        <v>0</v>
      </c>
      <c r="N30" s="85">
        <v>0</v>
      </c>
      <c r="O30" s="86">
        <v>0</v>
      </c>
      <c r="P30" s="87"/>
    </row>
    <row r="31" spans="2:18" ht="13.9" customHeight="1" outlineLevel="1" x14ac:dyDescent="0.25">
      <c r="B31" s="149"/>
      <c r="C31" s="150" t="s">
        <v>57</v>
      </c>
      <c r="D31" s="85">
        <v>0</v>
      </c>
      <c r="E31" s="86">
        <v>0</v>
      </c>
      <c r="F31" s="85">
        <v>0</v>
      </c>
      <c r="G31" s="86">
        <v>0</v>
      </c>
      <c r="H31" s="85">
        <v>0</v>
      </c>
      <c r="I31" s="86">
        <v>0</v>
      </c>
      <c r="J31" s="85">
        <v>0</v>
      </c>
      <c r="K31" s="86">
        <v>0</v>
      </c>
      <c r="L31" s="85">
        <v>0</v>
      </c>
      <c r="M31" s="86">
        <v>0</v>
      </c>
      <c r="N31" s="85">
        <v>5</v>
      </c>
      <c r="O31" s="86">
        <v>76033172.99000001</v>
      </c>
      <c r="P31" s="87"/>
    </row>
    <row r="32" spans="2:18" ht="13.9" customHeight="1" outlineLevel="1" x14ac:dyDescent="0.25">
      <c r="B32" s="149"/>
      <c r="C32" s="150" t="s">
        <v>58</v>
      </c>
      <c r="D32" s="85">
        <v>0</v>
      </c>
      <c r="E32" s="86">
        <v>0</v>
      </c>
      <c r="F32" s="85">
        <v>1</v>
      </c>
      <c r="G32" s="86">
        <v>2686376</v>
      </c>
      <c r="H32" s="85">
        <v>3</v>
      </c>
      <c r="I32" s="86">
        <v>4615882.3499999996</v>
      </c>
      <c r="J32" s="85">
        <v>0</v>
      </c>
      <c r="K32" s="86">
        <v>0</v>
      </c>
      <c r="L32" s="85">
        <v>0</v>
      </c>
      <c r="M32" s="86">
        <v>0</v>
      </c>
      <c r="N32" s="85">
        <v>0</v>
      </c>
      <c r="O32" s="86">
        <v>0</v>
      </c>
      <c r="P32" s="87"/>
    </row>
    <row r="33" spans="2:16" ht="13.9" customHeight="1" outlineLevel="1" x14ac:dyDescent="0.25">
      <c r="B33" s="149"/>
      <c r="C33" s="150" t="s">
        <v>59</v>
      </c>
      <c r="D33" s="85">
        <v>0</v>
      </c>
      <c r="E33" s="86">
        <v>0</v>
      </c>
      <c r="F33" s="85">
        <v>1</v>
      </c>
      <c r="G33" s="86">
        <v>1536737.4</v>
      </c>
      <c r="H33" s="85">
        <v>5</v>
      </c>
      <c r="I33" s="86">
        <v>13106009.700000001</v>
      </c>
      <c r="J33" s="85">
        <v>1</v>
      </c>
      <c r="K33" s="86">
        <v>2607250.1</v>
      </c>
      <c r="L33" s="85">
        <v>0</v>
      </c>
      <c r="M33" s="86">
        <v>0</v>
      </c>
      <c r="N33" s="85">
        <v>0</v>
      </c>
      <c r="O33" s="86">
        <v>0</v>
      </c>
      <c r="P33" s="87"/>
    </row>
    <row r="34" spans="2:16" ht="13.9" customHeight="1" outlineLevel="1" x14ac:dyDescent="0.25">
      <c r="B34" s="149"/>
      <c r="C34" s="150" t="s">
        <v>60</v>
      </c>
      <c r="D34" s="85">
        <v>0</v>
      </c>
      <c r="E34" s="86">
        <v>0</v>
      </c>
      <c r="F34" s="85">
        <v>10</v>
      </c>
      <c r="G34" s="86">
        <v>46976629.5</v>
      </c>
      <c r="H34" s="85">
        <v>0</v>
      </c>
      <c r="I34" s="86">
        <v>0</v>
      </c>
      <c r="J34" s="85">
        <v>0</v>
      </c>
      <c r="K34" s="86">
        <v>0</v>
      </c>
      <c r="L34" s="85">
        <v>0</v>
      </c>
      <c r="M34" s="86">
        <v>0</v>
      </c>
      <c r="N34" s="85">
        <v>0</v>
      </c>
      <c r="O34" s="86">
        <v>0</v>
      </c>
      <c r="P34" s="87"/>
    </row>
    <row r="35" spans="2:16" ht="13.9" customHeight="1" outlineLevel="1" x14ac:dyDescent="0.25">
      <c r="B35" s="149"/>
      <c r="C35" s="150" t="s">
        <v>61</v>
      </c>
      <c r="D35" s="85">
        <v>0</v>
      </c>
      <c r="E35" s="86">
        <v>0</v>
      </c>
      <c r="F35" s="85">
        <v>2</v>
      </c>
      <c r="G35" s="86">
        <v>14784300</v>
      </c>
      <c r="H35" s="85">
        <v>6</v>
      </c>
      <c r="I35" s="86">
        <v>26047891.5</v>
      </c>
      <c r="J35" s="85">
        <v>0</v>
      </c>
      <c r="K35" s="86">
        <v>0</v>
      </c>
      <c r="L35" s="85">
        <v>0</v>
      </c>
      <c r="M35" s="86">
        <v>0</v>
      </c>
      <c r="N35" s="85">
        <v>0</v>
      </c>
      <c r="O35" s="86">
        <v>0</v>
      </c>
      <c r="P35" s="87"/>
    </row>
    <row r="36" spans="2:16" ht="13.9" customHeight="1" outlineLevel="1" x14ac:dyDescent="0.25">
      <c r="B36" s="149"/>
      <c r="C36" s="150" t="s">
        <v>62</v>
      </c>
      <c r="D36" s="85">
        <v>0</v>
      </c>
      <c r="E36" s="86">
        <v>0</v>
      </c>
      <c r="F36" s="85">
        <v>0</v>
      </c>
      <c r="G36" s="86">
        <v>0</v>
      </c>
      <c r="H36" s="85">
        <v>0</v>
      </c>
      <c r="I36" s="86">
        <v>0</v>
      </c>
      <c r="J36" s="85">
        <v>0</v>
      </c>
      <c r="K36" s="86">
        <v>0</v>
      </c>
      <c r="L36" s="85">
        <v>0</v>
      </c>
      <c r="M36" s="86">
        <v>0</v>
      </c>
      <c r="N36" s="85">
        <v>0</v>
      </c>
      <c r="O36" s="86">
        <v>0</v>
      </c>
      <c r="P36" s="87"/>
    </row>
    <row r="37" spans="2:16" ht="13.9" customHeight="1" outlineLevel="1" x14ac:dyDescent="0.25">
      <c r="B37" s="149"/>
      <c r="C37" s="150" t="s">
        <v>63</v>
      </c>
      <c r="D37" s="85">
        <v>1</v>
      </c>
      <c r="E37" s="86">
        <v>5831408</v>
      </c>
      <c r="F37" s="85">
        <v>0</v>
      </c>
      <c r="G37" s="86">
        <v>0</v>
      </c>
      <c r="H37" s="85">
        <v>0</v>
      </c>
      <c r="I37" s="86">
        <v>0</v>
      </c>
      <c r="J37" s="85">
        <v>0</v>
      </c>
      <c r="K37" s="86">
        <v>0</v>
      </c>
      <c r="L37" s="85">
        <v>0</v>
      </c>
      <c r="M37" s="86">
        <v>0</v>
      </c>
      <c r="N37" s="85">
        <v>0</v>
      </c>
      <c r="O37" s="86">
        <v>0</v>
      </c>
      <c r="P37" s="87"/>
    </row>
    <row r="38" spans="2:16" ht="13.9" customHeight="1" outlineLevel="1" x14ac:dyDescent="0.25">
      <c r="B38" s="149"/>
      <c r="C38" s="150" t="s">
        <v>64</v>
      </c>
      <c r="D38" s="85">
        <v>0</v>
      </c>
      <c r="E38" s="86">
        <v>0</v>
      </c>
      <c r="F38" s="85">
        <v>0</v>
      </c>
      <c r="G38" s="86">
        <v>0</v>
      </c>
      <c r="H38" s="85">
        <v>0</v>
      </c>
      <c r="I38" s="86">
        <v>0</v>
      </c>
      <c r="J38" s="85">
        <v>4</v>
      </c>
      <c r="K38" s="86">
        <v>7022604.9000000004</v>
      </c>
      <c r="L38" s="85">
        <v>7</v>
      </c>
      <c r="M38" s="86">
        <v>19299206.399999999</v>
      </c>
      <c r="N38" s="85">
        <v>28</v>
      </c>
      <c r="O38" s="86">
        <v>78039180.050000012</v>
      </c>
      <c r="P38" s="87"/>
    </row>
    <row r="39" spans="2:16" ht="13.9" customHeight="1" outlineLevel="1" x14ac:dyDescent="0.25">
      <c r="B39" s="149"/>
      <c r="C39" s="150" t="s">
        <v>65</v>
      </c>
      <c r="D39" s="85">
        <v>0</v>
      </c>
      <c r="E39" s="86">
        <v>0</v>
      </c>
      <c r="F39" s="85">
        <v>0</v>
      </c>
      <c r="G39" s="86">
        <v>0</v>
      </c>
      <c r="H39" s="85">
        <v>0</v>
      </c>
      <c r="I39" s="86">
        <v>0</v>
      </c>
      <c r="J39" s="85">
        <v>0</v>
      </c>
      <c r="K39" s="86">
        <v>0</v>
      </c>
      <c r="L39" s="85">
        <v>0</v>
      </c>
      <c r="M39" s="86">
        <v>0</v>
      </c>
      <c r="N39" s="85">
        <v>3</v>
      </c>
      <c r="O39" s="86">
        <v>5785000</v>
      </c>
      <c r="P39" s="87"/>
    </row>
    <row r="40" spans="2:16" ht="13.9" customHeight="1" outlineLevel="1" x14ac:dyDescent="0.25">
      <c r="B40" s="149"/>
      <c r="C40" s="150" t="s">
        <v>66</v>
      </c>
      <c r="D40" s="85">
        <v>0</v>
      </c>
      <c r="E40" s="86">
        <v>0</v>
      </c>
      <c r="F40" s="85">
        <v>0</v>
      </c>
      <c r="G40" s="86">
        <v>0</v>
      </c>
      <c r="H40" s="85">
        <v>0</v>
      </c>
      <c r="I40" s="86">
        <v>0</v>
      </c>
      <c r="J40" s="85">
        <v>0</v>
      </c>
      <c r="K40" s="86">
        <v>0</v>
      </c>
      <c r="L40" s="85">
        <v>0</v>
      </c>
      <c r="M40" s="86">
        <v>0</v>
      </c>
      <c r="N40" s="85">
        <v>7</v>
      </c>
      <c r="O40" s="86">
        <v>25064730.009999998</v>
      </c>
      <c r="P40" s="87"/>
    </row>
    <row r="41" spans="2:16" ht="13.9" customHeight="1" outlineLevel="1" x14ac:dyDescent="0.25">
      <c r="B41" s="149"/>
      <c r="C41" s="150" t="s">
        <v>67</v>
      </c>
      <c r="D41" s="85">
        <v>0</v>
      </c>
      <c r="E41" s="86">
        <v>0</v>
      </c>
      <c r="F41" s="85">
        <v>1</v>
      </c>
      <c r="G41" s="86">
        <v>2421825</v>
      </c>
      <c r="H41" s="85">
        <v>0</v>
      </c>
      <c r="I41" s="86">
        <v>0</v>
      </c>
      <c r="J41" s="85">
        <v>0</v>
      </c>
      <c r="K41" s="86">
        <v>0</v>
      </c>
      <c r="L41" s="85">
        <v>10</v>
      </c>
      <c r="M41" s="86">
        <v>25860586.199999999</v>
      </c>
      <c r="N41" s="85">
        <v>10</v>
      </c>
      <c r="O41" s="86">
        <v>30388509</v>
      </c>
      <c r="P41" s="87"/>
    </row>
    <row r="42" spans="2:16" ht="13.9" customHeight="1" x14ac:dyDescent="0.25">
      <c r="B42" s="149"/>
      <c r="C42" s="148" t="s">
        <v>103</v>
      </c>
      <c r="D42" s="90">
        <f>SUM(D5:D41)</f>
        <v>1</v>
      </c>
      <c r="E42" s="91">
        <f t="shared" ref="E42:O42" si="0">SUM(E5:E41)</f>
        <v>5831408</v>
      </c>
      <c r="F42" s="92">
        <f t="shared" si="0"/>
        <v>87</v>
      </c>
      <c r="G42" s="93">
        <f t="shared" si="0"/>
        <v>342152346.18000001</v>
      </c>
      <c r="H42" s="90">
        <f t="shared" si="0"/>
        <v>106</v>
      </c>
      <c r="I42" s="91">
        <f t="shared" si="0"/>
        <v>360092237.10000002</v>
      </c>
      <c r="J42" s="92">
        <f t="shared" si="0"/>
        <v>75</v>
      </c>
      <c r="K42" s="93">
        <f t="shared" si="0"/>
        <v>251735573.29000002</v>
      </c>
      <c r="L42" s="90">
        <f t="shared" si="0"/>
        <v>282</v>
      </c>
      <c r="M42" s="91">
        <f t="shared" si="0"/>
        <v>757554251.56999993</v>
      </c>
      <c r="N42" s="90">
        <f t="shared" si="0"/>
        <v>400</v>
      </c>
      <c r="O42" s="91">
        <f t="shared" si="0"/>
        <v>1384417258.8599999</v>
      </c>
      <c r="P42" s="94"/>
    </row>
    <row r="43" spans="2:16" ht="13.9" customHeight="1" outlineLevel="1" x14ac:dyDescent="0.25">
      <c r="B43" s="149" t="s">
        <v>83</v>
      </c>
      <c r="C43" s="150" t="s">
        <v>70</v>
      </c>
      <c r="D43" s="85">
        <v>0</v>
      </c>
      <c r="E43" s="86">
        <v>0</v>
      </c>
      <c r="F43" s="85">
        <v>6</v>
      </c>
      <c r="G43" s="86">
        <v>24242694.32</v>
      </c>
      <c r="H43" s="85">
        <v>19</v>
      </c>
      <c r="I43" s="86">
        <v>54628895.45000001</v>
      </c>
      <c r="J43" s="85">
        <v>22</v>
      </c>
      <c r="K43" s="86">
        <v>43549278.190000013</v>
      </c>
      <c r="L43" s="85">
        <v>33</v>
      </c>
      <c r="M43" s="86">
        <v>69730451.209999993</v>
      </c>
      <c r="N43" s="85">
        <v>1</v>
      </c>
      <c r="O43" s="86">
        <v>1861553.65</v>
      </c>
      <c r="P43" s="87"/>
    </row>
    <row r="44" spans="2:16" ht="13.9" customHeight="1" outlineLevel="1" x14ac:dyDescent="0.25">
      <c r="B44" s="149"/>
      <c r="C44" s="150" t="s">
        <v>71</v>
      </c>
      <c r="D44" s="85">
        <v>1</v>
      </c>
      <c r="E44" s="86">
        <v>18284285.25</v>
      </c>
      <c r="F44" s="85">
        <v>4</v>
      </c>
      <c r="G44" s="86">
        <v>51048965.68</v>
      </c>
      <c r="H44" s="85">
        <v>4</v>
      </c>
      <c r="I44" s="86">
        <v>48581612</v>
      </c>
      <c r="J44" s="85">
        <v>5</v>
      </c>
      <c r="K44" s="86">
        <v>68979725.189999998</v>
      </c>
      <c r="L44" s="85">
        <v>2</v>
      </c>
      <c r="M44" s="86">
        <v>23264174.98</v>
      </c>
      <c r="N44" s="85">
        <v>0</v>
      </c>
      <c r="O44" s="86">
        <v>0</v>
      </c>
      <c r="P44" s="87"/>
    </row>
    <row r="45" spans="2:16" ht="13.9" customHeight="1" outlineLevel="1" x14ac:dyDescent="0.25">
      <c r="B45" s="149"/>
      <c r="C45" s="150" t="s">
        <v>72</v>
      </c>
      <c r="D45" s="85">
        <v>1</v>
      </c>
      <c r="E45" s="86">
        <v>1761481.58</v>
      </c>
      <c r="F45" s="85">
        <v>8</v>
      </c>
      <c r="G45" s="86">
        <v>12808030.869999999</v>
      </c>
      <c r="H45" s="85">
        <v>10</v>
      </c>
      <c r="I45" s="86">
        <v>16631030.949999999</v>
      </c>
      <c r="J45" s="85">
        <v>1</v>
      </c>
      <c r="K45" s="86">
        <v>1415978.64</v>
      </c>
      <c r="L45" s="85">
        <v>3</v>
      </c>
      <c r="M45" s="86">
        <v>10012283.390000001</v>
      </c>
      <c r="N45" s="85">
        <v>0</v>
      </c>
      <c r="O45" s="86">
        <v>0</v>
      </c>
      <c r="P45" s="87"/>
    </row>
    <row r="46" spans="2:16" ht="13.9" customHeight="1" x14ac:dyDescent="0.25">
      <c r="B46" s="149"/>
      <c r="C46" s="148" t="s">
        <v>104</v>
      </c>
      <c r="D46" s="90">
        <f>SUM(D43:D45)</f>
        <v>2</v>
      </c>
      <c r="E46" s="91">
        <f t="shared" ref="E46:O46" si="1">SUM(E43:E45)</f>
        <v>20045766.829999998</v>
      </c>
      <c r="F46" s="92">
        <f t="shared" si="1"/>
        <v>18</v>
      </c>
      <c r="G46" s="93">
        <f t="shared" si="1"/>
        <v>88099690.870000005</v>
      </c>
      <c r="H46" s="90">
        <f t="shared" si="1"/>
        <v>33</v>
      </c>
      <c r="I46" s="91">
        <f t="shared" si="1"/>
        <v>119841538.40000002</v>
      </c>
      <c r="J46" s="92">
        <f t="shared" si="1"/>
        <v>28</v>
      </c>
      <c r="K46" s="93">
        <f t="shared" si="1"/>
        <v>113944982.02000001</v>
      </c>
      <c r="L46" s="90">
        <f t="shared" si="1"/>
        <v>38</v>
      </c>
      <c r="M46" s="91">
        <f t="shared" si="1"/>
        <v>103006909.58</v>
      </c>
      <c r="N46" s="90">
        <f t="shared" si="1"/>
        <v>1</v>
      </c>
      <c r="O46" s="91">
        <f t="shared" si="1"/>
        <v>1861553.65</v>
      </c>
      <c r="P46" s="94"/>
    </row>
    <row r="47" spans="2:16" ht="13.9" customHeight="1" outlineLevel="1" x14ac:dyDescent="0.25">
      <c r="B47" s="149" t="s">
        <v>105</v>
      </c>
      <c r="C47" s="150" t="s">
        <v>75</v>
      </c>
      <c r="D47" s="85">
        <v>0</v>
      </c>
      <c r="E47" s="86">
        <v>0</v>
      </c>
      <c r="F47" s="85">
        <v>0</v>
      </c>
      <c r="G47" s="86">
        <v>0</v>
      </c>
      <c r="H47" s="85">
        <v>0</v>
      </c>
      <c r="I47" s="86">
        <v>0</v>
      </c>
      <c r="J47" s="85">
        <v>0</v>
      </c>
      <c r="K47" s="86">
        <v>0</v>
      </c>
      <c r="L47" s="85">
        <v>0</v>
      </c>
      <c r="M47" s="86">
        <v>0</v>
      </c>
      <c r="N47" s="85">
        <v>0</v>
      </c>
      <c r="O47" s="86">
        <v>0</v>
      </c>
      <c r="P47" s="87"/>
    </row>
    <row r="48" spans="2:16" ht="13.9" customHeight="1" outlineLevel="1" x14ac:dyDescent="0.25">
      <c r="B48" s="149"/>
      <c r="C48" s="150" t="s">
        <v>76</v>
      </c>
      <c r="D48" s="85">
        <v>0</v>
      </c>
      <c r="E48" s="86">
        <v>0</v>
      </c>
      <c r="F48" s="85">
        <v>0</v>
      </c>
      <c r="G48" s="86">
        <v>0</v>
      </c>
      <c r="H48" s="85">
        <v>0</v>
      </c>
      <c r="I48" s="86">
        <v>0</v>
      </c>
      <c r="J48" s="85">
        <v>2</v>
      </c>
      <c r="K48" s="86">
        <v>2642067.5699999998</v>
      </c>
      <c r="L48" s="85">
        <v>0</v>
      </c>
      <c r="M48" s="86">
        <v>0</v>
      </c>
      <c r="N48" s="85">
        <v>0</v>
      </c>
      <c r="O48" s="86">
        <v>0</v>
      </c>
      <c r="P48" s="87"/>
    </row>
    <row r="49" spans="2:16" ht="13.9" customHeight="1" x14ac:dyDescent="0.25">
      <c r="B49" s="149"/>
      <c r="C49" s="148" t="s">
        <v>106</v>
      </c>
      <c r="D49" s="90">
        <f>SUM(D47:D48)</f>
        <v>0</v>
      </c>
      <c r="E49" s="91">
        <f t="shared" ref="E49:O49" si="2">SUM(E47:E48)</f>
        <v>0</v>
      </c>
      <c r="F49" s="92">
        <f t="shared" si="2"/>
        <v>0</v>
      </c>
      <c r="G49" s="93">
        <f t="shared" si="2"/>
        <v>0</v>
      </c>
      <c r="H49" s="90">
        <f t="shared" si="2"/>
        <v>0</v>
      </c>
      <c r="I49" s="91">
        <f t="shared" si="2"/>
        <v>0</v>
      </c>
      <c r="J49" s="92">
        <f t="shared" si="2"/>
        <v>2</v>
      </c>
      <c r="K49" s="93">
        <f t="shared" si="2"/>
        <v>2642067.5699999998</v>
      </c>
      <c r="L49" s="90">
        <f t="shared" si="2"/>
        <v>0</v>
      </c>
      <c r="M49" s="91">
        <f t="shared" si="2"/>
        <v>0</v>
      </c>
      <c r="N49" s="90">
        <f t="shared" si="2"/>
        <v>0</v>
      </c>
      <c r="O49" s="91">
        <f t="shared" si="2"/>
        <v>0</v>
      </c>
      <c r="P49" s="94"/>
    </row>
    <row r="50" spans="2:16" ht="13.9" customHeight="1" x14ac:dyDescent="0.25">
      <c r="B50" s="151" t="s">
        <v>78</v>
      </c>
      <c r="C50" s="151"/>
      <c r="D50" s="90">
        <f>D42+D46+D49</f>
        <v>3</v>
      </c>
      <c r="E50" s="91">
        <f t="shared" ref="E50:O50" si="3">E42+E46+E49</f>
        <v>25877174.829999998</v>
      </c>
      <c r="F50" s="92">
        <f t="shared" si="3"/>
        <v>105</v>
      </c>
      <c r="G50" s="93">
        <f t="shared" si="3"/>
        <v>430252037.05000001</v>
      </c>
      <c r="H50" s="90">
        <f t="shared" si="3"/>
        <v>139</v>
      </c>
      <c r="I50" s="91">
        <f t="shared" si="3"/>
        <v>479933775.50000006</v>
      </c>
      <c r="J50" s="92">
        <f t="shared" si="3"/>
        <v>105</v>
      </c>
      <c r="K50" s="93">
        <f t="shared" si="3"/>
        <v>368322622.88000005</v>
      </c>
      <c r="L50" s="90">
        <f t="shared" si="3"/>
        <v>320</v>
      </c>
      <c r="M50" s="91">
        <f t="shared" si="3"/>
        <v>860561161.14999998</v>
      </c>
      <c r="N50" s="90">
        <f t="shared" si="3"/>
        <v>401</v>
      </c>
      <c r="O50" s="91">
        <f t="shared" si="3"/>
        <v>1386278812.51</v>
      </c>
      <c r="P50" s="94"/>
    </row>
    <row r="51" spans="2:16" ht="13.9" customHeight="1" x14ac:dyDescent="0.25">
      <c r="B51" s="151" t="s">
        <v>79</v>
      </c>
      <c r="C51" s="151"/>
      <c r="D51" s="97">
        <f>D50/SUM($D$50,$F$50,$H$50,$J$50,$L$50,$N$50)</f>
        <v>2.7958993476234857E-3</v>
      </c>
      <c r="E51" s="98">
        <f>E50/SUM($E$50,$G$50,$I$50,$K$50,$M$50,$O$50)</f>
        <v>7.2868293546803145E-3</v>
      </c>
      <c r="F51" s="97">
        <f>F50/SUM($D$50,$F$50,$H$50,$J$50,$L$50,$N$50)</f>
        <v>9.7856477166821998E-2</v>
      </c>
      <c r="G51" s="98">
        <f>G50/SUM($E$50,$G$50,$I$50,$K$50,$M$50,$O$50)</f>
        <v>0.12115592965937938</v>
      </c>
      <c r="H51" s="97">
        <f>H50/SUM($D$50,$F$50,$H$50,$J$50,$L$50,$N$50)</f>
        <v>0.12954333643988816</v>
      </c>
      <c r="I51" s="98">
        <f>I50/SUM($E$50,$G$50,$I$50,$K$50,$M$50,$O$50)</f>
        <v>0.13514595571544286</v>
      </c>
      <c r="J51" s="97">
        <f>J50/SUM($D$50,$F$50,$H$50,$J$50,$L$50,$N$50)</f>
        <v>9.7856477166821998E-2</v>
      </c>
      <c r="K51" s="98">
        <f>K50/SUM($E$50,$G$50,$I$50,$K$50,$M$50,$O$50)</f>
        <v>0.1037170447711827</v>
      </c>
      <c r="L51" s="97">
        <f>L50/SUM($D$50,$F$50,$H$50,$J$50,$L$50,$N$50)</f>
        <v>0.2982292637465051</v>
      </c>
      <c r="M51" s="98">
        <f>M50/SUM($E$50,$G$50,$I$50,$K$50,$M$50,$O$50)</f>
        <v>0.24232793462815574</v>
      </c>
      <c r="N51" s="97">
        <f>N50/SUM($D$50,$F$50,$H$50,$J$50,$L$50,$N$50)</f>
        <v>0.37371854613233924</v>
      </c>
      <c r="O51" s="98">
        <f>O50/SUM($E$50,$G$50,$I$50,$K$50,$M$50,$O$50)</f>
        <v>0.390366305871159</v>
      </c>
      <c r="P51" s="99"/>
    </row>
    <row r="52" spans="2:16" ht="13.9" customHeight="1" x14ac:dyDescent="0.25">
      <c r="B52" s="152" t="s">
        <v>80</v>
      </c>
      <c r="C52" s="153"/>
      <c r="D52" s="102">
        <f>D51</f>
        <v>2.7958993476234857E-3</v>
      </c>
      <c r="E52" s="103">
        <f>E51</f>
        <v>7.2868293546803145E-3</v>
      </c>
      <c r="F52" s="102">
        <f>D51+F51</f>
        <v>0.10065237651444549</v>
      </c>
      <c r="G52" s="103">
        <f>E51+G51</f>
        <v>0.12844275901405969</v>
      </c>
      <c r="H52" s="102">
        <f>F51+H51+D51</f>
        <v>0.23019571295433364</v>
      </c>
      <c r="I52" s="103">
        <f>G51+I51+E51</f>
        <v>0.26358871472950257</v>
      </c>
      <c r="J52" s="102">
        <f>H51+J51+F51+D51</f>
        <v>0.32805219012115561</v>
      </c>
      <c r="K52" s="103">
        <f>I51+K51+G51+E51</f>
        <v>0.36730575950068528</v>
      </c>
      <c r="L52" s="102">
        <f>J51+L51+H51+F51+D51</f>
        <v>0.62628145386766076</v>
      </c>
      <c r="M52" s="103">
        <f>K51+M51+I51+G51+E51</f>
        <v>0.60963369412884094</v>
      </c>
      <c r="N52" s="102">
        <f>L51+N51+J51+H51+F51+D51</f>
        <v>0.99999999999999989</v>
      </c>
      <c r="O52" s="103">
        <f>M51+O51+K51+I51+G51+E51</f>
        <v>1</v>
      </c>
      <c r="P52" s="99"/>
    </row>
    <row r="53" spans="2:16" ht="13.9" customHeight="1" x14ac:dyDescent="0.25"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  <row r="54" spans="2:16" ht="13.9" customHeight="1" x14ac:dyDescent="0.25"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  <row r="55" spans="2:16" ht="13.9" customHeight="1" x14ac:dyDescent="0.25">
      <c r="B55" s="149" t="s">
        <v>26</v>
      </c>
      <c r="C55" s="148" t="s">
        <v>19</v>
      </c>
      <c r="D55" s="73" t="s">
        <v>20</v>
      </c>
      <c r="E55" s="74"/>
      <c r="F55" s="75" t="s">
        <v>21</v>
      </c>
      <c r="G55" s="76"/>
      <c r="H55" s="73" t="s">
        <v>22</v>
      </c>
      <c r="I55" s="74"/>
      <c r="J55" s="75" t="s">
        <v>23</v>
      </c>
      <c r="K55" s="76"/>
      <c r="L55" s="73" t="s">
        <v>24</v>
      </c>
      <c r="M55" s="74"/>
      <c r="N55" s="73" t="s">
        <v>25</v>
      </c>
      <c r="O55" s="74"/>
      <c r="P55" s="77"/>
    </row>
    <row r="56" spans="2:16" ht="13.9" customHeight="1" x14ac:dyDescent="0.25">
      <c r="B56" s="149"/>
      <c r="C56" s="148" t="s">
        <v>102</v>
      </c>
      <c r="D56" s="79" t="s">
        <v>81</v>
      </c>
      <c r="E56" s="80" t="s">
        <v>82</v>
      </c>
      <c r="F56" s="79" t="s">
        <v>81</v>
      </c>
      <c r="G56" s="80" t="s">
        <v>82</v>
      </c>
      <c r="H56" s="79" t="s">
        <v>81</v>
      </c>
      <c r="I56" s="80" t="s">
        <v>82</v>
      </c>
      <c r="J56" s="79" t="s">
        <v>81</v>
      </c>
      <c r="K56" s="80" t="s">
        <v>82</v>
      </c>
      <c r="L56" s="79" t="s">
        <v>81</v>
      </c>
      <c r="M56" s="80" t="s">
        <v>82</v>
      </c>
      <c r="N56" s="79" t="s">
        <v>81</v>
      </c>
      <c r="O56" s="80" t="s">
        <v>82</v>
      </c>
      <c r="P56" s="83"/>
    </row>
    <row r="57" spans="2:16" ht="13.9" customHeight="1" outlineLevel="1" x14ac:dyDescent="0.25">
      <c r="B57" s="149" t="s">
        <v>30</v>
      </c>
      <c r="C57" s="150" t="s">
        <v>31</v>
      </c>
      <c r="D57" s="85">
        <v>0</v>
      </c>
      <c r="E57" s="86">
        <v>0</v>
      </c>
      <c r="F57" s="85">
        <v>0</v>
      </c>
      <c r="G57" s="86">
        <v>0</v>
      </c>
      <c r="H57" s="85">
        <v>0</v>
      </c>
      <c r="I57" s="86">
        <v>0</v>
      </c>
      <c r="J57" s="85">
        <v>0</v>
      </c>
      <c r="K57" s="86">
        <v>0</v>
      </c>
      <c r="L57" s="85">
        <v>47784138.429999992</v>
      </c>
      <c r="M57" s="86">
        <v>32459462.460000005</v>
      </c>
      <c r="N57" s="85">
        <v>67668349.859999999</v>
      </c>
      <c r="O57" s="86">
        <v>38602082.919999994</v>
      </c>
      <c r="P57" s="87"/>
    </row>
    <row r="58" spans="2:16" ht="13.9" customHeight="1" outlineLevel="1" x14ac:dyDescent="0.25">
      <c r="B58" s="149"/>
      <c r="C58" s="150" t="s">
        <v>32</v>
      </c>
      <c r="D58" s="85">
        <v>0</v>
      </c>
      <c r="E58" s="86">
        <v>0</v>
      </c>
      <c r="F58" s="85">
        <v>0</v>
      </c>
      <c r="G58" s="86">
        <v>0</v>
      </c>
      <c r="H58" s="85">
        <v>0</v>
      </c>
      <c r="I58" s="86">
        <v>0</v>
      </c>
      <c r="J58" s="85">
        <v>0</v>
      </c>
      <c r="K58" s="86">
        <v>0</v>
      </c>
      <c r="L58" s="85">
        <v>0</v>
      </c>
      <c r="M58" s="86">
        <v>0</v>
      </c>
      <c r="N58" s="85">
        <v>27646806.98</v>
      </c>
      <c r="O58" s="86">
        <v>3003086.0500000007</v>
      </c>
      <c r="P58" s="87"/>
    </row>
    <row r="59" spans="2:16" ht="13.9" customHeight="1" outlineLevel="1" x14ac:dyDescent="0.25">
      <c r="B59" s="149"/>
      <c r="C59" s="150" t="s">
        <v>33</v>
      </c>
      <c r="D59" s="85">
        <v>0</v>
      </c>
      <c r="E59" s="86">
        <v>0</v>
      </c>
      <c r="F59" s="85">
        <v>0</v>
      </c>
      <c r="G59" s="86">
        <v>0</v>
      </c>
      <c r="H59" s="85">
        <v>0</v>
      </c>
      <c r="I59" s="86">
        <v>0</v>
      </c>
      <c r="J59" s="85">
        <v>0</v>
      </c>
      <c r="K59" s="86">
        <v>0</v>
      </c>
      <c r="L59" s="85">
        <v>0</v>
      </c>
      <c r="M59" s="86">
        <v>0</v>
      </c>
      <c r="N59" s="85">
        <v>35920909.340000004</v>
      </c>
      <c r="O59" s="86">
        <v>13281297.670000002</v>
      </c>
      <c r="P59" s="87"/>
    </row>
    <row r="60" spans="2:16" ht="13.9" customHeight="1" outlineLevel="1" x14ac:dyDescent="0.25">
      <c r="B60" s="149"/>
      <c r="C60" s="150" t="s">
        <v>34</v>
      </c>
      <c r="D60" s="85">
        <v>0</v>
      </c>
      <c r="E60" s="86">
        <v>0</v>
      </c>
      <c r="F60" s="85">
        <v>0</v>
      </c>
      <c r="G60" s="86">
        <v>0</v>
      </c>
      <c r="H60" s="85">
        <v>0</v>
      </c>
      <c r="I60" s="86">
        <v>0</v>
      </c>
      <c r="J60" s="85">
        <v>0</v>
      </c>
      <c r="K60" s="86">
        <v>0</v>
      </c>
      <c r="L60" s="85">
        <v>49582719.679999985</v>
      </c>
      <c r="M60" s="86">
        <v>45141154.570000015</v>
      </c>
      <c r="N60" s="85">
        <v>98546826</v>
      </c>
      <c r="O60" s="86">
        <v>31538089.22000001</v>
      </c>
      <c r="P60" s="87"/>
    </row>
    <row r="61" spans="2:16" ht="13.9" customHeight="1" outlineLevel="1" x14ac:dyDescent="0.25">
      <c r="B61" s="149"/>
      <c r="C61" s="150" t="s">
        <v>35</v>
      </c>
      <c r="D61" s="85">
        <v>0</v>
      </c>
      <c r="E61" s="86">
        <v>0</v>
      </c>
      <c r="F61" s="85">
        <v>0</v>
      </c>
      <c r="G61" s="86">
        <v>0</v>
      </c>
      <c r="H61" s="85">
        <v>0</v>
      </c>
      <c r="I61" s="86">
        <v>0</v>
      </c>
      <c r="J61" s="85">
        <v>0</v>
      </c>
      <c r="K61" s="86">
        <v>0</v>
      </c>
      <c r="L61" s="85">
        <v>0</v>
      </c>
      <c r="M61" s="86">
        <v>0</v>
      </c>
      <c r="N61" s="85">
        <v>31931986.540000003</v>
      </c>
      <c r="O61" s="86">
        <v>9.9999999976716936E-2</v>
      </c>
      <c r="P61" s="87"/>
    </row>
    <row r="62" spans="2:16" ht="13.9" customHeight="1" outlineLevel="1" x14ac:dyDescent="0.25">
      <c r="B62" s="149"/>
      <c r="C62" s="150" t="s">
        <v>36</v>
      </c>
      <c r="D62" s="85">
        <v>0</v>
      </c>
      <c r="E62" s="86">
        <v>0</v>
      </c>
      <c r="F62" s="85">
        <v>2762176</v>
      </c>
      <c r="G62" s="86">
        <v>16888080</v>
      </c>
      <c r="H62" s="85">
        <v>9868624</v>
      </c>
      <c r="I62" s="86">
        <v>32980352</v>
      </c>
      <c r="J62" s="85">
        <v>21287308.530000001</v>
      </c>
      <c r="K62" s="86">
        <v>38127413.969999999</v>
      </c>
      <c r="L62" s="85">
        <v>38079911.190000005</v>
      </c>
      <c r="M62" s="86">
        <v>44293881.210000001</v>
      </c>
      <c r="N62" s="85">
        <v>8938599</v>
      </c>
      <c r="O62" s="86">
        <v>0</v>
      </c>
      <c r="P62" s="87"/>
    </row>
    <row r="63" spans="2:16" ht="13.9" customHeight="1" outlineLevel="1" x14ac:dyDescent="0.25">
      <c r="B63" s="149"/>
      <c r="C63" s="150" t="s">
        <v>37</v>
      </c>
      <c r="D63" s="85">
        <v>0</v>
      </c>
      <c r="E63" s="86">
        <v>0</v>
      </c>
      <c r="F63" s="85">
        <v>0</v>
      </c>
      <c r="G63" s="86">
        <v>0</v>
      </c>
      <c r="H63" s="85">
        <v>0</v>
      </c>
      <c r="I63" s="86">
        <v>0</v>
      </c>
      <c r="J63" s="85">
        <v>0</v>
      </c>
      <c r="K63" s="86">
        <v>0</v>
      </c>
      <c r="L63" s="85">
        <v>0</v>
      </c>
      <c r="M63" s="86">
        <v>0</v>
      </c>
      <c r="N63" s="85">
        <v>39514917.109999999</v>
      </c>
      <c r="O63" s="86">
        <v>16905.100000000093</v>
      </c>
      <c r="P63" s="87"/>
    </row>
    <row r="64" spans="2:16" ht="13.9" customHeight="1" outlineLevel="1" x14ac:dyDescent="0.25">
      <c r="B64" s="149"/>
      <c r="C64" s="150" t="s">
        <v>38</v>
      </c>
      <c r="D64" s="85">
        <v>0</v>
      </c>
      <c r="E64" s="86">
        <v>0</v>
      </c>
      <c r="F64" s="85">
        <v>0</v>
      </c>
      <c r="G64" s="86">
        <v>0</v>
      </c>
      <c r="H64" s="85">
        <v>0</v>
      </c>
      <c r="I64" s="86">
        <v>0</v>
      </c>
      <c r="J64" s="85">
        <v>0</v>
      </c>
      <c r="K64" s="86">
        <v>0</v>
      </c>
      <c r="L64" s="85">
        <v>0</v>
      </c>
      <c r="M64" s="86">
        <v>0</v>
      </c>
      <c r="N64" s="85">
        <v>172657611.04999998</v>
      </c>
      <c r="O64" s="86">
        <v>94.840000000782311</v>
      </c>
      <c r="P64" s="87"/>
    </row>
    <row r="65" spans="2:16" ht="13.9" customHeight="1" outlineLevel="1" x14ac:dyDescent="0.25">
      <c r="B65" s="149"/>
      <c r="C65" s="150" t="s">
        <v>39</v>
      </c>
      <c r="D65" s="85">
        <v>0</v>
      </c>
      <c r="E65" s="86">
        <v>0</v>
      </c>
      <c r="F65" s="85">
        <v>0</v>
      </c>
      <c r="G65" s="86">
        <v>0</v>
      </c>
      <c r="H65" s="85">
        <v>0</v>
      </c>
      <c r="I65" s="86">
        <v>0</v>
      </c>
      <c r="J65" s="85">
        <v>0</v>
      </c>
      <c r="K65" s="86">
        <v>0</v>
      </c>
      <c r="L65" s="85">
        <v>0</v>
      </c>
      <c r="M65" s="86">
        <v>0</v>
      </c>
      <c r="N65" s="85">
        <v>109333588.02</v>
      </c>
      <c r="O65" s="86">
        <v>0</v>
      </c>
      <c r="P65" s="87"/>
    </row>
    <row r="66" spans="2:16" ht="13.9" customHeight="1" outlineLevel="1" x14ac:dyDescent="0.25">
      <c r="B66" s="149"/>
      <c r="C66" s="150" t="s">
        <v>40</v>
      </c>
      <c r="D66" s="85">
        <v>0</v>
      </c>
      <c r="E66" s="86">
        <v>0</v>
      </c>
      <c r="F66" s="85">
        <v>0</v>
      </c>
      <c r="G66" s="86">
        <v>0</v>
      </c>
      <c r="H66" s="85">
        <v>0</v>
      </c>
      <c r="I66" s="86">
        <v>0</v>
      </c>
      <c r="J66" s="85">
        <v>0</v>
      </c>
      <c r="K66" s="86">
        <v>0</v>
      </c>
      <c r="L66" s="85">
        <v>0</v>
      </c>
      <c r="M66" s="86">
        <v>0</v>
      </c>
      <c r="N66" s="85">
        <v>22862061.100000001</v>
      </c>
      <c r="O66" s="86">
        <v>0</v>
      </c>
      <c r="P66" s="87"/>
    </row>
    <row r="67" spans="2:16" ht="13.9" customHeight="1" outlineLevel="1" x14ac:dyDescent="0.25">
      <c r="B67" s="149"/>
      <c r="C67" s="150" t="s">
        <v>41</v>
      </c>
      <c r="D67" s="85">
        <v>0</v>
      </c>
      <c r="E67" s="86">
        <v>0</v>
      </c>
      <c r="F67" s="85">
        <v>0</v>
      </c>
      <c r="G67" s="86">
        <v>0</v>
      </c>
      <c r="H67" s="85">
        <v>0</v>
      </c>
      <c r="I67" s="86">
        <v>0</v>
      </c>
      <c r="J67" s="85">
        <v>0</v>
      </c>
      <c r="K67" s="86">
        <v>0</v>
      </c>
      <c r="L67" s="85">
        <v>0</v>
      </c>
      <c r="M67" s="86">
        <v>0</v>
      </c>
      <c r="N67" s="85">
        <v>25683149.059999999</v>
      </c>
      <c r="O67" s="86">
        <v>0.56000000005587935</v>
      </c>
      <c r="P67" s="87"/>
    </row>
    <row r="68" spans="2:16" ht="13.9" customHeight="1" outlineLevel="1" x14ac:dyDescent="0.25">
      <c r="B68" s="149"/>
      <c r="C68" s="150" t="s">
        <v>42</v>
      </c>
      <c r="D68" s="85">
        <v>0</v>
      </c>
      <c r="E68" s="86">
        <v>0</v>
      </c>
      <c r="F68" s="85">
        <v>7938337.1500000004</v>
      </c>
      <c r="G68" s="86">
        <v>47561781</v>
      </c>
      <c r="H68" s="85">
        <v>4694757.5500000007</v>
      </c>
      <c r="I68" s="86">
        <v>16653030.199999997</v>
      </c>
      <c r="J68" s="85">
        <v>4283596.05</v>
      </c>
      <c r="K68" s="86">
        <v>9342937.5899999999</v>
      </c>
      <c r="L68" s="85">
        <v>49455631.780000009</v>
      </c>
      <c r="M68" s="86">
        <v>40281305.989999995</v>
      </c>
      <c r="N68" s="85">
        <v>63171063.039999992</v>
      </c>
      <c r="O68" s="86">
        <v>16814447.910000004</v>
      </c>
      <c r="P68" s="87"/>
    </row>
    <row r="69" spans="2:16" ht="13.9" customHeight="1" outlineLevel="1" x14ac:dyDescent="0.25">
      <c r="B69" s="149"/>
      <c r="C69" s="150" t="s">
        <v>43</v>
      </c>
      <c r="D69" s="85">
        <v>0</v>
      </c>
      <c r="E69" s="86">
        <v>0</v>
      </c>
      <c r="F69" s="85">
        <v>0</v>
      </c>
      <c r="G69" s="86">
        <v>0</v>
      </c>
      <c r="H69" s="85">
        <v>10836053.08</v>
      </c>
      <c r="I69" s="86">
        <v>33642586.920000002</v>
      </c>
      <c r="J69" s="85">
        <v>10047052.4</v>
      </c>
      <c r="K69" s="86">
        <v>19435641.600000001</v>
      </c>
      <c r="L69" s="85">
        <v>45132065.950000003</v>
      </c>
      <c r="M69" s="86">
        <v>46545997.189999998</v>
      </c>
      <c r="N69" s="85">
        <v>119421155.44000001</v>
      </c>
      <c r="O69" s="86">
        <v>31717344.869999997</v>
      </c>
      <c r="P69" s="87"/>
    </row>
    <row r="70" spans="2:16" ht="13.9" customHeight="1" outlineLevel="1" x14ac:dyDescent="0.25">
      <c r="B70" s="149"/>
      <c r="C70" s="150" t="s">
        <v>44</v>
      </c>
      <c r="D70" s="85">
        <v>0</v>
      </c>
      <c r="E70" s="86">
        <v>0</v>
      </c>
      <c r="F70" s="85">
        <v>1000611.82</v>
      </c>
      <c r="G70" s="86">
        <v>4002927.58</v>
      </c>
      <c r="H70" s="85">
        <v>12212133.92</v>
      </c>
      <c r="I70" s="86">
        <v>28669314.730000004</v>
      </c>
      <c r="J70" s="85">
        <v>9773614.8100000005</v>
      </c>
      <c r="K70" s="86">
        <v>21944461.09</v>
      </c>
      <c r="L70" s="85">
        <v>1544136.13</v>
      </c>
      <c r="M70" s="86">
        <v>2273705.17</v>
      </c>
      <c r="N70" s="85">
        <v>16350087.379999999</v>
      </c>
      <c r="O70" s="86">
        <v>1.2000000001862645</v>
      </c>
      <c r="P70" s="87"/>
    </row>
    <row r="71" spans="2:16" ht="13.9" customHeight="1" outlineLevel="1" x14ac:dyDescent="0.25">
      <c r="B71" s="149"/>
      <c r="C71" s="150" t="s">
        <v>45</v>
      </c>
      <c r="D71" s="85">
        <v>0</v>
      </c>
      <c r="E71" s="86">
        <v>0</v>
      </c>
      <c r="F71" s="85">
        <v>6266183.9500000011</v>
      </c>
      <c r="G71" s="86">
        <v>29109233.349999998</v>
      </c>
      <c r="H71" s="85">
        <v>7727012.6200000001</v>
      </c>
      <c r="I71" s="86">
        <v>27179046.329999998</v>
      </c>
      <c r="J71" s="85">
        <v>2554279.2800000003</v>
      </c>
      <c r="K71" s="86">
        <v>5955302.1200000001</v>
      </c>
      <c r="L71" s="85">
        <v>0</v>
      </c>
      <c r="M71" s="86">
        <v>0</v>
      </c>
      <c r="N71" s="85">
        <v>0</v>
      </c>
      <c r="O71" s="86">
        <v>0</v>
      </c>
      <c r="P71" s="87"/>
    </row>
    <row r="72" spans="2:16" ht="13.9" customHeight="1" outlineLevel="1" x14ac:dyDescent="0.25">
      <c r="B72" s="149"/>
      <c r="C72" s="150" t="s">
        <v>46</v>
      </c>
      <c r="D72" s="85">
        <v>0</v>
      </c>
      <c r="E72" s="86">
        <v>0</v>
      </c>
      <c r="F72" s="85">
        <v>3777857.66</v>
      </c>
      <c r="G72" s="86">
        <v>32081112.34</v>
      </c>
      <c r="H72" s="85">
        <v>0</v>
      </c>
      <c r="I72" s="86">
        <v>0</v>
      </c>
      <c r="J72" s="85">
        <v>0</v>
      </c>
      <c r="K72" s="86">
        <v>0</v>
      </c>
      <c r="L72" s="85">
        <v>0</v>
      </c>
      <c r="M72" s="86">
        <v>0</v>
      </c>
      <c r="N72" s="85">
        <v>0</v>
      </c>
      <c r="O72" s="86">
        <v>0</v>
      </c>
      <c r="P72" s="87"/>
    </row>
    <row r="73" spans="2:16" ht="13.9" customHeight="1" outlineLevel="1" x14ac:dyDescent="0.25">
      <c r="B73" s="149"/>
      <c r="C73" s="150" t="s">
        <v>47</v>
      </c>
      <c r="D73" s="85">
        <v>0</v>
      </c>
      <c r="E73" s="86">
        <v>0</v>
      </c>
      <c r="F73" s="85">
        <v>926099.52</v>
      </c>
      <c r="G73" s="86">
        <v>4172034.53</v>
      </c>
      <c r="H73" s="85">
        <v>1099976.95</v>
      </c>
      <c r="I73" s="86">
        <v>3105724</v>
      </c>
      <c r="J73" s="85">
        <v>11634914.530000001</v>
      </c>
      <c r="K73" s="86">
        <v>18979076.590000004</v>
      </c>
      <c r="L73" s="85">
        <v>93630405.010000005</v>
      </c>
      <c r="M73" s="86">
        <v>83865679.590000004</v>
      </c>
      <c r="N73" s="85">
        <v>48843029.300000004</v>
      </c>
      <c r="O73" s="86">
        <v>16742722.99</v>
      </c>
      <c r="P73" s="87"/>
    </row>
    <row r="74" spans="2:16" ht="13.9" customHeight="1" outlineLevel="1" x14ac:dyDescent="0.25">
      <c r="B74" s="149"/>
      <c r="C74" s="150" t="s">
        <v>48</v>
      </c>
      <c r="D74" s="85">
        <v>0</v>
      </c>
      <c r="E74" s="86">
        <v>0</v>
      </c>
      <c r="F74" s="85">
        <v>762378.23999999999</v>
      </c>
      <c r="G74" s="86">
        <v>6775462.7599999998</v>
      </c>
      <c r="H74" s="85">
        <v>0</v>
      </c>
      <c r="I74" s="86">
        <v>0</v>
      </c>
      <c r="J74" s="85">
        <v>7312001.5899999989</v>
      </c>
      <c r="K74" s="86">
        <v>15091568.209999997</v>
      </c>
      <c r="L74" s="85">
        <v>18923300.730000004</v>
      </c>
      <c r="M74" s="86">
        <v>18430752.619999994</v>
      </c>
      <c r="N74" s="85">
        <v>646335.75</v>
      </c>
      <c r="O74" s="86">
        <v>395397.35</v>
      </c>
      <c r="P74" s="87"/>
    </row>
    <row r="75" spans="2:16" ht="13.9" customHeight="1" outlineLevel="1" x14ac:dyDescent="0.25">
      <c r="B75" s="149"/>
      <c r="C75" s="150" t="s">
        <v>49</v>
      </c>
      <c r="D75" s="85">
        <v>0</v>
      </c>
      <c r="E75" s="86">
        <v>0</v>
      </c>
      <c r="F75" s="85">
        <v>1759985.07</v>
      </c>
      <c r="G75" s="86">
        <v>7871946.0600000005</v>
      </c>
      <c r="H75" s="85">
        <v>0</v>
      </c>
      <c r="I75" s="86">
        <v>0</v>
      </c>
      <c r="J75" s="85">
        <v>0</v>
      </c>
      <c r="K75" s="86">
        <v>0</v>
      </c>
      <c r="L75" s="85">
        <v>29199507.32</v>
      </c>
      <c r="M75" s="86">
        <v>23224815.650000002</v>
      </c>
      <c r="N75" s="85">
        <v>85984725.670000002</v>
      </c>
      <c r="O75" s="86">
        <v>44336242.889999993</v>
      </c>
      <c r="P75" s="87"/>
    </row>
    <row r="76" spans="2:16" ht="13.9" customHeight="1" outlineLevel="1" x14ac:dyDescent="0.25">
      <c r="B76" s="149"/>
      <c r="C76" s="150" t="s">
        <v>50</v>
      </c>
      <c r="D76" s="85">
        <v>0</v>
      </c>
      <c r="E76" s="86">
        <v>0</v>
      </c>
      <c r="F76" s="85">
        <v>3069833.8</v>
      </c>
      <c r="G76" s="86">
        <v>20674508.699999999</v>
      </c>
      <c r="H76" s="85">
        <v>9809555.4900000002</v>
      </c>
      <c r="I76" s="86">
        <v>37621354.010000005</v>
      </c>
      <c r="J76" s="85">
        <v>0</v>
      </c>
      <c r="K76" s="86">
        <v>0</v>
      </c>
      <c r="L76" s="85">
        <v>0</v>
      </c>
      <c r="M76" s="86">
        <v>0</v>
      </c>
      <c r="N76" s="85">
        <v>0</v>
      </c>
      <c r="O76" s="86">
        <v>0</v>
      </c>
      <c r="P76" s="87"/>
    </row>
    <row r="77" spans="2:16" ht="13.9" customHeight="1" outlineLevel="1" x14ac:dyDescent="0.25">
      <c r="B77" s="149"/>
      <c r="C77" s="150" t="s">
        <v>51</v>
      </c>
      <c r="D77" s="85">
        <v>0</v>
      </c>
      <c r="E77" s="86">
        <v>0</v>
      </c>
      <c r="F77" s="85">
        <v>282241.96000000002</v>
      </c>
      <c r="G77" s="86">
        <v>1128967.8400000001</v>
      </c>
      <c r="H77" s="85">
        <v>3281867.2800000003</v>
      </c>
      <c r="I77" s="86">
        <v>9008985.7200000007</v>
      </c>
      <c r="J77" s="85">
        <v>3454484.43</v>
      </c>
      <c r="K77" s="86">
        <v>6345088.8700000001</v>
      </c>
      <c r="L77" s="85">
        <v>1018467.44</v>
      </c>
      <c r="M77" s="86">
        <v>1527420.8599999999</v>
      </c>
      <c r="N77" s="85">
        <v>0</v>
      </c>
      <c r="O77" s="86">
        <v>0</v>
      </c>
      <c r="P77" s="87"/>
    </row>
    <row r="78" spans="2:16" ht="13.9" customHeight="1" outlineLevel="1" x14ac:dyDescent="0.25">
      <c r="B78" s="149"/>
      <c r="C78" s="150" t="s">
        <v>52</v>
      </c>
      <c r="D78" s="85">
        <v>0</v>
      </c>
      <c r="E78" s="86">
        <v>0</v>
      </c>
      <c r="F78" s="85">
        <v>367683.09</v>
      </c>
      <c r="G78" s="86">
        <v>1482992.8099999998</v>
      </c>
      <c r="H78" s="85">
        <v>2469733.2300000004</v>
      </c>
      <c r="I78" s="86">
        <v>9878676.620000001</v>
      </c>
      <c r="J78" s="85">
        <v>0</v>
      </c>
      <c r="K78" s="86">
        <v>0</v>
      </c>
      <c r="L78" s="85">
        <v>0</v>
      </c>
      <c r="M78" s="86">
        <v>0</v>
      </c>
      <c r="N78" s="85">
        <v>0</v>
      </c>
      <c r="O78" s="86">
        <v>0</v>
      </c>
      <c r="P78" s="87"/>
    </row>
    <row r="79" spans="2:16" ht="13.9" customHeight="1" outlineLevel="1" x14ac:dyDescent="0.25">
      <c r="B79" s="149"/>
      <c r="C79" s="150" t="s">
        <v>53</v>
      </c>
      <c r="D79" s="85">
        <v>0</v>
      </c>
      <c r="E79" s="86">
        <v>0</v>
      </c>
      <c r="F79" s="85">
        <v>6388424.3799999999</v>
      </c>
      <c r="G79" s="86">
        <v>36336764.370000005</v>
      </c>
      <c r="H79" s="85">
        <v>10229326.76</v>
      </c>
      <c r="I79" s="86">
        <v>27772111.239999998</v>
      </c>
      <c r="J79" s="85">
        <v>11037064.390000001</v>
      </c>
      <c r="K79" s="86">
        <v>25499912.239999998</v>
      </c>
      <c r="L79" s="85">
        <v>0</v>
      </c>
      <c r="M79" s="86">
        <v>0</v>
      </c>
      <c r="N79" s="85">
        <v>0</v>
      </c>
      <c r="O79" s="86">
        <v>0</v>
      </c>
      <c r="P79" s="87"/>
    </row>
    <row r="80" spans="2:16" ht="13.9" customHeight="1" outlineLevel="1" x14ac:dyDescent="0.25">
      <c r="B80" s="149"/>
      <c r="C80" s="150" t="s">
        <v>54</v>
      </c>
      <c r="D80" s="85">
        <v>0</v>
      </c>
      <c r="E80" s="86">
        <v>0</v>
      </c>
      <c r="F80" s="85">
        <v>4917546.5600000005</v>
      </c>
      <c r="G80" s="86">
        <v>19670316.739999998</v>
      </c>
      <c r="H80" s="85">
        <v>3113501</v>
      </c>
      <c r="I80" s="86">
        <v>12349642.1</v>
      </c>
      <c r="J80" s="85">
        <v>0</v>
      </c>
      <c r="K80" s="86">
        <v>0</v>
      </c>
      <c r="L80" s="85">
        <v>0</v>
      </c>
      <c r="M80" s="86">
        <v>0</v>
      </c>
      <c r="N80" s="85">
        <v>0</v>
      </c>
      <c r="O80" s="86">
        <v>0</v>
      </c>
      <c r="P80" s="87"/>
    </row>
    <row r="81" spans="2:16" ht="13.9" customHeight="1" outlineLevel="1" x14ac:dyDescent="0.25">
      <c r="B81" s="149"/>
      <c r="C81" s="150" t="s">
        <v>55</v>
      </c>
      <c r="D81" s="85">
        <v>0</v>
      </c>
      <c r="E81" s="86">
        <v>0</v>
      </c>
      <c r="F81" s="85">
        <v>1149803.08</v>
      </c>
      <c r="G81" s="86">
        <v>4621187.92</v>
      </c>
      <c r="H81" s="85">
        <v>0</v>
      </c>
      <c r="I81" s="86">
        <v>0</v>
      </c>
      <c r="J81" s="85">
        <v>0</v>
      </c>
      <c r="K81" s="86">
        <v>0</v>
      </c>
      <c r="L81" s="85">
        <v>0</v>
      </c>
      <c r="M81" s="86">
        <v>0</v>
      </c>
      <c r="N81" s="85">
        <v>0</v>
      </c>
      <c r="O81" s="86">
        <v>0</v>
      </c>
      <c r="P81" s="87"/>
    </row>
    <row r="82" spans="2:16" ht="13.9" customHeight="1" outlineLevel="1" x14ac:dyDescent="0.25">
      <c r="B82" s="149"/>
      <c r="C82" s="150" t="s">
        <v>56</v>
      </c>
      <c r="D82" s="85">
        <v>0</v>
      </c>
      <c r="E82" s="86">
        <v>0</v>
      </c>
      <c r="F82" s="85">
        <v>0</v>
      </c>
      <c r="G82" s="86">
        <v>0</v>
      </c>
      <c r="H82" s="85">
        <v>428888.62</v>
      </c>
      <c r="I82" s="86">
        <v>1690199.1799999997</v>
      </c>
      <c r="J82" s="85">
        <v>0</v>
      </c>
      <c r="K82" s="86">
        <v>0</v>
      </c>
      <c r="L82" s="85">
        <v>0</v>
      </c>
      <c r="M82" s="86">
        <v>0</v>
      </c>
      <c r="N82" s="85">
        <v>0</v>
      </c>
      <c r="O82" s="86">
        <v>0</v>
      </c>
      <c r="P82" s="87"/>
    </row>
    <row r="83" spans="2:16" ht="13.9" customHeight="1" outlineLevel="1" x14ac:dyDescent="0.25">
      <c r="B83" s="149"/>
      <c r="C83" s="150" t="s">
        <v>57</v>
      </c>
      <c r="D83" s="85">
        <v>0</v>
      </c>
      <c r="E83" s="86">
        <v>0</v>
      </c>
      <c r="F83" s="85">
        <v>0</v>
      </c>
      <c r="G83" s="86">
        <v>0</v>
      </c>
      <c r="H83" s="85">
        <v>0</v>
      </c>
      <c r="I83" s="86">
        <v>0</v>
      </c>
      <c r="J83" s="85">
        <v>0</v>
      </c>
      <c r="K83" s="86">
        <v>0</v>
      </c>
      <c r="L83" s="85">
        <v>0</v>
      </c>
      <c r="M83" s="86">
        <v>0</v>
      </c>
      <c r="N83" s="85">
        <v>76123402.469999999</v>
      </c>
      <c r="O83" s="86">
        <v>0</v>
      </c>
      <c r="P83" s="87"/>
    </row>
    <row r="84" spans="2:16" ht="13.9" customHeight="1" outlineLevel="1" x14ac:dyDescent="0.25">
      <c r="B84" s="149"/>
      <c r="C84" s="150" t="s">
        <v>58</v>
      </c>
      <c r="D84" s="85">
        <v>0</v>
      </c>
      <c r="E84" s="86">
        <v>0</v>
      </c>
      <c r="F84" s="85">
        <v>536124.96</v>
      </c>
      <c r="G84" s="86">
        <v>2150251.04</v>
      </c>
      <c r="H84" s="85">
        <v>923177.25</v>
      </c>
      <c r="I84" s="86">
        <v>3692705.0999999996</v>
      </c>
      <c r="J84" s="85">
        <v>0</v>
      </c>
      <c r="K84" s="86">
        <v>0</v>
      </c>
      <c r="L84" s="85">
        <v>0</v>
      </c>
      <c r="M84" s="86">
        <v>0</v>
      </c>
      <c r="N84" s="85">
        <v>0</v>
      </c>
      <c r="O84" s="86">
        <v>0</v>
      </c>
      <c r="P84" s="87"/>
    </row>
    <row r="85" spans="2:16" ht="13.9" customHeight="1" outlineLevel="1" x14ac:dyDescent="0.25">
      <c r="B85" s="149"/>
      <c r="C85" s="150" t="s">
        <v>59</v>
      </c>
      <c r="D85" s="85">
        <v>0</v>
      </c>
      <c r="E85" s="86">
        <v>0</v>
      </c>
      <c r="F85" s="85">
        <v>307346.78999999998</v>
      </c>
      <c r="G85" s="86">
        <v>1229390.6099999999</v>
      </c>
      <c r="H85" s="85">
        <v>3931802.9399999995</v>
      </c>
      <c r="I85" s="86">
        <v>9174206.7600000016</v>
      </c>
      <c r="J85" s="85">
        <v>782176.02</v>
      </c>
      <c r="K85" s="86">
        <v>1825074.08</v>
      </c>
      <c r="L85" s="85">
        <v>0</v>
      </c>
      <c r="M85" s="86">
        <v>0</v>
      </c>
      <c r="N85" s="85">
        <v>0</v>
      </c>
      <c r="O85" s="86">
        <v>0</v>
      </c>
      <c r="P85" s="87"/>
    </row>
    <row r="86" spans="2:16" ht="13.9" customHeight="1" outlineLevel="1" x14ac:dyDescent="0.25">
      <c r="B86" s="149"/>
      <c r="C86" s="150" t="s">
        <v>60</v>
      </c>
      <c r="D86" s="85">
        <v>0</v>
      </c>
      <c r="E86" s="86">
        <v>0</v>
      </c>
      <c r="F86" s="85">
        <v>4726664.75</v>
      </c>
      <c r="G86" s="86">
        <v>42249964.75</v>
      </c>
      <c r="H86" s="85">
        <v>0</v>
      </c>
      <c r="I86" s="86">
        <v>0</v>
      </c>
      <c r="J86" s="85">
        <v>0</v>
      </c>
      <c r="K86" s="86">
        <v>0</v>
      </c>
      <c r="L86" s="85">
        <v>0</v>
      </c>
      <c r="M86" s="86">
        <v>0</v>
      </c>
      <c r="N86" s="85">
        <v>0</v>
      </c>
      <c r="O86" s="86">
        <v>0</v>
      </c>
      <c r="P86" s="87"/>
    </row>
    <row r="87" spans="2:16" ht="13.9" customHeight="1" outlineLevel="1" x14ac:dyDescent="0.25">
      <c r="B87" s="149"/>
      <c r="C87" s="150" t="s">
        <v>61</v>
      </c>
      <c r="D87" s="85">
        <v>0</v>
      </c>
      <c r="E87" s="86">
        <v>0</v>
      </c>
      <c r="F87" s="85">
        <v>1478431</v>
      </c>
      <c r="G87" s="86">
        <v>13305869</v>
      </c>
      <c r="H87" s="85">
        <v>5225913.8</v>
      </c>
      <c r="I87" s="86">
        <v>20821977.699999999</v>
      </c>
      <c r="J87" s="85">
        <v>0</v>
      </c>
      <c r="K87" s="86">
        <v>0</v>
      </c>
      <c r="L87" s="85">
        <v>0</v>
      </c>
      <c r="M87" s="86">
        <v>0</v>
      </c>
      <c r="N87" s="85">
        <v>0</v>
      </c>
      <c r="O87" s="86">
        <v>0</v>
      </c>
      <c r="P87" s="87"/>
    </row>
    <row r="88" spans="2:16" ht="13.9" customHeight="1" outlineLevel="1" x14ac:dyDescent="0.25">
      <c r="B88" s="149"/>
      <c r="C88" s="150" t="s">
        <v>62</v>
      </c>
      <c r="D88" s="85">
        <v>0</v>
      </c>
      <c r="E88" s="86">
        <v>0</v>
      </c>
      <c r="F88" s="85">
        <v>0</v>
      </c>
      <c r="G88" s="86">
        <v>0</v>
      </c>
      <c r="H88" s="85">
        <v>0</v>
      </c>
      <c r="I88" s="86">
        <v>0</v>
      </c>
      <c r="J88" s="85">
        <v>0</v>
      </c>
      <c r="K88" s="86">
        <v>0</v>
      </c>
      <c r="L88" s="85">
        <v>0</v>
      </c>
      <c r="M88" s="86">
        <v>0</v>
      </c>
      <c r="N88" s="85">
        <v>0</v>
      </c>
      <c r="O88" s="86">
        <v>0</v>
      </c>
      <c r="P88" s="87"/>
    </row>
    <row r="89" spans="2:16" ht="13.9" customHeight="1" outlineLevel="1" x14ac:dyDescent="0.25">
      <c r="B89" s="149"/>
      <c r="C89" s="150" t="s">
        <v>63</v>
      </c>
      <c r="D89" s="85">
        <v>20000</v>
      </c>
      <c r="E89" s="86">
        <v>5811408</v>
      </c>
      <c r="F89" s="85">
        <v>0</v>
      </c>
      <c r="G89" s="86">
        <v>0</v>
      </c>
      <c r="H89" s="85">
        <v>0</v>
      </c>
      <c r="I89" s="86">
        <v>0</v>
      </c>
      <c r="J89" s="85">
        <v>0</v>
      </c>
      <c r="K89" s="86">
        <v>0</v>
      </c>
      <c r="L89" s="85">
        <v>0</v>
      </c>
      <c r="M89" s="86">
        <v>0</v>
      </c>
      <c r="N89" s="85">
        <v>0</v>
      </c>
      <c r="O89" s="86">
        <v>0</v>
      </c>
      <c r="P89" s="87"/>
    </row>
    <row r="90" spans="2:16" ht="13.9" customHeight="1" outlineLevel="1" x14ac:dyDescent="0.25">
      <c r="B90" s="149"/>
      <c r="C90" s="150" t="s">
        <v>64</v>
      </c>
      <c r="D90" s="85">
        <v>0</v>
      </c>
      <c r="E90" s="86">
        <v>0</v>
      </c>
      <c r="F90" s="85">
        <v>0</v>
      </c>
      <c r="G90" s="86">
        <v>0</v>
      </c>
      <c r="H90" s="85">
        <v>0</v>
      </c>
      <c r="I90" s="86">
        <v>0</v>
      </c>
      <c r="J90" s="85">
        <v>2364004.87</v>
      </c>
      <c r="K90" s="86">
        <v>4658600.03</v>
      </c>
      <c r="L90" s="85">
        <v>9052123.9299999997</v>
      </c>
      <c r="M90" s="86">
        <v>10247082.470000001</v>
      </c>
      <c r="N90" s="85">
        <v>54374217.180000007</v>
      </c>
      <c r="O90" s="86">
        <v>23664962.869999997</v>
      </c>
      <c r="P90" s="87"/>
    </row>
    <row r="91" spans="2:16" ht="13.9" customHeight="1" outlineLevel="1" x14ac:dyDescent="0.25">
      <c r="B91" s="149"/>
      <c r="C91" s="150" t="s">
        <v>65</v>
      </c>
      <c r="D91" s="85">
        <v>0</v>
      </c>
      <c r="E91" s="86">
        <v>0</v>
      </c>
      <c r="F91" s="85">
        <v>0</v>
      </c>
      <c r="G91" s="86">
        <v>0</v>
      </c>
      <c r="H91" s="85">
        <v>0</v>
      </c>
      <c r="I91" s="86">
        <v>0</v>
      </c>
      <c r="J91" s="85">
        <v>0</v>
      </c>
      <c r="K91" s="86">
        <v>0</v>
      </c>
      <c r="L91" s="85">
        <v>0</v>
      </c>
      <c r="M91" s="86">
        <v>0</v>
      </c>
      <c r="N91" s="85">
        <v>5783414.25</v>
      </c>
      <c r="O91" s="86">
        <v>7067.25</v>
      </c>
      <c r="P91" s="87"/>
    </row>
    <row r="92" spans="2:16" ht="13.9" customHeight="1" outlineLevel="1" x14ac:dyDescent="0.25">
      <c r="B92" s="149"/>
      <c r="C92" s="150" t="s">
        <v>66</v>
      </c>
      <c r="D92" s="85">
        <v>0</v>
      </c>
      <c r="E92" s="86">
        <v>0</v>
      </c>
      <c r="F92" s="85">
        <v>0</v>
      </c>
      <c r="G92" s="86">
        <v>0</v>
      </c>
      <c r="H92" s="85">
        <v>0</v>
      </c>
      <c r="I92" s="86">
        <v>0</v>
      </c>
      <c r="J92" s="85">
        <v>0</v>
      </c>
      <c r="K92" s="86">
        <v>0</v>
      </c>
      <c r="L92" s="85">
        <v>0</v>
      </c>
      <c r="M92" s="86">
        <v>0</v>
      </c>
      <c r="N92" s="85">
        <v>25464336</v>
      </c>
      <c r="O92" s="86">
        <v>351610.80000000075</v>
      </c>
      <c r="P92" s="87"/>
    </row>
    <row r="93" spans="2:16" ht="13.9" customHeight="1" outlineLevel="1" x14ac:dyDescent="0.25">
      <c r="B93" s="149"/>
      <c r="C93" s="150" t="s">
        <v>67</v>
      </c>
      <c r="D93" s="85">
        <v>0</v>
      </c>
      <c r="E93" s="86">
        <v>0</v>
      </c>
      <c r="F93" s="85">
        <v>242183</v>
      </c>
      <c r="G93" s="86">
        <v>2179642</v>
      </c>
      <c r="H93" s="85">
        <v>0</v>
      </c>
      <c r="I93" s="86">
        <v>0</v>
      </c>
      <c r="J93" s="85">
        <v>0</v>
      </c>
      <c r="K93" s="86">
        <v>0</v>
      </c>
      <c r="L93" s="85">
        <v>14721794.879999995</v>
      </c>
      <c r="M93" s="86">
        <v>11138791.32</v>
      </c>
      <c r="N93" s="85">
        <v>22251378.98</v>
      </c>
      <c r="O93" s="86">
        <v>8140663.2800000012</v>
      </c>
      <c r="P93" s="87"/>
    </row>
    <row r="94" spans="2:16" ht="13.9" customHeight="1" x14ac:dyDescent="0.25">
      <c r="B94" s="149"/>
      <c r="C94" s="148" t="s">
        <v>103</v>
      </c>
      <c r="D94" s="90">
        <f>SUM(D57:D93)</f>
        <v>20000</v>
      </c>
      <c r="E94" s="91">
        <f t="shared" ref="E94:O94" si="4">SUM(E57:E93)</f>
        <v>5811408</v>
      </c>
      <c r="F94" s="92">
        <f t="shared" si="4"/>
        <v>48659912.780000001</v>
      </c>
      <c r="G94" s="93">
        <f t="shared" si="4"/>
        <v>293492433.39999998</v>
      </c>
      <c r="H94" s="90">
        <f t="shared" si="4"/>
        <v>85852324.49000001</v>
      </c>
      <c r="I94" s="91">
        <f t="shared" si="4"/>
        <v>274239912.61000001</v>
      </c>
      <c r="J94" s="92">
        <f t="shared" si="4"/>
        <v>84530496.900000006</v>
      </c>
      <c r="K94" s="93">
        <f t="shared" si="4"/>
        <v>167205076.39000002</v>
      </c>
      <c r="L94" s="90">
        <f t="shared" si="4"/>
        <v>398124202.46999997</v>
      </c>
      <c r="M94" s="91">
        <f t="shared" si="4"/>
        <v>359430049.10000002</v>
      </c>
      <c r="N94" s="90">
        <f t="shared" si="4"/>
        <v>1159117949.52</v>
      </c>
      <c r="O94" s="91">
        <f t="shared" si="4"/>
        <v>228612017.87</v>
      </c>
      <c r="P94" s="94"/>
    </row>
    <row r="95" spans="2:16" ht="13.9" customHeight="1" outlineLevel="1" x14ac:dyDescent="0.25">
      <c r="B95" s="149" t="s">
        <v>83</v>
      </c>
      <c r="C95" s="150" t="s">
        <v>70</v>
      </c>
      <c r="D95" s="85">
        <v>0</v>
      </c>
      <c r="E95" s="86">
        <v>0</v>
      </c>
      <c r="F95" s="85">
        <v>4150362.5999999996</v>
      </c>
      <c r="G95" s="86">
        <v>20092331.719999999</v>
      </c>
      <c r="H95" s="85">
        <v>13993265.880000001</v>
      </c>
      <c r="I95" s="86">
        <v>40635629.57</v>
      </c>
      <c r="J95" s="85">
        <v>14804102.870000003</v>
      </c>
      <c r="K95" s="86">
        <v>28745175.320000008</v>
      </c>
      <c r="L95" s="85">
        <v>31721428.040000007</v>
      </c>
      <c r="M95" s="86">
        <v>38009023.169999994</v>
      </c>
      <c r="N95" s="85">
        <v>1861553.37</v>
      </c>
      <c r="O95" s="86">
        <v>0.27999999979510903</v>
      </c>
      <c r="P95" s="87"/>
    </row>
    <row r="96" spans="2:16" ht="13.9" customHeight="1" outlineLevel="1" x14ac:dyDescent="0.25">
      <c r="B96" s="149"/>
      <c r="C96" s="150" t="s">
        <v>71</v>
      </c>
      <c r="D96" s="85">
        <v>38000</v>
      </c>
      <c r="E96" s="86">
        <v>18246285.25</v>
      </c>
      <c r="F96" s="85">
        <v>7349492</v>
      </c>
      <c r="G96" s="86">
        <v>43699473.68</v>
      </c>
      <c r="H96" s="85">
        <v>11388437.609999999</v>
      </c>
      <c r="I96" s="86">
        <v>37193174.390000001</v>
      </c>
      <c r="J96" s="85">
        <v>23484352</v>
      </c>
      <c r="K96" s="86">
        <v>45495373.189999998</v>
      </c>
      <c r="L96" s="85">
        <v>9313483.5300000012</v>
      </c>
      <c r="M96" s="86">
        <v>13950691.449999999</v>
      </c>
      <c r="N96" s="85">
        <v>0</v>
      </c>
      <c r="O96" s="86">
        <v>0</v>
      </c>
      <c r="P96" s="87"/>
    </row>
    <row r="97" spans="2:16" ht="13.9" customHeight="1" outlineLevel="1" x14ac:dyDescent="0.25">
      <c r="B97" s="149"/>
      <c r="C97" s="150" t="s">
        <v>72</v>
      </c>
      <c r="D97" s="85">
        <v>18000</v>
      </c>
      <c r="E97" s="86">
        <v>1743481.58</v>
      </c>
      <c r="F97" s="85">
        <v>2558139.69</v>
      </c>
      <c r="G97" s="86">
        <v>10249891.18</v>
      </c>
      <c r="H97" s="85">
        <v>3786918.5899999994</v>
      </c>
      <c r="I97" s="86">
        <v>12844112.359999999</v>
      </c>
      <c r="J97" s="85">
        <v>424794</v>
      </c>
      <c r="K97" s="86">
        <v>991184.6399999999</v>
      </c>
      <c r="L97" s="85">
        <v>4004916.7800000003</v>
      </c>
      <c r="M97" s="86">
        <v>6007366.6100000003</v>
      </c>
      <c r="N97" s="85">
        <v>0</v>
      </c>
      <c r="O97" s="86">
        <v>0</v>
      </c>
      <c r="P97" s="87"/>
    </row>
    <row r="98" spans="2:16" ht="13.9" customHeight="1" x14ac:dyDescent="0.25">
      <c r="B98" s="149"/>
      <c r="C98" s="148" t="s">
        <v>104</v>
      </c>
      <c r="D98" s="90">
        <f>SUM(D95:D97)</f>
        <v>56000</v>
      </c>
      <c r="E98" s="91">
        <f t="shared" ref="E98:O98" si="5">SUM(E95:E97)</f>
        <v>19989766.829999998</v>
      </c>
      <c r="F98" s="92">
        <f t="shared" si="5"/>
        <v>14057994.289999999</v>
      </c>
      <c r="G98" s="93">
        <f t="shared" si="5"/>
        <v>74041696.579999998</v>
      </c>
      <c r="H98" s="90">
        <f t="shared" si="5"/>
        <v>29168622.080000002</v>
      </c>
      <c r="I98" s="91">
        <f t="shared" si="5"/>
        <v>90672916.320000008</v>
      </c>
      <c r="J98" s="92">
        <f t="shared" si="5"/>
        <v>38713248.870000005</v>
      </c>
      <c r="K98" s="93">
        <f t="shared" si="5"/>
        <v>75231733.150000006</v>
      </c>
      <c r="L98" s="90">
        <f t="shared" si="5"/>
        <v>45039828.350000009</v>
      </c>
      <c r="M98" s="91">
        <f t="shared" si="5"/>
        <v>57967081.229999989</v>
      </c>
      <c r="N98" s="90">
        <f t="shared" si="5"/>
        <v>1861553.37</v>
      </c>
      <c r="O98" s="91">
        <f t="shared" si="5"/>
        <v>0.27999999979510903</v>
      </c>
      <c r="P98" s="94"/>
    </row>
    <row r="99" spans="2:16" ht="13.9" customHeight="1" outlineLevel="1" x14ac:dyDescent="0.25">
      <c r="B99" s="149" t="s">
        <v>105</v>
      </c>
      <c r="C99" s="150" t="s">
        <v>75</v>
      </c>
      <c r="D99" s="85">
        <v>0</v>
      </c>
      <c r="E99" s="86">
        <v>0</v>
      </c>
      <c r="F99" s="85">
        <v>0</v>
      </c>
      <c r="G99" s="86">
        <v>0</v>
      </c>
      <c r="H99" s="85">
        <v>0</v>
      </c>
      <c r="I99" s="86">
        <v>0</v>
      </c>
      <c r="J99" s="85">
        <v>0</v>
      </c>
      <c r="K99" s="86">
        <v>0</v>
      </c>
      <c r="L99" s="85">
        <v>0</v>
      </c>
      <c r="M99" s="86">
        <v>0</v>
      </c>
      <c r="N99" s="85">
        <v>0</v>
      </c>
      <c r="O99" s="86">
        <v>0</v>
      </c>
      <c r="P99" s="87"/>
    </row>
    <row r="100" spans="2:16" ht="13.9" customHeight="1" outlineLevel="1" x14ac:dyDescent="0.25">
      <c r="B100" s="149"/>
      <c r="C100" s="150" t="s">
        <v>76</v>
      </c>
      <c r="D100" s="85">
        <v>0</v>
      </c>
      <c r="E100" s="86">
        <v>0</v>
      </c>
      <c r="F100" s="85">
        <v>0</v>
      </c>
      <c r="G100" s="86">
        <v>0</v>
      </c>
      <c r="H100" s="85">
        <v>0</v>
      </c>
      <c r="I100" s="86">
        <v>0</v>
      </c>
      <c r="J100" s="85">
        <v>793000.5</v>
      </c>
      <c r="K100" s="86">
        <v>1849067.0699999998</v>
      </c>
      <c r="L100" s="85">
        <v>0</v>
      </c>
      <c r="M100" s="86">
        <v>0</v>
      </c>
      <c r="N100" s="85">
        <v>0</v>
      </c>
      <c r="O100" s="86">
        <v>0</v>
      </c>
      <c r="P100" s="87"/>
    </row>
    <row r="101" spans="2:16" ht="13.9" customHeight="1" x14ac:dyDescent="0.25">
      <c r="B101" s="149"/>
      <c r="C101" s="148" t="s">
        <v>106</v>
      </c>
      <c r="D101" s="90">
        <f>SUM(D99:D100)</f>
        <v>0</v>
      </c>
      <c r="E101" s="91">
        <f t="shared" ref="E101:O101" si="6">SUM(E99:E100)</f>
        <v>0</v>
      </c>
      <c r="F101" s="92">
        <f t="shared" si="6"/>
        <v>0</v>
      </c>
      <c r="G101" s="93">
        <f t="shared" si="6"/>
        <v>0</v>
      </c>
      <c r="H101" s="90">
        <f t="shared" si="6"/>
        <v>0</v>
      </c>
      <c r="I101" s="91">
        <f t="shared" si="6"/>
        <v>0</v>
      </c>
      <c r="J101" s="92">
        <f t="shared" si="6"/>
        <v>793000.5</v>
      </c>
      <c r="K101" s="93">
        <f t="shared" si="6"/>
        <v>1849067.0699999998</v>
      </c>
      <c r="L101" s="90">
        <f t="shared" si="6"/>
        <v>0</v>
      </c>
      <c r="M101" s="91">
        <f t="shared" si="6"/>
        <v>0</v>
      </c>
      <c r="N101" s="90">
        <f t="shared" si="6"/>
        <v>0</v>
      </c>
      <c r="O101" s="91">
        <f t="shared" si="6"/>
        <v>0</v>
      </c>
      <c r="P101" s="94"/>
    </row>
    <row r="102" spans="2:16" ht="13.9" customHeight="1" x14ac:dyDescent="0.25">
      <c r="B102" s="151" t="s">
        <v>78</v>
      </c>
      <c r="C102" s="151"/>
      <c r="D102" s="90">
        <f>D94+D98+D101</f>
        <v>76000</v>
      </c>
      <c r="E102" s="91">
        <f t="shared" ref="E102:O102" si="7">E94+E98+E101</f>
        <v>25801174.829999998</v>
      </c>
      <c r="F102" s="92">
        <f t="shared" si="7"/>
        <v>62717907.07</v>
      </c>
      <c r="G102" s="93">
        <f t="shared" si="7"/>
        <v>367534129.97999996</v>
      </c>
      <c r="H102" s="90">
        <f t="shared" si="7"/>
        <v>115020946.57000001</v>
      </c>
      <c r="I102" s="91">
        <f t="shared" si="7"/>
        <v>364912828.93000001</v>
      </c>
      <c r="J102" s="92">
        <f t="shared" si="7"/>
        <v>124036746.27000001</v>
      </c>
      <c r="K102" s="93">
        <f t="shared" si="7"/>
        <v>244285876.61000001</v>
      </c>
      <c r="L102" s="90">
        <f t="shared" si="7"/>
        <v>443164030.81999999</v>
      </c>
      <c r="M102" s="91">
        <f t="shared" si="7"/>
        <v>417397130.33000004</v>
      </c>
      <c r="N102" s="90">
        <f t="shared" si="7"/>
        <v>1160979502.8899999</v>
      </c>
      <c r="O102" s="91">
        <f t="shared" si="7"/>
        <v>228612018.15000001</v>
      </c>
      <c r="P102" s="94"/>
    </row>
    <row r="103" spans="2:16" ht="13.9" customHeight="1" x14ac:dyDescent="0.25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</row>
    <row r="104" spans="2:16" ht="13.9" customHeight="1" x14ac:dyDescent="0.25">
      <c r="B104" s="158" t="s">
        <v>84</v>
      </c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</row>
    <row r="105" spans="2:16" ht="13.9" customHeight="1" x14ac:dyDescent="0.25">
      <c r="B105" s="154" t="s">
        <v>26</v>
      </c>
      <c r="C105" s="148" t="s">
        <v>27</v>
      </c>
      <c r="D105" s="109" t="s">
        <v>28</v>
      </c>
      <c r="E105" s="110" t="s">
        <v>29</v>
      </c>
      <c r="F105" s="111" t="s">
        <v>85</v>
      </c>
      <c r="G105" s="112" t="s">
        <v>81</v>
      </c>
      <c r="H105" s="110" t="s">
        <v>82</v>
      </c>
      <c r="I105" s="112" t="s">
        <v>86</v>
      </c>
      <c r="J105" s="110" t="s">
        <v>87</v>
      </c>
      <c r="K105" s="112">
        <v>2026</v>
      </c>
      <c r="L105" s="112">
        <v>2027</v>
      </c>
      <c r="M105" s="110">
        <v>2028</v>
      </c>
      <c r="N105" s="112">
        <v>2029</v>
      </c>
      <c r="O105" s="110">
        <v>2030</v>
      </c>
      <c r="P105" s="112">
        <v>2031</v>
      </c>
    </row>
    <row r="106" spans="2:16" ht="13.9" customHeight="1" outlineLevel="1" x14ac:dyDescent="0.25">
      <c r="B106" s="149" t="s">
        <v>30</v>
      </c>
      <c r="C106" s="150" t="s">
        <v>31</v>
      </c>
      <c r="D106" s="85">
        <v>0</v>
      </c>
      <c r="E106" s="86">
        <v>0</v>
      </c>
      <c r="F106" s="113">
        <f t="shared" ref="F106:F146" si="8">G106+I106</f>
        <v>0</v>
      </c>
      <c r="G106" s="113">
        <v>0</v>
      </c>
      <c r="H106" s="86">
        <v>0</v>
      </c>
      <c r="I106" s="113">
        <v>0</v>
      </c>
      <c r="J106" s="114">
        <f t="shared" ref="J106:J146" si="9">H106-I106</f>
        <v>0</v>
      </c>
      <c r="K106" s="113">
        <f t="shared" ref="K106:K149" si="10">MAX(J106-SUM(L106:P106),0)</f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</row>
    <row r="107" spans="2:16" ht="13.9" customHeight="1" outlineLevel="1" x14ac:dyDescent="0.25">
      <c r="B107" s="149"/>
      <c r="C107" s="150" t="s">
        <v>32</v>
      </c>
      <c r="D107" s="85">
        <v>0</v>
      </c>
      <c r="E107" s="86">
        <v>0</v>
      </c>
      <c r="F107" s="113">
        <f t="shared" si="8"/>
        <v>0</v>
      </c>
      <c r="G107" s="113">
        <v>0</v>
      </c>
      <c r="H107" s="86">
        <v>0</v>
      </c>
      <c r="I107" s="113">
        <v>0</v>
      </c>
      <c r="J107" s="114">
        <f t="shared" si="9"/>
        <v>0</v>
      </c>
      <c r="K107" s="113">
        <f t="shared" si="10"/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</row>
    <row r="108" spans="2:16" ht="13.9" customHeight="1" outlineLevel="1" x14ac:dyDescent="0.25">
      <c r="B108" s="149"/>
      <c r="C108" s="150" t="s">
        <v>33</v>
      </c>
      <c r="D108" s="85">
        <v>0</v>
      </c>
      <c r="E108" s="86">
        <v>0</v>
      </c>
      <c r="F108" s="113">
        <f t="shared" si="8"/>
        <v>0</v>
      </c>
      <c r="G108" s="113">
        <v>0</v>
      </c>
      <c r="H108" s="86">
        <v>0</v>
      </c>
      <c r="I108" s="113">
        <v>0</v>
      </c>
      <c r="J108" s="114">
        <f t="shared" si="9"/>
        <v>0</v>
      </c>
      <c r="K108" s="113">
        <f t="shared" si="10"/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</row>
    <row r="109" spans="2:16" ht="13.9" customHeight="1" outlineLevel="1" x14ac:dyDescent="0.25">
      <c r="B109" s="149"/>
      <c r="C109" s="150" t="s">
        <v>34</v>
      </c>
      <c r="D109" s="85">
        <v>0</v>
      </c>
      <c r="E109" s="86">
        <v>0</v>
      </c>
      <c r="F109" s="113">
        <f t="shared" si="8"/>
        <v>0</v>
      </c>
      <c r="G109" s="113">
        <v>0</v>
      </c>
      <c r="H109" s="86">
        <v>0</v>
      </c>
      <c r="I109" s="113">
        <v>0</v>
      </c>
      <c r="J109" s="114">
        <f t="shared" si="9"/>
        <v>0</v>
      </c>
      <c r="K109" s="113">
        <f t="shared" si="10"/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</row>
    <row r="110" spans="2:16" ht="13.9" customHeight="1" outlineLevel="1" x14ac:dyDescent="0.25">
      <c r="B110" s="149"/>
      <c r="C110" s="150" t="s">
        <v>35</v>
      </c>
      <c r="D110" s="85">
        <v>0</v>
      </c>
      <c r="E110" s="86">
        <v>0</v>
      </c>
      <c r="F110" s="113">
        <f t="shared" si="8"/>
        <v>0</v>
      </c>
      <c r="G110" s="113">
        <v>0</v>
      </c>
      <c r="H110" s="86">
        <v>0</v>
      </c>
      <c r="I110" s="113">
        <v>0</v>
      </c>
      <c r="J110" s="114">
        <f t="shared" si="9"/>
        <v>0</v>
      </c>
      <c r="K110" s="113">
        <f t="shared" si="10"/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</row>
    <row r="111" spans="2:16" ht="13.9" customHeight="1" outlineLevel="1" x14ac:dyDescent="0.25">
      <c r="B111" s="149"/>
      <c r="C111" s="150" t="s">
        <v>36</v>
      </c>
      <c r="D111" s="85">
        <v>0</v>
      </c>
      <c r="E111" s="86">
        <v>0</v>
      </c>
      <c r="F111" s="113">
        <f t="shared" si="8"/>
        <v>0</v>
      </c>
      <c r="G111" s="113">
        <v>0</v>
      </c>
      <c r="H111" s="86">
        <v>0</v>
      </c>
      <c r="I111" s="113">
        <v>0</v>
      </c>
      <c r="J111" s="114">
        <f t="shared" si="9"/>
        <v>0</v>
      </c>
      <c r="K111" s="113">
        <f t="shared" si="10"/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</row>
    <row r="112" spans="2:16" ht="13.9" customHeight="1" outlineLevel="1" x14ac:dyDescent="0.25">
      <c r="B112" s="149"/>
      <c r="C112" s="150" t="s">
        <v>37</v>
      </c>
      <c r="D112" s="85">
        <v>0</v>
      </c>
      <c r="E112" s="86">
        <v>0</v>
      </c>
      <c r="F112" s="113">
        <f t="shared" si="8"/>
        <v>0</v>
      </c>
      <c r="G112" s="113">
        <v>0</v>
      </c>
      <c r="H112" s="86">
        <v>0</v>
      </c>
      <c r="I112" s="113">
        <v>0</v>
      </c>
      <c r="J112" s="114">
        <f t="shared" si="9"/>
        <v>0</v>
      </c>
      <c r="K112" s="113">
        <f t="shared" si="10"/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</row>
    <row r="113" spans="2:16" ht="13.9" customHeight="1" outlineLevel="1" x14ac:dyDescent="0.25">
      <c r="B113" s="149"/>
      <c r="C113" s="150" t="s">
        <v>38</v>
      </c>
      <c r="D113" s="85">
        <v>0</v>
      </c>
      <c r="E113" s="86">
        <v>0</v>
      </c>
      <c r="F113" s="113">
        <f t="shared" si="8"/>
        <v>0</v>
      </c>
      <c r="G113" s="113">
        <v>0</v>
      </c>
      <c r="H113" s="86">
        <v>0</v>
      </c>
      <c r="I113" s="113">
        <v>0</v>
      </c>
      <c r="J113" s="114">
        <f t="shared" si="9"/>
        <v>0</v>
      </c>
      <c r="K113" s="113">
        <f t="shared" si="10"/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</row>
    <row r="114" spans="2:16" ht="13.9" customHeight="1" outlineLevel="1" x14ac:dyDescent="0.25">
      <c r="B114" s="149"/>
      <c r="C114" s="150" t="s">
        <v>39</v>
      </c>
      <c r="D114" s="85">
        <v>0</v>
      </c>
      <c r="E114" s="86">
        <v>0</v>
      </c>
      <c r="F114" s="113">
        <f t="shared" si="8"/>
        <v>0</v>
      </c>
      <c r="G114" s="113">
        <v>0</v>
      </c>
      <c r="H114" s="86">
        <v>0</v>
      </c>
      <c r="I114" s="113">
        <v>0</v>
      </c>
      <c r="J114" s="114">
        <f t="shared" si="9"/>
        <v>0</v>
      </c>
      <c r="K114" s="113">
        <f t="shared" si="10"/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</row>
    <row r="115" spans="2:16" ht="13.9" customHeight="1" outlineLevel="1" x14ac:dyDescent="0.25">
      <c r="B115" s="149"/>
      <c r="C115" s="150" t="s">
        <v>40</v>
      </c>
      <c r="D115" s="85">
        <v>0</v>
      </c>
      <c r="E115" s="86">
        <v>0</v>
      </c>
      <c r="F115" s="113">
        <f t="shared" si="8"/>
        <v>0</v>
      </c>
      <c r="G115" s="113">
        <v>0</v>
      </c>
      <c r="H115" s="86">
        <v>0</v>
      </c>
      <c r="I115" s="113">
        <v>0</v>
      </c>
      <c r="J115" s="114">
        <f t="shared" si="9"/>
        <v>0</v>
      </c>
      <c r="K115" s="113">
        <f t="shared" si="10"/>
        <v>0</v>
      </c>
      <c r="L115" s="113">
        <v>0</v>
      </c>
      <c r="M115" s="113">
        <v>0</v>
      </c>
      <c r="N115" s="113">
        <v>0</v>
      </c>
      <c r="O115" s="113">
        <v>0</v>
      </c>
      <c r="P115" s="113">
        <v>0</v>
      </c>
    </row>
    <row r="116" spans="2:16" ht="13.9" customHeight="1" outlineLevel="1" x14ac:dyDescent="0.25">
      <c r="B116" s="149"/>
      <c r="C116" s="150" t="s">
        <v>41</v>
      </c>
      <c r="D116" s="85">
        <v>0</v>
      </c>
      <c r="E116" s="86">
        <v>0</v>
      </c>
      <c r="F116" s="113">
        <f t="shared" si="8"/>
        <v>0</v>
      </c>
      <c r="G116" s="113">
        <v>0</v>
      </c>
      <c r="H116" s="86">
        <v>0</v>
      </c>
      <c r="I116" s="113">
        <v>0</v>
      </c>
      <c r="J116" s="114">
        <f t="shared" si="9"/>
        <v>0</v>
      </c>
      <c r="K116" s="113">
        <f t="shared" si="10"/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</row>
    <row r="117" spans="2:16" ht="13.9" customHeight="1" outlineLevel="1" x14ac:dyDescent="0.25">
      <c r="B117" s="149"/>
      <c r="C117" s="150" t="s">
        <v>42</v>
      </c>
      <c r="D117" s="85">
        <v>0</v>
      </c>
      <c r="E117" s="86">
        <v>0</v>
      </c>
      <c r="F117" s="113">
        <f t="shared" si="8"/>
        <v>0</v>
      </c>
      <c r="G117" s="113">
        <v>0</v>
      </c>
      <c r="H117" s="86">
        <v>0</v>
      </c>
      <c r="I117" s="113">
        <v>0</v>
      </c>
      <c r="J117" s="114">
        <f t="shared" si="9"/>
        <v>0</v>
      </c>
      <c r="K117" s="113">
        <f t="shared" si="10"/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</row>
    <row r="118" spans="2:16" ht="13.9" customHeight="1" outlineLevel="1" x14ac:dyDescent="0.25">
      <c r="B118" s="149"/>
      <c r="C118" s="150" t="s">
        <v>43</v>
      </c>
      <c r="D118" s="85">
        <v>0</v>
      </c>
      <c r="E118" s="86">
        <v>0</v>
      </c>
      <c r="F118" s="113">
        <f t="shared" si="8"/>
        <v>0</v>
      </c>
      <c r="G118" s="113">
        <v>0</v>
      </c>
      <c r="H118" s="86">
        <v>0</v>
      </c>
      <c r="I118" s="113">
        <v>0</v>
      </c>
      <c r="J118" s="114">
        <f t="shared" si="9"/>
        <v>0</v>
      </c>
      <c r="K118" s="113">
        <f t="shared" si="10"/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</row>
    <row r="119" spans="2:16" ht="13.9" customHeight="1" outlineLevel="1" x14ac:dyDescent="0.25">
      <c r="B119" s="149"/>
      <c r="C119" s="150" t="s">
        <v>44</v>
      </c>
      <c r="D119" s="85">
        <v>0</v>
      </c>
      <c r="E119" s="86">
        <v>0</v>
      </c>
      <c r="F119" s="113">
        <f t="shared" si="8"/>
        <v>0</v>
      </c>
      <c r="G119" s="113">
        <v>0</v>
      </c>
      <c r="H119" s="86">
        <v>0</v>
      </c>
      <c r="I119" s="113">
        <v>0</v>
      </c>
      <c r="J119" s="114">
        <f t="shared" si="9"/>
        <v>0</v>
      </c>
      <c r="K119" s="113">
        <f t="shared" si="10"/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</row>
    <row r="120" spans="2:16" ht="13.9" customHeight="1" outlineLevel="1" x14ac:dyDescent="0.25">
      <c r="B120" s="149"/>
      <c r="C120" s="150" t="s">
        <v>45</v>
      </c>
      <c r="D120" s="85">
        <v>0</v>
      </c>
      <c r="E120" s="86">
        <v>0</v>
      </c>
      <c r="F120" s="113">
        <f t="shared" si="8"/>
        <v>0</v>
      </c>
      <c r="G120" s="113">
        <v>0</v>
      </c>
      <c r="H120" s="86">
        <v>0</v>
      </c>
      <c r="I120" s="113">
        <v>0</v>
      </c>
      <c r="J120" s="114">
        <f t="shared" si="9"/>
        <v>0</v>
      </c>
      <c r="K120" s="113">
        <f t="shared" si="10"/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</row>
    <row r="121" spans="2:16" ht="13.9" customHeight="1" outlineLevel="1" x14ac:dyDescent="0.25">
      <c r="B121" s="149"/>
      <c r="C121" s="150" t="s">
        <v>46</v>
      </c>
      <c r="D121" s="85">
        <v>0</v>
      </c>
      <c r="E121" s="86">
        <v>0</v>
      </c>
      <c r="F121" s="113">
        <f t="shared" si="8"/>
        <v>0</v>
      </c>
      <c r="G121" s="113">
        <v>0</v>
      </c>
      <c r="H121" s="86">
        <v>0</v>
      </c>
      <c r="I121" s="113">
        <v>0</v>
      </c>
      <c r="J121" s="114">
        <f t="shared" si="9"/>
        <v>0</v>
      </c>
      <c r="K121" s="113">
        <f t="shared" si="10"/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</row>
    <row r="122" spans="2:16" ht="13.9" customHeight="1" outlineLevel="1" x14ac:dyDescent="0.25">
      <c r="B122" s="149"/>
      <c r="C122" s="150" t="s">
        <v>47</v>
      </c>
      <c r="D122" s="85">
        <v>0</v>
      </c>
      <c r="E122" s="86">
        <v>0</v>
      </c>
      <c r="F122" s="113">
        <f t="shared" si="8"/>
        <v>0</v>
      </c>
      <c r="G122" s="113">
        <v>0</v>
      </c>
      <c r="H122" s="86">
        <v>0</v>
      </c>
      <c r="I122" s="113">
        <v>0</v>
      </c>
      <c r="J122" s="114">
        <f t="shared" si="9"/>
        <v>0</v>
      </c>
      <c r="K122" s="113">
        <f t="shared" si="10"/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</row>
    <row r="123" spans="2:16" ht="13.9" customHeight="1" outlineLevel="1" x14ac:dyDescent="0.25">
      <c r="B123" s="149"/>
      <c r="C123" s="150" t="s">
        <v>48</v>
      </c>
      <c r="D123" s="85">
        <v>0</v>
      </c>
      <c r="E123" s="86">
        <v>0</v>
      </c>
      <c r="F123" s="113">
        <f t="shared" si="8"/>
        <v>0</v>
      </c>
      <c r="G123" s="113">
        <v>0</v>
      </c>
      <c r="H123" s="86">
        <v>0</v>
      </c>
      <c r="I123" s="113">
        <v>0</v>
      </c>
      <c r="J123" s="114">
        <f t="shared" si="9"/>
        <v>0</v>
      </c>
      <c r="K123" s="113">
        <f t="shared" si="10"/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</row>
    <row r="124" spans="2:16" ht="13.9" customHeight="1" outlineLevel="1" x14ac:dyDescent="0.25">
      <c r="B124" s="149"/>
      <c r="C124" s="150" t="s">
        <v>49</v>
      </c>
      <c r="D124" s="85">
        <v>0</v>
      </c>
      <c r="E124" s="86">
        <v>0</v>
      </c>
      <c r="F124" s="113">
        <f t="shared" si="8"/>
        <v>0</v>
      </c>
      <c r="G124" s="113">
        <v>0</v>
      </c>
      <c r="H124" s="86">
        <v>0</v>
      </c>
      <c r="I124" s="113">
        <v>0</v>
      </c>
      <c r="J124" s="114">
        <f t="shared" si="9"/>
        <v>0</v>
      </c>
      <c r="K124" s="113">
        <f t="shared" si="10"/>
        <v>0</v>
      </c>
      <c r="L124" s="113">
        <v>0</v>
      </c>
      <c r="M124" s="113">
        <v>0</v>
      </c>
      <c r="N124" s="113">
        <v>0</v>
      </c>
      <c r="O124" s="113">
        <v>0</v>
      </c>
      <c r="P124" s="113">
        <v>0</v>
      </c>
    </row>
    <row r="125" spans="2:16" ht="13.9" customHeight="1" outlineLevel="1" x14ac:dyDescent="0.25">
      <c r="B125" s="149"/>
      <c r="C125" s="150" t="s">
        <v>50</v>
      </c>
      <c r="D125" s="85">
        <v>0</v>
      </c>
      <c r="E125" s="86">
        <v>0</v>
      </c>
      <c r="F125" s="113">
        <f t="shared" si="8"/>
        <v>0</v>
      </c>
      <c r="G125" s="113">
        <v>0</v>
      </c>
      <c r="H125" s="86">
        <v>0</v>
      </c>
      <c r="I125" s="113">
        <v>0</v>
      </c>
      <c r="J125" s="114">
        <f t="shared" si="9"/>
        <v>0</v>
      </c>
      <c r="K125" s="113">
        <f t="shared" si="10"/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</row>
    <row r="126" spans="2:16" ht="13.9" customHeight="1" outlineLevel="1" x14ac:dyDescent="0.25">
      <c r="B126" s="149"/>
      <c r="C126" s="150" t="s">
        <v>51</v>
      </c>
      <c r="D126" s="85">
        <v>0</v>
      </c>
      <c r="E126" s="86">
        <v>0</v>
      </c>
      <c r="F126" s="113">
        <f t="shared" si="8"/>
        <v>0</v>
      </c>
      <c r="G126" s="113">
        <v>0</v>
      </c>
      <c r="H126" s="86">
        <v>0</v>
      </c>
      <c r="I126" s="113">
        <v>0</v>
      </c>
      <c r="J126" s="114">
        <f t="shared" si="9"/>
        <v>0</v>
      </c>
      <c r="K126" s="113">
        <f t="shared" si="10"/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</row>
    <row r="127" spans="2:16" ht="13.9" customHeight="1" outlineLevel="1" x14ac:dyDescent="0.25">
      <c r="B127" s="149"/>
      <c r="C127" s="150" t="s">
        <v>52</v>
      </c>
      <c r="D127" s="85">
        <v>0</v>
      </c>
      <c r="E127" s="86">
        <v>0</v>
      </c>
      <c r="F127" s="113">
        <f t="shared" si="8"/>
        <v>0</v>
      </c>
      <c r="G127" s="113">
        <v>0</v>
      </c>
      <c r="H127" s="86">
        <v>0</v>
      </c>
      <c r="I127" s="113">
        <v>0</v>
      </c>
      <c r="J127" s="114">
        <f t="shared" si="9"/>
        <v>0</v>
      </c>
      <c r="K127" s="113">
        <f t="shared" si="10"/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</row>
    <row r="128" spans="2:16" ht="13.9" customHeight="1" outlineLevel="1" x14ac:dyDescent="0.25">
      <c r="B128" s="149"/>
      <c r="C128" s="150" t="s">
        <v>53</v>
      </c>
      <c r="D128" s="85">
        <v>0</v>
      </c>
      <c r="E128" s="86">
        <v>0</v>
      </c>
      <c r="F128" s="113">
        <f t="shared" si="8"/>
        <v>0</v>
      </c>
      <c r="G128" s="113">
        <v>0</v>
      </c>
      <c r="H128" s="86">
        <v>0</v>
      </c>
      <c r="I128" s="113">
        <v>0</v>
      </c>
      <c r="J128" s="114">
        <f t="shared" si="9"/>
        <v>0</v>
      </c>
      <c r="K128" s="113">
        <f t="shared" si="10"/>
        <v>0</v>
      </c>
      <c r="L128" s="113">
        <v>0</v>
      </c>
      <c r="M128" s="113">
        <v>0</v>
      </c>
      <c r="N128" s="113">
        <v>0</v>
      </c>
      <c r="O128" s="113">
        <v>0</v>
      </c>
      <c r="P128" s="113">
        <v>0</v>
      </c>
    </row>
    <row r="129" spans="2:16" ht="13.9" customHeight="1" outlineLevel="1" x14ac:dyDescent="0.25">
      <c r="B129" s="149"/>
      <c r="C129" s="150" t="s">
        <v>54</v>
      </c>
      <c r="D129" s="85">
        <v>0</v>
      </c>
      <c r="E129" s="86">
        <v>0</v>
      </c>
      <c r="F129" s="113">
        <f t="shared" si="8"/>
        <v>0</v>
      </c>
      <c r="G129" s="113">
        <v>0</v>
      </c>
      <c r="H129" s="86">
        <v>0</v>
      </c>
      <c r="I129" s="113">
        <v>0</v>
      </c>
      <c r="J129" s="114">
        <f t="shared" si="9"/>
        <v>0</v>
      </c>
      <c r="K129" s="113">
        <f t="shared" si="10"/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</row>
    <row r="130" spans="2:16" ht="13.9" customHeight="1" outlineLevel="1" x14ac:dyDescent="0.25">
      <c r="B130" s="149"/>
      <c r="C130" s="150" t="s">
        <v>55</v>
      </c>
      <c r="D130" s="85">
        <v>0</v>
      </c>
      <c r="E130" s="86">
        <v>0</v>
      </c>
      <c r="F130" s="113">
        <f t="shared" si="8"/>
        <v>0</v>
      </c>
      <c r="G130" s="113">
        <v>0</v>
      </c>
      <c r="H130" s="86">
        <v>0</v>
      </c>
      <c r="I130" s="113">
        <v>0</v>
      </c>
      <c r="J130" s="114">
        <f t="shared" si="9"/>
        <v>0</v>
      </c>
      <c r="K130" s="113">
        <f t="shared" si="10"/>
        <v>0</v>
      </c>
      <c r="L130" s="113">
        <v>0</v>
      </c>
      <c r="M130" s="113">
        <v>0</v>
      </c>
      <c r="N130" s="113">
        <v>0</v>
      </c>
      <c r="O130" s="113">
        <v>0</v>
      </c>
      <c r="P130" s="113">
        <v>0</v>
      </c>
    </row>
    <row r="131" spans="2:16" ht="13.9" customHeight="1" outlineLevel="1" x14ac:dyDescent="0.25">
      <c r="B131" s="149"/>
      <c r="C131" s="150" t="s">
        <v>56</v>
      </c>
      <c r="D131" s="85">
        <v>0</v>
      </c>
      <c r="E131" s="86">
        <v>0</v>
      </c>
      <c r="F131" s="113">
        <f t="shared" si="8"/>
        <v>0</v>
      </c>
      <c r="G131" s="113">
        <v>0</v>
      </c>
      <c r="H131" s="86">
        <v>0</v>
      </c>
      <c r="I131" s="113">
        <v>0</v>
      </c>
      <c r="J131" s="114">
        <f t="shared" si="9"/>
        <v>0</v>
      </c>
      <c r="K131" s="113">
        <f t="shared" si="10"/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</row>
    <row r="132" spans="2:16" ht="13.9" customHeight="1" outlineLevel="1" x14ac:dyDescent="0.25">
      <c r="B132" s="149"/>
      <c r="C132" s="150" t="s">
        <v>57</v>
      </c>
      <c r="D132" s="85">
        <v>0</v>
      </c>
      <c r="E132" s="86">
        <v>0</v>
      </c>
      <c r="F132" s="113">
        <f t="shared" si="8"/>
        <v>0</v>
      </c>
      <c r="G132" s="113">
        <v>0</v>
      </c>
      <c r="H132" s="86">
        <v>0</v>
      </c>
      <c r="I132" s="113">
        <v>0</v>
      </c>
      <c r="J132" s="114">
        <f t="shared" si="9"/>
        <v>0</v>
      </c>
      <c r="K132" s="113">
        <f t="shared" si="10"/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</row>
    <row r="133" spans="2:16" ht="13.9" customHeight="1" outlineLevel="1" x14ac:dyDescent="0.25">
      <c r="B133" s="149"/>
      <c r="C133" s="150" t="s">
        <v>58</v>
      </c>
      <c r="D133" s="85">
        <v>0</v>
      </c>
      <c r="E133" s="86">
        <v>0</v>
      </c>
      <c r="F133" s="113">
        <f t="shared" si="8"/>
        <v>0</v>
      </c>
      <c r="G133" s="113">
        <v>0</v>
      </c>
      <c r="H133" s="86">
        <v>0</v>
      </c>
      <c r="I133" s="113">
        <v>0</v>
      </c>
      <c r="J133" s="114">
        <f t="shared" si="9"/>
        <v>0</v>
      </c>
      <c r="K133" s="113">
        <f t="shared" si="10"/>
        <v>0</v>
      </c>
      <c r="L133" s="113">
        <v>0</v>
      </c>
      <c r="M133" s="113">
        <v>0</v>
      </c>
      <c r="N133" s="113">
        <v>0</v>
      </c>
      <c r="O133" s="113">
        <v>0</v>
      </c>
      <c r="P133" s="113">
        <v>0</v>
      </c>
    </row>
    <row r="134" spans="2:16" ht="13.9" customHeight="1" outlineLevel="1" x14ac:dyDescent="0.25">
      <c r="B134" s="149"/>
      <c r="C134" s="150" t="s">
        <v>59</v>
      </c>
      <c r="D134" s="85">
        <v>0</v>
      </c>
      <c r="E134" s="86">
        <v>0</v>
      </c>
      <c r="F134" s="113">
        <f t="shared" si="8"/>
        <v>0</v>
      </c>
      <c r="G134" s="113">
        <v>0</v>
      </c>
      <c r="H134" s="86">
        <v>0</v>
      </c>
      <c r="I134" s="113">
        <v>0</v>
      </c>
      <c r="J134" s="114">
        <f t="shared" si="9"/>
        <v>0</v>
      </c>
      <c r="K134" s="113">
        <f t="shared" si="10"/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</row>
    <row r="135" spans="2:16" ht="13.9" customHeight="1" outlineLevel="1" x14ac:dyDescent="0.25">
      <c r="B135" s="149"/>
      <c r="C135" s="150" t="s">
        <v>60</v>
      </c>
      <c r="D135" s="85">
        <v>0</v>
      </c>
      <c r="E135" s="86">
        <v>0</v>
      </c>
      <c r="F135" s="113">
        <f t="shared" si="8"/>
        <v>0</v>
      </c>
      <c r="G135" s="113">
        <v>0</v>
      </c>
      <c r="H135" s="86">
        <v>0</v>
      </c>
      <c r="I135" s="113">
        <v>0</v>
      </c>
      <c r="J135" s="114">
        <f t="shared" si="9"/>
        <v>0</v>
      </c>
      <c r="K135" s="113">
        <f t="shared" si="10"/>
        <v>0</v>
      </c>
      <c r="L135" s="113">
        <v>0</v>
      </c>
      <c r="M135" s="113">
        <v>0</v>
      </c>
      <c r="N135" s="113">
        <v>0</v>
      </c>
      <c r="O135" s="113">
        <v>0</v>
      </c>
      <c r="P135" s="113">
        <v>0</v>
      </c>
    </row>
    <row r="136" spans="2:16" ht="13.9" customHeight="1" outlineLevel="1" x14ac:dyDescent="0.25">
      <c r="B136" s="149"/>
      <c r="C136" s="150" t="s">
        <v>61</v>
      </c>
      <c r="D136" s="85">
        <v>0</v>
      </c>
      <c r="E136" s="86">
        <v>0</v>
      </c>
      <c r="F136" s="113">
        <f t="shared" si="8"/>
        <v>0</v>
      </c>
      <c r="G136" s="113">
        <v>0</v>
      </c>
      <c r="H136" s="86">
        <v>0</v>
      </c>
      <c r="I136" s="113">
        <v>0</v>
      </c>
      <c r="J136" s="114">
        <f t="shared" si="9"/>
        <v>0</v>
      </c>
      <c r="K136" s="113">
        <f t="shared" si="10"/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</row>
    <row r="137" spans="2:16" ht="13.9" customHeight="1" outlineLevel="1" x14ac:dyDescent="0.25">
      <c r="B137" s="149"/>
      <c r="C137" s="150" t="s">
        <v>62</v>
      </c>
      <c r="D137" s="85">
        <v>0</v>
      </c>
      <c r="E137" s="86">
        <v>0</v>
      </c>
      <c r="F137" s="113">
        <f t="shared" si="8"/>
        <v>0</v>
      </c>
      <c r="G137" s="113">
        <v>0</v>
      </c>
      <c r="H137" s="86">
        <v>0</v>
      </c>
      <c r="I137" s="113">
        <v>0</v>
      </c>
      <c r="J137" s="114">
        <f t="shared" si="9"/>
        <v>0</v>
      </c>
      <c r="K137" s="113">
        <f t="shared" si="10"/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</row>
    <row r="138" spans="2:16" ht="13.9" customHeight="1" outlineLevel="1" x14ac:dyDescent="0.25">
      <c r="B138" s="149"/>
      <c r="C138" s="150" t="s">
        <v>63</v>
      </c>
      <c r="D138" s="85">
        <v>1</v>
      </c>
      <c r="E138" s="86">
        <v>5831408</v>
      </c>
      <c r="F138" s="113">
        <f t="shared" si="8"/>
        <v>583140.80000000005</v>
      </c>
      <c r="G138" s="113">
        <v>20000</v>
      </c>
      <c r="H138" s="86">
        <v>5811408</v>
      </c>
      <c r="I138" s="113">
        <v>563140.80000000005</v>
      </c>
      <c r="J138" s="114">
        <f t="shared" si="9"/>
        <v>5248267.2</v>
      </c>
      <c r="K138" s="113">
        <f t="shared" si="10"/>
        <v>583140.79999999981</v>
      </c>
      <c r="L138" s="113">
        <v>1166281.6000000001</v>
      </c>
      <c r="M138" s="113">
        <v>0</v>
      </c>
      <c r="N138" s="113">
        <v>3498844.8</v>
      </c>
      <c r="O138" s="113">
        <v>0</v>
      </c>
      <c r="P138" s="113">
        <v>0</v>
      </c>
    </row>
    <row r="139" spans="2:16" ht="13.9" customHeight="1" outlineLevel="1" x14ac:dyDescent="0.25">
      <c r="B139" s="149"/>
      <c r="C139" s="150" t="s">
        <v>64</v>
      </c>
      <c r="D139" s="85">
        <v>0</v>
      </c>
      <c r="E139" s="86">
        <v>0</v>
      </c>
      <c r="F139" s="113">
        <f t="shared" si="8"/>
        <v>0</v>
      </c>
      <c r="G139" s="113">
        <v>0</v>
      </c>
      <c r="H139" s="86">
        <v>0</v>
      </c>
      <c r="I139" s="113">
        <v>0</v>
      </c>
      <c r="J139" s="114">
        <f t="shared" si="9"/>
        <v>0</v>
      </c>
      <c r="K139" s="113">
        <f t="shared" si="10"/>
        <v>0</v>
      </c>
      <c r="L139" s="113">
        <v>0</v>
      </c>
      <c r="M139" s="113">
        <v>0</v>
      </c>
      <c r="N139" s="113">
        <v>0</v>
      </c>
      <c r="O139" s="113">
        <v>0</v>
      </c>
      <c r="P139" s="113">
        <v>0</v>
      </c>
    </row>
    <row r="140" spans="2:16" ht="13.9" customHeight="1" outlineLevel="1" x14ac:dyDescent="0.25">
      <c r="B140" s="149"/>
      <c r="C140" s="150" t="s">
        <v>65</v>
      </c>
      <c r="D140" s="85">
        <v>0</v>
      </c>
      <c r="E140" s="86">
        <v>0</v>
      </c>
      <c r="F140" s="113">
        <f t="shared" si="8"/>
        <v>0</v>
      </c>
      <c r="G140" s="113">
        <v>0</v>
      </c>
      <c r="H140" s="86">
        <v>0</v>
      </c>
      <c r="I140" s="113">
        <v>0</v>
      </c>
      <c r="J140" s="114">
        <f t="shared" si="9"/>
        <v>0</v>
      </c>
      <c r="K140" s="113">
        <f t="shared" si="10"/>
        <v>0</v>
      </c>
      <c r="L140" s="113">
        <v>0</v>
      </c>
      <c r="M140" s="113">
        <v>0</v>
      </c>
      <c r="N140" s="113">
        <v>0</v>
      </c>
      <c r="O140" s="113">
        <v>0</v>
      </c>
      <c r="P140" s="113">
        <v>0</v>
      </c>
    </row>
    <row r="141" spans="2:16" ht="13.9" customHeight="1" outlineLevel="1" x14ac:dyDescent="0.25">
      <c r="B141" s="149"/>
      <c r="C141" s="150" t="s">
        <v>66</v>
      </c>
      <c r="D141" s="85">
        <v>0</v>
      </c>
      <c r="E141" s="86">
        <v>0</v>
      </c>
      <c r="F141" s="113">
        <f t="shared" si="8"/>
        <v>0</v>
      </c>
      <c r="G141" s="113">
        <v>0</v>
      </c>
      <c r="H141" s="86">
        <v>0</v>
      </c>
      <c r="I141" s="113">
        <v>0</v>
      </c>
      <c r="J141" s="114">
        <f t="shared" si="9"/>
        <v>0</v>
      </c>
      <c r="K141" s="113">
        <f t="shared" si="10"/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</row>
    <row r="142" spans="2:16" ht="13.9" customHeight="1" outlineLevel="1" x14ac:dyDescent="0.25">
      <c r="B142" s="149"/>
      <c r="C142" s="150" t="s">
        <v>67</v>
      </c>
      <c r="D142" s="85">
        <v>0</v>
      </c>
      <c r="E142" s="86">
        <v>0</v>
      </c>
      <c r="F142" s="113">
        <f t="shared" si="8"/>
        <v>0</v>
      </c>
      <c r="G142" s="113">
        <v>0</v>
      </c>
      <c r="H142" s="86">
        <v>0</v>
      </c>
      <c r="I142" s="113">
        <v>0</v>
      </c>
      <c r="J142" s="114">
        <f t="shared" si="9"/>
        <v>0</v>
      </c>
      <c r="K142" s="113">
        <f t="shared" si="10"/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</row>
    <row r="143" spans="2:16" ht="13.9" customHeight="1" x14ac:dyDescent="0.25">
      <c r="B143" s="149"/>
      <c r="C143" s="148" t="s">
        <v>103</v>
      </c>
      <c r="D143" s="90">
        <f>SUM(D106:D142)</f>
        <v>1</v>
      </c>
      <c r="E143" s="91">
        <f t="shared" ref="E143:P143" si="11">SUM(E106:E142)</f>
        <v>5831408</v>
      </c>
      <c r="F143" s="92">
        <f t="shared" si="11"/>
        <v>583140.80000000005</v>
      </c>
      <c r="G143" s="93">
        <f t="shared" si="11"/>
        <v>20000</v>
      </c>
      <c r="H143" s="90">
        <f t="shared" si="11"/>
        <v>5811408</v>
      </c>
      <c r="I143" s="91">
        <f t="shared" si="11"/>
        <v>563140.80000000005</v>
      </c>
      <c r="J143" s="92">
        <f t="shared" si="11"/>
        <v>5248267.2</v>
      </c>
      <c r="K143" s="93">
        <f t="shared" si="11"/>
        <v>583140.79999999981</v>
      </c>
      <c r="L143" s="90">
        <f t="shared" si="11"/>
        <v>1166281.6000000001</v>
      </c>
      <c r="M143" s="91">
        <f t="shared" si="11"/>
        <v>0</v>
      </c>
      <c r="N143" s="90">
        <f t="shared" si="11"/>
        <v>3498844.8</v>
      </c>
      <c r="O143" s="91">
        <f t="shared" si="11"/>
        <v>0</v>
      </c>
      <c r="P143" s="91">
        <f t="shared" si="11"/>
        <v>0</v>
      </c>
    </row>
    <row r="144" spans="2:16" ht="13.9" customHeight="1" outlineLevel="1" x14ac:dyDescent="0.25">
      <c r="B144" s="149" t="s">
        <v>83</v>
      </c>
      <c r="C144" s="150" t="s">
        <v>70</v>
      </c>
      <c r="D144" s="85">
        <v>0</v>
      </c>
      <c r="E144" s="86">
        <v>0</v>
      </c>
      <c r="F144" s="113">
        <f t="shared" si="8"/>
        <v>0</v>
      </c>
      <c r="G144" s="113">
        <v>0</v>
      </c>
      <c r="H144" s="86">
        <v>0</v>
      </c>
      <c r="I144" s="113">
        <v>0</v>
      </c>
      <c r="J144" s="114">
        <f t="shared" si="9"/>
        <v>0</v>
      </c>
      <c r="K144" s="113">
        <f t="shared" si="10"/>
        <v>0</v>
      </c>
      <c r="L144" s="113">
        <v>0</v>
      </c>
      <c r="M144" s="113">
        <v>0</v>
      </c>
      <c r="N144" s="113">
        <v>0</v>
      </c>
      <c r="O144" s="113">
        <v>0</v>
      </c>
      <c r="P144" s="113">
        <v>0</v>
      </c>
    </row>
    <row r="145" spans="2:16" ht="13.9" customHeight="1" outlineLevel="1" x14ac:dyDescent="0.25">
      <c r="B145" s="149"/>
      <c r="C145" s="150" t="s">
        <v>71</v>
      </c>
      <c r="D145" s="85">
        <v>1</v>
      </c>
      <c r="E145" s="86">
        <v>18284285.25</v>
      </c>
      <c r="F145" s="113">
        <f t="shared" si="8"/>
        <v>1828428.53</v>
      </c>
      <c r="G145" s="113">
        <v>38000</v>
      </c>
      <c r="H145" s="86">
        <v>18246285.25</v>
      </c>
      <c r="I145" s="113">
        <v>1790428.53</v>
      </c>
      <c r="J145" s="114">
        <f t="shared" si="9"/>
        <v>16455856.720000001</v>
      </c>
      <c r="K145" s="113">
        <f t="shared" si="10"/>
        <v>1828428.5099999998</v>
      </c>
      <c r="L145" s="113">
        <v>3656857.06</v>
      </c>
      <c r="M145" s="113">
        <v>10970571.15</v>
      </c>
      <c r="N145" s="113">
        <v>0</v>
      </c>
      <c r="O145" s="113">
        <v>0</v>
      </c>
      <c r="P145" s="113">
        <v>0</v>
      </c>
    </row>
    <row r="146" spans="2:16" ht="13.9" customHeight="1" outlineLevel="1" x14ac:dyDescent="0.25">
      <c r="B146" s="149"/>
      <c r="C146" s="150" t="s">
        <v>72</v>
      </c>
      <c r="D146" s="85">
        <v>1</v>
      </c>
      <c r="E146" s="86">
        <v>1761481.58</v>
      </c>
      <c r="F146" s="113">
        <f t="shared" si="8"/>
        <v>176148.16</v>
      </c>
      <c r="G146" s="113">
        <v>18000</v>
      </c>
      <c r="H146" s="86">
        <v>1743481.58</v>
      </c>
      <c r="I146" s="113">
        <v>158148.16</v>
      </c>
      <c r="J146" s="114">
        <f t="shared" si="9"/>
        <v>1585333.4200000002</v>
      </c>
      <c r="K146" s="113">
        <f t="shared" si="10"/>
        <v>176148.15000000014</v>
      </c>
      <c r="L146" s="113">
        <v>352296.32</v>
      </c>
      <c r="M146" s="113">
        <v>176148.16</v>
      </c>
      <c r="N146" s="113">
        <v>176148.16</v>
      </c>
      <c r="O146" s="113">
        <v>704592.63</v>
      </c>
      <c r="P146" s="113">
        <v>0</v>
      </c>
    </row>
    <row r="147" spans="2:16" ht="13.9" customHeight="1" x14ac:dyDescent="0.25">
      <c r="B147" s="149"/>
      <c r="C147" s="148" t="s">
        <v>104</v>
      </c>
      <c r="D147" s="90">
        <f>SUM(D144:D146)</f>
        <v>2</v>
      </c>
      <c r="E147" s="91">
        <f t="shared" ref="E147:P147" si="12">SUM(E144:E146)</f>
        <v>20045766.829999998</v>
      </c>
      <c r="F147" s="92">
        <f t="shared" si="12"/>
        <v>2004576.69</v>
      </c>
      <c r="G147" s="93">
        <f t="shared" si="12"/>
        <v>56000</v>
      </c>
      <c r="H147" s="90">
        <f t="shared" si="12"/>
        <v>19989766.829999998</v>
      </c>
      <c r="I147" s="91">
        <f t="shared" si="12"/>
        <v>1948576.69</v>
      </c>
      <c r="J147" s="92">
        <f t="shared" si="12"/>
        <v>18041190.140000001</v>
      </c>
      <c r="K147" s="93">
        <f t="shared" si="12"/>
        <v>2004576.66</v>
      </c>
      <c r="L147" s="90">
        <f t="shared" si="12"/>
        <v>4009153.38</v>
      </c>
      <c r="M147" s="91">
        <f t="shared" si="12"/>
        <v>11146719.310000001</v>
      </c>
      <c r="N147" s="90">
        <f t="shared" si="12"/>
        <v>176148.16</v>
      </c>
      <c r="O147" s="91">
        <f t="shared" si="12"/>
        <v>704592.63</v>
      </c>
      <c r="P147" s="91">
        <f t="shared" si="12"/>
        <v>0</v>
      </c>
    </row>
    <row r="148" spans="2:16" ht="13.9" customHeight="1" outlineLevel="1" x14ac:dyDescent="0.25">
      <c r="B148" s="149" t="s">
        <v>105</v>
      </c>
      <c r="C148" s="150" t="s">
        <v>75</v>
      </c>
      <c r="D148" s="85">
        <v>0</v>
      </c>
      <c r="E148" s="86">
        <v>0</v>
      </c>
      <c r="F148" s="113">
        <f>G148+I148</f>
        <v>0</v>
      </c>
      <c r="G148" s="113">
        <v>0</v>
      </c>
      <c r="H148" s="86">
        <v>0</v>
      </c>
      <c r="I148" s="113">
        <v>0</v>
      </c>
      <c r="J148" s="114">
        <f>H148-I148</f>
        <v>0</v>
      </c>
      <c r="K148" s="113">
        <f t="shared" si="10"/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</row>
    <row r="149" spans="2:16" ht="13.9" customHeight="1" outlineLevel="1" x14ac:dyDescent="0.25">
      <c r="B149" s="149"/>
      <c r="C149" s="150" t="s">
        <v>76</v>
      </c>
      <c r="D149" s="85">
        <v>0</v>
      </c>
      <c r="E149" s="86">
        <v>0</v>
      </c>
      <c r="F149" s="113">
        <f>G149+I149</f>
        <v>0</v>
      </c>
      <c r="G149" s="113">
        <v>0</v>
      </c>
      <c r="H149" s="86">
        <v>0</v>
      </c>
      <c r="I149" s="113">
        <v>0</v>
      </c>
      <c r="J149" s="114">
        <f>H149-I149</f>
        <v>0</v>
      </c>
      <c r="K149" s="113">
        <f t="shared" si="10"/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</row>
    <row r="150" spans="2:16" ht="13.9" customHeight="1" x14ac:dyDescent="0.25">
      <c r="B150" s="149"/>
      <c r="C150" s="148" t="s">
        <v>106</v>
      </c>
      <c r="D150" s="90">
        <f>SUM(D148:D149)</f>
        <v>0</v>
      </c>
      <c r="E150" s="91">
        <f t="shared" ref="E150:P150" si="13">SUM(E148:E149)</f>
        <v>0</v>
      </c>
      <c r="F150" s="92">
        <f t="shared" si="13"/>
        <v>0</v>
      </c>
      <c r="G150" s="93">
        <f t="shared" si="13"/>
        <v>0</v>
      </c>
      <c r="H150" s="90">
        <f t="shared" si="13"/>
        <v>0</v>
      </c>
      <c r="I150" s="91">
        <f t="shared" si="13"/>
        <v>0</v>
      </c>
      <c r="J150" s="92">
        <f t="shared" si="13"/>
        <v>0</v>
      </c>
      <c r="K150" s="93">
        <f t="shared" si="13"/>
        <v>0</v>
      </c>
      <c r="L150" s="90">
        <f t="shared" si="13"/>
        <v>0</v>
      </c>
      <c r="M150" s="91">
        <f t="shared" si="13"/>
        <v>0</v>
      </c>
      <c r="N150" s="90">
        <f t="shared" si="13"/>
        <v>0</v>
      </c>
      <c r="O150" s="91">
        <f t="shared" si="13"/>
        <v>0</v>
      </c>
      <c r="P150" s="91">
        <f t="shared" si="13"/>
        <v>0</v>
      </c>
    </row>
    <row r="151" spans="2:16" ht="13.9" customHeight="1" x14ac:dyDescent="0.25">
      <c r="B151" s="155" t="s">
        <v>78</v>
      </c>
      <c r="C151" s="155"/>
      <c r="D151" s="90">
        <f>D143+D147+D150</f>
        <v>3</v>
      </c>
      <c r="E151" s="91">
        <f t="shared" ref="E151:P151" si="14">E143+E147+E150</f>
        <v>25877174.829999998</v>
      </c>
      <c r="F151" s="92">
        <f t="shared" si="14"/>
        <v>2587717.4900000002</v>
      </c>
      <c r="G151" s="93">
        <f t="shared" si="14"/>
        <v>76000</v>
      </c>
      <c r="H151" s="90">
        <f t="shared" si="14"/>
        <v>25801174.829999998</v>
      </c>
      <c r="I151" s="91">
        <f t="shared" si="14"/>
        <v>2511717.4900000002</v>
      </c>
      <c r="J151" s="92">
        <f t="shared" si="14"/>
        <v>23289457.34</v>
      </c>
      <c r="K151" s="93">
        <f t="shared" si="14"/>
        <v>2587717.46</v>
      </c>
      <c r="L151" s="90">
        <f t="shared" si="14"/>
        <v>5175434.9800000004</v>
      </c>
      <c r="M151" s="91">
        <f t="shared" si="14"/>
        <v>11146719.310000001</v>
      </c>
      <c r="N151" s="90">
        <f t="shared" si="14"/>
        <v>3674992.96</v>
      </c>
      <c r="O151" s="91">
        <f t="shared" si="14"/>
        <v>704592.63</v>
      </c>
      <c r="P151" s="91">
        <f t="shared" si="14"/>
        <v>0</v>
      </c>
    </row>
    <row r="152" spans="2:16" ht="13.9" customHeight="1" x14ac:dyDescent="0.25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</row>
    <row r="153" spans="2:16" ht="13.9" customHeight="1" x14ac:dyDescent="0.25">
      <c r="B153" s="107" t="s">
        <v>88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</row>
    <row r="154" spans="2:16" ht="13.9" customHeight="1" x14ac:dyDescent="0.25">
      <c r="B154" s="154" t="s">
        <v>26</v>
      </c>
      <c r="C154" s="148" t="s">
        <v>27</v>
      </c>
      <c r="D154" s="109" t="s">
        <v>28</v>
      </c>
      <c r="E154" s="110" t="s">
        <v>29</v>
      </c>
      <c r="F154" s="111" t="s">
        <v>85</v>
      </c>
      <c r="G154" s="112" t="s">
        <v>81</v>
      </c>
      <c r="H154" s="110" t="s">
        <v>82</v>
      </c>
      <c r="I154" s="112" t="s">
        <v>86</v>
      </c>
      <c r="J154" s="110" t="s">
        <v>87</v>
      </c>
      <c r="K154" s="112">
        <v>2026</v>
      </c>
      <c r="L154" s="112">
        <v>2027</v>
      </c>
      <c r="M154" s="110">
        <v>2028</v>
      </c>
      <c r="N154" s="112">
        <v>2029</v>
      </c>
      <c r="O154" s="110">
        <v>2030</v>
      </c>
      <c r="P154" s="112">
        <v>2031</v>
      </c>
    </row>
    <row r="155" spans="2:16" ht="13.9" customHeight="1" outlineLevel="1" x14ac:dyDescent="0.25">
      <c r="B155" s="149" t="s">
        <v>30</v>
      </c>
      <c r="C155" s="150" t="s">
        <v>31</v>
      </c>
      <c r="D155" s="85">
        <v>0</v>
      </c>
      <c r="E155" s="86">
        <v>0</v>
      </c>
      <c r="F155" s="142">
        <f t="shared" ref="F155:F198" si="15">G155+I155</f>
        <v>0</v>
      </c>
      <c r="G155" s="113">
        <v>0</v>
      </c>
      <c r="H155" s="86">
        <v>0</v>
      </c>
      <c r="I155" s="113">
        <v>0</v>
      </c>
      <c r="J155" s="114">
        <f t="shared" ref="J155:J198" si="16">H155-I155</f>
        <v>0</v>
      </c>
      <c r="K155" s="113">
        <f t="shared" ref="K155:K198" si="17">MAX(J155-SUM(L155:P155),0)</f>
        <v>0</v>
      </c>
      <c r="L155" s="113">
        <v>0</v>
      </c>
      <c r="M155" s="113">
        <v>0</v>
      </c>
      <c r="N155" s="113">
        <v>0</v>
      </c>
      <c r="O155" s="113">
        <v>0</v>
      </c>
      <c r="P155" s="113">
        <v>0</v>
      </c>
    </row>
    <row r="156" spans="2:16" ht="13.9" customHeight="1" outlineLevel="1" x14ac:dyDescent="0.25">
      <c r="B156" s="149"/>
      <c r="C156" s="150" t="s">
        <v>32</v>
      </c>
      <c r="D156" s="85">
        <v>0</v>
      </c>
      <c r="E156" s="86">
        <v>0</v>
      </c>
      <c r="F156" s="142">
        <f t="shared" si="15"/>
        <v>0</v>
      </c>
      <c r="G156" s="113">
        <v>0</v>
      </c>
      <c r="H156" s="86">
        <v>0</v>
      </c>
      <c r="I156" s="113">
        <v>0</v>
      </c>
      <c r="J156" s="114">
        <f t="shared" si="16"/>
        <v>0</v>
      </c>
      <c r="K156" s="113">
        <f t="shared" si="17"/>
        <v>0</v>
      </c>
      <c r="L156" s="113">
        <v>0</v>
      </c>
      <c r="M156" s="113">
        <v>0</v>
      </c>
      <c r="N156" s="113">
        <v>0</v>
      </c>
      <c r="O156" s="113">
        <v>0</v>
      </c>
      <c r="P156" s="113">
        <v>0</v>
      </c>
    </row>
    <row r="157" spans="2:16" ht="13.9" customHeight="1" outlineLevel="1" x14ac:dyDescent="0.25">
      <c r="B157" s="149"/>
      <c r="C157" s="150" t="s">
        <v>33</v>
      </c>
      <c r="D157" s="85">
        <v>0</v>
      </c>
      <c r="E157" s="86">
        <v>0</v>
      </c>
      <c r="F157" s="142">
        <f t="shared" si="15"/>
        <v>0</v>
      </c>
      <c r="G157" s="113">
        <v>0</v>
      </c>
      <c r="H157" s="86">
        <v>0</v>
      </c>
      <c r="I157" s="113">
        <v>0</v>
      </c>
      <c r="J157" s="114">
        <f t="shared" si="16"/>
        <v>0</v>
      </c>
      <c r="K157" s="113">
        <f t="shared" si="17"/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</row>
    <row r="158" spans="2:16" ht="13.9" customHeight="1" outlineLevel="1" x14ac:dyDescent="0.25">
      <c r="B158" s="149"/>
      <c r="C158" s="150" t="s">
        <v>34</v>
      </c>
      <c r="D158" s="85">
        <v>0</v>
      </c>
      <c r="E158" s="86">
        <v>0</v>
      </c>
      <c r="F158" s="142">
        <f t="shared" si="15"/>
        <v>0</v>
      </c>
      <c r="G158" s="113">
        <v>0</v>
      </c>
      <c r="H158" s="86">
        <v>0</v>
      </c>
      <c r="I158" s="113">
        <v>0</v>
      </c>
      <c r="J158" s="114">
        <f t="shared" si="16"/>
        <v>0</v>
      </c>
      <c r="K158" s="113">
        <f t="shared" si="17"/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</row>
    <row r="159" spans="2:16" ht="13.9" customHeight="1" outlineLevel="1" x14ac:dyDescent="0.25">
      <c r="B159" s="149"/>
      <c r="C159" s="150" t="s">
        <v>35</v>
      </c>
      <c r="D159" s="85">
        <v>0</v>
      </c>
      <c r="E159" s="86">
        <v>0</v>
      </c>
      <c r="F159" s="142">
        <f t="shared" si="15"/>
        <v>0</v>
      </c>
      <c r="G159" s="113">
        <v>0</v>
      </c>
      <c r="H159" s="86">
        <v>0</v>
      </c>
      <c r="I159" s="113">
        <v>0</v>
      </c>
      <c r="J159" s="114">
        <f t="shared" si="16"/>
        <v>0</v>
      </c>
      <c r="K159" s="113">
        <f t="shared" si="17"/>
        <v>0</v>
      </c>
      <c r="L159" s="113">
        <v>0</v>
      </c>
      <c r="M159" s="113">
        <v>0</v>
      </c>
      <c r="N159" s="113">
        <v>0</v>
      </c>
      <c r="O159" s="113">
        <v>0</v>
      </c>
      <c r="P159" s="113">
        <v>0</v>
      </c>
    </row>
    <row r="160" spans="2:16" ht="13.9" customHeight="1" outlineLevel="1" x14ac:dyDescent="0.25">
      <c r="B160" s="149"/>
      <c r="C160" s="150" t="s">
        <v>36</v>
      </c>
      <c r="D160" s="85">
        <v>2</v>
      </c>
      <c r="E160" s="86">
        <v>19650256</v>
      </c>
      <c r="F160" s="142">
        <f t="shared" si="15"/>
        <v>3567316.8</v>
      </c>
      <c r="G160" s="113">
        <v>2762176</v>
      </c>
      <c r="H160" s="86">
        <v>16888080</v>
      </c>
      <c r="I160" s="113">
        <v>805140.8</v>
      </c>
      <c r="J160" s="114">
        <f t="shared" si="16"/>
        <v>16082939.199999999</v>
      </c>
      <c r="K160" s="113">
        <f t="shared" si="17"/>
        <v>3930051.1999999993</v>
      </c>
      <c r="L160" s="113">
        <v>6333488</v>
      </c>
      <c r="M160" s="113">
        <v>5819400</v>
      </c>
      <c r="N160" s="113">
        <v>0</v>
      </c>
      <c r="O160" s="113">
        <v>0</v>
      </c>
      <c r="P160" s="113">
        <v>0</v>
      </c>
    </row>
    <row r="161" spans="2:16" ht="13.9" customHeight="1" outlineLevel="1" x14ac:dyDescent="0.25">
      <c r="B161" s="149"/>
      <c r="C161" s="150" t="s">
        <v>37</v>
      </c>
      <c r="D161" s="85">
        <v>0</v>
      </c>
      <c r="E161" s="86">
        <v>0</v>
      </c>
      <c r="F161" s="142">
        <f t="shared" si="15"/>
        <v>0</v>
      </c>
      <c r="G161" s="113">
        <v>0</v>
      </c>
      <c r="H161" s="86">
        <v>0</v>
      </c>
      <c r="I161" s="113">
        <v>0</v>
      </c>
      <c r="J161" s="114">
        <f t="shared" si="16"/>
        <v>0</v>
      </c>
      <c r="K161" s="113">
        <f t="shared" si="17"/>
        <v>0</v>
      </c>
      <c r="L161" s="113">
        <v>0</v>
      </c>
      <c r="M161" s="113">
        <v>0</v>
      </c>
      <c r="N161" s="113">
        <v>0</v>
      </c>
      <c r="O161" s="113">
        <v>0</v>
      </c>
      <c r="P161" s="113">
        <v>0</v>
      </c>
    </row>
    <row r="162" spans="2:16" ht="13.9" customHeight="1" outlineLevel="1" x14ac:dyDescent="0.25">
      <c r="B162" s="149"/>
      <c r="C162" s="150" t="s">
        <v>38</v>
      </c>
      <c r="D162" s="85">
        <v>0</v>
      </c>
      <c r="E162" s="86">
        <v>0</v>
      </c>
      <c r="F162" s="142">
        <f t="shared" si="15"/>
        <v>0</v>
      </c>
      <c r="G162" s="113">
        <v>0</v>
      </c>
      <c r="H162" s="86">
        <v>0</v>
      </c>
      <c r="I162" s="113">
        <v>0</v>
      </c>
      <c r="J162" s="114">
        <f t="shared" si="16"/>
        <v>0</v>
      </c>
      <c r="K162" s="113">
        <f t="shared" si="17"/>
        <v>0</v>
      </c>
      <c r="L162" s="113">
        <v>0</v>
      </c>
      <c r="M162" s="113">
        <v>0</v>
      </c>
      <c r="N162" s="113">
        <v>0</v>
      </c>
      <c r="O162" s="113">
        <v>0</v>
      </c>
      <c r="P162" s="113">
        <v>0</v>
      </c>
    </row>
    <row r="163" spans="2:16" ht="13.9" customHeight="1" outlineLevel="1" x14ac:dyDescent="0.25">
      <c r="B163" s="149"/>
      <c r="C163" s="150" t="s">
        <v>39</v>
      </c>
      <c r="D163" s="85">
        <v>0</v>
      </c>
      <c r="E163" s="86">
        <v>0</v>
      </c>
      <c r="F163" s="142">
        <f t="shared" si="15"/>
        <v>0</v>
      </c>
      <c r="G163" s="113">
        <v>0</v>
      </c>
      <c r="H163" s="86">
        <v>0</v>
      </c>
      <c r="I163" s="113">
        <v>0</v>
      </c>
      <c r="J163" s="114">
        <f t="shared" si="16"/>
        <v>0</v>
      </c>
      <c r="K163" s="113">
        <f t="shared" si="17"/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</row>
    <row r="164" spans="2:16" ht="13.9" customHeight="1" outlineLevel="1" x14ac:dyDescent="0.25">
      <c r="B164" s="149"/>
      <c r="C164" s="150" t="s">
        <v>40</v>
      </c>
      <c r="D164" s="85">
        <v>0</v>
      </c>
      <c r="E164" s="86">
        <v>0</v>
      </c>
      <c r="F164" s="142">
        <f t="shared" si="15"/>
        <v>0</v>
      </c>
      <c r="G164" s="113">
        <v>0</v>
      </c>
      <c r="H164" s="86">
        <v>0</v>
      </c>
      <c r="I164" s="113">
        <v>0</v>
      </c>
      <c r="J164" s="114">
        <f t="shared" si="16"/>
        <v>0</v>
      </c>
      <c r="K164" s="113">
        <f t="shared" si="17"/>
        <v>0</v>
      </c>
      <c r="L164" s="113">
        <v>0</v>
      </c>
      <c r="M164" s="113">
        <v>0</v>
      </c>
      <c r="N164" s="113">
        <v>0</v>
      </c>
      <c r="O164" s="113">
        <v>0</v>
      </c>
      <c r="P164" s="113">
        <v>0</v>
      </c>
    </row>
    <row r="165" spans="2:16" ht="13.9" customHeight="1" outlineLevel="1" x14ac:dyDescent="0.25">
      <c r="B165" s="149"/>
      <c r="C165" s="150" t="s">
        <v>41</v>
      </c>
      <c r="D165" s="85">
        <v>0</v>
      </c>
      <c r="E165" s="86">
        <v>0</v>
      </c>
      <c r="F165" s="142">
        <f t="shared" si="15"/>
        <v>0</v>
      </c>
      <c r="G165" s="113">
        <v>0</v>
      </c>
      <c r="H165" s="86">
        <v>0</v>
      </c>
      <c r="I165" s="113">
        <v>0</v>
      </c>
      <c r="J165" s="114">
        <f t="shared" si="16"/>
        <v>0</v>
      </c>
      <c r="K165" s="113">
        <f t="shared" si="17"/>
        <v>0</v>
      </c>
      <c r="L165" s="113">
        <v>0</v>
      </c>
      <c r="M165" s="113">
        <v>0</v>
      </c>
      <c r="N165" s="113">
        <v>0</v>
      </c>
      <c r="O165" s="113">
        <v>0</v>
      </c>
      <c r="P165" s="113">
        <v>0</v>
      </c>
    </row>
    <row r="166" spans="2:16" ht="13.9" customHeight="1" outlineLevel="1" x14ac:dyDescent="0.25">
      <c r="B166" s="149"/>
      <c r="C166" s="150" t="s">
        <v>42</v>
      </c>
      <c r="D166" s="85">
        <v>19</v>
      </c>
      <c r="E166" s="86">
        <v>55500118.150000006</v>
      </c>
      <c r="F166" s="142">
        <f t="shared" si="15"/>
        <v>22416637.359999999</v>
      </c>
      <c r="G166" s="113">
        <v>7938337.1500000004</v>
      </c>
      <c r="H166" s="86">
        <v>47561781</v>
      </c>
      <c r="I166" s="113">
        <v>14478300.209999999</v>
      </c>
      <c r="J166" s="114">
        <f t="shared" si="16"/>
        <v>33083480.789999999</v>
      </c>
      <c r="K166" s="113">
        <f t="shared" si="17"/>
        <v>5439955.5099999979</v>
      </c>
      <c r="L166" s="113">
        <v>27643525.280000001</v>
      </c>
      <c r="M166" s="113">
        <v>0</v>
      </c>
      <c r="N166" s="113">
        <v>0</v>
      </c>
      <c r="O166" s="113">
        <v>0</v>
      </c>
      <c r="P166" s="113">
        <v>0</v>
      </c>
    </row>
    <row r="167" spans="2:16" ht="13.9" customHeight="1" outlineLevel="1" x14ac:dyDescent="0.25">
      <c r="B167" s="149"/>
      <c r="C167" s="150" t="s">
        <v>43</v>
      </c>
      <c r="D167" s="85">
        <v>0</v>
      </c>
      <c r="E167" s="86">
        <v>0</v>
      </c>
      <c r="F167" s="142">
        <f t="shared" si="15"/>
        <v>0</v>
      </c>
      <c r="G167" s="113">
        <v>0</v>
      </c>
      <c r="H167" s="86">
        <v>0</v>
      </c>
      <c r="I167" s="113">
        <v>0</v>
      </c>
      <c r="J167" s="114">
        <f t="shared" si="16"/>
        <v>0</v>
      </c>
      <c r="K167" s="113">
        <f t="shared" si="17"/>
        <v>0</v>
      </c>
      <c r="L167" s="113">
        <v>0</v>
      </c>
      <c r="M167" s="113">
        <v>0</v>
      </c>
      <c r="N167" s="113">
        <v>0</v>
      </c>
      <c r="O167" s="113">
        <v>0</v>
      </c>
      <c r="P167" s="113">
        <v>0</v>
      </c>
    </row>
    <row r="168" spans="2:16" ht="13.9" customHeight="1" outlineLevel="1" x14ac:dyDescent="0.25">
      <c r="B168" s="149"/>
      <c r="C168" s="150" t="s">
        <v>44</v>
      </c>
      <c r="D168" s="85">
        <v>2</v>
      </c>
      <c r="E168" s="86">
        <v>5003539.4000000004</v>
      </c>
      <c r="F168" s="142">
        <f t="shared" si="15"/>
        <v>1501061.8199999998</v>
      </c>
      <c r="G168" s="113">
        <v>1000611.82</v>
      </c>
      <c r="H168" s="86">
        <v>4002927.58</v>
      </c>
      <c r="I168" s="113">
        <v>500450</v>
      </c>
      <c r="J168" s="114">
        <f t="shared" si="16"/>
        <v>3502477.58</v>
      </c>
      <c r="K168" s="113">
        <f t="shared" si="17"/>
        <v>500353.93999999994</v>
      </c>
      <c r="L168" s="113">
        <v>1000707.88</v>
      </c>
      <c r="M168" s="113">
        <v>2001415.76</v>
      </c>
      <c r="N168" s="113">
        <v>0</v>
      </c>
      <c r="O168" s="113">
        <v>0</v>
      </c>
      <c r="P168" s="113">
        <v>0</v>
      </c>
    </row>
    <row r="169" spans="2:16" ht="13.9" customHeight="1" outlineLevel="1" x14ac:dyDescent="0.25">
      <c r="B169" s="149"/>
      <c r="C169" s="150" t="s">
        <v>45</v>
      </c>
      <c r="D169" s="85">
        <v>11</v>
      </c>
      <c r="E169" s="86">
        <v>35375417.300000004</v>
      </c>
      <c r="F169" s="142">
        <f t="shared" si="15"/>
        <v>7387235.9700000007</v>
      </c>
      <c r="G169" s="113">
        <v>6266183.9500000011</v>
      </c>
      <c r="H169" s="86">
        <v>29109233.349999998</v>
      </c>
      <c r="I169" s="113">
        <v>1121052.02</v>
      </c>
      <c r="J169" s="114">
        <f t="shared" si="16"/>
        <v>27988181.329999998</v>
      </c>
      <c r="K169" s="113">
        <f t="shared" si="17"/>
        <v>2411753.3500000015</v>
      </c>
      <c r="L169" s="113">
        <v>4351177.55</v>
      </c>
      <c r="M169" s="113">
        <v>6261447.7199999988</v>
      </c>
      <c r="N169" s="113">
        <v>11709259.609999998</v>
      </c>
      <c r="O169" s="113">
        <v>3254543.0999999996</v>
      </c>
      <c r="P169" s="113">
        <v>0</v>
      </c>
    </row>
    <row r="170" spans="2:16" ht="13.9" customHeight="1" outlineLevel="1" x14ac:dyDescent="0.25">
      <c r="B170" s="149"/>
      <c r="C170" s="150" t="s">
        <v>46</v>
      </c>
      <c r="D170" s="85">
        <v>5</v>
      </c>
      <c r="E170" s="86">
        <v>35858970</v>
      </c>
      <c r="F170" s="142">
        <f t="shared" si="15"/>
        <v>3777857.66</v>
      </c>
      <c r="G170" s="113">
        <v>3777857.66</v>
      </c>
      <c r="H170" s="86">
        <v>32081112.34</v>
      </c>
      <c r="I170" s="113">
        <v>0</v>
      </c>
      <c r="J170" s="114">
        <f t="shared" si="16"/>
        <v>32081112.34</v>
      </c>
      <c r="K170" s="113">
        <f t="shared" si="17"/>
        <v>1959578.1400000006</v>
      </c>
      <c r="L170" s="113">
        <v>7530383.7999999998</v>
      </c>
      <c r="M170" s="113">
        <v>4430697.6500000004</v>
      </c>
      <c r="N170" s="113">
        <v>3099686.15</v>
      </c>
      <c r="O170" s="113">
        <v>15060766.6</v>
      </c>
      <c r="P170" s="113">
        <v>0</v>
      </c>
    </row>
    <row r="171" spans="2:16" ht="13.9" customHeight="1" outlineLevel="1" x14ac:dyDescent="0.25">
      <c r="B171" s="149"/>
      <c r="C171" s="150" t="s">
        <v>47</v>
      </c>
      <c r="D171" s="85">
        <v>3</v>
      </c>
      <c r="E171" s="86">
        <v>5098134.05</v>
      </c>
      <c r="F171" s="142">
        <f t="shared" si="15"/>
        <v>2668499.2799999998</v>
      </c>
      <c r="G171" s="113">
        <v>926099.52</v>
      </c>
      <c r="H171" s="86">
        <v>4172034.53</v>
      </c>
      <c r="I171" s="113">
        <v>1742399.7599999998</v>
      </c>
      <c r="J171" s="114">
        <f t="shared" si="16"/>
        <v>2429634.77</v>
      </c>
      <c r="K171" s="113">
        <f t="shared" si="17"/>
        <v>2429634.77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</row>
    <row r="172" spans="2:16" ht="13.9" customHeight="1" outlineLevel="1" x14ac:dyDescent="0.25">
      <c r="B172" s="149"/>
      <c r="C172" s="150" t="s">
        <v>48</v>
      </c>
      <c r="D172" s="85">
        <v>7</v>
      </c>
      <c r="E172" s="86">
        <v>7537841</v>
      </c>
      <c r="F172" s="142">
        <f t="shared" si="15"/>
        <v>3768920.5999999996</v>
      </c>
      <c r="G172" s="113">
        <v>762378.23999999999</v>
      </c>
      <c r="H172" s="86">
        <v>6775462.7599999998</v>
      </c>
      <c r="I172" s="113">
        <v>3006542.36</v>
      </c>
      <c r="J172" s="114">
        <f t="shared" si="16"/>
        <v>3768920.4</v>
      </c>
      <c r="K172" s="113">
        <f t="shared" si="17"/>
        <v>753783.99999999953</v>
      </c>
      <c r="L172" s="113">
        <v>3015136.4000000004</v>
      </c>
      <c r="M172" s="113">
        <v>0</v>
      </c>
      <c r="N172" s="113">
        <v>0</v>
      </c>
      <c r="O172" s="113">
        <v>0</v>
      </c>
      <c r="P172" s="113">
        <v>0</v>
      </c>
    </row>
    <row r="173" spans="2:16" ht="13.9" customHeight="1" outlineLevel="1" x14ac:dyDescent="0.25">
      <c r="B173" s="149"/>
      <c r="C173" s="150" t="s">
        <v>49</v>
      </c>
      <c r="D173" s="85">
        <v>1</v>
      </c>
      <c r="E173" s="86">
        <v>9631931.1300000008</v>
      </c>
      <c r="F173" s="142">
        <f t="shared" si="15"/>
        <v>5779158.6600000001</v>
      </c>
      <c r="G173" s="113">
        <v>1759985.07</v>
      </c>
      <c r="H173" s="86">
        <v>7871946.0600000005</v>
      </c>
      <c r="I173" s="113">
        <v>4019173.59</v>
      </c>
      <c r="J173" s="114">
        <f t="shared" si="16"/>
        <v>3852772.4700000007</v>
      </c>
      <c r="K173" s="113">
        <f t="shared" si="17"/>
        <v>2.0000000484287739E-2</v>
      </c>
      <c r="L173" s="113">
        <v>3852772.45</v>
      </c>
      <c r="M173" s="113">
        <v>0</v>
      </c>
      <c r="N173" s="113">
        <v>0</v>
      </c>
      <c r="O173" s="113">
        <v>0</v>
      </c>
      <c r="P173" s="113">
        <v>0</v>
      </c>
    </row>
    <row r="174" spans="2:16" ht="13.9" customHeight="1" outlineLevel="1" x14ac:dyDescent="0.25">
      <c r="B174" s="149"/>
      <c r="C174" s="150" t="s">
        <v>50</v>
      </c>
      <c r="D174" s="85">
        <v>3</v>
      </c>
      <c r="E174" s="86">
        <v>23744342.5</v>
      </c>
      <c r="F174" s="142">
        <f t="shared" si="15"/>
        <v>3070643</v>
      </c>
      <c r="G174" s="113">
        <v>3069833.8</v>
      </c>
      <c r="H174" s="86">
        <v>20674508.699999999</v>
      </c>
      <c r="I174" s="113">
        <v>809.2</v>
      </c>
      <c r="J174" s="114">
        <f t="shared" si="16"/>
        <v>20673699.5</v>
      </c>
      <c r="K174" s="113">
        <f t="shared" si="17"/>
        <v>4052659.75</v>
      </c>
      <c r="L174" s="113">
        <v>2374434.25</v>
      </c>
      <c r="M174" s="113">
        <v>2374434.25</v>
      </c>
      <c r="N174" s="113">
        <v>2374434.25</v>
      </c>
      <c r="O174" s="113">
        <v>2374434.25</v>
      </c>
      <c r="P174" s="113">
        <v>7123302.75</v>
      </c>
    </row>
    <row r="175" spans="2:16" ht="13.9" customHeight="1" outlineLevel="1" x14ac:dyDescent="0.25">
      <c r="B175" s="149"/>
      <c r="C175" s="150" t="s">
        <v>51</v>
      </c>
      <c r="D175" s="85">
        <v>1</v>
      </c>
      <c r="E175" s="86">
        <v>1411209.8</v>
      </c>
      <c r="F175" s="142">
        <f t="shared" si="15"/>
        <v>564483.92000000004</v>
      </c>
      <c r="G175" s="113">
        <v>282241.96000000002</v>
      </c>
      <c r="H175" s="86">
        <v>1128967.8400000001</v>
      </c>
      <c r="I175" s="113">
        <v>282241.96000000002</v>
      </c>
      <c r="J175" s="114">
        <f t="shared" si="16"/>
        <v>846725.88000000012</v>
      </c>
      <c r="K175" s="113">
        <f t="shared" si="17"/>
        <v>141120.9800000001</v>
      </c>
      <c r="L175" s="113">
        <v>705604.9</v>
      </c>
      <c r="M175" s="113">
        <v>0</v>
      </c>
      <c r="N175" s="113">
        <v>0</v>
      </c>
      <c r="O175" s="113">
        <v>0</v>
      </c>
      <c r="P175" s="113">
        <v>0</v>
      </c>
    </row>
    <row r="176" spans="2:16" ht="13.9" customHeight="1" outlineLevel="1" x14ac:dyDescent="0.25">
      <c r="B176" s="149"/>
      <c r="C176" s="150" t="s">
        <v>52</v>
      </c>
      <c r="D176" s="85">
        <v>1</v>
      </c>
      <c r="E176" s="86">
        <v>1850675.9</v>
      </c>
      <c r="F176" s="142">
        <f t="shared" si="15"/>
        <v>370135.18000000005</v>
      </c>
      <c r="G176" s="113">
        <v>367683.09</v>
      </c>
      <c r="H176" s="86">
        <v>1482992.8099999998</v>
      </c>
      <c r="I176" s="113">
        <v>2452.09</v>
      </c>
      <c r="J176" s="114">
        <f t="shared" si="16"/>
        <v>1480540.7199999997</v>
      </c>
      <c r="K176" s="113">
        <f t="shared" si="17"/>
        <v>185067.58999999962</v>
      </c>
      <c r="L176" s="113">
        <v>185067.59</v>
      </c>
      <c r="M176" s="113">
        <v>0</v>
      </c>
      <c r="N176" s="113">
        <v>1110405.54</v>
      </c>
      <c r="O176" s="113">
        <v>0</v>
      </c>
      <c r="P176" s="113">
        <v>0</v>
      </c>
    </row>
    <row r="177" spans="2:16" ht="13.9" customHeight="1" outlineLevel="1" x14ac:dyDescent="0.25">
      <c r="B177" s="149"/>
      <c r="C177" s="150" t="s">
        <v>53</v>
      </c>
      <c r="D177" s="85">
        <v>6</v>
      </c>
      <c r="E177" s="86">
        <v>42725188.75</v>
      </c>
      <c r="F177" s="142">
        <f t="shared" si="15"/>
        <v>9840548.6400000006</v>
      </c>
      <c r="G177" s="113">
        <v>6388424.3799999999</v>
      </c>
      <c r="H177" s="86">
        <v>36336764.370000005</v>
      </c>
      <c r="I177" s="113">
        <v>3452124.26</v>
      </c>
      <c r="J177" s="114">
        <f t="shared" si="16"/>
        <v>32884640.110000007</v>
      </c>
      <c r="K177" s="113">
        <f t="shared" si="17"/>
        <v>4272518.840000011</v>
      </c>
      <c r="L177" s="113">
        <v>7237961.0099999998</v>
      </c>
      <c r="M177" s="113">
        <v>21374160.259999998</v>
      </c>
      <c r="N177" s="113">
        <v>0</v>
      </c>
      <c r="O177" s="113">
        <v>0</v>
      </c>
      <c r="P177" s="113">
        <v>0</v>
      </c>
    </row>
    <row r="178" spans="2:16" ht="13.9" customHeight="1" outlineLevel="1" x14ac:dyDescent="0.25">
      <c r="B178" s="149"/>
      <c r="C178" s="150" t="s">
        <v>54</v>
      </c>
      <c r="D178" s="85">
        <v>10</v>
      </c>
      <c r="E178" s="86">
        <v>24587863.299999997</v>
      </c>
      <c r="F178" s="142">
        <f t="shared" si="15"/>
        <v>4917572.8800000008</v>
      </c>
      <c r="G178" s="113">
        <v>4917546.5600000005</v>
      </c>
      <c r="H178" s="86">
        <v>19670316.739999998</v>
      </c>
      <c r="I178" s="113">
        <v>26.32</v>
      </c>
      <c r="J178" s="114">
        <f t="shared" si="16"/>
        <v>19670290.419999998</v>
      </c>
      <c r="K178" s="113">
        <f t="shared" si="17"/>
        <v>2458786.0799999945</v>
      </c>
      <c r="L178" s="113">
        <v>2458786.3400000003</v>
      </c>
      <c r="M178" s="113">
        <v>4011700.6000000006</v>
      </c>
      <c r="N178" s="113">
        <v>10741017.4</v>
      </c>
      <c r="O178" s="113">
        <v>0</v>
      </c>
      <c r="P178" s="113">
        <v>0</v>
      </c>
    </row>
    <row r="179" spans="2:16" ht="13.9" customHeight="1" outlineLevel="1" x14ac:dyDescent="0.25">
      <c r="B179" s="149"/>
      <c r="C179" s="150" t="s">
        <v>55</v>
      </c>
      <c r="D179" s="85">
        <v>1</v>
      </c>
      <c r="E179" s="86">
        <v>5770991</v>
      </c>
      <c r="F179" s="142">
        <f t="shared" si="15"/>
        <v>1154198.2000000002</v>
      </c>
      <c r="G179" s="113">
        <v>1149803.08</v>
      </c>
      <c r="H179" s="86">
        <v>4621187.92</v>
      </c>
      <c r="I179" s="113">
        <v>4395.12</v>
      </c>
      <c r="J179" s="114">
        <f t="shared" si="16"/>
        <v>4616792.8</v>
      </c>
      <c r="K179" s="113">
        <f t="shared" si="17"/>
        <v>577099.10000000009</v>
      </c>
      <c r="L179" s="113">
        <v>577099.1</v>
      </c>
      <c r="M179" s="113">
        <v>577099.1</v>
      </c>
      <c r="N179" s="113">
        <v>577099.1</v>
      </c>
      <c r="O179" s="113">
        <v>2308396.4</v>
      </c>
      <c r="P179" s="113">
        <v>0</v>
      </c>
    </row>
    <row r="180" spans="2:16" ht="13.9" customHeight="1" outlineLevel="1" x14ac:dyDescent="0.25">
      <c r="B180" s="149"/>
      <c r="C180" s="150" t="s">
        <v>56</v>
      </c>
      <c r="D180" s="85">
        <v>0</v>
      </c>
      <c r="E180" s="86">
        <v>0</v>
      </c>
      <c r="F180" s="142">
        <f t="shared" si="15"/>
        <v>0</v>
      </c>
      <c r="G180" s="113">
        <v>0</v>
      </c>
      <c r="H180" s="86">
        <v>0</v>
      </c>
      <c r="I180" s="113">
        <v>0</v>
      </c>
      <c r="J180" s="114">
        <f t="shared" si="16"/>
        <v>0</v>
      </c>
      <c r="K180" s="113">
        <f t="shared" si="17"/>
        <v>0</v>
      </c>
      <c r="L180" s="113">
        <v>0</v>
      </c>
      <c r="M180" s="113">
        <v>0</v>
      </c>
      <c r="N180" s="113">
        <v>0</v>
      </c>
      <c r="O180" s="113">
        <v>0</v>
      </c>
      <c r="P180" s="113">
        <v>0</v>
      </c>
    </row>
    <row r="181" spans="2:16" ht="13.9" customHeight="1" outlineLevel="1" x14ac:dyDescent="0.25">
      <c r="B181" s="149"/>
      <c r="C181" s="150" t="s">
        <v>57</v>
      </c>
      <c r="D181" s="85">
        <v>0</v>
      </c>
      <c r="E181" s="86">
        <v>0</v>
      </c>
      <c r="F181" s="142">
        <f t="shared" si="15"/>
        <v>0</v>
      </c>
      <c r="G181" s="113">
        <v>0</v>
      </c>
      <c r="H181" s="86">
        <v>0</v>
      </c>
      <c r="I181" s="113">
        <v>0</v>
      </c>
      <c r="J181" s="114">
        <f t="shared" si="16"/>
        <v>0</v>
      </c>
      <c r="K181" s="113">
        <f t="shared" si="17"/>
        <v>0</v>
      </c>
      <c r="L181" s="113">
        <v>0</v>
      </c>
      <c r="M181" s="113">
        <v>0</v>
      </c>
      <c r="N181" s="113">
        <v>0</v>
      </c>
      <c r="O181" s="113">
        <v>0</v>
      </c>
      <c r="P181" s="113">
        <v>0</v>
      </c>
    </row>
    <row r="182" spans="2:16" ht="13.9" customHeight="1" outlineLevel="1" x14ac:dyDescent="0.25">
      <c r="B182" s="149"/>
      <c r="C182" s="150" t="s">
        <v>58</v>
      </c>
      <c r="D182" s="85">
        <v>1</v>
      </c>
      <c r="E182" s="86">
        <v>2686376</v>
      </c>
      <c r="F182" s="142">
        <f t="shared" si="15"/>
        <v>537275.19999999995</v>
      </c>
      <c r="G182" s="113">
        <v>536124.96</v>
      </c>
      <c r="H182" s="86">
        <v>2150251.04</v>
      </c>
      <c r="I182" s="113">
        <v>1150.24</v>
      </c>
      <c r="J182" s="114">
        <f t="shared" si="16"/>
        <v>2149100.7999999998</v>
      </c>
      <c r="K182" s="113">
        <f t="shared" si="17"/>
        <v>268637.59999999986</v>
      </c>
      <c r="L182" s="113">
        <v>268637.59999999998</v>
      </c>
      <c r="M182" s="113">
        <v>268637.59999999998</v>
      </c>
      <c r="N182" s="113">
        <v>1343188</v>
      </c>
      <c r="O182" s="113">
        <v>0</v>
      </c>
      <c r="P182" s="113">
        <v>0</v>
      </c>
    </row>
    <row r="183" spans="2:16" ht="13.9" customHeight="1" outlineLevel="1" x14ac:dyDescent="0.25">
      <c r="B183" s="149"/>
      <c r="C183" s="150" t="s">
        <v>59</v>
      </c>
      <c r="D183" s="85">
        <v>1</v>
      </c>
      <c r="E183" s="86">
        <v>1536737.4</v>
      </c>
      <c r="F183" s="142">
        <f t="shared" si="15"/>
        <v>307347.48</v>
      </c>
      <c r="G183" s="113">
        <v>307346.78999999998</v>
      </c>
      <c r="H183" s="86">
        <v>1229390.6099999999</v>
      </c>
      <c r="I183" s="113">
        <v>0.69</v>
      </c>
      <c r="J183" s="114">
        <f t="shared" si="16"/>
        <v>1229389.92</v>
      </c>
      <c r="K183" s="113">
        <f t="shared" si="17"/>
        <v>153673.74</v>
      </c>
      <c r="L183" s="113">
        <v>153673.74</v>
      </c>
      <c r="M183" s="113">
        <v>153673.74</v>
      </c>
      <c r="N183" s="113">
        <v>768368.7</v>
      </c>
      <c r="O183" s="113">
        <v>0</v>
      </c>
      <c r="P183" s="113">
        <v>0</v>
      </c>
    </row>
    <row r="184" spans="2:16" ht="13.9" customHeight="1" outlineLevel="1" x14ac:dyDescent="0.25">
      <c r="B184" s="149"/>
      <c r="C184" s="150" t="s">
        <v>60</v>
      </c>
      <c r="D184" s="85">
        <v>10</v>
      </c>
      <c r="E184" s="86">
        <v>46976629.5</v>
      </c>
      <c r="F184" s="142">
        <f t="shared" si="15"/>
        <v>4726664.75</v>
      </c>
      <c r="G184" s="113">
        <v>4726664.75</v>
      </c>
      <c r="H184" s="86">
        <v>42249964.75</v>
      </c>
      <c r="I184" s="113">
        <v>0</v>
      </c>
      <c r="J184" s="114">
        <f t="shared" si="16"/>
        <v>42249964.75</v>
      </c>
      <c r="K184" s="113">
        <f t="shared" si="17"/>
        <v>7887894.0600000024</v>
      </c>
      <c r="L184" s="113">
        <v>6176092.9699999997</v>
      </c>
      <c r="M184" s="113">
        <v>6438465.8999999994</v>
      </c>
      <c r="N184" s="113">
        <v>21747511.82</v>
      </c>
      <c r="O184" s="113">
        <v>0</v>
      </c>
      <c r="P184" s="113">
        <v>0</v>
      </c>
    </row>
    <row r="185" spans="2:16" ht="13.9" customHeight="1" outlineLevel="1" x14ac:dyDescent="0.25">
      <c r="B185" s="149"/>
      <c r="C185" s="150" t="s">
        <v>61</v>
      </c>
      <c r="D185" s="85">
        <v>2</v>
      </c>
      <c r="E185" s="86">
        <v>14784300</v>
      </c>
      <c r="F185" s="142">
        <f t="shared" si="15"/>
        <v>1478431</v>
      </c>
      <c r="G185" s="113">
        <v>1478431</v>
      </c>
      <c r="H185" s="86">
        <v>13305869</v>
      </c>
      <c r="I185" s="113">
        <v>0</v>
      </c>
      <c r="J185" s="114">
        <f t="shared" si="16"/>
        <v>13305869</v>
      </c>
      <c r="K185" s="113">
        <f t="shared" si="17"/>
        <v>2956858.9699999988</v>
      </c>
      <c r="L185" s="113">
        <v>1478430.01</v>
      </c>
      <c r="M185" s="113">
        <v>2956860.02</v>
      </c>
      <c r="N185" s="113">
        <v>5913720</v>
      </c>
      <c r="O185" s="113">
        <v>0</v>
      </c>
      <c r="P185" s="113">
        <v>0</v>
      </c>
    </row>
    <row r="186" spans="2:16" ht="13.9" customHeight="1" outlineLevel="1" x14ac:dyDescent="0.25">
      <c r="B186" s="149"/>
      <c r="C186" s="150" t="s">
        <v>62</v>
      </c>
      <c r="D186" s="85">
        <v>0</v>
      </c>
      <c r="E186" s="86">
        <v>0</v>
      </c>
      <c r="F186" s="142">
        <f t="shared" si="15"/>
        <v>0</v>
      </c>
      <c r="G186" s="113">
        <v>0</v>
      </c>
      <c r="H186" s="86">
        <v>0</v>
      </c>
      <c r="I186" s="113">
        <v>0</v>
      </c>
      <c r="J186" s="114">
        <f t="shared" si="16"/>
        <v>0</v>
      </c>
      <c r="K186" s="113">
        <f t="shared" si="17"/>
        <v>0</v>
      </c>
      <c r="L186" s="113">
        <v>0</v>
      </c>
      <c r="M186" s="113">
        <v>0</v>
      </c>
      <c r="N186" s="113">
        <v>0</v>
      </c>
      <c r="O186" s="113">
        <v>0</v>
      </c>
      <c r="P186" s="113">
        <v>0</v>
      </c>
    </row>
    <row r="187" spans="2:16" ht="13.9" customHeight="1" outlineLevel="1" x14ac:dyDescent="0.25">
      <c r="B187" s="149"/>
      <c r="C187" s="150" t="s">
        <v>63</v>
      </c>
      <c r="D187" s="85">
        <v>0</v>
      </c>
      <c r="E187" s="86">
        <v>0</v>
      </c>
      <c r="F187" s="142">
        <f t="shared" si="15"/>
        <v>0</v>
      </c>
      <c r="G187" s="113">
        <v>0</v>
      </c>
      <c r="H187" s="86">
        <v>0</v>
      </c>
      <c r="I187" s="113">
        <v>0</v>
      </c>
      <c r="J187" s="114">
        <f t="shared" si="16"/>
        <v>0</v>
      </c>
      <c r="K187" s="113">
        <f t="shared" si="17"/>
        <v>0</v>
      </c>
      <c r="L187" s="113">
        <v>0</v>
      </c>
      <c r="M187" s="113">
        <v>0</v>
      </c>
      <c r="N187" s="113">
        <v>0</v>
      </c>
      <c r="O187" s="113">
        <v>0</v>
      </c>
      <c r="P187" s="113">
        <v>0</v>
      </c>
    </row>
    <row r="188" spans="2:16" ht="13.9" customHeight="1" outlineLevel="1" x14ac:dyDescent="0.25">
      <c r="B188" s="149"/>
      <c r="C188" s="150" t="s">
        <v>64</v>
      </c>
      <c r="D188" s="85">
        <v>0</v>
      </c>
      <c r="E188" s="86">
        <v>0</v>
      </c>
      <c r="F188" s="142">
        <f t="shared" si="15"/>
        <v>0</v>
      </c>
      <c r="G188" s="113">
        <v>0</v>
      </c>
      <c r="H188" s="86">
        <v>0</v>
      </c>
      <c r="I188" s="113">
        <v>0</v>
      </c>
      <c r="J188" s="114">
        <f t="shared" si="16"/>
        <v>0</v>
      </c>
      <c r="K188" s="113">
        <f t="shared" si="17"/>
        <v>0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</row>
    <row r="189" spans="2:16" ht="13.9" customHeight="1" outlineLevel="1" x14ac:dyDescent="0.25">
      <c r="B189" s="149"/>
      <c r="C189" s="150" t="s">
        <v>65</v>
      </c>
      <c r="D189" s="85">
        <v>0</v>
      </c>
      <c r="E189" s="86">
        <v>0</v>
      </c>
      <c r="F189" s="142">
        <f t="shared" si="15"/>
        <v>0</v>
      </c>
      <c r="G189" s="113">
        <v>0</v>
      </c>
      <c r="H189" s="86">
        <v>0</v>
      </c>
      <c r="I189" s="113">
        <v>0</v>
      </c>
      <c r="J189" s="114">
        <f t="shared" si="16"/>
        <v>0</v>
      </c>
      <c r="K189" s="113">
        <f t="shared" si="17"/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</row>
    <row r="190" spans="2:16" ht="13.9" customHeight="1" outlineLevel="1" x14ac:dyDescent="0.25">
      <c r="B190" s="149"/>
      <c r="C190" s="150" t="s">
        <v>66</v>
      </c>
      <c r="D190" s="85">
        <v>0</v>
      </c>
      <c r="E190" s="86">
        <v>0</v>
      </c>
      <c r="F190" s="142">
        <f t="shared" si="15"/>
        <v>0</v>
      </c>
      <c r="G190" s="113">
        <v>0</v>
      </c>
      <c r="H190" s="86">
        <v>0</v>
      </c>
      <c r="I190" s="113">
        <v>0</v>
      </c>
      <c r="J190" s="114">
        <f t="shared" si="16"/>
        <v>0</v>
      </c>
      <c r="K190" s="113">
        <f t="shared" si="17"/>
        <v>0</v>
      </c>
      <c r="L190" s="113">
        <v>0</v>
      </c>
      <c r="M190" s="113">
        <v>0</v>
      </c>
      <c r="N190" s="113">
        <v>0</v>
      </c>
      <c r="O190" s="113">
        <v>0</v>
      </c>
      <c r="P190" s="113">
        <v>0</v>
      </c>
    </row>
    <row r="191" spans="2:16" ht="13.9" customHeight="1" outlineLevel="1" x14ac:dyDescent="0.25">
      <c r="B191" s="149"/>
      <c r="C191" s="150" t="s">
        <v>67</v>
      </c>
      <c r="D191" s="85">
        <v>1</v>
      </c>
      <c r="E191" s="86">
        <v>2421825</v>
      </c>
      <c r="F191" s="142">
        <f t="shared" si="15"/>
        <v>242183</v>
      </c>
      <c r="G191" s="113">
        <v>242183</v>
      </c>
      <c r="H191" s="86">
        <v>2179642</v>
      </c>
      <c r="I191" s="113">
        <v>0</v>
      </c>
      <c r="J191" s="114">
        <f t="shared" si="16"/>
        <v>2179642</v>
      </c>
      <c r="K191" s="113">
        <f t="shared" si="17"/>
        <v>2179642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</row>
    <row r="192" spans="2:16" ht="13.9" customHeight="1" x14ac:dyDescent="0.25">
      <c r="B192" s="149"/>
      <c r="C192" s="148" t="s">
        <v>103</v>
      </c>
      <c r="D192" s="90">
        <f>SUM(D155:D191)</f>
        <v>87</v>
      </c>
      <c r="E192" s="91">
        <f t="shared" ref="E192:P192" si="18">SUM(E155:E191)</f>
        <v>342152346.18000001</v>
      </c>
      <c r="F192" s="92">
        <f t="shared" si="18"/>
        <v>78076171.400000021</v>
      </c>
      <c r="G192" s="93">
        <f t="shared" si="18"/>
        <v>48659912.780000001</v>
      </c>
      <c r="H192" s="90">
        <f t="shared" si="18"/>
        <v>293492433.39999998</v>
      </c>
      <c r="I192" s="91">
        <f t="shared" si="18"/>
        <v>29416258.620000001</v>
      </c>
      <c r="J192" s="92">
        <f t="shared" si="18"/>
        <v>264076174.78</v>
      </c>
      <c r="K192" s="93">
        <f t="shared" si="18"/>
        <v>42559069.640000001</v>
      </c>
      <c r="L192" s="90">
        <f t="shared" si="18"/>
        <v>75342978.86999999</v>
      </c>
      <c r="M192" s="91">
        <f t="shared" si="18"/>
        <v>56667992.600000009</v>
      </c>
      <c r="N192" s="90">
        <f t="shared" si="18"/>
        <v>59384690.569999993</v>
      </c>
      <c r="O192" s="91">
        <f t="shared" si="18"/>
        <v>22998140.349999998</v>
      </c>
      <c r="P192" s="91">
        <f t="shared" si="18"/>
        <v>7123302.75</v>
      </c>
    </row>
    <row r="193" spans="2:16" ht="13.9" customHeight="1" outlineLevel="1" x14ac:dyDescent="0.25">
      <c r="B193" s="149" t="s">
        <v>83</v>
      </c>
      <c r="C193" s="150" t="s">
        <v>70</v>
      </c>
      <c r="D193" s="85">
        <v>6</v>
      </c>
      <c r="E193" s="86">
        <v>24242694.32</v>
      </c>
      <c r="F193" s="142">
        <f t="shared" si="15"/>
        <v>4348458.5</v>
      </c>
      <c r="G193" s="113">
        <v>4150362.5999999996</v>
      </c>
      <c r="H193" s="86">
        <v>20092331.719999999</v>
      </c>
      <c r="I193" s="113">
        <v>198095.9</v>
      </c>
      <c r="J193" s="114">
        <f t="shared" si="16"/>
        <v>19894235.82</v>
      </c>
      <c r="K193" s="113">
        <f t="shared" si="17"/>
        <v>4650441.08</v>
      </c>
      <c r="L193" s="113">
        <v>3952266.0300000003</v>
      </c>
      <c r="M193" s="113">
        <v>7800637.96</v>
      </c>
      <c r="N193" s="113">
        <v>3490890.75</v>
      </c>
      <c r="O193" s="113">
        <v>0</v>
      </c>
      <c r="P193" s="113">
        <v>0</v>
      </c>
    </row>
    <row r="194" spans="2:16" ht="13.9" customHeight="1" outlineLevel="1" x14ac:dyDescent="0.25">
      <c r="B194" s="149"/>
      <c r="C194" s="150" t="s">
        <v>71</v>
      </c>
      <c r="D194" s="85">
        <v>4</v>
      </c>
      <c r="E194" s="86">
        <v>51048965.68</v>
      </c>
      <c r="F194" s="142">
        <f t="shared" si="15"/>
        <v>7349641.5999999996</v>
      </c>
      <c r="G194" s="113">
        <v>7349492</v>
      </c>
      <c r="H194" s="86">
        <v>43699473.68</v>
      </c>
      <c r="I194" s="113">
        <v>149.6</v>
      </c>
      <c r="J194" s="114">
        <f t="shared" si="16"/>
        <v>43699324.079999998</v>
      </c>
      <c r="K194" s="113">
        <f t="shared" si="17"/>
        <v>6227486.9299999923</v>
      </c>
      <c r="L194" s="113">
        <v>9056500.3399999999</v>
      </c>
      <c r="M194" s="113">
        <v>28415336.810000002</v>
      </c>
      <c r="N194" s="113">
        <v>0</v>
      </c>
      <c r="O194" s="113">
        <v>0</v>
      </c>
      <c r="P194" s="113">
        <v>0</v>
      </c>
    </row>
    <row r="195" spans="2:16" ht="13.9" customHeight="1" outlineLevel="1" x14ac:dyDescent="0.25">
      <c r="B195" s="149"/>
      <c r="C195" s="150" t="s">
        <v>72</v>
      </c>
      <c r="D195" s="85">
        <v>8</v>
      </c>
      <c r="E195" s="86">
        <v>12808030.869999999</v>
      </c>
      <c r="F195" s="142">
        <f t="shared" si="15"/>
        <v>3569375.91</v>
      </c>
      <c r="G195" s="113">
        <v>2558139.69</v>
      </c>
      <c r="H195" s="86">
        <v>10249891.18</v>
      </c>
      <c r="I195" s="113">
        <v>1011236.22</v>
      </c>
      <c r="J195" s="114">
        <f t="shared" si="16"/>
        <v>9238654.959999999</v>
      </c>
      <c r="K195" s="113">
        <f t="shared" si="17"/>
        <v>1404234.9699999997</v>
      </c>
      <c r="L195" s="113">
        <v>1430404.54</v>
      </c>
      <c r="M195" s="113">
        <v>1280803.0899999999</v>
      </c>
      <c r="N195" s="113">
        <v>5123212.3599999994</v>
      </c>
      <c r="O195" s="113">
        <v>0</v>
      </c>
      <c r="P195" s="113">
        <v>0</v>
      </c>
    </row>
    <row r="196" spans="2:16" ht="13.9" customHeight="1" x14ac:dyDescent="0.25">
      <c r="B196" s="149"/>
      <c r="C196" s="148" t="s">
        <v>104</v>
      </c>
      <c r="D196" s="90">
        <f>SUM(D193:D195)</f>
        <v>18</v>
      </c>
      <c r="E196" s="91">
        <f t="shared" ref="E196:P196" si="19">SUM(E193:E195)</f>
        <v>88099690.870000005</v>
      </c>
      <c r="F196" s="92">
        <f t="shared" si="19"/>
        <v>15267476.01</v>
      </c>
      <c r="G196" s="93">
        <f t="shared" si="19"/>
        <v>14057994.289999999</v>
      </c>
      <c r="H196" s="90">
        <f t="shared" si="19"/>
        <v>74041696.579999998</v>
      </c>
      <c r="I196" s="91">
        <f t="shared" si="19"/>
        <v>1209481.72</v>
      </c>
      <c r="J196" s="92">
        <f t="shared" si="19"/>
        <v>72832214.859999999</v>
      </c>
      <c r="K196" s="93">
        <f t="shared" si="19"/>
        <v>12282162.979999993</v>
      </c>
      <c r="L196" s="90">
        <f t="shared" si="19"/>
        <v>14439170.91</v>
      </c>
      <c r="M196" s="91">
        <f t="shared" si="19"/>
        <v>37496777.859999999</v>
      </c>
      <c r="N196" s="90">
        <f t="shared" si="19"/>
        <v>8614103.1099999994</v>
      </c>
      <c r="O196" s="91">
        <f t="shared" si="19"/>
        <v>0</v>
      </c>
      <c r="P196" s="91">
        <f t="shared" si="19"/>
        <v>0</v>
      </c>
    </row>
    <row r="197" spans="2:16" ht="13.9" customHeight="1" outlineLevel="1" x14ac:dyDescent="0.25">
      <c r="B197" s="149" t="s">
        <v>105</v>
      </c>
      <c r="C197" s="150" t="s">
        <v>75</v>
      </c>
      <c r="D197" s="85">
        <v>0</v>
      </c>
      <c r="E197" s="86">
        <v>0</v>
      </c>
      <c r="F197" s="142">
        <f t="shared" si="15"/>
        <v>0</v>
      </c>
      <c r="G197" s="113">
        <v>0</v>
      </c>
      <c r="H197" s="86">
        <v>0</v>
      </c>
      <c r="I197" s="113">
        <v>0</v>
      </c>
      <c r="J197" s="114">
        <f t="shared" si="16"/>
        <v>0</v>
      </c>
      <c r="K197" s="113">
        <f t="shared" si="17"/>
        <v>0</v>
      </c>
      <c r="L197" s="113">
        <v>0</v>
      </c>
      <c r="M197" s="113">
        <v>0</v>
      </c>
      <c r="N197" s="113">
        <v>0</v>
      </c>
      <c r="O197" s="113">
        <v>0</v>
      </c>
      <c r="P197" s="113">
        <v>0</v>
      </c>
    </row>
    <row r="198" spans="2:16" ht="13.9" customHeight="1" outlineLevel="1" x14ac:dyDescent="0.25">
      <c r="B198" s="149"/>
      <c r="C198" s="150" t="s">
        <v>76</v>
      </c>
      <c r="D198" s="85">
        <v>0</v>
      </c>
      <c r="E198" s="86">
        <v>0</v>
      </c>
      <c r="F198" s="142">
        <f t="shared" si="15"/>
        <v>0</v>
      </c>
      <c r="G198" s="113">
        <v>0</v>
      </c>
      <c r="H198" s="86">
        <v>0</v>
      </c>
      <c r="I198" s="113">
        <v>0</v>
      </c>
      <c r="J198" s="114">
        <f t="shared" si="16"/>
        <v>0</v>
      </c>
      <c r="K198" s="113">
        <f t="shared" si="17"/>
        <v>0</v>
      </c>
      <c r="L198" s="113">
        <v>0</v>
      </c>
      <c r="M198" s="113">
        <v>0</v>
      </c>
      <c r="N198" s="113">
        <v>0</v>
      </c>
      <c r="O198" s="113">
        <v>0</v>
      </c>
      <c r="P198" s="113">
        <v>0</v>
      </c>
    </row>
    <row r="199" spans="2:16" ht="13.9" customHeight="1" x14ac:dyDescent="0.25">
      <c r="B199" s="149"/>
      <c r="C199" s="148" t="s">
        <v>106</v>
      </c>
      <c r="D199" s="90">
        <f>SUM(D197:D198)</f>
        <v>0</v>
      </c>
      <c r="E199" s="91">
        <f t="shared" ref="E199:P199" si="20">SUM(E197:E198)</f>
        <v>0</v>
      </c>
      <c r="F199" s="92">
        <f t="shared" si="20"/>
        <v>0</v>
      </c>
      <c r="G199" s="93">
        <f t="shared" si="20"/>
        <v>0</v>
      </c>
      <c r="H199" s="90">
        <f t="shared" si="20"/>
        <v>0</v>
      </c>
      <c r="I199" s="91">
        <f t="shared" si="20"/>
        <v>0</v>
      </c>
      <c r="J199" s="92">
        <f t="shared" si="20"/>
        <v>0</v>
      </c>
      <c r="K199" s="93">
        <f t="shared" si="20"/>
        <v>0</v>
      </c>
      <c r="L199" s="90">
        <f t="shared" si="20"/>
        <v>0</v>
      </c>
      <c r="M199" s="91">
        <f t="shared" si="20"/>
        <v>0</v>
      </c>
      <c r="N199" s="90">
        <f t="shared" si="20"/>
        <v>0</v>
      </c>
      <c r="O199" s="91">
        <f t="shared" si="20"/>
        <v>0</v>
      </c>
      <c r="P199" s="91">
        <f t="shared" si="20"/>
        <v>0</v>
      </c>
    </row>
    <row r="200" spans="2:16" ht="13.9" customHeight="1" x14ac:dyDescent="0.25">
      <c r="B200" s="155" t="s">
        <v>78</v>
      </c>
      <c r="C200" s="155"/>
      <c r="D200" s="90">
        <f>D192+D196+D199</f>
        <v>105</v>
      </c>
      <c r="E200" s="91">
        <f t="shared" ref="E200:P200" si="21">E192+E196+E199</f>
        <v>430252037.05000001</v>
      </c>
      <c r="F200" s="92">
        <f t="shared" si="21"/>
        <v>93343647.410000026</v>
      </c>
      <c r="G200" s="93">
        <f t="shared" si="21"/>
        <v>62717907.07</v>
      </c>
      <c r="H200" s="90">
        <f t="shared" si="21"/>
        <v>367534129.97999996</v>
      </c>
      <c r="I200" s="91">
        <f t="shared" si="21"/>
        <v>30625740.34</v>
      </c>
      <c r="J200" s="92">
        <f t="shared" si="21"/>
        <v>336908389.63999999</v>
      </c>
      <c r="K200" s="93">
        <f t="shared" si="21"/>
        <v>54841232.61999999</v>
      </c>
      <c r="L200" s="90">
        <f t="shared" si="21"/>
        <v>89782149.779999986</v>
      </c>
      <c r="M200" s="91">
        <f t="shared" si="21"/>
        <v>94164770.460000008</v>
      </c>
      <c r="N200" s="90">
        <f t="shared" si="21"/>
        <v>67998793.679999992</v>
      </c>
      <c r="O200" s="91">
        <f t="shared" si="21"/>
        <v>22998140.349999998</v>
      </c>
      <c r="P200" s="91">
        <f t="shared" si="21"/>
        <v>7123302.75</v>
      </c>
    </row>
    <row r="201" spans="2:16" ht="13.9" customHeight="1" x14ac:dyDescent="0.25"/>
    <row r="202" spans="2:16" ht="13.9" customHeight="1" x14ac:dyDescent="0.25"/>
    <row r="203" spans="2:16" ht="13.9" customHeight="1" x14ac:dyDescent="0.25">
      <c r="B203" s="107" t="s">
        <v>89</v>
      </c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</row>
    <row r="204" spans="2:16" ht="13.9" customHeight="1" x14ac:dyDescent="0.25">
      <c r="B204" s="154" t="s">
        <v>26</v>
      </c>
      <c r="C204" s="148" t="s">
        <v>27</v>
      </c>
      <c r="D204" s="109" t="s">
        <v>28</v>
      </c>
      <c r="E204" s="110" t="s">
        <v>29</v>
      </c>
      <c r="F204" s="111" t="s">
        <v>85</v>
      </c>
      <c r="G204" s="112" t="s">
        <v>81</v>
      </c>
      <c r="H204" s="110" t="s">
        <v>82</v>
      </c>
      <c r="I204" s="112" t="s">
        <v>86</v>
      </c>
      <c r="J204" s="110" t="s">
        <v>87</v>
      </c>
      <c r="K204" s="112">
        <v>2026</v>
      </c>
      <c r="L204" s="112">
        <v>2027</v>
      </c>
      <c r="M204" s="110">
        <v>2028</v>
      </c>
      <c r="N204" s="112">
        <v>2029</v>
      </c>
      <c r="O204" s="110">
        <v>2030</v>
      </c>
      <c r="P204" s="112">
        <v>2031</v>
      </c>
    </row>
    <row r="205" spans="2:16" ht="13.9" customHeight="1" outlineLevel="1" x14ac:dyDescent="0.25">
      <c r="B205" s="149" t="s">
        <v>30</v>
      </c>
      <c r="C205" s="150" t="s">
        <v>31</v>
      </c>
      <c r="D205" s="85">
        <v>0</v>
      </c>
      <c r="E205" s="86">
        <v>0</v>
      </c>
      <c r="F205" s="142">
        <f t="shared" ref="F205:F248" si="22">G205+I205</f>
        <v>0</v>
      </c>
      <c r="G205" s="113">
        <v>0</v>
      </c>
      <c r="H205" s="86">
        <v>0</v>
      </c>
      <c r="I205" s="113">
        <v>0</v>
      </c>
      <c r="J205" s="114">
        <f t="shared" ref="J205:J248" si="23">H205-I205</f>
        <v>0</v>
      </c>
      <c r="K205" s="113">
        <f t="shared" ref="K205:K248" si="24">MAX(J205-SUM(L205:P205),0)</f>
        <v>0</v>
      </c>
      <c r="L205" s="113">
        <v>0</v>
      </c>
      <c r="M205" s="113">
        <v>0</v>
      </c>
      <c r="N205" s="113">
        <v>0</v>
      </c>
      <c r="O205" s="113">
        <v>0</v>
      </c>
      <c r="P205" s="113">
        <v>0</v>
      </c>
    </row>
    <row r="206" spans="2:16" ht="13.9" customHeight="1" outlineLevel="1" x14ac:dyDescent="0.25">
      <c r="B206" s="149"/>
      <c r="C206" s="150" t="s">
        <v>32</v>
      </c>
      <c r="D206" s="85">
        <v>0</v>
      </c>
      <c r="E206" s="86">
        <v>0</v>
      </c>
      <c r="F206" s="142">
        <f t="shared" si="22"/>
        <v>0</v>
      </c>
      <c r="G206" s="113">
        <v>0</v>
      </c>
      <c r="H206" s="86">
        <v>0</v>
      </c>
      <c r="I206" s="113">
        <v>0</v>
      </c>
      <c r="J206" s="114">
        <f t="shared" si="23"/>
        <v>0</v>
      </c>
      <c r="K206" s="113">
        <f t="shared" si="24"/>
        <v>0</v>
      </c>
      <c r="L206" s="113">
        <v>0</v>
      </c>
      <c r="M206" s="113">
        <v>0</v>
      </c>
      <c r="N206" s="113">
        <v>0</v>
      </c>
      <c r="O206" s="113">
        <v>0</v>
      </c>
      <c r="P206" s="113">
        <v>0</v>
      </c>
    </row>
    <row r="207" spans="2:16" ht="13.9" customHeight="1" outlineLevel="1" x14ac:dyDescent="0.25">
      <c r="B207" s="149"/>
      <c r="C207" s="150" t="s">
        <v>33</v>
      </c>
      <c r="D207" s="85">
        <v>0</v>
      </c>
      <c r="E207" s="86">
        <v>0</v>
      </c>
      <c r="F207" s="142">
        <f t="shared" si="22"/>
        <v>0</v>
      </c>
      <c r="G207" s="113">
        <v>0</v>
      </c>
      <c r="H207" s="86">
        <v>0</v>
      </c>
      <c r="I207" s="113">
        <v>0</v>
      </c>
      <c r="J207" s="114">
        <f t="shared" si="23"/>
        <v>0</v>
      </c>
      <c r="K207" s="113">
        <f t="shared" si="24"/>
        <v>0</v>
      </c>
      <c r="L207" s="113">
        <v>0</v>
      </c>
      <c r="M207" s="113">
        <v>0</v>
      </c>
      <c r="N207" s="113">
        <v>0</v>
      </c>
      <c r="O207" s="113">
        <v>0</v>
      </c>
      <c r="P207" s="113">
        <v>0</v>
      </c>
    </row>
    <row r="208" spans="2:16" ht="13.9" customHeight="1" outlineLevel="1" x14ac:dyDescent="0.25">
      <c r="B208" s="149"/>
      <c r="C208" s="150" t="s">
        <v>34</v>
      </c>
      <c r="D208" s="85">
        <v>0</v>
      </c>
      <c r="E208" s="86">
        <v>0</v>
      </c>
      <c r="F208" s="142">
        <f t="shared" si="22"/>
        <v>0</v>
      </c>
      <c r="G208" s="113">
        <v>0</v>
      </c>
      <c r="H208" s="86">
        <v>0</v>
      </c>
      <c r="I208" s="113">
        <v>0</v>
      </c>
      <c r="J208" s="114">
        <f t="shared" si="23"/>
        <v>0</v>
      </c>
      <c r="K208" s="113">
        <f t="shared" si="24"/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</row>
    <row r="209" spans="2:16" ht="13.9" customHeight="1" outlineLevel="1" x14ac:dyDescent="0.25">
      <c r="B209" s="149"/>
      <c r="C209" s="150" t="s">
        <v>35</v>
      </c>
      <c r="D209" s="85">
        <v>0</v>
      </c>
      <c r="E209" s="86">
        <v>0</v>
      </c>
      <c r="F209" s="142">
        <f t="shared" si="22"/>
        <v>0</v>
      </c>
      <c r="G209" s="113">
        <v>0</v>
      </c>
      <c r="H209" s="86">
        <v>0</v>
      </c>
      <c r="I209" s="113">
        <v>0</v>
      </c>
      <c r="J209" s="114">
        <f t="shared" si="23"/>
        <v>0</v>
      </c>
      <c r="K209" s="113">
        <f t="shared" si="24"/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</row>
    <row r="210" spans="2:16" ht="13.9" customHeight="1" outlineLevel="1" x14ac:dyDescent="0.25">
      <c r="B210" s="149"/>
      <c r="C210" s="150" t="s">
        <v>36</v>
      </c>
      <c r="D210" s="85">
        <v>4</v>
      </c>
      <c r="E210" s="86">
        <v>42848976</v>
      </c>
      <c r="F210" s="142">
        <f t="shared" si="22"/>
        <v>9868624</v>
      </c>
      <c r="G210" s="113">
        <v>9868624</v>
      </c>
      <c r="H210" s="86">
        <v>32980352</v>
      </c>
      <c r="I210" s="113">
        <v>0</v>
      </c>
      <c r="J210" s="114">
        <f t="shared" si="23"/>
        <v>32980352</v>
      </c>
      <c r="K210" s="113">
        <f t="shared" si="24"/>
        <v>4572584</v>
      </c>
      <c r="L210" s="113">
        <v>10949568</v>
      </c>
      <c r="M210" s="113">
        <v>17458200</v>
      </c>
      <c r="N210" s="113">
        <v>0</v>
      </c>
      <c r="O210" s="113">
        <v>0</v>
      </c>
      <c r="P210" s="113">
        <v>0</v>
      </c>
    </row>
    <row r="211" spans="2:16" ht="13.9" customHeight="1" outlineLevel="1" x14ac:dyDescent="0.25">
      <c r="B211" s="149"/>
      <c r="C211" s="150" t="s">
        <v>37</v>
      </c>
      <c r="D211" s="85">
        <v>0</v>
      </c>
      <c r="E211" s="86">
        <v>0</v>
      </c>
      <c r="F211" s="142">
        <f t="shared" si="22"/>
        <v>0</v>
      </c>
      <c r="G211" s="113">
        <v>0</v>
      </c>
      <c r="H211" s="86">
        <v>0</v>
      </c>
      <c r="I211" s="113">
        <v>0</v>
      </c>
      <c r="J211" s="114">
        <f t="shared" si="23"/>
        <v>0</v>
      </c>
      <c r="K211" s="113">
        <f t="shared" si="24"/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</row>
    <row r="212" spans="2:16" ht="13.9" customHeight="1" outlineLevel="1" x14ac:dyDescent="0.25">
      <c r="B212" s="149"/>
      <c r="C212" s="150" t="s">
        <v>38</v>
      </c>
      <c r="D212" s="85">
        <v>0</v>
      </c>
      <c r="E212" s="86">
        <v>0</v>
      </c>
      <c r="F212" s="142">
        <f t="shared" si="22"/>
        <v>0</v>
      </c>
      <c r="G212" s="113">
        <v>0</v>
      </c>
      <c r="H212" s="86">
        <v>0</v>
      </c>
      <c r="I212" s="113">
        <v>0</v>
      </c>
      <c r="J212" s="114">
        <f t="shared" si="23"/>
        <v>0</v>
      </c>
      <c r="K212" s="113">
        <f t="shared" si="24"/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</row>
    <row r="213" spans="2:16" ht="13.9" customHeight="1" outlineLevel="1" x14ac:dyDescent="0.25">
      <c r="B213" s="149"/>
      <c r="C213" s="150" t="s">
        <v>39</v>
      </c>
      <c r="D213" s="85">
        <v>0</v>
      </c>
      <c r="E213" s="86">
        <v>0</v>
      </c>
      <c r="F213" s="142">
        <f t="shared" si="22"/>
        <v>0</v>
      </c>
      <c r="G213" s="113">
        <v>0</v>
      </c>
      <c r="H213" s="86">
        <v>0</v>
      </c>
      <c r="I213" s="113">
        <v>0</v>
      </c>
      <c r="J213" s="114">
        <f t="shared" si="23"/>
        <v>0</v>
      </c>
      <c r="K213" s="113">
        <f t="shared" si="24"/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</row>
    <row r="214" spans="2:16" ht="13.9" customHeight="1" outlineLevel="1" x14ac:dyDescent="0.25">
      <c r="B214" s="149"/>
      <c r="C214" s="150" t="s">
        <v>40</v>
      </c>
      <c r="D214" s="85">
        <v>0</v>
      </c>
      <c r="E214" s="86">
        <v>0</v>
      </c>
      <c r="F214" s="142">
        <f t="shared" si="22"/>
        <v>0</v>
      </c>
      <c r="G214" s="113">
        <v>0</v>
      </c>
      <c r="H214" s="86">
        <v>0</v>
      </c>
      <c r="I214" s="113">
        <v>0</v>
      </c>
      <c r="J214" s="114">
        <f t="shared" si="23"/>
        <v>0</v>
      </c>
      <c r="K214" s="113">
        <f t="shared" si="24"/>
        <v>0</v>
      </c>
      <c r="L214" s="113">
        <v>0</v>
      </c>
      <c r="M214" s="113">
        <v>0</v>
      </c>
      <c r="N214" s="113">
        <v>0</v>
      </c>
      <c r="O214" s="113">
        <v>0</v>
      </c>
      <c r="P214" s="113">
        <v>0</v>
      </c>
    </row>
    <row r="215" spans="2:16" ht="13.9" customHeight="1" outlineLevel="1" x14ac:dyDescent="0.25">
      <c r="B215" s="149"/>
      <c r="C215" s="150" t="s">
        <v>41</v>
      </c>
      <c r="D215" s="85">
        <v>0</v>
      </c>
      <c r="E215" s="86">
        <v>0</v>
      </c>
      <c r="F215" s="142">
        <f t="shared" si="22"/>
        <v>0</v>
      </c>
      <c r="G215" s="113">
        <v>0</v>
      </c>
      <c r="H215" s="86">
        <v>0</v>
      </c>
      <c r="I215" s="113">
        <v>0</v>
      </c>
      <c r="J215" s="114">
        <f t="shared" si="23"/>
        <v>0</v>
      </c>
      <c r="K215" s="113">
        <f t="shared" si="24"/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</row>
    <row r="216" spans="2:16" ht="13.9" customHeight="1" outlineLevel="1" x14ac:dyDescent="0.25">
      <c r="B216" s="149"/>
      <c r="C216" s="150" t="s">
        <v>42</v>
      </c>
      <c r="D216" s="85">
        <v>12</v>
      </c>
      <c r="E216" s="86">
        <v>21347787.75</v>
      </c>
      <c r="F216" s="142">
        <f t="shared" si="22"/>
        <v>13436620.220000001</v>
      </c>
      <c r="G216" s="113">
        <v>4694757.5500000007</v>
      </c>
      <c r="H216" s="86">
        <v>16653030.199999997</v>
      </c>
      <c r="I216" s="113">
        <v>8741862.6699999999</v>
      </c>
      <c r="J216" s="114">
        <f t="shared" si="23"/>
        <v>7911167.5299999975</v>
      </c>
      <c r="K216" s="113">
        <f t="shared" si="24"/>
        <v>2134778.5999999978</v>
      </c>
      <c r="L216" s="113">
        <v>5776388.9299999997</v>
      </c>
      <c r="M216" s="113">
        <v>0</v>
      </c>
      <c r="N216" s="113">
        <v>0</v>
      </c>
      <c r="O216" s="113">
        <v>0</v>
      </c>
      <c r="P216" s="113">
        <v>0</v>
      </c>
    </row>
    <row r="217" spans="2:16" ht="13.9" customHeight="1" outlineLevel="1" x14ac:dyDescent="0.25">
      <c r="B217" s="149"/>
      <c r="C217" s="150" t="s">
        <v>43</v>
      </c>
      <c r="D217" s="85">
        <v>4</v>
      </c>
      <c r="E217" s="86">
        <v>44478640</v>
      </c>
      <c r="F217" s="142">
        <f t="shared" si="22"/>
        <v>22638744.100000001</v>
      </c>
      <c r="G217" s="113">
        <v>10836053.08</v>
      </c>
      <c r="H217" s="86">
        <v>33642586.920000002</v>
      </c>
      <c r="I217" s="113">
        <v>11802691.02</v>
      </c>
      <c r="J217" s="114">
        <f t="shared" si="23"/>
        <v>21839895.900000002</v>
      </c>
      <c r="K217" s="113">
        <f t="shared" si="24"/>
        <v>9259090.1000000015</v>
      </c>
      <c r="L217" s="113">
        <v>12580805.800000001</v>
      </c>
      <c r="M217" s="113">
        <v>0</v>
      </c>
      <c r="N217" s="113">
        <v>0</v>
      </c>
      <c r="O217" s="113">
        <v>0</v>
      </c>
      <c r="P217" s="113">
        <v>0</v>
      </c>
    </row>
    <row r="218" spans="2:16" ht="13.9" customHeight="1" outlineLevel="1" x14ac:dyDescent="0.25">
      <c r="B218" s="149"/>
      <c r="C218" s="150" t="s">
        <v>44</v>
      </c>
      <c r="D218" s="85">
        <v>18</v>
      </c>
      <c r="E218" s="86">
        <v>40881448.649999999</v>
      </c>
      <c r="F218" s="142">
        <f t="shared" si="22"/>
        <v>12264434.630000001</v>
      </c>
      <c r="G218" s="113">
        <v>12212133.92</v>
      </c>
      <c r="H218" s="86">
        <v>28669314.730000004</v>
      </c>
      <c r="I218" s="113">
        <v>52300.710000000014</v>
      </c>
      <c r="J218" s="114">
        <f t="shared" si="23"/>
        <v>28617014.020000003</v>
      </c>
      <c r="K218" s="113">
        <f t="shared" si="24"/>
        <v>7297293.9500000067</v>
      </c>
      <c r="L218" s="113">
        <v>4967140.6099999985</v>
      </c>
      <c r="M218" s="113">
        <v>16352579.459999999</v>
      </c>
      <c r="N218" s="113">
        <v>0</v>
      </c>
      <c r="O218" s="113">
        <v>0</v>
      </c>
      <c r="P218" s="113">
        <v>0</v>
      </c>
    </row>
    <row r="219" spans="2:16" ht="13.9" customHeight="1" outlineLevel="1" x14ac:dyDescent="0.25">
      <c r="B219" s="149"/>
      <c r="C219" s="150" t="s">
        <v>45</v>
      </c>
      <c r="D219" s="85">
        <v>13</v>
      </c>
      <c r="E219" s="86">
        <v>34906058.950000003</v>
      </c>
      <c r="F219" s="142">
        <f t="shared" si="22"/>
        <v>7946377.7999999998</v>
      </c>
      <c r="G219" s="113">
        <v>7727012.6200000001</v>
      </c>
      <c r="H219" s="86">
        <v>27179046.329999998</v>
      </c>
      <c r="I219" s="113">
        <v>219365.18</v>
      </c>
      <c r="J219" s="114">
        <f t="shared" si="23"/>
        <v>26959681.149999999</v>
      </c>
      <c r="K219" s="113">
        <f t="shared" si="24"/>
        <v>2660326.5899999961</v>
      </c>
      <c r="L219" s="113">
        <v>3490605.9000000008</v>
      </c>
      <c r="M219" s="113">
        <v>6575113.1500000004</v>
      </c>
      <c r="N219" s="113">
        <v>13148787.810000002</v>
      </c>
      <c r="O219" s="113">
        <v>1084847.7</v>
      </c>
      <c r="P219" s="113">
        <v>0</v>
      </c>
    </row>
    <row r="220" spans="2:16" ht="13.9" customHeight="1" outlineLevel="1" x14ac:dyDescent="0.25">
      <c r="B220" s="149"/>
      <c r="C220" s="150" t="s">
        <v>46</v>
      </c>
      <c r="D220" s="85">
        <v>0</v>
      </c>
      <c r="E220" s="86">
        <v>0</v>
      </c>
      <c r="F220" s="142">
        <f t="shared" si="22"/>
        <v>0</v>
      </c>
      <c r="G220" s="113">
        <v>0</v>
      </c>
      <c r="H220" s="86">
        <v>0</v>
      </c>
      <c r="I220" s="113">
        <v>0</v>
      </c>
      <c r="J220" s="114">
        <f t="shared" si="23"/>
        <v>0</v>
      </c>
      <c r="K220" s="113">
        <f t="shared" si="24"/>
        <v>0</v>
      </c>
      <c r="L220" s="113">
        <v>0</v>
      </c>
      <c r="M220" s="113">
        <v>0</v>
      </c>
      <c r="N220" s="113">
        <v>0</v>
      </c>
      <c r="O220" s="113">
        <v>0</v>
      </c>
      <c r="P220" s="113">
        <v>0</v>
      </c>
    </row>
    <row r="221" spans="2:16" ht="13.9" customHeight="1" outlineLevel="1" x14ac:dyDescent="0.25">
      <c r="B221" s="149"/>
      <c r="C221" s="150" t="s">
        <v>47</v>
      </c>
      <c r="D221" s="85">
        <v>2</v>
      </c>
      <c r="E221" s="86">
        <v>4205700.95</v>
      </c>
      <c r="F221" s="142">
        <f t="shared" si="22"/>
        <v>1604585.99</v>
      </c>
      <c r="G221" s="113">
        <v>1099976.95</v>
      </c>
      <c r="H221" s="86">
        <v>3105724</v>
      </c>
      <c r="I221" s="113">
        <v>504609.04</v>
      </c>
      <c r="J221" s="114">
        <f t="shared" si="23"/>
        <v>2601114.96</v>
      </c>
      <c r="K221" s="113">
        <f t="shared" si="24"/>
        <v>2601114.96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</row>
    <row r="222" spans="2:16" ht="13.9" customHeight="1" outlineLevel="1" x14ac:dyDescent="0.25">
      <c r="B222" s="149"/>
      <c r="C222" s="150" t="s">
        <v>48</v>
      </c>
      <c r="D222" s="85">
        <v>0</v>
      </c>
      <c r="E222" s="86">
        <v>0</v>
      </c>
      <c r="F222" s="142">
        <f t="shared" si="22"/>
        <v>0</v>
      </c>
      <c r="G222" s="113">
        <v>0</v>
      </c>
      <c r="H222" s="86">
        <v>0</v>
      </c>
      <c r="I222" s="113">
        <v>0</v>
      </c>
      <c r="J222" s="114">
        <f t="shared" si="23"/>
        <v>0</v>
      </c>
      <c r="K222" s="113">
        <f t="shared" si="24"/>
        <v>0</v>
      </c>
      <c r="L222" s="113">
        <v>0</v>
      </c>
      <c r="M222" s="113">
        <v>0</v>
      </c>
      <c r="N222" s="113">
        <v>0</v>
      </c>
      <c r="O222" s="113">
        <v>0</v>
      </c>
      <c r="P222" s="113">
        <v>0</v>
      </c>
    </row>
    <row r="223" spans="2:16" ht="13.9" customHeight="1" outlineLevel="1" x14ac:dyDescent="0.25">
      <c r="B223" s="149"/>
      <c r="C223" s="150" t="s">
        <v>49</v>
      </c>
      <c r="D223" s="85">
        <v>0</v>
      </c>
      <c r="E223" s="86">
        <v>0</v>
      </c>
      <c r="F223" s="142">
        <f t="shared" si="22"/>
        <v>0</v>
      </c>
      <c r="G223" s="113">
        <v>0</v>
      </c>
      <c r="H223" s="86">
        <v>0</v>
      </c>
      <c r="I223" s="113">
        <v>0</v>
      </c>
      <c r="J223" s="114">
        <f t="shared" si="23"/>
        <v>0</v>
      </c>
      <c r="K223" s="113">
        <f t="shared" si="24"/>
        <v>0</v>
      </c>
      <c r="L223" s="113">
        <v>0</v>
      </c>
      <c r="M223" s="113">
        <v>0</v>
      </c>
      <c r="N223" s="113">
        <v>0</v>
      </c>
      <c r="O223" s="113">
        <v>0</v>
      </c>
      <c r="P223" s="113">
        <v>0</v>
      </c>
    </row>
    <row r="224" spans="2:16" ht="13.9" customHeight="1" outlineLevel="1" x14ac:dyDescent="0.25">
      <c r="B224" s="149"/>
      <c r="C224" s="150" t="s">
        <v>50</v>
      </c>
      <c r="D224" s="85">
        <v>8</v>
      </c>
      <c r="E224" s="86">
        <v>47430909.5</v>
      </c>
      <c r="F224" s="142">
        <f t="shared" si="22"/>
        <v>9809555.4900000002</v>
      </c>
      <c r="G224" s="113">
        <v>9809555.4900000002</v>
      </c>
      <c r="H224" s="86">
        <v>37621354.010000005</v>
      </c>
      <c r="I224" s="113">
        <v>0</v>
      </c>
      <c r="J224" s="114">
        <f t="shared" si="23"/>
        <v>37621354.010000005</v>
      </c>
      <c r="K224" s="113">
        <f t="shared" si="24"/>
        <v>3653122.7100000083</v>
      </c>
      <c r="L224" s="113">
        <v>4521487.3600000003</v>
      </c>
      <c r="M224" s="113">
        <v>4743090.96</v>
      </c>
      <c r="N224" s="113">
        <v>4743090.96</v>
      </c>
      <c r="O224" s="113">
        <v>5731289.1600000001</v>
      </c>
      <c r="P224" s="113">
        <v>14229272.859999999</v>
      </c>
    </row>
    <row r="225" spans="2:16" ht="13.9" customHeight="1" outlineLevel="1" x14ac:dyDescent="0.25">
      <c r="B225" s="149"/>
      <c r="C225" s="150" t="s">
        <v>51</v>
      </c>
      <c r="D225" s="85">
        <v>9</v>
      </c>
      <c r="E225" s="86">
        <v>12290852.999999998</v>
      </c>
      <c r="F225" s="142">
        <f t="shared" si="22"/>
        <v>3700955.75</v>
      </c>
      <c r="G225" s="113">
        <v>3281867.2800000003</v>
      </c>
      <c r="H225" s="86">
        <v>9008985.7200000007</v>
      </c>
      <c r="I225" s="113">
        <v>419088.47</v>
      </c>
      <c r="J225" s="114">
        <f t="shared" si="23"/>
        <v>8589897.25</v>
      </c>
      <c r="K225" s="113">
        <f t="shared" si="24"/>
        <v>1954123.4300000006</v>
      </c>
      <c r="L225" s="113">
        <v>6635773.8199999994</v>
      </c>
      <c r="M225" s="113">
        <v>0</v>
      </c>
      <c r="N225" s="113">
        <v>0</v>
      </c>
      <c r="O225" s="113">
        <v>0</v>
      </c>
      <c r="P225" s="113">
        <v>0</v>
      </c>
    </row>
    <row r="226" spans="2:16" ht="13.9" customHeight="1" outlineLevel="1" x14ac:dyDescent="0.25">
      <c r="B226" s="149"/>
      <c r="C226" s="150" t="s">
        <v>52</v>
      </c>
      <c r="D226" s="85">
        <v>5</v>
      </c>
      <c r="E226" s="86">
        <v>12348409.85</v>
      </c>
      <c r="F226" s="142">
        <f t="shared" si="22"/>
        <v>2469733.2300000004</v>
      </c>
      <c r="G226" s="113">
        <v>2469733.2300000004</v>
      </c>
      <c r="H226" s="86">
        <v>9878676.620000001</v>
      </c>
      <c r="I226" s="113">
        <v>0</v>
      </c>
      <c r="J226" s="114">
        <f t="shared" si="23"/>
        <v>9878676.620000001</v>
      </c>
      <c r="K226" s="113">
        <f t="shared" si="24"/>
        <v>1234789.6800000016</v>
      </c>
      <c r="L226" s="113">
        <v>1234841</v>
      </c>
      <c r="M226" s="113">
        <v>2469682</v>
      </c>
      <c r="N226" s="113">
        <v>4939363.9399999995</v>
      </c>
      <c r="O226" s="113">
        <v>0</v>
      </c>
      <c r="P226" s="113">
        <v>0</v>
      </c>
    </row>
    <row r="227" spans="2:16" ht="13.9" customHeight="1" outlineLevel="1" x14ac:dyDescent="0.25">
      <c r="B227" s="149"/>
      <c r="C227" s="150" t="s">
        <v>53</v>
      </c>
      <c r="D227" s="85">
        <v>10</v>
      </c>
      <c r="E227" s="86">
        <v>38001438</v>
      </c>
      <c r="F227" s="142">
        <f t="shared" si="22"/>
        <v>10702704.939999999</v>
      </c>
      <c r="G227" s="113">
        <v>10229326.76</v>
      </c>
      <c r="H227" s="86">
        <v>27772111.239999998</v>
      </c>
      <c r="I227" s="113">
        <v>473378.18000000005</v>
      </c>
      <c r="J227" s="114">
        <f t="shared" si="23"/>
        <v>27298733.059999999</v>
      </c>
      <c r="K227" s="113">
        <f t="shared" si="24"/>
        <v>4190697.4899999984</v>
      </c>
      <c r="L227" s="113">
        <v>7907460.3699999992</v>
      </c>
      <c r="M227" s="113">
        <v>15200575.199999999</v>
      </c>
      <c r="N227" s="113">
        <v>0</v>
      </c>
      <c r="O227" s="113">
        <v>0</v>
      </c>
      <c r="P227" s="113">
        <v>0</v>
      </c>
    </row>
    <row r="228" spans="2:16" ht="13.9" customHeight="1" outlineLevel="1" x14ac:dyDescent="0.25">
      <c r="B228" s="149"/>
      <c r="C228" s="150" t="s">
        <v>54</v>
      </c>
      <c r="D228" s="85">
        <v>6</v>
      </c>
      <c r="E228" s="86">
        <v>15463143.1</v>
      </c>
      <c r="F228" s="142">
        <f t="shared" si="22"/>
        <v>3113501</v>
      </c>
      <c r="G228" s="113">
        <v>3113501</v>
      </c>
      <c r="H228" s="86">
        <v>12349642.1</v>
      </c>
      <c r="I228" s="113">
        <v>0</v>
      </c>
      <c r="J228" s="114">
        <f t="shared" si="23"/>
        <v>12349642.1</v>
      </c>
      <c r="K228" s="113">
        <f t="shared" si="24"/>
        <v>1525441.8699999992</v>
      </c>
      <c r="L228" s="113">
        <v>1546314.3299999998</v>
      </c>
      <c r="M228" s="113">
        <v>2761053.61</v>
      </c>
      <c r="N228" s="113">
        <v>6516832.29</v>
      </c>
      <c r="O228" s="113">
        <v>0</v>
      </c>
      <c r="P228" s="113">
        <v>0</v>
      </c>
    </row>
    <row r="229" spans="2:16" ht="13.9" customHeight="1" outlineLevel="1" x14ac:dyDescent="0.25">
      <c r="B229" s="149"/>
      <c r="C229" s="150" t="s">
        <v>55</v>
      </c>
      <c r="D229" s="85">
        <v>0</v>
      </c>
      <c r="E229" s="86">
        <v>0</v>
      </c>
      <c r="F229" s="142">
        <f t="shared" si="22"/>
        <v>0</v>
      </c>
      <c r="G229" s="113">
        <v>0</v>
      </c>
      <c r="H229" s="86">
        <v>0</v>
      </c>
      <c r="I229" s="113">
        <v>0</v>
      </c>
      <c r="J229" s="114">
        <f t="shared" si="23"/>
        <v>0</v>
      </c>
      <c r="K229" s="113">
        <f t="shared" si="24"/>
        <v>0</v>
      </c>
      <c r="L229" s="113">
        <v>0</v>
      </c>
      <c r="M229" s="113">
        <v>0</v>
      </c>
      <c r="N229" s="113">
        <v>0</v>
      </c>
      <c r="O229" s="113">
        <v>0</v>
      </c>
      <c r="P229" s="113">
        <v>0</v>
      </c>
    </row>
    <row r="230" spans="2:16" ht="13.9" customHeight="1" outlineLevel="1" x14ac:dyDescent="0.25">
      <c r="B230" s="149"/>
      <c r="C230" s="150" t="s">
        <v>56</v>
      </c>
      <c r="D230" s="85">
        <v>1</v>
      </c>
      <c r="E230" s="86">
        <v>2119087.7999999998</v>
      </c>
      <c r="F230" s="142">
        <f t="shared" si="22"/>
        <v>428888.62</v>
      </c>
      <c r="G230" s="113">
        <v>428888.62</v>
      </c>
      <c r="H230" s="86">
        <v>1690199.1799999997</v>
      </c>
      <c r="I230" s="113">
        <v>0</v>
      </c>
      <c r="J230" s="114">
        <f t="shared" si="23"/>
        <v>1690199.1799999997</v>
      </c>
      <c r="K230" s="113">
        <f t="shared" si="24"/>
        <v>206837.71999999974</v>
      </c>
      <c r="L230" s="113">
        <v>211908.78</v>
      </c>
      <c r="M230" s="113">
        <v>211908.78</v>
      </c>
      <c r="N230" s="113">
        <v>211908.78</v>
      </c>
      <c r="O230" s="113">
        <v>847635.12</v>
      </c>
      <c r="P230" s="113">
        <v>0</v>
      </c>
    </row>
    <row r="231" spans="2:16" ht="13.9" customHeight="1" outlineLevel="1" x14ac:dyDescent="0.25">
      <c r="B231" s="149"/>
      <c r="C231" s="150" t="s">
        <v>57</v>
      </c>
      <c r="D231" s="85">
        <v>0</v>
      </c>
      <c r="E231" s="86">
        <v>0</v>
      </c>
      <c r="F231" s="142">
        <f t="shared" si="22"/>
        <v>0</v>
      </c>
      <c r="G231" s="113">
        <v>0</v>
      </c>
      <c r="H231" s="86">
        <v>0</v>
      </c>
      <c r="I231" s="113">
        <v>0</v>
      </c>
      <c r="J231" s="114">
        <f t="shared" si="23"/>
        <v>0</v>
      </c>
      <c r="K231" s="113">
        <f t="shared" si="24"/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</row>
    <row r="232" spans="2:16" ht="13.9" customHeight="1" outlineLevel="1" x14ac:dyDescent="0.25">
      <c r="B232" s="149"/>
      <c r="C232" s="150" t="s">
        <v>58</v>
      </c>
      <c r="D232" s="85">
        <v>3</v>
      </c>
      <c r="E232" s="86">
        <v>4615882.3499999996</v>
      </c>
      <c r="F232" s="142">
        <f t="shared" si="22"/>
        <v>923177.25</v>
      </c>
      <c r="G232" s="113">
        <v>923177.25</v>
      </c>
      <c r="H232" s="86">
        <v>3692705.0999999996</v>
      </c>
      <c r="I232" s="113">
        <v>0</v>
      </c>
      <c r="J232" s="114">
        <f t="shared" si="23"/>
        <v>3692705.0999999996</v>
      </c>
      <c r="K232" s="113">
        <f t="shared" si="24"/>
        <v>461587.40999999968</v>
      </c>
      <c r="L232" s="113">
        <v>461588.25</v>
      </c>
      <c r="M232" s="113">
        <v>461588.25</v>
      </c>
      <c r="N232" s="113">
        <v>2307941.19</v>
      </c>
      <c r="O232" s="113">
        <v>0</v>
      </c>
      <c r="P232" s="113">
        <v>0</v>
      </c>
    </row>
    <row r="233" spans="2:16" ht="13.9" customHeight="1" outlineLevel="1" x14ac:dyDescent="0.25">
      <c r="B233" s="149"/>
      <c r="C233" s="150" t="s">
        <v>59</v>
      </c>
      <c r="D233" s="85">
        <v>5</v>
      </c>
      <c r="E233" s="86">
        <v>13106009.700000001</v>
      </c>
      <c r="F233" s="142">
        <f t="shared" si="22"/>
        <v>3931802.9399999995</v>
      </c>
      <c r="G233" s="113">
        <v>3931802.9399999995</v>
      </c>
      <c r="H233" s="86">
        <v>9174206.7600000016</v>
      </c>
      <c r="I233" s="113">
        <v>0</v>
      </c>
      <c r="J233" s="114">
        <f t="shared" si="23"/>
        <v>9174206.7600000016</v>
      </c>
      <c r="K233" s="113">
        <f t="shared" si="24"/>
        <v>0</v>
      </c>
      <c r="L233" s="113">
        <v>1310600.98</v>
      </c>
      <c r="M233" s="113">
        <v>1310600.99</v>
      </c>
      <c r="N233" s="113">
        <v>6553004.8699999992</v>
      </c>
      <c r="O233" s="113">
        <v>0</v>
      </c>
      <c r="P233" s="113">
        <v>0</v>
      </c>
    </row>
    <row r="234" spans="2:16" ht="13.9" customHeight="1" outlineLevel="1" x14ac:dyDescent="0.25">
      <c r="B234" s="149"/>
      <c r="C234" s="150" t="s">
        <v>60</v>
      </c>
      <c r="D234" s="85">
        <v>0</v>
      </c>
      <c r="E234" s="86">
        <v>0</v>
      </c>
      <c r="F234" s="142">
        <f t="shared" si="22"/>
        <v>0</v>
      </c>
      <c r="G234" s="113">
        <v>0</v>
      </c>
      <c r="H234" s="86">
        <v>0</v>
      </c>
      <c r="I234" s="113">
        <v>0</v>
      </c>
      <c r="J234" s="114">
        <f t="shared" si="23"/>
        <v>0</v>
      </c>
      <c r="K234" s="113">
        <f t="shared" si="24"/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</row>
    <row r="235" spans="2:16" ht="13.9" customHeight="1" outlineLevel="1" x14ac:dyDescent="0.25">
      <c r="B235" s="149"/>
      <c r="C235" s="150" t="s">
        <v>61</v>
      </c>
      <c r="D235" s="85">
        <v>6</v>
      </c>
      <c r="E235" s="86">
        <v>26047891.5</v>
      </c>
      <c r="F235" s="142">
        <f t="shared" si="22"/>
        <v>5225913.8</v>
      </c>
      <c r="G235" s="113">
        <v>5225913.8</v>
      </c>
      <c r="H235" s="86">
        <v>20821977.699999999</v>
      </c>
      <c r="I235" s="113">
        <v>0</v>
      </c>
      <c r="J235" s="114">
        <f t="shared" si="23"/>
        <v>20821977.699999999</v>
      </c>
      <c r="K235" s="113">
        <f t="shared" si="24"/>
        <v>2588453.6500000022</v>
      </c>
      <c r="L235" s="113">
        <v>2604789.15</v>
      </c>
      <c r="M235" s="113">
        <v>3170674.9499999997</v>
      </c>
      <c r="N235" s="113">
        <v>12458059.949999999</v>
      </c>
      <c r="O235" s="113">
        <v>0</v>
      </c>
      <c r="P235" s="113">
        <v>0</v>
      </c>
    </row>
    <row r="236" spans="2:16" ht="13.9" customHeight="1" outlineLevel="1" x14ac:dyDescent="0.25">
      <c r="B236" s="149"/>
      <c r="C236" s="150" t="s">
        <v>62</v>
      </c>
      <c r="D236" s="85">
        <v>0</v>
      </c>
      <c r="E236" s="86">
        <v>0</v>
      </c>
      <c r="F236" s="142">
        <f t="shared" si="22"/>
        <v>0</v>
      </c>
      <c r="G236" s="113">
        <v>0</v>
      </c>
      <c r="H236" s="86">
        <v>0</v>
      </c>
      <c r="I236" s="113">
        <v>0</v>
      </c>
      <c r="J236" s="114">
        <f t="shared" si="23"/>
        <v>0</v>
      </c>
      <c r="K236" s="113">
        <f t="shared" si="24"/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</row>
    <row r="237" spans="2:16" ht="13.9" customHeight="1" outlineLevel="1" x14ac:dyDescent="0.25">
      <c r="B237" s="149"/>
      <c r="C237" s="150" t="s">
        <v>63</v>
      </c>
      <c r="D237" s="85">
        <v>0</v>
      </c>
      <c r="E237" s="86">
        <v>0</v>
      </c>
      <c r="F237" s="142">
        <f t="shared" si="22"/>
        <v>0</v>
      </c>
      <c r="G237" s="113">
        <v>0</v>
      </c>
      <c r="H237" s="86">
        <v>0</v>
      </c>
      <c r="I237" s="113">
        <v>0</v>
      </c>
      <c r="J237" s="114">
        <f t="shared" si="23"/>
        <v>0</v>
      </c>
      <c r="K237" s="113">
        <f t="shared" si="24"/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</row>
    <row r="238" spans="2:16" ht="13.9" customHeight="1" outlineLevel="1" x14ac:dyDescent="0.25">
      <c r="B238" s="149"/>
      <c r="C238" s="150" t="s">
        <v>64</v>
      </c>
      <c r="D238" s="85">
        <v>0</v>
      </c>
      <c r="E238" s="86">
        <v>0</v>
      </c>
      <c r="F238" s="142">
        <f t="shared" si="22"/>
        <v>0</v>
      </c>
      <c r="G238" s="113">
        <v>0</v>
      </c>
      <c r="H238" s="86">
        <v>0</v>
      </c>
      <c r="I238" s="113">
        <v>0</v>
      </c>
      <c r="J238" s="114">
        <f t="shared" si="23"/>
        <v>0</v>
      </c>
      <c r="K238" s="113">
        <f t="shared" si="24"/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</row>
    <row r="239" spans="2:16" ht="13.9" customHeight="1" outlineLevel="1" x14ac:dyDescent="0.25">
      <c r="B239" s="149"/>
      <c r="C239" s="150" t="s">
        <v>65</v>
      </c>
      <c r="D239" s="85">
        <v>0</v>
      </c>
      <c r="E239" s="86">
        <v>0</v>
      </c>
      <c r="F239" s="142">
        <f t="shared" si="22"/>
        <v>0</v>
      </c>
      <c r="G239" s="113">
        <v>0</v>
      </c>
      <c r="H239" s="86">
        <v>0</v>
      </c>
      <c r="I239" s="113">
        <v>0</v>
      </c>
      <c r="J239" s="114">
        <f t="shared" si="23"/>
        <v>0</v>
      </c>
      <c r="K239" s="113">
        <f t="shared" si="24"/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</row>
    <row r="240" spans="2:16" ht="13.9" customHeight="1" outlineLevel="1" x14ac:dyDescent="0.25">
      <c r="B240" s="149"/>
      <c r="C240" s="150" t="s">
        <v>66</v>
      </c>
      <c r="D240" s="85">
        <v>0</v>
      </c>
      <c r="E240" s="86">
        <v>0</v>
      </c>
      <c r="F240" s="142">
        <f t="shared" si="22"/>
        <v>0</v>
      </c>
      <c r="G240" s="113">
        <v>0</v>
      </c>
      <c r="H240" s="86">
        <v>0</v>
      </c>
      <c r="I240" s="113">
        <v>0</v>
      </c>
      <c r="J240" s="114">
        <f t="shared" si="23"/>
        <v>0</v>
      </c>
      <c r="K240" s="113">
        <f t="shared" si="24"/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</row>
    <row r="241" spans="2:16" ht="13.9" customHeight="1" outlineLevel="1" x14ac:dyDescent="0.25">
      <c r="B241" s="149"/>
      <c r="C241" s="150" t="s">
        <v>67</v>
      </c>
      <c r="D241" s="85">
        <v>0</v>
      </c>
      <c r="E241" s="86">
        <v>0</v>
      </c>
      <c r="F241" s="142">
        <f t="shared" si="22"/>
        <v>0</v>
      </c>
      <c r="G241" s="113">
        <v>0</v>
      </c>
      <c r="H241" s="86">
        <v>0</v>
      </c>
      <c r="I241" s="113">
        <v>0</v>
      </c>
      <c r="J241" s="114">
        <f t="shared" si="23"/>
        <v>0</v>
      </c>
      <c r="K241" s="113">
        <f t="shared" si="24"/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</row>
    <row r="242" spans="2:16" ht="13.9" customHeight="1" x14ac:dyDescent="0.25">
      <c r="B242" s="149"/>
      <c r="C242" s="148" t="s">
        <v>103</v>
      </c>
      <c r="D242" s="90">
        <f>SUM(D205:D241)</f>
        <v>106</v>
      </c>
      <c r="E242" s="91">
        <f t="shared" ref="E242:P242" si="25">SUM(E205:E241)</f>
        <v>360092237.10000002</v>
      </c>
      <c r="F242" s="92">
        <f t="shared" si="25"/>
        <v>108065619.75999999</v>
      </c>
      <c r="G242" s="93">
        <f t="shared" si="25"/>
        <v>85852324.49000001</v>
      </c>
      <c r="H242" s="90">
        <f t="shared" si="25"/>
        <v>274239912.61000001</v>
      </c>
      <c r="I242" s="91">
        <f t="shared" si="25"/>
        <v>22213295.269999996</v>
      </c>
      <c r="J242" s="92">
        <f t="shared" si="25"/>
        <v>252026617.34</v>
      </c>
      <c r="K242" s="93">
        <f t="shared" si="25"/>
        <v>44340242.159999996</v>
      </c>
      <c r="L242" s="90">
        <f t="shared" si="25"/>
        <v>64199273.279999986</v>
      </c>
      <c r="M242" s="91">
        <f t="shared" si="25"/>
        <v>70715067.349999994</v>
      </c>
      <c r="N242" s="90">
        <f t="shared" si="25"/>
        <v>50878989.790000007</v>
      </c>
      <c r="O242" s="91">
        <f t="shared" si="25"/>
        <v>7663771.9800000004</v>
      </c>
      <c r="P242" s="91">
        <f t="shared" si="25"/>
        <v>14229272.859999999</v>
      </c>
    </row>
    <row r="243" spans="2:16" ht="13.9" customHeight="1" outlineLevel="1" x14ac:dyDescent="0.25">
      <c r="B243" s="149" t="s">
        <v>83</v>
      </c>
      <c r="C243" s="150" t="s">
        <v>70</v>
      </c>
      <c r="D243" s="85">
        <v>19</v>
      </c>
      <c r="E243" s="86">
        <v>54628895.45000001</v>
      </c>
      <c r="F243" s="142">
        <f t="shared" si="22"/>
        <v>14171611.380000001</v>
      </c>
      <c r="G243" s="113">
        <v>13993265.880000001</v>
      </c>
      <c r="H243" s="86">
        <v>40635629.57</v>
      </c>
      <c r="I243" s="113">
        <v>178345.49999999997</v>
      </c>
      <c r="J243" s="114">
        <f t="shared" si="23"/>
        <v>40457284.07</v>
      </c>
      <c r="K243" s="113">
        <f t="shared" si="24"/>
        <v>8110425.7899999991</v>
      </c>
      <c r="L243" s="113">
        <v>11832789.66</v>
      </c>
      <c r="M243" s="113">
        <v>20514068.620000001</v>
      </c>
      <c r="N243" s="113">
        <v>0</v>
      </c>
      <c r="O243" s="113">
        <v>0</v>
      </c>
      <c r="P243" s="113">
        <v>0</v>
      </c>
    </row>
    <row r="244" spans="2:16" ht="13.9" customHeight="1" outlineLevel="1" x14ac:dyDescent="0.25">
      <c r="B244" s="149"/>
      <c r="C244" s="150" t="s">
        <v>71</v>
      </c>
      <c r="D244" s="85">
        <v>4</v>
      </c>
      <c r="E244" s="86">
        <v>48581612</v>
      </c>
      <c r="F244" s="142">
        <f t="shared" si="22"/>
        <v>11388438.109999999</v>
      </c>
      <c r="G244" s="113">
        <v>11388437.609999999</v>
      </c>
      <c r="H244" s="86">
        <v>37193174.390000001</v>
      </c>
      <c r="I244" s="113">
        <v>0.5</v>
      </c>
      <c r="J244" s="114">
        <f t="shared" si="23"/>
        <v>37193173.890000001</v>
      </c>
      <c r="K244" s="113">
        <f t="shared" si="24"/>
        <v>4848057.6900000013</v>
      </c>
      <c r="L244" s="113">
        <v>16364371.199999999</v>
      </c>
      <c r="M244" s="113">
        <v>15980745</v>
      </c>
      <c r="N244" s="113">
        <v>0</v>
      </c>
      <c r="O244" s="113">
        <v>0</v>
      </c>
      <c r="P244" s="113">
        <v>0</v>
      </c>
    </row>
    <row r="245" spans="2:16" ht="13.9" customHeight="1" outlineLevel="1" x14ac:dyDescent="0.25">
      <c r="B245" s="149"/>
      <c r="C245" s="150" t="s">
        <v>72</v>
      </c>
      <c r="D245" s="85">
        <v>10</v>
      </c>
      <c r="E245" s="86">
        <v>16631030.949999999</v>
      </c>
      <c r="F245" s="142">
        <f t="shared" si="22"/>
        <v>4802140.629999999</v>
      </c>
      <c r="G245" s="113">
        <v>3786918.5899999994</v>
      </c>
      <c r="H245" s="86">
        <v>12844112.359999999</v>
      </c>
      <c r="I245" s="113">
        <v>1015222.04</v>
      </c>
      <c r="J245" s="114">
        <f t="shared" si="23"/>
        <v>11828890.32</v>
      </c>
      <c r="K245" s="113">
        <f t="shared" si="24"/>
        <v>1971992.9700000007</v>
      </c>
      <c r="L245" s="113">
        <v>2013539.35</v>
      </c>
      <c r="M245" s="113">
        <v>997689.79</v>
      </c>
      <c r="N245" s="113">
        <v>6845668.21</v>
      </c>
      <c r="O245" s="113">
        <v>0</v>
      </c>
      <c r="P245" s="113">
        <v>0</v>
      </c>
    </row>
    <row r="246" spans="2:16" ht="13.9" customHeight="1" x14ac:dyDescent="0.25">
      <c r="B246" s="149"/>
      <c r="C246" s="148" t="s">
        <v>104</v>
      </c>
      <c r="D246" s="90">
        <f>SUM(D243:D245)</f>
        <v>33</v>
      </c>
      <c r="E246" s="91">
        <f t="shared" ref="E246:P246" si="26">SUM(E243:E245)</f>
        <v>119841538.40000002</v>
      </c>
      <c r="F246" s="92">
        <f t="shared" si="26"/>
        <v>30362190.120000001</v>
      </c>
      <c r="G246" s="93">
        <f t="shared" si="26"/>
        <v>29168622.080000002</v>
      </c>
      <c r="H246" s="90">
        <f t="shared" si="26"/>
        <v>90672916.320000008</v>
      </c>
      <c r="I246" s="91">
        <f t="shared" si="26"/>
        <v>1193568.04</v>
      </c>
      <c r="J246" s="92">
        <f t="shared" si="26"/>
        <v>89479348.280000001</v>
      </c>
      <c r="K246" s="93">
        <f t="shared" si="26"/>
        <v>14930476.450000001</v>
      </c>
      <c r="L246" s="90">
        <f t="shared" si="26"/>
        <v>30210700.210000001</v>
      </c>
      <c r="M246" s="91">
        <f t="shared" si="26"/>
        <v>37492503.410000004</v>
      </c>
      <c r="N246" s="90">
        <f t="shared" si="26"/>
        <v>6845668.21</v>
      </c>
      <c r="O246" s="91">
        <f t="shared" si="26"/>
        <v>0</v>
      </c>
      <c r="P246" s="91">
        <f t="shared" si="26"/>
        <v>0</v>
      </c>
    </row>
    <row r="247" spans="2:16" ht="13.9" customHeight="1" outlineLevel="1" x14ac:dyDescent="0.25">
      <c r="B247" s="149" t="s">
        <v>105</v>
      </c>
      <c r="C247" s="150" t="s">
        <v>75</v>
      </c>
      <c r="D247" s="85">
        <v>0</v>
      </c>
      <c r="E247" s="86">
        <v>0</v>
      </c>
      <c r="F247" s="142">
        <f t="shared" si="22"/>
        <v>0</v>
      </c>
      <c r="G247" s="113">
        <v>0</v>
      </c>
      <c r="H247" s="86">
        <v>0</v>
      </c>
      <c r="I247" s="113">
        <v>0</v>
      </c>
      <c r="J247" s="114">
        <f t="shared" si="23"/>
        <v>0</v>
      </c>
      <c r="K247" s="113">
        <f t="shared" si="24"/>
        <v>0</v>
      </c>
      <c r="L247" s="113">
        <v>0</v>
      </c>
      <c r="M247" s="113">
        <v>0</v>
      </c>
      <c r="N247" s="113">
        <v>0</v>
      </c>
      <c r="O247" s="113">
        <v>0</v>
      </c>
      <c r="P247" s="113">
        <v>0</v>
      </c>
    </row>
    <row r="248" spans="2:16" ht="13.9" customHeight="1" outlineLevel="1" x14ac:dyDescent="0.25">
      <c r="B248" s="149"/>
      <c r="C248" s="150" t="s">
        <v>76</v>
      </c>
      <c r="D248" s="85">
        <v>0</v>
      </c>
      <c r="E248" s="86">
        <v>0</v>
      </c>
      <c r="F248" s="142">
        <f t="shared" si="22"/>
        <v>0</v>
      </c>
      <c r="G248" s="113">
        <v>0</v>
      </c>
      <c r="H248" s="86">
        <v>0</v>
      </c>
      <c r="I248" s="113">
        <v>0</v>
      </c>
      <c r="J248" s="114">
        <f t="shared" si="23"/>
        <v>0</v>
      </c>
      <c r="K248" s="113">
        <f t="shared" si="24"/>
        <v>0</v>
      </c>
      <c r="L248" s="113">
        <v>0</v>
      </c>
      <c r="M248" s="113">
        <v>0</v>
      </c>
      <c r="N248" s="113">
        <v>0</v>
      </c>
      <c r="O248" s="113">
        <v>0</v>
      </c>
      <c r="P248" s="113">
        <v>0</v>
      </c>
    </row>
    <row r="249" spans="2:16" ht="13.9" customHeight="1" x14ac:dyDescent="0.25">
      <c r="B249" s="149"/>
      <c r="C249" s="148" t="s">
        <v>106</v>
      </c>
      <c r="D249" s="90">
        <f>SUM(D247:D248)</f>
        <v>0</v>
      </c>
      <c r="E249" s="91">
        <f t="shared" ref="E249:P249" si="27">SUM(E247:E248)</f>
        <v>0</v>
      </c>
      <c r="F249" s="92">
        <f t="shared" si="27"/>
        <v>0</v>
      </c>
      <c r="G249" s="93">
        <f t="shared" si="27"/>
        <v>0</v>
      </c>
      <c r="H249" s="90">
        <f t="shared" si="27"/>
        <v>0</v>
      </c>
      <c r="I249" s="91">
        <f t="shared" si="27"/>
        <v>0</v>
      </c>
      <c r="J249" s="92">
        <f t="shared" si="27"/>
        <v>0</v>
      </c>
      <c r="K249" s="93">
        <f t="shared" si="27"/>
        <v>0</v>
      </c>
      <c r="L249" s="90">
        <f t="shared" si="27"/>
        <v>0</v>
      </c>
      <c r="M249" s="91">
        <f t="shared" si="27"/>
        <v>0</v>
      </c>
      <c r="N249" s="90">
        <f t="shared" si="27"/>
        <v>0</v>
      </c>
      <c r="O249" s="91">
        <f t="shared" si="27"/>
        <v>0</v>
      </c>
      <c r="P249" s="91">
        <f t="shared" si="27"/>
        <v>0</v>
      </c>
    </row>
    <row r="250" spans="2:16" ht="13.9" customHeight="1" x14ac:dyDescent="0.25">
      <c r="B250" s="155" t="s">
        <v>78</v>
      </c>
      <c r="C250" s="155"/>
      <c r="D250" s="90">
        <f>D242+D246+D249</f>
        <v>139</v>
      </c>
      <c r="E250" s="91">
        <f t="shared" ref="E250:P250" si="28">E242+E246+E249</f>
        <v>479933775.50000006</v>
      </c>
      <c r="F250" s="92">
        <f t="shared" si="28"/>
        <v>138427809.88</v>
      </c>
      <c r="G250" s="93">
        <f t="shared" si="28"/>
        <v>115020946.57000001</v>
      </c>
      <c r="H250" s="90">
        <f t="shared" si="28"/>
        <v>364912828.93000001</v>
      </c>
      <c r="I250" s="91">
        <f t="shared" si="28"/>
        <v>23406863.309999995</v>
      </c>
      <c r="J250" s="92">
        <f t="shared" si="28"/>
        <v>341505965.62</v>
      </c>
      <c r="K250" s="93">
        <f t="shared" si="28"/>
        <v>59270718.609999999</v>
      </c>
      <c r="L250" s="90">
        <f t="shared" si="28"/>
        <v>94409973.48999998</v>
      </c>
      <c r="M250" s="91">
        <f t="shared" si="28"/>
        <v>108207570.75999999</v>
      </c>
      <c r="N250" s="90">
        <f t="shared" si="28"/>
        <v>57724658.000000007</v>
      </c>
      <c r="O250" s="91">
        <f t="shared" si="28"/>
        <v>7663771.9800000004</v>
      </c>
      <c r="P250" s="91">
        <f t="shared" si="28"/>
        <v>14229272.859999999</v>
      </c>
    </row>
    <row r="251" spans="2:16" ht="13.9" customHeight="1" x14ac:dyDescent="0.25"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</row>
    <row r="252" spans="2:16" ht="13.9" customHeight="1" x14ac:dyDescent="0.25">
      <c r="B252" s="107" t="s">
        <v>90</v>
      </c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</row>
    <row r="253" spans="2:16" ht="13.9" customHeight="1" x14ac:dyDescent="0.25">
      <c r="B253" s="154" t="s">
        <v>26</v>
      </c>
      <c r="C253" s="148" t="s">
        <v>27</v>
      </c>
      <c r="D253" s="109" t="s">
        <v>28</v>
      </c>
      <c r="E253" s="110" t="s">
        <v>29</v>
      </c>
      <c r="F253" s="111" t="s">
        <v>85</v>
      </c>
      <c r="G253" s="112" t="s">
        <v>81</v>
      </c>
      <c r="H253" s="110" t="s">
        <v>82</v>
      </c>
      <c r="I253" s="112" t="s">
        <v>86</v>
      </c>
      <c r="J253" s="110" t="s">
        <v>87</v>
      </c>
      <c r="K253" s="112">
        <v>2026</v>
      </c>
      <c r="L253" s="112">
        <v>2027</v>
      </c>
      <c r="M253" s="110">
        <v>2028</v>
      </c>
      <c r="N253" s="112">
        <v>2029</v>
      </c>
      <c r="O253" s="110">
        <v>2030</v>
      </c>
      <c r="P253" s="112">
        <v>2031</v>
      </c>
    </row>
    <row r="254" spans="2:16" ht="13.9" customHeight="1" outlineLevel="1" x14ac:dyDescent="0.25">
      <c r="B254" s="149" t="s">
        <v>30</v>
      </c>
      <c r="C254" s="150" t="s">
        <v>31</v>
      </c>
      <c r="D254" s="85">
        <v>0</v>
      </c>
      <c r="E254" s="86">
        <v>0</v>
      </c>
      <c r="F254" s="142">
        <f t="shared" ref="F254:F297" si="29">G254+I254</f>
        <v>0</v>
      </c>
      <c r="G254" s="113">
        <v>0</v>
      </c>
      <c r="H254" s="86">
        <v>0</v>
      </c>
      <c r="I254" s="113">
        <v>0</v>
      </c>
      <c r="J254" s="114">
        <f t="shared" ref="J254:J297" si="30">H254-I254</f>
        <v>0</v>
      </c>
      <c r="K254" s="113">
        <f t="shared" ref="K254:K297" si="31">MAX(J254-SUM(L254:P254),0)</f>
        <v>0</v>
      </c>
      <c r="L254" s="113">
        <v>0</v>
      </c>
      <c r="M254" s="113">
        <v>0</v>
      </c>
      <c r="N254" s="113">
        <v>0</v>
      </c>
      <c r="O254" s="113">
        <v>0</v>
      </c>
      <c r="P254" s="113">
        <v>0</v>
      </c>
    </row>
    <row r="255" spans="2:16" ht="13.9" customHeight="1" outlineLevel="1" x14ac:dyDescent="0.25">
      <c r="B255" s="149"/>
      <c r="C255" s="150" t="s">
        <v>32</v>
      </c>
      <c r="D255" s="85">
        <v>0</v>
      </c>
      <c r="E255" s="86">
        <v>0</v>
      </c>
      <c r="F255" s="142">
        <f t="shared" si="29"/>
        <v>0</v>
      </c>
      <c r="G255" s="113">
        <v>0</v>
      </c>
      <c r="H255" s="86">
        <v>0</v>
      </c>
      <c r="I255" s="113">
        <v>0</v>
      </c>
      <c r="J255" s="114">
        <f t="shared" si="30"/>
        <v>0</v>
      </c>
      <c r="K255" s="113">
        <f t="shared" si="31"/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</row>
    <row r="256" spans="2:16" ht="13.9" customHeight="1" outlineLevel="1" x14ac:dyDescent="0.25">
      <c r="B256" s="149"/>
      <c r="C256" s="150" t="s">
        <v>33</v>
      </c>
      <c r="D256" s="85">
        <v>0</v>
      </c>
      <c r="E256" s="86">
        <v>0</v>
      </c>
      <c r="F256" s="142">
        <f t="shared" si="29"/>
        <v>0</v>
      </c>
      <c r="G256" s="113">
        <v>0</v>
      </c>
      <c r="H256" s="86">
        <v>0</v>
      </c>
      <c r="I256" s="113">
        <v>0</v>
      </c>
      <c r="J256" s="114">
        <f t="shared" si="30"/>
        <v>0</v>
      </c>
      <c r="K256" s="113">
        <f t="shared" si="31"/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</row>
    <row r="257" spans="2:16" ht="13.9" customHeight="1" outlineLevel="1" x14ac:dyDescent="0.25">
      <c r="B257" s="149"/>
      <c r="C257" s="150" t="s">
        <v>34</v>
      </c>
      <c r="D257" s="85">
        <v>0</v>
      </c>
      <c r="E257" s="86">
        <v>0</v>
      </c>
      <c r="F257" s="142">
        <f t="shared" si="29"/>
        <v>0</v>
      </c>
      <c r="G257" s="113">
        <v>0</v>
      </c>
      <c r="H257" s="86">
        <v>0</v>
      </c>
      <c r="I257" s="113">
        <v>0</v>
      </c>
      <c r="J257" s="114">
        <f t="shared" si="30"/>
        <v>0</v>
      </c>
      <c r="K257" s="113">
        <f t="shared" si="31"/>
        <v>0</v>
      </c>
      <c r="L257" s="113">
        <v>0</v>
      </c>
      <c r="M257" s="113">
        <v>0</v>
      </c>
      <c r="N257" s="113">
        <v>0</v>
      </c>
      <c r="O257" s="113">
        <v>0</v>
      </c>
      <c r="P257" s="113">
        <v>0</v>
      </c>
    </row>
    <row r="258" spans="2:16" ht="13.9" customHeight="1" outlineLevel="1" x14ac:dyDescent="0.25">
      <c r="B258" s="149"/>
      <c r="C258" s="150" t="s">
        <v>35</v>
      </c>
      <c r="D258" s="85">
        <v>0</v>
      </c>
      <c r="E258" s="86">
        <v>0</v>
      </c>
      <c r="F258" s="142">
        <f t="shared" si="29"/>
        <v>0</v>
      </c>
      <c r="G258" s="113">
        <v>0</v>
      </c>
      <c r="H258" s="86">
        <v>0</v>
      </c>
      <c r="I258" s="113">
        <v>0</v>
      </c>
      <c r="J258" s="114">
        <f t="shared" si="30"/>
        <v>0</v>
      </c>
      <c r="K258" s="113">
        <f t="shared" si="31"/>
        <v>0</v>
      </c>
      <c r="L258" s="113">
        <v>0</v>
      </c>
      <c r="M258" s="113">
        <v>0</v>
      </c>
      <c r="N258" s="113">
        <v>0</v>
      </c>
      <c r="O258" s="113">
        <v>0</v>
      </c>
      <c r="P258" s="113">
        <v>0</v>
      </c>
    </row>
    <row r="259" spans="2:16" ht="13.9" customHeight="1" outlineLevel="1" x14ac:dyDescent="0.25">
      <c r="B259" s="149"/>
      <c r="C259" s="150" t="s">
        <v>36</v>
      </c>
      <c r="D259" s="85">
        <v>7</v>
      </c>
      <c r="E259" s="86">
        <v>59414722.5</v>
      </c>
      <c r="F259" s="142">
        <f t="shared" si="29"/>
        <v>21311987.880000003</v>
      </c>
      <c r="G259" s="113">
        <v>21287308.530000001</v>
      </c>
      <c r="H259" s="86">
        <v>38127413.969999999</v>
      </c>
      <c r="I259" s="113">
        <v>24679.35</v>
      </c>
      <c r="J259" s="114">
        <f t="shared" si="30"/>
        <v>38102734.619999997</v>
      </c>
      <c r="K259" s="113">
        <f t="shared" si="31"/>
        <v>10258131.769999996</v>
      </c>
      <c r="L259" s="113">
        <v>27844602.850000001</v>
      </c>
      <c r="M259" s="113">
        <v>0</v>
      </c>
      <c r="N259" s="113">
        <v>0</v>
      </c>
      <c r="O259" s="113">
        <v>0</v>
      </c>
      <c r="P259" s="113">
        <v>0</v>
      </c>
    </row>
    <row r="260" spans="2:16" ht="13.9" customHeight="1" outlineLevel="1" x14ac:dyDescent="0.25">
      <c r="B260" s="149"/>
      <c r="C260" s="150" t="s">
        <v>37</v>
      </c>
      <c r="D260" s="85">
        <v>0</v>
      </c>
      <c r="E260" s="86">
        <v>0</v>
      </c>
      <c r="F260" s="142">
        <f t="shared" si="29"/>
        <v>0</v>
      </c>
      <c r="G260" s="113">
        <v>0</v>
      </c>
      <c r="H260" s="86">
        <v>0</v>
      </c>
      <c r="I260" s="113">
        <v>0</v>
      </c>
      <c r="J260" s="114">
        <f t="shared" si="30"/>
        <v>0</v>
      </c>
      <c r="K260" s="113">
        <f t="shared" si="31"/>
        <v>0</v>
      </c>
      <c r="L260" s="113">
        <v>0</v>
      </c>
      <c r="M260" s="113">
        <v>0</v>
      </c>
      <c r="N260" s="113">
        <v>0</v>
      </c>
      <c r="O260" s="113">
        <v>0</v>
      </c>
      <c r="P260" s="113">
        <v>0</v>
      </c>
    </row>
    <row r="261" spans="2:16" ht="13.9" customHeight="1" outlineLevel="1" x14ac:dyDescent="0.25">
      <c r="B261" s="149"/>
      <c r="C261" s="150" t="s">
        <v>38</v>
      </c>
      <c r="D261" s="85">
        <v>0</v>
      </c>
      <c r="E261" s="86">
        <v>0</v>
      </c>
      <c r="F261" s="142">
        <f t="shared" si="29"/>
        <v>0</v>
      </c>
      <c r="G261" s="113">
        <v>0</v>
      </c>
      <c r="H261" s="86">
        <v>0</v>
      </c>
      <c r="I261" s="113">
        <v>0</v>
      </c>
      <c r="J261" s="114">
        <f t="shared" si="30"/>
        <v>0</v>
      </c>
      <c r="K261" s="113">
        <f t="shared" si="31"/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</row>
    <row r="262" spans="2:16" ht="13.9" customHeight="1" outlineLevel="1" x14ac:dyDescent="0.25">
      <c r="B262" s="149"/>
      <c r="C262" s="150" t="s">
        <v>39</v>
      </c>
      <c r="D262" s="85">
        <v>0</v>
      </c>
      <c r="E262" s="86">
        <v>0</v>
      </c>
      <c r="F262" s="142">
        <f t="shared" si="29"/>
        <v>0</v>
      </c>
      <c r="G262" s="113">
        <v>0</v>
      </c>
      <c r="H262" s="86">
        <v>0</v>
      </c>
      <c r="I262" s="113">
        <v>0</v>
      </c>
      <c r="J262" s="114">
        <f t="shared" si="30"/>
        <v>0</v>
      </c>
      <c r="K262" s="113">
        <f t="shared" si="31"/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</row>
    <row r="263" spans="2:16" ht="13.9" customHeight="1" outlineLevel="1" x14ac:dyDescent="0.25">
      <c r="B263" s="149"/>
      <c r="C263" s="150" t="s">
        <v>40</v>
      </c>
      <c r="D263" s="85">
        <v>0</v>
      </c>
      <c r="E263" s="86">
        <v>0</v>
      </c>
      <c r="F263" s="142">
        <f t="shared" si="29"/>
        <v>0</v>
      </c>
      <c r="G263" s="113">
        <v>0</v>
      </c>
      <c r="H263" s="86">
        <v>0</v>
      </c>
      <c r="I263" s="113">
        <v>0</v>
      </c>
      <c r="J263" s="114">
        <f t="shared" si="30"/>
        <v>0</v>
      </c>
      <c r="K263" s="113">
        <f t="shared" si="31"/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</row>
    <row r="264" spans="2:16" ht="13.9" customHeight="1" outlineLevel="1" x14ac:dyDescent="0.25">
      <c r="B264" s="149"/>
      <c r="C264" s="150" t="s">
        <v>41</v>
      </c>
      <c r="D264" s="85">
        <v>0</v>
      </c>
      <c r="E264" s="86">
        <v>0</v>
      </c>
      <c r="F264" s="142">
        <f t="shared" si="29"/>
        <v>0</v>
      </c>
      <c r="G264" s="113">
        <v>0</v>
      </c>
      <c r="H264" s="86">
        <v>0</v>
      </c>
      <c r="I264" s="113">
        <v>0</v>
      </c>
      <c r="J264" s="114">
        <f t="shared" si="30"/>
        <v>0</v>
      </c>
      <c r="K264" s="113">
        <f t="shared" si="31"/>
        <v>0</v>
      </c>
      <c r="L264" s="113">
        <v>0</v>
      </c>
      <c r="M264" s="113">
        <v>0</v>
      </c>
      <c r="N264" s="113">
        <v>0</v>
      </c>
      <c r="O264" s="113">
        <v>0</v>
      </c>
      <c r="P264" s="113">
        <v>0</v>
      </c>
    </row>
    <row r="265" spans="2:16" ht="13.9" customHeight="1" outlineLevel="1" x14ac:dyDescent="0.25">
      <c r="B265" s="149"/>
      <c r="C265" s="150" t="s">
        <v>42</v>
      </c>
      <c r="D265" s="85">
        <v>7</v>
      </c>
      <c r="E265" s="86">
        <v>13626533.640000001</v>
      </c>
      <c r="F265" s="142">
        <f t="shared" si="29"/>
        <v>5129240.9399999995</v>
      </c>
      <c r="G265" s="113">
        <v>4283596.05</v>
      </c>
      <c r="H265" s="86">
        <v>9342937.5899999999</v>
      </c>
      <c r="I265" s="113">
        <v>845644.89</v>
      </c>
      <c r="J265" s="114">
        <f t="shared" si="30"/>
        <v>8497292.6999999993</v>
      </c>
      <c r="K265" s="113">
        <f t="shared" si="31"/>
        <v>1362600.4499999993</v>
      </c>
      <c r="L265" s="113">
        <v>7134692.25</v>
      </c>
      <c r="M265" s="113">
        <v>0</v>
      </c>
      <c r="N265" s="113">
        <v>0</v>
      </c>
      <c r="O265" s="113">
        <v>0</v>
      </c>
      <c r="P265" s="113">
        <v>0</v>
      </c>
    </row>
    <row r="266" spans="2:16" ht="13.9" customHeight="1" outlineLevel="1" x14ac:dyDescent="0.25">
      <c r="B266" s="149"/>
      <c r="C266" s="150" t="s">
        <v>43</v>
      </c>
      <c r="D266" s="85">
        <v>4</v>
      </c>
      <c r="E266" s="86">
        <v>29482694</v>
      </c>
      <c r="F266" s="142">
        <f t="shared" si="29"/>
        <v>12445026.199999999</v>
      </c>
      <c r="G266" s="113">
        <v>10047052.4</v>
      </c>
      <c r="H266" s="86">
        <v>19435641.600000001</v>
      </c>
      <c r="I266" s="113">
        <v>2397973.7999999998</v>
      </c>
      <c r="J266" s="114">
        <f t="shared" si="30"/>
        <v>17037667.800000001</v>
      </c>
      <c r="K266" s="113">
        <f t="shared" si="31"/>
        <v>7676159</v>
      </c>
      <c r="L266" s="113">
        <v>9361508.8000000007</v>
      </c>
      <c r="M266" s="113">
        <v>0</v>
      </c>
      <c r="N266" s="113">
        <v>0</v>
      </c>
      <c r="O266" s="113">
        <v>0</v>
      </c>
      <c r="P266" s="113">
        <v>0</v>
      </c>
    </row>
    <row r="267" spans="2:16" ht="13.9" customHeight="1" outlineLevel="1" x14ac:dyDescent="0.25">
      <c r="B267" s="149"/>
      <c r="C267" s="150" t="s">
        <v>44</v>
      </c>
      <c r="D267" s="85">
        <v>12</v>
      </c>
      <c r="E267" s="86">
        <v>31718075.900000002</v>
      </c>
      <c r="F267" s="142">
        <f t="shared" si="29"/>
        <v>9773614.8100000005</v>
      </c>
      <c r="G267" s="113">
        <v>9773614.8100000005</v>
      </c>
      <c r="H267" s="86">
        <v>21944461.09</v>
      </c>
      <c r="I267" s="113">
        <v>0</v>
      </c>
      <c r="J267" s="114">
        <f t="shared" si="30"/>
        <v>21944461.09</v>
      </c>
      <c r="K267" s="113">
        <f t="shared" si="31"/>
        <v>4733505.2399999946</v>
      </c>
      <c r="L267" s="113">
        <v>4523725.4900000012</v>
      </c>
      <c r="M267" s="113">
        <v>12687230.360000003</v>
      </c>
      <c r="N267" s="113">
        <v>0</v>
      </c>
      <c r="O267" s="113">
        <v>0</v>
      </c>
      <c r="P267" s="113">
        <v>0</v>
      </c>
    </row>
    <row r="268" spans="2:16" ht="13.9" customHeight="1" outlineLevel="1" x14ac:dyDescent="0.25">
      <c r="B268" s="149"/>
      <c r="C268" s="150" t="s">
        <v>45</v>
      </c>
      <c r="D268" s="85">
        <v>4</v>
      </c>
      <c r="E268" s="86">
        <v>8509581.4000000004</v>
      </c>
      <c r="F268" s="142">
        <f t="shared" si="29"/>
        <v>2554279.2800000003</v>
      </c>
      <c r="G268" s="113">
        <v>2554279.2800000003</v>
      </c>
      <c r="H268" s="86">
        <v>5955302.1200000001</v>
      </c>
      <c r="I268" s="113">
        <v>0</v>
      </c>
      <c r="J268" s="114">
        <f t="shared" si="30"/>
        <v>5955302.1200000001</v>
      </c>
      <c r="K268" s="113">
        <f t="shared" si="31"/>
        <v>318792.31000000052</v>
      </c>
      <c r="L268" s="113">
        <v>850690.54</v>
      </c>
      <c r="M268" s="113">
        <v>1381986.71</v>
      </c>
      <c r="N268" s="113">
        <v>3403832.5599999996</v>
      </c>
      <c r="O268" s="113">
        <v>0</v>
      </c>
      <c r="P268" s="113">
        <v>0</v>
      </c>
    </row>
    <row r="269" spans="2:16" ht="13.9" customHeight="1" outlineLevel="1" x14ac:dyDescent="0.25">
      <c r="B269" s="149"/>
      <c r="C269" s="150" t="s">
        <v>46</v>
      </c>
      <c r="D269" s="85">
        <v>0</v>
      </c>
      <c r="E269" s="86">
        <v>0</v>
      </c>
      <c r="F269" s="142">
        <f t="shared" si="29"/>
        <v>0</v>
      </c>
      <c r="G269" s="113">
        <v>0</v>
      </c>
      <c r="H269" s="86">
        <v>0</v>
      </c>
      <c r="I269" s="113">
        <v>0</v>
      </c>
      <c r="J269" s="114">
        <f t="shared" si="30"/>
        <v>0</v>
      </c>
      <c r="K269" s="113">
        <f t="shared" si="31"/>
        <v>0</v>
      </c>
      <c r="L269" s="113">
        <v>0</v>
      </c>
      <c r="M269" s="113">
        <v>0</v>
      </c>
      <c r="N269" s="113">
        <v>0</v>
      </c>
      <c r="O269" s="113">
        <v>0</v>
      </c>
      <c r="P269" s="113">
        <v>0</v>
      </c>
    </row>
    <row r="270" spans="2:16" ht="13.9" customHeight="1" outlineLevel="1" x14ac:dyDescent="0.25">
      <c r="B270" s="149"/>
      <c r="C270" s="150" t="s">
        <v>47</v>
      </c>
      <c r="D270" s="85">
        <v>8</v>
      </c>
      <c r="E270" s="86">
        <v>30613991.119999997</v>
      </c>
      <c r="F270" s="142">
        <f t="shared" si="29"/>
        <v>13457392.600000001</v>
      </c>
      <c r="G270" s="113">
        <v>11634914.530000001</v>
      </c>
      <c r="H270" s="86">
        <v>18979076.590000004</v>
      </c>
      <c r="I270" s="113">
        <v>1822478.07</v>
      </c>
      <c r="J270" s="114">
        <f t="shared" si="30"/>
        <v>17156598.520000003</v>
      </c>
      <c r="K270" s="113">
        <f t="shared" si="31"/>
        <v>17156598.520000003</v>
      </c>
      <c r="L270" s="113">
        <v>0</v>
      </c>
      <c r="M270" s="113">
        <v>0</v>
      </c>
      <c r="N270" s="113">
        <v>0</v>
      </c>
      <c r="O270" s="113">
        <v>0</v>
      </c>
      <c r="P270" s="113">
        <v>0</v>
      </c>
    </row>
    <row r="271" spans="2:16" ht="13.9" customHeight="1" outlineLevel="1" x14ac:dyDescent="0.25">
      <c r="B271" s="149"/>
      <c r="C271" s="150" t="s">
        <v>48</v>
      </c>
      <c r="D271" s="85">
        <v>15</v>
      </c>
      <c r="E271" s="86">
        <v>22403569.800000001</v>
      </c>
      <c r="F271" s="142">
        <f t="shared" si="29"/>
        <v>10398974.059999999</v>
      </c>
      <c r="G271" s="113">
        <v>7312001.5899999989</v>
      </c>
      <c r="H271" s="86">
        <v>15091568.209999997</v>
      </c>
      <c r="I271" s="113">
        <v>3086972.4699999997</v>
      </c>
      <c r="J271" s="114">
        <f t="shared" si="30"/>
        <v>12004595.739999998</v>
      </c>
      <c r="K271" s="113">
        <f t="shared" si="31"/>
        <v>2014711.1799999997</v>
      </c>
      <c r="L271" s="113">
        <v>9989884.5599999987</v>
      </c>
      <c r="M271" s="113">
        <v>0</v>
      </c>
      <c r="N271" s="113">
        <v>0</v>
      </c>
      <c r="O271" s="113">
        <v>0</v>
      </c>
      <c r="P271" s="113">
        <v>0</v>
      </c>
    </row>
    <row r="272" spans="2:16" ht="13.9" customHeight="1" outlineLevel="1" x14ac:dyDescent="0.25">
      <c r="B272" s="149"/>
      <c r="C272" s="150" t="s">
        <v>49</v>
      </c>
      <c r="D272" s="85">
        <v>0</v>
      </c>
      <c r="E272" s="86">
        <v>0</v>
      </c>
      <c r="F272" s="142">
        <f t="shared" si="29"/>
        <v>0</v>
      </c>
      <c r="G272" s="113">
        <v>0</v>
      </c>
      <c r="H272" s="86">
        <v>0</v>
      </c>
      <c r="I272" s="113">
        <v>0</v>
      </c>
      <c r="J272" s="114">
        <f t="shared" si="30"/>
        <v>0</v>
      </c>
      <c r="K272" s="113">
        <f t="shared" si="31"/>
        <v>0</v>
      </c>
      <c r="L272" s="113">
        <v>0</v>
      </c>
      <c r="M272" s="113">
        <v>0</v>
      </c>
      <c r="N272" s="113">
        <v>0</v>
      </c>
      <c r="O272" s="113">
        <v>0</v>
      </c>
      <c r="P272" s="113">
        <v>0</v>
      </c>
    </row>
    <row r="273" spans="2:16" ht="13.9" customHeight="1" outlineLevel="1" x14ac:dyDescent="0.25">
      <c r="B273" s="149"/>
      <c r="C273" s="150" t="s">
        <v>50</v>
      </c>
      <c r="D273" s="85">
        <v>0</v>
      </c>
      <c r="E273" s="86">
        <v>0</v>
      </c>
      <c r="F273" s="142">
        <f t="shared" si="29"/>
        <v>0</v>
      </c>
      <c r="G273" s="113">
        <v>0</v>
      </c>
      <c r="H273" s="86">
        <v>0</v>
      </c>
      <c r="I273" s="113">
        <v>0</v>
      </c>
      <c r="J273" s="114">
        <f t="shared" si="30"/>
        <v>0</v>
      </c>
      <c r="K273" s="113">
        <f t="shared" si="31"/>
        <v>0</v>
      </c>
      <c r="L273" s="113">
        <v>0</v>
      </c>
      <c r="M273" s="113">
        <v>0</v>
      </c>
      <c r="N273" s="113">
        <v>0</v>
      </c>
      <c r="O273" s="113">
        <v>0</v>
      </c>
      <c r="P273" s="113">
        <v>0</v>
      </c>
    </row>
    <row r="274" spans="2:16" ht="13.9" customHeight="1" outlineLevel="1" x14ac:dyDescent="0.25">
      <c r="B274" s="149"/>
      <c r="C274" s="150" t="s">
        <v>51</v>
      </c>
      <c r="D274" s="85">
        <v>7</v>
      </c>
      <c r="E274" s="86">
        <v>9799573.3000000007</v>
      </c>
      <c r="F274" s="142">
        <f t="shared" si="29"/>
        <v>3813076.66</v>
      </c>
      <c r="G274" s="113">
        <v>3454484.43</v>
      </c>
      <c r="H274" s="86">
        <v>6345088.8700000001</v>
      </c>
      <c r="I274" s="113">
        <v>358592.23</v>
      </c>
      <c r="J274" s="114">
        <f t="shared" si="30"/>
        <v>5986496.6400000006</v>
      </c>
      <c r="K274" s="113">
        <f t="shared" si="31"/>
        <v>830717.30000000168</v>
      </c>
      <c r="L274" s="113">
        <v>5155779.3399999989</v>
      </c>
      <c r="M274" s="113">
        <v>0</v>
      </c>
      <c r="N274" s="113">
        <v>0</v>
      </c>
      <c r="O274" s="113">
        <v>0</v>
      </c>
      <c r="P274" s="113">
        <v>0</v>
      </c>
    </row>
    <row r="275" spans="2:16" ht="13.9" customHeight="1" outlineLevel="1" x14ac:dyDescent="0.25">
      <c r="B275" s="149"/>
      <c r="C275" s="150" t="s">
        <v>52</v>
      </c>
      <c r="D275" s="85">
        <v>0</v>
      </c>
      <c r="E275" s="86">
        <v>0</v>
      </c>
      <c r="F275" s="142">
        <f t="shared" si="29"/>
        <v>0</v>
      </c>
      <c r="G275" s="113">
        <v>0</v>
      </c>
      <c r="H275" s="86">
        <v>0</v>
      </c>
      <c r="I275" s="113">
        <v>0</v>
      </c>
      <c r="J275" s="114">
        <f t="shared" si="30"/>
        <v>0</v>
      </c>
      <c r="K275" s="113">
        <f t="shared" si="31"/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</row>
    <row r="276" spans="2:16" ht="13.9" customHeight="1" outlineLevel="1" x14ac:dyDescent="0.25">
      <c r="B276" s="149"/>
      <c r="C276" s="150" t="s">
        <v>53</v>
      </c>
      <c r="D276" s="85">
        <v>6</v>
      </c>
      <c r="E276" s="86">
        <v>36536976.629999995</v>
      </c>
      <c r="F276" s="142">
        <f t="shared" si="29"/>
        <v>11037064.390000001</v>
      </c>
      <c r="G276" s="113">
        <v>11037064.390000001</v>
      </c>
      <c r="H276" s="86">
        <v>25499912.239999998</v>
      </c>
      <c r="I276" s="113">
        <v>0</v>
      </c>
      <c r="J276" s="114">
        <f t="shared" si="30"/>
        <v>25499912.239999998</v>
      </c>
      <c r="K276" s="113">
        <f t="shared" si="31"/>
        <v>2321228.3599999957</v>
      </c>
      <c r="L276" s="113">
        <v>5949739.7400000002</v>
      </c>
      <c r="M276" s="113">
        <v>17228944.140000001</v>
      </c>
      <c r="N276" s="113">
        <v>0</v>
      </c>
      <c r="O276" s="113">
        <v>0</v>
      </c>
      <c r="P276" s="113">
        <v>0</v>
      </c>
    </row>
    <row r="277" spans="2:16" ht="13.9" customHeight="1" outlineLevel="1" x14ac:dyDescent="0.25">
      <c r="B277" s="149"/>
      <c r="C277" s="150" t="s">
        <v>54</v>
      </c>
      <c r="D277" s="85">
        <v>0</v>
      </c>
      <c r="E277" s="86">
        <v>0</v>
      </c>
      <c r="F277" s="142">
        <f t="shared" si="29"/>
        <v>0</v>
      </c>
      <c r="G277" s="113">
        <v>0</v>
      </c>
      <c r="H277" s="86">
        <v>0</v>
      </c>
      <c r="I277" s="113">
        <v>0</v>
      </c>
      <c r="J277" s="114">
        <f t="shared" si="30"/>
        <v>0</v>
      </c>
      <c r="K277" s="113">
        <f t="shared" si="31"/>
        <v>0</v>
      </c>
      <c r="L277" s="113">
        <v>0</v>
      </c>
      <c r="M277" s="113">
        <v>0</v>
      </c>
      <c r="N277" s="113">
        <v>0</v>
      </c>
      <c r="O277" s="113">
        <v>0</v>
      </c>
      <c r="P277" s="113">
        <v>0</v>
      </c>
    </row>
    <row r="278" spans="2:16" ht="13.9" customHeight="1" outlineLevel="1" x14ac:dyDescent="0.25">
      <c r="B278" s="149"/>
      <c r="C278" s="150" t="s">
        <v>55</v>
      </c>
      <c r="D278" s="85">
        <v>0</v>
      </c>
      <c r="E278" s="86">
        <v>0</v>
      </c>
      <c r="F278" s="142">
        <f t="shared" si="29"/>
        <v>0</v>
      </c>
      <c r="G278" s="113">
        <v>0</v>
      </c>
      <c r="H278" s="86">
        <v>0</v>
      </c>
      <c r="I278" s="113">
        <v>0</v>
      </c>
      <c r="J278" s="114">
        <f t="shared" si="30"/>
        <v>0</v>
      </c>
      <c r="K278" s="113">
        <f t="shared" si="31"/>
        <v>0</v>
      </c>
      <c r="L278" s="113">
        <v>0</v>
      </c>
      <c r="M278" s="113">
        <v>0</v>
      </c>
      <c r="N278" s="113">
        <v>0</v>
      </c>
      <c r="O278" s="113">
        <v>0</v>
      </c>
      <c r="P278" s="113">
        <v>0</v>
      </c>
    </row>
    <row r="279" spans="2:16" ht="13.9" customHeight="1" outlineLevel="1" x14ac:dyDescent="0.25">
      <c r="B279" s="149"/>
      <c r="C279" s="150" t="s">
        <v>56</v>
      </c>
      <c r="D279" s="85">
        <v>0</v>
      </c>
      <c r="E279" s="86">
        <v>0</v>
      </c>
      <c r="F279" s="142">
        <f t="shared" si="29"/>
        <v>0</v>
      </c>
      <c r="G279" s="113">
        <v>0</v>
      </c>
      <c r="H279" s="86">
        <v>0</v>
      </c>
      <c r="I279" s="113">
        <v>0</v>
      </c>
      <c r="J279" s="114">
        <f t="shared" si="30"/>
        <v>0</v>
      </c>
      <c r="K279" s="113">
        <f t="shared" si="31"/>
        <v>0</v>
      </c>
      <c r="L279" s="113">
        <v>0</v>
      </c>
      <c r="M279" s="113">
        <v>0</v>
      </c>
      <c r="N279" s="113">
        <v>0</v>
      </c>
      <c r="O279" s="113">
        <v>0</v>
      </c>
      <c r="P279" s="113">
        <v>0</v>
      </c>
    </row>
    <row r="280" spans="2:16" ht="13.9" customHeight="1" outlineLevel="1" x14ac:dyDescent="0.25">
      <c r="B280" s="149"/>
      <c r="C280" s="150" t="s">
        <v>57</v>
      </c>
      <c r="D280" s="85">
        <v>0</v>
      </c>
      <c r="E280" s="86">
        <v>0</v>
      </c>
      <c r="F280" s="142">
        <f t="shared" si="29"/>
        <v>0</v>
      </c>
      <c r="G280" s="113">
        <v>0</v>
      </c>
      <c r="H280" s="86">
        <v>0</v>
      </c>
      <c r="I280" s="113">
        <v>0</v>
      </c>
      <c r="J280" s="114">
        <f t="shared" si="30"/>
        <v>0</v>
      </c>
      <c r="K280" s="113">
        <f t="shared" si="31"/>
        <v>0</v>
      </c>
      <c r="L280" s="113">
        <v>0</v>
      </c>
      <c r="M280" s="113">
        <v>0</v>
      </c>
      <c r="N280" s="113">
        <v>0</v>
      </c>
      <c r="O280" s="113">
        <v>0</v>
      </c>
      <c r="P280" s="113">
        <v>0</v>
      </c>
    </row>
    <row r="281" spans="2:16" ht="13.9" customHeight="1" outlineLevel="1" x14ac:dyDescent="0.25">
      <c r="B281" s="149"/>
      <c r="C281" s="150" t="s">
        <v>58</v>
      </c>
      <c r="D281" s="85">
        <v>0</v>
      </c>
      <c r="E281" s="86">
        <v>0</v>
      </c>
      <c r="F281" s="142">
        <f t="shared" si="29"/>
        <v>0</v>
      </c>
      <c r="G281" s="113">
        <v>0</v>
      </c>
      <c r="H281" s="86">
        <v>0</v>
      </c>
      <c r="I281" s="113">
        <v>0</v>
      </c>
      <c r="J281" s="114">
        <f t="shared" si="30"/>
        <v>0</v>
      </c>
      <c r="K281" s="113">
        <f t="shared" si="31"/>
        <v>0</v>
      </c>
      <c r="L281" s="113">
        <v>0</v>
      </c>
      <c r="M281" s="113">
        <v>0</v>
      </c>
      <c r="N281" s="113">
        <v>0</v>
      </c>
      <c r="O281" s="113">
        <v>0</v>
      </c>
      <c r="P281" s="113">
        <v>0</v>
      </c>
    </row>
    <row r="282" spans="2:16" ht="13.9" customHeight="1" outlineLevel="1" x14ac:dyDescent="0.25">
      <c r="B282" s="149"/>
      <c r="C282" s="150" t="s">
        <v>59</v>
      </c>
      <c r="D282" s="85">
        <v>1</v>
      </c>
      <c r="E282" s="86">
        <v>2607250.1</v>
      </c>
      <c r="F282" s="142">
        <f t="shared" si="29"/>
        <v>782176.02</v>
      </c>
      <c r="G282" s="113">
        <v>782176.02</v>
      </c>
      <c r="H282" s="86">
        <v>1825074.08</v>
      </c>
      <c r="I282" s="113">
        <v>0</v>
      </c>
      <c r="J282" s="114">
        <f t="shared" si="30"/>
        <v>1825074.08</v>
      </c>
      <c r="K282" s="113">
        <f t="shared" si="31"/>
        <v>0</v>
      </c>
      <c r="L282" s="113">
        <v>260724.02</v>
      </c>
      <c r="M282" s="113">
        <v>260725.01</v>
      </c>
      <c r="N282" s="113">
        <v>1303625.05</v>
      </c>
      <c r="O282" s="113">
        <v>0</v>
      </c>
      <c r="P282" s="113">
        <v>0</v>
      </c>
    </row>
    <row r="283" spans="2:16" ht="13.9" customHeight="1" outlineLevel="1" x14ac:dyDescent="0.25">
      <c r="B283" s="149"/>
      <c r="C283" s="150" t="s">
        <v>60</v>
      </c>
      <c r="D283" s="85">
        <v>0</v>
      </c>
      <c r="E283" s="86">
        <v>0</v>
      </c>
      <c r="F283" s="142">
        <f t="shared" si="29"/>
        <v>0</v>
      </c>
      <c r="G283" s="113">
        <v>0</v>
      </c>
      <c r="H283" s="86">
        <v>0</v>
      </c>
      <c r="I283" s="113">
        <v>0</v>
      </c>
      <c r="J283" s="114">
        <f t="shared" si="30"/>
        <v>0</v>
      </c>
      <c r="K283" s="113">
        <f t="shared" si="31"/>
        <v>0</v>
      </c>
      <c r="L283" s="113">
        <v>0</v>
      </c>
      <c r="M283" s="113">
        <v>0</v>
      </c>
      <c r="N283" s="113">
        <v>0</v>
      </c>
      <c r="O283" s="113">
        <v>0</v>
      </c>
      <c r="P283" s="113">
        <v>0</v>
      </c>
    </row>
    <row r="284" spans="2:16" ht="13.9" customHeight="1" outlineLevel="1" x14ac:dyDescent="0.25">
      <c r="B284" s="149"/>
      <c r="C284" s="150" t="s">
        <v>61</v>
      </c>
      <c r="D284" s="85">
        <v>0</v>
      </c>
      <c r="E284" s="86">
        <v>0</v>
      </c>
      <c r="F284" s="142">
        <f t="shared" si="29"/>
        <v>0</v>
      </c>
      <c r="G284" s="113">
        <v>0</v>
      </c>
      <c r="H284" s="86">
        <v>0</v>
      </c>
      <c r="I284" s="113">
        <v>0</v>
      </c>
      <c r="J284" s="114">
        <f t="shared" si="30"/>
        <v>0</v>
      </c>
      <c r="K284" s="113">
        <f t="shared" si="31"/>
        <v>0</v>
      </c>
      <c r="L284" s="113">
        <v>0</v>
      </c>
      <c r="M284" s="113">
        <v>0</v>
      </c>
      <c r="N284" s="113">
        <v>0</v>
      </c>
      <c r="O284" s="113">
        <v>0</v>
      </c>
      <c r="P284" s="113">
        <v>0</v>
      </c>
    </row>
    <row r="285" spans="2:16" ht="13.9" customHeight="1" outlineLevel="1" x14ac:dyDescent="0.25">
      <c r="B285" s="149"/>
      <c r="C285" s="150" t="s">
        <v>62</v>
      </c>
      <c r="D285" s="85">
        <v>0</v>
      </c>
      <c r="E285" s="86">
        <v>0</v>
      </c>
      <c r="F285" s="142">
        <f t="shared" si="29"/>
        <v>0</v>
      </c>
      <c r="G285" s="113">
        <v>0</v>
      </c>
      <c r="H285" s="86">
        <v>0</v>
      </c>
      <c r="I285" s="113">
        <v>0</v>
      </c>
      <c r="J285" s="114">
        <f t="shared" si="30"/>
        <v>0</v>
      </c>
      <c r="K285" s="113">
        <f t="shared" si="31"/>
        <v>0</v>
      </c>
      <c r="L285" s="113">
        <v>0</v>
      </c>
      <c r="M285" s="113">
        <v>0</v>
      </c>
      <c r="N285" s="113">
        <v>0</v>
      </c>
      <c r="O285" s="113">
        <v>0</v>
      </c>
      <c r="P285" s="113">
        <v>0</v>
      </c>
    </row>
    <row r="286" spans="2:16" ht="13.9" customHeight="1" outlineLevel="1" x14ac:dyDescent="0.25">
      <c r="B286" s="149"/>
      <c r="C286" s="150" t="s">
        <v>63</v>
      </c>
      <c r="D286" s="85">
        <v>0</v>
      </c>
      <c r="E286" s="86">
        <v>0</v>
      </c>
      <c r="F286" s="142">
        <f t="shared" si="29"/>
        <v>0</v>
      </c>
      <c r="G286" s="113">
        <v>0</v>
      </c>
      <c r="H286" s="86">
        <v>0</v>
      </c>
      <c r="I286" s="113">
        <v>0</v>
      </c>
      <c r="J286" s="114">
        <f t="shared" si="30"/>
        <v>0</v>
      </c>
      <c r="K286" s="113">
        <f t="shared" si="31"/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</row>
    <row r="287" spans="2:16" ht="13.9" customHeight="1" outlineLevel="1" x14ac:dyDescent="0.25">
      <c r="B287" s="149"/>
      <c r="C287" s="150" t="s">
        <v>64</v>
      </c>
      <c r="D287" s="85">
        <v>4</v>
      </c>
      <c r="E287" s="86">
        <v>7022604.9000000004</v>
      </c>
      <c r="F287" s="142">
        <f t="shared" si="29"/>
        <v>4915823.43</v>
      </c>
      <c r="G287" s="113">
        <v>2364004.87</v>
      </c>
      <c r="H287" s="86">
        <v>4658600.03</v>
      </c>
      <c r="I287" s="113">
        <v>2551818.5599999996</v>
      </c>
      <c r="J287" s="114">
        <f t="shared" si="30"/>
        <v>2106781.4700000007</v>
      </c>
      <c r="K287" s="113">
        <f t="shared" si="31"/>
        <v>2106781.4700000007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</row>
    <row r="288" spans="2:16" ht="13.9" customHeight="1" outlineLevel="1" x14ac:dyDescent="0.25">
      <c r="B288" s="149"/>
      <c r="C288" s="150" t="s">
        <v>65</v>
      </c>
      <c r="D288" s="85">
        <v>0</v>
      </c>
      <c r="E288" s="86">
        <v>0</v>
      </c>
      <c r="F288" s="142">
        <f t="shared" si="29"/>
        <v>0</v>
      </c>
      <c r="G288" s="113">
        <v>0</v>
      </c>
      <c r="H288" s="86">
        <v>0</v>
      </c>
      <c r="I288" s="113">
        <v>0</v>
      </c>
      <c r="J288" s="114">
        <f t="shared" si="30"/>
        <v>0</v>
      </c>
      <c r="K288" s="113">
        <f t="shared" si="31"/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</row>
    <row r="289" spans="2:16" ht="13.9" customHeight="1" outlineLevel="1" x14ac:dyDescent="0.25">
      <c r="B289" s="149"/>
      <c r="C289" s="150" t="s">
        <v>66</v>
      </c>
      <c r="D289" s="85">
        <v>0</v>
      </c>
      <c r="E289" s="86">
        <v>0</v>
      </c>
      <c r="F289" s="142">
        <f t="shared" si="29"/>
        <v>0</v>
      </c>
      <c r="G289" s="113">
        <v>0</v>
      </c>
      <c r="H289" s="86">
        <v>0</v>
      </c>
      <c r="I289" s="113">
        <v>0</v>
      </c>
      <c r="J289" s="114">
        <f t="shared" si="30"/>
        <v>0</v>
      </c>
      <c r="K289" s="113">
        <f t="shared" si="31"/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</row>
    <row r="290" spans="2:16" ht="13.9" customHeight="1" outlineLevel="1" x14ac:dyDescent="0.25">
      <c r="B290" s="149"/>
      <c r="C290" s="150" t="s">
        <v>67</v>
      </c>
      <c r="D290" s="85">
        <v>0</v>
      </c>
      <c r="E290" s="86">
        <v>0</v>
      </c>
      <c r="F290" s="142">
        <f t="shared" si="29"/>
        <v>0</v>
      </c>
      <c r="G290" s="113">
        <v>0</v>
      </c>
      <c r="H290" s="86">
        <v>0</v>
      </c>
      <c r="I290" s="113">
        <v>0</v>
      </c>
      <c r="J290" s="114">
        <f t="shared" si="30"/>
        <v>0</v>
      </c>
      <c r="K290" s="113">
        <f t="shared" si="31"/>
        <v>0</v>
      </c>
      <c r="L290" s="113">
        <v>0</v>
      </c>
      <c r="M290" s="113">
        <v>0</v>
      </c>
      <c r="N290" s="113">
        <v>0</v>
      </c>
      <c r="O290" s="113">
        <v>0</v>
      </c>
      <c r="P290" s="113">
        <v>0</v>
      </c>
    </row>
    <row r="291" spans="2:16" ht="13.9" customHeight="1" x14ac:dyDescent="0.25">
      <c r="B291" s="149"/>
      <c r="C291" s="148" t="s">
        <v>103</v>
      </c>
      <c r="D291" s="90">
        <f>SUM(D254:D290)</f>
        <v>75</v>
      </c>
      <c r="E291" s="91">
        <f t="shared" ref="E291:P291" si="32">SUM(E254:E290)</f>
        <v>251735573.29000002</v>
      </c>
      <c r="F291" s="92">
        <f t="shared" si="32"/>
        <v>95618656.269999981</v>
      </c>
      <c r="G291" s="93">
        <f t="shared" si="32"/>
        <v>84530496.900000006</v>
      </c>
      <c r="H291" s="90">
        <f t="shared" si="32"/>
        <v>167205076.39000002</v>
      </c>
      <c r="I291" s="91">
        <f t="shared" si="32"/>
        <v>11088159.370000001</v>
      </c>
      <c r="J291" s="92">
        <f t="shared" si="32"/>
        <v>156116917.02000001</v>
      </c>
      <c r="K291" s="93">
        <f t="shared" si="32"/>
        <v>48779225.599999994</v>
      </c>
      <c r="L291" s="90">
        <f t="shared" si="32"/>
        <v>71071347.590000004</v>
      </c>
      <c r="M291" s="91">
        <f t="shared" si="32"/>
        <v>31558886.220000006</v>
      </c>
      <c r="N291" s="90">
        <f t="shared" si="32"/>
        <v>4707457.6099999994</v>
      </c>
      <c r="O291" s="91">
        <f t="shared" si="32"/>
        <v>0</v>
      </c>
      <c r="P291" s="91">
        <f t="shared" si="32"/>
        <v>0</v>
      </c>
    </row>
    <row r="292" spans="2:16" ht="13.9" customHeight="1" outlineLevel="1" x14ac:dyDescent="0.25">
      <c r="B292" s="149" t="s">
        <v>83</v>
      </c>
      <c r="C292" s="150" t="s">
        <v>70</v>
      </c>
      <c r="D292" s="85">
        <v>22</v>
      </c>
      <c r="E292" s="86">
        <v>43549278.190000013</v>
      </c>
      <c r="F292" s="142">
        <f t="shared" si="29"/>
        <v>15488372.540000003</v>
      </c>
      <c r="G292" s="113">
        <v>14804102.870000003</v>
      </c>
      <c r="H292" s="86">
        <v>28745175.320000008</v>
      </c>
      <c r="I292" s="113">
        <v>684269.67</v>
      </c>
      <c r="J292" s="114">
        <f t="shared" si="30"/>
        <v>28060905.650000006</v>
      </c>
      <c r="K292" s="113">
        <f t="shared" si="31"/>
        <v>5875898.7000000104</v>
      </c>
      <c r="L292" s="113">
        <v>6253078.5399999991</v>
      </c>
      <c r="M292" s="113">
        <v>15931928.409999998</v>
      </c>
      <c r="N292" s="113">
        <v>0</v>
      </c>
      <c r="O292" s="113">
        <v>0</v>
      </c>
      <c r="P292" s="113">
        <v>0</v>
      </c>
    </row>
    <row r="293" spans="2:16" ht="13.9" customHeight="1" outlineLevel="1" x14ac:dyDescent="0.25">
      <c r="B293" s="149"/>
      <c r="C293" s="150" t="s">
        <v>71</v>
      </c>
      <c r="D293" s="85">
        <v>5</v>
      </c>
      <c r="E293" s="86">
        <v>68979725.189999998</v>
      </c>
      <c r="F293" s="142">
        <f t="shared" si="29"/>
        <v>23531352</v>
      </c>
      <c r="G293" s="113">
        <v>23484352</v>
      </c>
      <c r="H293" s="86">
        <v>45495373.189999998</v>
      </c>
      <c r="I293" s="113">
        <v>47000</v>
      </c>
      <c r="J293" s="114">
        <f t="shared" si="30"/>
        <v>45448373.189999998</v>
      </c>
      <c r="K293" s="113">
        <f t="shared" si="31"/>
        <v>6783300.4899999946</v>
      </c>
      <c r="L293" s="113">
        <v>23234739.699999999</v>
      </c>
      <c r="M293" s="113">
        <v>15430333</v>
      </c>
      <c r="N293" s="113">
        <v>0</v>
      </c>
      <c r="O293" s="113">
        <v>0</v>
      </c>
      <c r="P293" s="113">
        <v>0</v>
      </c>
    </row>
    <row r="294" spans="2:16" ht="13.9" customHeight="1" outlineLevel="1" x14ac:dyDescent="0.25">
      <c r="B294" s="149"/>
      <c r="C294" s="150" t="s">
        <v>72</v>
      </c>
      <c r="D294" s="85">
        <v>1</v>
      </c>
      <c r="E294" s="86">
        <v>1415978.64</v>
      </c>
      <c r="F294" s="142">
        <f t="shared" si="29"/>
        <v>566391.43999999994</v>
      </c>
      <c r="G294" s="113">
        <v>424794</v>
      </c>
      <c r="H294" s="86">
        <v>991184.6399999999</v>
      </c>
      <c r="I294" s="113">
        <v>141597.44</v>
      </c>
      <c r="J294" s="114">
        <f t="shared" si="30"/>
        <v>849587.19999999995</v>
      </c>
      <c r="K294" s="113">
        <f t="shared" si="31"/>
        <v>141597.89000000001</v>
      </c>
      <c r="L294" s="113">
        <v>141597.85999999999</v>
      </c>
      <c r="M294" s="113">
        <v>0</v>
      </c>
      <c r="N294" s="113">
        <v>566391.44999999995</v>
      </c>
      <c r="O294" s="113">
        <v>0</v>
      </c>
      <c r="P294" s="113">
        <v>0</v>
      </c>
    </row>
    <row r="295" spans="2:16" ht="13.9" customHeight="1" x14ac:dyDescent="0.25">
      <c r="B295" s="149"/>
      <c r="C295" s="148" t="s">
        <v>104</v>
      </c>
      <c r="D295" s="90">
        <f>SUM(D292:D294)</f>
        <v>28</v>
      </c>
      <c r="E295" s="91">
        <f t="shared" ref="E295:P295" si="33">SUM(E292:E294)</f>
        <v>113944982.02000001</v>
      </c>
      <c r="F295" s="92">
        <f t="shared" si="33"/>
        <v>39586115.980000004</v>
      </c>
      <c r="G295" s="93">
        <f t="shared" si="33"/>
        <v>38713248.870000005</v>
      </c>
      <c r="H295" s="90">
        <f t="shared" si="33"/>
        <v>75231733.150000006</v>
      </c>
      <c r="I295" s="91">
        <f t="shared" si="33"/>
        <v>872867.1100000001</v>
      </c>
      <c r="J295" s="92">
        <f t="shared" si="33"/>
        <v>74358866.040000007</v>
      </c>
      <c r="K295" s="93">
        <f t="shared" si="33"/>
        <v>12800797.080000006</v>
      </c>
      <c r="L295" s="90">
        <f t="shared" si="33"/>
        <v>29629416.099999998</v>
      </c>
      <c r="M295" s="91">
        <f t="shared" si="33"/>
        <v>31362261.409999996</v>
      </c>
      <c r="N295" s="90">
        <f t="shared" si="33"/>
        <v>566391.44999999995</v>
      </c>
      <c r="O295" s="91">
        <f t="shared" si="33"/>
        <v>0</v>
      </c>
      <c r="P295" s="91">
        <f t="shared" si="33"/>
        <v>0</v>
      </c>
    </row>
    <row r="296" spans="2:16" ht="13.9" customHeight="1" outlineLevel="1" x14ac:dyDescent="0.25">
      <c r="B296" s="149" t="s">
        <v>105</v>
      </c>
      <c r="C296" s="150" t="s">
        <v>75</v>
      </c>
      <c r="D296" s="85">
        <v>0</v>
      </c>
      <c r="E296" s="86">
        <v>0</v>
      </c>
      <c r="F296" s="142">
        <f t="shared" si="29"/>
        <v>0</v>
      </c>
      <c r="G296" s="113">
        <v>0</v>
      </c>
      <c r="H296" s="86">
        <v>0</v>
      </c>
      <c r="I296" s="113">
        <v>0</v>
      </c>
      <c r="J296" s="114">
        <f t="shared" si="30"/>
        <v>0</v>
      </c>
      <c r="K296" s="113">
        <f t="shared" si="31"/>
        <v>0</v>
      </c>
      <c r="L296" s="113">
        <v>0</v>
      </c>
      <c r="M296" s="113">
        <v>0</v>
      </c>
      <c r="N296" s="113">
        <v>0</v>
      </c>
      <c r="O296" s="113">
        <v>0</v>
      </c>
      <c r="P296" s="113">
        <v>0</v>
      </c>
    </row>
    <row r="297" spans="2:16" ht="13.9" customHeight="1" outlineLevel="1" x14ac:dyDescent="0.25">
      <c r="B297" s="149"/>
      <c r="C297" s="150" t="s">
        <v>76</v>
      </c>
      <c r="D297" s="85">
        <v>2</v>
      </c>
      <c r="E297" s="86">
        <v>2642067.5699999998</v>
      </c>
      <c r="F297" s="142">
        <f t="shared" si="29"/>
        <v>793000.5</v>
      </c>
      <c r="G297" s="113">
        <v>793000.5</v>
      </c>
      <c r="H297" s="86">
        <v>1849067.0699999998</v>
      </c>
      <c r="I297" s="113">
        <v>0</v>
      </c>
      <c r="J297" s="114">
        <f t="shared" si="30"/>
        <v>1849067.0699999998</v>
      </c>
      <c r="K297" s="113">
        <f t="shared" si="31"/>
        <v>528033.2899999998</v>
      </c>
      <c r="L297" s="113">
        <v>0</v>
      </c>
      <c r="M297" s="113">
        <v>1321033.78</v>
      </c>
      <c r="N297" s="113">
        <v>0</v>
      </c>
      <c r="O297" s="113">
        <v>0</v>
      </c>
      <c r="P297" s="113">
        <v>0</v>
      </c>
    </row>
    <row r="298" spans="2:16" ht="13.9" customHeight="1" x14ac:dyDescent="0.25">
      <c r="B298" s="149"/>
      <c r="C298" s="148" t="s">
        <v>106</v>
      </c>
      <c r="D298" s="90">
        <f>SUM(D296:D297)</f>
        <v>2</v>
      </c>
      <c r="E298" s="91">
        <f t="shared" ref="E298:P298" si="34">SUM(E296:E297)</f>
        <v>2642067.5699999998</v>
      </c>
      <c r="F298" s="92">
        <f t="shared" si="34"/>
        <v>793000.5</v>
      </c>
      <c r="G298" s="93">
        <f t="shared" si="34"/>
        <v>793000.5</v>
      </c>
      <c r="H298" s="90">
        <f t="shared" si="34"/>
        <v>1849067.0699999998</v>
      </c>
      <c r="I298" s="91">
        <f t="shared" si="34"/>
        <v>0</v>
      </c>
      <c r="J298" s="92">
        <f t="shared" si="34"/>
        <v>1849067.0699999998</v>
      </c>
      <c r="K298" s="93">
        <f t="shared" si="34"/>
        <v>528033.2899999998</v>
      </c>
      <c r="L298" s="90">
        <f t="shared" si="34"/>
        <v>0</v>
      </c>
      <c r="M298" s="91">
        <f t="shared" si="34"/>
        <v>1321033.78</v>
      </c>
      <c r="N298" s="90">
        <f t="shared" si="34"/>
        <v>0</v>
      </c>
      <c r="O298" s="91">
        <f t="shared" si="34"/>
        <v>0</v>
      </c>
      <c r="P298" s="91">
        <f t="shared" si="34"/>
        <v>0</v>
      </c>
    </row>
    <row r="299" spans="2:16" ht="13.9" customHeight="1" x14ac:dyDescent="0.25">
      <c r="B299" s="155" t="s">
        <v>78</v>
      </c>
      <c r="C299" s="155"/>
      <c r="D299" s="90">
        <f>D291+D295+D298</f>
        <v>105</v>
      </c>
      <c r="E299" s="91">
        <f t="shared" ref="E299:P299" si="35">E291+E295+E298</f>
        <v>368322622.88000005</v>
      </c>
      <c r="F299" s="92">
        <f t="shared" si="35"/>
        <v>135997772.75</v>
      </c>
      <c r="G299" s="93">
        <f t="shared" si="35"/>
        <v>124036746.27000001</v>
      </c>
      <c r="H299" s="90">
        <f t="shared" si="35"/>
        <v>244285876.61000001</v>
      </c>
      <c r="I299" s="91">
        <f t="shared" si="35"/>
        <v>11961026.48</v>
      </c>
      <c r="J299" s="92">
        <f t="shared" si="35"/>
        <v>232324850.13</v>
      </c>
      <c r="K299" s="93">
        <f t="shared" si="35"/>
        <v>62108055.969999999</v>
      </c>
      <c r="L299" s="90">
        <f t="shared" si="35"/>
        <v>100700763.69</v>
      </c>
      <c r="M299" s="91">
        <f t="shared" si="35"/>
        <v>64242181.410000004</v>
      </c>
      <c r="N299" s="90">
        <f t="shared" si="35"/>
        <v>5273849.0599999996</v>
      </c>
      <c r="O299" s="91">
        <f t="shared" si="35"/>
        <v>0</v>
      </c>
      <c r="P299" s="91">
        <f t="shared" si="35"/>
        <v>0</v>
      </c>
    </row>
    <row r="300" spans="2:16" ht="13.9" customHeight="1" x14ac:dyDescent="0.25"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</row>
    <row r="301" spans="2:16" ht="13.9" customHeight="1" x14ac:dyDescent="0.25">
      <c r="B301" s="107" t="s">
        <v>91</v>
      </c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</row>
    <row r="302" spans="2:16" ht="13.9" customHeight="1" x14ac:dyDescent="0.25">
      <c r="B302" s="154" t="s">
        <v>26</v>
      </c>
      <c r="C302" s="148" t="s">
        <v>27</v>
      </c>
      <c r="D302" s="109" t="s">
        <v>28</v>
      </c>
      <c r="E302" s="110" t="s">
        <v>29</v>
      </c>
      <c r="F302" s="111" t="s">
        <v>85</v>
      </c>
      <c r="G302" s="112" t="s">
        <v>81</v>
      </c>
      <c r="H302" s="110" t="s">
        <v>82</v>
      </c>
      <c r="I302" s="112" t="s">
        <v>86</v>
      </c>
      <c r="J302" s="110" t="s">
        <v>87</v>
      </c>
      <c r="K302" s="112">
        <v>2026</v>
      </c>
      <c r="L302" s="112">
        <v>2027</v>
      </c>
      <c r="M302" s="110">
        <v>2028</v>
      </c>
      <c r="N302" s="112">
        <v>2029</v>
      </c>
      <c r="O302" s="110">
        <v>2030</v>
      </c>
      <c r="P302" s="112">
        <v>2031</v>
      </c>
    </row>
    <row r="303" spans="2:16" ht="13.9" customHeight="1" outlineLevel="1" x14ac:dyDescent="0.25">
      <c r="B303" s="149" t="s">
        <v>30</v>
      </c>
      <c r="C303" s="150" t="s">
        <v>31</v>
      </c>
      <c r="D303" s="85">
        <v>47</v>
      </c>
      <c r="E303" s="86">
        <v>80243600.890000001</v>
      </c>
      <c r="F303" s="142">
        <f t="shared" ref="F303:F346" si="36">G303+I303</f>
        <v>48146160.719999991</v>
      </c>
      <c r="G303" s="113">
        <v>47784138.429999992</v>
      </c>
      <c r="H303" s="86">
        <v>32459462.460000005</v>
      </c>
      <c r="I303" s="113">
        <v>362022.28999999992</v>
      </c>
      <c r="J303" s="114">
        <f t="shared" ref="J303:J346" si="37">H303-I303</f>
        <v>32097440.170000006</v>
      </c>
      <c r="K303" s="113">
        <f t="shared" ref="K303:K346" si="38">MAX(J303-SUM(L303:P303),0)</f>
        <v>32097440.170000006</v>
      </c>
      <c r="L303" s="113">
        <v>0</v>
      </c>
      <c r="M303" s="113">
        <v>0</v>
      </c>
      <c r="N303" s="113">
        <v>0</v>
      </c>
      <c r="O303" s="113">
        <v>0</v>
      </c>
      <c r="P303" s="113">
        <v>0</v>
      </c>
    </row>
    <row r="304" spans="2:16" ht="13.9" customHeight="1" outlineLevel="1" x14ac:dyDescent="0.25">
      <c r="B304" s="149"/>
      <c r="C304" s="150" t="s">
        <v>32</v>
      </c>
      <c r="D304" s="85">
        <v>0</v>
      </c>
      <c r="E304" s="86">
        <v>0</v>
      </c>
      <c r="F304" s="142">
        <f t="shared" si="36"/>
        <v>0</v>
      </c>
      <c r="G304" s="113">
        <v>0</v>
      </c>
      <c r="H304" s="86">
        <v>0</v>
      </c>
      <c r="I304" s="113">
        <v>0</v>
      </c>
      <c r="J304" s="114">
        <f t="shared" si="37"/>
        <v>0</v>
      </c>
      <c r="K304" s="113">
        <f t="shared" si="38"/>
        <v>0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</row>
    <row r="305" spans="2:16" ht="13.9" customHeight="1" outlineLevel="1" x14ac:dyDescent="0.25">
      <c r="B305" s="149"/>
      <c r="C305" s="150" t="s">
        <v>33</v>
      </c>
      <c r="D305" s="85">
        <v>0</v>
      </c>
      <c r="E305" s="86">
        <v>0</v>
      </c>
      <c r="F305" s="142">
        <f t="shared" si="36"/>
        <v>0</v>
      </c>
      <c r="G305" s="113">
        <v>0</v>
      </c>
      <c r="H305" s="86">
        <v>0</v>
      </c>
      <c r="I305" s="113">
        <v>0</v>
      </c>
      <c r="J305" s="114">
        <f t="shared" si="37"/>
        <v>0</v>
      </c>
      <c r="K305" s="113">
        <f t="shared" si="38"/>
        <v>0</v>
      </c>
      <c r="L305" s="113">
        <v>0</v>
      </c>
      <c r="M305" s="113">
        <v>0</v>
      </c>
      <c r="N305" s="113">
        <v>0</v>
      </c>
      <c r="O305" s="113">
        <v>0</v>
      </c>
      <c r="P305" s="113">
        <v>0</v>
      </c>
    </row>
    <row r="306" spans="2:16" ht="13.9" customHeight="1" outlineLevel="1" x14ac:dyDescent="0.25">
      <c r="B306" s="149"/>
      <c r="C306" s="150" t="s">
        <v>34</v>
      </c>
      <c r="D306" s="85">
        <v>33</v>
      </c>
      <c r="E306" s="86">
        <v>94723874.25</v>
      </c>
      <c r="F306" s="142">
        <f t="shared" si="36"/>
        <v>56834324.639999986</v>
      </c>
      <c r="G306" s="113">
        <v>49582719.679999985</v>
      </c>
      <c r="H306" s="86">
        <v>45141154.570000015</v>
      </c>
      <c r="I306" s="113">
        <v>7251604.9599999981</v>
      </c>
      <c r="J306" s="114">
        <f t="shared" si="37"/>
        <v>37889549.610000014</v>
      </c>
      <c r="K306" s="113">
        <f t="shared" si="38"/>
        <v>9472387.290000014</v>
      </c>
      <c r="L306" s="113">
        <v>18944774.879999999</v>
      </c>
      <c r="M306" s="113">
        <v>9472387.4399999995</v>
      </c>
      <c r="N306" s="113">
        <v>0</v>
      </c>
      <c r="O306" s="113">
        <v>0</v>
      </c>
      <c r="P306" s="113">
        <v>0</v>
      </c>
    </row>
    <row r="307" spans="2:16" ht="13.9" customHeight="1" outlineLevel="1" x14ac:dyDescent="0.25">
      <c r="B307" s="149"/>
      <c r="C307" s="150" t="s">
        <v>35</v>
      </c>
      <c r="D307" s="85">
        <v>0</v>
      </c>
      <c r="E307" s="86">
        <v>0</v>
      </c>
      <c r="F307" s="142">
        <f t="shared" si="36"/>
        <v>0</v>
      </c>
      <c r="G307" s="113">
        <v>0</v>
      </c>
      <c r="H307" s="86">
        <v>0</v>
      </c>
      <c r="I307" s="113">
        <v>0</v>
      </c>
      <c r="J307" s="114">
        <f t="shared" si="37"/>
        <v>0</v>
      </c>
      <c r="K307" s="113">
        <f t="shared" si="38"/>
        <v>0</v>
      </c>
      <c r="L307" s="113">
        <v>0</v>
      </c>
      <c r="M307" s="113">
        <v>0</v>
      </c>
      <c r="N307" s="113">
        <v>0</v>
      </c>
      <c r="O307" s="113">
        <v>0</v>
      </c>
      <c r="P307" s="113">
        <v>0</v>
      </c>
    </row>
    <row r="308" spans="2:16" ht="13.9" customHeight="1" outlineLevel="1" x14ac:dyDescent="0.25">
      <c r="B308" s="149"/>
      <c r="C308" s="150" t="s">
        <v>36</v>
      </c>
      <c r="D308" s="85">
        <v>9</v>
      </c>
      <c r="E308" s="86">
        <v>82373792.400000006</v>
      </c>
      <c r="F308" s="142">
        <f t="shared" si="36"/>
        <v>38590396.190000005</v>
      </c>
      <c r="G308" s="113">
        <v>38079911.190000005</v>
      </c>
      <c r="H308" s="86">
        <v>44293881.210000001</v>
      </c>
      <c r="I308" s="113">
        <v>510485</v>
      </c>
      <c r="J308" s="114">
        <f t="shared" si="37"/>
        <v>43783396.210000001</v>
      </c>
      <c r="K308" s="113">
        <f t="shared" si="38"/>
        <v>10032733.649999999</v>
      </c>
      <c r="L308" s="113">
        <v>33750662.560000002</v>
      </c>
      <c r="M308" s="113">
        <v>0</v>
      </c>
      <c r="N308" s="113">
        <v>0</v>
      </c>
      <c r="O308" s="113">
        <v>0</v>
      </c>
      <c r="P308" s="113">
        <v>0</v>
      </c>
    </row>
    <row r="309" spans="2:16" ht="13.9" customHeight="1" outlineLevel="1" x14ac:dyDescent="0.25">
      <c r="B309" s="149"/>
      <c r="C309" s="150" t="s">
        <v>37</v>
      </c>
      <c r="D309" s="85">
        <v>0</v>
      </c>
      <c r="E309" s="86">
        <v>0</v>
      </c>
      <c r="F309" s="142">
        <f t="shared" si="36"/>
        <v>0</v>
      </c>
      <c r="G309" s="113">
        <v>0</v>
      </c>
      <c r="H309" s="86">
        <v>0</v>
      </c>
      <c r="I309" s="113">
        <v>0</v>
      </c>
      <c r="J309" s="114">
        <f t="shared" si="37"/>
        <v>0</v>
      </c>
      <c r="K309" s="113">
        <f t="shared" si="38"/>
        <v>0</v>
      </c>
      <c r="L309" s="113">
        <v>0</v>
      </c>
      <c r="M309" s="113">
        <v>0</v>
      </c>
      <c r="N309" s="113">
        <v>0</v>
      </c>
      <c r="O309" s="113">
        <v>0</v>
      </c>
      <c r="P309" s="113">
        <v>0</v>
      </c>
    </row>
    <row r="310" spans="2:16" ht="13.9" customHeight="1" outlineLevel="1" x14ac:dyDescent="0.25">
      <c r="B310" s="149"/>
      <c r="C310" s="150" t="s">
        <v>38</v>
      </c>
      <c r="D310" s="85">
        <v>0</v>
      </c>
      <c r="E310" s="86">
        <v>0</v>
      </c>
      <c r="F310" s="142">
        <f t="shared" si="36"/>
        <v>0</v>
      </c>
      <c r="G310" s="113">
        <v>0</v>
      </c>
      <c r="H310" s="86">
        <v>0</v>
      </c>
      <c r="I310" s="113">
        <v>0</v>
      </c>
      <c r="J310" s="114">
        <f t="shared" si="37"/>
        <v>0</v>
      </c>
      <c r="K310" s="113">
        <f t="shared" si="38"/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</row>
    <row r="311" spans="2:16" ht="13.9" customHeight="1" outlineLevel="1" x14ac:dyDescent="0.25">
      <c r="B311" s="149"/>
      <c r="C311" s="150" t="s">
        <v>39</v>
      </c>
      <c r="D311" s="85">
        <v>0</v>
      </c>
      <c r="E311" s="86">
        <v>0</v>
      </c>
      <c r="F311" s="142">
        <f t="shared" si="36"/>
        <v>0</v>
      </c>
      <c r="G311" s="113">
        <v>0</v>
      </c>
      <c r="H311" s="86">
        <v>0</v>
      </c>
      <c r="I311" s="113">
        <v>0</v>
      </c>
      <c r="J311" s="114">
        <f t="shared" si="37"/>
        <v>0</v>
      </c>
      <c r="K311" s="113">
        <f t="shared" si="38"/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</row>
    <row r="312" spans="2:16" ht="13.9" customHeight="1" outlineLevel="1" x14ac:dyDescent="0.25">
      <c r="B312" s="149"/>
      <c r="C312" s="150" t="s">
        <v>40</v>
      </c>
      <c r="D312" s="85">
        <v>0</v>
      </c>
      <c r="E312" s="86">
        <v>0</v>
      </c>
      <c r="F312" s="142">
        <f t="shared" si="36"/>
        <v>0</v>
      </c>
      <c r="G312" s="113">
        <v>0</v>
      </c>
      <c r="H312" s="86">
        <v>0</v>
      </c>
      <c r="I312" s="113">
        <v>0</v>
      </c>
      <c r="J312" s="114">
        <f t="shared" si="37"/>
        <v>0</v>
      </c>
      <c r="K312" s="113">
        <f t="shared" si="38"/>
        <v>0</v>
      </c>
      <c r="L312" s="113">
        <v>0</v>
      </c>
      <c r="M312" s="113">
        <v>0</v>
      </c>
      <c r="N312" s="113">
        <v>0</v>
      </c>
      <c r="O312" s="113">
        <v>0</v>
      </c>
      <c r="P312" s="113">
        <v>0</v>
      </c>
    </row>
    <row r="313" spans="2:16" ht="13.9" customHeight="1" outlineLevel="1" x14ac:dyDescent="0.25">
      <c r="B313" s="149"/>
      <c r="C313" s="150" t="s">
        <v>41</v>
      </c>
      <c r="D313" s="85">
        <v>0</v>
      </c>
      <c r="E313" s="86">
        <v>0</v>
      </c>
      <c r="F313" s="142">
        <f t="shared" si="36"/>
        <v>0</v>
      </c>
      <c r="G313" s="113">
        <v>0</v>
      </c>
      <c r="H313" s="86">
        <v>0</v>
      </c>
      <c r="I313" s="113">
        <v>0</v>
      </c>
      <c r="J313" s="114">
        <f t="shared" si="37"/>
        <v>0</v>
      </c>
      <c r="K313" s="113">
        <f t="shared" si="38"/>
        <v>0</v>
      </c>
      <c r="L313" s="113">
        <v>0</v>
      </c>
      <c r="M313" s="113">
        <v>0</v>
      </c>
      <c r="N313" s="113">
        <v>0</v>
      </c>
      <c r="O313" s="113">
        <v>0</v>
      </c>
      <c r="P313" s="113">
        <v>0</v>
      </c>
    </row>
    <row r="314" spans="2:16" ht="13.9" customHeight="1" outlineLevel="1" x14ac:dyDescent="0.25">
      <c r="B314" s="149"/>
      <c r="C314" s="150" t="s">
        <v>42</v>
      </c>
      <c r="D314" s="85">
        <v>39</v>
      </c>
      <c r="E314" s="86">
        <v>89736937.769999996</v>
      </c>
      <c r="F314" s="142">
        <f t="shared" si="36"/>
        <v>50035665.74000001</v>
      </c>
      <c r="G314" s="113">
        <v>49455631.780000009</v>
      </c>
      <c r="H314" s="86">
        <v>40281305.989999995</v>
      </c>
      <c r="I314" s="113">
        <v>580033.9600000002</v>
      </c>
      <c r="J314" s="114">
        <f t="shared" si="37"/>
        <v>39701272.029999994</v>
      </c>
      <c r="K314" s="113">
        <f t="shared" si="38"/>
        <v>13263002.619999994</v>
      </c>
      <c r="L314" s="113">
        <v>26438269.41</v>
      </c>
      <c r="M314" s="113">
        <v>0</v>
      </c>
      <c r="N314" s="113">
        <v>0</v>
      </c>
      <c r="O314" s="113">
        <v>0</v>
      </c>
      <c r="P314" s="113">
        <v>0</v>
      </c>
    </row>
    <row r="315" spans="2:16" ht="13.9" customHeight="1" outlineLevel="1" x14ac:dyDescent="0.25">
      <c r="B315" s="149"/>
      <c r="C315" s="150" t="s">
        <v>43</v>
      </c>
      <c r="D315" s="85">
        <v>13</v>
      </c>
      <c r="E315" s="86">
        <v>91678063.140000001</v>
      </c>
      <c r="F315" s="142">
        <f t="shared" si="36"/>
        <v>48668484.859999999</v>
      </c>
      <c r="G315" s="113">
        <v>45132065.950000003</v>
      </c>
      <c r="H315" s="86">
        <v>46545997.189999998</v>
      </c>
      <c r="I315" s="113">
        <v>3536418.91</v>
      </c>
      <c r="J315" s="114">
        <f t="shared" si="37"/>
        <v>43009578.280000001</v>
      </c>
      <c r="K315" s="113">
        <f t="shared" si="38"/>
        <v>14977364.520000003</v>
      </c>
      <c r="L315" s="113">
        <v>28032213.759999998</v>
      </c>
      <c r="M315" s="113">
        <v>0</v>
      </c>
      <c r="N315" s="113">
        <v>0</v>
      </c>
      <c r="O315" s="113">
        <v>0</v>
      </c>
      <c r="P315" s="113">
        <v>0</v>
      </c>
    </row>
    <row r="316" spans="2:16" ht="13.9" customHeight="1" outlineLevel="1" x14ac:dyDescent="0.25">
      <c r="B316" s="149"/>
      <c r="C316" s="150" t="s">
        <v>44</v>
      </c>
      <c r="D316" s="85">
        <v>1</v>
      </c>
      <c r="E316" s="86">
        <v>3817841.3</v>
      </c>
      <c r="F316" s="142">
        <f t="shared" si="36"/>
        <v>1544136.13</v>
      </c>
      <c r="G316" s="113">
        <v>1544136.13</v>
      </c>
      <c r="H316" s="86">
        <v>2273705.17</v>
      </c>
      <c r="I316" s="113">
        <v>0</v>
      </c>
      <c r="J316" s="114">
        <f t="shared" si="37"/>
        <v>2273705.17</v>
      </c>
      <c r="K316" s="113">
        <f t="shared" si="38"/>
        <v>0</v>
      </c>
      <c r="L316" s="113">
        <v>364784.52</v>
      </c>
      <c r="M316" s="113">
        <v>1908920.65</v>
      </c>
      <c r="N316" s="113">
        <v>0</v>
      </c>
      <c r="O316" s="113">
        <v>0</v>
      </c>
      <c r="P316" s="113">
        <v>0</v>
      </c>
    </row>
    <row r="317" spans="2:16" ht="13.9" customHeight="1" outlineLevel="1" x14ac:dyDescent="0.25">
      <c r="B317" s="149"/>
      <c r="C317" s="150" t="s">
        <v>45</v>
      </c>
      <c r="D317" s="85">
        <v>0</v>
      </c>
      <c r="E317" s="86">
        <v>0</v>
      </c>
      <c r="F317" s="142">
        <f t="shared" si="36"/>
        <v>0</v>
      </c>
      <c r="G317" s="113">
        <v>0</v>
      </c>
      <c r="H317" s="86">
        <v>0</v>
      </c>
      <c r="I317" s="113">
        <v>0</v>
      </c>
      <c r="J317" s="114">
        <f t="shared" si="37"/>
        <v>0</v>
      </c>
      <c r="K317" s="113">
        <f t="shared" si="38"/>
        <v>0</v>
      </c>
      <c r="L317" s="113">
        <v>0</v>
      </c>
      <c r="M317" s="113">
        <v>0</v>
      </c>
      <c r="N317" s="113">
        <v>0</v>
      </c>
      <c r="O317" s="113">
        <v>0</v>
      </c>
      <c r="P317" s="113">
        <v>0</v>
      </c>
    </row>
    <row r="318" spans="2:16" ht="13.9" customHeight="1" outlineLevel="1" x14ac:dyDescent="0.25">
      <c r="B318" s="149"/>
      <c r="C318" s="150" t="s">
        <v>46</v>
      </c>
      <c r="D318" s="85">
        <v>0</v>
      </c>
      <c r="E318" s="86">
        <v>0</v>
      </c>
      <c r="F318" s="142">
        <f t="shared" si="36"/>
        <v>0</v>
      </c>
      <c r="G318" s="113">
        <v>0</v>
      </c>
      <c r="H318" s="86">
        <v>0</v>
      </c>
      <c r="I318" s="113">
        <v>0</v>
      </c>
      <c r="J318" s="114">
        <f t="shared" si="37"/>
        <v>0</v>
      </c>
      <c r="K318" s="113">
        <f t="shared" si="38"/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</row>
    <row r="319" spans="2:16" ht="13.9" customHeight="1" outlineLevel="1" x14ac:dyDescent="0.25">
      <c r="B319" s="149"/>
      <c r="C319" s="150" t="s">
        <v>47</v>
      </c>
      <c r="D319" s="85">
        <v>84</v>
      </c>
      <c r="E319" s="86">
        <v>177496084.59999996</v>
      </c>
      <c r="F319" s="142">
        <f t="shared" si="36"/>
        <v>97378434.200000003</v>
      </c>
      <c r="G319" s="113">
        <v>93630405.010000005</v>
      </c>
      <c r="H319" s="86">
        <v>83865679.590000004</v>
      </c>
      <c r="I319" s="113">
        <v>3748029.19</v>
      </c>
      <c r="J319" s="114">
        <f t="shared" si="37"/>
        <v>80117650.400000006</v>
      </c>
      <c r="K319" s="113">
        <f t="shared" si="38"/>
        <v>80117650.400000006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</row>
    <row r="320" spans="2:16" ht="13.9" customHeight="1" outlineLevel="1" x14ac:dyDescent="0.25">
      <c r="B320" s="149"/>
      <c r="C320" s="150" t="s">
        <v>48</v>
      </c>
      <c r="D320" s="85">
        <v>32</v>
      </c>
      <c r="E320" s="86">
        <v>37354053.349999994</v>
      </c>
      <c r="F320" s="142">
        <f t="shared" si="36"/>
        <v>21269840.540000003</v>
      </c>
      <c r="G320" s="113">
        <v>18923300.730000004</v>
      </c>
      <c r="H320" s="86">
        <v>18430752.619999994</v>
      </c>
      <c r="I320" s="113">
        <v>2346539.8099999996</v>
      </c>
      <c r="J320" s="114">
        <f t="shared" si="37"/>
        <v>16084212.809999995</v>
      </c>
      <c r="K320" s="113">
        <f t="shared" si="38"/>
        <v>4386060.0299999975</v>
      </c>
      <c r="L320" s="113">
        <v>11698152.779999997</v>
      </c>
      <c r="M320" s="113">
        <v>0</v>
      </c>
      <c r="N320" s="113">
        <v>0</v>
      </c>
      <c r="O320" s="113">
        <v>0</v>
      </c>
      <c r="P320" s="113">
        <v>0</v>
      </c>
    </row>
    <row r="321" spans="2:16" ht="13.9" customHeight="1" outlineLevel="1" x14ac:dyDescent="0.25">
      <c r="B321" s="149"/>
      <c r="C321" s="150" t="s">
        <v>49</v>
      </c>
      <c r="D321" s="85">
        <v>5</v>
      </c>
      <c r="E321" s="86">
        <v>52424322.970000006</v>
      </c>
      <c r="F321" s="142">
        <f t="shared" si="36"/>
        <v>32198292.91</v>
      </c>
      <c r="G321" s="113">
        <v>29199507.32</v>
      </c>
      <c r="H321" s="86">
        <v>23224815.650000002</v>
      </c>
      <c r="I321" s="113">
        <v>2998785.59</v>
      </c>
      <c r="J321" s="114">
        <f t="shared" si="37"/>
        <v>20226030.060000002</v>
      </c>
      <c r="K321" s="113">
        <f t="shared" si="38"/>
        <v>11599112.830000002</v>
      </c>
      <c r="L321" s="113">
        <v>8626917.2300000004</v>
      </c>
      <c r="M321" s="113">
        <v>0</v>
      </c>
      <c r="N321" s="113">
        <v>0</v>
      </c>
      <c r="O321" s="113">
        <v>0</v>
      </c>
      <c r="P321" s="113">
        <v>0</v>
      </c>
    </row>
    <row r="322" spans="2:16" ht="13.9" customHeight="1" outlineLevel="1" x14ac:dyDescent="0.25">
      <c r="B322" s="149"/>
      <c r="C322" s="150" t="s">
        <v>50</v>
      </c>
      <c r="D322" s="85">
        <v>0</v>
      </c>
      <c r="E322" s="86">
        <v>0</v>
      </c>
      <c r="F322" s="142">
        <f t="shared" si="36"/>
        <v>0</v>
      </c>
      <c r="G322" s="113">
        <v>0</v>
      </c>
      <c r="H322" s="86">
        <v>0</v>
      </c>
      <c r="I322" s="113">
        <v>0</v>
      </c>
      <c r="J322" s="114">
        <f t="shared" si="37"/>
        <v>0</v>
      </c>
      <c r="K322" s="113">
        <f t="shared" si="38"/>
        <v>0</v>
      </c>
      <c r="L322" s="113">
        <v>0</v>
      </c>
      <c r="M322" s="113">
        <v>0</v>
      </c>
      <c r="N322" s="113">
        <v>0</v>
      </c>
      <c r="O322" s="113">
        <v>0</v>
      </c>
      <c r="P322" s="113">
        <v>0</v>
      </c>
    </row>
    <row r="323" spans="2:16" ht="13.9" customHeight="1" outlineLevel="1" x14ac:dyDescent="0.25">
      <c r="B323" s="149"/>
      <c r="C323" s="150" t="s">
        <v>51</v>
      </c>
      <c r="D323" s="85">
        <v>2</v>
      </c>
      <c r="E323" s="86">
        <v>2545888.2999999998</v>
      </c>
      <c r="F323" s="142">
        <f t="shared" si="36"/>
        <v>1143254.3299999998</v>
      </c>
      <c r="G323" s="113">
        <v>1018467.44</v>
      </c>
      <c r="H323" s="86">
        <v>1527420.8599999999</v>
      </c>
      <c r="I323" s="113">
        <v>124786.89</v>
      </c>
      <c r="J323" s="114">
        <f t="shared" si="37"/>
        <v>1402633.97</v>
      </c>
      <c r="K323" s="113">
        <f t="shared" si="38"/>
        <v>124891.68999999994</v>
      </c>
      <c r="L323" s="113">
        <v>1277742.28</v>
      </c>
      <c r="M323" s="113">
        <v>0</v>
      </c>
      <c r="N323" s="113">
        <v>0</v>
      </c>
      <c r="O323" s="113">
        <v>0</v>
      </c>
      <c r="P323" s="113">
        <v>0</v>
      </c>
    </row>
    <row r="324" spans="2:16" ht="13.9" customHeight="1" outlineLevel="1" x14ac:dyDescent="0.25">
      <c r="B324" s="149"/>
      <c r="C324" s="150" t="s">
        <v>52</v>
      </c>
      <c r="D324" s="85">
        <v>0</v>
      </c>
      <c r="E324" s="86">
        <v>0</v>
      </c>
      <c r="F324" s="142">
        <f t="shared" si="36"/>
        <v>0</v>
      </c>
      <c r="G324" s="113">
        <v>0</v>
      </c>
      <c r="H324" s="86">
        <v>0</v>
      </c>
      <c r="I324" s="113">
        <v>0</v>
      </c>
      <c r="J324" s="114">
        <f t="shared" si="37"/>
        <v>0</v>
      </c>
      <c r="K324" s="113">
        <f t="shared" si="38"/>
        <v>0</v>
      </c>
      <c r="L324" s="113">
        <v>0</v>
      </c>
      <c r="M324" s="113">
        <v>0</v>
      </c>
      <c r="N324" s="113">
        <v>0</v>
      </c>
      <c r="O324" s="113">
        <v>0</v>
      </c>
      <c r="P324" s="113">
        <v>0</v>
      </c>
    </row>
    <row r="325" spans="2:16" ht="13.9" customHeight="1" outlineLevel="1" x14ac:dyDescent="0.25">
      <c r="B325" s="149"/>
      <c r="C325" s="150" t="s">
        <v>53</v>
      </c>
      <c r="D325" s="85">
        <v>0</v>
      </c>
      <c r="E325" s="86">
        <v>0</v>
      </c>
      <c r="F325" s="142">
        <f t="shared" si="36"/>
        <v>0</v>
      </c>
      <c r="G325" s="113">
        <v>0</v>
      </c>
      <c r="H325" s="86">
        <v>0</v>
      </c>
      <c r="I325" s="113">
        <v>0</v>
      </c>
      <c r="J325" s="114">
        <f t="shared" si="37"/>
        <v>0</v>
      </c>
      <c r="K325" s="113">
        <f t="shared" si="38"/>
        <v>0</v>
      </c>
      <c r="L325" s="113">
        <v>0</v>
      </c>
      <c r="M325" s="113">
        <v>0</v>
      </c>
      <c r="N325" s="113">
        <v>0</v>
      </c>
      <c r="O325" s="113">
        <v>0</v>
      </c>
      <c r="P325" s="113">
        <v>0</v>
      </c>
    </row>
    <row r="326" spans="2:16" ht="13.9" customHeight="1" outlineLevel="1" x14ac:dyDescent="0.25">
      <c r="B326" s="149"/>
      <c r="C326" s="150" t="s">
        <v>54</v>
      </c>
      <c r="D326" s="85">
        <v>0</v>
      </c>
      <c r="E326" s="86">
        <v>0</v>
      </c>
      <c r="F326" s="142">
        <f t="shared" si="36"/>
        <v>0</v>
      </c>
      <c r="G326" s="113">
        <v>0</v>
      </c>
      <c r="H326" s="86">
        <v>0</v>
      </c>
      <c r="I326" s="113">
        <v>0</v>
      </c>
      <c r="J326" s="114">
        <f t="shared" si="37"/>
        <v>0</v>
      </c>
      <c r="K326" s="113">
        <f t="shared" si="38"/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</row>
    <row r="327" spans="2:16" ht="13.9" customHeight="1" outlineLevel="1" x14ac:dyDescent="0.25">
      <c r="B327" s="149"/>
      <c r="C327" s="150" t="s">
        <v>55</v>
      </c>
      <c r="D327" s="85">
        <v>0</v>
      </c>
      <c r="E327" s="86">
        <v>0</v>
      </c>
      <c r="F327" s="142">
        <f t="shared" si="36"/>
        <v>0</v>
      </c>
      <c r="G327" s="113">
        <v>0</v>
      </c>
      <c r="H327" s="86">
        <v>0</v>
      </c>
      <c r="I327" s="113">
        <v>0</v>
      </c>
      <c r="J327" s="114">
        <f t="shared" si="37"/>
        <v>0</v>
      </c>
      <c r="K327" s="113">
        <f t="shared" si="38"/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</row>
    <row r="328" spans="2:16" ht="13.9" customHeight="1" outlineLevel="1" x14ac:dyDescent="0.25">
      <c r="B328" s="149"/>
      <c r="C328" s="150" t="s">
        <v>56</v>
      </c>
      <c r="D328" s="85">
        <v>0</v>
      </c>
      <c r="E328" s="86">
        <v>0</v>
      </c>
      <c r="F328" s="142">
        <f t="shared" si="36"/>
        <v>0</v>
      </c>
      <c r="G328" s="113">
        <v>0</v>
      </c>
      <c r="H328" s="86">
        <v>0</v>
      </c>
      <c r="I328" s="113">
        <v>0</v>
      </c>
      <c r="J328" s="114">
        <f t="shared" si="37"/>
        <v>0</v>
      </c>
      <c r="K328" s="113">
        <f t="shared" si="38"/>
        <v>0</v>
      </c>
      <c r="L328" s="113">
        <v>0</v>
      </c>
      <c r="M328" s="113">
        <v>0</v>
      </c>
      <c r="N328" s="113">
        <v>0</v>
      </c>
      <c r="O328" s="113">
        <v>0</v>
      </c>
      <c r="P328" s="113">
        <v>0</v>
      </c>
    </row>
    <row r="329" spans="2:16" ht="13.9" customHeight="1" outlineLevel="1" x14ac:dyDescent="0.25">
      <c r="B329" s="149"/>
      <c r="C329" s="150" t="s">
        <v>57</v>
      </c>
      <c r="D329" s="85">
        <v>0</v>
      </c>
      <c r="E329" s="86">
        <v>0</v>
      </c>
      <c r="F329" s="142">
        <f t="shared" si="36"/>
        <v>0</v>
      </c>
      <c r="G329" s="113">
        <v>0</v>
      </c>
      <c r="H329" s="86">
        <v>0</v>
      </c>
      <c r="I329" s="113">
        <v>0</v>
      </c>
      <c r="J329" s="114">
        <f t="shared" si="37"/>
        <v>0</v>
      </c>
      <c r="K329" s="113">
        <f t="shared" si="38"/>
        <v>0</v>
      </c>
      <c r="L329" s="113">
        <v>0</v>
      </c>
      <c r="M329" s="113">
        <v>0</v>
      </c>
      <c r="N329" s="113">
        <v>0</v>
      </c>
      <c r="O329" s="113">
        <v>0</v>
      </c>
      <c r="P329" s="113">
        <v>0</v>
      </c>
    </row>
    <row r="330" spans="2:16" ht="13.9" customHeight="1" outlineLevel="1" x14ac:dyDescent="0.25">
      <c r="B330" s="149"/>
      <c r="C330" s="150" t="s">
        <v>58</v>
      </c>
      <c r="D330" s="85">
        <v>0</v>
      </c>
      <c r="E330" s="86">
        <v>0</v>
      </c>
      <c r="F330" s="142">
        <f t="shared" si="36"/>
        <v>0</v>
      </c>
      <c r="G330" s="113">
        <v>0</v>
      </c>
      <c r="H330" s="86">
        <v>0</v>
      </c>
      <c r="I330" s="113">
        <v>0</v>
      </c>
      <c r="J330" s="114">
        <f t="shared" si="37"/>
        <v>0</v>
      </c>
      <c r="K330" s="113">
        <f t="shared" si="38"/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</row>
    <row r="331" spans="2:16" ht="13.9" customHeight="1" outlineLevel="1" x14ac:dyDescent="0.25">
      <c r="B331" s="149"/>
      <c r="C331" s="150" t="s">
        <v>59</v>
      </c>
      <c r="D331" s="85">
        <v>0</v>
      </c>
      <c r="E331" s="86">
        <v>0</v>
      </c>
      <c r="F331" s="142">
        <f t="shared" si="36"/>
        <v>0</v>
      </c>
      <c r="G331" s="113">
        <v>0</v>
      </c>
      <c r="H331" s="86">
        <v>0</v>
      </c>
      <c r="I331" s="113">
        <v>0</v>
      </c>
      <c r="J331" s="114">
        <f t="shared" si="37"/>
        <v>0</v>
      </c>
      <c r="K331" s="113">
        <f t="shared" si="38"/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</row>
    <row r="332" spans="2:16" ht="13.9" customHeight="1" outlineLevel="1" x14ac:dyDescent="0.25">
      <c r="B332" s="149"/>
      <c r="C332" s="150" t="s">
        <v>60</v>
      </c>
      <c r="D332" s="85">
        <v>0</v>
      </c>
      <c r="E332" s="86">
        <v>0</v>
      </c>
      <c r="F332" s="142">
        <f t="shared" si="36"/>
        <v>0</v>
      </c>
      <c r="G332" s="113">
        <v>0</v>
      </c>
      <c r="H332" s="86">
        <v>0</v>
      </c>
      <c r="I332" s="113">
        <v>0</v>
      </c>
      <c r="J332" s="114">
        <f t="shared" si="37"/>
        <v>0</v>
      </c>
      <c r="K332" s="113">
        <f t="shared" si="38"/>
        <v>0</v>
      </c>
      <c r="L332" s="113">
        <v>0</v>
      </c>
      <c r="M332" s="113">
        <v>0</v>
      </c>
      <c r="N332" s="113">
        <v>0</v>
      </c>
      <c r="O332" s="113">
        <v>0</v>
      </c>
      <c r="P332" s="113">
        <v>0</v>
      </c>
    </row>
    <row r="333" spans="2:16" ht="13.9" customHeight="1" outlineLevel="1" x14ac:dyDescent="0.25">
      <c r="B333" s="149"/>
      <c r="C333" s="150" t="s">
        <v>61</v>
      </c>
      <c r="D333" s="85">
        <v>0</v>
      </c>
      <c r="E333" s="86">
        <v>0</v>
      </c>
      <c r="F333" s="142">
        <f t="shared" si="36"/>
        <v>0</v>
      </c>
      <c r="G333" s="113">
        <v>0</v>
      </c>
      <c r="H333" s="86">
        <v>0</v>
      </c>
      <c r="I333" s="113">
        <v>0</v>
      </c>
      <c r="J333" s="114">
        <f t="shared" si="37"/>
        <v>0</v>
      </c>
      <c r="K333" s="113">
        <f t="shared" si="38"/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</row>
    <row r="334" spans="2:16" ht="13.9" customHeight="1" outlineLevel="1" x14ac:dyDescent="0.25">
      <c r="B334" s="149"/>
      <c r="C334" s="150" t="s">
        <v>62</v>
      </c>
      <c r="D334" s="85">
        <v>0</v>
      </c>
      <c r="E334" s="86">
        <v>0</v>
      </c>
      <c r="F334" s="142">
        <f t="shared" si="36"/>
        <v>0</v>
      </c>
      <c r="G334" s="113">
        <v>0</v>
      </c>
      <c r="H334" s="86">
        <v>0</v>
      </c>
      <c r="I334" s="113">
        <v>0</v>
      </c>
      <c r="J334" s="114">
        <f t="shared" si="37"/>
        <v>0</v>
      </c>
      <c r="K334" s="113">
        <f t="shared" si="38"/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</row>
    <row r="335" spans="2:16" ht="13.9" customHeight="1" outlineLevel="1" x14ac:dyDescent="0.25">
      <c r="B335" s="149"/>
      <c r="C335" s="150" t="s">
        <v>63</v>
      </c>
      <c r="D335" s="85">
        <v>0</v>
      </c>
      <c r="E335" s="86">
        <v>0</v>
      </c>
      <c r="F335" s="142">
        <f t="shared" si="36"/>
        <v>0</v>
      </c>
      <c r="G335" s="113">
        <v>0</v>
      </c>
      <c r="H335" s="86">
        <v>0</v>
      </c>
      <c r="I335" s="113">
        <v>0</v>
      </c>
      <c r="J335" s="114">
        <f t="shared" si="37"/>
        <v>0</v>
      </c>
      <c r="K335" s="113">
        <f t="shared" si="38"/>
        <v>0</v>
      </c>
      <c r="L335" s="113">
        <v>0</v>
      </c>
      <c r="M335" s="113">
        <v>0</v>
      </c>
      <c r="N335" s="113">
        <v>0</v>
      </c>
      <c r="O335" s="113">
        <v>0</v>
      </c>
      <c r="P335" s="113">
        <v>0</v>
      </c>
    </row>
    <row r="336" spans="2:16" ht="13.9" customHeight="1" outlineLevel="1" x14ac:dyDescent="0.25">
      <c r="B336" s="149"/>
      <c r="C336" s="150" t="s">
        <v>64</v>
      </c>
      <c r="D336" s="85">
        <v>7</v>
      </c>
      <c r="E336" s="86">
        <v>19299206.399999999</v>
      </c>
      <c r="F336" s="142">
        <f t="shared" si="36"/>
        <v>10794200.809999999</v>
      </c>
      <c r="G336" s="113">
        <v>9052123.9299999997</v>
      </c>
      <c r="H336" s="86">
        <v>10247082.470000001</v>
      </c>
      <c r="I336" s="113">
        <v>1742076.88</v>
      </c>
      <c r="J336" s="114">
        <f t="shared" si="37"/>
        <v>8505005.5899999999</v>
      </c>
      <c r="K336" s="113">
        <f t="shared" si="38"/>
        <v>8505005.5899999999</v>
      </c>
      <c r="L336" s="113">
        <v>0</v>
      </c>
      <c r="M336" s="113">
        <v>0</v>
      </c>
      <c r="N336" s="113">
        <v>0</v>
      </c>
      <c r="O336" s="113">
        <v>0</v>
      </c>
      <c r="P336" s="113">
        <v>0</v>
      </c>
    </row>
    <row r="337" spans="2:16" ht="13.9" customHeight="1" outlineLevel="1" x14ac:dyDescent="0.25">
      <c r="B337" s="149"/>
      <c r="C337" s="150" t="s">
        <v>65</v>
      </c>
      <c r="D337" s="85">
        <v>0</v>
      </c>
      <c r="E337" s="86">
        <v>0</v>
      </c>
      <c r="F337" s="142">
        <f t="shared" si="36"/>
        <v>0</v>
      </c>
      <c r="G337" s="113">
        <v>0</v>
      </c>
      <c r="H337" s="86">
        <v>0</v>
      </c>
      <c r="I337" s="113">
        <v>0</v>
      </c>
      <c r="J337" s="114">
        <f t="shared" si="37"/>
        <v>0</v>
      </c>
      <c r="K337" s="113">
        <f t="shared" si="38"/>
        <v>0</v>
      </c>
      <c r="L337" s="113">
        <v>0</v>
      </c>
      <c r="M337" s="113">
        <v>0</v>
      </c>
      <c r="N337" s="113">
        <v>0</v>
      </c>
      <c r="O337" s="113">
        <v>0</v>
      </c>
      <c r="P337" s="113">
        <v>0</v>
      </c>
    </row>
    <row r="338" spans="2:16" ht="13.9" customHeight="1" outlineLevel="1" x14ac:dyDescent="0.25">
      <c r="B338" s="149"/>
      <c r="C338" s="150" t="s">
        <v>66</v>
      </c>
      <c r="D338" s="85">
        <v>0</v>
      </c>
      <c r="E338" s="86">
        <v>0</v>
      </c>
      <c r="F338" s="142">
        <f t="shared" si="36"/>
        <v>0</v>
      </c>
      <c r="G338" s="113">
        <v>0</v>
      </c>
      <c r="H338" s="86">
        <v>0</v>
      </c>
      <c r="I338" s="113">
        <v>0</v>
      </c>
      <c r="J338" s="114">
        <f t="shared" si="37"/>
        <v>0</v>
      </c>
      <c r="K338" s="113">
        <f t="shared" si="38"/>
        <v>0</v>
      </c>
      <c r="L338" s="113">
        <v>0</v>
      </c>
      <c r="M338" s="113">
        <v>0</v>
      </c>
      <c r="N338" s="113">
        <v>0</v>
      </c>
      <c r="O338" s="113">
        <v>0</v>
      </c>
      <c r="P338" s="113">
        <v>0</v>
      </c>
    </row>
    <row r="339" spans="2:16" ht="13.9" customHeight="1" outlineLevel="1" x14ac:dyDescent="0.25">
      <c r="B339" s="149"/>
      <c r="C339" s="150" t="s">
        <v>67</v>
      </c>
      <c r="D339" s="85">
        <v>10</v>
      </c>
      <c r="E339" s="86">
        <v>25860586.199999999</v>
      </c>
      <c r="F339" s="142">
        <f t="shared" si="36"/>
        <v>14724303.019999996</v>
      </c>
      <c r="G339" s="113">
        <v>14721794.879999995</v>
      </c>
      <c r="H339" s="86">
        <v>11138791.32</v>
      </c>
      <c r="I339" s="113">
        <v>2508.14</v>
      </c>
      <c r="J339" s="114">
        <f t="shared" si="37"/>
        <v>11136283.18</v>
      </c>
      <c r="K339" s="113">
        <f t="shared" si="38"/>
        <v>11136283.18</v>
      </c>
      <c r="L339" s="113">
        <v>0</v>
      </c>
      <c r="M339" s="113">
        <v>0</v>
      </c>
      <c r="N339" s="113">
        <v>0</v>
      </c>
      <c r="O339" s="113">
        <v>0</v>
      </c>
      <c r="P339" s="113">
        <v>0</v>
      </c>
    </row>
    <row r="340" spans="2:16" ht="13.9" customHeight="1" x14ac:dyDescent="0.25">
      <c r="B340" s="149"/>
      <c r="C340" s="148" t="s">
        <v>103</v>
      </c>
      <c r="D340" s="90">
        <f>SUM(D303:D339)</f>
        <v>282</v>
      </c>
      <c r="E340" s="91">
        <f t="shared" ref="E340:P340" si="39">SUM(E303:E339)</f>
        <v>757554251.56999993</v>
      </c>
      <c r="F340" s="92">
        <f t="shared" si="39"/>
        <v>421327494.08999997</v>
      </c>
      <c r="G340" s="93">
        <f t="shared" si="39"/>
        <v>398124202.46999997</v>
      </c>
      <c r="H340" s="90">
        <f t="shared" si="39"/>
        <v>359430049.10000002</v>
      </c>
      <c r="I340" s="91">
        <f t="shared" si="39"/>
        <v>23203291.619999997</v>
      </c>
      <c r="J340" s="92">
        <f t="shared" si="39"/>
        <v>336226757.48000002</v>
      </c>
      <c r="K340" s="93">
        <f t="shared" si="39"/>
        <v>195711931.97000006</v>
      </c>
      <c r="L340" s="90">
        <f t="shared" si="39"/>
        <v>129133517.41999999</v>
      </c>
      <c r="M340" s="91">
        <f t="shared" si="39"/>
        <v>11381308.09</v>
      </c>
      <c r="N340" s="90">
        <f t="shared" si="39"/>
        <v>0</v>
      </c>
      <c r="O340" s="91">
        <f t="shared" si="39"/>
        <v>0</v>
      </c>
      <c r="P340" s="91">
        <f t="shared" si="39"/>
        <v>0</v>
      </c>
    </row>
    <row r="341" spans="2:16" ht="13.9" customHeight="1" outlineLevel="1" x14ac:dyDescent="0.25">
      <c r="B341" s="149" t="s">
        <v>83</v>
      </c>
      <c r="C341" s="150" t="s">
        <v>70</v>
      </c>
      <c r="D341" s="85">
        <v>33</v>
      </c>
      <c r="E341" s="86">
        <v>69730451.209999993</v>
      </c>
      <c r="F341" s="142">
        <f t="shared" si="36"/>
        <v>32308340.910000008</v>
      </c>
      <c r="G341" s="113">
        <v>31721428.040000007</v>
      </c>
      <c r="H341" s="86">
        <v>38009023.169999994</v>
      </c>
      <c r="I341" s="113">
        <v>586912.87000000011</v>
      </c>
      <c r="J341" s="114">
        <f t="shared" si="37"/>
        <v>37422110.299999997</v>
      </c>
      <c r="K341" s="113">
        <f t="shared" si="38"/>
        <v>7583525.2899999991</v>
      </c>
      <c r="L341" s="113">
        <v>15296211.399999999</v>
      </c>
      <c r="M341" s="113">
        <v>9190138.3600000013</v>
      </c>
      <c r="N341" s="113">
        <v>5352235.25</v>
      </c>
      <c r="O341" s="113">
        <v>0</v>
      </c>
      <c r="P341" s="113">
        <v>0</v>
      </c>
    </row>
    <row r="342" spans="2:16" ht="13.9" customHeight="1" outlineLevel="1" x14ac:dyDescent="0.25">
      <c r="B342" s="149"/>
      <c r="C342" s="150" t="s">
        <v>71</v>
      </c>
      <c r="D342" s="85">
        <v>2</v>
      </c>
      <c r="E342" s="86">
        <v>23264174.98</v>
      </c>
      <c r="F342" s="142">
        <f t="shared" si="36"/>
        <v>9313483.5300000012</v>
      </c>
      <c r="G342" s="113">
        <v>9313483.5300000012</v>
      </c>
      <c r="H342" s="86">
        <v>13950691.449999999</v>
      </c>
      <c r="I342" s="113">
        <v>0</v>
      </c>
      <c r="J342" s="114">
        <f t="shared" si="37"/>
        <v>13950691.449999999</v>
      </c>
      <c r="K342" s="113">
        <f t="shared" si="38"/>
        <v>2318603.959999999</v>
      </c>
      <c r="L342" s="113">
        <v>11632087.49</v>
      </c>
      <c r="M342" s="113">
        <v>0</v>
      </c>
      <c r="N342" s="113">
        <v>0</v>
      </c>
      <c r="O342" s="113">
        <v>0</v>
      </c>
      <c r="P342" s="113">
        <v>0</v>
      </c>
    </row>
    <row r="343" spans="2:16" ht="13.9" customHeight="1" outlineLevel="1" x14ac:dyDescent="0.25">
      <c r="B343" s="149"/>
      <c r="C343" s="150" t="s">
        <v>72</v>
      </c>
      <c r="D343" s="85">
        <v>3</v>
      </c>
      <c r="E343" s="86">
        <v>10012283.390000001</v>
      </c>
      <c r="F343" s="142">
        <f t="shared" si="36"/>
        <v>4004916.7800000003</v>
      </c>
      <c r="G343" s="113">
        <v>4004916.7800000003</v>
      </c>
      <c r="H343" s="86">
        <v>6007366.6100000003</v>
      </c>
      <c r="I343" s="113">
        <v>0</v>
      </c>
      <c r="J343" s="114">
        <f t="shared" si="37"/>
        <v>6007366.6100000003</v>
      </c>
      <c r="K343" s="113">
        <f t="shared" si="38"/>
        <v>1001224.9100000001</v>
      </c>
      <c r="L343" s="113">
        <v>1001228.34</v>
      </c>
      <c r="M343" s="113">
        <v>0</v>
      </c>
      <c r="N343" s="113">
        <v>4004913.36</v>
      </c>
      <c r="O343" s="113">
        <v>0</v>
      </c>
      <c r="P343" s="113">
        <v>0</v>
      </c>
    </row>
    <row r="344" spans="2:16" ht="13.9" customHeight="1" x14ac:dyDescent="0.25">
      <c r="B344" s="149"/>
      <c r="C344" s="148" t="s">
        <v>104</v>
      </c>
      <c r="D344" s="90">
        <f>SUM(D341:D343)</f>
        <v>38</v>
      </c>
      <c r="E344" s="91">
        <f t="shared" ref="E344:P344" si="40">SUM(E341:E343)</f>
        <v>103006909.58</v>
      </c>
      <c r="F344" s="92">
        <f t="shared" si="40"/>
        <v>45626741.220000014</v>
      </c>
      <c r="G344" s="93">
        <f t="shared" si="40"/>
        <v>45039828.350000009</v>
      </c>
      <c r="H344" s="90">
        <f t="shared" si="40"/>
        <v>57967081.229999989</v>
      </c>
      <c r="I344" s="91">
        <f t="shared" si="40"/>
        <v>586912.87000000011</v>
      </c>
      <c r="J344" s="92">
        <f t="shared" si="40"/>
        <v>57380168.359999999</v>
      </c>
      <c r="K344" s="93">
        <f t="shared" si="40"/>
        <v>10903354.159999998</v>
      </c>
      <c r="L344" s="90">
        <f t="shared" si="40"/>
        <v>27929527.23</v>
      </c>
      <c r="M344" s="91">
        <f t="shared" si="40"/>
        <v>9190138.3600000013</v>
      </c>
      <c r="N344" s="90">
        <f t="shared" si="40"/>
        <v>9357148.6099999994</v>
      </c>
      <c r="O344" s="91">
        <f t="shared" si="40"/>
        <v>0</v>
      </c>
      <c r="P344" s="91">
        <f t="shared" si="40"/>
        <v>0</v>
      </c>
    </row>
    <row r="345" spans="2:16" ht="13.9" customHeight="1" outlineLevel="1" x14ac:dyDescent="0.25">
      <c r="B345" s="149" t="s">
        <v>105</v>
      </c>
      <c r="C345" s="150" t="s">
        <v>75</v>
      </c>
      <c r="D345" s="85">
        <v>0</v>
      </c>
      <c r="E345" s="86">
        <v>0</v>
      </c>
      <c r="F345" s="142">
        <f t="shared" si="36"/>
        <v>0</v>
      </c>
      <c r="G345" s="113">
        <v>0</v>
      </c>
      <c r="H345" s="86">
        <v>0</v>
      </c>
      <c r="I345" s="113">
        <v>0</v>
      </c>
      <c r="J345" s="114">
        <f t="shared" si="37"/>
        <v>0</v>
      </c>
      <c r="K345" s="113">
        <f t="shared" si="38"/>
        <v>0</v>
      </c>
      <c r="L345" s="113">
        <v>0</v>
      </c>
      <c r="M345" s="113">
        <v>0</v>
      </c>
      <c r="N345" s="113">
        <v>0</v>
      </c>
      <c r="O345" s="113">
        <v>0</v>
      </c>
      <c r="P345" s="113">
        <v>0</v>
      </c>
    </row>
    <row r="346" spans="2:16" ht="13.9" customHeight="1" outlineLevel="1" x14ac:dyDescent="0.25">
      <c r="B346" s="149"/>
      <c r="C346" s="150" t="s">
        <v>76</v>
      </c>
      <c r="D346" s="85">
        <v>0</v>
      </c>
      <c r="E346" s="86">
        <v>0</v>
      </c>
      <c r="F346" s="142">
        <f t="shared" si="36"/>
        <v>0</v>
      </c>
      <c r="G346" s="113">
        <v>0</v>
      </c>
      <c r="H346" s="86">
        <v>0</v>
      </c>
      <c r="I346" s="113">
        <v>0</v>
      </c>
      <c r="J346" s="114">
        <f t="shared" si="37"/>
        <v>0</v>
      </c>
      <c r="K346" s="113">
        <f t="shared" si="38"/>
        <v>0</v>
      </c>
      <c r="L346" s="113">
        <v>0</v>
      </c>
      <c r="M346" s="113">
        <v>0</v>
      </c>
      <c r="N346" s="113">
        <v>0</v>
      </c>
      <c r="O346" s="113">
        <v>0</v>
      </c>
      <c r="P346" s="113">
        <v>0</v>
      </c>
    </row>
    <row r="347" spans="2:16" ht="13.9" customHeight="1" x14ac:dyDescent="0.25">
      <c r="B347" s="149"/>
      <c r="C347" s="148" t="s">
        <v>106</v>
      </c>
      <c r="D347" s="90">
        <f>SUM(D345:D346)</f>
        <v>0</v>
      </c>
      <c r="E347" s="91">
        <f t="shared" ref="E347:P347" si="41">SUM(E345:E346)</f>
        <v>0</v>
      </c>
      <c r="F347" s="92">
        <f t="shared" si="41"/>
        <v>0</v>
      </c>
      <c r="G347" s="93">
        <f t="shared" si="41"/>
        <v>0</v>
      </c>
      <c r="H347" s="90">
        <f t="shared" si="41"/>
        <v>0</v>
      </c>
      <c r="I347" s="91">
        <f t="shared" si="41"/>
        <v>0</v>
      </c>
      <c r="J347" s="92">
        <f t="shared" si="41"/>
        <v>0</v>
      </c>
      <c r="K347" s="93">
        <f t="shared" si="41"/>
        <v>0</v>
      </c>
      <c r="L347" s="90">
        <f t="shared" si="41"/>
        <v>0</v>
      </c>
      <c r="M347" s="91">
        <f t="shared" si="41"/>
        <v>0</v>
      </c>
      <c r="N347" s="90">
        <f t="shared" si="41"/>
        <v>0</v>
      </c>
      <c r="O347" s="91">
        <f t="shared" si="41"/>
        <v>0</v>
      </c>
      <c r="P347" s="91">
        <f t="shared" si="41"/>
        <v>0</v>
      </c>
    </row>
    <row r="348" spans="2:16" ht="13.9" customHeight="1" x14ac:dyDescent="0.25">
      <c r="B348" s="155" t="s">
        <v>78</v>
      </c>
      <c r="C348" s="155"/>
      <c r="D348" s="90">
        <f>D340+D344+D347</f>
        <v>320</v>
      </c>
      <c r="E348" s="91">
        <f t="shared" ref="E348:P348" si="42">E340+E344+E347</f>
        <v>860561161.14999998</v>
      </c>
      <c r="F348" s="92">
        <f t="shared" si="42"/>
        <v>466954235.31</v>
      </c>
      <c r="G348" s="93">
        <f t="shared" si="42"/>
        <v>443164030.81999999</v>
      </c>
      <c r="H348" s="90">
        <f t="shared" si="42"/>
        <v>417397130.33000004</v>
      </c>
      <c r="I348" s="91">
        <f t="shared" si="42"/>
        <v>23790204.489999998</v>
      </c>
      <c r="J348" s="92">
        <f t="shared" si="42"/>
        <v>393606925.84000003</v>
      </c>
      <c r="K348" s="93">
        <f t="shared" si="42"/>
        <v>206615286.13000005</v>
      </c>
      <c r="L348" s="90">
        <f t="shared" si="42"/>
        <v>157063044.64999998</v>
      </c>
      <c r="M348" s="91">
        <f t="shared" si="42"/>
        <v>20571446.450000003</v>
      </c>
      <c r="N348" s="90">
        <f t="shared" si="42"/>
        <v>9357148.6099999994</v>
      </c>
      <c r="O348" s="91">
        <f t="shared" si="42"/>
        <v>0</v>
      </c>
      <c r="P348" s="91">
        <f t="shared" si="42"/>
        <v>0</v>
      </c>
    </row>
    <row r="349" spans="2:16" ht="13.9" customHeight="1" x14ac:dyDescent="0.25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</row>
    <row r="350" spans="2:16" ht="13.9" customHeight="1" x14ac:dyDescent="0.25">
      <c r="B350" s="107" t="s">
        <v>92</v>
      </c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</row>
    <row r="351" spans="2:16" ht="13.9" customHeight="1" x14ac:dyDescent="0.25">
      <c r="B351" s="154" t="s">
        <v>26</v>
      </c>
      <c r="C351" s="148" t="s">
        <v>27</v>
      </c>
      <c r="D351" s="109" t="s">
        <v>28</v>
      </c>
      <c r="E351" s="110" t="s">
        <v>29</v>
      </c>
      <c r="F351" s="111" t="s">
        <v>85</v>
      </c>
      <c r="G351" s="112" t="s">
        <v>81</v>
      </c>
      <c r="H351" s="110" t="s">
        <v>82</v>
      </c>
      <c r="I351" s="112" t="s">
        <v>86</v>
      </c>
      <c r="J351" s="110" t="s">
        <v>87</v>
      </c>
      <c r="K351" s="112">
        <v>2026</v>
      </c>
      <c r="L351" s="112">
        <v>2027</v>
      </c>
      <c r="M351" s="110">
        <v>2028</v>
      </c>
      <c r="N351" s="112">
        <v>2029</v>
      </c>
      <c r="O351" s="110">
        <v>2030</v>
      </c>
      <c r="P351" s="112">
        <v>2031</v>
      </c>
    </row>
    <row r="352" spans="2:16" ht="13.9" customHeight="1" outlineLevel="1" x14ac:dyDescent="0.25">
      <c r="B352" s="149" t="s">
        <v>30</v>
      </c>
      <c r="C352" s="150" t="s">
        <v>31</v>
      </c>
      <c r="D352" s="85">
        <v>53</v>
      </c>
      <c r="E352" s="86">
        <v>106269786.13</v>
      </c>
      <c r="F352" s="142">
        <f t="shared" ref="F352:F395" si="43">G352+I352</f>
        <v>67668349.859999999</v>
      </c>
      <c r="G352" s="113">
        <v>67668349.859999999</v>
      </c>
      <c r="H352" s="86">
        <v>38602082.919999994</v>
      </c>
      <c r="I352" s="113">
        <v>0</v>
      </c>
      <c r="J352" s="114">
        <f t="shared" ref="J352:J395" si="44">MAX(0,H352-I352)</f>
        <v>38602082.919999994</v>
      </c>
      <c r="K352" s="113">
        <f t="shared" ref="K352:K395" si="45">MAX(J352-SUM(L352:P352),0)</f>
        <v>38602082.919999994</v>
      </c>
      <c r="L352" s="113">
        <v>0</v>
      </c>
      <c r="M352" s="113">
        <v>0</v>
      </c>
      <c r="N352" s="113">
        <v>0</v>
      </c>
      <c r="O352" s="113">
        <v>0</v>
      </c>
      <c r="P352" s="113">
        <v>0</v>
      </c>
    </row>
    <row r="353" spans="2:16" ht="13.9" customHeight="1" outlineLevel="1" x14ac:dyDescent="0.25">
      <c r="B353" s="149"/>
      <c r="C353" s="150" t="s">
        <v>32</v>
      </c>
      <c r="D353" s="85">
        <v>14</v>
      </c>
      <c r="E353" s="86">
        <v>30495695.75</v>
      </c>
      <c r="F353" s="142">
        <f t="shared" si="43"/>
        <v>27671090.940000001</v>
      </c>
      <c r="G353" s="113">
        <v>27646806.98</v>
      </c>
      <c r="H353" s="86">
        <v>3003086.0500000007</v>
      </c>
      <c r="I353" s="113">
        <v>24283.96</v>
      </c>
      <c r="J353" s="114">
        <f t="shared" si="44"/>
        <v>2978802.0900000008</v>
      </c>
      <c r="K353" s="113">
        <f t="shared" si="45"/>
        <v>2978802.0900000008</v>
      </c>
      <c r="L353" s="113">
        <v>0</v>
      </c>
      <c r="M353" s="113">
        <v>0</v>
      </c>
      <c r="N353" s="113">
        <v>0</v>
      </c>
      <c r="O353" s="113">
        <v>0</v>
      </c>
      <c r="P353" s="113">
        <v>0</v>
      </c>
    </row>
    <row r="354" spans="2:16" ht="13.9" customHeight="1" outlineLevel="1" x14ac:dyDescent="0.25">
      <c r="B354" s="149"/>
      <c r="C354" s="150" t="s">
        <v>33</v>
      </c>
      <c r="D354" s="85">
        <v>23</v>
      </c>
      <c r="E354" s="86">
        <v>49150061.479999997</v>
      </c>
      <c r="F354" s="142">
        <f t="shared" si="43"/>
        <v>35929361.800000004</v>
      </c>
      <c r="G354" s="113">
        <v>35920909.340000004</v>
      </c>
      <c r="H354" s="86">
        <v>13281297.670000002</v>
      </c>
      <c r="I354" s="113">
        <v>8452.4600000000009</v>
      </c>
      <c r="J354" s="114">
        <f t="shared" si="44"/>
        <v>13272845.210000001</v>
      </c>
      <c r="K354" s="113">
        <f t="shared" si="45"/>
        <v>8596061.5700000003</v>
      </c>
      <c r="L354" s="113">
        <v>4676783.6400000006</v>
      </c>
      <c r="M354" s="113">
        <v>0</v>
      </c>
      <c r="N354" s="113">
        <v>0</v>
      </c>
      <c r="O354" s="113">
        <v>0</v>
      </c>
      <c r="P354" s="113">
        <v>0</v>
      </c>
    </row>
    <row r="355" spans="2:16" ht="13.9" customHeight="1" outlineLevel="1" x14ac:dyDescent="0.25">
      <c r="B355" s="149"/>
      <c r="C355" s="150" t="s">
        <v>34</v>
      </c>
      <c r="D355" s="85">
        <v>42</v>
      </c>
      <c r="E355" s="86">
        <v>130062304.75</v>
      </c>
      <c r="F355" s="142">
        <f t="shared" si="43"/>
        <v>102843795.56</v>
      </c>
      <c r="G355" s="113">
        <v>98546826</v>
      </c>
      <c r="H355" s="86">
        <v>31538089.22000001</v>
      </c>
      <c r="I355" s="113">
        <v>4296969.5599999996</v>
      </c>
      <c r="J355" s="114">
        <f t="shared" si="44"/>
        <v>27241119.660000011</v>
      </c>
      <c r="K355" s="113">
        <f t="shared" si="45"/>
        <v>5260110.1400000118</v>
      </c>
      <c r="L355" s="113">
        <v>14304115.5</v>
      </c>
      <c r="M355" s="113">
        <v>7676894.0199999986</v>
      </c>
      <c r="N355" s="113">
        <v>0</v>
      </c>
      <c r="O355" s="113">
        <v>0</v>
      </c>
      <c r="P355" s="113">
        <v>0</v>
      </c>
    </row>
    <row r="356" spans="2:16" ht="13.9" customHeight="1" outlineLevel="1" x14ac:dyDescent="0.25">
      <c r="B356" s="149"/>
      <c r="C356" s="150" t="s">
        <v>35</v>
      </c>
      <c r="D356" s="85">
        <v>31</v>
      </c>
      <c r="E356" s="86">
        <v>31818369.159999996</v>
      </c>
      <c r="F356" s="142">
        <f t="shared" si="43"/>
        <v>31931986.640000004</v>
      </c>
      <c r="G356" s="113">
        <v>31931986.540000003</v>
      </c>
      <c r="H356" s="86">
        <v>9.9999999976716936E-2</v>
      </c>
      <c r="I356" s="113">
        <v>0.1</v>
      </c>
      <c r="J356" s="114">
        <f t="shared" si="44"/>
        <v>0</v>
      </c>
      <c r="K356" s="113">
        <f t="shared" si="45"/>
        <v>0</v>
      </c>
      <c r="L356" s="113">
        <v>0</v>
      </c>
      <c r="M356" s="113">
        <v>0</v>
      </c>
      <c r="N356" s="113">
        <v>0</v>
      </c>
      <c r="O356" s="113">
        <v>0</v>
      </c>
      <c r="P356" s="113">
        <v>0</v>
      </c>
    </row>
    <row r="357" spans="2:16" ht="13.9" customHeight="1" outlineLevel="1" x14ac:dyDescent="0.25">
      <c r="B357" s="149"/>
      <c r="C357" s="150" t="s">
        <v>36</v>
      </c>
      <c r="D357" s="85">
        <v>1</v>
      </c>
      <c r="E357" s="86">
        <v>8938598.4000000004</v>
      </c>
      <c r="F357" s="142">
        <f t="shared" si="43"/>
        <v>8938599</v>
      </c>
      <c r="G357" s="113">
        <v>8938599</v>
      </c>
      <c r="H357" s="86">
        <v>0</v>
      </c>
      <c r="I357" s="113">
        <v>0</v>
      </c>
      <c r="J357" s="114">
        <f t="shared" si="44"/>
        <v>0</v>
      </c>
      <c r="K357" s="113">
        <f t="shared" si="45"/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</row>
    <row r="358" spans="2:16" ht="13.9" customHeight="1" outlineLevel="1" x14ac:dyDescent="0.25">
      <c r="B358" s="149"/>
      <c r="C358" s="150" t="s">
        <v>37</v>
      </c>
      <c r="D358" s="85">
        <v>19</v>
      </c>
      <c r="E358" s="86">
        <v>38806342.049999997</v>
      </c>
      <c r="F358" s="142">
        <f t="shared" si="43"/>
        <v>39531822.210000001</v>
      </c>
      <c r="G358" s="113">
        <v>39514917.109999999</v>
      </c>
      <c r="H358" s="86">
        <v>16905.100000000093</v>
      </c>
      <c r="I358" s="113">
        <v>16905.099999999999</v>
      </c>
      <c r="J358" s="114">
        <f t="shared" si="44"/>
        <v>9.4587448984384537E-11</v>
      </c>
      <c r="K358" s="113">
        <f t="shared" si="45"/>
        <v>9.4587448984384537E-11</v>
      </c>
      <c r="L358" s="113">
        <v>0</v>
      </c>
      <c r="M358" s="113">
        <v>0</v>
      </c>
      <c r="N358" s="113">
        <v>0</v>
      </c>
      <c r="O358" s="113">
        <v>0</v>
      </c>
      <c r="P358" s="113">
        <v>0</v>
      </c>
    </row>
    <row r="359" spans="2:16" ht="13.9" customHeight="1" outlineLevel="1" x14ac:dyDescent="0.25">
      <c r="B359" s="149"/>
      <c r="C359" s="150" t="s">
        <v>38</v>
      </c>
      <c r="D359" s="85">
        <v>35</v>
      </c>
      <c r="E359" s="86">
        <v>172442612.94999999</v>
      </c>
      <c r="F359" s="142">
        <f t="shared" si="43"/>
        <v>172657705.88999999</v>
      </c>
      <c r="G359" s="113">
        <v>172657611.04999998</v>
      </c>
      <c r="H359" s="86">
        <v>94.840000000782311</v>
      </c>
      <c r="I359" s="113">
        <v>94.839999999999975</v>
      </c>
      <c r="J359" s="114">
        <f t="shared" si="44"/>
        <v>7.8233597378130071E-10</v>
      </c>
      <c r="K359" s="113">
        <f t="shared" si="45"/>
        <v>7.8233597378130071E-10</v>
      </c>
      <c r="L359" s="113">
        <v>0</v>
      </c>
      <c r="M359" s="113">
        <v>0</v>
      </c>
      <c r="N359" s="113">
        <v>0</v>
      </c>
      <c r="O359" s="113">
        <v>0</v>
      </c>
      <c r="P359" s="113">
        <v>0</v>
      </c>
    </row>
    <row r="360" spans="2:16" ht="13.9" customHeight="1" outlineLevel="1" x14ac:dyDescent="0.25">
      <c r="B360" s="149"/>
      <c r="C360" s="150" t="s">
        <v>39</v>
      </c>
      <c r="D360" s="85">
        <v>8</v>
      </c>
      <c r="E360" s="86">
        <v>108508429.64</v>
      </c>
      <c r="F360" s="142">
        <f t="shared" si="43"/>
        <v>109333588.02</v>
      </c>
      <c r="G360" s="113">
        <v>109333588.02</v>
      </c>
      <c r="H360" s="86">
        <v>0</v>
      </c>
      <c r="I360" s="113">
        <v>0</v>
      </c>
      <c r="J360" s="114">
        <f t="shared" si="44"/>
        <v>0</v>
      </c>
      <c r="K360" s="113">
        <f t="shared" si="45"/>
        <v>0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</row>
    <row r="361" spans="2:16" ht="13.9" customHeight="1" outlineLevel="1" x14ac:dyDescent="0.25">
      <c r="B361" s="149"/>
      <c r="C361" s="150" t="s">
        <v>40</v>
      </c>
      <c r="D361" s="85">
        <v>1</v>
      </c>
      <c r="E361" s="86">
        <v>22862061</v>
      </c>
      <c r="F361" s="142">
        <f t="shared" si="43"/>
        <v>22862061.100000001</v>
      </c>
      <c r="G361" s="113">
        <v>22862061.100000001</v>
      </c>
      <c r="H361" s="86">
        <v>0</v>
      </c>
      <c r="I361" s="113">
        <v>0</v>
      </c>
      <c r="J361" s="114">
        <f t="shared" si="44"/>
        <v>0</v>
      </c>
      <c r="K361" s="113">
        <f t="shared" si="45"/>
        <v>0</v>
      </c>
      <c r="L361" s="113">
        <v>0</v>
      </c>
      <c r="M361" s="113">
        <v>0</v>
      </c>
      <c r="N361" s="113">
        <v>0</v>
      </c>
      <c r="O361" s="113">
        <v>0</v>
      </c>
      <c r="P361" s="113">
        <v>0</v>
      </c>
    </row>
    <row r="362" spans="2:16" ht="13.9" customHeight="1" outlineLevel="1" x14ac:dyDescent="0.25">
      <c r="B362" s="149"/>
      <c r="C362" s="150" t="s">
        <v>41</v>
      </c>
      <c r="D362" s="85">
        <v>13</v>
      </c>
      <c r="E362" s="86">
        <v>25441429.950000003</v>
      </c>
      <c r="F362" s="142">
        <f t="shared" si="43"/>
        <v>25683149.619999997</v>
      </c>
      <c r="G362" s="113">
        <v>25683149.059999999</v>
      </c>
      <c r="H362" s="86">
        <v>0.56000000005587935</v>
      </c>
      <c r="I362" s="113">
        <v>0.56000000000000005</v>
      </c>
      <c r="J362" s="114">
        <f t="shared" si="44"/>
        <v>5.5879301186223529E-11</v>
      </c>
      <c r="K362" s="113">
        <f t="shared" si="45"/>
        <v>5.5879301186223529E-11</v>
      </c>
      <c r="L362" s="113">
        <v>0</v>
      </c>
      <c r="M362" s="113">
        <v>0</v>
      </c>
      <c r="N362" s="113">
        <v>0</v>
      </c>
      <c r="O362" s="113">
        <v>0</v>
      </c>
      <c r="P362" s="113">
        <v>0</v>
      </c>
    </row>
    <row r="363" spans="2:16" ht="13.9" customHeight="1" outlineLevel="1" x14ac:dyDescent="0.25">
      <c r="B363" s="149"/>
      <c r="C363" s="150" t="s">
        <v>42</v>
      </c>
      <c r="D363" s="85">
        <v>34</v>
      </c>
      <c r="E363" s="86">
        <v>79968372.140000001</v>
      </c>
      <c r="F363" s="142">
        <f t="shared" si="43"/>
        <v>63347414.599999994</v>
      </c>
      <c r="G363" s="113">
        <v>63171063.039999992</v>
      </c>
      <c r="H363" s="86">
        <v>16814447.910000004</v>
      </c>
      <c r="I363" s="113">
        <v>176351.56</v>
      </c>
      <c r="J363" s="114">
        <f t="shared" si="44"/>
        <v>16638096.350000003</v>
      </c>
      <c r="K363" s="113">
        <f t="shared" si="45"/>
        <v>3400207</v>
      </c>
      <c r="L363" s="113">
        <v>13237889.350000003</v>
      </c>
      <c r="M363" s="113">
        <v>0</v>
      </c>
      <c r="N363" s="113">
        <v>0</v>
      </c>
      <c r="O363" s="113">
        <v>0</v>
      </c>
      <c r="P363" s="113">
        <v>0</v>
      </c>
    </row>
    <row r="364" spans="2:16" ht="13.9" customHeight="1" outlineLevel="1" x14ac:dyDescent="0.25">
      <c r="B364" s="149"/>
      <c r="C364" s="150" t="s">
        <v>43</v>
      </c>
      <c r="D364" s="85">
        <v>24</v>
      </c>
      <c r="E364" s="86">
        <v>151131258.68000001</v>
      </c>
      <c r="F364" s="142">
        <f t="shared" si="43"/>
        <v>120586899.95000002</v>
      </c>
      <c r="G364" s="113">
        <v>119421155.44000001</v>
      </c>
      <c r="H364" s="86">
        <v>31717344.869999997</v>
      </c>
      <c r="I364" s="113">
        <v>1165744.5099999998</v>
      </c>
      <c r="J364" s="114">
        <f t="shared" si="44"/>
        <v>30551600.359999999</v>
      </c>
      <c r="K364" s="113">
        <f t="shared" si="45"/>
        <v>20249354.119999997</v>
      </c>
      <c r="L364" s="113">
        <v>10302246.24</v>
      </c>
      <c r="M364" s="113">
        <v>0</v>
      </c>
      <c r="N364" s="113">
        <v>0</v>
      </c>
      <c r="O364" s="113">
        <v>0</v>
      </c>
      <c r="P364" s="113">
        <v>0</v>
      </c>
    </row>
    <row r="365" spans="2:16" ht="13.9" customHeight="1" outlineLevel="1" x14ac:dyDescent="0.25">
      <c r="B365" s="149"/>
      <c r="C365" s="150" t="s">
        <v>44</v>
      </c>
      <c r="D365" s="85">
        <v>6</v>
      </c>
      <c r="E365" s="86">
        <v>16266890.919999998</v>
      </c>
      <c r="F365" s="142">
        <f t="shared" si="43"/>
        <v>16350087.379999999</v>
      </c>
      <c r="G365" s="113">
        <v>16350087.379999999</v>
      </c>
      <c r="H365" s="86">
        <v>1.2000000001862645</v>
      </c>
      <c r="I365" s="113">
        <v>0</v>
      </c>
      <c r="J365" s="114">
        <f t="shared" si="44"/>
        <v>1.2000000001862645</v>
      </c>
      <c r="K365" s="113">
        <f t="shared" si="45"/>
        <v>1.8626455933201669E-10</v>
      </c>
      <c r="L365" s="113">
        <v>0</v>
      </c>
      <c r="M365" s="113">
        <v>1.2</v>
      </c>
      <c r="N365" s="113">
        <v>0</v>
      </c>
      <c r="O365" s="113">
        <v>0</v>
      </c>
      <c r="P365" s="113">
        <v>0</v>
      </c>
    </row>
    <row r="366" spans="2:16" ht="13.9" customHeight="1" outlineLevel="1" x14ac:dyDescent="0.25">
      <c r="B366" s="149"/>
      <c r="C366" s="150" t="s">
        <v>45</v>
      </c>
      <c r="D366" s="85">
        <v>0</v>
      </c>
      <c r="E366" s="86">
        <v>0</v>
      </c>
      <c r="F366" s="142">
        <f t="shared" si="43"/>
        <v>0</v>
      </c>
      <c r="G366" s="113">
        <v>0</v>
      </c>
      <c r="H366" s="86">
        <v>0</v>
      </c>
      <c r="I366" s="113">
        <v>0</v>
      </c>
      <c r="J366" s="114">
        <f t="shared" si="44"/>
        <v>0</v>
      </c>
      <c r="K366" s="113">
        <f t="shared" si="45"/>
        <v>0</v>
      </c>
      <c r="L366" s="113">
        <v>0</v>
      </c>
      <c r="M366" s="113">
        <v>0</v>
      </c>
      <c r="N366" s="113">
        <v>0</v>
      </c>
      <c r="O366" s="113">
        <v>0</v>
      </c>
      <c r="P366" s="113">
        <v>0</v>
      </c>
    </row>
    <row r="367" spans="2:16" ht="13.9" customHeight="1" outlineLevel="1" x14ac:dyDescent="0.25">
      <c r="B367" s="149"/>
      <c r="C367" s="150" t="s">
        <v>46</v>
      </c>
      <c r="D367" s="85">
        <v>0</v>
      </c>
      <c r="E367" s="86">
        <v>0</v>
      </c>
      <c r="F367" s="142">
        <f t="shared" si="43"/>
        <v>0</v>
      </c>
      <c r="G367" s="113">
        <v>0</v>
      </c>
      <c r="H367" s="86">
        <v>0</v>
      </c>
      <c r="I367" s="113">
        <v>0</v>
      </c>
      <c r="J367" s="114">
        <f t="shared" si="44"/>
        <v>0</v>
      </c>
      <c r="K367" s="113">
        <f t="shared" si="45"/>
        <v>0</v>
      </c>
      <c r="L367" s="113">
        <v>0</v>
      </c>
      <c r="M367" s="113">
        <v>0</v>
      </c>
      <c r="N367" s="113">
        <v>0</v>
      </c>
      <c r="O367" s="113">
        <v>0</v>
      </c>
      <c r="P367" s="113">
        <v>0</v>
      </c>
    </row>
    <row r="368" spans="2:16" ht="13.9" customHeight="1" outlineLevel="1" x14ac:dyDescent="0.25">
      <c r="B368" s="149"/>
      <c r="C368" s="150" t="s">
        <v>47</v>
      </c>
      <c r="D368" s="85">
        <v>29</v>
      </c>
      <c r="E368" s="86">
        <v>65581752.150000006</v>
      </c>
      <c r="F368" s="142">
        <f t="shared" si="43"/>
        <v>48843029.300000004</v>
      </c>
      <c r="G368" s="113">
        <v>48843029.300000004</v>
      </c>
      <c r="H368" s="86">
        <v>16742722.99</v>
      </c>
      <c r="I368" s="113">
        <v>0</v>
      </c>
      <c r="J368" s="114">
        <f t="shared" si="44"/>
        <v>16742722.99</v>
      </c>
      <c r="K368" s="113">
        <f t="shared" si="45"/>
        <v>16742722.99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</row>
    <row r="369" spans="2:16" ht="13.9" customHeight="1" outlineLevel="1" x14ac:dyDescent="0.25">
      <c r="B369" s="149"/>
      <c r="C369" s="150" t="s">
        <v>48</v>
      </c>
      <c r="D369" s="85">
        <v>1</v>
      </c>
      <c r="E369" s="86">
        <v>1041733.1</v>
      </c>
      <c r="F369" s="142">
        <f t="shared" si="43"/>
        <v>646335.75</v>
      </c>
      <c r="G369" s="113">
        <v>646335.75</v>
      </c>
      <c r="H369" s="86">
        <v>395397.35</v>
      </c>
      <c r="I369" s="113">
        <v>0</v>
      </c>
      <c r="J369" s="114">
        <f t="shared" si="44"/>
        <v>395397.35</v>
      </c>
      <c r="K369" s="113">
        <f t="shared" si="45"/>
        <v>82877.419999999984</v>
      </c>
      <c r="L369" s="113">
        <v>312519.93</v>
      </c>
      <c r="M369" s="113">
        <v>0</v>
      </c>
      <c r="N369" s="113">
        <v>0</v>
      </c>
      <c r="O369" s="113">
        <v>0</v>
      </c>
      <c r="P369" s="113">
        <v>0</v>
      </c>
    </row>
    <row r="370" spans="2:16" ht="13.9" customHeight="1" outlineLevel="1" x14ac:dyDescent="0.25">
      <c r="B370" s="149"/>
      <c r="C370" s="150" t="s">
        <v>49</v>
      </c>
      <c r="D370" s="85">
        <v>13</v>
      </c>
      <c r="E370" s="86">
        <v>130320968.56</v>
      </c>
      <c r="F370" s="142">
        <f t="shared" si="43"/>
        <v>89991142.010000005</v>
      </c>
      <c r="G370" s="113">
        <v>85984725.670000002</v>
      </c>
      <c r="H370" s="86">
        <v>44336242.889999993</v>
      </c>
      <c r="I370" s="113">
        <v>4006416.34</v>
      </c>
      <c r="J370" s="114">
        <f t="shared" si="44"/>
        <v>40329826.549999997</v>
      </c>
      <c r="K370" s="113">
        <f t="shared" si="45"/>
        <v>20110009.999999996</v>
      </c>
      <c r="L370" s="113">
        <v>20219816.550000001</v>
      </c>
      <c r="M370" s="113">
        <v>0</v>
      </c>
      <c r="N370" s="113">
        <v>0</v>
      </c>
      <c r="O370" s="113">
        <v>0</v>
      </c>
      <c r="P370" s="113">
        <v>0</v>
      </c>
    </row>
    <row r="371" spans="2:16" ht="13.9" customHeight="1" outlineLevel="1" x14ac:dyDescent="0.25">
      <c r="B371" s="149"/>
      <c r="C371" s="150" t="s">
        <v>50</v>
      </c>
      <c r="D371" s="85">
        <v>0</v>
      </c>
      <c r="E371" s="86">
        <v>0</v>
      </c>
      <c r="F371" s="142">
        <f t="shared" si="43"/>
        <v>0</v>
      </c>
      <c r="G371" s="113">
        <v>0</v>
      </c>
      <c r="H371" s="86">
        <v>0</v>
      </c>
      <c r="I371" s="113">
        <v>0</v>
      </c>
      <c r="J371" s="114">
        <f t="shared" si="44"/>
        <v>0</v>
      </c>
      <c r="K371" s="113">
        <f t="shared" si="45"/>
        <v>0</v>
      </c>
      <c r="L371" s="113">
        <v>0</v>
      </c>
      <c r="M371" s="113">
        <v>0</v>
      </c>
      <c r="N371" s="113">
        <v>0</v>
      </c>
      <c r="O371" s="113">
        <v>0</v>
      </c>
      <c r="P371" s="113">
        <v>0</v>
      </c>
    </row>
    <row r="372" spans="2:16" ht="13.9" customHeight="1" outlineLevel="1" x14ac:dyDescent="0.25">
      <c r="B372" s="149"/>
      <c r="C372" s="150" t="s">
        <v>51</v>
      </c>
      <c r="D372" s="85">
        <v>0</v>
      </c>
      <c r="E372" s="86">
        <v>0</v>
      </c>
      <c r="F372" s="142">
        <f t="shared" si="43"/>
        <v>0</v>
      </c>
      <c r="G372" s="113">
        <v>0</v>
      </c>
      <c r="H372" s="86">
        <v>0</v>
      </c>
      <c r="I372" s="113">
        <v>0</v>
      </c>
      <c r="J372" s="114">
        <f t="shared" si="44"/>
        <v>0</v>
      </c>
      <c r="K372" s="113">
        <f t="shared" si="45"/>
        <v>0</v>
      </c>
      <c r="L372" s="113">
        <v>0</v>
      </c>
      <c r="M372" s="113">
        <v>0</v>
      </c>
      <c r="N372" s="113">
        <v>0</v>
      </c>
      <c r="O372" s="113">
        <v>0</v>
      </c>
      <c r="P372" s="113">
        <v>0</v>
      </c>
    </row>
    <row r="373" spans="2:16" ht="13.9" customHeight="1" outlineLevel="1" x14ac:dyDescent="0.25">
      <c r="B373" s="149"/>
      <c r="C373" s="150" t="s">
        <v>52</v>
      </c>
      <c r="D373" s="85">
        <v>0</v>
      </c>
      <c r="E373" s="86">
        <v>0</v>
      </c>
      <c r="F373" s="142">
        <f t="shared" si="43"/>
        <v>0</v>
      </c>
      <c r="G373" s="113">
        <v>0</v>
      </c>
      <c r="H373" s="86">
        <v>0</v>
      </c>
      <c r="I373" s="113">
        <v>0</v>
      </c>
      <c r="J373" s="114">
        <f t="shared" si="44"/>
        <v>0</v>
      </c>
      <c r="K373" s="113">
        <f t="shared" si="45"/>
        <v>0</v>
      </c>
      <c r="L373" s="113">
        <v>0</v>
      </c>
      <c r="M373" s="113">
        <v>0</v>
      </c>
      <c r="N373" s="113">
        <v>0</v>
      </c>
      <c r="O373" s="113">
        <v>0</v>
      </c>
      <c r="P373" s="113">
        <v>0</v>
      </c>
    </row>
    <row r="374" spans="2:16" ht="13.9" customHeight="1" outlineLevel="1" x14ac:dyDescent="0.25">
      <c r="B374" s="149"/>
      <c r="C374" s="150" t="s">
        <v>53</v>
      </c>
      <c r="D374" s="85">
        <v>0</v>
      </c>
      <c r="E374" s="86">
        <v>0</v>
      </c>
      <c r="F374" s="142">
        <f t="shared" si="43"/>
        <v>0</v>
      </c>
      <c r="G374" s="113">
        <v>0</v>
      </c>
      <c r="H374" s="86">
        <v>0</v>
      </c>
      <c r="I374" s="113">
        <v>0</v>
      </c>
      <c r="J374" s="114">
        <f t="shared" si="44"/>
        <v>0</v>
      </c>
      <c r="K374" s="113">
        <f t="shared" si="45"/>
        <v>0</v>
      </c>
      <c r="L374" s="113">
        <v>0</v>
      </c>
      <c r="M374" s="113">
        <v>0</v>
      </c>
      <c r="N374" s="113">
        <v>0</v>
      </c>
      <c r="O374" s="113">
        <v>0</v>
      </c>
      <c r="P374" s="113">
        <v>0</v>
      </c>
    </row>
    <row r="375" spans="2:16" ht="13.9" customHeight="1" outlineLevel="1" x14ac:dyDescent="0.25">
      <c r="B375" s="149"/>
      <c r="C375" s="150" t="s">
        <v>54</v>
      </c>
      <c r="D375" s="85">
        <v>0</v>
      </c>
      <c r="E375" s="86">
        <v>0</v>
      </c>
      <c r="F375" s="142">
        <f t="shared" si="43"/>
        <v>0</v>
      </c>
      <c r="G375" s="113">
        <v>0</v>
      </c>
      <c r="H375" s="86">
        <v>0</v>
      </c>
      <c r="I375" s="113">
        <v>0</v>
      </c>
      <c r="J375" s="114">
        <f t="shared" si="44"/>
        <v>0</v>
      </c>
      <c r="K375" s="113">
        <f t="shared" si="45"/>
        <v>0</v>
      </c>
      <c r="L375" s="113">
        <v>0</v>
      </c>
      <c r="M375" s="113">
        <v>0</v>
      </c>
      <c r="N375" s="113">
        <v>0</v>
      </c>
      <c r="O375" s="113">
        <v>0</v>
      </c>
      <c r="P375" s="113">
        <v>0</v>
      </c>
    </row>
    <row r="376" spans="2:16" ht="13.9" customHeight="1" outlineLevel="1" x14ac:dyDescent="0.25">
      <c r="B376" s="149"/>
      <c r="C376" s="150" t="s">
        <v>55</v>
      </c>
      <c r="D376" s="85">
        <v>0</v>
      </c>
      <c r="E376" s="86">
        <v>0</v>
      </c>
      <c r="F376" s="142">
        <f t="shared" si="43"/>
        <v>0</v>
      </c>
      <c r="G376" s="113">
        <v>0</v>
      </c>
      <c r="H376" s="86">
        <v>0</v>
      </c>
      <c r="I376" s="113">
        <v>0</v>
      </c>
      <c r="J376" s="114">
        <f t="shared" si="44"/>
        <v>0</v>
      </c>
      <c r="K376" s="113">
        <f t="shared" si="45"/>
        <v>0</v>
      </c>
      <c r="L376" s="113">
        <v>0</v>
      </c>
      <c r="M376" s="113">
        <v>0</v>
      </c>
      <c r="N376" s="113">
        <v>0</v>
      </c>
      <c r="O376" s="113">
        <v>0</v>
      </c>
      <c r="P376" s="113">
        <v>0</v>
      </c>
    </row>
    <row r="377" spans="2:16" ht="13.9" customHeight="1" outlineLevel="1" x14ac:dyDescent="0.25">
      <c r="B377" s="149"/>
      <c r="C377" s="150" t="s">
        <v>56</v>
      </c>
      <c r="D377" s="85">
        <v>0</v>
      </c>
      <c r="E377" s="86">
        <v>0</v>
      </c>
      <c r="F377" s="142">
        <f t="shared" si="43"/>
        <v>0</v>
      </c>
      <c r="G377" s="113">
        <v>0</v>
      </c>
      <c r="H377" s="86">
        <v>0</v>
      </c>
      <c r="I377" s="113">
        <v>0</v>
      </c>
      <c r="J377" s="114">
        <f t="shared" si="44"/>
        <v>0</v>
      </c>
      <c r="K377" s="113">
        <f t="shared" si="45"/>
        <v>0</v>
      </c>
      <c r="L377" s="113">
        <v>0</v>
      </c>
      <c r="M377" s="113">
        <v>0</v>
      </c>
      <c r="N377" s="113">
        <v>0</v>
      </c>
      <c r="O377" s="113">
        <v>0</v>
      </c>
      <c r="P377" s="113">
        <v>0</v>
      </c>
    </row>
    <row r="378" spans="2:16" ht="13.9" customHeight="1" outlineLevel="1" x14ac:dyDescent="0.25">
      <c r="B378" s="149"/>
      <c r="C378" s="150" t="s">
        <v>57</v>
      </c>
      <c r="D378" s="85">
        <v>5</v>
      </c>
      <c r="E378" s="86">
        <v>76033172.99000001</v>
      </c>
      <c r="F378" s="142">
        <f t="shared" si="43"/>
        <v>76123402.469999999</v>
      </c>
      <c r="G378" s="113">
        <v>76123402.469999999</v>
      </c>
      <c r="H378" s="86">
        <v>0</v>
      </c>
      <c r="I378" s="113">
        <v>0</v>
      </c>
      <c r="J378" s="114">
        <f t="shared" si="44"/>
        <v>0</v>
      </c>
      <c r="K378" s="113">
        <f t="shared" si="45"/>
        <v>0</v>
      </c>
      <c r="L378" s="113">
        <v>0</v>
      </c>
      <c r="M378" s="113">
        <v>0</v>
      </c>
      <c r="N378" s="113">
        <v>0</v>
      </c>
      <c r="O378" s="113">
        <v>0</v>
      </c>
      <c r="P378" s="113">
        <v>0</v>
      </c>
    </row>
    <row r="379" spans="2:16" ht="13.9" customHeight="1" outlineLevel="1" x14ac:dyDescent="0.25">
      <c r="B379" s="149"/>
      <c r="C379" s="150" t="s">
        <v>58</v>
      </c>
      <c r="D379" s="85">
        <v>0</v>
      </c>
      <c r="E379" s="86">
        <v>0</v>
      </c>
      <c r="F379" s="142">
        <f t="shared" si="43"/>
        <v>0</v>
      </c>
      <c r="G379" s="113">
        <v>0</v>
      </c>
      <c r="H379" s="86">
        <v>0</v>
      </c>
      <c r="I379" s="113">
        <v>0</v>
      </c>
      <c r="J379" s="114">
        <f t="shared" si="44"/>
        <v>0</v>
      </c>
      <c r="K379" s="113">
        <f t="shared" si="45"/>
        <v>0</v>
      </c>
      <c r="L379" s="113">
        <v>0</v>
      </c>
      <c r="M379" s="113">
        <v>0</v>
      </c>
      <c r="N379" s="113">
        <v>0</v>
      </c>
      <c r="O379" s="113">
        <v>0</v>
      </c>
      <c r="P379" s="113">
        <v>0</v>
      </c>
    </row>
    <row r="380" spans="2:16" ht="13.9" customHeight="1" outlineLevel="1" x14ac:dyDescent="0.25">
      <c r="B380" s="149"/>
      <c r="C380" s="150" t="s">
        <v>59</v>
      </c>
      <c r="D380" s="85">
        <v>0</v>
      </c>
      <c r="E380" s="86">
        <v>0</v>
      </c>
      <c r="F380" s="142">
        <f t="shared" si="43"/>
        <v>0</v>
      </c>
      <c r="G380" s="113">
        <v>0</v>
      </c>
      <c r="H380" s="86">
        <v>0</v>
      </c>
      <c r="I380" s="113">
        <v>0</v>
      </c>
      <c r="J380" s="114">
        <f t="shared" si="44"/>
        <v>0</v>
      </c>
      <c r="K380" s="113">
        <f t="shared" si="45"/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</row>
    <row r="381" spans="2:16" ht="13.9" customHeight="1" outlineLevel="1" x14ac:dyDescent="0.25">
      <c r="B381" s="149"/>
      <c r="C381" s="150" t="s">
        <v>60</v>
      </c>
      <c r="D381" s="85">
        <v>0</v>
      </c>
      <c r="E381" s="86">
        <v>0</v>
      </c>
      <c r="F381" s="142">
        <f t="shared" si="43"/>
        <v>0</v>
      </c>
      <c r="G381" s="113">
        <v>0</v>
      </c>
      <c r="H381" s="86">
        <v>0</v>
      </c>
      <c r="I381" s="113">
        <v>0</v>
      </c>
      <c r="J381" s="114">
        <f t="shared" si="44"/>
        <v>0</v>
      </c>
      <c r="K381" s="113">
        <f t="shared" si="45"/>
        <v>0</v>
      </c>
      <c r="L381" s="113">
        <v>0</v>
      </c>
      <c r="M381" s="113">
        <v>0</v>
      </c>
      <c r="N381" s="113">
        <v>0</v>
      </c>
      <c r="O381" s="113">
        <v>0</v>
      </c>
      <c r="P381" s="113">
        <v>0</v>
      </c>
    </row>
    <row r="382" spans="2:16" ht="13.9" customHeight="1" outlineLevel="1" x14ac:dyDescent="0.25">
      <c r="B382" s="149"/>
      <c r="C382" s="150" t="s">
        <v>61</v>
      </c>
      <c r="D382" s="85">
        <v>0</v>
      </c>
      <c r="E382" s="86">
        <v>0</v>
      </c>
      <c r="F382" s="142">
        <f t="shared" si="43"/>
        <v>0</v>
      </c>
      <c r="G382" s="113">
        <v>0</v>
      </c>
      <c r="H382" s="86">
        <v>0</v>
      </c>
      <c r="I382" s="113">
        <v>0</v>
      </c>
      <c r="J382" s="114">
        <f t="shared" si="44"/>
        <v>0</v>
      </c>
      <c r="K382" s="113">
        <f t="shared" si="45"/>
        <v>0</v>
      </c>
      <c r="L382" s="113">
        <v>0</v>
      </c>
      <c r="M382" s="113">
        <v>0</v>
      </c>
      <c r="N382" s="113">
        <v>0</v>
      </c>
      <c r="O382" s="113">
        <v>0</v>
      </c>
      <c r="P382" s="113">
        <v>0</v>
      </c>
    </row>
    <row r="383" spans="2:16" ht="13.9" customHeight="1" outlineLevel="1" x14ac:dyDescent="0.25">
      <c r="B383" s="149"/>
      <c r="C383" s="150" t="s">
        <v>62</v>
      </c>
      <c r="D383" s="85">
        <v>0</v>
      </c>
      <c r="E383" s="86">
        <v>0</v>
      </c>
      <c r="F383" s="142">
        <f t="shared" si="43"/>
        <v>0</v>
      </c>
      <c r="G383" s="113">
        <v>0</v>
      </c>
      <c r="H383" s="86">
        <v>0</v>
      </c>
      <c r="I383" s="113">
        <v>0</v>
      </c>
      <c r="J383" s="114">
        <f t="shared" si="44"/>
        <v>0</v>
      </c>
      <c r="K383" s="113">
        <f t="shared" si="45"/>
        <v>0</v>
      </c>
      <c r="L383" s="113">
        <v>0</v>
      </c>
      <c r="M383" s="113">
        <v>0</v>
      </c>
      <c r="N383" s="113">
        <v>0</v>
      </c>
      <c r="O383" s="113">
        <v>0</v>
      </c>
      <c r="P383" s="113">
        <v>0</v>
      </c>
    </row>
    <row r="384" spans="2:16" ht="13.9" customHeight="1" outlineLevel="1" x14ac:dyDescent="0.25">
      <c r="B384" s="149"/>
      <c r="C384" s="150" t="s">
        <v>63</v>
      </c>
      <c r="D384" s="85">
        <v>0</v>
      </c>
      <c r="E384" s="86">
        <v>0</v>
      </c>
      <c r="F384" s="142">
        <f t="shared" si="43"/>
        <v>0</v>
      </c>
      <c r="G384" s="113">
        <v>0</v>
      </c>
      <c r="H384" s="86">
        <v>0</v>
      </c>
      <c r="I384" s="113">
        <v>0</v>
      </c>
      <c r="J384" s="114">
        <f t="shared" si="44"/>
        <v>0</v>
      </c>
      <c r="K384" s="113">
        <f t="shared" si="45"/>
        <v>0</v>
      </c>
      <c r="L384" s="113">
        <v>0</v>
      </c>
      <c r="M384" s="113">
        <v>0</v>
      </c>
      <c r="N384" s="113">
        <v>0</v>
      </c>
      <c r="O384" s="113">
        <v>0</v>
      </c>
      <c r="P384" s="113">
        <v>0</v>
      </c>
    </row>
    <row r="385" spans="2:16" ht="13.9" customHeight="1" outlineLevel="1" x14ac:dyDescent="0.25">
      <c r="B385" s="149"/>
      <c r="C385" s="150" t="s">
        <v>64</v>
      </c>
      <c r="D385" s="85">
        <v>28</v>
      </c>
      <c r="E385" s="86">
        <v>78039180.050000012</v>
      </c>
      <c r="F385" s="142">
        <f t="shared" si="43"/>
        <v>54895998.460000008</v>
      </c>
      <c r="G385" s="113">
        <v>54374217.180000007</v>
      </c>
      <c r="H385" s="86">
        <v>23664962.869999997</v>
      </c>
      <c r="I385" s="113">
        <v>521781.28</v>
      </c>
      <c r="J385" s="114">
        <f t="shared" si="44"/>
        <v>23143181.589999996</v>
      </c>
      <c r="K385" s="113">
        <f t="shared" si="45"/>
        <v>23143181.589999996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</row>
    <row r="386" spans="2:16" ht="13.9" customHeight="1" outlineLevel="1" x14ac:dyDescent="0.25">
      <c r="B386" s="149"/>
      <c r="C386" s="150" t="s">
        <v>65</v>
      </c>
      <c r="D386" s="85">
        <v>3</v>
      </c>
      <c r="E386" s="86">
        <v>5785000</v>
      </c>
      <c r="F386" s="142">
        <f t="shared" si="43"/>
        <v>5790481.5</v>
      </c>
      <c r="G386" s="113">
        <v>5783414.25</v>
      </c>
      <c r="H386" s="86">
        <v>7067.25</v>
      </c>
      <c r="I386" s="113">
        <v>7067.25</v>
      </c>
      <c r="J386" s="114">
        <f t="shared" si="44"/>
        <v>0</v>
      </c>
      <c r="K386" s="113">
        <f t="shared" si="45"/>
        <v>0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</row>
    <row r="387" spans="2:16" ht="13.9" customHeight="1" outlineLevel="1" x14ac:dyDescent="0.25">
      <c r="B387" s="149"/>
      <c r="C387" s="150" t="s">
        <v>66</v>
      </c>
      <c r="D387" s="85">
        <v>7</v>
      </c>
      <c r="E387" s="86">
        <v>25064730.009999998</v>
      </c>
      <c r="F387" s="142">
        <f t="shared" si="43"/>
        <v>25815943</v>
      </c>
      <c r="G387" s="113">
        <v>25464336</v>
      </c>
      <c r="H387" s="86">
        <v>351610.80000000075</v>
      </c>
      <c r="I387" s="113">
        <v>351607</v>
      </c>
      <c r="J387" s="114">
        <f t="shared" si="44"/>
        <v>3.8000000007450581</v>
      </c>
      <c r="K387" s="113">
        <f t="shared" si="45"/>
        <v>3.8000000007450581</v>
      </c>
      <c r="L387" s="113">
        <v>0</v>
      </c>
      <c r="M387" s="113">
        <v>0</v>
      </c>
      <c r="N387" s="113">
        <v>0</v>
      </c>
      <c r="O387" s="113">
        <v>0</v>
      </c>
      <c r="P387" s="113">
        <v>0</v>
      </c>
    </row>
    <row r="388" spans="2:16" ht="13.9" customHeight="1" outlineLevel="1" x14ac:dyDescent="0.25">
      <c r="B388" s="149"/>
      <c r="C388" s="150" t="s">
        <v>67</v>
      </c>
      <c r="D388" s="85">
        <v>10</v>
      </c>
      <c r="E388" s="86">
        <v>30388509</v>
      </c>
      <c r="F388" s="142">
        <f t="shared" si="43"/>
        <v>22251378.98</v>
      </c>
      <c r="G388" s="113">
        <v>22251378.98</v>
      </c>
      <c r="H388" s="86">
        <v>8140663.2800000012</v>
      </c>
      <c r="I388" s="113">
        <v>0</v>
      </c>
      <c r="J388" s="114">
        <f t="shared" si="44"/>
        <v>8140663.2800000012</v>
      </c>
      <c r="K388" s="113">
        <f t="shared" si="45"/>
        <v>8140663.2800000012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</row>
    <row r="389" spans="2:16" ht="13.9" customHeight="1" x14ac:dyDescent="0.25">
      <c r="B389" s="149"/>
      <c r="C389" s="148" t="s">
        <v>103</v>
      </c>
      <c r="D389" s="90">
        <f>SUM(D352:D388)</f>
        <v>400</v>
      </c>
      <c r="E389" s="91">
        <f t="shared" ref="E389:P389" si="46">SUM(E352:E388)</f>
        <v>1384417258.8599999</v>
      </c>
      <c r="F389" s="92">
        <f t="shared" si="46"/>
        <v>1169693624.04</v>
      </c>
      <c r="G389" s="93">
        <f t="shared" si="46"/>
        <v>1159117949.52</v>
      </c>
      <c r="H389" s="90">
        <f t="shared" si="46"/>
        <v>228612017.87</v>
      </c>
      <c r="I389" s="91">
        <f t="shared" si="46"/>
        <v>10575674.519999998</v>
      </c>
      <c r="J389" s="92">
        <f t="shared" si="46"/>
        <v>218036343.35000002</v>
      </c>
      <c r="K389" s="93">
        <f t="shared" si="46"/>
        <v>147306076.92000002</v>
      </c>
      <c r="L389" s="90">
        <f t="shared" si="46"/>
        <v>63053371.210000008</v>
      </c>
      <c r="M389" s="91">
        <f t="shared" si="46"/>
        <v>7676895.2199999988</v>
      </c>
      <c r="N389" s="90">
        <f t="shared" si="46"/>
        <v>0</v>
      </c>
      <c r="O389" s="91">
        <f t="shared" si="46"/>
        <v>0</v>
      </c>
      <c r="P389" s="91">
        <f t="shared" si="46"/>
        <v>0</v>
      </c>
    </row>
    <row r="390" spans="2:16" ht="13.9" customHeight="1" outlineLevel="1" x14ac:dyDescent="0.25">
      <c r="B390" s="149" t="s">
        <v>83</v>
      </c>
      <c r="C390" s="150" t="s">
        <v>70</v>
      </c>
      <c r="D390" s="85">
        <v>1</v>
      </c>
      <c r="E390" s="86">
        <v>1861553.65</v>
      </c>
      <c r="F390" s="142">
        <f t="shared" si="43"/>
        <v>1861553.37</v>
      </c>
      <c r="G390" s="113">
        <v>1861553.37</v>
      </c>
      <c r="H390" s="86">
        <v>0.27999999979510903</v>
      </c>
      <c r="I390" s="113">
        <v>0</v>
      </c>
      <c r="J390" s="114">
        <f t="shared" si="44"/>
        <v>0.27999999979510903</v>
      </c>
      <c r="K390" s="113">
        <f t="shared" si="45"/>
        <v>0</v>
      </c>
      <c r="L390" s="113">
        <v>0</v>
      </c>
      <c r="M390" s="113">
        <v>0.3</v>
      </c>
      <c r="N390" s="113">
        <v>0</v>
      </c>
      <c r="O390" s="113">
        <v>0</v>
      </c>
      <c r="P390" s="113">
        <v>0</v>
      </c>
    </row>
    <row r="391" spans="2:16" ht="13.9" customHeight="1" outlineLevel="1" x14ac:dyDescent="0.25">
      <c r="B391" s="149"/>
      <c r="C391" s="150" t="s">
        <v>71</v>
      </c>
      <c r="D391" s="85">
        <v>0</v>
      </c>
      <c r="E391" s="86">
        <v>0</v>
      </c>
      <c r="F391" s="142">
        <f t="shared" si="43"/>
        <v>0</v>
      </c>
      <c r="G391" s="113">
        <v>0</v>
      </c>
      <c r="H391" s="86">
        <v>0</v>
      </c>
      <c r="I391" s="113">
        <v>0</v>
      </c>
      <c r="J391" s="114">
        <f t="shared" si="44"/>
        <v>0</v>
      </c>
      <c r="K391" s="113">
        <f t="shared" si="45"/>
        <v>0</v>
      </c>
      <c r="L391" s="113">
        <v>0</v>
      </c>
      <c r="M391" s="113">
        <v>0</v>
      </c>
      <c r="N391" s="113">
        <v>0</v>
      </c>
      <c r="O391" s="113">
        <v>0</v>
      </c>
      <c r="P391" s="113">
        <v>0</v>
      </c>
    </row>
    <row r="392" spans="2:16" ht="13.9" customHeight="1" outlineLevel="1" x14ac:dyDescent="0.25">
      <c r="B392" s="149"/>
      <c r="C392" s="150" t="s">
        <v>72</v>
      </c>
      <c r="D392" s="85">
        <v>0</v>
      </c>
      <c r="E392" s="86">
        <v>0</v>
      </c>
      <c r="F392" s="142">
        <f t="shared" si="43"/>
        <v>0</v>
      </c>
      <c r="G392" s="113">
        <v>0</v>
      </c>
      <c r="H392" s="86">
        <v>0</v>
      </c>
      <c r="I392" s="113">
        <v>0</v>
      </c>
      <c r="J392" s="114">
        <f t="shared" si="44"/>
        <v>0</v>
      </c>
      <c r="K392" s="113">
        <f t="shared" si="45"/>
        <v>0</v>
      </c>
      <c r="L392" s="113">
        <v>0</v>
      </c>
      <c r="M392" s="113">
        <v>0</v>
      </c>
      <c r="N392" s="113">
        <v>0</v>
      </c>
      <c r="O392" s="113">
        <v>0</v>
      </c>
      <c r="P392" s="113">
        <v>0</v>
      </c>
    </row>
    <row r="393" spans="2:16" ht="13.9" customHeight="1" x14ac:dyDescent="0.25">
      <c r="B393" s="149"/>
      <c r="C393" s="148" t="s">
        <v>104</v>
      </c>
      <c r="D393" s="90">
        <f>SUM(D390:D392)</f>
        <v>1</v>
      </c>
      <c r="E393" s="91">
        <f t="shared" ref="E393:P393" si="47">SUM(E390:E392)</f>
        <v>1861553.65</v>
      </c>
      <c r="F393" s="92">
        <f t="shared" si="47"/>
        <v>1861553.37</v>
      </c>
      <c r="G393" s="93">
        <f t="shared" si="47"/>
        <v>1861553.37</v>
      </c>
      <c r="H393" s="90">
        <f t="shared" si="47"/>
        <v>0.27999999979510903</v>
      </c>
      <c r="I393" s="91">
        <f t="shared" si="47"/>
        <v>0</v>
      </c>
      <c r="J393" s="92">
        <f t="shared" si="47"/>
        <v>0.27999999979510903</v>
      </c>
      <c r="K393" s="93">
        <f t="shared" si="47"/>
        <v>0</v>
      </c>
      <c r="L393" s="90">
        <f t="shared" si="47"/>
        <v>0</v>
      </c>
      <c r="M393" s="91">
        <f t="shared" si="47"/>
        <v>0.3</v>
      </c>
      <c r="N393" s="90">
        <f t="shared" si="47"/>
        <v>0</v>
      </c>
      <c r="O393" s="91">
        <f t="shared" si="47"/>
        <v>0</v>
      </c>
      <c r="P393" s="91">
        <f t="shared" si="47"/>
        <v>0</v>
      </c>
    </row>
    <row r="394" spans="2:16" ht="13.9" customHeight="1" outlineLevel="1" x14ac:dyDescent="0.25">
      <c r="B394" s="149" t="s">
        <v>105</v>
      </c>
      <c r="C394" s="150" t="s">
        <v>75</v>
      </c>
      <c r="D394" s="85">
        <v>0</v>
      </c>
      <c r="E394" s="86">
        <v>0</v>
      </c>
      <c r="F394" s="142">
        <f t="shared" si="43"/>
        <v>0</v>
      </c>
      <c r="G394" s="113">
        <v>0</v>
      </c>
      <c r="H394" s="86">
        <v>0</v>
      </c>
      <c r="I394" s="113">
        <v>0</v>
      </c>
      <c r="J394" s="114">
        <f t="shared" si="44"/>
        <v>0</v>
      </c>
      <c r="K394" s="113">
        <f t="shared" si="45"/>
        <v>0</v>
      </c>
      <c r="L394" s="113">
        <v>0</v>
      </c>
      <c r="M394" s="113">
        <v>0</v>
      </c>
      <c r="N394" s="113">
        <v>0</v>
      </c>
      <c r="O394" s="113">
        <v>0</v>
      </c>
      <c r="P394" s="113">
        <v>0</v>
      </c>
    </row>
    <row r="395" spans="2:16" ht="13.9" customHeight="1" outlineLevel="1" x14ac:dyDescent="0.25">
      <c r="B395" s="149"/>
      <c r="C395" s="150" t="s">
        <v>76</v>
      </c>
      <c r="D395" s="85">
        <v>0</v>
      </c>
      <c r="E395" s="86">
        <v>0</v>
      </c>
      <c r="F395" s="142">
        <f t="shared" si="43"/>
        <v>0</v>
      </c>
      <c r="G395" s="113">
        <v>0</v>
      </c>
      <c r="H395" s="86">
        <v>0</v>
      </c>
      <c r="I395" s="113">
        <v>0</v>
      </c>
      <c r="J395" s="114">
        <f t="shared" si="44"/>
        <v>0</v>
      </c>
      <c r="K395" s="113">
        <f t="shared" si="45"/>
        <v>0</v>
      </c>
      <c r="L395" s="113">
        <v>0</v>
      </c>
      <c r="M395" s="113">
        <v>0</v>
      </c>
      <c r="N395" s="113">
        <v>0</v>
      </c>
      <c r="O395" s="113">
        <v>0</v>
      </c>
      <c r="P395" s="113">
        <v>0</v>
      </c>
    </row>
    <row r="396" spans="2:16" ht="13.9" customHeight="1" x14ac:dyDescent="0.25">
      <c r="B396" s="149"/>
      <c r="C396" s="148" t="s">
        <v>106</v>
      </c>
      <c r="D396" s="90">
        <f>SUM(D394:D395)</f>
        <v>0</v>
      </c>
      <c r="E396" s="91">
        <f t="shared" ref="E396:P396" si="48">SUM(E394:E395)</f>
        <v>0</v>
      </c>
      <c r="F396" s="92">
        <f t="shared" si="48"/>
        <v>0</v>
      </c>
      <c r="G396" s="93">
        <f t="shared" si="48"/>
        <v>0</v>
      </c>
      <c r="H396" s="90">
        <f t="shared" si="48"/>
        <v>0</v>
      </c>
      <c r="I396" s="91">
        <f t="shared" si="48"/>
        <v>0</v>
      </c>
      <c r="J396" s="92">
        <f t="shared" si="48"/>
        <v>0</v>
      </c>
      <c r="K396" s="93">
        <f t="shared" si="48"/>
        <v>0</v>
      </c>
      <c r="L396" s="90">
        <f t="shared" si="48"/>
        <v>0</v>
      </c>
      <c r="M396" s="91">
        <f t="shared" si="48"/>
        <v>0</v>
      </c>
      <c r="N396" s="90">
        <f t="shared" si="48"/>
        <v>0</v>
      </c>
      <c r="O396" s="91">
        <f t="shared" si="48"/>
        <v>0</v>
      </c>
      <c r="P396" s="91">
        <f t="shared" si="48"/>
        <v>0</v>
      </c>
    </row>
    <row r="397" spans="2:16" ht="13.9" customHeight="1" x14ac:dyDescent="0.25">
      <c r="B397" s="155" t="s">
        <v>78</v>
      </c>
      <c r="C397" s="155"/>
      <c r="D397" s="90">
        <f>+D389+D393+D396</f>
        <v>401</v>
      </c>
      <c r="E397" s="91">
        <f t="shared" ref="E397:P397" si="49">+E389+E393+E396</f>
        <v>1386278812.51</v>
      </c>
      <c r="F397" s="92">
        <f t="shared" si="49"/>
        <v>1171555177.4099998</v>
      </c>
      <c r="G397" s="93">
        <f t="shared" si="49"/>
        <v>1160979502.8899999</v>
      </c>
      <c r="H397" s="90">
        <f t="shared" si="49"/>
        <v>228612018.15000001</v>
      </c>
      <c r="I397" s="91">
        <f t="shared" si="49"/>
        <v>10575674.519999998</v>
      </c>
      <c r="J397" s="92">
        <f t="shared" si="49"/>
        <v>218036343.63000003</v>
      </c>
      <c r="K397" s="93">
        <f t="shared" si="49"/>
        <v>147306076.92000002</v>
      </c>
      <c r="L397" s="90">
        <f t="shared" si="49"/>
        <v>63053371.210000008</v>
      </c>
      <c r="M397" s="91">
        <f t="shared" si="49"/>
        <v>7676895.5199999986</v>
      </c>
      <c r="N397" s="90">
        <f t="shared" si="49"/>
        <v>0</v>
      </c>
      <c r="O397" s="91">
        <f t="shared" si="49"/>
        <v>0</v>
      </c>
      <c r="P397" s="91">
        <f t="shared" si="49"/>
        <v>0</v>
      </c>
    </row>
    <row r="398" spans="2:16" ht="13.9" customHeight="1" x14ac:dyDescent="0.25"/>
    <row r="399" spans="2:16" ht="13.9" customHeight="1" x14ac:dyDescent="0.25"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</row>
    <row r="400" spans="2:16" x14ac:dyDescent="0.25"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</row>
    <row r="401" spans="3:17" x14ac:dyDescent="0.25">
      <c r="H401" s="71"/>
      <c r="J401" s="71"/>
      <c r="K401" s="71"/>
      <c r="L401" s="71"/>
      <c r="M401" s="71"/>
      <c r="N401" s="71"/>
      <c r="O401" s="71"/>
      <c r="P401" s="71"/>
    </row>
    <row r="402" spans="3:17" x14ac:dyDescent="0.25">
      <c r="C402" s="14"/>
      <c r="D402" s="14"/>
      <c r="E402" s="14"/>
      <c r="F402" s="14"/>
      <c r="G402" s="14"/>
      <c r="H402" s="95"/>
      <c r="I402" s="14"/>
      <c r="J402" s="95"/>
      <c r="K402" s="95"/>
      <c r="L402" s="95"/>
      <c r="M402" s="95"/>
      <c r="N402" s="95"/>
      <c r="O402" s="95"/>
      <c r="P402" s="95"/>
    </row>
    <row r="403" spans="3:17" x14ac:dyDescent="0.25">
      <c r="C403" s="14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</row>
    <row r="404" spans="3:17" x14ac:dyDescent="0.25">
      <c r="C404" s="14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</row>
    <row r="405" spans="3:17" x14ac:dyDescent="0.25">
      <c r="C405" s="14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</row>
    <row r="406" spans="3:17" x14ac:dyDescent="0.25">
      <c r="C406" s="14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</row>
    <row r="407" spans="3:17" x14ac:dyDescent="0.25">
      <c r="C407" s="14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</row>
    <row r="408" spans="3:17" x14ac:dyDescent="0.25">
      <c r="C408" s="14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</row>
    <row r="409" spans="3:17" x14ac:dyDescent="0.25">
      <c r="C409" s="14"/>
      <c r="D409" s="9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3:17" x14ac:dyDescent="0.25"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3:17" x14ac:dyDescent="0.25"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3:17" x14ac:dyDescent="0.25"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3:17" x14ac:dyDescent="0.25"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</row>
  </sheetData>
  <mergeCells count="48">
    <mergeCell ref="B345:B347"/>
    <mergeCell ref="B348:C348"/>
    <mergeCell ref="B352:B389"/>
    <mergeCell ref="B390:B393"/>
    <mergeCell ref="B394:B396"/>
    <mergeCell ref="B397:C397"/>
    <mergeCell ref="B254:B291"/>
    <mergeCell ref="B292:B295"/>
    <mergeCell ref="B296:B298"/>
    <mergeCell ref="B299:C299"/>
    <mergeCell ref="B303:B340"/>
    <mergeCell ref="B341:B344"/>
    <mergeCell ref="B197:B199"/>
    <mergeCell ref="B200:C200"/>
    <mergeCell ref="B205:B242"/>
    <mergeCell ref="B243:B246"/>
    <mergeCell ref="B247:B249"/>
    <mergeCell ref="B250:C250"/>
    <mergeCell ref="B106:B143"/>
    <mergeCell ref="B144:B147"/>
    <mergeCell ref="B148:B150"/>
    <mergeCell ref="B151:C151"/>
    <mergeCell ref="B155:B192"/>
    <mergeCell ref="B193:B196"/>
    <mergeCell ref="L55:M55"/>
    <mergeCell ref="N55:O55"/>
    <mergeCell ref="B57:B94"/>
    <mergeCell ref="B95:B98"/>
    <mergeCell ref="B99:B101"/>
    <mergeCell ref="B102:C102"/>
    <mergeCell ref="B52:C52"/>
    <mergeCell ref="B55:B56"/>
    <mergeCell ref="D55:E55"/>
    <mergeCell ref="F55:G55"/>
    <mergeCell ref="H55:I55"/>
    <mergeCell ref="J55:K55"/>
    <mergeCell ref="N3:O3"/>
    <mergeCell ref="B5:B42"/>
    <mergeCell ref="B43:B46"/>
    <mergeCell ref="B47:B49"/>
    <mergeCell ref="B50:C50"/>
    <mergeCell ref="B51:C51"/>
    <mergeCell ref="B3:B4"/>
    <mergeCell ref="D3:E3"/>
    <mergeCell ref="F3:G3"/>
    <mergeCell ref="H3:I3"/>
    <mergeCell ref="J3:K3"/>
    <mergeCell ref="L3:M3"/>
  </mergeCells>
  <conditionalFormatting sqref="B3">
    <cfRule type="cellIs" dxfId="48" priority="9" operator="lessThan">
      <formula>0</formula>
    </cfRule>
  </conditionalFormatting>
  <conditionalFormatting sqref="B151">
    <cfRule type="cellIs" dxfId="47" priority="10" operator="lessThan">
      <formula>0</formula>
    </cfRule>
  </conditionalFormatting>
  <conditionalFormatting sqref="B200">
    <cfRule type="cellIs" dxfId="46" priority="8" operator="lessThan">
      <formula>0</formula>
    </cfRule>
  </conditionalFormatting>
  <conditionalFormatting sqref="B250">
    <cfRule type="cellIs" dxfId="45" priority="7" operator="lessThan">
      <formula>0</formula>
    </cfRule>
  </conditionalFormatting>
  <conditionalFormatting sqref="B299">
    <cfRule type="cellIs" dxfId="44" priority="6" operator="lessThan">
      <formula>0</formula>
    </cfRule>
  </conditionalFormatting>
  <conditionalFormatting sqref="B348">
    <cfRule type="cellIs" dxfId="43" priority="5" operator="lessThan">
      <formula>0</formula>
    </cfRule>
  </conditionalFormatting>
  <conditionalFormatting sqref="B397">
    <cfRule type="cellIs" dxfId="42" priority="4" operator="lessThan">
      <formula>0</formula>
    </cfRule>
  </conditionalFormatting>
  <conditionalFormatting sqref="C3:C49 B50:B52 C53:C101 B102 C105:C150 B153 C154:C199 B203 C204:C249 C251 B252 C253:C298 B301 C302:C347 B350 C351:C396 C401:C402">
    <cfRule type="cellIs" dxfId="41" priority="11" operator="lessThan">
      <formula>0</formula>
    </cfRule>
  </conditionalFormatting>
  <conditionalFormatting sqref="C404:C456">
    <cfRule type="duplicateValues" dxfId="40" priority="14"/>
  </conditionalFormatting>
  <conditionalFormatting sqref="C1:Q2 D3:Q104 D105:P200 D203:P397">
    <cfRule type="cellIs" dxfId="39" priority="12" operator="lessThan">
      <formula>0</formula>
    </cfRule>
  </conditionalFormatting>
  <conditionalFormatting sqref="D399:P402">
    <cfRule type="cellIs" dxfId="38" priority="3" operator="lessThan">
      <formula>0</formula>
    </cfRule>
  </conditionalFormatting>
  <conditionalFormatting sqref="R1:R23">
    <cfRule type="cellIs" dxfId="37" priority="13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7" fitToHeight="2" orientation="landscape" r:id="rId1"/>
  <headerFooter alignWithMargins="0">
    <oddHeader>&amp;LSOBHA LLC&amp;C&amp;18
Bulk buyers_15mn to 30mn investment_Paid% category VS Balance collectibles YOY breakup&amp;R&amp;D</oddHeader>
    <oddFooter>&amp;LCOLLECTIONS&amp;R&amp;P/&amp;N</oddFooter>
  </headerFooter>
  <rowBreaks count="3" manualBreakCount="3">
    <brk id="102" min="1" max="15" man="1"/>
    <brk id="202" min="1" max="15" man="1"/>
    <brk id="300" min="1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8687-9BD5-4A8C-916F-FB6358D344A1}">
  <dimension ref="A3:R414"/>
  <sheetViews>
    <sheetView view="pageBreakPreview" topLeftCell="C369" zoomScale="70" zoomScaleNormal="100" zoomScaleSheetLayoutView="70" workbookViewId="0">
      <selection activeCell="E390" sqref="E390"/>
    </sheetView>
  </sheetViews>
  <sheetFormatPr defaultRowHeight="15" outlineLevelRow="1" x14ac:dyDescent="0.25"/>
  <cols>
    <col min="1" max="1" width="13.85546875" bestFit="1" customWidth="1"/>
    <col min="2" max="2" width="13.85546875" customWidth="1"/>
    <col min="3" max="3" width="78.85546875" bestFit="1" customWidth="1"/>
    <col min="4" max="4" width="15.42578125" bestFit="1" customWidth="1"/>
    <col min="5" max="5" width="22.5703125" bestFit="1" customWidth="1"/>
    <col min="6" max="6" width="26.5703125" bestFit="1" customWidth="1"/>
    <col min="7" max="9" width="22.5703125" bestFit="1" customWidth="1"/>
    <col min="10" max="10" width="22.28515625" bestFit="1" customWidth="1"/>
    <col min="11" max="11" width="22.5703125" bestFit="1" customWidth="1"/>
    <col min="12" max="12" width="17.7109375" bestFit="1" customWidth="1"/>
    <col min="13" max="13" width="22.5703125" bestFit="1" customWidth="1"/>
    <col min="14" max="14" width="17.7109375" bestFit="1" customWidth="1"/>
    <col min="15" max="15" width="22.5703125" bestFit="1" customWidth="1"/>
    <col min="16" max="16" width="16.28515625" bestFit="1" customWidth="1"/>
    <col min="17" max="17" width="8.140625" bestFit="1" customWidth="1"/>
    <col min="18" max="18" width="21.42578125" bestFit="1" customWidth="1"/>
    <col min="19" max="19" width="17.85546875" bestFit="1" customWidth="1"/>
    <col min="20" max="21" width="15" bestFit="1" customWidth="1"/>
    <col min="23" max="23" width="18.42578125" customWidth="1"/>
  </cols>
  <sheetData>
    <row r="3" spans="1:18" ht="13.9" customHeight="1" x14ac:dyDescent="0.25">
      <c r="A3">
        <v>3</v>
      </c>
      <c r="B3" s="147" t="s">
        <v>26</v>
      </c>
      <c r="C3" s="148" t="s">
        <v>19</v>
      </c>
      <c r="D3" s="73" t="s">
        <v>20</v>
      </c>
      <c r="E3" s="74"/>
      <c r="F3" s="75" t="s">
        <v>21</v>
      </c>
      <c r="G3" s="76"/>
      <c r="H3" s="73" t="s">
        <v>22</v>
      </c>
      <c r="I3" s="74"/>
      <c r="J3" s="75" t="s">
        <v>23</v>
      </c>
      <c r="K3" s="76"/>
      <c r="L3" s="73" t="s">
        <v>24</v>
      </c>
      <c r="M3" s="74"/>
      <c r="N3" s="73" t="s">
        <v>25</v>
      </c>
      <c r="O3" s="74"/>
      <c r="P3" s="77"/>
      <c r="Q3" s="77"/>
      <c r="R3" s="77"/>
    </row>
    <row r="4" spans="1:18" ht="13.9" customHeight="1" x14ac:dyDescent="0.25">
      <c r="A4" t="s">
        <v>97</v>
      </c>
      <c r="B4" s="147"/>
      <c r="C4" s="148" t="s">
        <v>102</v>
      </c>
      <c r="D4" s="79" t="s">
        <v>28</v>
      </c>
      <c r="E4" s="80" t="s">
        <v>29</v>
      </c>
      <c r="F4" s="81" t="s">
        <v>28</v>
      </c>
      <c r="G4" s="82" t="s">
        <v>29</v>
      </c>
      <c r="H4" s="79" t="s">
        <v>28</v>
      </c>
      <c r="I4" s="80" t="s">
        <v>29</v>
      </c>
      <c r="J4" s="81" t="s">
        <v>28</v>
      </c>
      <c r="K4" s="82" t="s">
        <v>29</v>
      </c>
      <c r="L4" s="79" t="s">
        <v>28</v>
      </c>
      <c r="M4" s="80" t="s">
        <v>29</v>
      </c>
      <c r="N4" s="79" t="s">
        <v>28</v>
      </c>
      <c r="O4" s="80" t="s">
        <v>29</v>
      </c>
      <c r="P4" s="83"/>
      <c r="Q4" s="83"/>
      <c r="R4" s="83"/>
    </row>
    <row r="5" spans="1:18" ht="13.9" customHeight="1" outlineLevel="1" x14ac:dyDescent="0.25">
      <c r="B5" s="149" t="s">
        <v>30</v>
      </c>
      <c r="C5" s="150" t="s">
        <v>31</v>
      </c>
      <c r="D5" s="85">
        <v>0</v>
      </c>
      <c r="E5" s="86">
        <v>0</v>
      </c>
      <c r="F5" s="85">
        <v>0</v>
      </c>
      <c r="G5" s="86">
        <v>0</v>
      </c>
      <c r="H5" s="85">
        <v>0</v>
      </c>
      <c r="I5" s="86">
        <v>0</v>
      </c>
      <c r="J5" s="85">
        <v>0</v>
      </c>
      <c r="K5" s="86">
        <v>0</v>
      </c>
      <c r="L5" s="85">
        <v>1</v>
      </c>
      <c r="M5" s="86">
        <v>1554047.58</v>
      </c>
      <c r="N5" s="85">
        <v>31</v>
      </c>
      <c r="O5" s="86">
        <v>52459384.819999993</v>
      </c>
      <c r="P5" s="87"/>
      <c r="Q5" s="87"/>
      <c r="R5" s="87"/>
    </row>
    <row r="6" spans="1:18" ht="13.9" customHeight="1" outlineLevel="1" x14ac:dyDescent="0.25">
      <c r="B6" s="149"/>
      <c r="C6" s="150" t="s">
        <v>32</v>
      </c>
      <c r="D6" s="85">
        <v>0</v>
      </c>
      <c r="E6" s="86">
        <v>0</v>
      </c>
      <c r="F6" s="85">
        <v>0</v>
      </c>
      <c r="G6" s="86">
        <v>0</v>
      </c>
      <c r="H6" s="85">
        <v>0</v>
      </c>
      <c r="I6" s="86">
        <v>0</v>
      </c>
      <c r="J6" s="85">
        <v>0</v>
      </c>
      <c r="K6" s="86">
        <v>0</v>
      </c>
      <c r="L6" s="85">
        <v>0</v>
      </c>
      <c r="M6" s="86">
        <v>0</v>
      </c>
      <c r="N6" s="85">
        <v>3</v>
      </c>
      <c r="O6" s="86">
        <v>6772109.25</v>
      </c>
      <c r="P6" s="87"/>
      <c r="Q6" s="87"/>
      <c r="R6" s="87"/>
    </row>
    <row r="7" spans="1:18" ht="13.9" customHeight="1" outlineLevel="1" x14ac:dyDescent="0.25">
      <c r="B7" s="149"/>
      <c r="C7" s="150" t="s">
        <v>33</v>
      </c>
      <c r="D7" s="85">
        <v>0</v>
      </c>
      <c r="E7" s="86">
        <v>0</v>
      </c>
      <c r="F7" s="85">
        <v>0</v>
      </c>
      <c r="G7" s="86">
        <v>0</v>
      </c>
      <c r="H7" s="85">
        <v>0</v>
      </c>
      <c r="I7" s="86">
        <v>0</v>
      </c>
      <c r="J7" s="85">
        <v>0</v>
      </c>
      <c r="K7" s="86">
        <v>0</v>
      </c>
      <c r="L7" s="85">
        <v>0</v>
      </c>
      <c r="M7" s="86">
        <v>0</v>
      </c>
      <c r="N7" s="85">
        <v>10</v>
      </c>
      <c r="O7" s="86">
        <v>18741299</v>
      </c>
      <c r="P7" s="87"/>
      <c r="Q7" s="87"/>
      <c r="R7" s="87"/>
    </row>
    <row r="8" spans="1:18" ht="13.9" customHeight="1" outlineLevel="1" x14ac:dyDescent="0.25">
      <c r="B8" s="149"/>
      <c r="C8" s="150" t="s">
        <v>34</v>
      </c>
      <c r="D8" s="85">
        <v>0</v>
      </c>
      <c r="E8" s="86">
        <v>0</v>
      </c>
      <c r="F8" s="85">
        <v>0</v>
      </c>
      <c r="G8" s="86">
        <v>0</v>
      </c>
      <c r="H8" s="85">
        <v>0</v>
      </c>
      <c r="I8" s="86">
        <v>0</v>
      </c>
      <c r="J8" s="85">
        <v>0</v>
      </c>
      <c r="K8" s="86">
        <v>0</v>
      </c>
      <c r="L8" s="85">
        <v>6</v>
      </c>
      <c r="M8" s="86">
        <v>12916605.25</v>
      </c>
      <c r="N8" s="85">
        <v>17</v>
      </c>
      <c r="O8" s="86">
        <v>42915827.82</v>
      </c>
      <c r="P8" s="87"/>
      <c r="Q8" s="87"/>
      <c r="R8" s="87"/>
    </row>
    <row r="9" spans="1:18" ht="13.9" customHeight="1" outlineLevel="1" x14ac:dyDescent="0.25">
      <c r="B9" s="149"/>
      <c r="C9" s="150" t="s">
        <v>35</v>
      </c>
      <c r="D9" s="85">
        <v>0</v>
      </c>
      <c r="E9" s="86">
        <v>0</v>
      </c>
      <c r="F9" s="85">
        <v>0</v>
      </c>
      <c r="G9" s="86">
        <v>0</v>
      </c>
      <c r="H9" s="85">
        <v>0</v>
      </c>
      <c r="I9" s="86">
        <v>0</v>
      </c>
      <c r="J9" s="85">
        <v>0</v>
      </c>
      <c r="K9" s="86">
        <v>0</v>
      </c>
      <c r="L9" s="85">
        <v>0</v>
      </c>
      <c r="M9" s="86">
        <v>0</v>
      </c>
      <c r="N9" s="85">
        <v>35</v>
      </c>
      <c r="O9" s="86">
        <v>37208712.189999998</v>
      </c>
      <c r="P9" s="87"/>
      <c r="Q9" s="87"/>
      <c r="R9" s="87"/>
    </row>
    <row r="10" spans="1:18" ht="13.9" customHeight="1" outlineLevel="1" x14ac:dyDescent="0.25">
      <c r="B10" s="149"/>
      <c r="C10" s="150" t="s">
        <v>36</v>
      </c>
      <c r="D10" s="85">
        <v>0</v>
      </c>
      <c r="E10" s="86">
        <v>0</v>
      </c>
      <c r="F10" s="85">
        <v>1</v>
      </c>
      <c r="G10" s="86">
        <v>9937880</v>
      </c>
      <c r="H10" s="85">
        <v>1</v>
      </c>
      <c r="I10" s="86">
        <v>7949968</v>
      </c>
      <c r="J10" s="85">
        <v>2</v>
      </c>
      <c r="K10" s="86">
        <v>16360938</v>
      </c>
      <c r="L10" s="85">
        <v>6</v>
      </c>
      <c r="M10" s="86">
        <v>51812611</v>
      </c>
      <c r="N10" s="85">
        <v>0</v>
      </c>
      <c r="O10" s="86">
        <v>0</v>
      </c>
      <c r="P10" s="87"/>
      <c r="Q10" s="87"/>
      <c r="R10" s="87"/>
    </row>
    <row r="11" spans="1:18" ht="13.9" customHeight="1" outlineLevel="1" x14ac:dyDescent="0.25">
      <c r="B11" s="149"/>
      <c r="C11" s="150" t="s">
        <v>37</v>
      </c>
      <c r="D11" s="85">
        <v>0</v>
      </c>
      <c r="E11" s="86">
        <v>0</v>
      </c>
      <c r="F11" s="85">
        <v>0</v>
      </c>
      <c r="G11" s="86">
        <v>0</v>
      </c>
      <c r="H11" s="85">
        <v>0</v>
      </c>
      <c r="I11" s="86">
        <v>0</v>
      </c>
      <c r="J11" s="85">
        <v>0</v>
      </c>
      <c r="K11" s="86">
        <v>0</v>
      </c>
      <c r="L11" s="85">
        <v>0</v>
      </c>
      <c r="M11" s="86">
        <v>0</v>
      </c>
      <c r="N11" s="85">
        <v>4</v>
      </c>
      <c r="O11" s="86">
        <v>10561428.449999999</v>
      </c>
      <c r="P11" s="87"/>
      <c r="Q11" s="87"/>
      <c r="R11" s="87"/>
    </row>
    <row r="12" spans="1:18" ht="13.9" customHeight="1" outlineLevel="1" x14ac:dyDescent="0.25">
      <c r="B12" s="149"/>
      <c r="C12" s="150" t="s">
        <v>38</v>
      </c>
      <c r="D12" s="85">
        <v>0</v>
      </c>
      <c r="E12" s="86">
        <v>0</v>
      </c>
      <c r="F12" s="85">
        <v>0</v>
      </c>
      <c r="G12" s="86">
        <v>0</v>
      </c>
      <c r="H12" s="85">
        <v>0</v>
      </c>
      <c r="I12" s="86">
        <v>0</v>
      </c>
      <c r="J12" s="85">
        <v>0</v>
      </c>
      <c r="K12" s="86">
        <v>0</v>
      </c>
      <c r="L12" s="85">
        <v>0</v>
      </c>
      <c r="M12" s="86">
        <v>0</v>
      </c>
      <c r="N12" s="85">
        <v>26</v>
      </c>
      <c r="O12" s="86">
        <v>142804986.65000001</v>
      </c>
      <c r="P12" s="87"/>
      <c r="Q12" s="87"/>
      <c r="R12" s="87"/>
    </row>
    <row r="13" spans="1:18" ht="13.9" customHeight="1" outlineLevel="1" x14ac:dyDescent="0.25">
      <c r="B13" s="149"/>
      <c r="C13" s="150" t="s">
        <v>39</v>
      </c>
      <c r="D13" s="85">
        <v>0</v>
      </c>
      <c r="E13" s="86">
        <v>0</v>
      </c>
      <c r="F13" s="85">
        <v>0</v>
      </c>
      <c r="G13" s="86">
        <v>0</v>
      </c>
      <c r="H13" s="85">
        <v>0</v>
      </c>
      <c r="I13" s="86">
        <v>0</v>
      </c>
      <c r="J13" s="85">
        <v>0</v>
      </c>
      <c r="K13" s="86">
        <v>0</v>
      </c>
      <c r="L13" s="85">
        <v>0</v>
      </c>
      <c r="M13" s="86">
        <v>0</v>
      </c>
      <c r="N13" s="85">
        <v>10</v>
      </c>
      <c r="O13" s="86">
        <v>137613959.43000001</v>
      </c>
      <c r="P13" s="87"/>
      <c r="Q13" s="87"/>
      <c r="R13" s="87"/>
    </row>
    <row r="14" spans="1:18" ht="13.9" customHeight="1" outlineLevel="1" x14ac:dyDescent="0.25">
      <c r="B14" s="149"/>
      <c r="C14" s="150" t="s">
        <v>40</v>
      </c>
      <c r="D14" s="85">
        <v>0</v>
      </c>
      <c r="E14" s="86">
        <v>0</v>
      </c>
      <c r="F14" s="85">
        <v>2</v>
      </c>
      <c r="G14" s="86">
        <v>54495975</v>
      </c>
      <c r="H14" s="85">
        <v>0</v>
      </c>
      <c r="I14" s="86">
        <v>0</v>
      </c>
      <c r="J14" s="85">
        <v>1</v>
      </c>
      <c r="K14" s="86">
        <v>25775580</v>
      </c>
      <c r="L14" s="85">
        <v>1</v>
      </c>
      <c r="M14" s="86">
        <v>32094120</v>
      </c>
      <c r="N14" s="85">
        <v>3</v>
      </c>
      <c r="O14" s="86">
        <v>73793184</v>
      </c>
      <c r="P14" s="87"/>
      <c r="Q14" s="87"/>
      <c r="R14" s="87"/>
    </row>
    <row r="15" spans="1:18" ht="13.9" customHeight="1" outlineLevel="1" x14ac:dyDescent="0.25">
      <c r="B15" s="149"/>
      <c r="C15" s="150" t="s">
        <v>41</v>
      </c>
      <c r="D15" s="85">
        <v>0</v>
      </c>
      <c r="E15" s="86">
        <v>0</v>
      </c>
      <c r="F15" s="85">
        <v>0</v>
      </c>
      <c r="G15" s="86">
        <v>0</v>
      </c>
      <c r="H15" s="85">
        <v>0</v>
      </c>
      <c r="I15" s="86">
        <v>0</v>
      </c>
      <c r="J15" s="85">
        <v>0</v>
      </c>
      <c r="K15" s="86">
        <v>0</v>
      </c>
      <c r="L15" s="85">
        <v>0</v>
      </c>
      <c r="M15" s="86">
        <v>0</v>
      </c>
      <c r="N15" s="85">
        <v>7</v>
      </c>
      <c r="O15" s="86">
        <v>14694410.9</v>
      </c>
      <c r="P15" s="87"/>
      <c r="Q15" s="87"/>
      <c r="R15" s="87"/>
    </row>
    <row r="16" spans="1:18" ht="13.9" customHeight="1" outlineLevel="1" x14ac:dyDescent="0.25">
      <c r="B16" s="149"/>
      <c r="C16" s="150" t="s">
        <v>42</v>
      </c>
      <c r="D16" s="85">
        <v>0</v>
      </c>
      <c r="E16" s="86">
        <v>0</v>
      </c>
      <c r="F16" s="85">
        <v>1</v>
      </c>
      <c r="G16" s="86">
        <v>1531307.4</v>
      </c>
      <c r="H16" s="85">
        <v>1</v>
      </c>
      <c r="I16" s="86">
        <v>4328424</v>
      </c>
      <c r="J16" s="85">
        <v>0</v>
      </c>
      <c r="K16" s="86">
        <v>0</v>
      </c>
      <c r="L16" s="85">
        <v>27</v>
      </c>
      <c r="M16" s="86">
        <v>65027488.800000012</v>
      </c>
      <c r="N16" s="85">
        <v>42</v>
      </c>
      <c r="O16" s="86">
        <v>90137397.700000003</v>
      </c>
      <c r="P16" s="87"/>
      <c r="Q16" s="87"/>
      <c r="R16" s="87"/>
    </row>
    <row r="17" spans="2:18" ht="13.9" customHeight="1" outlineLevel="1" x14ac:dyDescent="0.25">
      <c r="B17" s="149"/>
      <c r="C17" s="150" t="s">
        <v>43</v>
      </c>
      <c r="D17" s="85">
        <v>0</v>
      </c>
      <c r="E17" s="86">
        <v>0</v>
      </c>
      <c r="F17" s="85">
        <v>3</v>
      </c>
      <c r="G17" s="86">
        <v>14752807</v>
      </c>
      <c r="H17" s="85">
        <v>1</v>
      </c>
      <c r="I17" s="86">
        <v>6521560</v>
      </c>
      <c r="J17" s="85">
        <v>3</v>
      </c>
      <c r="K17" s="86">
        <v>24847926</v>
      </c>
      <c r="L17" s="85">
        <v>24</v>
      </c>
      <c r="M17" s="86">
        <v>112417136</v>
      </c>
      <c r="N17" s="85">
        <v>30</v>
      </c>
      <c r="O17" s="86">
        <v>222557202</v>
      </c>
      <c r="P17" s="87"/>
      <c r="Q17" s="87"/>
      <c r="R17" s="87"/>
    </row>
    <row r="18" spans="2:18" ht="13.9" customHeight="1" outlineLevel="1" x14ac:dyDescent="0.25">
      <c r="B18" s="149"/>
      <c r="C18" s="150" t="s">
        <v>44</v>
      </c>
      <c r="D18" s="85">
        <v>0</v>
      </c>
      <c r="E18" s="86">
        <v>0</v>
      </c>
      <c r="F18" s="85">
        <v>4</v>
      </c>
      <c r="G18" s="86">
        <v>13981249.450000001</v>
      </c>
      <c r="H18" s="85">
        <v>3</v>
      </c>
      <c r="I18" s="86">
        <v>13834158.199999999</v>
      </c>
      <c r="J18" s="85">
        <v>5</v>
      </c>
      <c r="K18" s="86">
        <v>27334835.399999999</v>
      </c>
      <c r="L18" s="85">
        <v>0</v>
      </c>
      <c r="M18" s="86">
        <v>0</v>
      </c>
      <c r="N18" s="85">
        <v>0</v>
      </c>
      <c r="O18" s="86">
        <v>0</v>
      </c>
      <c r="P18" s="87"/>
      <c r="Q18" s="87"/>
      <c r="R18" s="87"/>
    </row>
    <row r="19" spans="2:18" ht="13.9" customHeight="1" outlineLevel="1" x14ac:dyDescent="0.25">
      <c r="B19" s="149"/>
      <c r="C19" s="150" t="s">
        <v>45</v>
      </c>
      <c r="D19" s="85">
        <v>0</v>
      </c>
      <c r="E19" s="86">
        <v>0</v>
      </c>
      <c r="F19" s="85">
        <v>12</v>
      </c>
      <c r="G19" s="86">
        <v>32812828</v>
      </c>
      <c r="H19" s="85">
        <v>7</v>
      </c>
      <c r="I19" s="86">
        <v>21489275.199999999</v>
      </c>
      <c r="J19" s="85">
        <v>2</v>
      </c>
      <c r="K19" s="86">
        <v>5749385</v>
      </c>
      <c r="L19" s="85">
        <v>0</v>
      </c>
      <c r="M19" s="86">
        <v>0</v>
      </c>
      <c r="N19" s="85">
        <v>8</v>
      </c>
      <c r="O19" s="86">
        <v>30272011.300000004</v>
      </c>
      <c r="P19" s="87"/>
      <c r="Q19" s="87"/>
      <c r="R19" s="87"/>
    </row>
    <row r="20" spans="2:18" ht="13.9" customHeight="1" outlineLevel="1" x14ac:dyDescent="0.25">
      <c r="B20" s="149"/>
      <c r="C20" s="150" t="s">
        <v>46</v>
      </c>
      <c r="D20" s="85">
        <v>0</v>
      </c>
      <c r="E20" s="86">
        <v>0</v>
      </c>
      <c r="F20" s="85">
        <v>2</v>
      </c>
      <c r="G20" s="86">
        <v>25724205</v>
      </c>
      <c r="H20" s="85">
        <v>9</v>
      </c>
      <c r="I20" s="86">
        <v>59560680</v>
      </c>
      <c r="J20" s="85">
        <v>0</v>
      </c>
      <c r="K20" s="86">
        <v>0</v>
      </c>
      <c r="L20" s="85">
        <v>0</v>
      </c>
      <c r="M20" s="86">
        <v>0</v>
      </c>
      <c r="N20" s="85">
        <v>0</v>
      </c>
      <c r="O20" s="86">
        <v>0</v>
      </c>
      <c r="P20" s="87"/>
      <c r="Q20" s="87"/>
      <c r="R20" s="87"/>
    </row>
    <row r="21" spans="2:18" ht="13.9" customHeight="1" outlineLevel="1" x14ac:dyDescent="0.25">
      <c r="B21" s="149"/>
      <c r="C21" s="150" t="s">
        <v>47</v>
      </c>
      <c r="D21" s="85">
        <v>0</v>
      </c>
      <c r="E21" s="86">
        <v>0</v>
      </c>
      <c r="F21" s="85">
        <v>0</v>
      </c>
      <c r="G21" s="86">
        <v>0</v>
      </c>
      <c r="H21" s="85">
        <v>2</v>
      </c>
      <c r="I21" s="86">
        <v>8284361.2999999998</v>
      </c>
      <c r="J21" s="85">
        <v>2</v>
      </c>
      <c r="K21" s="86">
        <v>5795225.75</v>
      </c>
      <c r="L21" s="85">
        <v>19</v>
      </c>
      <c r="M21" s="86">
        <v>63137039.600000001</v>
      </c>
      <c r="N21" s="85">
        <v>18</v>
      </c>
      <c r="O21" s="86">
        <v>43074522.640000001</v>
      </c>
      <c r="P21" s="87"/>
      <c r="Q21" s="87"/>
      <c r="R21" s="87"/>
    </row>
    <row r="22" spans="2:18" ht="13.9" customHeight="1" outlineLevel="1" x14ac:dyDescent="0.25">
      <c r="B22" s="149"/>
      <c r="C22" s="150" t="s">
        <v>48</v>
      </c>
      <c r="D22" s="85">
        <v>0</v>
      </c>
      <c r="E22" s="86">
        <v>0</v>
      </c>
      <c r="F22" s="85">
        <v>0</v>
      </c>
      <c r="G22" s="86">
        <v>0</v>
      </c>
      <c r="H22" s="85">
        <v>0</v>
      </c>
      <c r="I22" s="86">
        <v>0</v>
      </c>
      <c r="J22" s="85">
        <v>0</v>
      </c>
      <c r="K22" s="86">
        <v>0</v>
      </c>
      <c r="L22" s="85">
        <v>19</v>
      </c>
      <c r="M22" s="86">
        <v>23300751.099999998</v>
      </c>
      <c r="N22" s="85">
        <v>0</v>
      </c>
      <c r="O22" s="86">
        <v>0</v>
      </c>
      <c r="P22" s="87"/>
      <c r="Q22" s="87"/>
      <c r="R22" s="87"/>
    </row>
    <row r="23" spans="2:18" ht="13.9" customHeight="1" outlineLevel="1" x14ac:dyDescent="0.25">
      <c r="B23" s="149"/>
      <c r="C23" s="150" t="s">
        <v>49</v>
      </c>
      <c r="D23" s="85">
        <v>0</v>
      </c>
      <c r="E23" s="86">
        <v>0</v>
      </c>
      <c r="F23" s="85">
        <v>1</v>
      </c>
      <c r="G23" s="86">
        <v>10109297.640000001</v>
      </c>
      <c r="H23" s="85">
        <v>0</v>
      </c>
      <c r="I23" s="86">
        <v>0</v>
      </c>
      <c r="J23" s="85">
        <v>0</v>
      </c>
      <c r="K23" s="86">
        <v>0</v>
      </c>
      <c r="L23" s="85">
        <v>4</v>
      </c>
      <c r="M23" s="86">
        <v>37354854.909999996</v>
      </c>
      <c r="N23" s="85">
        <v>8</v>
      </c>
      <c r="O23" s="86">
        <v>81965055.75</v>
      </c>
      <c r="P23" s="87"/>
      <c r="Q23" s="87"/>
      <c r="R23" s="87"/>
    </row>
    <row r="24" spans="2:18" ht="13.9" customHeight="1" outlineLevel="1" x14ac:dyDescent="0.25">
      <c r="B24" s="149"/>
      <c r="C24" s="150" t="s">
        <v>50</v>
      </c>
      <c r="D24" s="85">
        <v>0</v>
      </c>
      <c r="E24" s="86">
        <v>0</v>
      </c>
      <c r="F24" s="85">
        <v>5</v>
      </c>
      <c r="G24" s="86">
        <v>40430415.5</v>
      </c>
      <c r="H24" s="85">
        <v>4</v>
      </c>
      <c r="I24" s="86">
        <v>25345175</v>
      </c>
      <c r="J24" s="85">
        <v>0</v>
      </c>
      <c r="K24" s="86">
        <v>0</v>
      </c>
      <c r="L24" s="85">
        <v>0</v>
      </c>
      <c r="M24" s="86">
        <v>0</v>
      </c>
      <c r="N24" s="85">
        <v>0</v>
      </c>
      <c r="O24" s="86">
        <v>0</v>
      </c>
      <c r="P24" s="87"/>
    </row>
    <row r="25" spans="2:18" ht="13.9" customHeight="1" outlineLevel="1" x14ac:dyDescent="0.25">
      <c r="B25" s="149"/>
      <c r="C25" s="150" t="s">
        <v>51</v>
      </c>
      <c r="D25" s="85">
        <v>0</v>
      </c>
      <c r="E25" s="86">
        <v>0</v>
      </c>
      <c r="F25" s="85">
        <v>0</v>
      </c>
      <c r="G25" s="86">
        <v>0</v>
      </c>
      <c r="H25" s="85">
        <v>5</v>
      </c>
      <c r="I25" s="86">
        <v>7556358.0499999998</v>
      </c>
      <c r="J25" s="85">
        <v>30</v>
      </c>
      <c r="K25" s="86">
        <v>42129042.149999999</v>
      </c>
      <c r="L25" s="85">
        <v>0</v>
      </c>
      <c r="M25" s="86">
        <v>0</v>
      </c>
      <c r="N25" s="85">
        <v>0</v>
      </c>
      <c r="O25" s="86">
        <v>0</v>
      </c>
      <c r="P25" s="87"/>
    </row>
    <row r="26" spans="2:18" ht="13.9" customHeight="1" outlineLevel="1" x14ac:dyDescent="0.25">
      <c r="B26" s="149"/>
      <c r="C26" s="150" t="s">
        <v>52</v>
      </c>
      <c r="D26" s="85">
        <v>0</v>
      </c>
      <c r="E26" s="86">
        <v>0</v>
      </c>
      <c r="F26" s="85">
        <v>1</v>
      </c>
      <c r="G26" s="86">
        <v>3612040.05</v>
      </c>
      <c r="H26" s="85">
        <v>0</v>
      </c>
      <c r="I26" s="86">
        <v>0</v>
      </c>
      <c r="J26" s="85">
        <v>0</v>
      </c>
      <c r="K26" s="86">
        <v>0</v>
      </c>
      <c r="L26" s="85">
        <v>0</v>
      </c>
      <c r="M26" s="86">
        <v>0</v>
      </c>
      <c r="N26" s="85">
        <v>0</v>
      </c>
      <c r="O26" s="86">
        <v>0</v>
      </c>
      <c r="P26" s="87"/>
    </row>
    <row r="27" spans="2:18" ht="13.9" customHeight="1" outlineLevel="1" x14ac:dyDescent="0.25">
      <c r="B27" s="149"/>
      <c r="C27" s="150" t="s">
        <v>53</v>
      </c>
      <c r="D27" s="85">
        <v>0</v>
      </c>
      <c r="E27" s="86">
        <v>0</v>
      </c>
      <c r="F27" s="85">
        <v>1</v>
      </c>
      <c r="G27" s="86">
        <v>5018341.3499999996</v>
      </c>
      <c r="H27" s="85">
        <v>1</v>
      </c>
      <c r="I27" s="86">
        <v>6423617.2000000002</v>
      </c>
      <c r="J27" s="85">
        <v>2</v>
      </c>
      <c r="K27" s="86">
        <v>11250682.199999999</v>
      </c>
      <c r="L27" s="85">
        <v>1</v>
      </c>
      <c r="M27" s="86">
        <v>6411405</v>
      </c>
      <c r="N27" s="85">
        <v>0</v>
      </c>
      <c r="O27" s="86">
        <v>0</v>
      </c>
      <c r="P27" s="87"/>
    </row>
    <row r="28" spans="2:18" ht="13.9" customHeight="1" outlineLevel="1" x14ac:dyDescent="0.25">
      <c r="B28" s="149"/>
      <c r="C28" s="150" t="s">
        <v>54</v>
      </c>
      <c r="D28" s="85">
        <v>0</v>
      </c>
      <c r="E28" s="86">
        <v>0</v>
      </c>
      <c r="F28" s="85">
        <v>7</v>
      </c>
      <c r="G28" s="86">
        <v>24154390.949999999</v>
      </c>
      <c r="H28" s="85">
        <v>1</v>
      </c>
      <c r="I28" s="86">
        <v>3533909.4</v>
      </c>
      <c r="J28" s="85">
        <v>0</v>
      </c>
      <c r="K28" s="86">
        <v>0</v>
      </c>
      <c r="L28" s="85">
        <v>0</v>
      </c>
      <c r="M28" s="86">
        <v>0</v>
      </c>
      <c r="N28" s="85">
        <v>10</v>
      </c>
      <c r="O28" s="86">
        <v>26105314.079999998</v>
      </c>
      <c r="P28" s="87"/>
    </row>
    <row r="29" spans="2:18" ht="13.9" customHeight="1" outlineLevel="1" x14ac:dyDescent="0.25">
      <c r="B29" s="149"/>
      <c r="C29" s="150" t="s">
        <v>55</v>
      </c>
      <c r="D29" s="85">
        <v>0</v>
      </c>
      <c r="E29" s="86">
        <v>0</v>
      </c>
      <c r="F29" s="85">
        <v>1</v>
      </c>
      <c r="G29" s="86">
        <v>5770991</v>
      </c>
      <c r="H29" s="85">
        <v>0</v>
      </c>
      <c r="I29" s="86">
        <v>0</v>
      </c>
      <c r="J29" s="85">
        <v>0</v>
      </c>
      <c r="K29" s="86">
        <v>0</v>
      </c>
      <c r="L29" s="85">
        <v>0</v>
      </c>
      <c r="M29" s="86">
        <v>0</v>
      </c>
      <c r="N29" s="85">
        <v>0</v>
      </c>
      <c r="O29" s="86">
        <v>0</v>
      </c>
      <c r="P29" s="87"/>
    </row>
    <row r="30" spans="2:18" ht="13.9" customHeight="1" outlineLevel="1" x14ac:dyDescent="0.25">
      <c r="B30" s="149"/>
      <c r="C30" s="150" t="s">
        <v>56</v>
      </c>
      <c r="D30" s="85">
        <v>0</v>
      </c>
      <c r="E30" s="86">
        <v>0</v>
      </c>
      <c r="F30" s="85">
        <v>0</v>
      </c>
      <c r="G30" s="86">
        <v>0</v>
      </c>
      <c r="H30" s="85">
        <v>0</v>
      </c>
      <c r="I30" s="86">
        <v>0</v>
      </c>
      <c r="J30" s="85">
        <v>0</v>
      </c>
      <c r="K30" s="86">
        <v>0</v>
      </c>
      <c r="L30" s="85">
        <v>0</v>
      </c>
      <c r="M30" s="86">
        <v>0</v>
      </c>
      <c r="N30" s="85">
        <v>0</v>
      </c>
      <c r="O30" s="86">
        <v>0</v>
      </c>
      <c r="P30" s="87"/>
    </row>
    <row r="31" spans="2:18" ht="13.9" customHeight="1" outlineLevel="1" x14ac:dyDescent="0.25">
      <c r="B31" s="149"/>
      <c r="C31" s="150" t="s">
        <v>57</v>
      </c>
      <c r="D31" s="85">
        <v>0</v>
      </c>
      <c r="E31" s="86">
        <v>0</v>
      </c>
      <c r="F31" s="85">
        <v>0</v>
      </c>
      <c r="G31" s="86">
        <v>0</v>
      </c>
      <c r="H31" s="85">
        <v>0</v>
      </c>
      <c r="I31" s="86">
        <v>0</v>
      </c>
      <c r="J31" s="85">
        <v>0</v>
      </c>
      <c r="K31" s="86">
        <v>0</v>
      </c>
      <c r="L31" s="85">
        <v>0</v>
      </c>
      <c r="M31" s="86">
        <v>0</v>
      </c>
      <c r="N31" s="85">
        <v>8</v>
      </c>
      <c r="O31" s="86">
        <v>129290986.98999999</v>
      </c>
      <c r="P31" s="87"/>
    </row>
    <row r="32" spans="2:18" ht="13.9" customHeight="1" outlineLevel="1" x14ac:dyDescent="0.25">
      <c r="B32" s="149"/>
      <c r="C32" s="150" t="s">
        <v>58</v>
      </c>
      <c r="D32" s="85">
        <v>0</v>
      </c>
      <c r="E32" s="86">
        <v>0</v>
      </c>
      <c r="F32" s="85">
        <v>0</v>
      </c>
      <c r="G32" s="86">
        <v>0</v>
      </c>
      <c r="H32" s="85">
        <v>0</v>
      </c>
      <c r="I32" s="86">
        <v>0</v>
      </c>
      <c r="J32" s="85">
        <v>0</v>
      </c>
      <c r="K32" s="86">
        <v>0</v>
      </c>
      <c r="L32" s="85">
        <v>0</v>
      </c>
      <c r="M32" s="86">
        <v>0</v>
      </c>
      <c r="N32" s="85">
        <v>0</v>
      </c>
      <c r="O32" s="86">
        <v>0</v>
      </c>
      <c r="P32" s="87"/>
    </row>
    <row r="33" spans="2:16" ht="13.9" customHeight="1" outlineLevel="1" x14ac:dyDescent="0.25">
      <c r="B33" s="149"/>
      <c r="C33" s="150" t="s">
        <v>59</v>
      </c>
      <c r="D33" s="85">
        <v>0</v>
      </c>
      <c r="E33" s="86">
        <v>0</v>
      </c>
      <c r="F33" s="85">
        <v>0</v>
      </c>
      <c r="G33" s="86">
        <v>0</v>
      </c>
      <c r="H33" s="85">
        <v>0</v>
      </c>
      <c r="I33" s="86">
        <v>0</v>
      </c>
      <c r="J33" s="85">
        <v>0</v>
      </c>
      <c r="K33" s="86">
        <v>0</v>
      </c>
      <c r="L33" s="85">
        <v>0</v>
      </c>
      <c r="M33" s="86">
        <v>0</v>
      </c>
      <c r="N33" s="85">
        <v>0</v>
      </c>
      <c r="O33" s="86">
        <v>0</v>
      </c>
      <c r="P33" s="87"/>
    </row>
    <row r="34" spans="2:16" ht="13.9" customHeight="1" outlineLevel="1" x14ac:dyDescent="0.25">
      <c r="B34" s="149"/>
      <c r="C34" s="150" t="s">
        <v>60</v>
      </c>
      <c r="D34" s="85">
        <v>0</v>
      </c>
      <c r="E34" s="86">
        <v>0</v>
      </c>
      <c r="F34" s="85">
        <v>1</v>
      </c>
      <c r="G34" s="86">
        <v>5831408</v>
      </c>
      <c r="H34" s="85">
        <v>0</v>
      </c>
      <c r="I34" s="86">
        <v>0</v>
      </c>
      <c r="J34" s="85">
        <v>0</v>
      </c>
      <c r="K34" s="86">
        <v>0</v>
      </c>
      <c r="L34" s="85">
        <v>0</v>
      </c>
      <c r="M34" s="86">
        <v>0</v>
      </c>
      <c r="N34" s="85">
        <v>0</v>
      </c>
      <c r="O34" s="86">
        <v>0</v>
      </c>
      <c r="P34" s="87"/>
    </row>
    <row r="35" spans="2:16" ht="13.9" customHeight="1" outlineLevel="1" x14ac:dyDescent="0.25">
      <c r="B35" s="149"/>
      <c r="C35" s="150" t="s">
        <v>61</v>
      </c>
      <c r="D35" s="85">
        <v>0</v>
      </c>
      <c r="E35" s="86">
        <v>0</v>
      </c>
      <c r="F35" s="85">
        <v>2</v>
      </c>
      <c r="G35" s="86">
        <v>9735141</v>
      </c>
      <c r="H35" s="85">
        <v>1</v>
      </c>
      <c r="I35" s="86">
        <v>7494818.75</v>
      </c>
      <c r="J35" s="85">
        <v>0</v>
      </c>
      <c r="K35" s="86">
        <v>0</v>
      </c>
      <c r="L35" s="85">
        <v>0</v>
      </c>
      <c r="M35" s="86">
        <v>0</v>
      </c>
      <c r="N35" s="85">
        <v>0</v>
      </c>
      <c r="O35" s="86">
        <v>0</v>
      </c>
      <c r="P35" s="87"/>
    </row>
    <row r="36" spans="2:16" ht="13.9" customHeight="1" outlineLevel="1" x14ac:dyDescent="0.25">
      <c r="B36" s="149"/>
      <c r="C36" s="150" t="s">
        <v>62</v>
      </c>
      <c r="D36" s="85">
        <v>0</v>
      </c>
      <c r="E36" s="86">
        <v>0</v>
      </c>
      <c r="F36" s="85">
        <v>1</v>
      </c>
      <c r="G36" s="86">
        <v>9565393.5</v>
      </c>
      <c r="H36" s="85">
        <v>0</v>
      </c>
      <c r="I36" s="86">
        <v>0</v>
      </c>
      <c r="J36" s="85">
        <v>0</v>
      </c>
      <c r="K36" s="86">
        <v>0</v>
      </c>
      <c r="L36" s="85">
        <v>0</v>
      </c>
      <c r="M36" s="86">
        <v>0</v>
      </c>
      <c r="N36" s="85">
        <v>0</v>
      </c>
      <c r="O36" s="86">
        <v>0</v>
      </c>
      <c r="P36" s="87"/>
    </row>
    <row r="37" spans="2:16" ht="13.9" customHeight="1" outlineLevel="1" x14ac:dyDescent="0.25">
      <c r="B37" s="149"/>
      <c r="C37" s="150" t="s">
        <v>63</v>
      </c>
      <c r="D37" s="85">
        <v>0</v>
      </c>
      <c r="E37" s="86">
        <v>0</v>
      </c>
      <c r="F37" s="85">
        <v>0</v>
      </c>
      <c r="G37" s="86">
        <v>0</v>
      </c>
      <c r="H37" s="85">
        <v>0</v>
      </c>
      <c r="I37" s="86">
        <v>0</v>
      </c>
      <c r="J37" s="85">
        <v>0</v>
      </c>
      <c r="K37" s="86">
        <v>0</v>
      </c>
      <c r="L37" s="85">
        <v>0</v>
      </c>
      <c r="M37" s="86">
        <v>0</v>
      </c>
      <c r="N37" s="85">
        <v>0</v>
      </c>
      <c r="O37" s="86">
        <v>0</v>
      </c>
      <c r="P37" s="87"/>
    </row>
    <row r="38" spans="2:16" ht="13.9" customHeight="1" outlineLevel="1" x14ac:dyDescent="0.25">
      <c r="B38" s="149"/>
      <c r="C38" s="150" t="s">
        <v>64</v>
      </c>
      <c r="D38" s="85">
        <v>0</v>
      </c>
      <c r="E38" s="86">
        <v>0</v>
      </c>
      <c r="F38" s="85">
        <v>0</v>
      </c>
      <c r="G38" s="86">
        <v>0</v>
      </c>
      <c r="H38" s="85">
        <v>0</v>
      </c>
      <c r="I38" s="86">
        <v>0</v>
      </c>
      <c r="J38" s="85">
        <v>0</v>
      </c>
      <c r="K38" s="86">
        <v>0</v>
      </c>
      <c r="L38" s="85">
        <v>0</v>
      </c>
      <c r="M38" s="86">
        <v>0</v>
      </c>
      <c r="N38" s="85">
        <v>0</v>
      </c>
      <c r="O38" s="86">
        <v>0</v>
      </c>
      <c r="P38" s="87"/>
    </row>
    <row r="39" spans="2:16" ht="13.9" customHeight="1" outlineLevel="1" x14ac:dyDescent="0.25">
      <c r="B39" s="149"/>
      <c r="C39" s="150" t="s">
        <v>65</v>
      </c>
      <c r="D39" s="85">
        <v>0</v>
      </c>
      <c r="E39" s="86">
        <v>0</v>
      </c>
      <c r="F39" s="85">
        <v>0</v>
      </c>
      <c r="G39" s="86">
        <v>0</v>
      </c>
      <c r="H39" s="85">
        <v>0</v>
      </c>
      <c r="I39" s="86">
        <v>0</v>
      </c>
      <c r="J39" s="85">
        <v>0</v>
      </c>
      <c r="K39" s="86">
        <v>0</v>
      </c>
      <c r="L39" s="85">
        <v>0</v>
      </c>
      <c r="M39" s="86">
        <v>0</v>
      </c>
      <c r="N39" s="85">
        <v>11</v>
      </c>
      <c r="O39" s="86">
        <v>18779925</v>
      </c>
      <c r="P39" s="87"/>
    </row>
    <row r="40" spans="2:16" ht="13.9" customHeight="1" outlineLevel="1" x14ac:dyDescent="0.25">
      <c r="B40" s="149"/>
      <c r="C40" s="150" t="s">
        <v>66</v>
      </c>
      <c r="D40" s="85">
        <v>0</v>
      </c>
      <c r="E40" s="86">
        <v>0</v>
      </c>
      <c r="F40" s="85">
        <v>0</v>
      </c>
      <c r="G40" s="86">
        <v>0</v>
      </c>
      <c r="H40" s="85">
        <v>0</v>
      </c>
      <c r="I40" s="86">
        <v>0</v>
      </c>
      <c r="J40" s="85">
        <v>0</v>
      </c>
      <c r="K40" s="86">
        <v>0</v>
      </c>
      <c r="L40" s="85">
        <v>0</v>
      </c>
      <c r="M40" s="86">
        <v>0</v>
      </c>
      <c r="N40" s="85">
        <v>13</v>
      </c>
      <c r="O40" s="86">
        <v>32005768</v>
      </c>
      <c r="P40" s="87"/>
    </row>
    <row r="41" spans="2:16" ht="13.9" customHeight="1" outlineLevel="1" x14ac:dyDescent="0.25">
      <c r="B41" s="149"/>
      <c r="C41" s="150" t="s">
        <v>67</v>
      </c>
      <c r="D41" s="85">
        <v>0</v>
      </c>
      <c r="E41" s="86">
        <v>0</v>
      </c>
      <c r="F41" s="85">
        <v>7</v>
      </c>
      <c r="G41" s="86">
        <v>15101554</v>
      </c>
      <c r="H41" s="85">
        <v>0</v>
      </c>
      <c r="I41" s="86">
        <v>0</v>
      </c>
      <c r="J41" s="85">
        <v>0</v>
      </c>
      <c r="K41" s="86">
        <v>0</v>
      </c>
      <c r="L41" s="85">
        <v>6</v>
      </c>
      <c r="M41" s="86">
        <v>24432330</v>
      </c>
      <c r="N41" s="85">
        <v>1</v>
      </c>
      <c r="O41" s="86">
        <v>2235206</v>
      </c>
      <c r="P41" s="87"/>
    </row>
    <row r="42" spans="2:16" ht="13.9" customHeight="1" x14ac:dyDescent="0.25">
      <c r="B42" s="149"/>
      <c r="C42" s="148" t="s">
        <v>103</v>
      </c>
      <c r="D42" s="90">
        <f>SUM(D5:D41)</f>
        <v>0</v>
      </c>
      <c r="E42" s="91">
        <f t="shared" ref="E42:O42" si="0">SUM(E5:E41)</f>
        <v>0</v>
      </c>
      <c r="F42" s="92">
        <f t="shared" si="0"/>
        <v>52</v>
      </c>
      <c r="G42" s="93">
        <f t="shared" si="0"/>
        <v>282565224.84000003</v>
      </c>
      <c r="H42" s="90">
        <f t="shared" si="0"/>
        <v>36</v>
      </c>
      <c r="I42" s="91">
        <f t="shared" si="0"/>
        <v>172322305.09999999</v>
      </c>
      <c r="J42" s="92">
        <f t="shared" si="0"/>
        <v>47</v>
      </c>
      <c r="K42" s="93">
        <f t="shared" si="0"/>
        <v>159243614.5</v>
      </c>
      <c r="L42" s="90">
        <f t="shared" si="0"/>
        <v>114</v>
      </c>
      <c r="M42" s="91">
        <f t="shared" si="0"/>
        <v>430458389.24000001</v>
      </c>
      <c r="N42" s="90">
        <f t="shared" si="0"/>
        <v>295</v>
      </c>
      <c r="O42" s="91">
        <f t="shared" si="0"/>
        <v>1213988691.97</v>
      </c>
      <c r="P42" s="94"/>
    </row>
    <row r="43" spans="2:16" ht="13.9" customHeight="1" outlineLevel="1" x14ac:dyDescent="0.25">
      <c r="B43" s="149" t="s">
        <v>83</v>
      </c>
      <c r="C43" s="150" t="s">
        <v>70</v>
      </c>
      <c r="D43" s="85">
        <v>0</v>
      </c>
      <c r="E43" s="86">
        <v>0</v>
      </c>
      <c r="F43" s="85">
        <v>0</v>
      </c>
      <c r="G43" s="86">
        <v>0</v>
      </c>
      <c r="H43" s="85">
        <v>10</v>
      </c>
      <c r="I43" s="86">
        <v>38236982.780000001</v>
      </c>
      <c r="J43" s="85">
        <v>9</v>
      </c>
      <c r="K43" s="86">
        <v>31650263.029999997</v>
      </c>
      <c r="L43" s="85">
        <v>30</v>
      </c>
      <c r="M43" s="86">
        <v>56674956.910000004</v>
      </c>
      <c r="N43" s="85">
        <v>1</v>
      </c>
      <c r="O43" s="86">
        <v>1190518.58</v>
      </c>
      <c r="P43" s="87"/>
    </row>
    <row r="44" spans="2:16" ht="13.9" customHeight="1" outlineLevel="1" x14ac:dyDescent="0.25">
      <c r="B44" s="149"/>
      <c r="C44" s="150" t="s">
        <v>71</v>
      </c>
      <c r="D44" s="85">
        <v>1</v>
      </c>
      <c r="E44" s="86">
        <v>17704043</v>
      </c>
      <c r="F44" s="85">
        <v>6</v>
      </c>
      <c r="G44" s="86">
        <v>85549110.75</v>
      </c>
      <c r="H44" s="85">
        <v>2</v>
      </c>
      <c r="I44" s="86">
        <v>35072952</v>
      </c>
      <c r="J44" s="85">
        <v>5</v>
      </c>
      <c r="K44" s="86">
        <v>97719035.769999996</v>
      </c>
      <c r="L44" s="85">
        <v>8</v>
      </c>
      <c r="M44" s="86">
        <v>118787745.00999999</v>
      </c>
      <c r="N44" s="85">
        <v>0</v>
      </c>
      <c r="O44" s="86">
        <v>0</v>
      </c>
      <c r="P44" s="87"/>
    </row>
    <row r="45" spans="2:16" ht="13.9" customHeight="1" outlineLevel="1" x14ac:dyDescent="0.25">
      <c r="B45" s="149"/>
      <c r="C45" s="150" t="s">
        <v>72</v>
      </c>
      <c r="D45" s="85">
        <v>0</v>
      </c>
      <c r="E45" s="86">
        <v>0</v>
      </c>
      <c r="F45" s="85">
        <v>8</v>
      </c>
      <c r="G45" s="86">
        <v>14142742.789999999</v>
      </c>
      <c r="H45" s="85">
        <v>4</v>
      </c>
      <c r="I45" s="86">
        <v>7172115.5300000003</v>
      </c>
      <c r="J45" s="85">
        <v>0</v>
      </c>
      <c r="K45" s="86">
        <v>0</v>
      </c>
      <c r="L45" s="85">
        <v>0</v>
      </c>
      <c r="M45" s="86">
        <v>0</v>
      </c>
      <c r="N45" s="85">
        <v>0</v>
      </c>
      <c r="O45" s="86">
        <v>0</v>
      </c>
      <c r="P45" s="87"/>
    </row>
    <row r="46" spans="2:16" ht="13.9" customHeight="1" x14ac:dyDescent="0.25">
      <c r="B46" s="149"/>
      <c r="C46" s="148" t="s">
        <v>104</v>
      </c>
      <c r="D46" s="90">
        <f>SUM(D43:D45)</f>
        <v>1</v>
      </c>
      <c r="E46" s="91">
        <f t="shared" ref="E46:O46" si="1">SUM(E43:E45)</f>
        <v>17704043</v>
      </c>
      <c r="F46" s="92">
        <f t="shared" si="1"/>
        <v>14</v>
      </c>
      <c r="G46" s="93">
        <f t="shared" si="1"/>
        <v>99691853.539999992</v>
      </c>
      <c r="H46" s="90">
        <f t="shared" si="1"/>
        <v>16</v>
      </c>
      <c r="I46" s="91">
        <f t="shared" si="1"/>
        <v>80482050.310000002</v>
      </c>
      <c r="J46" s="92">
        <f t="shared" si="1"/>
        <v>14</v>
      </c>
      <c r="K46" s="93">
        <f t="shared" si="1"/>
        <v>129369298.8</v>
      </c>
      <c r="L46" s="90">
        <f t="shared" si="1"/>
        <v>38</v>
      </c>
      <c r="M46" s="91">
        <f t="shared" si="1"/>
        <v>175462701.91999999</v>
      </c>
      <c r="N46" s="90">
        <f t="shared" si="1"/>
        <v>1</v>
      </c>
      <c r="O46" s="91">
        <f t="shared" si="1"/>
        <v>1190518.58</v>
      </c>
      <c r="P46" s="94"/>
    </row>
    <row r="47" spans="2:16" ht="13.9" customHeight="1" outlineLevel="1" x14ac:dyDescent="0.25">
      <c r="B47" s="149" t="s">
        <v>105</v>
      </c>
      <c r="C47" s="150" t="s">
        <v>75</v>
      </c>
      <c r="D47" s="85">
        <v>0</v>
      </c>
      <c r="E47" s="86">
        <v>0</v>
      </c>
      <c r="F47" s="85">
        <v>0</v>
      </c>
      <c r="G47" s="86">
        <v>0</v>
      </c>
      <c r="H47" s="85">
        <v>1</v>
      </c>
      <c r="I47" s="86">
        <v>1260739.1000000001</v>
      </c>
      <c r="J47" s="85">
        <v>0</v>
      </c>
      <c r="K47" s="86">
        <v>0</v>
      </c>
      <c r="L47" s="85">
        <v>0</v>
      </c>
      <c r="M47" s="86">
        <v>0</v>
      </c>
      <c r="N47" s="85">
        <v>0</v>
      </c>
      <c r="O47" s="86">
        <v>0</v>
      </c>
      <c r="P47" s="87"/>
    </row>
    <row r="48" spans="2:16" ht="13.9" customHeight="1" outlineLevel="1" x14ac:dyDescent="0.25">
      <c r="B48" s="149"/>
      <c r="C48" s="150" t="s">
        <v>76</v>
      </c>
      <c r="D48" s="85">
        <v>0</v>
      </c>
      <c r="E48" s="86">
        <v>0</v>
      </c>
      <c r="F48" s="85">
        <v>0</v>
      </c>
      <c r="G48" s="86">
        <v>0</v>
      </c>
      <c r="H48" s="85">
        <v>0</v>
      </c>
      <c r="I48" s="86">
        <v>0</v>
      </c>
      <c r="J48" s="85">
        <v>0</v>
      </c>
      <c r="K48" s="86">
        <v>0</v>
      </c>
      <c r="L48" s="85">
        <v>0</v>
      </c>
      <c r="M48" s="86">
        <v>0</v>
      </c>
      <c r="N48" s="85">
        <v>0</v>
      </c>
      <c r="O48" s="86">
        <v>0</v>
      </c>
      <c r="P48" s="87"/>
    </row>
    <row r="49" spans="2:16" ht="13.9" customHeight="1" x14ac:dyDescent="0.25">
      <c r="B49" s="149"/>
      <c r="C49" s="148" t="s">
        <v>106</v>
      </c>
      <c r="D49" s="90">
        <f>SUM(D47:D48)</f>
        <v>0</v>
      </c>
      <c r="E49" s="91">
        <f t="shared" ref="E49:O49" si="2">SUM(E47:E48)</f>
        <v>0</v>
      </c>
      <c r="F49" s="92">
        <f t="shared" si="2"/>
        <v>0</v>
      </c>
      <c r="G49" s="93">
        <f t="shared" si="2"/>
        <v>0</v>
      </c>
      <c r="H49" s="90">
        <f t="shared" si="2"/>
        <v>1</v>
      </c>
      <c r="I49" s="91">
        <f t="shared" si="2"/>
        <v>1260739.1000000001</v>
      </c>
      <c r="J49" s="92">
        <f t="shared" si="2"/>
        <v>0</v>
      </c>
      <c r="K49" s="93">
        <f t="shared" si="2"/>
        <v>0</v>
      </c>
      <c r="L49" s="90">
        <f t="shared" si="2"/>
        <v>0</v>
      </c>
      <c r="M49" s="91">
        <f t="shared" si="2"/>
        <v>0</v>
      </c>
      <c r="N49" s="90">
        <f t="shared" si="2"/>
        <v>0</v>
      </c>
      <c r="O49" s="91">
        <f t="shared" si="2"/>
        <v>0</v>
      </c>
      <c r="P49" s="94"/>
    </row>
    <row r="50" spans="2:16" ht="13.9" customHeight="1" x14ac:dyDescent="0.25">
      <c r="B50" s="151" t="s">
        <v>78</v>
      </c>
      <c r="C50" s="151"/>
      <c r="D50" s="90">
        <f>D42+D46+D49</f>
        <v>1</v>
      </c>
      <c r="E50" s="91">
        <f t="shared" ref="E50:O50" si="3">E42+E46+E49</f>
        <v>17704043</v>
      </c>
      <c r="F50" s="92">
        <f t="shared" si="3"/>
        <v>66</v>
      </c>
      <c r="G50" s="93">
        <f t="shared" si="3"/>
        <v>382257078.38</v>
      </c>
      <c r="H50" s="90">
        <f t="shared" si="3"/>
        <v>53</v>
      </c>
      <c r="I50" s="91">
        <f t="shared" si="3"/>
        <v>254065094.50999999</v>
      </c>
      <c r="J50" s="92">
        <f t="shared" si="3"/>
        <v>61</v>
      </c>
      <c r="K50" s="93">
        <f t="shared" si="3"/>
        <v>288612913.30000001</v>
      </c>
      <c r="L50" s="90">
        <f t="shared" si="3"/>
        <v>152</v>
      </c>
      <c r="M50" s="91">
        <f t="shared" si="3"/>
        <v>605921091.15999997</v>
      </c>
      <c r="N50" s="90">
        <f t="shared" si="3"/>
        <v>296</v>
      </c>
      <c r="O50" s="91">
        <f t="shared" si="3"/>
        <v>1215179210.55</v>
      </c>
      <c r="P50" s="94"/>
    </row>
    <row r="51" spans="2:16" ht="13.9" customHeight="1" x14ac:dyDescent="0.25">
      <c r="B51" s="151" t="s">
        <v>79</v>
      </c>
      <c r="C51" s="151"/>
      <c r="D51" s="97">
        <f>D50/SUM($D$50,$F$50,$H$50,$J$50,$L$50,$N$50)</f>
        <v>1.589825119236884E-3</v>
      </c>
      <c r="E51" s="98">
        <f>E50/SUM($E$50,$G$50,$I$50,$K$50,$M$50,$O$50)</f>
        <v>6.4058292913072327E-3</v>
      </c>
      <c r="F51" s="97">
        <f>F50/SUM($D$50,$F$50,$H$50,$J$50,$L$50,$N$50)</f>
        <v>0.10492845786963434</v>
      </c>
      <c r="G51" s="98">
        <f>G50/SUM($E$50,$G$50,$I$50,$K$50,$M$50,$O$50)</f>
        <v>0.13831154779143548</v>
      </c>
      <c r="H51" s="97">
        <f>H50/SUM($D$50,$F$50,$H$50,$J$50,$L$50,$N$50)</f>
        <v>8.4260731319554846E-2</v>
      </c>
      <c r="I51" s="98">
        <f>I50/SUM($E$50,$G$50,$I$50,$K$50,$M$50,$O$50)</f>
        <v>9.192802030083741E-2</v>
      </c>
      <c r="J51" s="97">
        <f>J50/SUM($D$50,$F$50,$H$50,$J$50,$L$50,$N$50)</f>
        <v>9.6979332273449917E-2</v>
      </c>
      <c r="K51" s="98">
        <f>K50/SUM($E$50,$G$50,$I$50,$K$50,$M$50,$O$50)</f>
        <v>0.10442840959359706</v>
      </c>
      <c r="L51" s="97">
        <f>L50/SUM($D$50,$F$50,$H$50,$J$50,$L$50,$N$50)</f>
        <v>0.24165341812400637</v>
      </c>
      <c r="M51" s="98">
        <f>M50/SUM($E$50,$G$50,$I$50,$K$50,$M$50,$O$50)</f>
        <v>0.21923958691094278</v>
      </c>
      <c r="N51" s="97">
        <f>N50/SUM($D$50,$F$50,$H$50,$J$50,$L$50,$N$50)</f>
        <v>0.47058823529411764</v>
      </c>
      <c r="O51" s="98">
        <f>O50/SUM($E$50,$G$50,$I$50,$K$50,$M$50,$O$50)</f>
        <v>0.43968660611188015</v>
      </c>
      <c r="P51" s="99"/>
    </row>
    <row r="52" spans="2:16" ht="13.9" customHeight="1" x14ac:dyDescent="0.25">
      <c r="B52" s="152" t="s">
        <v>80</v>
      </c>
      <c r="C52" s="153"/>
      <c r="D52" s="102">
        <f>D51</f>
        <v>1.589825119236884E-3</v>
      </c>
      <c r="E52" s="103">
        <f>E51</f>
        <v>6.4058292913072327E-3</v>
      </c>
      <c r="F52" s="102">
        <f>D51+F51</f>
        <v>0.10651828298887123</v>
      </c>
      <c r="G52" s="103">
        <f>E51+G51</f>
        <v>0.14471737708274271</v>
      </c>
      <c r="H52" s="102">
        <f>F51+H51+D51</f>
        <v>0.19077901430842609</v>
      </c>
      <c r="I52" s="103">
        <f>G51+I51+E51</f>
        <v>0.23664539738358012</v>
      </c>
      <c r="J52" s="102">
        <f>H51+J51+F51+D51</f>
        <v>0.28775834658187599</v>
      </c>
      <c r="K52" s="103">
        <f>I51+K51+G51+E51</f>
        <v>0.34107380697717721</v>
      </c>
      <c r="L52" s="102">
        <f>J51+L51+H51+F51+D51</f>
        <v>0.52941176470588236</v>
      </c>
      <c r="M52" s="103">
        <f>K51+M51+I51+G51+E51</f>
        <v>0.56031339388811996</v>
      </c>
      <c r="N52" s="102">
        <f>L51+N51+J51+H51+F51+D51</f>
        <v>0.99999999999999989</v>
      </c>
      <c r="O52" s="103">
        <f>M51+O51+K51+I51+G51+E51</f>
        <v>1.0000000000000002</v>
      </c>
      <c r="P52" s="99"/>
    </row>
    <row r="53" spans="2:16" ht="13.9" customHeight="1" x14ac:dyDescent="0.25"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  <row r="54" spans="2:16" ht="13.9" customHeight="1" x14ac:dyDescent="0.25"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  <row r="55" spans="2:16" ht="13.9" customHeight="1" x14ac:dyDescent="0.25">
      <c r="B55" s="149" t="s">
        <v>26</v>
      </c>
      <c r="C55" s="148" t="s">
        <v>19</v>
      </c>
      <c r="D55" s="73" t="s">
        <v>20</v>
      </c>
      <c r="E55" s="74"/>
      <c r="F55" s="75" t="s">
        <v>21</v>
      </c>
      <c r="G55" s="76"/>
      <c r="H55" s="73" t="s">
        <v>22</v>
      </c>
      <c r="I55" s="74"/>
      <c r="J55" s="75" t="s">
        <v>23</v>
      </c>
      <c r="K55" s="76"/>
      <c r="L55" s="73" t="s">
        <v>24</v>
      </c>
      <c r="M55" s="74"/>
      <c r="N55" s="73" t="s">
        <v>25</v>
      </c>
      <c r="O55" s="74"/>
      <c r="P55" s="77"/>
    </row>
    <row r="56" spans="2:16" ht="13.9" customHeight="1" x14ac:dyDescent="0.25">
      <c r="B56" s="149"/>
      <c r="C56" s="148" t="s">
        <v>102</v>
      </c>
      <c r="D56" s="79" t="s">
        <v>81</v>
      </c>
      <c r="E56" s="80" t="s">
        <v>82</v>
      </c>
      <c r="F56" s="79" t="s">
        <v>81</v>
      </c>
      <c r="G56" s="80" t="s">
        <v>82</v>
      </c>
      <c r="H56" s="79" t="s">
        <v>81</v>
      </c>
      <c r="I56" s="80" t="s">
        <v>82</v>
      </c>
      <c r="J56" s="79" t="s">
        <v>81</v>
      </c>
      <c r="K56" s="80" t="s">
        <v>82</v>
      </c>
      <c r="L56" s="79" t="s">
        <v>81</v>
      </c>
      <c r="M56" s="80" t="s">
        <v>82</v>
      </c>
      <c r="N56" s="79" t="s">
        <v>81</v>
      </c>
      <c r="O56" s="80" t="s">
        <v>82</v>
      </c>
      <c r="P56" s="83"/>
    </row>
    <row r="57" spans="2:16" ht="13.9" customHeight="1" outlineLevel="1" x14ac:dyDescent="0.25">
      <c r="B57" s="149" t="s">
        <v>30</v>
      </c>
      <c r="C57" s="150" t="s">
        <v>31</v>
      </c>
      <c r="D57" s="85">
        <v>0</v>
      </c>
      <c r="E57" s="86">
        <v>0</v>
      </c>
      <c r="F57" s="85">
        <v>0</v>
      </c>
      <c r="G57" s="86">
        <v>0</v>
      </c>
      <c r="H57" s="85">
        <v>0</v>
      </c>
      <c r="I57" s="86">
        <v>0</v>
      </c>
      <c r="J57" s="85">
        <v>0</v>
      </c>
      <c r="K57" s="86">
        <v>0</v>
      </c>
      <c r="L57" s="85">
        <v>931049.1</v>
      </c>
      <c r="M57" s="86">
        <v>622998.4800000001</v>
      </c>
      <c r="N57" s="85">
        <v>49236775.980000004</v>
      </c>
      <c r="O57" s="86">
        <v>3353499.0799999991</v>
      </c>
      <c r="P57" s="87"/>
    </row>
    <row r="58" spans="2:16" ht="13.9" customHeight="1" outlineLevel="1" x14ac:dyDescent="0.25">
      <c r="B58" s="149"/>
      <c r="C58" s="150" t="s">
        <v>32</v>
      </c>
      <c r="D58" s="85">
        <v>0</v>
      </c>
      <c r="E58" s="86">
        <v>0</v>
      </c>
      <c r="F58" s="85">
        <v>0</v>
      </c>
      <c r="G58" s="86">
        <v>0</v>
      </c>
      <c r="H58" s="85">
        <v>0</v>
      </c>
      <c r="I58" s="86">
        <v>0</v>
      </c>
      <c r="J58" s="85">
        <v>0</v>
      </c>
      <c r="K58" s="86">
        <v>0</v>
      </c>
      <c r="L58" s="85">
        <v>0</v>
      </c>
      <c r="M58" s="86">
        <v>0</v>
      </c>
      <c r="N58" s="85">
        <v>5873328.9399999995</v>
      </c>
      <c r="O58" s="86">
        <v>902383.82999999984</v>
      </c>
      <c r="P58" s="87"/>
    </row>
    <row r="59" spans="2:16" ht="13.9" customHeight="1" outlineLevel="1" x14ac:dyDescent="0.25">
      <c r="B59" s="149"/>
      <c r="C59" s="150" t="s">
        <v>33</v>
      </c>
      <c r="D59" s="85">
        <v>0</v>
      </c>
      <c r="E59" s="86">
        <v>0</v>
      </c>
      <c r="F59" s="85">
        <v>0</v>
      </c>
      <c r="G59" s="86">
        <v>0</v>
      </c>
      <c r="H59" s="85">
        <v>0</v>
      </c>
      <c r="I59" s="86">
        <v>0</v>
      </c>
      <c r="J59" s="85">
        <v>0</v>
      </c>
      <c r="K59" s="86">
        <v>0</v>
      </c>
      <c r="L59" s="85">
        <v>0</v>
      </c>
      <c r="M59" s="86">
        <v>0</v>
      </c>
      <c r="N59" s="85">
        <v>18094089.300000001</v>
      </c>
      <c r="O59" s="86">
        <v>800099.95000000007</v>
      </c>
      <c r="P59" s="87"/>
    </row>
    <row r="60" spans="2:16" ht="13.9" customHeight="1" outlineLevel="1" x14ac:dyDescent="0.25">
      <c r="B60" s="149"/>
      <c r="C60" s="150" t="s">
        <v>34</v>
      </c>
      <c r="D60" s="85">
        <v>0</v>
      </c>
      <c r="E60" s="86">
        <v>0</v>
      </c>
      <c r="F60" s="85">
        <v>0</v>
      </c>
      <c r="G60" s="86">
        <v>0</v>
      </c>
      <c r="H60" s="85">
        <v>0</v>
      </c>
      <c r="I60" s="86">
        <v>0</v>
      </c>
      <c r="J60" s="85">
        <v>0</v>
      </c>
      <c r="K60" s="86">
        <v>0</v>
      </c>
      <c r="L60" s="85">
        <v>7749254</v>
      </c>
      <c r="M60" s="86">
        <v>5167351.25</v>
      </c>
      <c r="N60" s="85">
        <v>34760311.589999996</v>
      </c>
      <c r="O60" s="86">
        <v>8168793.0500000007</v>
      </c>
      <c r="P60" s="87"/>
    </row>
    <row r="61" spans="2:16" ht="13.9" customHeight="1" outlineLevel="1" x14ac:dyDescent="0.25">
      <c r="B61" s="149"/>
      <c r="C61" s="150" t="s">
        <v>35</v>
      </c>
      <c r="D61" s="85">
        <v>0</v>
      </c>
      <c r="E61" s="86">
        <v>0</v>
      </c>
      <c r="F61" s="85">
        <v>0</v>
      </c>
      <c r="G61" s="86">
        <v>0</v>
      </c>
      <c r="H61" s="85">
        <v>0</v>
      </c>
      <c r="I61" s="86">
        <v>0</v>
      </c>
      <c r="J61" s="85">
        <v>0</v>
      </c>
      <c r="K61" s="86">
        <v>0</v>
      </c>
      <c r="L61" s="85">
        <v>0</v>
      </c>
      <c r="M61" s="86">
        <v>0</v>
      </c>
      <c r="N61" s="85">
        <v>38207493.510000005</v>
      </c>
      <c r="O61" s="86">
        <v>1.2000000000698492</v>
      </c>
      <c r="P61" s="87"/>
    </row>
    <row r="62" spans="2:16" ht="13.9" customHeight="1" outlineLevel="1" x14ac:dyDescent="0.25">
      <c r="B62" s="149"/>
      <c r="C62" s="150" t="s">
        <v>36</v>
      </c>
      <c r="D62" s="85">
        <v>0</v>
      </c>
      <c r="E62" s="86">
        <v>0</v>
      </c>
      <c r="F62" s="85">
        <v>1843788</v>
      </c>
      <c r="G62" s="86">
        <v>8094092</v>
      </c>
      <c r="H62" s="85">
        <v>1590000</v>
      </c>
      <c r="I62" s="86">
        <v>6359968</v>
      </c>
      <c r="J62" s="85">
        <v>6544368</v>
      </c>
      <c r="K62" s="86">
        <v>9816570</v>
      </c>
      <c r="L62" s="85">
        <v>23517746.09</v>
      </c>
      <c r="M62" s="86">
        <v>28294864.91</v>
      </c>
      <c r="N62" s="85">
        <v>0</v>
      </c>
      <c r="O62" s="86">
        <v>0</v>
      </c>
      <c r="P62" s="87"/>
    </row>
    <row r="63" spans="2:16" ht="13.9" customHeight="1" outlineLevel="1" x14ac:dyDescent="0.25">
      <c r="B63" s="149"/>
      <c r="C63" s="150" t="s">
        <v>37</v>
      </c>
      <c r="D63" s="85">
        <v>0</v>
      </c>
      <c r="E63" s="86">
        <v>0</v>
      </c>
      <c r="F63" s="85">
        <v>0</v>
      </c>
      <c r="G63" s="86">
        <v>0</v>
      </c>
      <c r="H63" s="85">
        <v>0</v>
      </c>
      <c r="I63" s="86">
        <v>0</v>
      </c>
      <c r="J63" s="85">
        <v>0</v>
      </c>
      <c r="K63" s="86">
        <v>0</v>
      </c>
      <c r="L63" s="85">
        <v>0</v>
      </c>
      <c r="M63" s="86">
        <v>0</v>
      </c>
      <c r="N63" s="85">
        <v>10627312.65</v>
      </c>
      <c r="O63" s="86">
        <v>0.29999999981373549</v>
      </c>
      <c r="P63" s="87"/>
    </row>
    <row r="64" spans="2:16" ht="13.9" customHeight="1" outlineLevel="1" x14ac:dyDescent="0.25">
      <c r="B64" s="149"/>
      <c r="C64" s="150" t="s">
        <v>38</v>
      </c>
      <c r="D64" s="85">
        <v>0</v>
      </c>
      <c r="E64" s="86">
        <v>0</v>
      </c>
      <c r="F64" s="85">
        <v>0</v>
      </c>
      <c r="G64" s="86">
        <v>0</v>
      </c>
      <c r="H64" s="85">
        <v>0</v>
      </c>
      <c r="I64" s="86">
        <v>0</v>
      </c>
      <c r="J64" s="85">
        <v>0</v>
      </c>
      <c r="K64" s="86">
        <v>0</v>
      </c>
      <c r="L64" s="85">
        <v>0</v>
      </c>
      <c r="M64" s="86">
        <v>0</v>
      </c>
      <c r="N64" s="85">
        <v>143053822.01999998</v>
      </c>
      <c r="O64" s="86">
        <v>521.06999999983236</v>
      </c>
      <c r="P64" s="87"/>
    </row>
    <row r="65" spans="2:16" ht="13.9" customHeight="1" outlineLevel="1" x14ac:dyDescent="0.25">
      <c r="B65" s="149"/>
      <c r="C65" s="150" t="s">
        <v>39</v>
      </c>
      <c r="D65" s="85">
        <v>0</v>
      </c>
      <c r="E65" s="86">
        <v>0</v>
      </c>
      <c r="F65" s="85">
        <v>0</v>
      </c>
      <c r="G65" s="86">
        <v>0</v>
      </c>
      <c r="H65" s="85">
        <v>0</v>
      </c>
      <c r="I65" s="86">
        <v>0</v>
      </c>
      <c r="J65" s="85">
        <v>0</v>
      </c>
      <c r="K65" s="86">
        <v>0</v>
      </c>
      <c r="L65" s="85">
        <v>0</v>
      </c>
      <c r="M65" s="86">
        <v>0</v>
      </c>
      <c r="N65" s="85">
        <v>133583348.39</v>
      </c>
      <c r="O65" s="86">
        <v>4397487.8900000006</v>
      </c>
      <c r="P65" s="87"/>
    </row>
    <row r="66" spans="2:16" ht="13.9" customHeight="1" outlineLevel="1" x14ac:dyDescent="0.25">
      <c r="B66" s="149"/>
      <c r="C66" s="150" t="s">
        <v>40</v>
      </c>
      <c r="D66" s="85">
        <v>0</v>
      </c>
      <c r="E66" s="86">
        <v>0</v>
      </c>
      <c r="F66" s="85">
        <v>8156584.6399999997</v>
      </c>
      <c r="G66" s="86">
        <v>46339390.359999999</v>
      </c>
      <c r="H66" s="85">
        <v>0</v>
      </c>
      <c r="I66" s="86">
        <v>0</v>
      </c>
      <c r="J66" s="85">
        <v>10310232</v>
      </c>
      <c r="K66" s="86">
        <v>15465348</v>
      </c>
      <c r="L66" s="85">
        <v>16047060</v>
      </c>
      <c r="M66" s="86">
        <v>16047060</v>
      </c>
      <c r="N66" s="85">
        <v>61604164.490000002</v>
      </c>
      <c r="O66" s="86">
        <v>12189019.509999998</v>
      </c>
      <c r="P66" s="87"/>
    </row>
    <row r="67" spans="2:16" ht="13.9" customHeight="1" outlineLevel="1" x14ac:dyDescent="0.25">
      <c r="B67" s="149"/>
      <c r="C67" s="150" t="s">
        <v>41</v>
      </c>
      <c r="D67" s="85">
        <v>0</v>
      </c>
      <c r="E67" s="86">
        <v>0</v>
      </c>
      <c r="F67" s="85">
        <v>0</v>
      </c>
      <c r="G67" s="86">
        <v>0</v>
      </c>
      <c r="H67" s="85">
        <v>0</v>
      </c>
      <c r="I67" s="86">
        <v>0</v>
      </c>
      <c r="J67" s="85">
        <v>0</v>
      </c>
      <c r="K67" s="86">
        <v>0</v>
      </c>
      <c r="L67" s="85">
        <v>0</v>
      </c>
      <c r="M67" s="86">
        <v>0</v>
      </c>
      <c r="N67" s="85">
        <v>14711484.43</v>
      </c>
      <c r="O67" s="86">
        <v>0.32000000029802322</v>
      </c>
      <c r="P67" s="87"/>
    </row>
    <row r="68" spans="2:16" ht="13.9" customHeight="1" outlineLevel="1" x14ac:dyDescent="0.25">
      <c r="B68" s="149"/>
      <c r="C68" s="150" t="s">
        <v>42</v>
      </c>
      <c r="D68" s="85">
        <v>0</v>
      </c>
      <c r="E68" s="86">
        <v>0</v>
      </c>
      <c r="F68" s="85">
        <v>153131</v>
      </c>
      <c r="G68" s="86">
        <v>1378176.4</v>
      </c>
      <c r="H68" s="85">
        <v>865686</v>
      </c>
      <c r="I68" s="86">
        <v>3462738</v>
      </c>
      <c r="J68" s="85">
        <v>0</v>
      </c>
      <c r="K68" s="86">
        <v>0</v>
      </c>
      <c r="L68" s="85">
        <v>33647039.650000006</v>
      </c>
      <c r="M68" s="86">
        <v>31380449.150000002</v>
      </c>
      <c r="N68" s="85">
        <v>64322304.670000009</v>
      </c>
      <c r="O68" s="86">
        <v>25815093.480000004</v>
      </c>
      <c r="P68" s="87"/>
    </row>
    <row r="69" spans="2:16" ht="13.9" customHeight="1" outlineLevel="1" x14ac:dyDescent="0.25">
      <c r="B69" s="149"/>
      <c r="C69" s="150" t="s">
        <v>43</v>
      </c>
      <c r="D69" s="85">
        <v>0</v>
      </c>
      <c r="E69" s="86">
        <v>0</v>
      </c>
      <c r="F69" s="85">
        <v>1475281</v>
      </c>
      <c r="G69" s="86">
        <v>13277526</v>
      </c>
      <c r="H69" s="85">
        <v>1956468</v>
      </c>
      <c r="I69" s="86">
        <v>4565092</v>
      </c>
      <c r="J69" s="85">
        <v>7456591.5999999996</v>
      </c>
      <c r="K69" s="86">
        <v>17391334.399999999</v>
      </c>
      <c r="L69" s="85">
        <v>59034419.619999997</v>
      </c>
      <c r="M69" s="86">
        <v>53382716.380000003</v>
      </c>
      <c r="N69" s="85">
        <v>152895691.18999997</v>
      </c>
      <c r="O69" s="86">
        <v>69661510.809999987</v>
      </c>
      <c r="P69" s="87"/>
    </row>
    <row r="70" spans="2:16" ht="13.9" customHeight="1" outlineLevel="1" x14ac:dyDescent="0.25">
      <c r="B70" s="149"/>
      <c r="C70" s="150" t="s">
        <v>44</v>
      </c>
      <c r="D70" s="85">
        <v>0</v>
      </c>
      <c r="E70" s="86">
        <v>0</v>
      </c>
      <c r="F70" s="85">
        <v>1399848</v>
      </c>
      <c r="G70" s="86">
        <v>12581401.450000001</v>
      </c>
      <c r="H70" s="85">
        <v>2906833</v>
      </c>
      <c r="I70" s="86">
        <v>10927325.199999999</v>
      </c>
      <c r="J70" s="85">
        <v>9816538.1900000013</v>
      </c>
      <c r="K70" s="86">
        <v>17518297.210000001</v>
      </c>
      <c r="L70" s="85">
        <v>0</v>
      </c>
      <c r="M70" s="86">
        <v>0</v>
      </c>
      <c r="N70" s="85">
        <v>0</v>
      </c>
      <c r="O70" s="86">
        <v>0</v>
      </c>
      <c r="P70" s="87"/>
    </row>
    <row r="71" spans="2:16" ht="13.9" customHeight="1" outlineLevel="1" x14ac:dyDescent="0.25">
      <c r="B71" s="149"/>
      <c r="C71" s="150" t="s">
        <v>45</v>
      </c>
      <c r="D71" s="85">
        <v>0</v>
      </c>
      <c r="E71" s="86">
        <v>0</v>
      </c>
      <c r="F71" s="85">
        <v>3297529.49</v>
      </c>
      <c r="G71" s="86">
        <v>29515298.510000005</v>
      </c>
      <c r="H71" s="85">
        <v>4631974.12</v>
      </c>
      <c r="I71" s="86">
        <v>16857301.080000002</v>
      </c>
      <c r="J71" s="85">
        <v>1730460</v>
      </c>
      <c r="K71" s="86">
        <v>4018925</v>
      </c>
      <c r="L71" s="85">
        <v>0</v>
      </c>
      <c r="M71" s="86">
        <v>0</v>
      </c>
      <c r="N71" s="85">
        <v>30272012</v>
      </c>
      <c r="O71" s="86">
        <v>0.5</v>
      </c>
      <c r="P71" s="87"/>
    </row>
    <row r="72" spans="2:16" ht="13.9" customHeight="1" outlineLevel="1" x14ac:dyDescent="0.25">
      <c r="B72" s="149"/>
      <c r="C72" s="150" t="s">
        <v>46</v>
      </c>
      <c r="D72" s="85">
        <v>0</v>
      </c>
      <c r="E72" s="86">
        <v>0</v>
      </c>
      <c r="F72" s="85">
        <v>2705081.5</v>
      </c>
      <c r="G72" s="86">
        <v>23019123.5</v>
      </c>
      <c r="H72" s="85">
        <v>12477631.75</v>
      </c>
      <c r="I72" s="86">
        <v>47083048.25</v>
      </c>
      <c r="J72" s="85">
        <v>0</v>
      </c>
      <c r="K72" s="86">
        <v>0</v>
      </c>
      <c r="L72" s="85">
        <v>0</v>
      </c>
      <c r="M72" s="86">
        <v>0</v>
      </c>
      <c r="N72" s="85">
        <v>0</v>
      </c>
      <c r="O72" s="86">
        <v>0</v>
      </c>
      <c r="P72" s="87"/>
    </row>
    <row r="73" spans="2:16" ht="13.9" customHeight="1" outlineLevel="1" x14ac:dyDescent="0.25">
      <c r="B73" s="149"/>
      <c r="C73" s="150" t="s">
        <v>47</v>
      </c>
      <c r="D73" s="85">
        <v>0</v>
      </c>
      <c r="E73" s="86">
        <v>0</v>
      </c>
      <c r="F73" s="85">
        <v>0</v>
      </c>
      <c r="G73" s="86">
        <v>0</v>
      </c>
      <c r="H73" s="85">
        <v>2000760.63</v>
      </c>
      <c r="I73" s="86">
        <v>6283600.6699999999</v>
      </c>
      <c r="J73" s="85">
        <v>2151088.6</v>
      </c>
      <c r="K73" s="86">
        <v>3644137.15</v>
      </c>
      <c r="L73" s="85">
        <v>35396530.190000005</v>
      </c>
      <c r="M73" s="86">
        <v>27740509.409999996</v>
      </c>
      <c r="N73" s="85">
        <v>27217123.230000004</v>
      </c>
      <c r="O73" s="86">
        <v>15858206.870000003</v>
      </c>
      <c r="P73" s="87"/>
    </row>
    <row r="74" spans="2:16" ht="13.9" customHeight="1" outlineLevel="1" x14ac:dyDescent="0.25">
      <c r="B74" s="149"/>
      <c r="C74" s="150" t="s">
        <v>48</v>
      </c>
      <c r="D74" s="85">
        <v>0</v>
      </c>
      <c r="E74" s="86">
        <v>0</v>
      </c>
      <c r="F74" s="85">
        <v>0</v>
      </c>
      <c r="G74" s="86">
        <v>0</v>
      </c>
      <c r="H74" s="85">
        <v>0</v>
      </c>
      <c r="I74" s="86">
        <v>0</v>
      </c>
      <c r="J74" s="85">
        <v>0</v>
      </c>
      <c r="K74" s="86">
        <v>0</v>
      </c>
      <c r="L74" s="85">
        <v>11692634.77</v>
      </c>
      <c r="M74" s="86">
        <v>11608116.33</v>
      </c>
      <c r="N74" s="85">
        <v>0</v>
      </c>
      <c r="O74" s="86">
        <v>0</v>
      </c>
      <c r="P74" s="87"/>
    </row>
    <row r="75" spans="2:16" ht="13.9" customHeight="1" outlineLevel="1" x14ac:dyDescent="0.25">
      <c r="B75" s="149"/>
      <c r="C75" s="150" t="s">
        <v>49</v>
      </c>
      <c r="D75" s="85">
        <v>0</v>
      </c>
      <c r="E75" s="86">
        <v>0</v>
      </c>
      <c r="F75" s="85">
        <v>1010930</v>
      </c>
      <c r="G75" s="86">
        <v>9098367.6400000006</v>
      </c>
      <c r="H75" s="85">
        <v>0</v>
      </c>
      <c r="I75" s="86">
        <v>0</v>
      </c>
      <c r="J75" s="85">
        <v>0</v>
      </c>
      <c r="K75" s="86">
        <v>0</v>
      </c>
      <c r="L75" s="85">
        <v>21169941.02</v>
      </c>
      <c r="M75" s="86">
        <v>16184913.889999999</v>
      </c>
      <c r="N75" s="85">
        <v>61523826.310000002</v>
      </c>
      <c r="O75" s="86">
        <v>20441229.869999997</v>
      </c>
      <c r="P75" s="87"/>
    </row>
    <row r="76" spans="2:16" ht="13.9" customHeight="1" outlineLevel="1" x14ac:dyDescent="0.25">
      <c r="B76" s="149"/>
      <c r="C76" s="150" t="s">
        <v>50</v>
      </c>
      <c r="D76" s="85">
        <v>0</v>
      </c>
      <c r="E76" s="86">
        <v>0</v>
      </c>
      <c r="F76" s="85">
        <v>8084934</v>
      </c>
      <c r="G76" s="86">
        <v>32345481.5</v>
      </c>
      <c r="H76" s="85">
        <v>5084626.3899999997</v>
      </c>
      <c r="I76" s="86">
        <v>20260548.609999999</v>
      </c>
      <c r="J76" s="85">
        <v>0</v>
      </c>
      <c r="K76" s="86">
        <v>0</v>
      </c>
      <c r="L76" s="85">
        <v>0</v>
      </c>
      <c r="M76" s="86">
        <v>0</v>
      </c>
      <c r="N76" s="85">
        <v>0</v>
      </c>
      <c r="O76" s="86">
        <v>0</v>
      </c>
      <c r="P76" s="87"/>
    </row>
    <row r="77" spans="2:16" ht="13.9" customHeight="1" outlineLevel="1" x14ac:dyDescent="0.25">
      <c r="B77" s="149"/>
      <c r="C77" s="150" t="s">
        <v>51</v>
      </c>
      <c r="D77" s="85">
        <v>0</v>
      </c>
      <c r="E77" s="86">
        <v>0</v>
      </c>
      <c r="F77" s="85">
        <v>0</v>
      </c>
      <c r="G77" s="86">
        <v>0</v>
      </c>
      <c r="H77" s="85">
        <v>2266877.02</v>
      </c>
      <c r="I77" s="86">
        <v>5289481.0299999993</v>
      </c>
      <c r="J77" s="85">
        <v>12688121.17</v>
      </c>
      <c r="K77" s="86">
        <v>29440920.979999997</v>
      </c>
      <c r="L77" s="85">
        <v>0</v>
      </c>
      <c r="M77" s="86">
        <v>0</v>
      </c>
      <c r="N77" s="85">
        <v>0</v>
      </c>
      <c r="O77" s="86">
        <v>0</v>
      </c>
      <c r="P77" s="87"/>
    </row>
    <row r="78" spans="2:16" ht="13.9" customHeight="1" outlineLevel="1" x14ac:dyDescent="0.25">
      <c r="B78" s="149"/>
      <c r="C78" s="150" t="s">
        <v>52</v>
      </c>
      <c r="D78" s="85">
        <v>0</v>
      </c>
      <c r="E78" s="86">
        <v>0</v>
      </c>
      <c r="F78" s="85">
        <v>722384</v>
      </c>
      <c r="G78" s="86">
        <v>2889656.05</v>
      </c>
      <c r="H78" s="85">
        <v>0</v>
      </c>
      <c r="I78" s="86">
        <v>0</v>
      </c>
      <c r="J78" s="85">
        <v>0</v>
      </c>
      <c r="K78" s="86">
        <v>0</v>
      </c>
      <c r="L78" s="85">
        <v>0</v>
      </c>
      <c r="M78" s="86">
        <v>0</v>
      </c>
      <c r="N78" s="85">
        <v>0</v>
      </c>
      <c r="O78" s="86">
        <v>0</v>
      </c>
      <c r="P78" s="87"/>
    </row>
    <row r="79" spans="2:16" ht="13.9" customHeight="1" outlineLevel="1" x14ac:dyDescent="0.25">
      <c r="B79" s="149"/>
      <c r="C79" s="150" t="s">
        <v>53</v>
      </c>
      <c r="D79" s="85">
        <v>0</v>
      </c>
      <c r="E79" s="86">
        <v>0</v>
      </c>
      <c r="F79" s="85">
        <v>1003668</v>
      </c>
      <c r="G79" s="86">
        <v>4014673.3499999996</v>
      </c>
      <c r="H79" s="85">
        <v>1284724</v>
      </c>
      <c r="I79" s="86">
        <v>5138893.2</v>
      </c>
      <c r="J79" s="85">
        <v>3583332.79</v>
      </c>
      <c r="K79" s="86">
        <v>7667349.4100000001</v>
      </c>
      <c r="L79" s="85">
        <v>2590074.5</v>
      </c>
      <c r="M79" s="86">
        <v>3821330.5</v>
      </c>
      <c r="N79" s="85">
        <v>0</v>
      </c>
      <c r="O79" s="86">
        <v>0</v>
      </c>
      <c r="P79" s="87"/>
    </row>
    <row r="80" spans="2:16" ht="13.9" customHeight="1" outlineLevel="1" x14ac:dyDescent="0.25">
      <c r="B80" s="149"/>
      <c r="C80" s="150" t="s">
        <v>54</v>
      </c>
      <c r="D80" s="85">
        <v>0</v>
      </c>
      <c r="E80" s="86">
        <v>0</v>
      </c>
      <c r="F80" s="85">
        <v>4826935.04</v>
      </c>
      <c r="G80" s="86">
        <v>19327455.91</v>
      </c>
      <c r="H80" s="85">
        <v>710740.06</v>
      </c>
      <c r="I80" s="86">
        <v>2823169.34</v>
      </c>
      <c r="J80" s="85">
        <v>0</v>
      </c>
      <c r="K80" s="86">
        <v>0</v>
      </c>
      <c r="L80" s="85">
        <v>0</v>
      </c>
      <c r="M80" s="86">
        <v>0</v>
      </c>
      <c r="N80" s="85">
        <v>26105314</v>
      </c>
      <c r="O80" s="86">
        <v>1.9499999997206032</v>
      </c>
      <c r="P80" s="87"/>
    </row>
    <row r="81" spans="2:16" ht="13.9" customHeight="1" outlineLevel="1" x14ac:dyDescent="0.25">
      <c r="B81" s="149"/>
      <c r="C81" s="150" t="s">
        <v>55</v>
      </c>
      <c r="D81" s="85">
        <v>0</v>
      </c>
      <c r="E81" s="86">
        <v>0</v>
      </c>
      <c r="F81" s="85">
        <v>1154198</v>
      </c>
      <c r="G81" s="86">
        <v>4616793</v>
      </c>
      <c r="H81" s="85">
        <v>0</v>
      </c>
      <c r="I81" s="86">
        <v>0</v>
      </c>
      <c r="J81" s="85">
        <v>0</v>
      </c>
      <c r="K81" s="86">
        <v>0</v>
      </c>
      <c r="L81" s="85">
        <v>0</v>
      </c>
      <c r="M81" s="86">
        <v>0</v>
      </c>
      <c r="N81" s="85">
        <v>0</v>
      </c>
      <c r="O81" s="86">
        <v>0</v>
      </c>
      <c r="P81" s="87"/>
    </row>
    <row r="82" spans="2:16" ht="13.9" customHeight="1" outlineLevel="1" x14ac:dyDescent="0.25">
      <c r="B82" s="149"/>
      <c r="C82" s="150" t="s">
        <v>56</v>
      </c>
      <c r="D82" s="85">
        <v>0</v>
      </c>
      <c r="E82" s="86">
        <v>0</v>
      </c>
      <c r="F82" s="85">
        <v>0</v>
      </c>
      <c r="G82" s="86">
        <v>0</v>
      </c>
      <c r="H82" s="85">
        <v>0</v>
      </c>
      <c r="I82" s="86">
        <v>0</v>
      </c>
      <c r="J82" s="85">
        <v>0</v>
      </c>
      <c r="K82" s="86">
        <v>0</v>
      </c>
      <c r="L82" s="85">
        <v>0</v>
      </c>
      <c r="M82" s="86">
        <v>0</v>
      </c>
      <c r="N82" s="85">
        <v>0</v>
      </c>
      <c r="O82" s="86">
        <v>0</v>
      </c>
      <c r="P82" s="87"/>
    </row>
    <row r="83" spans="2:16" ht="13.9" customHeight="1" outlineLevel="1" x14ac:dyDescent="0.25">
      <c r="B83" s="149"/>
      <c r="C83" s="150" t="s">
        <v>57</v>
      </c>
      <c r="D83" s="85">
        <v>0</v>
      </c>
      <c r="E83" s="86">
        <v>0</v>
      </c>
      <c r="F83" s="85">
        <v>0</v>
      </c>
      <c r="G83" s="86">
        <v>0</v>
      </c>
      <c r="H83" s="85">
        <v>0</v>
      </c>
      <c r="I83" s="86">
        <v>0</v>
      </c>
      <c r="J83" s="85">
        <v>0</v>
      </c>
      <c r="K83" s="86">
        <v>0</v>
      </c>
      <c r="L83" s="85">
        <v>0</v>
      </c>
      <c r="M83" s="86">
        <v>0</v>
      </c>
      <c r="N83" s="85">
        <v>130276657.22</v>
      </c>
      <c r="O83" s="86">
        <v>0</v>
      </c>
      <c r="P83" s="87"/>
    </row>
    <row r="84" spans="2:16" ht="13.9" customHeight="1" outlineLevel="1" x14ac:dyDescent="0.25">
      <c r="B84" s="149"/>
      <c r="C84" s="150" t="s">
        <v>58</v>
      </c>
      <c r="D84" s="85">
        <v>0</v>
      </c>
      <c r="E84" s="86">
        <v>0</v>
      </c>
      <c r="F84" s="85">
        <v>0</v>
      </c>
      <c r="G84" s="86">
        <v>0</v>
      </c>
      <c r="H84" s="85">
        <v>0</v>
      </c>
      <c r="I84" s="86">
        <v>0</v>
      </c>
      <c r="J84" s="85">
        <v>0</v>
      </c>
      <c r="K84" s="86">
        <v>0</v>
      </c>
      <c r="L84" s="85">
        <v>0</v>
      </c>
      <c r="M84" s="86">
        <v>0</v>
      </c>
      <c r="N84" s="85">
        <v>0</v>
      </c>
      <c r="O84" s="86">
        <v>0</v>
      </c>
      <c r="P84" s="87"/>
    </row>
    <row r="85" spans="2:16" ht="13.9" customHeight="1" outlineLevel="1" x14ac:dyDescent="0.25">
      <c r="B85" s="149"/>
      <c r="C85" s="150" t="s">
        <v>59</v>
      </c>
      <c r="D85" s="85">
        <v>0</v>
      </c>
      <c r="E85" s="86">
        <v>0</v>
      </c>
      <c r="F85" s="85">
        <v>0</v>
      </c>
      <c r="G85" s="86">
        <v>0</v>
      </c>
      <c r="H85" s="85">
        <v>0</v>
      </c>
      <c r="I85" s="86">
        <v>0</v>
      </c>
      <c r="J85" s="85">
        <v>0</v>
      </c>
      <c r="K85" s="86">
        <v>0</v>
      </c>
      <c r="L85" s="85">
        <v>0</v>
      </c>
      <c r="M85" s="86">
        <v>0</v>
      </c>
      <c r="N85" s="85">
        <v>0</v>
      </c>
      <c r="O85" s="86">
        <v>0</v>
      </c>
      <c r="P85" s="87"/>
    </row>
    <row r="86" spans="2:16" ht="13.9" customHeight="1" outlineLevel="1" x14ac:dyDescent="0.25">
      <c r="B86" s="149"/>
      <c r="C86" s="150" t="s">
        <v>60</v>
      </c>
      <c r="D86" s="85">
        <v>0</v>
      </c>
      <c r="E86" s="86">
        <v>0</v>
      </c>
      <c r="F86" s="85">
        <v>583141</v>
      </c>
      <c r="G86" s="86">
        <v>5248267</v>
      </c>
      <c r="H86" s="85">
        <v>0</v>
      </c>
      <c r="I86" s="86">
        <v>0</v>
      </c>
      <c r="J86" s="85">
        <v>0</v>
      </c>
      <c r="K86" s="86">
        <v>0</v>
      </c>
      <c r="L86" s="85">
        <v>0</v>
      </c>
      <c r="M86" s="86">
        <v>0</v>
      </c>
      <c r="N86" s="85">
        <v>0</v>
      </c>
      <c r="O86" s="86">
        <v>0</v>
      </c>
      <c r="P86" s="87"/>
    </row>
    <row r="87" spans="2:16" ht="13.9" customHeight="1" outlineLevel="1" x14ac:dyDescent="0.25">
      <c r="B87" s="149"/>
      <c r="C87" s="150" t="s">
        <v>61</v>
      </c>
      <c r="D87" s="85">
        <v>0</v>
      </c>
      <c r="E87" s="86">
        <v>0</v>
      </c>
      <c r="F87" s="85">
        <v>1531078.18</v>
      </c>
      <c r="G87" s="86">
        <v>8204062.8200000003</v>
      </c>
      <c r="H87" s="85">
        <v>1507342.81</v>
      </c>
      <c r="I87" s="86">
        <v>5987475.9399999995</v>
      </c>
      <c r="J87" s="85">
        <v>0</v>
      </c>
      <c r="K87" s="86">
        <v>0</v>
      </c>
      <c r="L87" s="85">
        <v>0</v>
      </c>
      <c r="M87" s="86">
        <v>0</v>
      </c>
      <c r="N87" s="85">
        <v>0</v>
      </c>
      <c r="O87" s="86">
        <v>0</v>
      </c>
      <c r="P87" s="87"/>
    </row>
    <row r="88" spans="2:16" ht="13.9" customHeight="1" outlineLevel="1" x14ac:dyDescent="0.25">
      <c r="B88" s="149"/>
      <c r="C88" s="150" t="s">
        <v>62</v>
      </c>
      <c r="D88" s="85">
        <v>0</v>
      </c>
      <c r="E88" s="86">
        <v>0</v>
      </c>
      <c r="F88" s="85">
        <v>1913078</v>
      </c>
      <c r="G88" s="86">
        <v>7652315.5</v>
      </c>
      <c r="H88" s="85">
        <v>0</v>
      </c>
      <c r="I88" s="86">
        <v>0</v>
      </c>
      <c r="J88" s="85">
        <v>0</v>
      </c>
      <c r="K88" s="86">
        <v>0</v>
      </c>
      <c r="L88" s="85">
        <v>0</v>
      </c>
      <c r="M88" s="86">
        <v>0</v>
      </c>
      <c r="N88" s="85">
        <v>0</v>
      </c>
      <c r="O88" s="86">
        <v>0</v>
      </c>
      <c r="P88" s="87"/>
    </row>
    <row r="89" spans="2:16" ht="13.9" customHeight="1" outlineLevel="1" x14ac:dyDescent="0.25">
      <c r="B89" s="149"/>
      <c r="C89" s="150" t="s">
        <v>63</v>
      </c>
      <c r="D89" s="85">
        <v>0</v>
      </c>
      <c r="E89" s="86">
        <v>0</v>
      </c>
      <c r="F89" s="85">
        <v>0</v>
      </c>
      <c r="G89" s="86">
        <v>0</v>
      </c>
      <c r="H89" s="85">
        <v>0</v>
      </c>
      <c r="I89" s="86">
        <v>0</v>
      </c>
      <c r="J89" s="85">
        <v>0</v>
      </c>
      <c r="K89" s="86">
        <v>0</v>
      </c>
      <c r="L89" s="85">
        <v>0</v>
      </c>
      <c r="M89" s="86">
        <v>0</v>
      </c>
      <c r="N89" s="85">
        <v>0</v>
      </c>
      <c r="O89" s="86">
        <v>0</v>
      </c>
      <c r="P89" s="87"/>
    </row>
    <row r="90" spans="2:16" ht="13.9" customHeight="1" outlineLevel="1" x14ac:dyDescent="0.25">
      <c r="B90" s="149"/>
      <c r="C90" s="150" t="s">
        <v>64</v>
      </c>
      <c r="D90" s="85">
        <v>0</v>
      </c>
      <c r="E90" s="86">
        <v>0</v>
      </c>
      <c r="F90" s="85">
        <v>0</v>
      </c>
      <c r="G90" s="86">
        <v>0</v>
      </c>
      <c r="H90" s="85">
        <v>0</v>
      </c>
      <c r="I90" s="86">
        <v>0</v>
      </c>
      <c r="J90" s="85">
        <v>0</v>
      </c>
      <c r="K90" s="86">
        <v>0</v>
      </c>
      <c r="L90" s="85">
        <v>0</v>
      </c>
      <c r="M90" s="86">
        <v>0</v>
      </c>
      <c r="N90" s="85">
        <v>0</v>
      </c>
      <c r="O90" s="86">
        <v>0</v>
      </c>
      <c r="P90" s="87"/>
    </row>
    <row r="91" spans="2:16" ht="13.9" customHeight="1" outlineLevel="1" x14ac:dyDescent="0.25">
      <c r="B91" s="149"/>
      <c r="C91" s="150" t="s">
        <v>65</v>
      </c>
      <c r="D91" s="85">
        <v>0</v>
      </c>
      <c r="E91" s="86">
        <v>0</v>
      </c>
      <c r="F91" s="85">
        <v>0</v>
      </c>
      <c r="G91" s="86">
        <v>0</v>
      </c>
      <c r="H91" s="85">
        <v>0</v>
      </c>
      <c r="I91" s="86">
        <v>0</v>
      </c>
      <c r="J91" s="85">
        <v>0</v>
      </c>
      <c r="K91" s="86">
        <v>0</v>
      </c>
      <c r="L91" s="85">
        <v>0</v>
      </c>
      <c r="M91" s="86">
        <v>0</v>
      </c>
      <c r="N91" s="85">
        <v>19052121.73</v>
      </c>
      <c r="O91" s="86">
        <v>4.5600000000558794</v>
      </c>
      <c r="P91" s="87"/>
    </row>
    <row r="92" spans="2:16" ht="13.9" customHeight="1" outlineLevel="1" x14ac:dyDescent="0.25">
      <c r="B92" s="149"/>
      <c r="C92" s="150" t="s">
        <v>66</v>
      </c>
      <c r="D92" s="85">
        <v>0</v>
      </c>
      <c r="E92" s="86">
        <v>0</v>
      </c>
      <c r="F92" s="85">
        <v>0</v>
      </c>
      <c r="G92" s="86">
        <v>0</v>
      </c>
      <c r="H92" s="85">
        <v>0</v>
      </c>
      <c r="I92" s="86">
        <v>0</v>
      </c>
      <c r="J92" s="85">
        <v>0</v>
      </c>
      <c r="K92" s="86">
        <v>0</v>
      </c>
      <c r="L92" s="85">
        <v>0</v>
      </c>
      <c r="M92" s="86">
        <v>0</v>
      </c>
      <c r="N92" s="85">
        <v>32862237.130000003</v>
      </c>
      <c r="O92" s="86">
        <v>0.75</v>
      </c>
      <c r="P92" s="87"/>
    </row>
    <row r="93" spans="2:16" ht="13.9" customHeight="1" outlineLevel="1" x14ac:dyDescent="0.25">
      <c r="B93" s="149"/>
      <c r="C93" s="150" t="s">
        <v>67</v>
      </c>
      <c r="D93" s="85">
        <v>0</v>
      </c>
      <c r="E93" s="86">
        <v>0</v>
      </c>
      <c r="F93" s="85">
        <v>3006757.04</v>
      </c>
      <c r="G93" s="86">
        <v>12094796.959999997</v>
      </c>
      <c r="H93" s="85">
        <v>0</v>
      </c>
      <c r="I93" s="86">
        <v>0</v>
      </c>
      <c r="J93" s="85">
        <v>0</v>
      </c>
      <c r="K93" s="86">
        <v>0</v>
      </c>
      <c r="L93" s="85">
        <v>13794032.619999999</v>
      </c>
      <c r="M93" s="86">
        <v>10638297.380000001</v>
      </c>
      <c r="N93" s="85">
        <v>2053465.51</v>
      </c>
      <c r="O93" s="86">
        <v>181740.49</v>
      </c>
      <c r="P93" s="87"/>
    </row>
    <row r="94" spans="2:16" ht="13.9" customHeight="1" x14ac:dyDescent="0.25">
      <c r="B94" s="149"/>
      <c r="C94" s="148" t="s">
        <v>103</v>
      </c>
      <c r="D94" s="90">
        <f>SUM(D57:D93)</f>
        <v>0</v>
      </c>
      <c r="E94" s="91">
        <f t="shared" ref="E94:O94" si="4">SUM(E57:E93)</f>
        <v>0</v>
      </c>
      <c r="F94" s="92">
        <f t="shared" si="4"/>
        <v>42868346.890000001</v>
      </c>
      <c r="G94" s="93">
        <f t="shared" si="4"/>
        <v>239696877.95000002</v>
      </c>
      <c r="H94" s="90">
        <f t="shared" si="4"/>
        <v>37283663.780000009</v>
      </c>
      <c r="I94" s="91">
        <f t="shared" si="4"/>
        <v>135038641.32000002</v>
      </c>
      <c r="J94" s="92">
        <f t="shared" si="4"/>
        <v>54280732.350000009</v>
      </c>
      <c r="K94" s="93">
        <f t="shared" si="4"/>
        <v>104962882.15000001</v>
      </c>
      <c r="L94" s="90">
        <f t="shared" si="4"/>
        <v>225569781.56000003</v>
      </c>
      <c r="M94" s="91">
        <f t="shared" si="4"/>
        <v>204888607.68000001</v>
      </c>
      <c r="N94" s="90">
        <f t="shared" si="4"/>
        <v>1056332884.2900001</v>
      </c>
      <c r="O94" s="91">
        <f t="shared" si="4"/>
        <v>161769595.47999999</v>
      </c>
      <c r="P94" s="94"/>
    </row>
    <row r="95" spans="2:16" ht="13.9" customHeight="1" outlineLevel="1" x14ac:dyDescent="0.25">
      <c r="B95" s="149" t="s">
        <v>83</v>
      </c>
      <c r="C95" s="150" t="s">
        <v>70</v>
      </c>
      <c r="D95" s="85">
        <v>0</v>
      </c>
      <c r="E95" s="86">
        <v>0</v>
      </c>
      <c r="F95" s="85">
        <v>0</v>
      </c>
      <c r="G95" s="86">
        <v>0</v>
      </c>
      <c r="H95" s="85">
        <v>10067866.84</v>
      </c>
      <c r="I95" s="86">
        <v>28169115.939999998</v>
      </c>
      <c r="J95" s="85">
        <v>10850281.959999999</v>
      </c>
      <c r="K95" s="86">
        <v>20799981.07</v>
      </c>
      <c r="L95" s="85">
        <v>24268385.810000002</v>
      </c>
      <c r="M95" s="86">
        <v>32406571.099999998</v>
      </c>
      <c r="N95" s="85">
        <v>727266</v>
      </c>
      <c r="O95" s="86">
        <v>463252.58000000007</v>
      </c>
      <c r="P95" s="87"/>
    </row>
    <row r="96" spans="2:16" ht="13.9" customHeight="1" outlineLevel="1" x14ac:dyDescent="0.25">
      <c r="B96" s="149"/>
      <c r="C96" s="150" t="s">
        <v>71</v>
      </c>
      <c r="D96" s="85">
        <v>20000</v>
      </c>
      <c r="E96" s="86">
        <v>17684043</v>
      </c>
      <c r="F96" s="85">
        <v>15299474.27</v>
      </c>
      <c r="G96" s="86">
        <v>70249636.480000004</v>
      </c>
      <c r="H96" s="85">
        <v>7601327.4100000001</v>
      </c>
      <c r="I96" s="86">
        <v>27471624.59</v>
      </c>
      <c r="J96" s="85">
        <v>34018530.519999996</v>
      </c>
      <c r="K96" s="86">
        <v>63700505.25</v>
      </c>
      <c r="L96" s="85">
        <v>51157476.010000005</v>
      </c>
      <c r="M96" s="86">
        <v>67630269</v>
      </c>
      <c r="N96" s="85">
        <v>0</v>
      </c>
      <c r="O96" s="86">
        <v>0</v>
      </c>
      <c r="P96" s="87"/>
    </row>
    <row r="97" spans="2:16" ht="13.9" customHeight="1" outlineLevel="1" x14ac:dyDescent="0.25">
      <c r="B97" s="149"/>
      <c r="C97" s="150" t="s">
        <v>72</v>
      </c>
      <c r="D97" s="85">
        <v>0</v>
      </c>
      <c r="E97" s="86">
        <v>0</v>
      </c>
      <c r="F97" s="85">
        <v>2828547.17</v>
      </c>
      <c r="G97" s="86">
        <v>11314195.619999999</v>
      </c>
      <c r="H97" s="85">
        <v>1440781.89</v>
      </c>
      <c r="I97" s="86">
        <v>5731333.6399999997</v>
      </c>
      <c r="J97" s="85">
        <v>0</v>
      </c>
      <c r="K97" s="86">
        <v>0</v>
      </c>
      <c r="L97" s="85">
        <v>0</v>
      </c>
      <c r="M97" s="86">
        <v>0</v>
      </c>
      <c r="N97" s="85">
        <v>0</v>
      </c>
      <c r="O97" s="86">
        <v>0</v>
      </c>
      <c r="P97" s="87"/>
    </row>
    <row r="98" spans="2:16" ht="13.9" customHeight="1" x14ac:dyDescent="0.25">
      <c r="B98" s="149"/>
      <c r="C98" s="148" t="s">
        <v>104</v>
      </c>
      <c r="D98" s="90">
        <f>SUM(D95:D97)</f>
        <v>20000</v>
      </c>
      <c r="E98" s="91">
        <f t="shared" ref="E98:O98" si="5">SUM(E95:E97)</f>
        <v>17684043</v>
      </c>
      <c r="F98" s="92">
        <f t="shared" si="5"/>
        <v>18128021.439999998</v>
      </c>
      <c r="G98" s="93">
        <f t="shared" si="5"/>
        <v>81563832.100000009</v>
      </c>
      <c r="H98" s="90">
        <f t="shared" si="5"/>
        <v>19109976.140000001</v>
      </c>
      <c r="I98" s="91">
        <f t="shared" si="5"/>
        <v>61372074.170000002</v>
      </c>
      <c r="J98" s="92">
        <f t="shared" si="5"/>
        <v>44868812.479999997</v>
      </c>
      <c r="K98" s="93">
        <f t="shared" si="5"/>
        <v>84500486.319999993</v>
      </c>
      <c r="L98" s="90">
        <f t="shared" si="5"/>
        <v>75425861.820000008</v>
      </c>
      <c r="M98" s="91">
        <f t="shared" si="5"/>
        <v>100036840.09999999</v>
      </c>
      <c r="N98" s="90">
        <f t="shared" si="5"/>
        <v>727266</v>
      </c>
      <c r="O98" s="91">
        <f t="shared" si="5"/>
        <v>463252.58000000007</v>
      </c>
      <c r="P98" s="94"/>
    </row>
    <row r="99" spans="2:16" ht="13.9" customHeight="1" outlineLevel="1" x14ac:dyDescent="0.25">
      <c r="B99" s="149" t="s">
        <v>105</v>
      </c>
      <c r="C99" s="150" t="s">
        <v>75</v>
      </c>
      <c r="D99" s="85">
        <v>0</v>
      </c>
      <c r="E99" s="86">
        <v>0</v>
      </c>
      <c r="F99" s="85">
        <v>0</v>
      </c>
      <c r="G99" s="86">
        <v>0</v>
      </c>
      <c r="H99" s="85">
        <v>252238</v>
      </c>
      <c r="I99" s="86">
        <v>1008501.1000000001</v>
      </c>
      <c r="J99" s="85">
        <v>0</v>
      </c>
      <c r="K99" s="86">
        <v>0</v>
      </c>
      <c r="L99" s="85">
        <v>0</v>
      </c>
      <c r="M99" s="86">
        <v>0</v>
      </c>
      <c r="N99" s="85">
        <v>0</v>
      </c>
      <c r="O99" s="86">
        <v>0</v>
      </c>
      <c r="P99" s="87"/>
    </row>
    <row r="100" spans="2:16" ht="13.9" customHeight="1" outlineLevel="1" x14ac:dyDescent="0.25">
      <c r="B100" s="149"/>
      <c r="C100" s="150" t="s">
        <v>76</v>
      </c>
      <c r="D100" s="85">
        <v>0</v>
      </c>
      <c r="E100" s="86">
        <v>0</v>
      </c>
      <c r="F100" s="85">
        <v>0</v>
      </c>
      <c r="G100" s="86">
        <v>0</v>
      </c>
      <c r="H100" s="85">
        <v>0</v>
      </c>
      <c r="I100" s="86">
        <v>0</v>
      </c>
      <c r="J100" s="85">
        <v>0</v>
      </c>
      <c r="K100" s="86">
        <v>0</v>
      </c>
      <c r="L100" s="85">
        <v>0</v>
      </c>
      <c r="M100" s="86">
        <v>0</v>
      </c>
      <c r="N100" s="85">
        <v>0</v>
      </c>
      <c r="O100" s="86">
        <v>0</v>
      </c>
      <c r="P100" s="87"/>
    </row>
    <row r="101" spans="2:16" ht="13.9" customHeight="1" x14ac:dyDescent="0.25">
      <c r="B101" s="149"/>
      <c r="C101" s="148" t="s">
        <v>106</v>
      </c>
      <c r="D101" s="90">
        <f>SUM(D99:D100)</f>
        <v>0</v>
      </c>
      <c r="E101" s="91">
        <f t="shared" ref="E101:O101" si="6">SUM(E99:E100)</f>
        <v>0</v>
      </c>
      <c r="F101" s="92">
        <f t="shared" si="6"/>
        <v>0</v>
      </c>
      <c r="G101" s="93">
        <f t="shared" si="6"/>
        <v>0</v>
      </c>
      <c r="H101" s="90">
        <f t="shared" si="6"/>
        <v>252238</v>
      </c>
      <c r="I101" s="91">
        <f t="shared" si="6"/>
        <v>1008501.1000000001</v>
      </c>
      <c r="J101" s="92">
        <f t="shared" si="6"/>
        <v>0</v>
      </c>
      <c r="K101" s="93">
        <f t="shared" si="6"/>
        <v>0</v>
      </c>
      <c r="L101" s="90">
        <f t="shared" si="6"/>
        <v>0</v>
      </c>
      <c r="M101" s="91">
        <f t="shared" si="6"/>
        <v>0</v>
      </c>
      <c r="N101" s="90">
        <f t="shared" si="6"/>
        <v>0</v>
      </c>
      <c r="O101" s="91">
        <f t="shared" si="6"/>
        <v>0</v>
      </c>
      <c r="P101" s="94"/>
    </row>
    <row r="102" spans="2:16" ht="13.9" customHeight="1" x14ac:dyDescent="0.25">
      <c r="B102" s="151" t="s">
        <v>78</v>
      </c>
      <c r="C102" s="151"/>
      <c r="D102" s="90">
        <f>D94+D98+D101</f>
        <v>20000</v>
      </c>
      <c r="E102" s="91">
        <f t="shared" ref="E102:O102" si="7">E94+E98+E101</f>
        <v>17684043</v>
      </c>
      <c r="F102" s="92">
        <f t="shared" si="7"/>
        <v>60996368.329999998</v>
      </c>
      <c r="G102" s="93">
        <f t="shared" si="7"/>
        <v>321260710.05000001</v>
      </c>
      <c r="H102" s="90">
        <f t="shared" si="7"/>
        <v>56645877.920000009</v>
      </c>
      <c r="I102" s="91">
        <f t="shared" si="7"/>
        <v>197419216.59</v>
      </c>
      <c r="J102" s="92">
        <f t="shared" si="7"/>
        <v>99149544.830000013</v>
      </c>
      <c r="K102" s="93">
        <f t="shared" si="7"/>
        <v>189463368.47</v>
      </c>
      <c r="L102" s="90">
        <f t="shared" si="7"/>
        <v>300995643.38000005</v>
      </c>
      <c r="M102" s="91">
        <f t="shared" si="7"/>
        <v>304925447.77999997</v>
      </c>
      <c r="N102" s="90">
        <f t="shared" si="7"/>
        <v>1057060150.2900001</v>
      </c>
      <c r="O102" s="91">
        <f t="shared" si="7"/>
        <v>162232848.06</v>
      </c>
      <c r="P102" s="94"/>
    </row>
    <row r="103" spans="2:16" ht="13.9" customHeight="1" x14ac:dyDescent="0.25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</row>
    <row r="104" spans="2:16" ht="13.9" customHeight="1" x14ac:dyDescent="0.25">
      <c r="B104" s="158" t="s">
        <v>84</v>
      </c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</row>
    <row r="105" spans="2:16" ht="13.9" customHeight="1" x14ac:dyDescent="0.25">
      <c r="B105" s="154" t="s">
        <v>26</v>
      </c>
      <c r="C105" s="148" t="s">
        <v>27</v>
      </c>
      <c r="D105" s="109" t="s">
        <v>28</v>
      </c>
      <c r="E105" s="110" t="s">
        <v>29</v>
      </c>
      <c r="F105" s="111" t="s">
        <v>85</v>
      </c>
      <c r="G105" s="112" t="s">
        <v>81</v>
      </c>
      <c r="H105" s="110" t="s">
        <v>82</v>
      </c>
      <c r="I105" s="112" t="s">
        <v>86</v>
      </c>
      <c r="J105" s="110" t="s">
        <v>87</v>
      </c>
      <c r="K105" s="112">
        <v>2026</v>
      </c>
      <c r="L105" s="112">
        <v>2027</v>
      </c>
      <c r="M105" s="110">
        <v>2028</v>
      </c>
      <c r="N105" s="112">
        <v>2029</v>
      </c>
      <c r="O105" s="110">
        <v>2030</v>
      </c>
      <c r="P105" s="112">
        <v>2031</v>
      </c>
    </row>
    <row r="106" spans="2:16" ht="13.9" customHeight="1" outlineLevel="1" x14ac:dyDescent="0.25">
      <c r="B106" s="149" t="s">
        <v>30</v>
      </c>
      <c r="C106" s="150" t="s">
        <v>31</v>
      </c>
      <c r="D106" s="85">
        <v>0</v>
      </c>
      <c r="E106" s="86">
        <v>0</v>
      </c>
      <c r="F106" s="113">
        <f t="shared" ref="F106:F146" si="8">G106+I106</f>
        <v>0</v>
      </c>
      <c r="G106" s="113">
        <v>0</v>
      </c>
      <c r="H106" s="86">
        <v>0</v>
      </c>
      <c r="I106" s="113">
        <v>0</v>
      </c>
      <c r="J106" s="114">
        <f t="shared" ref="J106:J146" si="9">H106-I106</f>
        <v>0</v>
      </c>
      <c r="K106" s="113">
        <f t="shared" ref="K106:K149" si="10">MAX(J106-SUM(L106:P106),0)</f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</row>
    <row r="107" spans="2:16" ht="13.9" customHeight="1" outlineLevel="1" x14ac:dyDescent="0.25">
      <c r="B107" s="149"/>
      <c r="C107" s="150" t="s">
        <v>32</v>
      </c>
      <c r="D107" s="85">
        <v>0</v>
      </c>
      <c r="E107" s="86">
        <v>0</v>
      </c>
      <c r="F107" s="113">
        <f t="shared" si="8"/>
        <v>0</v>
      </c>
      <c r="G107" s="113">
        <v>0</v>
      </c>
      <c r="H107" s="86">
        <v>0</v>
      </c>
      <c r="I107" s="113">
        <v>0</v>
      </c>
      <c r="J107" s="114">
        <f t="shared" si="9"/>
        <v>0</v>
      </c>
      <c r="K107" s="113">
        <f t="shared" si="10"/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</row>
    <row r="108" spans="2:16" ht="13.9" customHeight="1" outlineLevel="1" x14ac:dyDescent="0.25">
      <c r="B108" s="149"/>
      <c r="C108" s="150" t="s">
        <v>33</v>
      </c>
      <c r="D108" s="85">
        <v>0</v>
      </c>
      <c r="E108" s="86">
        <v>0</v>
      </c>
      <c r="F108" s="113">
        <f t="shared" si="8"/>
        <v>0</v>
      </c>
      <c r="G108" s="113">
        <v>0</v>
      </c>
      <c r="H108" s="86">
        <v>0</v>
      </c>
      <c r="I108" s="113">
        <v>0</v>
      </c>
      <c r="J108" s="114">
        <f t="shared" si="9"/>
        <v>0</v>
      </c>
      <c r="K108" s="113">
        <f t="shared" si="10"/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</row>
    <row r="109" spans="2:16" ht="13.9" customHeight="1" outlineLevel="1" x14ac:dyDescent="0.25">
      <c r="B109" s="149"/>
      <c r="C109" s="150" t="s">
        <v>34</v>
      </c>
      <c r="D109" s="85">
        <v>0</v>
      </c>
      <c r="E109" s="86">
        <v>0</v>
      </c>
      <c r="F109" s="113">
        <f t="shared" si="8"/>
        <v>0</v>
      </c>
      <c r="G109" s="113">
        <v>0</v>
      </c>
      <c r="H109" s="86">
        <v>0</v>
      </c>
      <c r="I109" s="113">
        <v>0</v>
      </c>
      <c r="J109" s="114">
        <f t="shared" si="9"/>
        <v>0</v>
      </c>
      <c r="K109" s="113">
        <f t="shared" si="10"/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</row>
    <row r="110" spans="2:16" ht="13.9" customHeight="1" outlineLevel="1" x14ac:dyDescent="0.25">
      <c r="B110" s="149"/>
      <c r="C110" s="150" t="s">
        <v>35</v>
      </c>
      <c r="D110" s="85">
        <v>0</v>
      </c>
      <c r="E110" s="86">
        <v>0</v>
      </c>
      <c r="F110" s="113">
        <f t="shared" si="8"/>
        <v>0</v>
      </c>
      <c r="G110" s="113">
        <v>0</v>
      </c>
      <c r="H110" s="86">
        <v>0</v>
      </c>
      <c r="I110" s="113">
        <v>0</v>
      </c>
      <c r="J110" s="114">
        <f t="shared" si="9"/>
        <v>0</v>
      </c>
      <c r="K110" s="113">
        <f t="shared" si="10"/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</row>
    <row r="111" spans="2:16" ht="13.9" customHeight="1" outlineLevel="1" x14ac:dyDescent="0.25">
      <c r="B111" s="149"/>
      <c r="C111" s="150" t="s">
        <v>36</v>
      </c>
      <c r="D111" s="85">
        <v>0</v>
      </c>
      <c r="E111" s="86">
        <v>0</v>
      </c>
      <c r="F111" s="113">
        <f t="shared" si="8"/>
        <v>0</v>
      </c>
      <c r="G111" s="113">
        <v>0</v>
      </c>
      <c r="H111" s="86">
        <v>0</v>
      </c>
      <c r="I111" s="113">
        <v>0</v>
      </c>
      <c r="J111" s="114">
        <f t="shared" si="9"/>
        <v>0</v>
      </c>
      <c r="K111" s="113">
        <f t="shared" si="10"/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</row>
    <row r="112" spans="2:16" ht="13.9" customHeight="1" outlineLevel="1" x14ac:dyDescent="0.25">
      <c r="B112" s="149"/>
      <c r="C112" s="150" t="s">
        <v>37</v>
      </c>
      <c r="D112" s="85">
        <v>0</v>
      </c>
      <c r="E112" s="86">
        <v>0</v>
      </c>
      <c r="F112" s="113">
        <f t="shared" si="8"/>
        <v>0</v>
      </c>
      <c r="G112" s="113">
        <v>0</v>
      </c>
      <c r="H112" s="86">
        <v>0</v>
      </c>
      <c r="I112" s="113">
        <v>0</v>
      </c>
      <c r="J112" s="114">
        <f t="shared" si="9"/>
        <v>0</v>
      </c>
      <c r="K112" s="113">
        <f t="shared" si="10"/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</row>
    <row r="113" spans="2:16" ht="13.9" customHeight="1" outlineLevel="1" x14ac:dyDescent="0.25">
      <c r="B113" s="149"/>
      <c r="C113" s="150" t="s">
        <v>38</v>
      </c>
      <c r="D113" s="85">
        <v>0</v>
      </c>
      <c r="E113" s="86">
        <v>0</v>
      </c>
      <c r="F113" s="113">
        <f t="shared" si="8"/>
        <v>0</v>
      </c>
      <c r="G113" s="113">
        <v>0</v>
      </c>
      <c r="H113" s="86">
        <v>0</v>
      </c>
      <c r="I113" s="113">
        <v>0</v>
      </c>
      <c r="J113" s="114">
        <f t="shared" si="9"/>
        <v>0</v>
      </c>
      <c r="K113" s="113">
        <f t="shared" si="10"/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</row>
    <row r="114" spans="2:16" ht="13.9" customHeight="1" outlineLevel="1" x14ac:dyDescent="0.25">
      <c r="B114" s="149"/>
      <c r="C114" s="150" t="s">
        <v>39</v>
      </c>
      <c r="D114" s="85">
        <v>0</v>
      </c>
      <c r="E114" s="86">
        <v>0</v>
      </c>
      <c r="F114" s="113">
        <f t="shared" si="8"/>
        <v>0</v>
      </c>
      <c r="G114" s="113">
        <v>0</v>
      </c>
      <c r="H114" s="86">
        <v>0</v>
      </c>
      <c r="I114" s="113">
        <v>0</v>
      </c>
      <c r="J114" s="114">
        <f t="shared" si="9"/>
        <v>0</v>
      </c>
      <c r="K114" s="113">
        <f t="shared" si="10"/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</row>
    <row r="115" spans="2:16" ht="13.9" customHeight="1" outlineLevel="1" x14ac:dyDescent="0.25">
      <c r="B115" s="149"/>
      <c r="C115" s="150" t="s">
        <v>40</v>
      </c>
      <c r="D115" s="85">
        <v>0</v>
      </c>
      <c r="E115" s="86">
        <v>0</v>
      </c>
      <c r="F115" s="113">
        <f t="shared" si="8"/>
        <v>0</v>
      </c>
      <c r="G115" s="113">
        <v>0</v>
      </c>
      <c r="H115" s="86">
        <v>0</v>
      </c>
      <c r="I115" s="113">
        <v>0</v>
      </c>
      <c r="J115" s="114">
        <f t="shared" si="9"/>
        <v>0</v>
      </c>
      <c r="K115" s="113">
        <f t="shared" si="10"/>
        <v>0</v>
      </c>
      <c r="L115" s="113">
        <v>0</v>
      </c>
      <c r="M115" s="113">
        <v>0</v>
      </c>
      <c r="N115" s="113">
        <v>0</v>
      </c>
      <c r="O115" s="113">
        <v>0</v>
      </c>
      <c r="P115" s="113">
        <v>0</v>
      </c>
    </row>
    <row r="116" spans="2:16" ht="13.9" customHeight="1" outlineLevel="1" x14ac:dyDescent="0.25">
      <c r="B116" s="149"/>
      <c r="C116" s="150" t="s">
        <v>41</v>
      </c>
      <c r="D116" s="85">
        <v>0</v>
      </c>
      <c r="E116" s="86">
        <v>0</v>
      </c>
      <c r="F116" s="113">
        <f t="shared" si="8"/>
        <v>0</v>
      </c>
      <c r="G116" s="113">
        <v>0</v>
      </c>
      <c r="H116" s="86">
        <v>0</v>
      </c>
      <c r="I116" s="113">
        <v>0</v>
      </c>
      <c r="J116" s="114">
        <f t="shared" si="9"/>
        <v>0</v>
      </c>
      <c r="K116" s="113">
        <f t="shared" si="10"/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</row>
    <row r="117" spans="2:16" ht="13.9" customHeight="1" outlineLevel="1" x14ac:dyDescent="0.25">
      <c r="B117" s="149"/>
      <c r="C117" s="150" t="s">
        <v>42</v>
      </c>
      <c r="D117" s="85">
        <v>0</v>
      </c>
      <c r="E117" s="86">
        <v>0</v>
      </c>
      <c r="F117" s="113">
        <f t="shared" si="8"/>
        <v>0</v>
      </c>
      <c r="G117" s="113">
        <v>0</v>
      </c>
      <c r="H117" s="86">
        <v>0</v>
      </c>
      <c r="I117" s="113">
        <v>0</v>
      </c>
      <c r="J117" s="114">
        <f t="shared" si="9"/>
        <v>0</v>
      </c>
      <c r="K117" s="113">
        <f t="shared" si="10"/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</row>
    <row r="118" spans="2:16" ht="13.9" customHeight="1" outlineLevel="1" x14ac:dyDescent="0.25">
      <c r="B118" s="149"/>
      <c r="C118" s="150" t="s">
        <v>43</v>
      </c>
      <c r="D118" s="85">
        <v>0</v>
      </c>
      <c r="E118" s="86">
        <v>0</v>
      </c>
      <c r="F118" s="113">
        <f t="shared" si="8"/>
        <v>0</v>
      </c>
      <c r="G118" s="113">
        <v>0</v>
      </c>
      <c r="H118" s="86">
        <v>0</v>
      </c>
      <c r="I118" s="113">
        <v>0</v>
      </c>
      <c r="J118" s="114">
        <f t="shared" si="9"/>
        <v>0</v>
      </c>
      <c r="K118" s="113">
        <f t="shared" si="10"/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</row>
    <row r="119" spans="2:16" ht="13.9" customHeight="1" outlineLevel="1" x14ac:dyDescent="0.25">
      <c r="B119" s="149"/>
      <c r="C119" s="150" t="s">
        <v>44</v>
      </c>
      <c r="D119" s="85">
        <v>0</v>
      </c>
      <c r="E119" s="86">
        <v>0</v>
      </c>
      <c r="F119" s="113">
        <f t="shared" si="8"/>
        <v>0</v>
      </c>
      <c r="G119" s="113">
        <v>0</v>
      </c>
      <c r="H119" s="86">
        <v>0</v>
      </c>
      <c r="I119" s="113">
        <v>0</v>
      </c>
      <c r="J119" s="114">
        <f t="shared" si="9"/>
        <v>0</v>
      </c>
      <c r="K119" s="113">
        <f t="shared" si="10"/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</row>
    <row r="120" spans="2:16" ht="13.9" customHeight="1" outlineLevel="1" x14ac:dyDescent="0.25">
      <c r="B120" s="149"/>
      <c r="C120" s="150" t="s">
        <v>45</v>
      </c>
      <c r="D120" s="85">
        <v>0</v>
      </c>
      <c r="E120" s="86">
        <v>0</v>
      </c>
      <c r="F120" s="113">
        <f t="shared" si="8"/>
        <v>0</v>
      </c>
      <c r="G120" s="113">
        <v>0</v>
      </c>
      <c r="H120" s="86">
        <v>0</v>
      </c>
      <c r="I120" s="113">
        <v>0</v>
      </c>
      <c r="J120" s="114">
        <f t="shared" si="9"/>
        <v>0</v>
      </c>
      <c r="K120" s="113">
        <f t="shared" si="10"/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</row>
    <row r="121" spans="2:16" ht="13.9" customHeight="1" outlineLevel="1" x14ac:dyDescent="0.25">
      <c r="B121" s="149"/>
      <c r="C121" s="150" t="s">
        <v>46</v>
      </c>
      <c r="D121" s="85">
        <v>0</v>
      </c>
      <c r="E121" s="86">
        <v>0</v>
      </c>
      <c r="F121" s="113">
        <f t="shared" si="8"/>
        <v>0</v>
      </c>
      <c r="G121" s="113">
        <v>0</v>
      </c>
      <c r="H121" s="86">
        <v>0</v>
      </c>
      <c r="I121" s="113">
        <v>0</v>
      </c>
      <c r="J121" s="114">
        <f t="shared" si="9"/>
        <v>0</v>
      </c>
      <c r="K121" s="113">
        <f t="shared" si="10"/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</row>
    <row r="122" spans="2:16" ht="13.9" customHeight="1" outlineLevel="1" x14ac:dyDescent="0.25">
      <c r="B122" s="149"/>
      <c r="C122" s="150" t="s">
        <v>47</v>
      </c>
      <c r="D122" s="85">
        <v>0</v>
      </c>
      <c r="E122" s="86">
        <v>0</v>
      </c>
      <c r="F122" s="113">
        <f t="shared" si="8"/>
        <v>0</v>
      </c>
      <c r="G122" s="113">
        <v>0</v>
      </c>
      <c r="H122" s="86">
        <v>0</v>
      </c>
      <c r="I122" s="113">
        <v>0</v>
      </c>
      <c r="J122" s="114">
        <f t="shared" si="9"/>
        <v>0</v>
      </c>
      <c r="K122" s="113">
        <f t="shared" si="10"/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</row>
    <row r="123" spans="2:16" ht="13.9" customHeight="1" outlineLevel="1" x14ac:dyDescent="0.25">
      <c r="B123" s="149"/>
      <c r="C123" s="150" t="s">
        <v>48</v>
      </c>
      <c r="D123" s="85">
        <v>0</v>
      </c>
      <c r="E123" s="86">
        <v>0</v>
      </c>
      <c r="F123" s="113">
        <f t="shared" si="8"/>
        <v>0</v>
      </c>
      <c r="G123" s="113">
        <v>0</v>
      </c>
      <c r="H123" s="86">
        <v>0</v>
      </c>
      <c r="I123" s="113">
        <v>0</v>
      </c>
      <c r="J123" s="114">
        <f t="shared" si="9"/>
        <v>0</v>
      </c>
      <c r="K123" s="113">
        <f t="shared" si="10"/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</row>
    <row r="124" spans="2:16" ht="13.9" customHeight="1" outlineLevel="1" x14ac:dyDescent="0.25">
      <c r="B124" s="149"/>
      <c r="C124" s="150" t="s">
        <v>49</v>
      </c>
      <c r="D124" s="85">
        <v>0</v>
      </c>
      <c r="E124" s="86">
        <v>0</v>
      </c>
      <c r="F124" s="113">
        <f t="shared" si="8"/>
        <v>0</v>
      </c>
      <c r="G124" s="113">
        <v>0</v>
      </c>
      <c r="H124" s="86">
        <v>0</v>
      </c>
      <c r="I124" s="113">
        <v>0</v>
      </c>
      <c r="J124" s="114">
        <f t="shared" si="9"/>
        <v>0</v>
      </c>
      <c r="K124" s="113">
        <f t="shared" si="10"/>
        <v>0</v>
      </c>
      <c r="L124" s="113">
        <v>0</v>
      </c>
      <c r="M124" s="113">
        <v>0</v>
      </c>
      <c r="N124" s="113">
        <v>0</v>
      </c>
      <c r="O124" s="113">
        <v>0</v>
      </c>
      <c r="P124" s="113">
        <v>0</v>
      </c>
    </row>
    <row r="125" spans="2:16" ht="13.9" customHeight="1" outlineLevel="1" x14ac:dyDescent="0.25">
      <c r="B125" s="149"/>
      <c r="C125" s="150" t="s">
        <v>50</v>
      </c>
      <c r="D125" s="85">
        <v>0</v>
      </c>
      <c r="E125" s="86">
        <v>0</v>
      </c>
      <c r="F125" s="113">
        <f t="shared" si="8"/>
        <v>0</v>
      </c>
      <c r="G125" s="113">
        <v>0</v>
      </c>
      <c r="H125" s="86">
        <v>0</v>
      </c>
      <c r="I125" s="113">
        <v>0</v>
      </c>
      <c r="J125" s="114">
        <f t="shared" si="9"/>
        <v>0</v>
      </c>
      <c r="K125" s="113">
        <f t="shared" si="10"/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</row>
    <row r="126" spans="2:16" ht="13.9" customHeight="1" outlineLevel="1" x14ac:dyDescent="0.25">
      <c r="B126" s="149"/>
      <c r="C126" s="150" t="s">
        <v>51</v>
      </c>
      <c r="D126" s="85">
        <v>0</v>
      </c>
      <c r="E126" s="86">
        <v>0</v>
      </c>
      <c r="F126" s="113">
        <f t="shared" si="8"/>
        <v>0</v>
      </c>
      <c r="G126" s="113">
        <v>0</v>
      </c>
      <c r="H126" s="86">
        <v>0</v>
      </c>
      <c r="I126" s="113">
        <v>0</v>
      </c>
      <c r="J126" s="114">
        <f t="shared" si="9"/>
        <v>0</v>
      </c>
      <c r="K126" s="113">
        <f t="shared" si="10"/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</row>
    <row r="127" spans="2:16" ht="13.9" customHeight="1" outlineLevel="1" x14ac:dyDescent="0.25">
      <c r="B127" s="149"/>
      <c r="C127" s="150" t="s">
        <v>52</v>
      </c>
      <c r="D127" s="85">
        <v>0</v>
      </c>
      <c r="E127" s="86">
        <v>0</v>
      </c>
      <c r="F127" s="113">
        <f t="shared" si="8"/>
        <v>0</v>
      </c>
      <c r="G127" s="113">
        <v>0</v>
      </c>
      <c r="H127" s="86">
        <v>0</v>
      </c>
      <c r="I127" s="113">
        <v>0</v>
      </c>
      <c r="J127" s="114">
        <f t="shared" si="9"/>
        <v>0</v>
      </c>
      <c r="K127" s="113">
        <f t="shared" si="10"/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</row>
    <row r="128" spans="2:16" ht="13.9" customHeight="1" outlineLevel="1" x14ac:dyDescent="0.25">
      <c r="B128" s="149"/>
      <c r="C128" s="150" t="s">
        <v>53</v>
      </c>
      <c r="D128" s="85">
        <v>0</v>
      </c>
      <c r="E128" s="86">
        <v>0</v>
      </c>
      <c r="F128" s="113">
        <f t="shared" si="8"/>
        <v>0</v>
      </c>
      <c r="G128" s="113">
        <v>0</v>
      </c>
      <c r="H128" s="86">
        <v>0</v>
      </c>
      <c r="I128" s="113">
        <v>0</v>
      </c>
      <c r="J128" s="114">
        <f t="shared" si="9"/>
        <v>0</v>
      </c>
      <c r="K128" s="113">
        <f t="shared" si="10"/>
        <v>0</v>
      </c>
      <c r="L128" s="113">
        <v>0</v>
      </c>
      <c r="M128" s="113">
        <v>0</v>
      </c>
      <c r="N128" s="113">
        <v>0</v>
      </c>
      <c r="O128" s="113">
        <v>0</v>
      </c>
      <c r="P128" s="113">
        <v>0</v>
      </c>
    </row>
    <row r="129" spans="2:16" ht="13.9" customHeight="1" outlineLevel="1" x14ac:dyDescent="0.25">
      <c r="B129" s="149"/>
      <c r="C129" s="150" t="s">
        <v>54</v>
      </c>
      <c r="D129" s="85">
        <v>0</v>
      </c>
      <c r="E129" s="86">
        <v>0</v>
      </c>
      <c r="F129" s="113">
        <f t="shared" si="8"/>
        <v>0</v>
      </c>
      <c r="G129" s="113">
        <v>0</v>
      </c>
      <c r="H129" s="86">
        <v>0</v>
      </c>
      <c r="I129" s="113">
        <v>0</v>
      </c>
      <c r="J129" s="114">
        <f t="shared" si="9"/>
        <v>0</v>
      </c>
      <c r="K129" s="113">
        <f t="shared" si="10"/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</row>
    <row r="130" spans="2:16" ht="13.9" customHeight="1" outlineLevel="1" x14ac:dyDescent="0.25">
      <c r="B130" s="149"/>
      <c r="C130" s="150" t="s">
        <v>55</v>
      </c>
      <c r="D130" s="85">
        <v>0</v>
      </c>
      <c r="E130" s="86">
        <v>0</v>
      </c>
      <c r="F130" s="113">
        <f t="shared" si="8"/>
        <v>0</v>
      </c>
      <c r="G130" s="113">
        <v>0</v>
      </c>
      <c r="H130" s="86">
        <v>0</v>
      </c>
      <c r="I130" s="113">
        <v>0</v>
      </c>
      <c r="J130" s="114">
        <f t="shared" si="9"/>
        <v>0</v>
      </c>
      <c r="K130" s="113">
        <f t="shared" si="10"/>
        <v>0</v>
      </c>
      <c r="L130" s="113">
        <v>0</v>
      </c>
      <c r="M130" s="113">
        <v>0</v>
      </c>
      <c r="N130" s="113">
        <v>0</v>
      </c>
      <c r="O130" s="113">
        <v>0</v>
      </c>
      <c r="P130" s="113">
        <v>0</v>
      </c>
    </row>
    <row r="131" spans="2:16" ht="13.9" customHeight="1" outlineLevel="1" x14ac:dyDescent="0.25">
      <c r="B131" s="149"/>
      <c r="C131" s="150" t="s">
        <v>56</v>
      </c>
      <c r="D131" s="85">
        <v>0</v>
      </c>
      <c r="E131" s="86">
        <v>0</v>
      </c>
      <c r="F131" s="113">
        <f t="shared" si="8"/>
        <v>0</v>
      </c>
      <c r="G131" s="113">
        <v>0</v>
      </c>
      <c r="H131" s="86">
        <v>0</v>
      </c>
      <c r="I131" s="113">
        <v>0</v>
      </c>
      <c r="J131" s="114">
        <f t="shared" si="9"/>
        <v>0</v>
      </c>
      <c r="K131" s="113">
        <f t="shared" si="10"/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</row>
    <row r="132" spans="2:16" ht="13.9" customHeight="1" outlineLevel="1" x14ac:dyDescent="0.25">
      <c r="B132" s="149"/>
      <c r="C132" s="150" t="s">
        <v>57</v>
      </c>
      <c r="D132" s="85">
        <v>0</v>
      </c>
      <c r="E132" s="86">
        <v>0</v>
      </c>
      <c r="F132" s="113">
        <f t="shared" si="8"/>
        <v>0</v>
      </c>
      <c r="G132" s="113">
        <v>0</v>
      </c>
      <c r="H132" s="86">
        <v>0</v>
      </c>
      <c r="I132" s="113">
        <v>0</v>
      </c>
      <c r="J132" s="114">
        <f t="shared" si="9"/>
        <v>0</v>
      </c>
      <c r="K132" s="113">
        <f t="shared" si="10"/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</row>
    <row r="133" spans="2:16" ht="13.9" customHeight="1" outlineLevel="1" x14ac:dyDescent="0.25">
      <c r="B133" s="149"/>
      <c r="C133" s="150" t="s">
        <v>58</v>
      </c>
      <c r="D133" s="85">
        <v>0</v>
      </c>
      <c r="E133" s="86">
        <v>0</v>
      </c>
      <c r="F133" s="113">
        <f t="shared" si="8"/>
        <v>0</v>
      </c>
      <c r="G133" s="113">
        <v>0</v>
      </c>
      <c r="H133" s="86">
        <v>0</v>
      </c>
      <c r="I133" s="113">
        <v>0</v>
      </c>
      <c r="J133" s="114">
        <f t="shared" si="9"/>
        <v>0</v>
      </c>
      <c r="K133" s="113">
        <f t="shared" si="10"/>
        <v>0</v>
      </c>
      <c r="L133" s="113">
        <v>0</v>
      </c>
      <c r="M133" s="113">
        <v>0</v>
      </c>
      <c r="N133" s="113">
        <v>0</v>
      </c>
      <c r="O133" s="113">
        <v>0</v>
      </c>
      <c r="P133" s="113">
        <v>0</v>
      </c>
    </row>
    <row r="134" spans="2:16" ht="13.9" customHeight="1" outlineLevel="1" x14ac:dyDescent="0.25">
      <c r="B134" s="149"/>
      <c r="C134" s="150" t="s">
        <v>59</v>
      </c>
      <c r="D134" s="85">
        <v>0</v>
      </c>
      <c r="E134" s="86">
        <v>0</v>
      </c>
      <c r="F134" s="113">
        <f t="shared" si="8"/>
        <v>0</v>
      </c>
      <c r="G134" s="113">
        <v>0</v>
      </c>
      <c r="H134" s="86">
        <v>0</v>
      </c>
      <c r="I134" s="113">
        <v>0</v>
      </c>
      <c r="J134" s="114">
        <f t="shared" si="9"/>
        <v>0</v>
      </c>
      <c r="K134" s="113">
        <f t="shared" si="10"/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</row>
    <row r="135" spans="2:16" ht="13.9" customHeight="1" outlineLevel="1" x14ac:dyDescent="0.25">
      <c r="B135" s="149"/>
      <c r="C135" s="150" t="s">
        <v>60</v>
      </c>
      <c r="D135" s="85">
        <v>0</v>
      </c>
      <c r="E135" s="86">
        <v>0</v>
      </c>
      <c r="F135" s="113">
        <f t="shared" si="8"/>
        <v>0</v>
      </c>
      <c r="G135" s="113">
        <v>0</v>
      </c>
      <c r="H135" s="86">
        <v>0</v>
      </c>
      <c r="I135" s="113">
        <v>0</v>
      </c>
      <c r="J135" s="114">
        <f t="shared" si="9"/>
        <v>0</v>
      </c>
      <c r="K135" s="113">
        <f t="shared" si="10"/>
        <v>0</v>
      </c>
      <c r="L135" s="113">
        <v>0</v>
      </c>
      <c r="M135" s="113">
        <v>0</v>
      </c>
      <c r="N135" s="113">
        <v>0</v>
      </c>
      <c r="O135" s="113">
        <v>0</v>
      </c>
      <c r="P135" s="113">
        <v>0</v>
      </c>
    </row>
    <row r="136" spans="2:16" ht="13.9" customHeight="1" outlineLevel="1" x14ac:dyDescent="0.25">
      <c r="B136" s="149"/>
      <c r="C136" s="150" t="s">
        <v>61</v>
      </c>
      <c r="D136" s="85">
        <v>0</v>
      </c>
      <c r="E136" s="86">
        <v>0</v>
      </c>
      <c r="F136" s="113">
        <f t="shared" si="8"/>
        <v>0</v>
      </c>
      <c r="G136" s="113">
        <v>0</v>
      </c>
      <c r="H136" s="86">
        <v>0</v>
      </c>
      <c r="I136" s="113">
        <v>0</v>
      </c>
      <c r="J136" s="114">
        <f t="shared" si="9"/>
        <v>0</v>
      </c>
      <c r="K136" s="113">
        <f t="shared" si="10"/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</row>
    <row r="137" spans="2:16" ht="13.9" customHeight="1" outlineLevel="1" x14ac:dyDescent="0.25">
      <c r="B137" s="149"/>
      <c r="C137" s="150" t="s">
        <v>62</v>
      </c>
      <c r="D137" s="85">
        <v>0</v>
      </c>
      <c r="E137" s="86">
        <v>0</v>
      </c>
      <c r="F137" s="113">
        <f t="shared" si="8"/>
        <v>0</v>
      </c>
      <c r="G137" s="113">
        <v>0</v>
      </c>
      <c r="H137" s="86">
        <v>0</v>
      </c>
      <c r="I137" s="113">
        <v>0</v>
      </c>
      <c r="J137" s="114">
        <f t="shared" si="9"/>
        <v>0</v>
      </c>
      <c r="K137" s="113">
        <f t="shared" si="10"/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</row>
    <row r="138" spans="2:16" ht="13.9" customHeight="1" outlineLevel="1" x14ac:dyDescent="0.25">
      <c r="B138" s="149"/>
      <c r="C138" s="150" t="s">
        <v>63</v>
      </c>
      <c r="D138" s="85">
        <v>0</v>
      </c>
      <c r="E138" s="86">
        <v>0</v>
      </c>
      <c r="F138" s="113">
        <f t="shared" si="8"/>
        <v>0</v>
      </c>
      <c r="G138" s="113">
        <v>0</v>
      </c>
      <c r="H138" s="86">
        <v>0</v>
      </c>
      <c r="I138" s="113">
        <v>0</v>
      </c>
      <c r="J138" s="114">
        <f t="shared" si="9"/>
        <v>0</v>
      </c>
      <c r="K138" s="113">
        <f t="shared" si="10"/>
        <v>0</v>
      </c>
      <c r="L138" s="113">
        <v>0</v>
      </c>
      <c r="M138" s="113">
        <v>0</v>
      </c>
      <c r="N138" s="113">
        <v>0</v>
      </c>
      <c r="O138" s="113">
        <v>0</v>
      </c>
      <c r="P138" s="113">
        <v>0</v>
      </c>
    </row>
    <row r="139" spans="2:16" ht="13.9" customHeight="1" outlineLevel="1" x14ac:dyDescent="0.25">
      <c r="B139" s="149"/>
      <c r="C139" s="150" t="s">
        <v>64</v>
      </c>
      <c r="D139" s="85">
        <v>0</v>
      </c>
      <c r="E139" s="86">
        <v>0</v>
      </c>
      <c r="F139" s="113">
        <f t="shared" si="8"/>
        <v>0</v>
      </c>
      <c r="G139" s="113">
        <v>0</v>
      </c>
      <c r="H139" s="86">
        <v>0</v>
      </c>
      <c r="I139" s="113">
        <v>0</v>
      </c>
      <c r="J139" s="114">
        <f t="shared" si="9"/>
        <v>0</v>
      </c>
      <c r="K139" s="113">
        <f t="shared" si="10"/>
        <v>0</v>
      </c>
      <c r="L139" s="113">
        <v>0</v>
      </c>
      <c r="M139" s="113">
        <v>0</v>
      </c>
      <c r="N139" s="113">
        <v>0</v>
      </c>
      <c r="O139" s="113">
        <v>0</v>
      </c>
      <c r="P139" s="113">
        <v>0</v>
      </c>
    </row>
    <row r="140" spans="2:16" ht="13.9" customHeight="1" outlineLevel="1" x14ac:dyDescent="0.25">
      <c r="B140" s="149"/>
      <c r="C140" s="150" t="s">
        <v>65</v>
      </c>
      <c r="D140" s="85">
        <v>0</v>
      </c>
      <c r="E140" s="86">
        <v>0</v>
      </c>
      <c r="F140" s="113">
        <f t="shared" si="8"/>
        <v>0</v>
      </c>
      <c r="G140" s="113">
        <v>0</v>
      </c>
      <c r="H140" s="86">
        <v>0</v>
      </c>
      <c r="I140" s="113">
        <v>0</v>
      </c>
      <c r="J140" s="114">
        <f t="shared" si="9"/>
        <v>0</v>
      </c>
      <c r="K140" s="113">
        <f t="shared" si="10"/>
        <v>0</v>
      </c>
      <c r="L140" s="113">
        <v>0</v>
      </c>
      <c r="M140" s="113">
        <v>0</v>
      </c>
      <c r="N140" s="113">
        <v>0</v>
      </c>
      <c r="O140" s="113">
        <v>0</v>
      </c>
      <c r="P140" s="113">
        <v>0</v>
      </c>
    </row>
    <row r="141" spans="2:16" ht="13.9" customHeight="1" outlineLevel="1" x14ac:dyDescent="0.25">
      <c r="B141" s="149"/>
      <c r="C141" s="150" t="s">
        <v>66</v>
      </c>
      <c r="D141" s="85">
        <v>0</v>
      </c>
      <c r="E141" s="86">
        <v>0</v>
      </c>
      <c r="F141" s="113">
        <f t="shared" si="8"/>
        <v>0</v>
      </c>
      <c r="G141" s="113">
        <v>0</v>
      </c>
      <c r="H141" s="86">
        <v>0</v>
      </c>
      <c r="I141" s="113">
        <v>0</v>
      </c>
      <c r="J141" s="114">
        <f t="shared" si="9"/>
        <v>0</v>
      </c>
      <c r="K141" s="113">
        <f t="shared" si="10"/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</row>
    <row r="142" spans="2:16" ht="13.9" customHeight="1" outlineLevel="1" x14ac:dyDescent="0.25">
      <c r="B142" s="149"/>
      <c r="C142" s="150" t="s">
        <v>67</v>
      </c>
      <c r="D142" s="85">
        <v>0</v>
      </c>
      <c r="E142" s="86">
        <v>0</v>
      </c>
      <c r="F142" s="113">
        <f t="shared" si="8"/>
        <v>0</v>
      </c>
      <c r="G142" s="113">
        <v>0</v>
      </c>
      <c r="H142" s="86">
        <v>0</v>
      </c>
      <c r="I142" s="113">
        <v>0</v>
      </c>
      <c r="J142" s="114">
        <f t="shared" si="9"/>
        <v>0</v>
      </c>
      <c r="K142" s="113">
        <f t="shared" si="10"/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</row>
    <row r="143" spans="2:16" ht="13.9" customHeight="1" x14ac:dyDescent="0.25">
      <c r="B143" s="149"/>
      <c r="C143" s="148" t="s">
        <v>103</v>
      </c>
      <c r="D143" s="90">
        <f>SUM(D106:D142)</f>
        <v>0</v>
      </c>
      <c r="E143" s="91">
        <f t="shared" ref="E143:P143" si="11">SUM(E106:E142)</f>
        <v>0</v>
      </c>
      <c r="F143" s="92">
        <f t="shared" si="11"/>
        <v>0</v>
      </c>
      <c r="G143" s="93">
        <f t="shared" si="11"/>
        <v>0</v>
      </c>
      <c r="H143" s="90">
        <f t="shared" si="11"/>
        <v>0</v>
      </c>
      <c r="I143" s="91">
        <f t="shared" si="11"/>
        <v>0</v>
      </c>
      <c r="J143" s="92">
        <f t="shared" si="11"/>
        <v>0</v>
      </c>
      <c r="K143" s="93">
        <f t="shared" si="11"/>
        <v>0</v>
      </c>
      <c r="L143" s="90">
        <f t="shared" si="11"/>
        <v>0</v>
      </c>
      <c r="M143" s="91">
        <f t="shared" si="11"/>
        <v>0</v>
      </c>
      <c r="N143" s="90">
        <f t="shared" si="11"/>
        <v>0</v>
      </c>
      <c r="O143" s="91">
        <f t="shared" si="11"/>
        <v>0</v>
      </c>
      <c r="P143" s="91">
        <f t="shared" si="11"/>
        <v>0</v>
      </c>
    </row>
    <row r="144" spans="2:16" ht="13.9" customHeight="1" outlineLevel="1" x14ac:dyDescent="0.25">
      <c r="B144" s="149" t="s">
        <v>83</v>
      </c>
      <c r="C144" s="150" t="s">
        <v>70</v>
      </c>
      <c r="D144" s="85">
        <v>0</v>
      </c>
      <c r="E144" s="86">
        <v>0</v>
      </c>
      <c r="F144" s="113">
        <f t="shared" si="8"/>
        <v>0</v>
      </c>
      <c r="G144" s="113">
        <v>0</v>
      </c>
      <c r="H144" s="86">
        <v>0</v>
      </c>
      <c r="I144" s="113">
        <v>0</v>
      </c>
      <c r="J144" s="114">
        <f t="shared" si="9"/>
        <v>0</v>
      </c>
      <c r="K144" s="113">
        <f t="shared" si="10"/>
        <v>0</v>
      </c>
      <c r="L144" s="113">
        <v>0</v>
      </c>
      <c r="M144" s="113">
        <v>0</v>
      </c>
      <c r="N144" s="113">
        <v>0</v>
      </c>
      <c r="O144" s="113">
        <v>0</v>
      </c>
      <c r="P144" s="113">
        <v>0</v>
      </c>
    </row>
    <row r="145" spans="2:16" ht="13.9" customHeight="1" outlineLevel="1" x14ac:dyDescent="0.25">
      <c r="B145" s="149"/>
      <c r="C145" s="150" t="s">
        <v>71</v>
      </c>
      <c r="D145" s="85">
        <v>1</v>
      </c>
      <c r="E145" s="86">
        <v>17704043</v>
      </c>
      <c r="F145" s="113">
        <f t="shared" si="8"/>
        <v>2124485.16</v>
      </c>
      <c r="G145" s="113">
        <v>20000</v>
      </c>
      <c r="H145" s="86">
        <v>17684043</v>
      </c>
      <c r="I145" s="113">
        <v>2104485.16</v>
      </c>
      <c r="J145" s="114">
        <f t="shared" si="9"/>
        <v>15579557.84</v>
      </c>
      <c r="K145" s="113">
        <f t="shared" si="10"/>
        <v>2124485.16</v>
      </c>
      <c r="L145" s="113">
        <v>2832646.88</v>
      </c>
      <c r="M145" s="113">
        <v>10622425.800000001</v>
      </c>
      <c r="N145" s="113">
        <v>0</v>
      </c>
      <c r="O145" s="113">
        <v>0</v>
      </c>
      <c r="P145" s="113">
        <v>0</v>
      </c>
    </row>
    <row r="146" spans="2:16" ht="13.9" customHeight="1" outlineLevel="1" x14ac:dyDescent="0.25">
      <c r="B146" s="149"/>
      <c r="C146" s="150" t="s">
        <v>72</v>
      </c>
      <c r="D146" s="85">
        <v>0</v>
      </c>
      <c r="E146" s="86">
        <v>0</v>
      </c>
      <c r="F146" s="113">
        <f t="shared" si="8"/>
        <v>0</v>
      </c>
      <c r="G146" s="113">
        <v>0</v>
      </c>
      <c r="H146" s="86">
        <v>0</v>
      </c>
      <c r="I146" s="113">
        <v>0</v>
      </c>
      <c r="J146" s="114">
        <f t="shared" si="9"/>
        <v>0</v>
      </c>
      <c r="K146" s="113">
        <f t="shared" si="10"/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</row>
    <row r="147" spans="2:16" ht="13.9" customHeight="1" x14ac:dyDescent="0.25">
      <c r="B147" s="149"/>
      <c r="C147" s="148" t="s">
        <v>104</v>
      </c>
      <c r="D147" s="90">
        <f>SUM(D144:D146)</f>
        <v>1</v>
      </c>
      <c r="E147" s="91">
        <f t="shared" ref="E147:P147" si="12">SUM(E144:E146)</f>
        <v>17704043</v>
      </c>
      <c r="F147" s="92">
        <f t="shared" si="12"/>
        <v>2124485.16</v>
      </c>
      <c r="G147" s="93">
        <f t="shared" si="12"/>
        <v>20000</v>
      </c>
      <c r="H147" s="90">
        <f t="shared" si="12"/>
        <v>17684043</v>
      </c>
      <c r="I147" s="91">
        <f t="shared" si="12"/>
        <v>2104485.16</v>
      </c>
      <c r="J147" s="92">
        <f t="shared" si="12"/>
        <v>15579557.84</v>
      </c>
      <c r="K147" s="93">
        <f t="shared" si="12"/>
        <v>2124485.16</v>
      </c>
      <c r="L147" s="90">
        <f t="shared" si="12"/>
        <v>2832646.88</v>
      </c>
      <c r="M147" s="91">
        <f t="shared" si="12"/>
        <v>10622425.800000001</v>
      </c>
      <c r="N147" s="90">
        <f t="shared" si="12"/>
        <v>0</v>
      </c>
      <c r="O147" s="91">
        <f t="shared" si="12"/>
        <v>0</v>
      </c>
      <c r="P147" s="91">
        <f t="shared" si="12"/>
        <v>0</v>
      </c>
    </row>
    <row r="148" spans="2:16" ht="13.9" customHeight="1" outlineLevel="1" x14ac:dyDescent="0.25">
      <c r="B148" s="149" t="s">
        <v>105</v>
      </c>
      <c r="C148" s="150" t="s">
        <v>75</v>
      </c>
      <c r="D148" s="85">
        <v>0</v>
      </c>
      <c r="E148" s="86">
        <v>0</v>
      </c>
      <c r="F148" s="113">
        <f>G148+I148</f>
        <v>0</v>
      </c>
      <c r="G148" s="113">
        <v>0</v>
      </c>
      <c r="H148" s="86">
        <v>0</v>
      </c>
      <c r="I148" s="113">
        <v>0</v>
      </c>
      <c r="J148" s="114">
        <f>H148-I148</f>
        <v>0</v>
      </c>
      <c r="K148" s="113">
        <f t="shared" si="10"/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</row>
    <row r="149" spans="2:16" ht="13.9" customHeight="1" outlineLevel="1" x14ac:dyDescent="0.25">
      <c r="B149" s="149"/>
      <c r="C149" s="150" t="s">
        <v>76</v>
      </c>
      <c r="D149" s="85">
        <v>0</v>
      </c>
      <c r="E149" s="86">
        <v>0</v>
      </c>
      <c r="F149" s="113">
        <f>G149+I149</f>
        <v>0</v>
      </c>
      <c r="G149" s="113">
        <v>0</v>
      </c>
      <c r="H149" s="86">
        <v>0</v>
      </c>
      <c r="I149" s="113">
        <v>0</v>
      </c>
      <c r="J149" s="114">
        <f>H149-I149</f>
        <v>0</v>
      </c>
      <c r="K149" s="113">
        <f t="shared" si="10"/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</row>
    <row r="150" spans="2:16" ht="13.9" customHeight="1" x14ac:dyDescent="0.25">
      <c r="B150" s="149"/>
      <c r="C150" s="148" t="s">
        <v>106</v>
      </c>
      <c r="D150" s="90">
        <f>SUM(D148:D149)</f>
        <v>0</v>
      </c>
      <c r="E150" s="91">
        <f t="shared" ref="E150:P150" si="13">SUM(E148:E149)</f>
        <v>0</v>
      </c>
      <c r="F150" s="92">
        <f t="shared" si="13"/>
        <v>0</v>
      </c>
      <c r="G150" s="93">
        <f t="shared" si="13"/>
        <v>0</v>
      </c>
      <c r="H150" s="90">
        <f t="shared" si="13"/>
        <v>0</v>
      </c>
      <c r="I150" s="91">
        <f t="shared" si="13"/>
        <v>0</v>
      </c>
      <c r="J150" s="92">
        <f t="shared" si="13"/>
        <v>0</v>
      </c>
      <c r="K150" s="93">
        <f t="shared" si="13"/>
        <v>0</v>
      </c>
      <c r="L150" s="90">
        <f t="shared" si="13"/>
        <v>0</v>
      </c>
      <c r="M150" s="91">
        <f t="shared" si="13"/>
        <v>0</v>
      </c>
      <c r="N150" s="90">
        <f t="shared" si="13"/>
        <v>0</v>
      </c>
      <c r="O150" s="91">
        <f t="shared" si="13"/>
        <v>0</v>
      </c>
      <c r="P150" s="91">
        <f t="shared" si="13"/>
        <v>0</v>
      </c>
    </row>
    <row r="151" spans="2:16" ht="13.9" customHeight="1" x14ac:dyDescent="0.25">
      <c r="B151" s="155" t="s">
        <v>78</v>
      </c>
      <c r="C151" s="155"/>
      <c r="D151" s="90">
        <f>D143+D147+D150</f>
        <v>1</v>
      </c>
      <c r="E151" s="91">
        <f t="shared" ref="E151:P151" si="14">E143+E147+E150</f>
        <v>17704043</v>
      </c>
      <c r="F151" s="92">
        <f t="shared" si="14"/>
        <v>2124485.16</v>
      </c>
      <c r="G151" s="93">
        <f t="shared" si="14"/>
        <v>20000</v>
      </c>
      <c r="H151" s="90">
        <f t="shared" si="14"/>
        <v>17684043</v>
      </c>
      <c r="I151" s="91">
        <f t="shared" si="14"/>
        <v>2104485.16</v>
      </c>
      <c r="J151" s="92">
        <f t="shared" si="14"/>
        <v>15579557.84</v>
      </c>
      <c r="K151" s="93">
        <f t="shared" si="14"/>
        <v>2124485.16</v>
      </c>
      <c r="L151" s="90">
        <f t="shared" si="14"/>
        <v>2832646.88</v>
      </c>
      <c r="M151" s="91">
        <f t="shared" si="14"/>
        <v>10622425.800000001</v>
      </c>
      <c r="N151" s="90">
        <f t="shared" si="14"/>
        <v>0</v>
      </c>
      <c r="O151" s="91">
        <f t="shared" si="14"/>
        <v>0</v>
      </c>
      <c r="P151" s="91">
        <f t="shared" si="14"/>
        <v>0</v>
      </c>
    </row>
    <row r="152" spans="2:16" ht="13.9" customHeight="1" x14ac:dyDescent="0.25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</row>
    <row r="153" spans="2:16" ht="13.9" customHeight="1" x14ac:dyDescent="0.25">
      <c r="B153" s="107" t="s">
        <v>88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</row>
    <row r="154" spans="2:16" ht="13.9" customHeight="1" x14ac:dyDescent="0.25">
      <c r="B154" s="154" t="s">
        <v>26</v>
      </c>
      <c r="C154" s="148" t="s">
        <v>27</v>
      </c>
      <c r="D154" s="109" t="s">
        <v>28</v>
      </c>
      <c r="E154" s="110" t="s">
        <v>29</v>
      </c>
      <c r="F154" s="111" t="s">
        <v>85</v>
      </c>
      <c r="G154" s="112" t="s">
        <v>81</v>
      </c>
      <c r="H154" s="110" t="s">
        <v>82</v>
      </c>
      <c r="I154" s="112" t="s">
        <v>86</v>
      </c>
      <c r="J154" s="110" t="s">
        <v>87</v>
      </c>
      <c r="K154" s="112">
        <v>2026</v>
      </c>
      <c r="L154" s="112">
        <v>2027</v>
      </c>
      <c r="M154" s="110">
        <v>2028</v>
      </c>
      <c r="N154" s="112">
        <v>2029</v>
      </c>
      <c r="O154" s="110">
        <v>2030</v>
      </c>
      <c r="P154" s="112">
        <v>2031</v>
      </c>
    </row>
    <row r="155" spans="2:16" ht="13.9" customHeight="1" outlineLevel="1" x14ac:dyDescent="0.25">
      <c r="B155" s="149" t="s">
        <v>30</v>
      </c>
      <c r="C155" s="150" t="s">
        <v>31</v>
      </c>
      <c r="D155" s="85">
        <v>0</v>
      </c>
      <c r="E155" s="86">
        <v>0</v>
      </c>
      <c r="F155" s="142">
        <f t="shared" ref="F155:F198" si="15">G155+I155</f>
        <v>0</v>
      </c>
      <c r="G155" s="113">
        <v>0</v>
      </c>
      <c r="H155" s="86">
        <v>0</v>
      </c>
      <c r="I155" s="113">
        <v>0</v>
      </c>
      <c r="J155" s="114">
        <f t="shared" ref="J155:J198" si="16">H155-I155</f>
        <v>0</v>
      </c>
      <c r="K155" s="113">
        <f t="shared" ref="K155:K198" si="17">MAX(J155-SUM(L155:P155),0)</f>
        <v>0</v>
      </c>
      <c r="L155" s="113">
        <v>0</v>
      </c>
      <c r="M155" s="113">
        <v>0</v>
      </c>
      <c r="N155" s="113">
        <v>0</v>
      </c>
      <c r="O155" s="113">
        <v>0</v>
      </c>
      <c r="P155" s="113">
        <v>0</v>
      </c>
    </row>
    <row r="156" spans="2:16" ht="13.9" customHeight="1" outlineLevel="1" x14ac:dyDescent="0.25">
      <c r="B156" s="149"/>
      <c r="C156" s="150" t="s">
        <v>32</v>
      </c>
      <c r="D156" s="85">
        <v>0</v>
      </c>
      <c r="E156" s="86">
        <v>0</v>
      </c>
      <c r="F156" s="142">
        <f t="shared" si="15"/>
        <v>0</v>
      </c>
      <c r="G156" s="113">
        <v>0</v>
      </c>
      <c r="H156" s="86">
        <v>0</v>
      </c>
      <c r="I156" s="113">
        <v>0</v>
      </c>
      <c r="J156" s="114">
        <f t="shared" si="16"/>
        <v>0</v>
      </c>
      <c r="K156" s="113">
        <f t="shared" si="17"/>
        <v>0</v>
      </c>
      <c r="L156" s="113">
        <v>0</v>
      </c>
      <c r="M156" s="113">
        <v>0</v>
      </c>
      <c r="N156" s="113">
        <v>0</v>
      </c>
      <c r="O156" s="113">
        <v>0</v>
      </c>
      <c r="P156" s="113">
        <v>0</v>
      </c>
    </row>
    <row r="157" spans="2:16" ht="13.9" customHeight="1" outlineLevel="1" x14ac:dyDescent="0.25">
      <c r="B157" s="149"/>
      <c r="C157" s="150" t="s">
        <v>33</v>
      </c>
      <c r="D157" s="85">
        <v>0</v>
      </c>
      <c r="E157" s="86">
        <v>0</v>
      </c>
      <c r="F157" s="142">
        <f t="shared" si="15"/>
        <v>0</v>
      </c>
      <c r="G157" s="113">
        <v>0</v>
      </c>
      <c r="H157" s="86">
        <v>0</v>
      </c>
      <c r="I157" s="113">
        <v>0</v>
      </c>
      <c r="J157" s="114">
        <f t="shared" si="16"/>
        <v>0</v>
      </c>
      <c r="K157" s="113">
        <f t="shared" si="17"/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</row>
    <row r="158" spans="2:16" ht="13.9" customHeight="1" outlineLevel="1" x14ac:dyDescent="0.25">
      <c r="B158" s="149"/>
      <c r="C158" s="150" t="s">
        <v>34</v>
      </c>
      <c r="D158" s="85">
        <v>0</v>
      </c>
      <c r="E158" s="86">
        <v>0</v>
      </c>
      <c r="F158" s="142">
        <f t="shared" si="15"/>
        <v>0</v>
      </c>
      <c r="G158" s="113">
        <v>0</v>
      </c>
      <c r="H158" s="86">
        <v>0</v>
      </c>
      <c r="I158" s="113">
        <v>0</v>
      </c>
      <c r="J158" s="114">
        <f t="shared" si="16"/>
        <v>0</v>
      </c>
      <c r="K158" s="113">
        <f t="shared" si="17"/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</row>
    <row r="159" spans="2:16" ht="13.9" customHeight="1" outlineLevel="1" x14ac:dyDescent="0.25">
      <c r="B159" s="149"/>
      <c r="C159" s="150" t="s">
        <v>35</v>
      </c>
      <c r="D159" s="85">
        <v>0</v>
      </c>
      <c r="E159" s="86">
        <v>0</v>
      </c>
      <c r="F159" s="142">
        <f t="shared" si="15"/>
        <v>0</v>
      </c>
      <c r="G159" s="113">
        <v>0</v>
      </c>
      <c r="H159" s="86">
        <v>0</v>
      </c>
      <c r="I159" s="113">
        <v>0</v>
      </c>
      <c r="J159" s="114">
        <f t="shared" si="16"/>
        <v>0</v>
      </c>
      <c r="K159" s="113">
        <f t="shared" si="17"/>
        <v>0</v>
      </c>
      <c r="L159" s="113">
        <v>0</v>
      </c>
      <c r="M159" s="113">
        <v>0</v>
      </c>
      <c r="N159" s="113">
        <v>0</v>
      </c>
      <c r="O159" s="113">
        <v>0</v>
      </c>
      <c r="P159" s="113">
        <v>0</v>
      </c>
    </row>
    <row r="160" spans="2:16" ht="13.9" customHeight="1" outlineLevel="1" x14ac:dyDescent="0.25">
      <c r="B160" s="149"/>
      <c r="C160" s="150" t="s">
        <v>36</v>
      </c>
      <c r="D160" s="85">
        <v>1</v>
      </c>
      <c r="E160" s="86">
        <v>9937880</v>
      </c>
      <c r="F160" s="142">
        <f t="shared" si="15"/>
        <v>1987576</v>
      </c>
      <c r="G160" s="113">
        <v>1843788</v>
      </c>
      <c r="H160" s="86">
        <v>8094092</v>
      </c>
      <c r="I160" s="113">
        <v>143788</v>
      </c>
      <c r="J160" s="114">
        <f t="shared" si="16"/>
        <v>7950304</v>
      </c>
      <c r="K160" s="113">
        <f t="shared" si="17"/>
        <v>993788</v>
      </c>
      <c r="L160" s="113">
        <v>1987576</v>
      </c>
      <c r="M160" s="113">
        <v>4968940</v>
      </c>
      <c r="N160" s="113">
        <v>0</v>
      </c>
      <c r="O160" s="113">
        <v>0</v>
      </c>
      <c r="P160" s="113">
        <v>0</v>
      </c>
    </row>
    <row r="161" spans="2:16" ht="13.9" customHeight="1" outlineLevel="1" x14ac:dyDescent="0.25">
      <c r="B161" s="149"/>
      <c r="C161" s="150" t="s">
        <v>37</v>
      </c>
      <c r="D161" s="85">
        <v>0</v>
      </c>
      <c r="E161" s="86">
        <v>0</v>
      </c>
      <c r="F161" s="142">
        <f t="shared" si="15"/>
        <v>0</v>
      </c>
      <c r="G161" s="113">
        <v>0</v>
      </c>
      <c r="H161" s="86">
        <v>0</v>
      </c>
      <c r="I161" s="113">
        <v>0</v>
      </c>
      <c r="J161" s="114">
        <f t="shared" si="16"/>
        <v>0</v>
      </c>
      <c r="K161" s="113">
        <f t="shared" si="17"/>
        <v>0</v>
      </c>
      <c r="L161" s="113">
        <v>0</v>
      </c>
      <c r="M161" s="113">
        <v>0</v>
      </c>
      <c r="N161" s="113">
        <v>0</v>
      </c>
      <c r="O161" s="113">
        <v>0</v>
      </c>
      <c r="P161" s="113">
        <v>0</v>
      </c>
    </row>
    <row r="162" spans="2:16" ht="13.9" customHeight="1" outlineLevel="1" x14ac:dyDescent="0.25">
      <c r="B162" s="149"/>
      <c r="C162" s="150" t="s">
        <v>38</v>
      </c>
      <c r="D162" s="85">
        <v>0</v>
      </c>
      <c r="E162" s="86">
        <v>0</v>
      </c>
      <c r="F162" s="142">
        <f t="shared" si="15"/>
        <v>0</v>
      </c>
      <c r="G162" s="113">
        <v>0</v>
      </c>
      <c r="H162" s="86">
        <v>0</v>
      </c>
      <c r="I162" s="113">
        <v>0</v>
      </c>
      <c r="J162" s="114">
        <f t="shared" si="16"/>
        <v>0</v>
      </c>
      <c r="K162" s="113">
        <f t="shared" si="17"/>
        <v>0</v>
      </c>
      <c r="L162" s="113">
        <v>0</v>
      </c>
      <c r="M162" s="113">
        <v>0</v>
      </c>
      <c r="N162" s="113">
        <v>0</v>
      </c>
      <c r="O162" s="113">
        <v>0</v>
      </c>
      <c r="P162" s="113">
        <v>0</v>
      </c>
    </row>
    <row r="163" spans="2:16" ht="13.9" customHeight="1" outlineLevel="1" x14ac:dyDescent="0.25">
      <c r="B163" s="149"/>
      <c r="C163" s="150" t="s">
        <v>39</v>
      </c>
      <c r="D163" s="85">
        <v>0</v>
      </c>
      <c r="E163" s="86">
        <v>0</v>
      </c>
      <c r="F163" s="142">
        <f t="shared" si="15"/>
        <v>0</v>
      </c>
      <c r="G163" s="113">
        <v>0</v>
      </c>
      <c r="H163" s="86">
        <v>0</v>
      </c>
      <c r="I163" s="113">
        <v>0</v>
      </c>
      <c r="J163" s="114">
        <f t="shared" si="16"/>
        <v>0</v>
      </c>
      <c r="K163" s="113">
        <f t="shared" si="17"/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</row>
    <row r="164" spans="2:16" ht="13.9" customHeight="1" outlineLevel="1" x14ac:dyDescent="0.25">
      <c r="B164" s="149"/>
      <c r="C164" s="150" t="s">
        <v>40</v>
      </c>
      <c r="D164" s="85">
        <v>2</v>
      </c>
      <c r="E164" s="86">
        <v>54495975</v>
      </c>
      <c r="F164" s="142">
        <f t="shared" si="15"/>
        <v>16348792.5</v>
      </c>
      <c r="G164" s="113">
        <v>8156584.6399999997</v>
      </c>
      <c r="H164" s="86">
        <v>46339390.359999999</v>
      </c>
      <c r="I164" s="113">
        <v>8192207.8599999994</v>
      </c>
      <c r="J164" s="114">
        <f t="shared" si="16"/>
        <v>38147182.5</v>
      </c>
      <c r="K164" s="113">
        <f t="shared" si="17"/>
        <v>13642356.600000001</v>
      </c>
      <c r="L164" s="113">
        <v>24504825.899999999</v>
      </c>
      <c r="M164" s="113">
        <v>0</v>
      </c>
      <c r="N164" s="113">
        <v>0</v>
      </c>
      <c r="O164" s="113">
        <v>0</v>
      </c>
      <c r="P164" s="113">
        <v>0</v>
      </c>
    </row>
    <row r="165" spans="2:16" ht="13.9" customHeight="1" outlineLevel="1" x14ac:dyDescent="0.25">
      <c r="B165" s="149"/>
      <c r="C165" s="150" t="s">
        <v>41</v>
      </c>
      <c r="D165" s="85">
        <v>0</v>
      </c>
      <c r="E165" s="86">
        <v>0</v>
      </c>
      <c r="F165" s="142">
        <f t="shared" si="15"/>
        <v>0</v>
      </c>
      <c r="G165" s="113">
        <v>0</v>
      </c>
      <c r="H165" s="86">
        <v>0</v>
      </c>
      <c r="I165" s="113">
        <v>0</v>
      </c>
      <c r="J165" s="114">
        <f t="shared" si="16"/>
        <v>0</v>
      </c>
      <c r="K165" s="113">
        <f t="shared" si="17"/>
        <v>0</v>
      </c>
      <c r="L165" s="113">
        <v>0</v>
      </c>
      <c r="M165" s="113">
        <v>0</v>
      </c>
      <c r="N165" s="113">
        <v>0</v>
      </c>
      <c r="O165" s="113">
        <v>0</v>
      </c>
      <c r="P165" s="113">
        <v>0</v>
      </c>
    </row>
    <row r="166" spans="2:16" ht="13.9" customHeight="1" outlineLevel="1" x14ac:dyDescent="0.25">
      <c r="B166" s="149"/>
      <c r="C166" s="150" t="s">
        <v>42</v>
      </c>
      <c r="D166" s="85">
        <v>1</v>
      </c>
      <c r="E166" s="86">
        <v>1531307.4</v>
      </c>
      <c r="F166" s="142">
        <f t="shared" si="15"/>
        <v>459392.22</v>
      </c>
      <c r="G166" s="113">
        <v>153131</v>
      </c>
      <c r="H166" s="86">
        <v>1378176.4</v>
      </c>
      <c r="I166" s="113">
        <v>306261.21999999997</v>
      </c>
      <c r="J166" s="114">
        <f t="shared" si="16"/>
        <v>1071915.18</v>
      </c>
      <c r="K166" s="113">
        <f t="shared" si="17"/>
        <v>306261.48</v>
      </c>
      <c r="L166" s="113">
        <v>765653.7</v>
      </c>
      <c r="M166" s="113">
        <v>0</v>
      </c>
      <c r="N166" s="113">
        <v>0</v>
      </c>
      <c r="O166" s="113">
        <v>0</v>
      </c>
      <c r="P166" s="113">
        <v>0</v>
      </c>
    </row>
    <row r="167" spans="2:16" ht="13.9" customHeight="1" outlineLevel="1" x14ac:dyDescent="0.25">
      <c r="B167" s="149"/>
      <c r="C167" s="150" t="s">
        <v>43</v>
      </c>
      <c r="D167" s="85">
        <v>3</v>
      </c>
      <c r="E167" s="86">
        <v>14752807</v>
      </c>
      <c r="F167" s="142">
        <f t="shared" si="15"/>
        <v>5901122.8000000007</v>
      </c>
      <c r="G167" s="113">
        <v>1475281</v>
      </c>
      <c r="H167" s="86">
        <v>13277526</v>
      </c>
      <c r="I167" s="113">
        <v>4425841.8000000007</v>
      </c>
      <c r="J167" s="114">
        <f t="shared" si="16"/>
        <v>8851684.1999999993</v>
      </c>
      <c r="K167" s="113">
        <f t="shared" si="17"/>
        <v>8851684.1999999993</v>
      </c>
      <c r="L167" s="113">
        <v>0</v>
      </c>
      <c r="M167" s="113">
        <v>0</v>
      </c>
      <c r="N167" s="113">
        <v>0</v>
      </c>
      <c r="O167" s="113">
        <v>0</v>
      </c>
      <c r="P167" s="113">
        <v>0</v>
      </c>
    </row>
    <row r="168" spans="2:16" ht="13.9" customHeight="1" outlineLevel="1" x14ac:dyDescent="0.25">
      <c r="B168" s="149"/>
      <c r="C168" s="150" t="s">
        <v>44</v>
      </c>
      <c r="D168" s="85">
        <v>4</v>
      </c>
      <c r="E168" s="86">
        <v>13981249.450000001</v>
      </c>
      <c r="F168" s="142">
        <f t="shared" si="15"/>
        <v>4194374.88</v>
      </c>
      <c r="G168" s="113">
        <v>1399848</v>
      </c>
      <c r="H168" s="86">
        <v>12581401.450000001</v>
      </c>
      <c r="I168" s="113">
        <v>2794526.88</v>
      </c>
      <c r="J168" s="114">
        <f t="shared" si="16"/>
        <v>9786874.5700000003</v>
      </c>
      <c r="K168" s="113">
        <f t="shared" si="17"/>
        <v>1398124.870000001</v>
      </c>
      <c r="L168" s="113">
        <v>2796249.92</v>
      </c>
      <c r="M168" s="113">
        <v>5592499.7800000003</v>
      </c>
      <c r="N168" s="113">
        <v>0</v>
      </c>
      <c r="O168" s="113">
        <v>0</v>
      </c>
      <c r="P168" s="113">
        <v>0</v>
      </c>
    </row>
    <row r="169" spans="2:16" ht="13.9" customHeight="1" outlineLevel="1" x14ac:dyDescent="0.25">
      <c r="B169" s="149"/>
      <c r="C169" s="150" t="s">
        <v>45</v>
      </c>
      <c r="D169" s="85">
        <v>12</v>
      </c>
      <c r="E169" s="86">
        <v>32812828</v>
      </c>
      <c r="F169" s="142">
        <f t="shared" si="15"/>
        <v>3302308.0500000003</v>
      </c>
      <c r="G169" s="113">
        <v>3297529.49</v>
      </c>
      <c r="H169" s="86">
        <v>29515298.510000005</v>
      </c>
      <c r="I169" s="113">
        <v>4778.5600000000004</v>
      </c>
      <c r="J169" s="114">
        <f t="shared" si="16"/>
        <v>29510519.950000007</v>
      </c>
      <c r="K169" s="113">
        <f t="shared" si="17"/>
        <v>3260257.5100000054</v>
      </c>
      <c r="L169" s="113">
        <v>3281282.8200000003</v>
      </c>
      <c r="M169" s="113">
        <v>3281282.8200000003</v>
      </c>
      <c r="N169" s="113">
        <v>0</v>
      </c>
      <c r="O169" s="113">
        <v>19687696.800000001</v>
      </c>
      <c r="P169" s="113">
        <v>0</v>
      </c>
    </row>
    <row r="170" spans="2:16" ht="13.9" customHeight="1" outlineLevel="1" x14ac:dyDescent="0.25">
      <c r="B170" s="149"/>
      <c r="C170" s="150" t="s">
        <v>46</v>
      </c>
      <c r="D170" s="85">
        <v>2</v>
      </c>
      <c r="E170" s="86">
        <v>25724205</v>
      </c>
      <c r="F170" s="142">
        <f t="shared" si="15"/>
        <v>2705081.68</v>
      </c>
      <c r="G170" s="113">
        <v>2705081.5</v>
      </c>
      <c r="H170" s="86">
        <v>23019123.5</v>
      </c>
      <c r="I170" s="113">
        <v>0.18</v>
      </c>
      <c r="J170" s="114">
        <f t="shared" si="16"/>
        <v>23019123.32</v>
      </c>
      <c r="K170" s="113">
        <f t="shared" si="17"/>
        <v>1410791.0999999978</v>
      </c>
      <c r="L170" s="113">
        <v>5402083.0600000005</v>
      </c>
      <c r="M170" s="113">
        <v>2701041.5300000003</v>
      </c>
      <c r="N170" s="113">
        <v>2701041.5300000003</v>
      </c>
      <c r="O170" s="113">
        <v>10804166.100000001</v>
      </c>
      <c r="P170" s="113">
        <v>0</v>
      </c>
    </row>
    <row r="171" spans="2:16" ht="13.9" customHeight="1" outlineLevel="1" x14ac:dyDescent="0.25">
      <c r="B171" s="149"/>
      <c r="C171" s="150" t="s">
        <v>47</v>
      </c>
      <c r="D171" s="85">
        <v>0</v>
      </c>
      <c r="E171" s="86">
        <v>0</v>
      </c>
      <c r="F171" s="142">
        <f t="shared" si="15"/>
        <v>0</v>
      </c>
      <c r="G171" s="113">
        <v>0</v>
      </c>
      <c r="H171" s="86">
        <v>0</v>
      </c>
      <c r="I171" s="113">
        <v>0</v>
      </c>
      <c r="J171" s="114">
        <f t="shared" si="16"/>
        <v>0</v>
      </c>
      <c r="K171" s="113">
        <f t="shared" si="17"/>
        <v>0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</row>
    <row r="172" spans="2:16" ht="13.9" customHeight="1" outlineLevel="1" x14ac:dyDescent="0.25">
      <c r="B172" s="149"/>
      <c r="C172" s="150" t="s">
        <v>48</v>
      </c>
      <c r="D172" s="85">
        <v>0</v>
      </c>
      <c r="E172" s="86">
        <v>0</v>
      </c>
      <c r="F172" s="142">
        <f t="shared" si="15"/>
        <v>0</v>
      </c>
      <c r="G172" s="113">
        <v>0</v>
      </c>
      <c r="H172" s="86">
        <v>0</v>
      </c>
      <c r="I172" s="113">
        <v>0</v>
      </c>
      <c r="J172" s="114">
        <f t="shared" si="16"/>
        <v>0</v>
      </c>
      <c r="K172" s="113">
        <f t="shared" si="17"/>
        <v>0</v>
      </c>
      <c r="L172" s="113">
        <v>0</v>
      </c>
      <c r="M172" s="113">
        <v>0</v>
      </c>
      <c r="N172" s="113">
        <v>0</v>
      </c>
      <c r="O172" s="113">
        <v>0</v>
      </c>
      <c r="P172" s="113">
        <v>0</v>
      </c>
    </row>
    <row r="173" spans="2:16" ht="13.9" customHeight="1" outlineLevel="1" x14ac:dyDescent="0.25">
      <c r="B173" s="149"/>
      <c r="C173" s="150" t="s">
        <v>49</v>
      </c>
      <c r="D173" s="85">
        <v>1</v>
      </c>
      <c r="E173" s="86">
        <v>10109297.640000001</v>
      </c>
      <c r="F173" s="142">
        <f t="shared" si="15"/>
        <v>6065578.6200000001</v>
      </c>
      <c r="G173" s="113">
        <v>1010930</v>
      </c>
      <c r="H173" s="86">
        <v>9098367.6400000006</v>
      </c>
      <c r="I173" s="113">
        <v>5054648.62</v>
      </c>
      <c r="J173" s="114">
        <f t="shared" si="16"/>
        <v>4043719.0200000005</v>
      </c>
      <c r="K173" s="113">
        <f t="shared" si="17"/>
        <v>4043719.0200000005</v>
      </c>
      <c r="L173" s="113">
        <v>0</v>
      </c>
      <c r="M173" s="113">
        <v>0</v>
      </c>
      <c r="N173" s="113">
        <v>0</v>
      </c>
      <c r="O173" s="113">
        <v>0</v>
      </c>
      <c r="P173" s="113">
        <v>0</v>
      </c>
    </row>
    <row r="174" spans="2:16" ht="13.9" customHeight="1" outlineLevel="1" x14ac:dyDescent="0.25">
      <c r="B174" s="149"/>
      <c r="C174" s="150" t="s">
        <v>50</v>
      </c>
      <c r="D174" s="85">
        <v>5</v>
      </c>
      <c r="E174" s="86">
        <v>40430415.5</v>
      </c>
      <c r="F174" s="142">
        <f t="shared" si="15"/>
        <v>8086083.5</v>
      </c>
      <c r="G174" s="113">
        <v>8084934</v>
      </c>
      <c r="H174" s="86">
        <v>32345481.5</v>
      </c>
      <c r="I174" s="113">
        <v>1149.5000000000002</v>
      </c>
      <c r="J174" s="114">
        <f t="shared" si="16"/>
        <v>32344332</v>
      </c>
      <c r="K174" s="113">
        <f t="shared" si="17"/>
        <v>4043041.1499999985</v>
      </c>
      <c r="L174" s="113">
        <v>4043041.5500000003</v>
      </c>
      <c r="M174" s="113">
        <v>4043041.5500000003</v>
      </c>
      <c r="N174" s="113">
        <v>4043041.5500000003</v>
      </c>
      <c r="O174" s="113">
        <v>4043041.5500000003</v>
      </c>
      <c r="P174" s="113">
        <v>12129124.65</v>
      </c>
    </row>
    <row r="175" spans="2:16" ht="13.9" customHeight="1" outlineLevel="1" x14ac:dyDescent="0.25">
      <c r="B175" s="149"/>
      <c r="C175" s="150" t="s">
        <v>51</v>
      </c>
      <c r="D175" s="85">
        <v>0</v>
      </c>
      <c r="E175" s="86">
        <v>0</v>
      </c>
      <c r="F175" s="142">
        <f t="shared" si="15"/>
        <v>0</v>
      </c>
      <c r="G175" s="113">
        <v>0</v>
      </c>
      <c r="H175" s="86">
        <v>0</v>
      </c>
      <c r="I175" s="113">
        <v>0</v>
      </c>
      <c r="J175" s="114">
        <f t="shared" si="16"/>
        <v>0</v>
      </c>
      <c r="K175" s="113">
        <f t="shared" si="17"/>
        <v>0</v>
      </c>
      <c r="L175" s="113">
        <v>0</v>
      </c>
      <c r="M175" s="113">
        <v>0</v>
      </c>
      <c r="N175" s="113">
        <v>0</v>
      </c>
      <c r="O175" s="113">
        <v>0</v>
      </c>
      <c r="P175" s="113">
        <v>0</v>
      </c>
    </row>
    <row r="176" spans="2:16" ht="13.9" customHeight="1" outlineLevel="1" x14ac:dyDescent="0.25">
      <c r="B176" s="149"/>
      <c r="C176" s="150" t="s">
        <v>52</v>
      </c>
      <c r="D176" s="85">
        <v>1</v>
      </c>
      <c r="E176" s="86">
        <v>3612040.05</v>
      </c>
      <c r="F176" s="142">
        <f t="shared" si="15"/>
        <v>722408.02</v>
      </c>
      <c r="G176" s="113">
        <v>722384</v>
      </c>
      <c r="H176" s="86">
        <v>2889656.05</v>
      </c>
      <c r="I176" s="113">
        <v>24.02</v>
      </c>
      <c r="J176" s="114">
        <f t="shared" si="16"/>
        <v>2889632.03</v>
      </c>
      <c r="K176" s="113">
        <f t="shared" si="17"/>
        <v>361203.98</v>
      </c>
      <c r="L176" s="113">
        <v>361204.01</v>
      </c>
      <c r="M176" s="113">
        <v>361204.01</v>
      </c>
      <c r="N176" s="113">
        <v>1806020.03</v>
      </c>
      <c r="O176" s="113">
        <v>0</v>
      </c>
      <c r="P176" s="113">
        <v>0</v>
      </c>
    </row>
    <row r="177" spans="2:16" ht="13.9" customHeight="1" outlineLevel="1" x14ac:dyDescent="0.25">
      <c r="B177" s="149"/>
      <c r="C177" s="150" t="s">
        <v>53</v>
      </c>
      <c r="D177" s="85">
        <v>1</v>
      </c>
      <c r="E177" s="86">
        <v>5018341.3499999996</v>
      </c>
      <c r="F177" s="142">
        <f t="shared" si="15"/>
        <v>1003668.27</v>
      </c>
      <c r="G177" s="113">
        <v>1003668</v>
      </c>
      <c r="H177" s="86">
        <v>4014673.3499999996</v>
      </c>
      <c r="I177" s="113">
        <v>0.27</v>
      </c>
      <c r="J177" s="114">
        <f t="shared" si="16"/>
        <v>4014673.0799999996</v>
      </c>
      <c r="K177" s="113">
        <f t="shared" si="17"/>
        <v>0</v>
      </c>
      <c r="L177" s="113">
        <v>1003668.28</v>
      </c>
      <c r="M177" s="113">
        <v>3011004.82</v>
      </c>
      <c r="N177" s="113">
        <v>0</v>
      </c>
      <c r="O177" s="113">
        <v>0</v>
      </c>
      <c r="P177" s="113">
        <v>0</v>
      </c>
    </row>
    <row r="178" spans="2:16" ht="13.9" customHeight="1" outlineLevel="1" x14ac:dyDescent="0.25">
      <c r="B178" s="149"/>
      <c r="C178" s="150" t="s">
        <v>54</v>
      </c>
      <c r="D178" s="85">
        <v>7</v>
      </c>
      <c r="E178" s="86">
        <v>24154390.949999999</v>
      </c>
      <c r="F178" s="142">
        <f t="shared" si="15"/>
        <v>4830878.2</v>
      </c>
      <c r="G178" s="113">
        <v>4826935.04</v>
      </c>
      <c r="H178" s="86">
        <v>19327455.91</v>
      </c>
      <c r="I178" s="113">
        <v>3943.1599999999994</v>
      </c>
      <c r="J178" s="114">
        <f t="shared" si="16"/>
        <v>19323512.75</v>
      </c>
      <c r="K178" s="113">
        <f t="shared" si="17"/>
        <v>2415439.0700000003</v>
      </c>
      <c r="L178" s="113">
        <v>2415439.1</v>
      </c>
      <c r="M178" s="113">
        <v>4830878.2</v>
      </c>
      <c r="N178" s="113">
        <v>9661756.379999999</v>
      </c>
      <c r="O178" s="113">
        <v>0</v>
      </c>
      <c r="P178" s="113">
        <v>0</v>
      </c>
    </row>
    <row r="179" spans="2:16" ht="13.9" customHeight="1" outlineLevel="1" x14ac:dyDescent="0.25">
      <c r="B179" s="149"/>
      <c r="C179" s="150" t="s">
        <v>55</v>
      </c>
      <c r="D179" s="85">
        <v>1</v>
      </c>
      <c r="E179" s="86">
        <v>5770991</v>
      </c>
      <c r="F179" s="142">
        <f t="shared" si="15"/>
        <v>1154198.2</v>
      </c>
      <c r="G179" s="113">
        <v>1154198</v>
      </c>
      <c r="H179" s="86">
        <v>4616793</v>
      </c>
      <c r="I179" s="113">
        <v>0.2</v>
      </c>
      <c r="J179" s="114">
        <f t="shared" si="16"/>
        <v>4616792.8</v>
      </c>
      <c r="K179" s="113">
        <f t="shared" si="17"/>
        <v>0</v>
      </c>
      <c r="L179" s="113">
        <v>577099.1</v>
      </c>
      <c r="M179" s="113">
        <v>577099.1</v>
      </c>
      <c r="N179" s="113">
        <v>1154198.2</v>
      </c>
      <c r="O179" s="113">
        <v>2308396.4</v>
      </c>
      <c r="P179" s="113">
        <v>0</v>
      </c>
    </row>
    <row r="180" spans="2:16" ht="13.9" customHeight="1" outlineLevel="1" x14ac:dyDescent="0.25">
      <c r="B180" s="149"/>
      <c r="C180" s="150" t="s">
        <v>56</v>
      </c>
      <c r="D180" s="85">
        <v>0</v>
      </c>
      <c r="E180" s="86">
        <v>0</v>
      </c>
      <c r="F180" s="142">
        <f t="shared" si="15"/>
        <v>0</v>
      </c>
      <c r="G180" s="113">
        <v>0</v>
      </c>
      <c r="H180" s="86">
        <v>0</v>
      </c>
      <c r="I180" s="113">
        <v>0</v>
      </c>
      <c r="J180" s="114">
        <f t="shared" si="16"/>
        <v>0</v>
      </c>
      <c r="K180" s="113">
        <f t="shared" si="17"/>
        <v>0</v>
      </c>
      <c r="L180" s="113">
        <v>0</v>
      </c>
      <c r="M180" s="113">
        <v>0</v>
      </c>
      <c r="N180" s="113">
        <v>0</v>
      </c>
      <c r="O180" s="113">
        <v>0</v>
      </c>
      <c r="P180" s="113">
        <v>0</v>
      </c>
    </row>
    <row r="181" spans="2:16" ht="13.9" customHeight="1" outlineLevel="1" x14ac:dyDescent="0.25">
      <c r="B181" s="149"/>
      <c r="C181" s="150" t="s">
        <v>57</v>
      </c>
      <c r="D181" s="85">
        <v>0</v>
      </c>
      <c r="E181" s="86">
        <v>0</v>
      </c>
      <c r="F181" s="142">
        <f t="shared" si="15"/>
        <v>0</v>
      </c>
      <c r="G181" s="113">
        <v>0</v>
      </c>
      <c r="H181" s="86">
        <v>0</v>
      </c>
      <c r="I181" s="113">
        <v>0</v>
      </c>
      <c r="J181" s="114">
        <f t="shared" si="16"/>
        <v>0</v>
      </c>
      <c r="K181" s="113">
        <f t="shared" si="17"/>
        <v>0</v>
      </c>
      <c r="L181" s="113">
        <v>0</v>
      </c>
      <c r="M181" s="113">
        <v>0</v>
      </c>
      <c r="N181" s="113">
        <v>0</v>
      </c>
      <c r="O181" s="113">
        <v>0</v>
      </c>
      <c r="P181" s="113">
        <v>0</v>
      </c>
    </row>
    <row r="182" spans="2:16" ht="13.9" customHeight="1" outlineLevel="1" x14ac:dyDescent="0.25">
      <c r="B182" s="149"/>
      <c r="C182" s="150" t="s">
        <v>58</v>
      </c>
      <c r="D182" s="85">
        <v>0</v>
      </c>
      <c r="E182" s="86">
        <v>0</v>
      </c>
      <c r="F182" s="142">
        <f t="shared" si="15"/>
        <v>0</v>
      </c>
      <c r="G182" s="113">
        <v>0</v>
      </c>
      <c r="H182" s="86">
        <v>0</v>
      </c>
      <c r="I182" s="113">
        <v>0</v>
      </c>
      <c r="J182" s="114">
        <f t="shared" si="16"/>
        <v>0</v>
      </c>
      <c r="K182" s="113">
        <f t="shared" si="17"/>
        <v>0</v>
      </c>
      <c r="L182" s="113">
        <v>0</v>
      </c>
      <c r="M182" s="113">
        <v>0</v>
      </c>
      <c r="N182" s="113">
        <v>0</v>
      </c>
      <c r="O182" s="113">
        <v>0</v>
      </c>
      <c r="P182" s="113">
        <v>0</v>
      </c>
    </row>
    <row r="183" spans="2:16" ht="13.9" customHeight="1" outlineLevel="1" x14ac:dyDescent="0.25">
      <c r="B183" s="149"/>
      <c r="C183" s="150" t="s">
        <v>59</v>
      </c>
      <c r="D183" s="85">
        <v>0</v>
      </c>
      <c r="E183" s="86">
        <v>0</v>
      </c>
      <c r="F183" s="142">
        <f t="shared" si="15"/>
        <v>0</v>
      </c>
      <c r="G183" s="113">
        <v>0</v>
      </c>
      <c r="H183" s="86">
        <v>0</v>
      </c>
      <c r="I183" s="113">
        <v>0</v>
      </c>
      <c r="J183" s="114">
        <f t="shared" si="16"/>
        <v>0</v>
      </c>
      <c r="K183" s="113">
        <f t="shared" si="17"/>
        <v>0</v>
      </c>
      <c r="L183" s="113">
        <v>0</v>
      </c>
      <c r="M183" s="113">
        <v>0</v>
      </c>
      <c r="N183" s="113">
        <v>0</v>
      </c>
      <c r="O183" s="113">
        <v>0</v>
      </c>
      <c r="P183" s="113">
        <v>0</v>
      </c>
    </row>
    <row r="184" spans="2:16" ht="13.9" customHeight="1" outlineLevel="1" x14ac:dyDescent="0.25">
      <c r="B184" s="149"/>
      <c r="C184" s="150" t="s">
        <v>60</v>
      </c>
      <c r="D184" s="85">
        <v>1</v>
      </c>
      <c r="E184" s="86">
        <v>5831408</v>
      </c>
      <c r="F184" s="142">
        <f t="shared" si="15"/>
        <v>583141</v>
      </c>
      <c r="G184" s="113">
        <v>583141</v>
      </c>
      <c r="H184" s="86">
        <v>5248267</v>
      </c>
      <c r="I184" s="113">
        <v>0</v>
      </c>
      <c r="J184" s="114">
        <f t="shared" si="16"/>
        <v>5248267</v>
      </c>
      <c r="K184" s="113">
        <f t="shared" si="17"/>
        <v>1166281.3999999994</v>
      </c>
      <c r="L184" s="113">
        <v>583140.80000000005</v>
      </c>
      <c r="M184" s="113">
        <v>1166281.6000000001</v>
      </c>
      <c r="N184" s="113">
        <v>2332563.2000000002</v>
      </c>
      <c r="O184" s="113">
        <v>0</v>
      </c>
      <c r="P184" s="113">
        <v>0</v>
      </c>
    </row>
    <row r="185" spans="2:16" ht="13.9" customHeight="1" outlineLevel="1" x14ac:dyDescent="0.25">
      <c r="B185" s="149"/>
      <c r="C185" s="150" t="s">
        <v>61</v>
      </c>
      <c r="D185" s="85">
        <v>2</v>
      </c>
      <c r="E185" s="86">
        <v>9735141</v>
      </c>
      <c r="F185" s="142">
        <f t="shared" si="15"/>
        <v>1531078.18</v>
      </c>
      <c r="G185" s="113">
        <v>1531078.18</v>
      </c>
      <c r="H185" s="86">
        <v>8204062.8200000003</v>
      </c>
      <c r="I185" s="113">
        <v>0</v>
      </c>
      <c r="J185" s="114">
        <f t="shared" si="16"/>
        <v>8204062.8200000003</v>
      </c>
      <c r="K185" s="113">
        <f t="shared" si="17"/>
        <v>1389464.120000001</v>
      </c>
      <c r="L185" s="113">
        <v>973514.1</v>
      </c>
      <c r="M185" s="113">
        <v>1947028.2</v>
      </c>
      <c r="N185" s="113">
        <v>3894056.4</v>
      </c>
      <c r="O185" s="113">
        <v>0</v>
      </c>
      <c r="P185" s="113">
        <v>0</v>
      </c>
    </row>
    <row r="186" spans="2:16" ht="13.9" customHeight="1" outlineLevel="1" x14ac:dyDescent="0.25">
      <c r="B186" s="149"/>
      <c r="C186" s="150" t="s">
        <v>62</v>
      </c>
      <c r="D186" s="85">
        <v>1</v>
      </c>
      <c r="E186" s="86">
        <v>9565393.5</v>
      </c>
      <c r="F186" s="142">
        <f t="shared" si="15"/>
        <v>1913078.7</v>
      </c>
      <c r="G186" s="113">
        <v>1913078</v>
      </c>
      <c r="H186" s="86">
        <v>7652315.5</v>
      </c>
      <c r="I186" s="113">
        <v>0.7</v>
      </c>
      <c r="J186" s="114">
        <f t="shared" si="16"/>
        <v>7652314.7999999998</v>
      </c>
      <c r="K186" s="113">
        <f t="shared" si="17"/>
        <v>956539.35000000056</v>
      </c>
      <c r="L186" s="113">
        <v>956539.35</v>
      </c>
      <c r="M186" s="113">
        <v>1913078.7</v>
      </c>
      <c r="N186" s="113">
        <v>3826157.4</v>
      </c>
      <c r="O186" s="113">
        <v>0</v>
      </c>
      <c r="P186" s="113">
        <v>0</v>
      </c>
    </row>
    <row r="187" spans="2:16" ht="13.9" customHeight="1" outlineLevel="1" x14ac:dyDescent="0.25">
      <c r="B187" s="149"/>
      <c r="C187" s="150" t="s">
        <v>63</v>
      </c>
      <c r="D187" s="85">
        <v>0</v>
      </c>
      <c r="E187" s="86">
        <v>0</v>
      </c>
      <c r="F187" s="142">
        <f t="shared" si="15"/>
        <v>0</v>
      </c>
      <c r="G187" s="113">
        <v>0</v>
      </c>
      <c r="H187" s="86">
        <v>0</v>
      </c>
      <c r="I187" s="113">
        <v>0</v>
      </c>
      <c r="J187" s="114">
        <f t="shared" si="16"/>
        <v>0</v>
      </c>
      <c r="K187" s="113">
        <f t="shared" si="17"/>
        <v>0</v>
      </c>
      <c r="L187" s="113">
        <v>0</v>
      </c>
      <c r="M187" s="113">
        <v>0</v>
      </c>
      <c r="N187" s="113">
        <v>0</v>
      </c>
      <c r="O187" s="113">
        <v>0</v>
      </c>
      <c r="P187" s="113">
        <v>0</v>
      </c>
    </row>
    <row r="188" spans="2:16" ht="13.9" customHeight="1" outlineLevel="1" x14ac:dyDescent="0.25">
      <c r="B188" s="149"/>
      <c r="C188" s="150" t="s">
        <v>64</v>
      </c>
      <c r="D188" s="85">
        <v>0</v>
      </c>
      <c r="E188" s="86">
        <v>0</v>
      </c>
      <c r="F188" s="142">
        <f t="shared" si="15"/>
        <v>0</v>
      </c>
      <c r="G188" s="113">
        <v>0</v>
      </c>
      <c r="H188" s="86">
        <v>0</v>
      </c>
      <c r="I188" s="113">
        <v>0</v>
      </c>
      <c r="J188" s="114">
        <f t="shared" si="16"/>
        <v>0</v>
      </c>
      <c r="K188" s="113">
        <f t="shared" si="17"/>
        <v>0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</row>
    <row r="189" spans="2:16" ht="13.9" customHeight="1" outlineLevel="1" x14ac:dyDescent="0.25">
      <c r="B189" s="149"/>
      <c r="C189" s="150" t="s">
        <v>65</v>
      </c>
      <c r="D189" s="85">
        <v>0</v>
      </c>
      <c r="E189" s="86">
        <v>0</v>
      </c>
      <c r="F189" s="142">
        <f t="shared" si="15"/>
        <v>0</v>
      </c>
      <c r="G189" s="113">
        <v>0</v>
      </c>
      <c r="H189" s="86">
        <v>0</v>
      </c>
      <c r="I189" s="113">
        <v>0</v>
      </c>
      <c r="J189" s="114">
        <f t="shared" si="16"/>
        <v>0</v>
      </c>
      <c r="K189" s="113">
        <f t="shared" si="17"/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</row>
    <row r="190" spans="2:16" ht="13.9" customHeight="1" outlineLevel="1" x14ac:dyDescent="0.25">
      <c r="B190" s="149"/>
      <c r="C190" s="150" t="s">
        <v>66</v>
      </c>
      <c r="D190" s="85">
        <v>0</v>
      </c>
      <c r="E190" s="86">
        <v>0</v>
      </c>
      <c r="F190" s="142">
        <f t="shared" si="15"/>
        <v>0</v>
      </c>
      <c r="G190" s="113">
        <v>0</v>
      </c>
      <c r="H190" s="86">
        <v>0</v>
      </c>
      <c r="I190" s="113">
        <v>0</v>
      </c>
      <c r="J190" s="114">
        <f t="shared" si="16"/>
        <v>0</v>
      </c>
      <c r="K190" s="113">
        <f t="shared" si="17"/>
        <v>0</v>
      </c>
      <c r="L190" s="113">
        <v>0</v>
      </c>
      <c r="M190" s="113">
        <v>0</v>
      </c>
      <c r="N190" s="113">
        <v>0</v>
      </c>
      <c r="O190" s="113">
        <v>0</v>
      </c>
      <c r="P190" s="113">
        <v>0</v>
      </c>
    </row>
    <row r="191" spans="2:16" ht="13.9" customHeight="1" outlineLevel="1" x14ac:dyDescent="0.25">
      <c r="B191" s="149"/>
      <c r="C191" s="150" t="s">
        <v>67</v>
      </c>
      <c r="D191" s="85">
        <v>7</v>
      </c>
      <c r="E191" s="86">
        <v>15101554</v>
      </c>
      <c r="F191" s="142">
        <f t="shared" si="15"/>
        <v>9060932.1600000001</v>
      </c>
      <c r="G191" s="113">
        <v>3006757.04</v>
      </c>
      <c r="H191" s="86">
        <v>12094796.959999997</v>
      </c>
      <c r="I191" s="113">
        <v>6054175.120000001</v>
      </c>
      <c r="J191" s="114">
        <f t="shared" si="16"/>
        <v>6040621.8399999961</v>
      </c>
      <c r="K191" s="113">
        <f t="shared" si="17"/>
        <v>6040621.8399999961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</row>
    <row r="192" spans="2:16" ht="13.9" customHeight="1" x14ac:dyDescent="0.25">
      <c r="B192" s="149"/>
      <c r="C192" s="148" t="s">
        <v>103</v>
      </c>
      <c r="D192" s="90">
        <f>SUM(D155:D191)</f>
        <v>52</v>
      </c>
      <c r="E192" s="91">
        <f t="shared" ref="E192:P192" si="18">SUM(E155:E191)</f>
        <v>282565224.84000003</v>
      </c>
      <c r="F192" s="92">
        <f t="shared" si="18"/>
        <v>69849692.980000019</v>
      </c>
      <c r="G192" s="93">
        <f t="shared" si="18"/>
        <v>42868346.890000001</v>
      </c>
      <c r="H192" s="90">
        <f t="shared" si="18"/>
        <v>239696877.95000002</v>
      </c>
      <c r="I192" s="91">
        <f t="shared" si="18"/>
        <v>26981346.09</v>
      </c>
      <c r="J192" s="92">
        <f t="shared" si="18"/>
        <v>212715531.86000004</v>
      </c>
      <c r="K192" s="93">
        <f t="shared" si="18"/>
        <v>50279573.689999998</v>
      </c>
      <c r="L192" s="90">
        <f t="shared" si="18"/>
        <v>49651317.689999998</v>
      </c>
      <c r="M192" s="91">
        <f t="shared" si="18"/>
        <v>34393380.31000001</v>
      </c>
      <c r="N192" s="90">
        <f t="shared" si="18"/>
        <v>29418834.689999994</v>
      </c>
      <c r="O192" s="91">
        <f t="shared" si="18"/>
        <v>36843300.850000001</v>
      </c>
      <c r="P192" s="91">
        <f t="shared" si="18"/>
        <v>12129124.65</v>
      </c>
    </row>
    <row r="193" spans="2:16" ht="13.9" customHeight="1" outlineLevel="1" x14ac:dyDescent="0.25">
      <c r="B193" s="149" t="s">
        <v>83</v>
      </c>
      <c r="C193" s="150" t="s">
        <v>70</v>
      </c>
      <c r="D193" s="85">
        <v>0</v>
      </c>
      <c r="E193" s="86">
        <v>0</v>
      </c>
      <c r="F193" s="142">
        <f t="shared" si="15"/>
        <v>0</v>
      </c>
      <c r="G193" s="113">
        <v>0</v>
      </c>
      <c r="H193" s="86">
        <v>0</v>
      </c>
      <c r="I193" s="113">
        <v>0</v>
      </c>
      <c r="J193" s="114">
        <f t="shared" si="16"/>
        <v>0</v>
      </c>
      <c r="K193" s="113">
        <f t="shared" si="17"/>
        <v>0</v>
      </c>
      <c r="L193" s="113">
        <v>0</v>
      </c>
      <c r="M193" s="113">
        <v>0</v>
      </c>
      <c r="N193" s="113">
        <v>0</v>
      </c>
      <c r="O193" s="113">
        <v>0</v>
      </c>
      <c r="P193" s="113">
        <v>0</v>
      </c>
    </row>
    <row r="194" spans="2:16" ht="13.9" customHeight="1" outlineLevel="1" x14ac:dyDescent="0.25">
      <c r="B194" s="149"/>
      <c r="C194" s="150" t="s">
        <v>71</v>
      </c>
      <c r="D194" s="85">
        <v>6</v>
      </c>
      <c r="E194" s="86">
        <v>85549110.75</v>
      </c>
      <c r="F194" s="142">
        <f t="shared" si="15"/>
        <v>18094886.460000001</v>
      </c>
      <c r="G194" s="113">
        <v>15299474.27</v>
      </c>
      <c r="H194" s="86">
        <v>70249636.480000004</v>
      </c>
      <c r="I194" s="113">
        <v>2795412.19</v>
      </c>
      <c r="J194" s="114">
        <f t="shared" si="16"/>
        <v>67454224.290000007</v>
      </c>
      <c r="K194" s="113">
        <f t="shared" si="17"/>
        <v>12486369.75</v>
      </c>
      <c r="L194" s="113">
        <v>26168416.16</v>
      </c>
      <c r="M194" s="113">
        <v>28799438.380000003</v>
      </c>
      <c r="N194" s="113">
        <v>0</v>
      </c>
      <c r="O194" s="113">
        <v>0</v>
      </c>
      <c r="P194" s="113">
        <v>0</v>
      </c>
    </row>
    <row r="195" spans="2:16" ht="13.9" customHeight="1" outlineLevel="1" x14ac:dyDescent="0.25">
      <c r="B195" s="149"/>
      <c r="C195" s="150" t="s">
        <v>72</v>
      </c>
      <c r="D195" s="85">
        <v>8</v>
      </c>
      <c r="E195" s="86">
        <v>14142742.789999999</v>
      </c>
      <c r="F195" s="142">
        <f t="shared" si="15"/>
        <v>2828548.59</v>
      </c>
      <c r="G195" s="113">
        <v>2828547.17</v>
      </c>
      <c r="H195" s="86">
        <v>11314195.619999999</v>
      </c>
      <c r="I195" s="113">
        <v>1.42</v>
      </c>
      <c r="J195" s="114">
        <f t="shared" si="16"/>
        <v>11314194.199999999</v>
      </c>
      <c r="K195" s="113">
        <f t="shared" si="17"/>
        <v>1414274.2499999981</v>
      </c>
      <c r="L195" s="113">
        <v>2828548.5400000005</v>
      </c>
      <c r="M195" s="113">
        <v>1414274.2800000003</v>
      </c>
      <c r="N195" s="113">
        <v>5657097.1300000008</v>
      </c>
      <c r="O195" s="113">
        <v>0</v>
      </c>
      <c r="P195" s="113">
        <v>0</v>
      </c>
    </row>
    <row r="196" spans="2:16" ht="13.9" customHeight="1" x14ac:dyDescent="0.25">
      <c r="B196" s="149"/>
      <c r="C196" s="148" t="s">
        <v>104</v>
      </c>
      <c r="D196" s="90">
        <f>SUM(D193:D195)</f>
        <v>14</v>
      </c>
      <c r="E196" s="91">
        <f t="shared" ref="E196:P196" si="19">SUM(E193:E195)</f>
        <v>99691853.539999992</v>
      </c>
      <c r="F196" s="92">
        <f t="shared" si="19"/>
        <v>20923435.050000001</v>
      </c>
      <c r="G196" s="93">
        <f t="shared" si="19"/>
        <v>18128021.439999998</v>
      </c>
      <c r="H196" s="90">
        <f t="shared" si="19"/>
        <v>81563832.100000009</v>
      </c>
      <c r="I196" s="91">
        <f t="shared" si="19"/>
        <v>2795413.61</v>
      </c>
      <c r="J196" s="92">
        <f t="shared" si="19"/>
        <v>78768418.49000001</v>
      </c>
      <c r="K196" s="93">
        <f t="shared" si="19"/>
        <v>13900643.999999998</v>
      </c>
      <c r="L196" s="90">
        <f t="shared" si="19"/>
        <v>28996964.699999999</v>
      </c>
      <c r="M196" s="91">
        <f t="shared" si="19"/>
        <v>30213712.660000004</v>
      </c>
      <c r="N196" s="90">
        <f t="shared" si="19"/>
        <v>5657097.1300000008</v>
      </c>
      <c r="O196" s="91">
        <f t="shared" si="19"/>
        <v>0</v>
      </c>
      <c r="P196" s="91">
        <f t="shared" si="19"/>
        <v>0</v>
      </c>
    </row>
    <row r="197" spans="2:16" ht="13.9" customHeight="1" outlineLevel="1" x14ac:dyDescent="0.25">
      <c r="B197" s="149" t="s">
        <v>105</v>
      </c>
      <c r="C197" s="150" t="s">
        <v>75</v>
      </c>
      <c r="D197" s="85">
        <v>0</v>
      </c>
      <c r="E197" s="86">
        <v>0</v>
      </c>
      <c r="F197" s="142">
        <f t="shared" si="15"/>
        <v>0</v>
      </c>
      <c r="G197" s="113">
        <v>0</v>
      </c>
      <c r="H197" s="86">
        <v>0</v>
      </c>
      <c r="I197" s="113">
        <v>0</v>
      </c>
      <c r="J197" s="114">
        <f t="shared" si="16"/>
        <v>0</v>
      </c>
      <c r="K197" s="113">
        <f t="shared" si="17"/>
        <v>0</v>
      </c>
      <c r="L197" s="113">
        <v>0</v>
      </c>
      <c r="M197" s="113">
        <v>0</v>
      </c>
      <c r="N197" s="113">
        <v>0</v>
      </c>
      <c r="O197" s="113">
        <v>0</v>
      </c>
      <c r="P197" s="113">
        <v>0</v>
      </c>
    </row>
    <row r="198" spans="2:16" ht="13.9" customHeight="1" outlineLevel="1" x14ac:dyDescent="0.25">
      <c r="B198" s="149"/>
      <c r="C198" s="150" t="s">
        <v>76</v>
      </c>
      <c r="D198" s="85">
        <v>0</v>
      </c>
      <c r="E198" s="86">
        <v>0</v>
      </c>
      <c r="F198" s="142">
        <f t="shared" si="15"/>
        <v>0</v>
      </c>
      <c r="G198" s="113">
        <v>0</v>
      </c>
      <c r="H198" s="86">
        <v>0</v>
      </c>
      <c r="I198" s="113">
        <v>0</v>
      </c>
      <c r="J198" s="114">
        <f t="shared" si="16"/>
        <v>0</v>
      </c>
      <c r="K198" s="113">
        <f t="shared" si="17"/>
        <v>0</v>
      </c>
      <c r="L198" s="113">
        <v>0</v>
      </c>
      <c r="M198" s="113">
        <v>0</v>
      </c>
      <c r="N198" s="113">
        <v>0</v>
      </c>
      <c r="O198" s="113">
        <v>0</v>
      </c>
      <c r="P198" s="113">
        <v>0</v>
      </c>
    </row>
    <row r="199" spans="2:16" ht="13.9" customHeight="1" x14ac:dyDescent="0.25">
      <c r="B199" s="149"/>
      <c r="C199" s="148" t="s">
        <v>106</v>
      </c>
      <c r="D199" s="90">
        <f>SUM(D197:D198)</f>
        <v>0</v>
      </c>
      <c r="E199" s="91">
        <f t="shared" ref="E199:P199" si="20">SUM(E197:E198)</f>
        <v>0</v>
      </c>
      <c r="F199" s="92">
        <f t="shared" si="20"/>
        <v>0</v>
      </c>
      <c r="G199" s="93">
        <f t="shared" si="20"/>
        <v>0</v>
      </c>
      <c r="H199" s="90">
        <f t="shared" si="20"/>
        <v>0</v>
      </c>
      <c r="I199" s="91">
        <f t="shared" si="20"/>
        <v>0</v>
      </c>
      <c r="J199" s="92">
        <f t="shared" si="20"/>
        <v>0</v>
      </c>
      <c r="K199" s="93">
        <f t="shared" si="20"/>
        <v>0</v>
      </c>
      <c r="L199" s="90">
        <f t="shared" si="20"/>
        <v>0</v>
      </c>
      <c r="M199" s="91">
        <f t="shared" si="20"/>
        <v>0</v>
      </c>
      <c r="N199" s="90">
        <f t="shared" si="20"/>
        <v>0</v>
      </c>
      <c r="O199" s="91">
        <f t="shared" si="20"/>
        <v>0</v>
      </c>
      <c r="P199" s="91">
        <f t="shared" si="20"/>
        <v>0</v>
      </c>
    </row>
    <row r="200" spans="2:16" ht="13.9" customHeight="1" x14ac:dyDescent="0.25">
      <c r="B200" s="155" t="s">
        <v>78</v>
      </c>
      <c r="C200" s="155"/>
      <c r="D200" s="90">
        <f>D192+D196+D199</f>
        <v>66</v>
      </c>
      <c r="E200" s="91">
        <f t="shared" ref="E200:P200" si="21">E192+E196+E199</f>
        <v>382257078.38</v>
      </c>
      <c r="F200" s="92">
        <f t="shared" si="21"/>
        <v>90773128.030000016</v>
      </c>
      <c r="G200" s="93">
        <f t="shared" si="21"/>
        <v>60996368.329999998</v>
      </c>
      <c r="H200" s="90">
        <f t="shared" si="21"/>
        <v>321260710.05000001</v>
      </c>
      <c r="I200" s="91">
        <f t="shared" si="21"/>
        <v>29776759.699999999</v>
      </c>
      <c r="J200" s="92">
        <f t="shared" si="21"/>
        <v>291483950.35000002</v>
      </c>
      <c r="K200" s="93">
        <f t="shared" si="21"/>
        <v>64180217.689999998</v>
      </c>
      <c r="L200" s="90">
        <f t="shared" si="21"/>
        <v>78648282.390000001</v>
      </c>
      <c r="M200" s="91">
        <f t="shared" si="21"/>
        <v>64607092.970000014</v>
      </c>
      <c r="N200" s="90">
        <f t="shared" si="21"/>
        <v>35075931.819999993</v>
      </c>
      <c r="O200" s="91">
        <f t="shared" si="21"/>
        <v>36843300.850000001</v>
      </c>
      <c r="P200" s="91">
        <f t="shared" si="21"/>
        <v>12129124.65</v>
      </c>
    </row>
    <row r="201" spans="2:16" ht="13.9" customHeight="1" x14ac:dyDescent="0.25"/>
    <row r="202" spans="2:16" ht="13.9" customHeight="1" x14ac:dyDescent="0.25"/>
    <row r="203" spans="2:16" ht="13.9" customHeight="1" x14ac:dyDescent="0.25">
      <c r="B203" s="107" t="s">
        <v>89</v>
      </c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</row>
    <row r="204" spans="2:16" ht="13.9" customHeight="1" x14ac:dyDescent="0.25">
      <c r="B204" s="154" t="s">
        <v>26</v>
      </c>
      <c r="C204" s="148" t="s">
        <v>27</v>
      </c>
      <c r="D204" s="109" t="s">
        <v>28</v>
      </c>
      <c r="E204" s="110" t="s">
        <v>29</v>
      </c>
      <c r="F204" s="111" t="s">
        <v>85</v>
      </c>
      <c r="G204" s="112" t="s">
        <v>81</v>
      </c>
      <c r="H204" s="110" t="s">
        <v>82</v>
      </c>
      <c r="I204" s="112" t="s">
        <v>86</v>
      </c>
      <c r="J204" s="110" t="s">
        <v>87</v>
      </c>
      <c r="K204" s="112">
        <v>2026</v>
      </c>
      <c r="L204" s="112">
        <v>2027</v>
      </c>
      <c r="M204" s="110">
        <v>2028</v>
      </c>
      <c r="N204" s="112">
        <v>2029</v>
      </c>
      <c r="O204" s="110">
        <v>2030</v>
      </c>
      <c r="P204" s="112">
        <v>2031</v>
      </c>
    </row>
    <row r="205" spans="2:16" ht="13.9" customHeight="1" outlineLevel="1" x14ac:dyDescent="0.25">
      <c r="B205" s="149" t="s">
        <v>30</v>
      </c>
      <c r="C205" s="150" t="s">
        <v>31</v>
      </c>
      <c r="D205" s="85">
        <v>0</v>
      </c>
      <c r="E205" s="86">
        <v>0</v>
      </c>
      <c r="F205" s="142">
        <f t="shared" ref="F205:F248" si="22">G205+I205</f>
        <v>0</v>
      </c>
      <c r="G205" s="113">
        <v>0</v>
      </c>
      <c r="H205" s="86">
        <v>0</v>
      </c>
      <c r="I205" s="113">
        <v>0</v>
      </c>
      <c r="J205" s="114">
        <f t="shared" ref="J205:J248" si="23">H205-I205</f>
        <v>0</v>
      </c>
      <c r="K205" s="113">
        <f t="shared" ref="K205:K248" si="24">MAX(J205-SUM(L205:P205),0)</f>
        <v>0</v>
      </c>
      <c r="L205" s="113">
        <v>0</v>
      </c>
      <c r="M205" s="113">
        <v>0</v>
      </c>
      <c r="N205" s="113">
        <v>0</v>
      </c>
      <c r="O205" s="113">
        <v>0</v>
      </c>
      <c r="P205" s="113">
        <v>0</v>
      </c>
    </row>
    <row r="206" spans="2:16" ht="13.9" customHeight="1" outlineLevel="1" x14ac:dyDescent="0.25">
      <c r="B206" s="149"/>
      <c r="C206" s="150" t="s">
        <v>32</v>
      </c>
      <c r="D206" s="85">
        <v>0</v>
      </c>
      <c r="E206" s="86">
        <v>0</v>
      </c>
      <c r="F206" s="142">
        <f t="shared" si="22"/>
        <v>0</v>
      </c>
      <c r="G206" s="113">
        <v>0</v>
      </c>
      <c r="H206" s="86">
        <v>0</v>
      </c>
      <c r="I206" s="113">
        <v>0</v>
      </c>
      <c r="J206" s="114">
        <f t="shared" si="23"/>
        <v>0</v>
      </c>
      <c r="K206" s="113">
        <f t="shared" si="24"/>
        <v>0</v>
      </c>
      <c r="L206" s="113">
        <v>0</v>
      </c>
      <c r="M206" s="113">
        <v>0</v>
      </c>
      <c r="N206" s="113">
        <v>0</v>
      </c>
      <c r="O206" s="113">
        <v>0</v>
      </c>
      <c r="P206" s="113">
        <v>0</v>
      </c>
    </row>
    <row r="207" spans="2:16" ht="13.9" customHeight="1" outlineLevel="1" x14ac:dyDescent="0.25">
      <c r="B207" s="149"/>
      <c r="C207" s="150" t="s">
        <v>33</v>
      </c>
      <c r="D207" s="85">
        <v>0</v>
      </c>
      <c r="E207" s="86">
        <v>0</v>
      </c>
      <c r="F207" s="142">
        <f t="shared" si="22"/>
        <v>0</v>
      </c>
      <c r="G207" s="113">
        <v>0</v>
      </c>
      <c r="H207" s="86">
        <v>0</v>
      </c>
      <c r="I207" s="113">
        <v>0</v>
      </c>
      <c r="J207" s="114">
        <f t="shared" si="23"/>
        <v>0</v>
      </c>
      <c r="K207" s="113">
        <f t="shared" si="24"/>
        <v>0</v>
      </c>
      <c r="L207" s="113">
        <v>0</v>
      </c>
      <c r="M207" s="113">
        <v>0</v>
      </c>
      <c r="N207" s="113">
        <v>0</v>
      </c>
      <c r="O207" s="113">
        <v>0</v>
      </c>
      <c r="P207" s="113">
        <v>0</v>
      </c>
    </row>
    <row r="208" spans="2:16" ht="13.9" customHeight="1" outlineLevel="1" x14ac:dyDescent="0.25">
      <c r="B208" s="149"/>
      <c r="C208" s="150" t="s">
        <v>34</v>
      </c>
      <c r="D208" s="85">
        <v>0</v>
      </c>
      <c r="E208" s="86">
        <v>0</v>
      </c>
      <c r="F208" s="142">
        <f t="shared" si="22"/>
        <v>0</v>
      </c>
      <c r="G208" s="113">
        <v>0</v>
      </c>
      <c r="H208" s="86">
        <v>0</v>
      </c>
      <c r="I208" s="113">
        <v>0</v>
      </c>
      <c r="J208" s="114">
        <f t="shared" si="23"/>
        <v>0</v>
      </c>
      <c r="K208" s="113">
        <f t="shared" si="24"/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</row>
    <row r="209" spans="2:16" ht="13.9" customHeight="1" outlineLevel="1" x14ac:dyDescent="0.25">
      <c r="B209" s="149"/>
      <c r="C209" s="150" t="s">
        <v>35</v>
      </c>
      <c r="D209" s="85">
        <v>0</v>
      </c>
      <c r="E209" s="86">
        <v>0</v>
      </c>
      <c r="F209" s="142">
        <f t="shared" si="22"/>
        <v>0</v>
      </c>
      <c r="G209" s="113">
        <v>0</v>
      </c>
      <c r="H209" s="86">
        <v>0</v>
      </c>
      <c r="I209" s="113">
        <v>0</v>
      </c>
      <c r="J209" s="114">
        <f t="shared" si="23"/>
        <v>0</v>
      </c>
      <c r="K209" s="113">
        <f t="shared" si="24"/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</row>
    <row r="210" spans="2:16" ht="13.9" customHeight="1" outlineLevel="1" x14ac:dyDescent="0.25">
      <c r="B210" s="149"/>
      <c r="C210" s="150" t="s">
        <v>36</v>
      </c>
      <c r="D210" s="85">
        <v>1</v>
      </c>
      <c r="E210" s="86">
        <v>7949968</v>
      </c>
      <c r="F210" s="142">
        <f t="shared" si="22"/>
        <v>3179987.2</v>
      </c>
      <c r="G210" s="113">
        <v>1590000</v>
      </c>
      <c r="H210" s="86">
        <v>6359968</v>
      </c>
      <c r="I210" s="113">
        <v>1589987.2</v>
      </c>
      <c r="J210" s="114">
        <f t="shared" si="23"/>
        <v>4769980.8</v>
      </c>
      <c r="K210" s="113">
        <f t="shared" si="24"/>
        <v>794996.79999999981</v>
      </c>
      <c r="L210" s="113">
        <v>3974984</v>
      </c>
      <c r="M210" s="113">
        <v>0</v>
      </c>
      <c r="N210" s="113">
        <v>0</v>
      </c>
      <c r="O210" s="113">
        <v>0</v>
      </c>
      <c r="P210" s="113">
        <v>0</v>
      </c>
    </row>
    <row r="211" spans="2:16" ht="13.9" customHeight="1" outlineLevel="1" x14ac:dyDescent="0.25">
      <c r="B211" s="149"/>
      <c r="C211" s="150" t="s">
        <v>37</v>
      </c>
      <c r="D211" s="85">
        <v>0</v>
      </c>
      <c r="E211" s="86">
        <v>0</v>
      </c>
      <c r="F211" s="142">
        <f t="shared" si="22"/>
        <v>0</v>
      </c>
      <c r="G211" s="113">
        <v>0</v>
      </c>
      <c r="H211" s="86">
        <v>0</v>
      </c>
      <c r="I211" s="113">
        <v>0</v>
      </c>
      <c r="J211" s="114">
        <f t="shared" si="23"/>
        <v>0</v>
      </c>
      <c r="K211" s="113">
        <f t="shared" si="24"/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</row>
    <row r="212" spans="2:16" ht="13.9" customHeight="1" outlineLevel="1" x14ac:dyDescent="0.25">
      <c r="B212" s="149"/>
      <c r="C212" s="150" t="s">
        <v>38</v>
      </c>
      <c r="D212" s="85">
        <v>0</v>
      </c>
      <c r="E212" s="86">
        <v>0</v>
      </c>
      <c r="F212" s="142">
        <f t="shared" si="22"/>
        <v>0</v>
      </c>
      <c r="G212" s="113">
        <v>0</v>
      </c>
      <c r="H212" s="86">
        <v>0</v>
      </c>
      <c r="I212" s="113">
        <v>0</v>
      </c>
      <c r="J212" s="114">
        <f t="shared" si="23"/>
        <v>0</v>
      </c>
      <c r="K212" s="113">
        <f t="shared" si="24"/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</row>
    <row r="213" spans="2:16" ht="13.9" customHeight="1" outlineLevel="1" x14ac:dyDescent="0.25">
      <c r="B213" s="149"/>
      <c r="C213" s="150" t="s">
        <v>39</v>
      </c>
      <c r="D213" s="85">
        <v>0</v>
      </c>
      <c r="E213" s="86">
        <v>0</v>
      </c>
      <c r="F213" s="142">
        <f t="shared" si="22"/>
        <v>0</v>
      </c>
      <c r="G213" s="113">
        <v>0</v>
      </c>
      <c r="H213" s="86">
        <v>0</v>
      </c>
      <c r="I213" s="113">
        <v>0</v>
      </c>
      <c r="J213" s="114">
        <f t="shared" si="23"/>
        <v>0</v>
      </c>
      <c r="K213" s="113">
        <f t="shared" si="24"/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</row>
    <row r="214" spans="2:16" ht="13.9" customHeight="1" outlineLevel="1" x14ac:dyDescent="0.25">
      <c r="B214" s="149"/>
      <c r="C214" s="150" t="s">
        <v>40</v>
      </c>
      <c r="D214" s="85">
        <v>0</v>
      </c>
      <c r="E214" s="86">
        <v>0</v>
      </c>
      <c r="F214" s="142">
        <f t="shared" si="22"/>
        <v>0</v>
      </c>
      <c r="G214" s="113">
        <v>0</v>
      </c>
      <c r="H214" s="86">
        <v>0</v>
      </c>
      <c r="I214" s="113">
        <v>0</v>
      </c>
      <c r="J214" s="114">
        <f t="shared" si="23"/>
        <v>0</v>
      </c>
      <c r="K214" s="113">
        <f t="shared" si="24"/>
        <v>0</v>
      </c>
      <c r="L214" s="113">
        <v>0</v>
      </c>
      <c r="M214" s="113">
        <v>0</v>
      </c>
      <c r="N214" s="113">
        <v>0</v>
      </c>
      <c r="O214" s="113">
        <v>0</v>
      </c>
      <c r="P214" s="113">
        <v>0</v>
      </c>
    </row>
    <row r="215" spans="2:16" ht="13.9" customHeight="1" outlineLevel="1" x14ac:dyDescent="0.25">
      <c r="B215" s="149"/>
      <c r="C215" s="150" t="s">
        <v>41</v>
      </c>
      <c r="D215" s="85">
        <v>0</v>
      </c>
      <c r="E215" s="86">
        <v>0</v>
      </c>
      <c r="F215" s="142">
        <f t="shared" si="22"/>
        <v>0</v>
      </c>
      <c r="G215" s="113">
        <v>0</v>
      </c>
      <c r="H215" s="86">
        <v>0</v>
      </c>
      <c r="I215" s="113">
        <v>0</v>
      </c>
      <c r="J215" s="114">
        <f t="shared" si="23"/>
        <v>0</v>
      </c>
      <c r="K215" s="113">
        <f t="shared" si="24"/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</row>
    <row r="216" spans="2:16" ht="13.9" customHeight="1" outlineLevel="1" x14ac:dyDescent="0.25">
      <c r="B216" s="149"/>
      <c r="C216" s="150" t="s">
        <v>42</v>
      </c>
      <c r="D216" s="85">
        <v>1</v>
      </c>
      <c r="E216" s="86">
        <v>4328424</v>
      </c>
      <c r="F216" s="142">
        <f t="shared" si="22"/>
        <v>865686</v>
      </c>
      <c r="G216" s="113">
        <v>865686</v>
      </c>
      <c r="H216" s="86">
        <v>3462738</v>
      </c>
      <c r="I216" s="113">
        <v>0</v>
      </c>
      <c r="J216" s="114">
        <f t="shared" si="23"/>
        <v>3462738</v>
      </c>
      <c r="K216" s="113">
        <f t="shared" si="24"/>
        <v>432841.20000000019</v>
      </c>
      <c r="L216" s="113">
        <v>3029896.8</v>
      </c>
      <c r="M216" s="113">
        <v>0</v>
      </c>
      <c r="N216" s="113">
        <v>0</v>
      </c>
      <c r="O216" s="113">
        <v>0</v>
      </c>
      <c r="P216" s="113">
        <v>0</v>
      </c>
    </row>
    <row r="217" spans="2:16" ht="13.9" customHeight="1" outlineLevel="1" x14ac:dyDescent="0.25">
      <c r="B217" s="149"/>
      <c r="C217" s="150" t="s">
        <v>43</v>
      </c>
      <c r="D217" s="85">
        <v>1</v>
      </c>
      <c r="E217" s="86">
        <v>6521560</v>
      </c>
      <c r="F217" s="142">
        <f t="shared" si="22"/>
        <v>1956468</v>
      </c>
      <c r="G217" s="113">
        <v>1956468</v>
      </c>
      <c r="H217" s="86">
        <v>4565092</v>
      </c>
      <c r="I217" s="113">
        <v>0</v>
      </c>
      <c r="J217" s="114">
        <f t="shared" si="23"/>
        <v>4565092</v>
      </c>
      <c r="K217" s="113">
        <f t="shared" si="24"/>
        <v>652156</v>
      </c>
      <c r="L217" s="113">
        <v>3912936</v>
      </c>
      <c r="M217" s="113">
        <v>0</v>
      </c>
      <c r="N217" s="113">
        <v>0</v>
      </c>
      <c r="O217" s="113">
        <v>0</v>
      </c>
      <c r="P217" s="113">
        <v>0</v>
      </c>
    </row>
    <row r="218" spans="2:16" ht="13.9" customHeight="1" outlineLevel="1" x14ac:dyDescent="0.25">
      <c r="B218" s="149"/>
      <c r="C218" s="150" t="s">
        <v>44</v>
      </c>
      <c r="D218" s="85">
        <v>3</v>
      </c>
      <c r="E218" s="86">
        <v>13834158.199999999</v>
      </c>
      <c r="F218" s="142">
        <f t="shared" si="22"/>
        <v>2906833</v>
      </c>
      <c r="G218" s="113">
        <v>2906833</v>
      </c>
      <c r="H218" s="86">
        <v>10927325.199999999</v>
      </c>
      <c r="I218" s="113">
        <v>0</v>
      </c>
      <c r="J218" s="114">
        <f t="shared" si="23"/>
        <v>10927325.199999999</v>
      </c>
      <c r="K218" s="113">
        <f t="shared" si="24"/>
        <v>1625925.1600000001</v>
      </c>
      <c r="L218" s="113">
        <v>2177584.62</v>
      </c>
      <c r="M218" s="113">
        <v>7123815.4199999999</v>
      </c>
      <c r="N218" s="113">
        <v>0</v>
      </c>
      <c r="O218" s="113">
        <v>0</v>
      </c>
      <c r="P218" s="113">
        <v>0</v>
      </c>
    </row>
    <row r="219" spans="2:16" ht="13.9" customHeight="1" outlineLevel="1" x14ac:dyDescent="0.25">
      <c r="B219" s="149"/>
      <c r="C219" s="150" t="s">
        <v>45</v>
      </c>
      <c r="D219" s="85">
        <v>7</v>
      </c>
      <c r="E219" s="86">
        <v>21489275.199999999</v>
      </c>
      <c r="F219" s="142">
        <f t="shared" si="22"/>
        <v>5293212.5999999996</v>
      </c>
      <c r="G219" s="113">
        <v>4631974.12</v>
      </c>
      <c r="H219" s="86">
        <v>16857301.080000002</v>
      </c>
      <c r="I219" s="113">
        <v>661238.48</v>
      </c>
      <c r="J219" s="114">
        <f t="shared" si="23"/>
        <v>16196062.600000001</v>
      </c>
      <c r="K219" s="113">
        <f t="shared" si="24"/>
        <v>1434671.6100000031</v>
      </c>
      <c r="L219" s="113">
        <v>2148927.5299999998</v>
      </c>
      <c r="M219" s="113">
        <v>3351737.9499999997</v>
      </c>
      <c r="N219" s="113">
        <v>9260725.5099999998</v>
      </c>
      <c r="O219" s="113">
        <v>0</v>
      </c>
      <c r="P219" s="113">
        <v>0</v>
      </c>
    </row>
    <row r="220" spans="2:16" ht="13.9" customHeight="1" outlineLevel="1" x14ac:dyDescent="0.25">
      <c r="B220" s="149"/>
      <c r="C220" s="150" t="s">
        <v>46</v>
      </c>
      <c r="D220" s="85">
        <v>9</v>
      </c>
      <c r="E220" s="86">
        <v>59560680</v>
      </c>
      <c r="F220" s="142">
        <f t="shared" si="22"/>
        <v>12515265.359999999</v>
      </c>
      <c r="G220" s="113">
        <v>12477631.75</v>
      </c>
      <c r="H220" s="86">
        <v>47083048.25</v>
      </c>
      <c r="I220" s="113">
        <v>37633.61</v>
      </c>
      <c r="J220" s="114">
        <f t="shared" si="23"/>
        <v>47045414.640000001</v>
      </c>
      <c r="K220" s="113">
        <f t="shared" si="24"/>
        <v>0</v>
      </c>
      <c r="L220" s="113">
        <v>13826847.67</v>
      </c>
      <c r="M220" s="113">
        <v>6253871.1100000003</v>
      </c>
      <c r="N220" s="113">
        <v>2088942.6800000002</v>
      </c>
      <c r="O220" s="113">
        <v>25015485.400000002</v>
      </c>
      <c r="P220" s="113">
        <v>0</v>
      </c>
    </row>
    <row r="221" spans="2:16" ht="13.9" customHeight="1" outlineLevel="1" x14ac:dyDescent="0.25">
      <c r="B221" s="149"/>
      <c r="C221" s="150" t="s">
        <v>47</v>
      </c>
      <c r="D221" s="85">
        <v>2</v>
      </c>
      <c r="E221" s="86">
        <v>8284361.2999999998</v>
      </c>
      <c r="F221" s="142">
        <f t="shared" si="22"/>
        <v>5152411.7799999993</v>
      </c>
      <c r="G221" s="113">
        <v>2000760.63</v>
      </c>
      <c r="H221" s="86">
        <v>6283600.6699999999</v>
      </c>
      <c r="I221" s="113">
        <v>3151651.15</v>
      </c>
      <c r="J221" s="114">
        <f t="shared" si="23"/>
        <v>3131949.52</v>
      </c>
      <c r="K221" s="113">
        <f t="shared" si="24"/>
        <v>3131949.52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</row>
    <row r="222" spans="2:16" ht="13.9" customHeight="1" outlineLevel="1" x14ac:dyDescent="0.25">
      <c r="B222" s="149"/>
      <c r="C222" s="150" t="s">
        <v>48</v>
      </c>
      <c r="D222" s="85">
        <v>0</v>
      </c>
      <c r="E222" s="86">
        <v>0</v>
      </c>
      <c r="F222" s="142">
        <f t="shared" si="22"/>
        <v>0</v>
      </c>
      <c r="G222" s="113">
        <v>0</v>
      </c>
      <c r="H222" s="86">
        <v>0</v>
      </c>
      <c r="I222" s="113">
        <v>0</v>
      </c>
      <c r="J222" s="114">
        <f t="shared" si="23"/>
        <v>0</v>
      </c>
      <c r="K222" s="113">
        <f t="shared" si="24"/>
        <v>0</v>
      </c>
      <c r="L222" s="113">
        <v>0</v>
      </c>
      <c r="M222" s="113">
        <v>0</v>
      </c>
      <c r="N222" s="113">
        <v>0</v>
      </c>
      <c r="O222" s="113">
        <v>0</v>
      </c>
      <c r="P222" s="113">
        <v>0</v>
      </c>
    </row>
    <row r="223" spans="2:16" ht="13.9" customHeight="1" outlineLevel="1" x14ac:dyDescent="0.25">
      <c r="B223" s="149"/>
      <c r="C223" s="150" t="s">
        <v>49</v>
      </c>
      <c r="D223" s="85">
        <v>0</v>
      </c>
      <c r="E223" s="86">
        <v>0</v>
      </c>
      <c r="F223" s="142">
        <f t="shared" si="22"/>
        <v>0</v>
      </c>
      <c r="G223" s="113">
        <v>0</v>
      </c>
      <c r="H223" s="86">
        <v>0</v>
      </c>
      <c r="I223" s="113">
        <v>0</v>
      </c>
      <c r="J223" s="114">
        <f t="shared" si="23"/>
        <v>0</v>
      </c>
      <c r="K223" s="113">
        <f t="shared" si="24"/>
        <v>0</v>
      </c>
      <c r="L223" s="113">
        <v>0</v>
      </c>
      <c r="M223" s="113">
        <v>0</v>
      </c>
      <c r="N223" s="113">
        <v>0</v>
      </c>
      <c r="O223" s="113">
        <v>0</v>
      </c>
      <c r="P223" s="113">
        <v>0</v>
      </c>
    </row>
    <row r="224" spans="2:16" ht="13.9" customHeight="1" outlineLevel="1" x14ac:dyDescent="0.25">
      <c r="B224" s="149"/>
      <c r="C224" s="150" t="s">
        <v>50</v>
      </c>
      <c r="D224" s="85">
        <v>4</v>
      </c>
      <c r="E224" s="86">
        <v>25345175</v>
      </c>
      <c r="F224" s="142">
        <f t="shared" si="22"/>
        <v>5084626.3899999997</v>
      </c>
      <c r="G224" s="113">
        <v>5084626.3899999997</v>
      </c>
      <c r="H224" s="86">
        <v>20260548.609999999</v>
      </c>
      <c r="I224" s="113">
        <v>0</v>
      </c>
      <c r="J224" s="114">
        <f t="shared" si="23"/>
        <v>20260548.609999999</v>
      </c>
      <c r="K224" s="113">
        <f t="shared" si="24"/>
        <v>2518926.1099999994</v>
      </c>
      <c r="L224" s="113">
        <v>2534517.5</v>
      </c>
      <c r="M224" s="113">
        <v>2534517.5</v>
      </c>
      <c r="N224" s="113">
        <v>2534517.5</v>
      </c>
      <c r="O224" s="113">
        <v>2534517.5</v>
      </c>
      <c r="P224" s="113">
        <v>7603552.5</v>
      </c>
    </row>
    <row r="225" spans="2:16" ht="13.9" customHeight="1" outlineLevel="1" x14ac:dyDescent="0.25">
      <c r="B225" s="149"/>
      <c r="C225" s="150" t="s">
        <v>51</v>
      </c>
      <c r="D225" s="85">
        <v>5</v>
      </c>
      <c r="E225" s="86">
        <v>7556358.0499999998</v>
      </c>
      <c r="F225" s="142">
        <f t="shared" si="22"/>
        <v>2266907.4900000002</v>
      </c>
      <c r="G225" s="113">
        <v>2266877.02</v>
      </c>
      <c r="H225" s="86">
        <v>5289481.0299999993</v>
      </c>
      <c r="I225" s="113">
        <v>30.470000000000002</v>
      </c>
      <c r="J225" s="114">
        <f t="shared" si="23"/>
        <v>5289450.5599999996</v>
      </c>
      <c r="K225" s="113">
        <f t="shared" si="24"/>
        <v>755635.71</v>
      </c>
      <c r="L225" s="113">
        <v>4533814.8499999996</v>
      </c>
      <c r="M225" s="113">
        <v>0</v>
      </c>
      <c r="N225" s="113">
        <v>0</v>
      </c>
      <c r="O225" s="113">
        <v>0</v>
      </c>
      <c r="P225" s="113">
        <v>0</v>
      </c>
    </row>
    <row r="226" spans="2:16" ht="13.9" customHeight="1" outlineLevel="1" x14ac:dyDescent="0.25">
      <c r="B226" s="149"/>
      <c r="C226" s="150" t="s">
        <v>52</v>
      </c>
      <c r="D226" s="85">
        <v>0</v>
      </c>
      <c r="E226" s="86">
        <v>0</v>
      </c>
      <c r="F226" s="142">
        <f t="shared" si="22"/>
        <v>0</v>
      </c>
      <c r="G226" s="113">
        <v>0</v>
      </c>
      <c r="H226" s="86">
        <v>0</v>
      </c>
      <c r="I226" s="113">
        <v>0</v>
      </c>
      <c r="J226" s="114">
        <f t="shared" si="23"/>
        <v>0</v>
      </c>
      <c r="K226" s="113">
        <f t="shared" si="24"/>
        <v>0</v>
      </c>
      <c r="L226" s="113">
        <v>0</v>
      </c>
      <c r="M226" s="113">
        <v>0</v>
      </c>
      <c r="N226" s="113">
        <v>0</v>
      </c>
      <c r="O226" s="113">
        <v>0</v>
      </c>
      <c r="P226" s="113">
        <v>0</v>
      </c>
    </row>
    <row r="227" spans="2:16" ht="13.9" customHeight="1" outlineLevel="1" x14ac:dyDescent="0.25">
      <c r="B227" s="149"/>
      <c r="C227" s="150" t="s">
        <v>53</v>
      </c>
      <c r="D227" s="85">
        <v>1</v>
      </c>
      <c r="E227" s="86">
        <v>6423617.2000000002</v>
      </c>
      <c r="F227" s="142">
        <f t="shared" si="22"/>
        <v>1927085.1600000001</v>
      </c>
      <c r="G227" s="113">
        <v>1284724</v>
      </c>
      <c r="H227" s="86">
        <v>5138893.2</v>
      </c>
      <c r="I227" s="113">
        <v>642361.16</v>
      </c>
      <c r="J227" s="114">
        <f t="shared" si="23"/>
        <v>4496532.04</v>
      </c>
      <c r="K227" s="113">
        <f t="shared" si="24"/>
        <v>642361.7200000002</v>
      </c>
      <c r="L227" s="113">
        <v>1284723.44</v>
      </c>
      <c r="M227" s="113">
        <v>2569446.88</v>
      </c>
      <c r="N227" s="113">
        <v>0</v>
      </c>
      <c r="O227" s="113">
        <v>0</v>
      </c>
      <c r="P227" s="113">
        <v>0</v>
      </c>
    </row>
    <row r="228" spans="2:16" ht="13.9" customHeight="1" outlineLevel="1" x14ac:dyDescent="0.25">
      <c r="B228" s="149"/>
      <c r="C228" s="150" t="s">
        <v>54</v>
      </c>
      <c r="D228" s="85">
        <v>1</v>
      </c>
      <c r="E228" s="86">
        <v>3533909.4</v>
      </c>
      <c r="F228" s="142">
        <f t="shared" si="22"/>
        <v>710740.06</v>
      </c>
      <c r="G228" s="113">
        <v>710740.06</v>
      </c>
      <c r="H228" s="86">
        <v>2823169.34</v>
      </c>
      <c r="I228" s="113">
        <v>0</v>
      </c>
      <c r="J228" s="114">
        <f t="shared" si="23"/>
        <v>2823169.34</v>
      </c>
      <c r="K228" s="113">
        <f t="shared" si="24"/>
        <v>349432.75999999978</v>
      </c>
      <c r="L228" s="113">
        <v>353390.94</v>
      </c>
      <c r="M228" s="113">
        <v>706781.88</v>
      </c>
      <c r="N228" s="113">
        <v>1413563.76</v>
      </c>
      <c r="O228" s="113">
        <v>0</v>
      </c>
      <c r="P228" s="113">
        <v>0</v>
      </c>
    </row>
    <row r="229" spans="2:16" ht="13.9" customHeight="1" outlineLevel="1" x14ac:dyDescent="0.25">
      <c r="B229" s="149"/>
      <c r="C229" s="150" t="s">
        <v>55</v>
      </c>
      <c r="D229" s="85">
        <v>0</v>
      </c>
      <c r="E229" s="86">
        <v>0</v>
      </c>
      <c r="F229" s="142">
        <f t="shared" si="22"/>
        <v>0</v>
      </c>
      <c r="G229" s="113">
        <v>0</v>
      </c>
      <c r="H229" s="86">
        <v>0</v>
      </c>
      <c r="I229" s="113">
        <v>0</v>
      </c>
      <c r="J229" s="114">
        <f t="shared" si="23"/>
        <v>0</v>
      </c>
      <c r="K229" s="113">
        <f t="shared" si="24"/>
        <v>0</v>
      </c>
      <c r="L229" s="113">
        <v>0</v>
      </c>
      <c r="M229" s="113">
        <v>0</v>
      </c>
      <c r="N229" s="113">
        <v>0</v>
      </c>
      <c r="O229" s="113">
        <v>0</v>
      </c>
      <c r="P229" s="113">
        <v>0</v>
      </c>
    </row>
    <row r="230" spans="2:16" ht="13.9" customHeight="1" outlineLevel="1" x14ac:dyDescent="0.25">
      <c r="B230" s="149"/>
      <c r="C230" s="150" t="s">
        <v>56</v>
      </c>
      <c r="D230" s="85">
        <v>0</v>
      </c>
      <c r="E230" s="86">
        <v>0</v>
      </c>
      <c r="F230" s="142">
        <f t="shared" si="22"/>
        <v>0</v>
      </c>
      <c r="G230" s="113">
        <v>0</v>
      </c>
      <c r="H230" s="86">
        <v>0</v>
      </c>
      <c r="I230" s="113">
        <v>0</v>
      </c>
      <c r="J230" s="114">
        <f t="shared" si="23"/>
        <v>0</v>
      </c>
      <c r="K230" s="113">
        <f t="shared" si="24"/>
        <v>0</v>
      </c>
      <c r="L230" s="113">
        <v>0</v>
      </c>
      <c r="M230" s="113">
        <v>0</v>
      </c>
      <c r="N230" s="113">
        <v>0</v>
      </c>
      <c r="O230" s="113">
        <v>0</v>
      </c>
      <c r="P230" s="113">
        <v>0</v>
      </c>
    </row>
    <row r="231" spans="2:16" ht="13.9" customHeight="1" outlineLevel="1" x14ac:dyDescent="0.25">
      <c r="B231" s="149"/>
      <c r="C231" s="150" t="s">
        <v>57</v>
      </c>
      <c r="D231" s="85">
        <v>0</v>
      </c>
      <c r="E231" s="86">
        <v>0</v>
      </c>
      <c r="F231" s="142">
        <f t="shared" si="22"/>
        <v>0</v>
      </c>
      <c r="G231" s="113">
        <v>0</v>
      </c>
      <c r="H231" s="86">
        <v>0</v>
      </c>
      <c r="I231" s="113">
        <v>0</v>
      </c>
      <c r="J231" s="114">
        <f t="shared" si="23"/>
        <v>0</v>
      </c>
      <c r="K231" s="113">
        <f t="shared" si="24"/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</row>
    <row r="232" spans="2:16" ht="13.9" customHeight="1" outlineLevel="1" x14ac:dyDescent="0.25">
      <c r="B232" s="149"/>
      <c r="C232" s="150" t="s">
        <v>58</v>
      </c>
      <c r="D232" s="85">
        <v>0</v>
      </c>
      <c r="E232" s="86">
        <v>0</v>
      </c>
      <c r="F232" s="142">
        <f t="shared" si="22"/>
        <v>0</v>
      </c>
      <c r="G232" s="113">
        <v>0</v>
      </c>
      <c r="H232" s="86">
        <v>0</v>
      </c>
      <c r="I232" s="113">
        <v>0</v>
      </c>
      <c r="J232" s="114">
        <f t="shared" si="23"/>
        <v>0</v>
      </c>
      <c r="K232" s="113">
        <f t="shared" si="24"/>
        <v>0</v>
      </c>
      <c r="L232" s="113">
        <v>0</v>
      </c>
      <c r="M232" s="113">
        <v>0</v>
      </c>
      <c r="N232" s="113">
        <v>0</v>
      </c>
      <c r="O232" s="113">
        <v>0</v>
      </c>
      <c r="P232" s="113">
        <v>0</v>
      </c>
    </row>
    <row r="233" spans="2:16" ht="13.9" customHeight="1" outlineLevel="1" x14ac:dyDescent="0.25">
      <c r="B233" s="149"/>
      <c r="C233" s="150" t="s">
        <v>59</v>
      </c>
      <c r="D233" s="85">
        <v>0</v>
      </c>
      <c r="E233" s="86">
        <v>0</v>
      </c>
      <c r="F233" s="142">
        <f t="shared" si="22"/>
        <v>0</v>
      </c>
      <c r="G233" s="113">
        <v>0</v>
      </c>
      <c r="H233" s="86">
        <v>0</v>
      </c>
      <c r="I233" s="113">
        <v>0</v>
      </c>
      <c r="J233" s="114">
        <f t="shared" si="23"/>
        <v>0</v>
      </c>
      <c r="K233" s="113">
        <f t="shared" si="24"/>
        <v>0</v>
      </c>
      <c r="L233" s="113">
        <v>0</v>
      </c>
      <c r="M233" s="113">
        <v>0</v>
      </c>
      <c r="N233" s="113">
        <v>0</v>
      </c>
      <c r="O233" s="113">
        <v>0</v>
      </c>
      <c r="P233" s="113">
        <v>0</v>
      </c>
    </row>
    <row r="234" spans="2:16" ht="13.9" customHeight="1" outlineLevel="1" x14ac:dyDescent="0.25">
      <c r="B234" s="149"/>
      <c r="C234" s="150" t="s">
        <v>60</v>
      </c>
      <c r="D234" s="85">
        <v>0</v>
      </c>
      <c r="E234" s="86">
        <v>0</v>
      </c>
      <c r="F234" s="142">
        <f t="shared" si="22"/>
        <v>0</v>
      </c>
      <c r="G234" s="113">
        <v>0</v>
      </c>
      <c r="H234" s="86">
        <v>0</v>
      </c>
      <c r="I234" s="113">
        <v>0</v>
      </c>
      <c r="J234" s="114">
        <f t="shared" si="23"/>
        <v>0</v>
      </c>
      <c r="K234" s="113">
        <f t="shared" si="24"/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</row>
    <row r="235" spans="2:16" ht="13.9" customHeight="1" outlineLevel="1" x14ac:dyDescent="0.25">
      <c r="B235" s="149"/>
      <c r="C235" s="150" t="s">
        <v>61</v>
      </c>
      <c r="D235" s="85">
        <v>1</v>
      </c>
      <c r="E235" s="86">
        <v>7494818.75</v>
      </c>
      <c r="F235" s="142">
        <f t="shared" si="22"/>
        <v>1507342.81</v>
      </c>
      <c r="G235" s="113">
        <v>1507342.81</v>
      </c>
      <c r="H235" s="86">
        <v>5987475.9399999995</v>
      </c>
      <c r="I235" s="113">
        <v>0</v>
      </c>
      <c r="J235" s="114">
        <f t="shared" si="23"/>
        <v>5987475.9399999995</v>
      </c>
      <c r="K235" s="113">
        <f t="shared" si="24"/>
        <v>741102.79999999888</v>
      </c>
      <c r="L235" s="113">
        <v>749481.88</v>
      </c>
      <c r="M235" s="113">
        <v>1498963.76</v>
      </c>
      <c r="N235" s="113">
        <v>2997927.5</v>
      </c>
      <c r="O235" s="113">
        <v>0</v>
      </c>
      <c r="P235" s="113">
        <v>0</v>
      </c>
    </row>
    <row r="236" spans="2:16" ht="13.9" customHeight="1" outlineLevel="1" x14ac:dyDescent="0.25">
      <c r="B236" s="149"/>
      <c r="C236" s="150" t="s">
        <v>62</v>
      </c>
      <c r="D236" s="85">
        <v>0</v>
      </c>
      <c r="E236" s="86">
        <v>0</v>
      </c>
      <c r="F236" s="142">
        <f t="shared" si="22"/>
        <v>0</v>
      </c>
      <c r="G236" s="113">
        <v>0</v>
      </c>
      <c r="H236" s="86">
        <v>0</v>
      </c>
      <c r="I236" s="113">
        <v>0</v>
      </c>
      <c r="J236" s="114">
        <f t="shared" si="23"/>
        <v>0</v>
      </c>
      <c r="K236" s="113">
        <f t="shared" si="24"/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</row>
    <row r="237" spans="2:16" ht="13.9" customHeight="1" outlineLevel="1" x14ac:dyDescent="0.25">
      <c r="B237" s="149"/>
      <c r="C237" s="150" t="s">
        <v>63</v>
      </c>
      <c r="D237" s="85">
        <v>0</v>
      </c>
      <c r="E237" s="86">
        <v>0</v>
      </c>
      <c r="F237" s="142">
        <f t="shared" si="22"/>
        <v>0</v>
      </c>
      <c r="G237" s="113">
        <v>0</v>
      </c>
      <c r="H237" s="86">
        <v>0</v>
      </c>
      <c r="I237" s="113">
        <v>0</v>
      </c>
      <c r="J237" s="114">
        <f t="shared" si="23"/>
        <v>0</v>
      </c>
      <c r="K237" s="113">
        <f t="shared" si="24"/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</row>
    <row r="238" spans="2:16" ht="13.9" customHeight="1" outlineLevel="1" x14ac:dyDescent="0.25">
      <c r="B238" s="149"/>
      <c r="C238" s="150" t="s">
        <v>64</v>
      </c>
      <c r="D238" s="85">
        <v>0</v>
      </c>
      <c r="E238" s="86">
        <v>0</v>
      </c>
      <c r="F238" s="142">
        <f t="shared" si="22"/>
        <v>0</v>
      </c>
      <c r="G238" s="113">
        <v>0</v>
      </c>
      <c r="H238" s="86">
        <v>0</v>
      </c>
      <c r="I238" s="113">
        <v>0</v>
      </c>
      <c r="J238" s="114">
        <f t="shared" si="23"/>
        <v>0</v>
      </c>
      <c r="K238" s="113">
        <f t="shared" si="24"/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</row>
    <row r="239" spans="2:16" ht="13.9" customHeight="1" outlineLevel="1" x14ac:dyDescent="0.25">
      <c r="B239" s="149"/>
      <c r="C239" s="150" t="s">
        <v>65</v>
      </c>
      <c r="D239" s="85">
        <v>0</v>
      </c>
      <c r="E239" s="86">
        <v>0</v>
      </c>
      <c r="F239" s="142">
        <f t="shared" si="22"/>
        <v>0</v>
      </c>
      <c r="G239" s="113">
        <v>0</v>
      </c>
      <c r="H239" s="86">
        <v>0</v>
      </c>
      <c r="I239" s="113">
        <v>0</v>
      </c>
      <c r="J239" s="114">
        <f t="shared" si="23"/>
        <v>0</v>
      </c>
      <c r="K239" s="113">
        <f t="shared" si="24"/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</row>
    <row r="240" spans="2:16" ht="13.9" customHeight="1" outlineLevel="1" x14ac:dyDescent="0.25">
      <c r="B240" s="149"/>
      <c r="C240" s="150" t="s">
        <v>66</v>
      </c>
      <c r="D240" s="85">
        <v>0</v>
      </c>
      <c r="E240" s="86">
        <v>0</v>
      </c>
      <c r="F240" s="142">
        <f t="shared" si="22"/>
        <v>0</v>
      </c>
      <c r="G240" s="113">
        <v>0</v>
      </c>
      <c r="H240" s="86">
        <v>0</v>
      </c>
      <c r="I240" s="113">
        <v>0</v>
      </c>
      <c r="J240" s="114">
        <f t="shared" si="23"/>
        <v>0</v>
      </c>
      <c r="K240" s="113">
        <f t="shared" si="24"/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</row>
    <row r="241" spans="2:16" ht="13.9" customHeight="1" outlineLevel="1" x14ac:dyDescent="0.25">
      <c r="B241" s="149"/>
      <c r="C241" s="150" t="s">
        <v>67</v>
      </c>
      <c r="D241" s="85">
        <v>0</v>
      </c>
      <c r="E241" s="86">
        <v>0</v>
      </c>
      <c r="F241" s="142">
        <f t="shared" si="22"/>
        <v>0</v>
      </c>
      <c r="G241" s="113">
        <v>0</v>
      </c>
      <c r="H241" s="86">
        <v>0</v>
      </c>
      <c r="I241" s="113">
        <v>0</v>
      </c>
      <c r="J241" s="114">
        <f t="shared" si="23"/>
        <v>0</v>
      </c>
      <c r="K241" s="113">
        <f t="shared" si="24"/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</row>
    <row r="242" spans="2:16" ht="13.9" customHeight="1" x14ac:dyDescent="0.25">
      <c r="B242" s="149"/>
      <c r="C242" s="148" t="s">
        <v>103</v>
      </c>
      <c r="D242" s="90">
        <f>SUM(D205:D241)</f>
        <v>36</v>
      </c>
      <c r="E242" s="91">
        <f t="shared" ref="E242:P242" si="25">SUM(E205:E241)</f>
        <v>172322305.09999999</v>
      </c>
      <c r="F242" s="92">
        <f t="shared" si="25"/>
        <v>43366565.850000009</v>
      </c>
      <c r="G242" s="93">
        <f t="shared" si="25"/>
        <v>37283663.780000009</v>
      </c>
      <c r="H242" s="90">
        <f t="shared" si="25"/>
        <v>135038641.32000002</v>
      </c>
      <c r="I242" s="91">
        <f t="shared" si="25"/>
        <v>6082902.0699999994</v>
      </c>
      <c r="J242" s="92">
        <f t="shared" si="25"/>
        <v>128955739.25000001</v>
      </c>
      <c r="K242" s="93">
        <f t="shared" si="25"/>
        <v>13079999.390000002</v>
      </c>
      <c r="L242" s="90">
        <f t="shared" si="25"/>
        <v>38527105.229999997</v>
      </c>
      <c r="M242" s="91">
        <f t="shared" si="25"/>
        <v>24039134.5</v>
      </c>
      <c r="N242" s="90">
        <f t="shared" si="25"/>
        <v>18295676.949999999</v>
      </c>
      <c r="O242" s="91">
        <f t="shared" si="25"/>
        <v>27550002.900000002</v>
      </c>
      <c r="P242" s="91">
        <f t="shared" si="25"/>
        <v>7603552.5</v>
      </c>
    </row>
    <row r="243" spans="2:16" ht="13.9" customHeight="1" outlineLevel="1" x14ac:dyDescent="0.25">
      <c r="B243" s="149" t="s">
        <v>83</v>
      </c>
      <c r="C243" s="150" t="s">
        <v>70</v>
      </c>
      <c r="D243" s="85">
        <v>10</v>
      </c>
      <c r="E243" s="86">
        <v>38236982.780000001</v>
      </c>
      <c r="F243" s="142">
        <f t="shared" si="22"/>
        <v>14595082.16</v>
      </c>
      <c r="G243" s="113">
        <v>10067866.84</v>
      </c>
      <c r="H243" s="86">
        <v>28169115.939999998</v>
      </c>
      <c r="I243" s="113">
        <v>4527215.3199999994</v>
      </c>
      <c r="J243" s="114">
        <f t="shared" si="23"/>
        <v>23641900.619999997</v>
      </c>
      <c r="K243" s="113">
        <f t="shared" si="24"/>
        <v>4521783.5299999975</v>
      </c>
      <c r="L243" s="113">
        <v>6635818.29</v>
      </c>
      <c r="M243" s="113">
        <v>6874960.5</v>
      </c>
      <c r="N243" s="113">
        <v>5609338.3000000007</v>
      </c>
      <c r="O243" s="113">
        <v>0</v>
      </c>
      <c r="P243" s="113">
        <v>0</v>
      </c>
    </row>
    <row r="244" spans="2:16" ht="13.9" customHeight="1" outlineLevel="1" x14ac:dyDescent="0.25">
      <c r="B244" s="149"/>
      <c r="C244" s="150" t="s">
        <v>71</v>
      </c>
      <c r="D244" s="85">
        <v>2</v>
      </c>
      <c r="E244" s="86">
        <v>35072952</v>
      </c>
      <c r="F244" s="142">
        <f t="shared" si="22"/>
        <v>9322236.3000000007</v>
      </c>
      <c r="G244" s="113">
        <v>7601327.4100000001</v>
      </c>
      <c r="H244" s="86">
        <v>27471624.59</v>
      </c>
      <c r="I244" s="113">
        <v>1720908.89</v>
      </c>
      <c r="J244" s="114">
        <f t="shared" si="23"/>
        <v>25750715.699999999</v>
      </c>
      <c r="K244" s="113">
        <f t="shared" si="24"/>
        <v>2933922.8999999985</v>
      </c>
      <c r="L244" s="113">
        <v>7014590.4000000004</v>
      </c>
      <c r="M244" s="113">
        <v>15802202.4</v>
      </c>
      <c r="N244" s="113">
        <v>0</v>
      </c>
      <c r="O244" s="113">
        <v>0</v>
      </c>
      <c r="P244" s="113">
        <v>0</v>
      </c>
    </row>
    <row r="245" spans="2:16" ht="13.9" customHeight="1" outlineLevel="1" x14ac:dyDescent="0.25">
      <c r="B245" s="149"/>
      <c r="C245" s="150" t="s">
        <v>72</v>
      </c>
      <c r="D245" s="85">
        <v>4</v>
      </c>
      <c r="E245" s="86">
        <v>7172115.5300000003</v>
      </c>
      <c r="F245" s="142">
        <f t="shared" si="22"/>
        <v>1440781.89</v>
      </c>
      <c r="G245" s="113">
        <v>1440781.89</v>
      </c>
      <c r="H245" s="86">
        <v>5731333.6399999997</v>
      </c>
      <c r="I245" s="113">
        <v>0</v>
      </c>
      <c r="J245" s="114">
        <f t="shared" si="23"/>
        <v>5731333.6399999997</v>
      </c>
      <c r="K245" s="113">
        <f t="shared" si="24"/>
        <v>710852.75999999885</v>
      </c>
      <c r="L245" s="113">
        <v>1434423.1</v>
      </c>
      <c r="M245" s="113">
        <v>717211.55</v>
      </c>
      <c r="N245" s="113">
        <v>2868846.23</v>
      </c>
      <c r="O245" s="113">
        <v>0</v>
      </c>
      <c r="P245" s="113">
        <v>0</v>
      </c>
    </row>
    <row r="246" spans="2:16" ht="13.9" customHeight="1" x14ac:dyDescent="0.25">
      <c r="B246" s="149"/>
      <c r="C246" s="148" t="s">
        <v>104</v>
      </c>
      <c r="D246" s="90">
        <f>SUM(D243:D245)</f>
        <v>16</v>
      </c>
      <c r="E246" s="91">
        <f t="shared" ref="E246:P246" si="26">SUM(E243:E245)</f>
        <v>80482050.310000002</v>
      </c>
      <c r="F246" s="92">
        <f t="shared" si="26"/>
        <v>25358100.350000001</v>
      </c>
      <c r="G246" s="93">
        <f t="shared" si="26"/>
        <v>19109976.140000001</v>
      </c>
      <c r="H246" s="90">
        <f t="shared" si="26"/>
        <v>61372074.170000002</v>
      </c>
      <c r="I246" s="91">
        <f t="shared" si="26"/>
        <v>6248124.209999999</v>
      </c>
      <c r="J246" s="92">
        <f t="shared" si="26"/>
        <v>55123949.959999993</v>
      </c>
      <c r="K246" s="93">
        <f t="shared" si="26"/>
        <v>8166559.1899999948</v>
      </c>
      <c r="L246" s="90">
        <f t="shared" si="26"/>
        <v>15084831.790000001</v>
      </c>
      <c r="M246" s="91">
        <f t="shared" si="26"/>
        <v>23394374.449999999</v>
      </c>
      <c r="N246" s="90">
        <f t="shared" si="26"/>
        <v>8478184.5300000012</v>
      </c>
      <c r="O246" s="91">
        <f t="shared" si="26"/>
        <v>0</v>
      </c>
      <c r="P246" s="91">
        <f t="shared" si="26"/>
        <v>0</v>
      </c>
    </row>
    <row r="247" spans="2:16" ht="13.9" customHeight="1" outlineLevel="1" x14ac:dyDescent="0.25">
      <c r="B247" s="149" t="s">
        <v>105</v>
      </c>
      <c r="C247" s="150" t="s">
        <v>75</v>
      </c>
      <c r="D247" s="85">
        <v>1</v>
      </c>
      <c r="E247" s="86">
        <v>1260739.1000000001</v>
      </c>
      <c r="F247" s="142">
        <f t="shared" si="22"/>
        <v>252238</v>
      </c>
      <c r="G247" s="113">
        <v>252238</v>
      </c>
      <c r="H247" s="86">
        <v>1008501.1000000001</v>
      </c>
      <c r="I247" s="113">
        <v>0</v>
      </c>
      <c r="J247" s="114">
        <f t="shared" si="23"/>
        <v>1008501.1000000001</v>
      </c>
      <c r="K247" s="113">
        <f t="shared" si="24"/>
        <v>125983.7300000001</v>
      </c>
      <c r="L247" s="113">
        <v>252147.82</v>
      </c>
      <c r="M247" s="113">
        <v>126073.91</v>
      </c>
      <c r="N247" s="113">
        <v>504295.64</v>
      </c>
      <c r="O247" s="113">
        <v>0</v>
      </c>
      <c r="P247" s="113">
        <v>0</v>
      </c>
    </row>
    <row r="248" spans="2:16" ht="13.9" customHeight="1" outlineLevel="1" x14ac:dyDescent="0.25">
      <c r="B248" s="149"/>
      <c r="C248" s="150" t="s">
        <v>76</v>
      </c>
      <c r="D248" s="85">
        <v>0</v>
      </c>
      <c r="E248" s="86">
        <v>0</v>
      </c>
      <c r="F248" s="142">
        <f t="shared" si="22"/>
        <v>0</v>
      </c>
      <c r="G248" s="113">
        <v>0</v>
      </c>
      <c r="H248" s="86">
        <v>0</v>
      </c>
      <c r="I248" s="113">
        <v>0</v>
      </c>
      <c r="J248" s="114">
        <f t="shared" si="23"/>
        <v>0</v>
      </c>
      <c r="K248" s="113">
        <f t="shared" si="24"/>
        <v>0</v>
      </c>
      <c r="L248" s="113">
        <v>0</v>
      </c>
      <c r="M248" s="113">
        <v>0</v>
      </c>
      <c r="N248" s="113">
        <v>0</v>
      </c>
      <c r="O248" s="113">
        <v>0</v>
      </c>
      <c r="P248" s="113">
        <v>0</v>
      </c>
    </row>
    <row r="249" spans="2:16" ht="13.9" customHeight="1" x14ac:dyDescent="0.25">
      <c r="B249" s="149"/>
      <c r="C249" s="148" t="s">
        <v>106</v>
      </c>
      <c r="D249" s="90">
        <f>SUM(D247:D248)</f>
        <v>1</v>
      </c>
      <c r="E249" s="91">
        <f t="shared" ref="E249:P249" si="27">SUM(E247:E248)</f>
        <v>1260739.1000000001</v>
      </c>
      <c r="F249" s="92">
        <f t="shared" si="27"/>
        <v>252238</v>
      </c>
      <c r="G249" s="93">
        <f t="shared" si="27"/>
        <v>252238</v>
      </c>
      <c r="H249" s="90">
        <f t="shared" si="27"/>
        <v>1008501.1000000001</v>
      </c>
      <c r="I249" s="91">
        <f t="shared" si="27"/>
        <v>0</v>
      </c>
      <c r="J249" s="92">
        <f t="shared" si="27"/>
        <v>1008501.1000000001</v>
      </c>
      <c r="K249" s="93">
        <f t="shared" si="27"/>
        <v>125983.7300000001</v>
      </c>
      <c r="L249" s="90">
        <f t="shared" si="27"/>
        <v>252147.82</v>
      </c>
      <c r="M249" s="91">
        <f t="shared" si="27"/>
        <v>126073.91</v>
      </c>
      <c r="N249" s="90">
        <f t="shared" si="27"/>
        <v>504295.64</v>
      </c>
      <c r="O249" s="91">
        <f t="shared" si="27"/>
        <v>0</v>
      </c>
      <c r="P249" s="91">
        <f t="shared" si="27"/>
        <v>0</v>
      </c>
    </row>
    <row r="250" spans="2:16" ht="13.9" customHeight="1" x14ac:dyDescent="0.25">
      <c r="B250" s="155" t="s">
        <v>78</v>
      </c>
      <c r="C250" s="155"/>
      <c r="D250" s="90">
        <f>D242+D246+D249</f>
        <v>53</v>
      </c>
      <c r="E250" s="91">
        <f t="shared" ref="E250:P250" si="28">E242+E246+E249</f>
        <v>254065094.50999999</v>
      </c>
      <c r="F250" s="92">
        <f t="shared" si="28"/>
        <v>68976904.200000018</v>
      </c>
      <c r="G250" s="93">
        <f t="shared" si="28"/>
        <v>56645877.920000009</v>
      </c>
      <c r="H250" s="90">
        <f t="shared" si="28"/>
        <v>197419216.59</v>
      </c>
      <c r="I250" s="91">
        <f t="shared" si="28"/>
        <v>12331026.279999997</v>
      </c>
      <c r="J250" s="92">
        <f t="shared" si="28"/>
        <v>185088190.31</v>
      </c>
      <c r="K250" s="93">
        <f t="shared" si="28"/>
        <v>21372542.309999999</v>
      </c>
      <c r="L250" s="90">
        <f t="shared" si="28"/>
        <v>53864084.839999996</v>
      </c>
      <c r="M250" s="91">
        <f t="shared" si="28"/>
        <v>47559582.859999999</v>
      </c>
      <c r="N250" s="90">
        <f t="shared" si="28"/>
        <v>27278157.120000001</v>
      </c>
      <c r="O250" s="91">
        <f t="shared" si="28"/>
        <v>27550002.900000002</v>
      </c>
      <c r="P250" s="91">
        <f t="shared" si="28"/>
        <v>7603552.5</v>
      </c>
    </row>
    <row r="251" spans="2:16" ht="13.9" customHeight="1" x14ac:dyDescent="0.25"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</row>
    <row r="252" spans="2:16" ht="13.9" customHeight="1" x14ac:dyDescent="0.25">
      <c r="B252" s="107" t="s">
        <v>90</v>
      </c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</row>
    <row r="253" spans="2:16" ht="13.9" customHeight="1" x14ac:dyDescent="0.25">
      <c r="B253" s="154" t="s">
        <v>26</v>
      </c>
      <c r="C253" s="148" t="s">
        <v>27</v>
      </c>
      <c r="D253" s="109" t="s">
        <v>28</v>
      </c>
      <c r="E253" s="110" t="s">
        <v>29</v>
      </c>
      <c r="F253" s="111" t="s">
        <v>85</v>
      </c>
      <c r="G253" s="112" t="s">
        <v>81</v>
      </c>
      <c r="H253" s="110" t="s">
        <v>82</v>
      </c>
      <c r="I253" s="112" t="s">
        <v>86</v>
      </c>
      <c r="J253" s="110" t="s">
        <v>87</v>
      </c>
      <c r="K253" s="112">
        <v>2026</v>
      </c>
      <c r="L253" s="112">
        <v>2027</v>
      </c>
      <c r="M253" s="110">
        <v>2028</v>
      </c>
      <c r="N253" s="112">
        <v>2029</v>
      </c>
      <c r="O253" s="110">
        <v>2030</v>
      </c>
      <c r="P253" s="112">
        <v>2031</v>
      </c>
    </row>
    <row r="254" spans="2:16" ht="13.9" customHeight="1" outlineLevel="1" x14ac:dyDescent="0.25">
      <c r="B254" s="149" t="s">
        <v>30</v>
      </c>
      <c r="C254" s="150" t="s">
        <v>31</v>
      </c>
      <c r="D254" s="85">
        <v>0</v>
      </c>
      <c r="E254" s="86">
        <v>0</v>
      </c>
      <c r="F254" s="142">
        <f t="shared" ref="F254:F297" si="29">G254+I254</f>
        <v>0</v>
      </c>
      <c r="G254" s="113">
        <v>0</v>
      </c>
      <c r="H254" s="86">
        <v>0</v>
      </c>
      <c r="I254" s="113">
        <v>0</v>
      </c>
      <c r="J254" s="114">
        <f t="shared" ref="J254:J297" si="30">H254-I254</f>
        <v>0</v>
      </c>
      <c r="K254" s="113">
        <f t="shared" ref="K254:K297" si="31">MAX(J254-SUM(L254:P254),0)</f>
        <v>0</v>
      </c>
      <c r="L254" s="113">
        <v>0</v>
      </c>
      <c r="M254" s="113">
        <v>0</v>
      </c>
      <c r="N254" s="113">
        <v>0</v>
      </c>
      <c r="O254" s="113">
        <v>0</v>
      </c>
      <c r="P254" s="113">
        <v>0</v>
      </c>
    </row>
    <row r="255" spans="2:16" ht="13.9" customHeight="1" outlineLevel="1" x14ac:dyDescent="0.25">
      <c r="B255" s="149"/>
      <c r="C255" s="150" t="s">
        <v>32</v>
      </c>
      <c r="D255" s="85">
        <v>0</v>
      </c>
      <c r="E255" s="86">
        <v>0</v>
      </c>
      <c r="F255" s="142">
        <f t="shared" si="29"/>
        <v>0</v>
      </c>
      <c r="G255" s="113">
        <v>0</v>
      </c>
      <c r="H255" s="86">
        <v>0</v>
      </c>
      <c r="I255" s="113">
        <v>0</v>
      </c>
      <c r="J255" s="114">
        <f t="shared" si="30"/>
        <v>0</v>
      </c>
      <c r="K255" s="113">
        <f t="shared" si="31"/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</row>
    <row r="256" spans="2:16" ht="13.9" customHeight="1" outlineLevel="1" x14ac:dyDescent="0.25">
      <c r="B256" s="149"/>
      <c r="C256" s="150" t="s">
        <v>33</v>
      </c>
      <c r="D256" s="85">
        <v>0</v>
      </c>
      <c r="E256" s="86">
        <v>0</v>
      </c>
      <c r="F256" s="142">
        <f t="shared" si="29"/>
        <v>0</v>
      </c>
      <c r="G256" s="113">
        <v>0</v>
      </c>
      <c r="H256" s="86">
        <v>0</v>
      </c>
      <c r="I256" s="113">
        <v>0</v>
      </c>
      <c r="J256" s="114">
        <f t="shared" si="30"/>
        <v>0</v>
      </c>
      <c r="K256" s="113">
        <f t="shared" si="31"/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</row>
    <row r="257" spans="2:16" ht="13.9" customHeight="1" outlineLevel="1" x14ac:dyDescent="0.25">
      <c r="B257" s="149"/>
      <c r="C257" s="150" t="s">
        <v>34</v>
      </c>
      <c r="D257" s="85">
        <v>0</v>
      </c>
      <c r="E257" s="86">
        <v>0</v>
      </c>
      <c r="F257" s="142">
        <f t="shared" si="29"/>
        <v>0</v>
      </c>
      <c r="G257" s="113">
        <v>0</v>
      </c>
      <c r="H257" s="86">
        <v>0</v>
      </c>
      <c r="I257" s="113">
        <v>0</v>
      </c>
      <c r="J257" s="114">
        <f t="shared" si="30"/>
        <v>0</v>
      </c>
      <c r="K257" s="113">
        <f t="shared" si="31"/>
        <v>0</v>
      </c>
      <c r="L257" s="113">
        <v>0</v>
      </c>
      <c r="M257" s="113">
        <v>0</v>
      </c>
      <c r="N257" s="113">
        <v>0</v>
      </c>
      <c r="O257" s="113">
        <v>0</v>
      </c>
      <c r="P257" s="113">
        <v>0</v>
      </c>
    </row>
    <row r="258" spans="2:16" ht="13.9" customHeight="1" outlineLevel="1" x14ac:dyDescent="0.25">
      <c r="B258" s="149"/>
      <c r="C258" s="150" t="s">
        <v>35</v>
      </c>
      <c r="D258" s="85">
        <v>0</v>
      </c>
      <c r="E258" s="86">
        <v>0</v>
      </c>
      <c r="F258" s="142">
        <f t="shared" si="29"/>
        <v>0</v>
      </c>
      <c r="G258" s="113">
        <v>0</v>
      </c>
      <c r="H258" s="86">
        <v>0</v>
      </c>
      <c r="I258" s="113">
        <v>0</v>
      </c>
      <c r="J258" s="114">
        <f t="shared" si="30"/>
        <v>0</v>
      </c>
      <c r="K258" s="113">
        <f t="shared" si="31"/>
        <v>0</v>
      </c>
      <c r="L258" s="113">
        <v>0</v>
      </c>
      <c r="M258" s="113">
        <v>0</v>
      </c>
      <c r="N258" s="113">
        <v>0</v>
      </c>
      <c r="O258" s="113">
        <v>0</v>
      </c>
      <c r="P258" s="113">
        <v>0</v>
      </c>
    </row>
    <row r="259" spans="2:16" ht="13.9" customHeight="1" outlineLevel="1" x14ac:dyDescent="0.25">
      <c r="B259" s="149"/>
      <c r="C259" s="150" t="s">
        <v>36</v>
      </c>
      <c r="D259" s="85">
        <v>2</v>
      </c>
      <c r="E259" s="86">
        <v>16360938</v>
      </c>
      <c r="F259" s="142">
        <f t="shared" si="29"/>
        <v>6544375.2000000002</v>
      </c>
      <c r="G259" s="113">
        <v>6544368</v>
      </c>
      <c r="H259" s="86">
        <v>9816570</v>
      </c>
      <c r="I259" s="113">
        <v>7.1999999999999993</v>
      </c>
      <c r="J259" s="114">
        <f t="shared" si="30"/>
        <v>9816562.8000000007</v>
      </c>
      <c r="K259" s="113">
        <f t="shared" si="31"/>
        <v>3272187.6000000006</v>
      </c>
      <c r="L259" s="113">
        <v>6544375.2000000002</v>
      </c>
      <c r="M259" s="113">
        <v>0</v>
      </c>
      <c r="N259" s="113">
        <v>0</v>
      </c>
      <c r="O259" s="113">
        <v>0</v>
      </c>
      <c r="P259" s="113">
        <v>0</v>
      </c>
    </row>
    <row r="260" spans="2:16" ht="13.9" customHeight="1" outlineLevel="1" x14ac:dyDescent="0.25">
      <c r="B260" s="149"/>
      <c r="C260" s="150" t="s">
        <v>37</v>
      </c>
      <c r="D260" s="85">
        <v>0</v>
      </c>
      <c r="E260" s="86">
        <v>0</v>
      </c>
      <c r="F260" s="142">
        <f t="shared" si="29"/>
        <v>0</v>
      </c>
      <c r="G260" s="113">
        <v>0</v>
      </c>
      <c r="H260" s="86">
        <v>0</v>
      </c>
      <c r="I260" s="113">
        <v>0</v>
      </c>
      <c r="J260" s="114">
        <f t="shared" si="30"/>
        <v>0</v>
      </c>
      <c r="K260" s="113">
        <f t="shared" si="31"/>
        <v>0</v>
      </c>
      <c r="L260" s="113">
        <v>0</v>
      </c>
      <c r="M260" s="113">
        <v>0</v>
      </c>
      <c r="N260" s="113">
        <v>0</v>
      </c>
      <c r="O260" s="113">
        <v>0</v>
      </c>
      <c r="P260" s="113">
        <v>0</v>
      </c>
    </row>
    <row r="261" spans="2:16" ht="13.9" customHeight="1" outlineLevel="1" x14ac:dyDescent="0.25">
      <c r="B261" s="149"/>
      <c r="C261" s="150" t="s">
        <v>38</v>
      </c>
      <c r="D261" s="85">
        <v>0</v>
      </c>
      <c r="E261" s="86">
        <v>0</v>
      </c>
      <c r="F261" s="142">
        <f t="shared" si="29"/>
        <v>0</v>
      </c>
      <c r="G261" s="113">
        <v>0</v>
      </c>
      <c r="H261" s="86">
        <v>0</v>
      </c>
      <c r="I261" s="113">
        <v>0</v>
      </c>
      <c r="J261" s="114">
        <f t="shared" si="30"/>
        <v>0</v>
      </c>
      <c r="K261" s="113">
        <f t="shared" si="31"/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</row>
    <row r="262" spans="2:16" ht="13.9" customHeight="1" outlineLevel="1" x14ac:dyDescent="0.25">
      <c r="B262" s="149"/>
      <c r="C262" s="150" t="s">
        <v>39</v>
      </c>
      <c r="D262" s="85">
        <v>0</v>
      </c>
      <c r="E262" s="86">
        <v>0</v>
      </c>
      <c r="F262" s="142">
        <f t="shared" si="29"/>
        <v>0</v>
      </c>
      <c r="G262" s="113">
        <v>0</v>
      </c>
      <c r="H262" s="86">
        <v>0</v>
      </c>
      <c r="I262" s="113">
        <v>0</v>
      </c>
      <c r="J262" s="114">
        <f t="shared" si="30"/>
        <v>0</v>
      </c>
      <c r="K262" s="113">
        <f t="shared" si="31"/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</row>
    <row r="263" spans="2:16" ht="13.9" customHeight="1" outlineLevel="1" x14ac:dyDescent="0.25">
      <c r="B263" s="149"/>
      <c r="C263" s="150" t="s">
        <v>40</v>
      </c>
      <c r="D263" s="85">
        <v>1</v>
      </c>
      <c r="E263" s="86">
        <v>25775580</v>
      </c>
      <c r="F263" s="142">
        <f t="shared" si="29"/>
        <v>10310232</v>
      </c>
      <c r="G263" s="113">
        <v>10310232</v>
      </c>
      <c r="H263" s="86">
        <v>15465348</v>
      </c>
      <c r="I263" s="113">
        <v>0</v>
      </c>
      <c r="J263" s="114">
        <f t="shared" si="30"/>
        <v>15465348</v>
      </c>
      <c r="K263" s="113">
        <f t="shared" si="31"/>
        <v>5155116</v>
      </c>
      <c r="L263" s="113">
        <v>10310232</v>
      </c>
      <c r="M263" s="113">
        <v>0</v>
      </c>
      <c r="N263" s="113">
        <v>0</v>
      </c>
      <c r="O263" s="113">
        <v>0</v>
      </c>
      <c r="P263" s="113">
        <v>0</v>
      </c>
    </row>
    <row r="264" spans="2:16" ht="13.9" customHeight="1" outlineLevel="1" x14ac:dyDescent="0.25">
      <c r="B264" s="149"/>
      <c r="C264" s="150" t="s">
        <v>41</v>
      </c>
      <c r="D264" s="85">
        <v>0</v>
      </c>
      <c r="E264" s="86">
        <v>0</v>
      </c>
      <c r="F264" s="142">
        <f t="shared" si="29"/>
        <v>0</v>
      </c>
      <c r="G264" s="113">
        <v>0</v>
      </c>
      <c r="H264" s="86">
        <v>0</v>
      </c>
      <c r="I264" s="113">
        <v>0</v>
      </c>
      <c r="J264" s="114">
        <f t="shared" si="30"/>
        <v>0</v>
      </c>
      <c r="K264" s="113">
        <f t="shared" si="31"/>
        <v>0</v>
      </c>
      <c r="L264" s="113">
        <v>0</v>
      </c>
      <c r="M264" s="113">
        <v>0</v>
      </c>
      <c r="N264" s="113">
        <v>0</v>
      </c>
      <c r="O264" s="113">
        <v>0</v>
      </c>
      <c r="P264" s="113">
        <v>0</v>
      </c>
    </row>
    <row r="265" spans="2:16" ht="13.9" customHeight="1" outlineLevel="1" x14ac:dyDescent="0.25">
      <c r="B265" s="149"/>
      <c r="C265" s="150" t="s">
        <v>42</v>
      </c>
      <c r="D265" s="85">
        <v>0</v>
      </c>
      <c r="E265" s="86">
        <v>0</v>
      </c>
      <c r="F265" s="142">
        <f t="shared" si="29"/>
        <v>0</v>
      </c>
      <c r="G265" s="113">
        <v>0</v>
      </c>
      <c r="H265" s="86">
        <v>0</v>
      </c>
      <c r="I265" s="113">
        <v>0</v>
      </c>
      <c r="J265" s="114">
        <f t="shared" si="30"/>
        <v>0</v>
      </c>
      <c r="K265" s="113">
        <f t="shared" si="31"/>
        <v>0</v>
      </c>
      <c r="L265" s="113">
        <v>0</v>
      </c>
      <c r="M265" s="113">
        <v>0</v>
      </c>
      <c r="N265" s="113">
        <v>0</v>
      </c>
      <c r="O265" s="113">
        <v>0</v>
      </c>
      <c r="P265" s="113">
        <v>0</v>
      </c>
    </row>
    <row r="266" spans="2:16" ht="13.9" customHeight="1" outlineLevel="1" x14ac:dyDescent="0.25">
      <c r="B266" s="149"/>
      <c r="C266" s="150" t="s">
        <v>43</v>
      </c>
      <c r="D266" s="85">
        <v>3</v>
      </c>
      <c r="E266" s="86">
        <v>24847926</v>
      </c>
      <c r="F266" s="142">
        <f t="shared" si="29"/>
        <v>9463893.1999999993</v>
      </c>
      <c r="G266" s="113">
        <v>7456591.5999999996</v>
      </c>
      <c r="H266" s="86">
        <v>17391334.399999999</v>
      </c>
      <c r="I266" s="113">
        <v>2007301.6</v>
      </c>
      <c r="J266" s="114">
        <f t="shared" si="30"/>
        <v>15384032.799999999</v>
      </c>
      <c r="K266" s="113">
        <f t="shared" si="31"/>
        <v>1655141.9999999981</v>
      </c>
      <c r="L266" s="113">
        <v>13728890.800000001</v>
      </c>
      <c r="M266" s="113">
        <v>0</v>
      </c>
      <c r="N266" s="113">
        <v>0</v>
      </c>
      <c r="O266" s="113">
        <v>0</v>
      </c>
      <c r="P266" s="113">
        <v>0</v>
      </c>
    </row>
    <row r="267" spans="2:16" ht="13.9" customHeight="1" outlineLevel="1" x14ac:dyDescent="0.25">
      <c r="B267" s="149"/>
      <c r="C267" s="150" t="s">
        <v>44</v>
      </c>
      <c r="D267" s="85">
        <v>5</v>
      </c>
      <c r="E267" s="86">
        <v>27334835.399999999</v>
      </c>
      <c r="F267" s="142">
        <f t="shared" si="29"/>
        <v>9816538.1900000013</v>
      </c>
      <c r="G267" s="113">
        <v>9816538.1900000013</v>
      </c>
      <c r="H267" s="86">
        <v>17518297.210000001</v>
      </c>
      <c r="I267" s="113">
        <v>0</v>
      </c>
      <c r="J267" s="114">
        <f t="shared" si="30"/>
        <v>17518297.210000001</v>
      </c>
      <c r="K267" s="113">
        <f t="shared" si="31"/>
        <v>339877.50000000373</v>
      </c>
      <c r="L267" s="113">
        <v>5445986.9099999992</v>
      </c>
      <c r="M267" s="113">
        <v>11732432.799999999</v>
      </c>
      <c r="N267" s="113">
        <v>0</v>
      </c>
      <c r="O267" s="113">
        <v>0</v>
      </c>
      <c r="P267" s="113">
        <v>0</v>
      </c>
    </row>
    <row r="268" spans="2:16" ht="13.9" customHeight="1" outlineLevel="1" x14ac:dyDescent="0.25">
      <c r="B268" s="149"/>
      <c r="C268" s="150" t="s">
        <v>45</v>
      </c>
      <c r="D268" s="85">
        <v>2</v>
      </c>
      <c r="E268" s="86">
        <v>5749385</v>
      </c>
      <c r="F268" s="142">
        <f t="shared" si="29"/>
        <v>1730460</v>
      </c>
      <c r="G268" s="113">
        <v>1730460</v>
      </c>
      <c r="H268" s="86">
        <v>4018925</v>
      </c>
      <c r="I268" s="113">
        <v>0</v>
      </c>
      <c r="J268" s="114">
        <f t="shared" si="30"/>
        <v>4018925</v>
      </c>
      <c r="K268" s="113">
        <f t="shared" si="31"/>
        <v>276286.75999999978</v>
      </c>
      <c r="L268" s="113">
        <v>570728.92999999993</v>
      </c>
      <c r="M268" s="113">
        <v>872155.31</v>
      </c>
      <c r="N268" s="113">
        <v>2299754</v>
      </c>
      <c r="O268" s="113">
        <v>0</v>
      </c>
      <c r="P268" s="113">
        <v>0</v>
      </c>
    </row>
    <row r="269" spans="2:16" ht="13.9" customHeight="1" outlineLevel="1" x14ac:dyDescent="0.25">
      <c r="B269" s="149"/>
      <c r="C269" s="150" t="s">
        <v>46</v>
      </c>
      <c r="D269" s="85">
        <v>0</v>
      </c>
      <c r="E269" s="86">
        <v>0</v>
      </c>
      <c r="F269" s="142">
        <f t="shared" si="29"/>
        <v>0</v>
      </c>
      <c r="G269" s="113">
        <v>0</v>
      </c>
      <c r="H269" s="86">
        <v>0</v>
      </c>
      <c r="I269" s="113">
        <v>0</v>
      </c>
      <c r="J269" s="114">
        <f t="shared" si="30"/>
        <v>0</v>
      </c>
      <c r="K269" s="113">
        <f t="shared" si="31"/>
        <v>0</v>
      </c>
      <c r="L269" s="113">
        <v>0</v>
      </c>
      <c r="M269" s="113">
        <v>0</v>
      </c>
      <c r="N269" s="113">
        <v>0</v>
      </c>
      <c r="O269" s="113">
        <v>0</v>
      </c>
      <c r="P269" s="113">
        <v>0</v>
      </c>
    </row>
    <row r="270" spans="2:16" ht="13.9" customHeight="1" outlineLevel="1" x14ac:dyDescent="0.25">
      <c r="B270" s="149"/>
      <c r="C270" s="150" t="s">
        <v>47</v>
      </c>
      <c r="D270" s="85">
        <v>2</v>
      </c>
      <c r="E270" s="86">
        <v>5795225.75</v>
      </c>
      <c r="F270" s="142">
        <f t="shared" si="29"/>
        <v>2151088.6</v>
      </c>
      <c r="G270" s="113">
        <v>2151088.6</v>
      </c>
      <c r="H270" s="86">
        <v>3644137.15</v>
      </c>
      <c r="I270" s="113">
        <v>0</v>
      </c>
      <c r="J270" s="114">
        <f t="shared" si="30"/>
        <v>3644137.15</v>
      </c>
      <c r="K270" s="113">
        <f t="shared" si="31"/>
        <v>3644137.15</v>
      </c>
      <c r="L270" s="113">
        <v>0</v>
      </c>
      <c r="M270" s="113">
        <v>0</v>
      </c>
      <c r="N270" s="113">
        <v>0</v>
      </c>
      <c r="O270" s="113">
        <v>0</v>
      </c>
      <c r="P270" s="113">
        <v>0</v>
      </c>
    </row>
    <row r="271" spans="2:16" ht="13.9" customHeight="1" outlineLevel="1" x14ac:dyDescent="0.25">
      <c r="B271" s="149"/>
      <c r="C271" s="150" t="s">
        <v>48</v>
      </c>
      <c r="D271" s="85">
        <v>0</v>
      </c>
      <c r="E271" s="86">
        <v>0</v>
      </c>
      <c r="F271" s="142">
        <f t="shared" si="29"/>
        <v>0</v>
      </c>
      <c r="G271" s="113">
        <v>0</v>
      </c>
      <c r="H271" s="86">
        <v>0</v>
      </c>
      <c r="I271" s="113">
        <v>0</v>
      </c>
      <c r="J271" s="114">
        <f t="shared" si="30"/>
        <v>0</v>
      </c>
      <c r="K271" s="113">
        <f t="shared" si="31"/>
        <v>0</v>
      </c>
      <c r="L271" s="113">
        <v>0</v>
      </c>
      <c r="M271" s="113">
        <v>0</v>
      </c>
      <c r="N271" s="113">
        <v>0</v>
      </c>
      <c r="O271" s="113">
        <v>0</v>
      </c>
      <c r="P271" s="113">
        <v>0</v>
      </c>
    </row>
    <row r="272" spans="2:16" ht="13.9" customHeight="1" outlineLevel="1" x14ac:dyDescent="0.25">
      <c r="B272" s="149"/>
      <c r="C272" s="150" t="s">
        <v>49</v>
      </c>
      <c r="D272" s="85">
        <v>0</v>
      </c>
      <c r="E272" s="86">
        <v>0</v>
      </c>
      <c r="F272" s="142">
        <f t="shared" si="29"/>
        <v>0</v>
      </c>
      <c r="G272" s="113">
        <v>0</v>
      </c>
      <c r="H272" s="86">
        <v>0</v>
      </c>
      <c r="I272" s="113">
        <v>0</v>
      </c>
      <c r="J272" s="114">
        <f t="shared" si="30"/>
        <v>0</v>
      </c>
      <c r="K272" s="113">
        <f t="shared" si="31"/>
        <v>0</v>
      </c>
      <c r="L272" s="113">
        <v>0</v>
      </c>
      <c r="M272" s="113">
        <v>0</v>
      </c>
      <c r="N272" s="113">
        <v>0</v>
      </c>
      <c r="O272" s="113">
        <v>0</v>
      </c>
      <c r="P272" s="113">
        <v>0</v>
      </c>
    </row>
    <row r="273" spans="2:16" ht="13.9" customHeight="1" outlineLevel="1" x14ac:dyDescent="0.25">
      <c r="B273" s="149"/>
      <c r="C273" s="150" t="s">
        <v>50</v>
      </c>
      <c r="D273" s="85">
        <v>0</v>
      </c>
      <c r="E273" s="86">
        <v>0</v>
      </c>
      <c r="F273" s="142">
        <f t="shared" si="29"/>
        <v>0</v>
      </c>
      <c r="G273" s="113">
        <v>0</v>
      </c>
      <c r="H273" s="86">
        <v>0</v>
      </c>
      <c r="I273" s="113">
        <v>0</v>
      </c>
      <c r="J273" s="114">
        <f t="shared" si="30"/>
        <v>0</v>
      </c>
      <c r="K273" s="113">
        <f t="shared" si="31"/>
        <v>0</v>
      </c>
      <c r="L273" s="113">
        <v>0</v>
      </c>
      <c r="M273" s="113">
        <v>0</v>
      </c>
      <c r="N273" s="113">
        <v>0</v>
      </c>
      <c r="O273" s="113">
        <v>0</v>
      </c>
      <c r="P273" s="113">
        <v>0</v>
      </c>
    </row>
    <row r="274" spans="2:16" ht="13.9" customHeight="1" outlineLevel="1" x14ac:dyDescent="0.25">
      <c r="B274" s="149"/>
      <c r="C274" s="150" t="s">
        <v>51</v>
      </c>
      <c r="D274" s="85">
        <v>30</v>
      </c>
      <c r="E274" s="86">
        <v>42129042.149999999</v>
      </c>
      <c r="F274" s="142">
        <f t="shared" si="29"/>
        <v>12688121.17</v>
      </c>
      <c r="G274" s="113">
        <v>12688121.17</v>
      </c>
      <c r="H274" s="86">
        <v>29440920.979999997</v>
      </c>
      <c r="I274" s="113">
        <v>0</v>
      </c>
      <c r="J274" s="114">
        <f t="shared" si="30"/>
        <v>29440920.979999997</v>
      </c>
      <c r="K274" s="113">
        <f t="shared" si="31"/>
        <v>4163495.5199999958</v>
      </c>
      <c r="L274" s="113">
        <v>25277425.460000001</v>
      </c>
      <c r="M274" s="113">
        <v>0</v>
      </c>
      <c r="N274" s="113">
        <v>0</v>
      </c>
      <c r="O274" s="113">
        <v>0</v>
      </c>
      <c r="P274" s="113">
        <v>0</v>
      </c>
    </row>
    <row r="275" spans="2:16" ht="13.9" customHeight="1" outlineLevel="1" x14ac:dyDescent="0.25">
      <c r="B275" s="149"/>
      <c r="C275" s="150" t="s">
        <v>52</v>
      </c>
      <c r="D275" s="85">
        <v>0</v>
      </c>
      <c r="E275" s="86">
        <v>0</v>
      </c>
      <c r="F275" s="142">
        <f t="shared" si="29"/>
        <v>0</v>
      </c>
      <c r="G275" s="113">
        <v>0</v>
      </c>
      <c r="H275" s="86">
        <v>0</v>
      </c>
      <c r="I275" s="113">
        <v>0</v>
      </c>
      <c r="J275" s="114">
        <f t="shared" si="30"/>
        <v>0</v>
      </c>
      <c r="K275" s="113">
        <f t="shared" si="31"/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</row>
    <row r="276" spans="2:16" ht="13.9" customHeight="1" outlineLevel="1" x14ac:dyDescent="0.25">
      <c r="B276" s="149"/>
      <c r="C276" s="150" t="s">
        <v>53</v>
      </c>
      <c r="D276" s="85">
        <v>2</v>
      </c>
      <c r="E276" s="86">
        <v>11250682.199999999</v>
      </c>
      <c r="F276" s="142">
        <f t="shared" si="29"/>
        <v>3583332.79</v>
      </c>
      <c r="G276" s="113">
        <v>3583332.79</v>
      </c>
      <c r="H276" s="86">
        <v>7667349.4100000001</v>
      </c>
      <c r="I276" s="113">
        <v>0</v>
      </c>
      <c r="J276" s="114">
        <f t="shared" si="30"/>
        <v>7667349.4100000001</v>
      </c>
      <c r="K276" s="113">
        <f t="shared" si="31"/>
        <v>916940.08999999985</v>
      </c>
      <c r="L276" s="113">
        <v>2250136.44</v>
      </c>
      <c r="M276" s="113">
        <v>4500272.88</v>
      </c>
      <c r="N276" s="113">
        <v>0</v>
      </c>
      <c r="O276" s="113">
        <v>0</v>
      </c>
      <c r="P276" s="113">
        <v>0</v>
      </c>
    </row>
    <row r="277" spans="2:16" ht="13.9" customHeight="1" outlineLevel="1" x14ac:dyDescent="0.25">
      <c r="B277" s="149"/>
      <c r="C277" s="150" t="s">
        <v>54</v>
      </c>
      <c r="D277" s="85">
        <v>0</v>
      </c>
      <c r="E277" s="86">
        <v>0</v>
      </c>
      <c r="F277" s="142">
        <f t="shared" si="29"/>
        <v>0</v>
      </c>
      <c r="G277" s="113">
        <v>0</v>
      </c>
      <c r="H277" s="86">
        <v>0</v>
      </c>
      <c r="I277" s="113">
        <v>0</v>
      </c>
      <c r="J277" s="114">
        <f t="shared" si="30"/>
        <v>0</v>
      </c>
      <c r="K277" s="113">
        <f t="shared" si="31"/>
        <v>0</v>
      </c>
      <c r="L277" s="113">
        <v>0</v>
      </c>
      <c r="M277" s="113">
        <v>0</v>
      </c>
      <c r="N277" s="113">
        <v>0</v>
      </c>
      <c r="O277" s="113">
        <v>0</v>
      </c>
      <c r="P277" s="113">
        <v>0</v>
      </c>
    </row>
    <row r="278" spans="2:16" ht="13.9" customHeight="1" outlineLevel="1" x14ac:dyDescent="0.25">
      <c r="B278" s="149"/>
      <c r="C278" s="150" t="s">
        <v>55</v>
      </c>
      <c r="D278" s="85">
        <v>0</v>
      </c>
      <c r="E278" s="86">
        <v>0</v>
      </c>
      <c r="F278" s="142">
        <f t="shared" si="29"/>
        <v>0</v>
      </c>
      <c r="G278" s="113">
        <v>0</v>
      </c>
      <c r="H278" s="86">
        <v>0</v>
      </c>
      <c r="I278" s="113">
        <v>0</v>
      </c>
      <c r="J278" s="114">
        <f t="shared" si="30"/>
        <v>0</v>
      </c>
      <c r="K278" s="113">
        <f t="shared" si="31"/>
        <v>0</v>
      </c>
      <c r="L278" s="113">
        <v>0</v>
      </c>
      <c r="M278" s="113">
        <v>0</v>
      </c>
      <c r="N278" s="113">
        <v>0</v>
      </c>
      <c r="O278" s="113">
        <v>0</v>
      </c>
      <c r="P278" s="113">
        <v>0</v>
      </c>
    </row>
    <row r="279" spans="2:16" ht="13.9" customHeight="1" outlineLevel="1" x14ac:dyDescent="0.25">
      <c r="B279" s="149"/>
      <c r="C279" s="150" t="s">
        <v>56</v>
      </c>
      <c r="D279" s="85">
        <v>0</v>
      </c>
      <c r="E279" s="86">
        <v>0</v>
      </c>
      <c r="F279" s="142">
        <f t="shared" si="29"/>
        <v>0</v>
      </c>
      <c r="G279" s="113">
        <v>0</v>
      </c>
      <c r="H279" s="86">
        <v>0</v>
      </c>
      <c r="I279" s="113">
        <v>0</v>
      </c>
      <c r="J279" s="114">
        <f t="shared" si="30"/>
        <v>0</v>
      </c>
      <c r="K279" s="113">
        <f t="shared" si="31"/>
        <v>0</v>
      </c>
      <c r="L279" s="113">
        <v>0</v>
      </c>
      <c r="M279" s="113">
        <v>0</v>
      </c>
      <c r="N279" s="113">
        <v>0</v>
      </c>
      <c r="O279" s="113">
        <v>0</v>
      </c>
      <c r="P279" s="113">
        <v>0</v>
      </c>
    </row>
    <row r="280" spans="2:16" ht="13.9" customHeight="1" outlineLevel="1" x14ac:dyDescent="0.25">
      <c r="B280" s="149"/>
      <c r="C280" s="150" t="s">
        <v>57</v>
      </c>
      <c r="D280" s="85">
        <v>0</v>
      </c>
      <c r="E280" s="86">
        <v>0</v>
      </c>
      <c r="F280" s="142">
        <f t="shared" si="29"/>
        <v>0</v>
      </c>
      <c r="G280" s="113">
        <v>0</v>
      </c>
      <c r="H280" s="86">
        <v>0</v>
      </c>
      <c r="I280" s="113">
        <v>0</v>
      </c>
      <c r="J280" s="114">
        <f t="shared" si="30"/>
        <v>0</v>
      </c>
      <c r="K280" s="113">
        <f t="shared" si="31"/>
        <v>0</v>
      </c>
      <c r="L280" s="113">
        <v>0</v>
      </c>
      <c r="M280" s="113">
        <v>0</v>
      </c>
      <c r="N280" s="113">
        <v>0</v>
      </c>
      <c r="O280" s="113">
        <v>0</v>
      </c>
      <c r="P280" s="113">
        <v>0</v>
      </c>
    </row>
    <row r="281" spans="2:16" ht="13.9" customHeight="1" outlineLevel="1" x14ac:dyDescent="0.25">
      <c r="B281" s="149"/>
      <c r="C281" s="150" t="s">
        <v>58</v>
      </c>
      <c r="D281" s="85">
        <v>0</v>
      </c>
      <c r="E281" s="86">
        <v>0</v>
      </c>
      <c r="F281" s="142">
        <f t="shared" si="29"/>
        <v>0</v>
      </c>
      <c r="G281" s="113">
        <v>0</v>
      </c>
      <c r="H281" s="86">
        <v>0</v>
      </c>
      <c r="I281" s="113">
        <v>0</v>
      </c>
      <c r="J281" s="114">
        <f t="shared" si="30"/>
        <v>0</v>
      </c>
      <c r="K281" s="113">
        <f t="shared" si="31"/>
        <v>0</v>
      </c>
      <c r="L281" s="113">
        <v>0</v>
      </c>
      <c r="M281" s="113">
        <v>0</v>
      </c>
      <c r="N281" s="113">
        <v>0</v>
      </c>
      <c r="O281" s="113">
        <v>0</v>
      </c>
      <c r="P281" s="113">
        <v>0</v>
      </c>
    </row>
    <row r="282" spans="2:16" ht="13.9" customHeight="1" outlineLevel="1" x14ac:dyDescent="0.25">
      <c r="B282" s="149"/>
      <c r="C282" s="150" t="s">
        <v>59</v>
      </c>
      <c r="D282" s="85">
        <v>0</v>
      </c>
      <c r="E282" s="86">
        <v>0</v>
      </c>
      <c r="F282" s="142">
        <f t="shared" si="29"/>
        <v>0</v>
      </c>
      <c r="G282" s="113">
        <v>0</v>
      </c>
      <c r="H282" s="86">
        <v>0</v>
      </c>
      <c r="I282" s="113">
        <v>0</v>
      </c>
      <c r="J282" s="114">
        <f t="shared" si="30"/>
        <v>0</v>
      </c>
      <c r="K282" s="113">
        <f t="shared" si="31"/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</row>
    <row r="283" spans="2:16" ht="13.9" customHeight="1" outlineLevel="1" x14ac:dyDescent="0.25">
      <c r="B283" s="149"/>
      <c r="C283" s="150" t="s">
        <v>60</v>
      </c>
      <c r="D283" s="85">
        <v>0</v>
      </c>
      <c r="E283" s="86">
        <v>0</v>
      </c>
      <c r="F283" s="142">
        <f t="shared" si="29"/>
        <v>0</v>
      </c>
      <c r="G283" s="113">
        <v>0</v>
      </c>
      <c r="H283" s="86">
        <v>0</v>
      </c>
      <c r="I283" s="113">
        <v>0</v>
      </c>
      <c r="J283" s="114">
        <f t="shared" si="30"/>
        <v>0</v>
      </c>
      <c r="K283" s="113">
        <f t="shared" si="31"/>
        <v>0</v>
      </c>
      <c r="L283" s="113">
        <v>0</v>
      </c>
      <c r="M283" s="113">
        <v>0</v>
      </c>
      <c r="N283" s="113">
        <v>0</v>
      </c>
      <c r="O283" s="113">
        <v>0</v>
      </c>
      <c r="P283" s="113">
        <v>0</v>
      </c>
    </row>
    <row r="284" spans="2:16" ht="13.9" customHeight="1" outlineLevel="1" x14ac:dyDescent="0.25">
      <c r="B284" s="149"/>
      <c r="C284" s="150" t="s">
        <v>61</v>
      </c>
      <c r="D284" s="85">
        <v>0</v>
      </c>
      <c r="E284" s="86">
        <v>0</v>
      </c>
      <c r="F284" s="142">
        <f t="shared" si="29"/>
        <v>0</v>
      </c>
      <c r="G284" s="113">
        <v>0</v>
      </c>
      <c r="H284" s="86">
        <v>0</v>
      </c>
      <c r="I284" s="113">
        <v>0</v>
      </c>
      <c r="J284" s="114">
        <f t="shared" si="30"/>
        <v>0</v>
      </c>
      <c r="K284" s="113">
        <f t="shared" si="31"/>
        <v>0</v>
      </c>
      <c r="L284" s="113">
        <v>0</v>
      </c>
      <c r="M284" s="113">
        <v>0</v>
      </c>
      <c r="N284" s="113">
        <v>0</v>
      </c>
      <c r="O284" s="113">
        <v>0</v>
      </c>
      <c r="P284" s="113">
        <v>0</v>
      </c>
    </row>
    <row r="285" spans="2:16" ht="13.9" customHeight="1" outlineLevel="1" x14ac:dyDescent="0.25">
      <c r="B285" s="149"/>
      <c r="C285" s="150" t="s">
        <v>62</v>
      </c>
      <c r="D285" s="85">
        <v>0</v>
      </c>
      <c r="E285" s="86">
        <v>0</v>
      </c>
      <c r="F285" s="142">
        <f t="shared" si="29"/>
        <v>0</v>
      </c>
      <c r="G285" s="113">
        <v>0</v>
      </c>
      <c r="H285" s="86">
        <v>0</v>
      </c>
      <c r="I285" s="113">
        <v>0</v>
      </c>
      <c r="J285" s="114">
        <f t="shared" si="30"/>
        <v>0</v>
      </c>
      <c r="K285" s="113">
        <f t="shared" si="31"/>
        <v>0</v>
      </c>
      <c r="L285" s="113">
        <v>0</v>
      </c>
      <c r="M285" s="113">
        <v>0</v>
      </c>
      <c r="N285" s="113">
        <v>0</v>
      </c>
      <c r="O285" s="113">
        <v>0</v>
      </c>
      <c r="P285" s="113">
        <v>0</v>
      </c>
    </row>
    <row r="286" spans="2:16" ht="13.9" customHeight="1" outlineLevel="1" x14ac:dyDescent="0.25">
      <c r="B286" s="149"/>
      <c r="C286" s="150" t="s">
        <v>63</v>
      </c>
      <c r="D286" s="85">
        <v>0</v>
      </c>
      <c r="E286" s="86">
        <v>0</v>
      </c>
      <c r="F286" s="142">
        <f t="shared" si="29"/>
        <v>0</v>
      </c>
      <c r="G286" s="113">
        <v>0</v>
      </c>
      <c r="H286" s="86">
        <v>0</v>
      </c>
      <c r="I286" s="113">
        <v>0</v>
      </c>
      <c r="J286" s="114">
        <f t="shared" si="30"/>
        <v>0</v>
      </c>
      <c r="K286" s="113">
        <f t="shared" si="31"/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</row>
    <row r="287" spans="2:16" ht="13.9" customHeight="1" outlineLevel="1" x14ac:dyDescent="0.25">
      <c r="B287" s="149"/>
      <c r="C287" s="150" t="s">
        <v>64</v>
      </c>
      <c r="D287" s="85">
        <v>0</v>
      </c>
      <c r="E287" s="86">
        <v>0</v>
      </c>
      <c r="F287" s="142">
        <f t="shared" si="29"/>
        <v>0</v>
      </c>
      <c r="G287" s="113">
        <v>0</v>
      </c>
      <c r="H287" s="86">
        <v>0</v>
      </c>
      <c r="I287" s="113">
        <v>0</v>
      </c>
      <c r="J287" s="114">
        <f t="shared" si="30"/>
        <v>0</v>
      </c>
      <c r="K287" s="113">
        <f t="shared" si="31"/>
        <v>0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</row>
    <row r="288" spans="2:16" ht="13.9" customHeight="1" outlineLevel="1" x14ac:dyDescent="0.25">
      <c r="B288" s="149"/>
      <c r="C288" s="150" t="s">
        <v>65</v>
      </c>
      <c r="D288" s="85">
        <v>0</v>
      </c>
      <c r="E288" s="86">
        <v>0</v>
      </c>
      <c r="F288" s="142">
        <f t="shared" si="29"/>
        <v>0</v>
      </c>
      <c r="G288" s="113">
        <v>0</v>
      </c>
      <c r="H288" s="86">
        <v>0</v>
      </c>
      <c r="I288" s="113">
        <v>0</v>
      </c>
      <c r="J288" s="114">
        <f t="shared" si="30"/>
        <v>0</v>
      </c>
      <c r="K288" s="113">
        <f t="shared" si="31"/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</row>
    <row r="289" spans="2:16" ht="13.9" customHeight="1" outlineLevel="1" x14ac:dyDescent="0.25">
      <c r="B289" s="149"/>
      <c r="C289" s="150" t="s">
        <v>66</v>
      </c>
      <c r="D289" s="85">
        <v>0</v>
      </c>
      <c r="E289" s="86">
        <v>0</v>
      </c>
      <c r="F289" s="142">
        <f t="shared" si="29"/>
        <v>0</v>
      </c>
      <c r="G289" s="113">
        <v>0</v>
      </c>
      <c r="H289" s="86">
        <v>0</v>
      </c>
      <c r="I289" s="113">
        <v>0</v>
      </c>
      <c r="J289" s="114">
        <f t="shared" si="30"/>
        <v>0</v>
      </c>
      <c r="K289" s="113">
        <f t="shared" si="31"/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</row>
    <row r="290" spans="2:16" ht="13.9" customHeight="1" outlineLevel="1" x14ac:dyDescent="0.25">
      <c r="B290" s="149"/>
      <c r="C290" s="150" t="s">
        <v>67</v>
      </c>
      <c r="D290" s="85">
        <v>0</v>
      </c>
      <c r="E290" s="86">
        <v>0</v>
      </c>
      <c r="F290" s="142">
        <f t="shared" si="29"/>
        <v>0</v>
      </c>
      <c r="G290" s="113">
        <v>0</v>
      </c>
      <c r="H290" s="86">
        <v>0</v>
      </c>
      <c r="I290" s="113">
        <v>0</v>
      </c>
      <c r="J290" s="114">
        <f t="shared" si="30"/>
        <v>0</v>
      </c>
      <c r="K290" s="113">
        <f t="shared" si="31"/>
        <v>0</v>
      </c>
      <c r="L290" s="113">
        <v>0</v>
      </c>
      <c r="M290" s="113">
        <v>0</v>
      </c>
      <c r="N290" s="113">
        <v>0</v>
      </c>
      <c r="O290" s="113">
        <v>0</v>
      </c>
      <c r="P290" s="113">
        <v>0</v>
      </c>
    </row>
    <row r="291" spans="2:16" ht="13.9" customHeight="1" x14ac:dyDescent="0.25">
      <c r="B291" s="149"/>
      <c r="C291" s="148" t="s">
        <v>103</v>
      </c>
      <c r="D291" s="90">
        <f>SUM(D254:D290)</f>
        <v>47</v>
      </c>
      <c r="E291" s="91">
        <f t="shared" ref="E291:P291" si="32">SUM(E254:E290)</f>
        <v>159243614.5</v>
      </c>
      <c r="F291" s="92">
        <f t="shared" si="32"/>
        <v>56288041.150000006</v>
      </c>
      <c r="G291" s="93">
        <f t="shared" si="32"/>
        <v>54280732.350000009</v>
      </c>
      <c r="H291" s="90">
        <f t="shared" si="32"/>
        <v>104962882.15000001</v>
      </c>
      <c r="I291" s="91">
        <f t="shared" si="32"/>
        <v>2007308.8</v>
      </c>
      <c r="J291" s="92">
        <f t="shared" si="32"/>
        <v>102955573.34999999</v>
      </c>
      <c r="K291" s="93">
        <f t="shared" si="32"/>
        <v>19423182.620000001</v>
      </c>
      <c r="L291" s="90">
        <f t="shared" si="32"/>
        <v>64127775.739999995</v>
      </c>
      <c r="M291" s="91">
        <f t="shared" si="32"/>
        <v>17104860.989999998</v>
      </c>
      <c r="N291" s="90">
        <f t="shared" si="32"/>
        <v>2299754</v>
      </c>
      <c r="O291" s="91">
        <f t="shared" si="32"/>
        <v>0</v>
      </c>
      <c r="P291" s="91">
        <f t="shared" si="32"/>
        <v>0</v>
      </c>
    </row>
    <row r="292" spans="2:16" ht="13.9" customHeight="1" outlineLevel="1" x14ac:dyDescent="0.25">
      <c r="B292" s="149" t="s">
        <v>83</v>
      </c>
      <c r="C292" s="150" t="s">
        <v>70</v>
      </c>
      <c r="D292" s="85">
        <v>9</v>
      </c>
      <c r="E292" s="86">
        <v>31650263.029999997</v>
      </c>
      <c r="F292" s="142">
        <f t="shared" si="29"/>
        <v>12158856.389999999</v>
      </c>
      <c r="G292" s="113">
        <v>10850281.959999999</v>
      </c>
      <c r="H292" s="86">
        <v>20799981.07</v>
      </c>
      <c r="I292" s="113">
        <v>1308574.4300000002</v>
      </c>
      <c r="J292" s="114">
        <f t="shared" si="30"/>
        <v>19491406.640000001</v>
      </c>
      <c r="K292" s="113">
        <f t="shared" si="31"/>
        <v>4081483</v>
      </c>
      <c r="L292" s="113">
        <v>4410649.91</v>
      </c>
      <c r="M292" s="113">
        <v>7818402.6899999995</v>
      </c>
      <c r="N292" s="113">
        <v>3180871.04</v>
      </c>
      <c r="O292" s="113">
        <v>0</v>
      </c>
      <c r="P292" s="113">
        <v>0</v>
      </c>
    </row>
    <row r="293" spans="2:16" ht="13.9" customHeight="1" outlineLevel="1" x14ac:dyDescent="0.25">
      <c r="B293" s="149"/>
      <c r="C293" s="150" t="s">
        <v>71</v>
      </c>
      <c r="D293" s="85">
        <v>5</v>
      </c>
      <c r="E293" s="86">
        <v>97719035.769999996</v>
      </c>
      <c r="F293" s="142">
        <f t="shared" si="29"/>
        <v>35215448.499999993</v>
      </c>
      <c r="G293" s="113">
        <v>34018530.519999996</v>
      </c>
      <c r="H293" s="86">
        <v>63700505.25</v>
      </c>
      <c r="I293" s="113">
        <v>1196917.98</v>
      </c>
      <c r="J293" s="114">
        <f t="shared" si="30"/>
        <v>62503587.270000003</v>
      </c>
      <c r="K293" s="113">
        <f t="shared" si="31"/>
        <v>9770871.9700000063</v>
      </c>
      <c r="L293" s="113">
        <v>37239926.100000001</v>
      </c>
      <c r="M293" s="113">
        <v>15492789.199999999</v>
      </c>
      <c r="N293" s="113">
        <v>0</v>
      </c>
      <c r="O293" s="113">
        <v>0</v>
      </c>
      <c r="P293" s="113">
        <v>0</v>
      </c>
    </row>
    <row r="294" spans="2:16" ht="13.9" customHeight="1" outlineLevel="1" x14ac:dyDescent="0.25">
      <c r="B294" s="149"/>
      <c r="C294" s="150" t="s">
        <v>72</v>
      </c>
      <c r="D294" s="85">
        <v>0</v>
      </c>
      <c r="E294" s="86">
        <v>0</v>
      </c>
      <c r="F294" s="142">
        <f t="shared" si="29"/>
        <v>0</v>
      </c>
      <c r="G294" s="113">
        <v>0</v>
      </c>
      <c r="H294" s="86">
        <v>0</v>
      </c>
      <c r="I294" s="113">
        <v>0</v>
      </c>
      <c r="J294" s="114">
        <f t="shared" si="30"/>
        <v>0</v>
      </c>
      <c r="K294" s="113">
        <f t="shared" si="31"/>
        <v>0</v>
      </c>
      <c r="L294" s="113">
        <v>0</v>
      </c>
      <c r="M294" s="113">
        <v>0</v>
      </c>
      <c r="N294" s="113">
        <v>0</v>
      </c>
      <c r="O294" s="113">
        <v>0</v>
      </c>
      <c r="P294" s="113">
        <v>0</v>
      </c>
    </row>
    <row r="295" spans="2:16" ht="13.9" customHeight="1" x14ac:dyDescent="0.25">
      <c r="B295" s="149"/>
      <c r="C295" s="148" t="s">
        <v>104</v>
      </c>
      <c r="D295" s="90">
        <f>SUM(D292:D294)</f>
        <v>14</v>
      </c>
      <c r="E295" s="91">
        <f t="shared" ref="E295:P295" si="33">SUM(E292:E294)</f>
        <v>129369298.8</v>
      </c>
      <c r="F295" s="92">
        <f t="shared" si="33"/>
        <v>47374304.889999993</v>
      </c>
      <c r="G295" s="93">
        <f t="shared" si="33"/>
        <v>44868812.479999997</v>
      </c>
      <c r="H295" s="90">
        <f t="shared" si="33"/>
        <v>84500486.319999993</v>
      </c>
      <c r="I295" s="91">
        <f t="shared" si="33"/>
        <v>2505492.41</v>
      </c>
      <c r="J295" s="92">
        <f t="shared" si="33"/>
        <v>81994993.909999996</v>
      </c>
      <c r="K295" s="93">
        <f t="shared" si="33"/>
        <v>13852354.970000006</v>
      </c>
      <c r="L295" s="90">
        <f t="shared" si="33"/>
        <v>41650576.010000005</v>
      </c>
      <c r="M295" s="91">
        <f t="shared" si="33"/>
        <v>23311191.890000001</v>
      </c>
      <c r="N295" s="90">
        <f t="shared" si="33"/>
        <v>3180871.04</v>
      </c>
      <c r="O295" s="91">
        <f t="shared" si="33"/>
        <v>0</v>
      </c>
      <c r="P295" s="91">
        <f t="shared" si="33"/>
        <v>0</v>
      </c>
    </row>
    <row r="296" spans="2:16" ht="13.9" customHeight="1" outlineLevel="1" x14ac:dyDescent="0.25">
      <c r="B296" s="149" t="s">
        <v>105</v>
      </c>
      <c r="C296" s="150" t="s">
        <v>75</v>
      </c>
      <c r="D296" s="85">
        <v>0</v>
      </c>
      <c r="E296" s="86">
        <v>0</v>
      </c>
      <c r="F296" s="142">
        <f t="shared" si="29"/>
        <v>0</v>
      </c>
      <c r="G296" s="113">
        <v>0</v>
      </c>
      <c r="H296" s="86">
        <v>0</v>
      </c>
      <c r="I296" s="113">
        <v>0</v>
      </c>
      <c r="J296" s="114">
        <f t="shared" si="30"/>
        <v>0</v>
      </c>
      <c r="K296" s="113">
        <f t="shared" si="31"/>
        <v>0</v>
      </c>
      <c r="L296" s="113">
        <v>0</v>
      </c>
      <c r="M296" s="113">
        <v>0</v>
      </c>
      <c r="N296" s="113">
        <v>0</v>
      </c>
      <c r="O296" s="113">
        <v>0</v>
      </c>
      <c r="P296" s="113">
        <v>0</v>
      </c>
    </row>
    <row r="297" spans="2:16" ht="13.9" customHeight="1" outlineLevel="1" x14ac:dyDescent="0.25">
      <c r="B297" s="149"/>
      <c r="C297" s="150" t="s">
        <v>76</v>
      </c>
      <c r="D297" s="85">
        <v>0</v>
      </c>
      <c r="E297" s="86">
        <v>0</v>
      </c>
      <c r="F297" s="142">
        <f t="shared" si="29"/>
        <v>0</v>
      </c>
      <c r="G297" s="113">
        <v>0</v>
      </c>
      <c r="H297" s="86">
        <v>0</v>
      </c>
      <c r="I297" s="113">
        <v>0</v>
      </c>
      <c r="J297" s="114">
        <f t="shared" si="30"/>
        <v>0</v>
      </c>
      <c r="K297" s="113">
        <f t="shared" si="31"/>
        <v>0</v>
      </c>
      <c r="L297" s="113">
        <v>0</v>
      </c>
      <c r="M297" s="113">
        <v>0</v>
      </c>
      <c r="N297" s="113">
        <v>0</v>
      </c>
      <c r="O297" s="113">
        <v>0</v>
      </c>
      <c r="P297" s="113">
        <v>0</v>
      </c>
    </row>
    <row r="298" spans="2:16" ht="13.9" customHeight="1" x14ac:dyDescent="0.25">
      <c r="B298" s="149"/>
      <c r="C298" s="148" t="s">
        <v>106</v>
      </c>
      <c r="D298" s="90">
        <f>SUM(D296:D297)</f>
        <v>0</v>
      </c>
      <c r="E298" s="91">
        <f t="shared" ref="E298:P298" si="34">SUM(E296:E297)</f>
        <v>0</v>
      </c>
      <c r="F298" s="92">
        <f t="shared" si="34"/>
        <v>0</v>
      </c>
      <c r="G298" s="93">
        <f t="shared" si="34"/>
        <v>0</v>
      </c>
      <c r="H298" s="90">
        <f t="shared" si="34"/>
        <v>0</v>
      </c>
      <c r="I298" s="91">
        <f t="shared" si="34"/>
        <v>0</v>
      </c>
      <c r="J298" s="92">
        <f t="shared" si="34"/>
        <v>0</v>
      </c>
      <c r="K298" s="93">
        <f t="shared" si="34"/>
        <v>0</v>
      </c>
      <c r="L298" s="90">
        <f t="shared" si="34"/>
        <v>0</v>
      </c>
      <c r="M298" s="91">
        <f t="shared" si="34"/>
        <v>0</v>
      </c>
      <c r="N298" s="90">
        <f t="shared" si="34"/>
        <v>0</v>
      </c>
      <c r="O298" s="91">
        <f t="shared" si="34"/>
        <v>0</v>
      </c>
      <c r="P298" s="91">
        <f t="shared" si="34"/>
        <v>0</v>
      </c>
    </row>
    <row r="299" spans="2:16" ht="13.9" customHeight="1" x14ac:dyDescent="0.25">
      <c r="B299" s="155" t="s">
        <v>78</v>
      </c>
      <c r="C299" s="155"/>
      <c r="D299" s="90">
        <f>D291+D295+D298</f>
        <v>61</v>
      </c>
      <c r="E299" s="91">
        <f t="shared" ref="E299:P299" si="35">E291+E295+E298</f>
        <v>288612913.30000001</v>
      </c>
      <c r="F299" s="92">
        <f t="shared" si="35"/>
        <v>103662346.03999999</v>
      </c>
      <c r="G299" s="93">
        <f t="shared" si="35"/>
        <v>99149544.830000013</v>
      </c>
      <c r="H299" s="90">
        <f t="shared" si="35"/>
        <v>189463368.47</v>
      </c>
      <c r="I299" s="91">
        <f t="shared" si="35"/>
        <v>4512801.21</v>
      </c>
      <c r="J299" s="92">
        <f t="shared" si="35"/>
        <v>184950567.25999999</v>
      </c>
      <c r="K299" s="93">
        <f t="shared" si="35"/>
        <v>33275537.590000007</v>
      </c>
      <c r="L299" s="90">
        <f t="shared" si="35"/>
        <v>105778351.75</v>
      </c>
      <c r="M299" s="91">
        <f t="shared" si="35"/>
        <v>40416052.879999995</v>
      </c>
      <c r="N299" s="90">
        <f t="shared" si="35"/>
        <v>5480625.04</v>
      </c>
      <c r="O299" s="91">
        <f t="shared" si="35"/>
        <v>0</v>
      </c>
      <c r="P299" s="91">
        <f t="shared" si="35"/>
        <v>0</v>
      </c>
    </row>
    <row r="300" spans="2:16" ht="13.9" customHeight="1" x14ac:dyDescent="0.25"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</row>
    <row r="301" spans="2:16" ht="13.9" customHeight="1" x14ac:dyDescent="0.25">
      <c r="B301" s="107" t="s">
        <v>91</v>
      </c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</row>
    <row r="302" spans="2:16" ht="13.9" customHeight="1" x14ac:dyDescent="0.25">
      <c r="B302" s="154" t="s">
        <v>26</v>
      </c>
      <c r="C302" s="148" t="s">
        <v>27</v>
      </c>
      <c r="D302" s="109" t="s">
        <v>28</v>
      </c>
      <c r="E302" s="110" t="s">
        <v>29</v>
      </c>
      <c r="F302" s="111" t="s">
        <v>85</v>
      </c>
      <c r="G302" s="112" t="s">
        <v>81</v>
      </c>
      <c r="H302" s="110" t="s">
        <v>82</v>
      </c>
      <c r="I302" s="112" t="s">
        <v>86</v>
      </c>
      <c r="J302" s="110" t="s">
        <v>87</v>
      </c>
      <c r="K302" s="112">
        <v>2026</v>
      </c>
      <c r="L302" s="112">
        <v>2027</v>
      </c>
      <c r="M302" s="110">
        <v>2028</v>
      </c>
      <c r="N302" s="112">
        <v>2029</v>
      </c>
      <c r="O302" s="110">
        <v>2030</v>
      </c>
      <c r="P302" s="112">
        <v>2031</v>
      </c>
    </row>
    <row r="303" spans="2:16" ht="13.9" customHeight="1" outlineLevel="1" x14ac:dyDescent="0.25">
      <c r="B303" s="149" t="s">
        <v>30</v>
      </c>
      <c r="C303" s="150" t="s">
        <v>31</v>
      </c>
      <c r="D303" s="85">
        <v>1</v>
      </c>
      <c r="E303" s="86">
        <v>1554047.58</v>
      </c>
      <c r="F303" s="142">
        <f t="shared" ref="F303:F346" si="36">G303+I303</f>
        <v>932428.55999999994</v>
      </c>
      <c r="G303" s="113">
        <v>931049.1</v>
      </c>
      <c r="H303" s="86">
        <v>622998.4800000001</v>
      </c>
      <c r="I303" s="113">
        <v>1379.46</v>
      </c>
      <c r="J303" s="114">
        <f t="shared" ref="J303:J346" si="37">H303-I303</f>
        <v>621619.02000000014</v>
      </c>
      <c r="K303" s="113">
        <f t="shared" ref="K303:K346" si="38">MAX(J303-SUM(L303:P303),0)</f>
        <v>621619.02000000014</v>
      </c>
      <c r="L303" s="113">
        <v>0</v>
      </c>
      <c r="M303" s="113">
        <v>0</v>
      </c>
      <c r="N303" s="113">
        <v>0</v>
      </c>
      <c r="O303" s="113">
        <v>0</v>
      </c>
      <c r="P303" s="113">
        <v>0</v>
      </c>
    </row>
    <row r="304" spans="2:16" ht="13.9" customHeight="1" outlineLevel="1" x14ac:dyDescent="0.25">
      <c r="B304" s="149"/>
      <c r="C304" s="150" t="s">
        <v>32</v>
      </c>
      <c r="D304" s="85">
        <v>0</v>
      </c>
      <c r="E304" s="86">
        <v>0</v>
      </c>
      <c r="F304" s="142">
        <f t="shared" si="36"/>
        <v>0</v>
      </c>
      <c r="G304" s="113">
        <v>0</v>
      </c>
      <c r="H304" s="86">
        <v>0</v>
      </c>
      <c r="I304" s="113">
        <v>0</v>
      </c>
      <c r="J304" s="114">
        <f t="shared" si="37"/>
        <v>0</v>
      </c>
      <c r="K304" s="113">
        <f t="shared" si="38"/>
        <v>0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</row>
    <row r="305" spans="2:16" ht="13.9" customHeight="1" outlineLevel="1" x14ac:dyDescent="0.25">
      <c r="B305" s="149"/>
      <c r="C305" s="150" t="s">
        <v>33</v>
      </c>
      <c r="D305" s="85">
        <v>0</v>
      </c>
      <c r="E305" s="86">
        <v>0</v>
      </c>
      <c r="F305" s="142">
        <f t="shared" si="36"/>
        <v>0</v>
      </c>
      <c r="G305" s="113">
        <v>0</v>
      </c>
      <c r="H305" s="86">
        <v>0</v>
      </c>
      <c r="I305" s="113">
        <v>0</v>
      </c>
      <c r="J305" s="114">
        <f t="shared" si="37"/>
        <v>0</v>
      </c>
      <c r="K305" s="113">
        <f t="shared" si="38"/>
        <v>0</v>
      </c>
      <c r="L305" s="113">
        <v>0</v>
      </c>
      <c r="M305" s="113">
        <v>0</v>
      </c>
      <c r="N305" s="113">
        <v>0</v>
      </c>
      <c r="O305" s="113">
        <v>0</v>
      </c>
      <c r="P305" s="113">
        <v>0</v>
      </c>
    </row>
    <row r="306" spans="2:16" ht="13.9" customHeight="1" outlineLevel="1" x14ac:dyDescent="0.25">
      <c r="B306" s="149"/>
      <c r="C306" s="150" t="s">
        <v>34</v>
      </c>
      <c r="D306" s="85">
        <v>6</v>
      </c>
      <c r="E306" s="86">
        <v>12916605.25</v>
      </c>
      <c r="F306" s="142">
        <f t="shared" si="36"/>
        <v>8829290.1099999994</v>
      </c>
      <c r="G306" s="113">
        <v>7749254</v>
      </c>
      <c r="H306" s="86">
        <v>5167351.25</v>
      </c>
      <c r="I306" s="113">
        <v>1080036.1099999999</v>
      </c>
      <c r="J306" s="114">
        <f t="shared" si="37"/>
        <v>4087315.14</v>
      </c>
      <c r="K306" s="113">
        <f t="shared" si="38"/>
        <v>1021828.71</v>
      </c>
      <c r="L306" s="113">
        <v>2043657.62</v>
      </c>
      <c r="M306" s="113">
        <v>1021828.81</v>
      </c>
      <c r="N306" s="113">
        <v>0</v>
      </c>
      <c r="O306" s="113">
        <v>0</v>
      </c>
      <c r="P306" s="113">
        <v>0</v>
      </c>
    </row>
    <row r="307" spans="2:16" ht="13.9" customHeight="1" outlineLevel="1" x14ac:dyDescent="0.25">
      <c r="B307" s="149"/>
      <c r="C307" s="150" t="s">
        <v>35</v>
      </c>
      <c r="D307" s="85">
        <v>0</v>
      </c>
      <c r="E307" s="86">
        <v>0</v>
      </c>
      <c r="F307" s="142">
        <f t="shared" si="36"/>
        <v>0</v>
      </c>
      <c r="G307" s="113">
        <v>0</v>
      </c>
      <c r="H307" s="86">
        <v>0</v>
      </c>
      <c r="I307" s="113">
        <v>0</v>
      </c>
      <c r="J307" s="114">
        <f t="shared" si="37"/>
        <v>0</v>
      </c>
      <c r="K307" s="113">
        <f t="shared" si="38"/>
        <v>0</v>
      </c>
      <c r="L307" s="113">
        <v>0</v>
      </c>
      <c r="M307" s="113">
        <v>0</v>
      </c>
      <c r="N307" s="113">
        <v>0</v>
      </c>
      <c r="O307" s="113">
        <v>0</v>
      </c>
      <c r="P307" s="113">
        <v>0</v>
      </c>
    </row>
    <row r="308" spans="2:16" ht="13.9" customHeight="1" outlineLevel="1" x14ac:dyDescent="0.25">
      <c r="B308" s="149"/>
      <c r="C308" s="150" t="s">
        <v>36</v>
      </c>
      <c r="D308" s="85">
        <v>6</v>
      </c>
      <c r="E308" s="86">
        <v>51812611</v>
      </c>
      <c r="F308" s="142">
        <f t="shared" si="36"/>
        <v>23517746.489999998</v>
      </c>
      <c r="G308" s="113">
        <v>23517746.09</v>
      </c>
      <c r="H308" s="86">
        <v>28294864.91</v>
      </c>
      <c r="I308" s="113">
        <v>0.4</v>
      </c>
      <c r="J308" s="114">
        <f t="shared" si="37"/>
        <v>28294864.510000002</v>
      </c>
      <c r="K308" s="113">
        <f t="shared" si="38"/>
        <v>6777256.1500000022</v>
      </c>
      <c r="L308" s="113">
        <v>21517608.359999999</v>
      </c>
      <c r="M308" s="113">
        <v>0</v>
      </c>
      <c r="N308" s="113">
        <v>0</v>
      </c>
      <c r="O308" s="113">
        <v>0</v>
      </c>
      <c r="P308" s="113">
        <v>0</v>
      </c>
    </row>
    <row r="309" spans="2:16" ht="13.9" customHeight="1" outlineLevel="1" x14ac:dyDescent="0.25">
      <c r="B309" s="149"/>
      <c r="C309" s="150" t="s">
        <v>37</v>
      </c>
      <c r="D309" s="85">
        <v>0</v>
      </c>
      <c r="E309" s="86">
        <v>0</v>
      </c>
      <c r="F309" s="142">
        <f t="shared" si="36"/>
        <v>0</v>
      </c>
      <c r="G309" s="113">
        <v>0</v>
      </c>
      <c r="H309" s="86">
        <v>0</v>
      </c>
      <c r="I309" s="113">
        <v>0</v>
      </c>
      <c r="J309" s="114">
        <f t="shared" si="37"/>
        <v>0</v>
      </c>
      <c r="K309" s="113">
        <f t="shared" si="38"/>
        <v>0</v>
      </c>
      <c r="L309" s="113">
        <v>0</v>
      </c>
      <c r="M309" s="113">
        <v>0</v>
      </c>
      <c r="N309" s="113">
        <v>0</v>
      </c>
      <c r="O309" s="113">
        <v>0</v>
      </c>
      <c r="P309" s="113">
        <v>0</v>
      </c>
    </row>
    <row r="310" spans="2:16" ht="13.9" customHeight="1" outlineLevel="1" x14ac:dyDescent="0.25">
      <c r="B310" s="149"/>
      <c r="C310" s="150" t="s">
        <v>38</v>
      </c>
      <c r="D310" s="85">
        <v>0</v>
      </c>
      <c r="E310" s="86">
        <v>0</v>
      </c>
      <c r="F310" s="142">
        <f t="shared" si="36"/>
        <v>0</v>
      </c>
      <c r="G310" s="113">
        <v>0</v>
      </c>
      <c r="H310" s="86">
        <v>0</v>
      </c>
      <c r="I310" s="113">
        <v>0</v>
      </c>
      <c r="J310" s="114">
        <f t="shared" si="37"/>
        <v>0</v>
      </c>
      <c r="K310" s="113">
        <f t="shared" si="38"/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</row>
    <row r="311" spans="2:16" ht="13.9" customHeight="1" outlineLevel="1" x14ac:dyDescent="0.25">
      <c r="B311" s="149"/>
      <c r="C311" s="150" t="s">
        <v>39</v>
      </c>
      <c r="D311" s="85">
        <v>0</v>
      </c>
      <c r="E311" s="86">
        <v>0</v>
      </c>
      <c r="F311" s="142">
        <f t="shared" si="36"/>
        <v>0</v>
      </c>
      <c r="G311" s="113">
        <v>0</v>
      </c>
      <c r="H311" s="86">
        <v>0</v>
      </c>
      <c r="I311" s="113">
        <v>0</v>
      </c>
      <c r="J311" s="114">
        <f t="shared" si="37"/>
        <v>0</v>
      </c>
      <c r="K311" s="113">
        <f t="shared" si="38"/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</row>
    <row r="312" spans="2:16" ht="13.9" customHeight="1" outlineLevel="1" x14ac:dyDescent="0.25">
      <c r="B312" s="149"/>
      <c r="C312" s="150" t="s">
        <v>40</v>
      </c>
      <c r="D312" s="85">
        <v>1</v>
      </c>
      <c r="E312" s="86">
        <v>32094120</v>
      </c>
      <c r="F312" s="142">
        <f t="shared" si="36"/>
        <v>16047060</v>
      </c>
      <c r="G312" s="113">
        <v>16047060</v>
      </c>
      <c r="H312" s="86">
        <v>16047060</v>
      </c>
      <c r="I312" s="113">
        <v>0</v>
      </c>
      <c r="J312" s="114">
        <f t="shared" si="37"/>
        <v>16047060</v>
      </c>
      <c r="K312" s="113">
        <f t="shared" si="38"/>
        <v>16047060</v>
      </c>
      <c r="L312" s="113">
        <v>0</v>
      </c>
      <c r="M312" s="113">
        <v>0</v>
      </c>
      <c r="N312" s="113">
        <v>0</v>
      </c>
      <c r="O312" s="113">
        <v>0</v>
      </c>
      <c r="P312" s="113">
        <v>0</v>
      </c>
    </row>
    <row r="313" spans="2:16" ht="13.9" customHeight="1" outlineLevel="1" x14ac:dyDescent="0.25">
      <c r="B313" s="149"/>
      <c r="C313" s="150" t="s">
        <v>41</v>
      </c>
      <c r="D313" s="85">
        <v>0</v>
      </c>
      <c r="E313" s="86">
        <v>0</v>
      </c>
      <c r="F313" s="142">
        <f t="shared" si="36"/>
        <v>0</v>
      </c>
      <c r="G313" s="113">
        <v>0</v>
      </c>
      <c r="H313" s="86">
        <v>0</v>
      </c>
      <c r="I313" s="113">
        <v>0</v>
      </c>
      <c r="J313" s="114">
        <f t="shared" si="37"/>
        <v>0</v>
      </c>
      <c r="K313" s="113">
        <f t="shared" si="38"/>
        <v>0</v>
      </c>
      <c r="L313" s="113">
        <v>0</v>
      </c>
      <c r="M313" s="113">
        <v>0</v>
      </c>
      <c r="N313" s="113">
        <v>0</v>
      </c>
      <c r="O313" s="113">
        <v>0</v>
      </c>
      <c r="P313" s="113">
        <v>0</v>
      </c>
    </row>
    <row r="314" spans="2:16" ht="13.9" customHeight="1" outlineLevel="1" x14ac:dyDescent="0.25">
      <c r="B314" s="149"/>
      <c r="C314" s="150" t="s">
        <v>42</v>
      </c>
      <c r="D314" s="85">
        <v>27</v>
      </c>
      <c r="E314" s="86">
        <v>65027488.800000012</v>
      </c>
      <c r="F314" s="142">
        <f t="shared" si="36"/>
        <v>34220167.210000008</v>
      </c>
      <c r="G314" s="113">
        <v>33647039.650000006</v>
      </c>
      <c r="H314" s="86">
        <v>31380449.150000002</v>
      </c>
      <c r="I314" s="113">
        <v>573127.55999999959</v>
      </c>
      <c r="J314" s="114">
        <f t="shared" si="37"/>
        <v>30807321.590000004</v>
      </c>
      <c r="K314" s="113">
        <f t="shared" si="38"/>
        <v>8829267.6700000055</v>
      </c>
      <c r="L314" s="113">
        <v>21978053.919999998</v>
      </c>
      <c r="M314" s="113">
        <v>0</v>
      </c>
      <c r="N314" s="113">
        <v>0</v>
      </c>
      <c r="O314" s="113">
        <v>0</v>
      </c>
      <c r="P314" s="113">
        <v>0</v>
      </c>
    </row>
    <row r="315" spans="2:16" ht="13.9" customHeight="1" outlineLevel="1" x14ac:dyDescent="0.25">
      <c r="B315" s="149"/>
      <c r="C315" s="150" t="s">
        <v>43</v>
      </c>
      <c r="D315" s="85">
        <v>24</v>
      </c>
      <c r="E315" s="86">
        <v>112417136</v>
      </c>
      <c r="F315" s="142">
        <f t="shared" si="36"/>
        <v>60052573.729999997</v>
      </c>
      <c r="G315" s="113">
        <v>59034419.619999997</v>
      </c>
      <c r="H315" s="86">
        <v>53382716.380000003</v>
      </c>
      <c r="I315" s="113">
        <v>1018154.11</v>
      </c>
      <c r="J315" s="114">
        <f t="shared" si="37"/>
        <v>52364562.270000003</v>
      </c>
      <c r="K315" s="113">
        <f t="shared" si="38"/>
        <v>5356512.8700000048</v>
      </c>
      <c r="L315" s="113">
        <v>47008049.399999999</v>
      </c>
      <c r="M315" s="113">
        <v>0</v>
      </c>
      <c r="N315" s="113">
        <v>0</v>
      </c>
      <c r="O315" s="113">
        <v>0</v>
      </c>
      <c r="P315" s="113">
        <v>0</v>
      </c>
    </row>
    <row r="316" spans="2:16" ht="13.9" customHeight="1" outlineLevel="1" x14ac:dyDescent="0.25">
      <c r="B316" s="149"/>
      <c r="C316" s="150" t="s">
        <v>44</v>
      </c>
      <c r="D316" s="85">
        <v>0</v>
      </c>
      <c r="E316" s="86">
        <v>0</v>
      </c>
      <c r="F316" s="142">
        <f t="shared" si="36"/>
        <v>0</v>
      </c>
      <c r="G316" s="113">
        <v>0</v>
      </c>
      <c r="H316" s="86">
        <v>0</v>
      </c>
      <c r="I316" s="113">
        <v>0</v>
      </c>
      <c r="J316" s="114">
        <f t="shared" si="37"/>
        <v>0</v>
      </c>
      <c r="K316" s="113">
        <f t="shared" si="38"/>
        <v>0</v>
      </c>
      <c r="L316" s="113">
        <v>0</v>
      </c>
      <c r="M316" s="113">
        <v>0</v>
      </c>
      <c r="N316" s="113">
        <v>0</v>
      </c>
      <c r="O316" s="113">
        <v>0</v>
      </c>
      <c r="P316" s="113">
        <v>0</v>
      </c>
    </row>
    <row r="317" spans="2:16" ht="13.9" customHeight="1" outlineLevel="1" x14ac:dyDescent="0.25">
      <c r="B317" s="149"/>
      <c r="C317" s="150" t="s">
        <v>45</v>
      </c>
      <c r="D317" s="85">
        <v>0</v>
      </c>
      <c r="E317" s="86">
        <v>0</v>
      </c>
      <c r="F317" s="142">
        <f t="shared" si="36"/>
        <v>0</v>
      </c>
      <c r="G317" s="113">
        <v>0</v>
      </c>
      <c r="H317" s="86">
        <v>0</v>
      </c>
      <c r="I317" s="113">
        <v>0</v>
      </c>
      <c r="J317" s="114">
        <f t="shared" si="37"/>
        <v>0</v>
      </c>
      <c r="K317" s="113">
        <f t="shared" si="38"/>
        <v>0</v>
      </c>
      <c r="L317" s="113">
        <v>0</v>
      </c>
      <c r="M317" s="113">
        <v>0</v>
      </c>
      <c r="N317" s="113">
        <v>0</v>
      </c>
      <c r="O317" s="113">
        <v>0</v>
      </c>
      <c r="P317" s="113">
        <v>0</v>
      </c>
    </row>
    <row r="318" spans="2:16" ht="13.9" customHeight="1" outlineLevel="1" x14ac:dyDescent="0.25">
      <c r="B318" s="149"/>
      <c r="C318" s="150" t="s">
        <v>46</v>
      </c>
      <c r="D318" s="85">
        <v>0</v>
      </c>
      <c r="E318" s="86">
        <v>0</v>
      </c>
      <c r="F318" s="142">
        <f t="shared" si="36"/>
        <v>0</v>
      </c>
      <c r="G318" s="113">
        <v>0</v>
      </c>
      <c r="H318" s="86">
        <v>0</v>
      </c>
      <c r="I318" s="113">
        <v>0</v>
      </c>
      <c r="J318" s="114">
        <f t="shared" si="37"/>
        <v>0</v>
      </c>
      <c r="K318" s="113">
        <f t="shared" si="38"/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</row>
    <row r="319" spans="2:16" ht="13.9" customHeight="1" outlineLevel="1" x14ac:dyDescent="0.25">
      <c r="B319" s="149"/>
      <c r="C319" s="150" t="s">
        <v>47</v>
      </c>
      <c r="D319" s="85">
        <v>19</v>
      </c>
      <c r="E319" s="86">
        <v>63137039.600000001</v>
      </c>
      <c r="F319" s="142">
        <f t="shared" si="36"/>
        <v>35883740.510000005</v>
      </c>
      <c r="G319" s="113">
        <v>35396530.190000005</v>
      </c>
      <c r="H319" s="86">
        <v>27740509.409999996</v>
      </c>
      <c r="I319" s="113">
        <v>487210.31999999995</v>
      </c>
      <c r="J319" s="114">
        <f t="shared" si="37"/>
        <v>27253299.089999996</v>
      </c>
      <c r="K319" s="113">
        <f t="shared" si="38"/>
        <v>27253299.089999996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</row>
    <row r="320" spans="2:16" ht="13.9" customHeight="1" outlineLevel="1" x14ac:dyDescent="0.25">
      <c r="B320" s="149"/>
      <c r="C320" s="150" t="s">
        <v>48</v>
      </c>
      <c r="D320" s="85">
        <v>19</v>
      </c>
      <c r="E320" s="86">
        <v>23300751.099999998</v>
      </c>
      <c r="F320" s="142">
        <f t="shared" si="36"/>
        <v>11692634.77</v>
      </c>
      <c r="G320" s="113">
        <v>11692634.77</v>
      </c>
      <c r="H320" s="86">
        <v>11608116.33</v>
      </c>
      <c r="I320" s="113">
        <v>0</v>
      </c>
      <c r="J320" s="114">
        <f t="shared" si="37"/>
        <v>11608116.33</v>
      </c>
      <c r="K320" s="113">
        <f t="shared" si="38"/>
        <v>2287815.8900000025</v>
      </c>
      <c r="L320" s="113">
        <v>9320300.4399999976</v>
      </c>
      <c r="M320" s="113">
        <v>0</v>
      </c>
      <c r="N320" s="113">
        <v>0</v>
      </c>
      <c r="O320" s="113">
        <v>0</v>
      </c>
      <c r="P320" s="113">
        <v>0</v>
      </c>
    </row>
    <row r="321" spans="2:16" ht="13.9" customHeight="1" outlineLevel="1" x14ac:dyDescent="0.25">
      <c r="B321" s="149"/>
      <c r="C321" s="150" t="s">
        <v>49</v>
      </c>
      <c r="D321" s="85">
        <v>4</v>
      </c>
      <c r="E321" s="86">
        <v>37354854.909999996</v>
      </c>
      <c r="F321" s="142">
        <f t="shared" si="36"/>
        <v>22412912.939999998</v>
      </c>
      <c r="G321" s="113">
        <v>21169941.02</v>
      </c>
      <c r="H321" s="86">
        <v>16184913.889999999</v>
      </c>
      <c r="I321" s="113">
        <v>1242971.92</v>
      </c>
      <c r="J321" s="114">
        <f t="shared" si="37"/>
        <v>14941941.969999999</v>
      </c>
      <c r="K321" s="113">
        <f t="shared" si="38"/>
        <v>11721960.09</v>
      </c>
      <c r="L321" s="113">
        <v>3219981.88</v>
      </c>
      <c r="M321" s="113">
        <v>0</v>
      </c>
      <c r="N321" s="113">
        <v>0</v>
      </c>
      <c r="O321" s="113">
        <v>0</v>
      </c>
      <c r="P321" s="113">
        <v>0</v>
      </c>
    </row>
    <row r="322" spans="2:16" ht="13.9" customHeight="1" outlineLevel="1" x14ac:dyDescent="0.25">
      <c r="B322" s="149"/>
      <c r="C322" s="150" t="s">
        <v>50</v>
      </c>
      <c r="D322" s="85">
        <v>0</v>
      </c>
      <c r="E322" s="86">
        <v>0</v>
      </c>
      <c r="F322" s="142">
        <f t="shared" si="36"/>
        <v>0</v>
      </c>
      <c r="G322" s="113">
        <v>0</v>
      </c>
      <c r="H322" s="86">
        <v>0</v>
      </c>
      <c r="I322" s="113">
        <v>0</v>
      </c>
      <c r="J322" s="114">
        <f t="shared" si="37"/>
        <v>0</v>
      </c>
      <c r="K322" s="113">
        <f t="shared" si="38"/>
        <v>0</v>
      </c>
      <c r="L322" s="113">
        <v>0</v>
      </c>
      <c r="M322" s="113">
        <v>0</v>
      </c>
      <c r="N322" s="113">
        <v>0</v>
      </c>
      <c r="O322" s="113">
        <v>0</v>
      </c>
      <c r="P322" s="113">
        <v>0</v>
      </c>
    </row>
    <row r="323" spans="2:16" ht="13.9" customHeight="1" outlineLevel="1" x14ac:dyDescent="0.25">
      <c r="B323" s="149"/>
      <c r="C323" s="150" t="s">
        <v>51</v>
      </c>
      <c r="D323" s="85">
        <v>0</v>
      </c>
      <c r="E323" s="86">
        <v>0</v>
      </c>
      <c r="F323" s="142">
        <f t="shared" si="36"/>
        <v>0</v>
      </c>
      <c r="G323" s="113">
        <v>0</v>
      </c>
      <c r="H323" s="86">
        <v>0</v>
      </c>
      <c r="I323" s="113">
        <v>0</v>
      </c>
      <c r="J323" s="114">
        <f t="shared" si="37"/>
        <v>0</v>
      </c>
      <c r="K323" s="113">
        <f t="shared" si="38"/>
        <v>0</v>
      </c>
      <c r="L323" s="113">
        <v>0</v>
      </c>
      <c r="M323" s="113">
        <v>0</v>
      </c>
      <c r="N323" s="113">
        <v>0</v>
      </c>
      <c r="O323" s="113">
        <v>0</v>
      </c>
      <c r="P323" s="113">
        <v>0</v>
      </c>
    </row>
    <row r="324" spans="2:16" ht="13.9" customHeight="1" outlineLevel="1" x14ac:dyDescent="0.25">
      <c r="B324" s="149"/>
      <c r="C324" s="150" t="s">
        <v>52</v>
      </c>
      <c r="D324" s="85">
        <v>0</v>
      </c>
      <c r="E324" s="86">
        <v>0</v>
      </c>
      <c r="F324" s="142">
        <f t="shared" si="36"/>
        <v>0</v>
      </c>
      <c r="G324" s="113">
        <v>0</v>
      </c>
      <c r="H324" s="86">
        <v>0</v>
      </c>
      <c r="I324" s="113">
        <v>0</v>
      </c>
      <c r="J324" s="114">
        <f t="shared" si="37"/>
        <v>0</v>
      </c>
      <c r="K324" s="113">
        <f t="shared" si="38"/>
        <v>0</v>
      </c>
      <c r="L324" s="113">
        <v>0</v>
      </c>
      <c r="M324" s="113">
        <v>0</v>
      </c>
      <c r="N324" s="113">
        <v>0</v>
      </c>
      <c r="O324" s="113">
        <v>0</v>
      </c>
      <c r="P324" s="113">
        <v>0</v>
      </c>
    </row>
    <row r="325" spans="2:16" ht="13.9" customHeight="1" outlineLevel="1" x14ac:dyDescent="0.25">
      <c r="B325" s="149"/>
      <c r="C325" s="150" t="s">
        <v>53</v>
      </c>
      <c r="D325" s="85">
        <v>1</v>
      </c>
      <c r="E325" s="86">
        <v>6411405</v>
      </c>
      <c r="F325" s="142">
        <f t="shared" si="36"/>
        <v>2590074.5</v>
      </c>
      <c r="G325" s="113">
        <v>2590074.5</v>
      </c>
      <c r="H325" s="86">
        <v>3821330.5</v>
      </c>
      <c r="I325" s="113">
        <v>0</v>
      </c>
      <c r="J325" s="114">
        <f t="shared" si="37"/>
        <v>3821330.5</v>
      </c>
      <c r="K325" s="113">
        <f t="shared" si="38"/>
        <v>0</v>
      </c>
      <c r="L325" s="113">
        <v>1256768.5</v>
      </c>
      <c r="M325" s="113">
        <v>2564562</v>
      </c>
      <c r="N325" s="113">
        <v>0</v>
      </c>
      <c r="O325" s="113">
        <v>0</v>
      </c>
      <c r="P325" s="113">
        <v>0</v>
      </c>
    </row>
    <row r="326" spans="2:16" ht="13.9" customHeight="1" outlineLevel="1" x14ac:dyDescent="0.25">
      <c r="B326" s="149"/>
      <c r="C326" s="150" t="s">
        <v>54</v>
      </c>
      <c r="D326" s="85">
        <v>0</v>
      </c>
      <c r="E326" s="86">
        <v>0</v>
      </c>
      <c r="F326" s="142">
        <f t="shared" si="36"/>
        <v>0</v>
      </c>
      <c r="G326" s="113">
        <v>0</v>
      </c>
      <c r="H326" s="86">
        <v>0</v>
      </c>
      <c r="I326" s="113">
        <v>0</v>
      </c>
      <c r="J326" s="114">
        <f t="shared" si="37"/>
        <v>0</v>
      </c>
      <c r="K326" s="113">
        <f t="shared" si="38"/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</row>
    <row r="327" spans="2:16" ht="13.9" customHeight="1" outlineLevel="1" x14ac:dyDescent="0.25">
      <c r="B327" s="149"/>
      <c r="C327" s="150" t="s">
        <v>55</v>
      </c>
      <c r="D327" s="85">
        <v>0</v>
      </c>
      <c r="E327" s="86">
        <v>0</v>
      </c>
      <c r="F327" s="142">
        <f t="shared" si="36"/>
        <v>0</v>
      </c>
      <c r="G327" s="113">
        <v>0</v>
      </c>
      <c r="H327" s="86">
        <v>0</v>
      </c>
      <c r="I327" s="113">
        <v>0</v>
      </c>
      <c r="J327" s="114">
        <f t="shared" si="37"/>
        <v>0</v>
      </c>
      <c r="K327" s="113">
        <f t="shared" si="38"/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</row>
    <row r="328" spans="2:16" ht="13.9" customHeight="1" outlineLevel="1" x14ac:dyDescent="0.25">
      <c r="B328" s="149"/>
      <c r="C328" s="150" t="s">
        <v>56</v>
      </c>
      <c r="D328" s="85">
        <v>0</v>
      </c>
      <c r="E328" s="86">
        <v>0</v>
      </c>
      <c r="F328" s="142">
        <f t="shared" si="36"/>
        <v>0</v>
      </c>
      <c r="G328" s="113">
        <v>0</v>
      </c>
      <c r="H328" s="86">
        <v>0</v>
      </c>
      <c r="I328" s="113">
        <v>0</v>
      </c>
      <c r="J328" s="114">
        <f t="shared" si="37"/>
        <v>0</v>
      </c>
      <c r="K328" s="113">
        <f t="shared" si="38"/>
        <v>0</v>
      </c>
      <c r="L328" s="113">
        <v>0</v>
      </c>
      <c r="M328" s="113">
        <v>0</v>
      </c>
      <c r="N328" s="113">
        <v>0</v>
      </c>
      <c r="O328" s="113">
        <v>0</v>
      </c>
      <c r="P328" s="113">
        <v>0</v>
      </c>
    </row>
    <row r="329" spans="2:16" ht="13.9" customHeight="1" outlineLevel="1" x14ac:dyDescent="0.25">
      <c r="B329" s="149"/>
      <c r="C329" s="150" t="s">
        <v>57</v>
      </c>
      <c r="D329" s="85">
        <v>0</v>
      </c>
      <c r="E329" s="86">
        <v>0</v>
      </c>
      <c r="F329" s="142">
        <f t="shared" si="36"/>
        <v>0</v>
      </c>
      <c r="G329" s="113">
        <v>0</v>
      </c>
      <c r="H329" s="86">
        <v>0</v>
      </c>
      <c r="I329" s="113">
        <v>0</v>
      </c>
      <c r="J329" s="114">
        <f t="shared" si="37"/>
        <v>0</v>
      </c>
      <c r="K329" s="113">
        <f t="shared" si="38"/>
        <v>0</v>
      </c>
      <c r="L329" s="113">
        <v>0</v>
      </c>
      <c r="M329" s="113">
        <v>0</v>
      </c>
      <c r="N329" s="113">
        <v>0</v>
      </c>
      <c r="O329" s="113">
        <v>0</v>
      </c>
      <c r="P329" s="113">
        <v>0</v>
      </c>
    </row>
    <row r="330" spans="2:16" ht="13.9" customHeight="1" outlineLevel="1" x14ac:dyDescent="0.25">
      <c r="B330" s="149"/>
      <c r="C330" s="150" t="s">
        <v>58</v>
      </c>
      <c r="D330" s="85">
        <v>0</v>
      </c>
      <c r="E330" s="86">
        <v>0</v>
      </c>
      <c r="F330" s="142">
        <f t="shared" si="36"/>
        <v>0</v>
      </c>
      <c r="G330" s="113">
        <v>0</v>
      </c>
      <c r="H330" s="86">
        <v>0</v>
      </c>
      <c r="I330" s="113">
        <v>0</v>
      </c>
      <c r="J330" s="114">
        <f t="shared" si="37"/>
        <v>0</v>
      </c>
      <c r="K330" s="113">
        <f t="shared" si="38"/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</row>
    <row r="331" spans="2:16" ht="13.9" customHeight="1" outlineLevel="1" x14ac:dyDescent="0.25">
      <c r="B331" s="149"/>
      <c r="C331" s="150" t="s">
        <v>59</v>
      </c>
      <c r="D331" s="85">
        <v>0</v>
      </c>
      <c r="E331" s="86">
        <v>0</v>
      </c>
      <c r="F331" s="142">
        <f t="shared" si="36"/>
        <v>0</v>
      </c>
      <c r="G331" s="113">
        <v>0</v>
      </c>
      <c r="H331" s="86">
        <v>0</v>
      </c>
      <c r="I331" s="113">
        <v>0</v>
      </c>
      <c r="J331" s="114">
        <f t="shared" si="37"/>
        <v>0</v>
      </c>
      <c r="K331" s="113">
        <f t="shared" si="38"/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</row>
    <row r="332" spans="2:16" ht="13.9" customHeight="1" outlineLevel="1" x14ac:dyDescent="0.25">
      <c r="B332" s="149"/>
      <c r="C332" s="150" t="s">
        <v>60</v>
      </c>
      <c r="D332" s="85">
        <v>0</v>
      </c>
      <c r="E332" s="86">
        <v>0</v>
      </c>
      <c r="F332" s="142">
        <f t="shared" si="36"/>
        <v>0</v>
      </c>
      <c r="G332" s="113">
        <v>0</v>
      </c>
      <c r="H332" s="86">
        <v>0</v>
      </c>
      <c r="I332" s="113">
        <v>0</v>
      </c>
      <c r="J332" s="114">
        <f t="shared" si="37"/>
        <v>0</v>
      </c>
      <c r="K332" s="113">
        <f t="shared" si="38"/>
        <v>0</v>
      </c>
      <c r="L332" s="113">
        <v>0</v>
      </c>
      <c r="M332" s="113">
        <v>0</v>
      </c>
      <c r="N332" s="113">
        <v>0</v>
      </c>
      <c r="O332" s="113">
        <v>0</v>
      </c>
      <c r="P332" s="113">
        <v>0</v>
      </c>
    </row>
    <row r="333" spans="2:16" ht="13.9" customHeight="1" outlineLevel="1" x14ac:dyDescent="0.25">
      <c r="B333" s="149"/>
      <c r="C333" s="150" t="s">
        <v>61</v>
      </c>
      <c r="D333" s="85">
        <v>0</v>
      </c>
      <c r="E333" s="86">
        <v>0</v>
      </c>
      <c r="F333" s="142">
        <f t="shared" si="36"/>
        <v>0</v>
      </c>
      <c r="G333" s="113">
        <v>0</v>
      </c>
      <c r="H333" s="86">
        <v>0</v>
      </c>
      <c r="I333" s="113">
        <v>0</v>
      </c>
      <c r="J333" s="114">
        <f t="shared" si="37"/>
        <v>0</v>
      </c>
      <c r="K333" s="113">
        <f t="shared" si="38"/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</row>
    <row r="334" spans="2:16" ht="13.9" customHeight="1" outlineLevel="1" x14ac:dyDescent="0.25">
      <c r="B334" s="149"/>
      <c r="C334" s="150" t="s">
        <v>62</v>
      </c>
      <c r="D334" s="85">
        <v>0</v>
      </c>
      <c r="E334" s="86">
        <v>0</v>
      </c>
      <c r="F334" s="142">
        <f t="shared" si="36"/>
        <v>0</v>
      </c>
      <c r="G334" s="113">
        <v>0</v>
      </c>
      <c r="H334" s="86">
        <v>0</v>
      </c>
      <c r="I334" s="113">
        <v>0</v>
      </c>
      <c r="J334" s="114">
        <f t="shared" si="37"/>
        <v>0</v>
      </c>
      <c r="K334" s="113">
        <f t="shared" si="38"/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</row>
    <row r="335" spans="2:16" ht="13.9" customHeight="1" outlineLevel="1" x14ac:dyDescent="0.25">
      <c r="B335" s="149"/>
      <c r="C335" s="150" t="s">
        <v>63</v>
      </c>
      <c r="D335" s="85">
        <v>0</v>
      </c>
      <c r="E335" s="86">
        <v>0</v>
      </c>
      <c r="F335" s="142">
        <f t="shared" si="36"/>
        <v>0</v>
      </c>
      <c r="G335" s="113">
        <v>0</v>
      </c>
      <c r="H335" s="86">
        <v>0</v>
      </c>
      <c r="I335" s="113">
        <v>0</v>
      </c>
      <c r="J335" s="114">
        <f t="shared" si="37"/>
        <v>0</v>
      </c>
      <c r="K335" s="113">
        <f t="shared" si="38"/>
        <v>0</v>
      </c>
      <c r="L335" s="113">
        <v>0</v>
      </c>
      <c r="M335" s="113">
        <v>0</v>
      </c>
      <c r="N335" s="113">
        <v>0</v>
      </c>
      <c r="O335" s="113">
        <v>0</v>
      </c>
      <c r="P335" s="113">
        <v>0</v>
      </c>
    </row>
    <row r="336" spans="2:16" ht="13.9" customHeight="1" outlineLevel="1" x14ac:dyDescent="0.25">
      <c r="B336" s="149"/>
      <c r="C336" s="150" t="s">
        <v>64</v>
      </c>
      <c r="D336" s="85">
        <v>0</v>
      </c>
      <c r="E336" s="86">
        <v>0</v>
      </c>
      <c r="F336" s="142">
        <f t="shared" si="36"/>
        <v>0</v>
      </c>
      <c r="G336" s="113">
        <v>0</v>
      </c>
      <c r="H336" s="86">
        <v>0</v>
      </c>
      <c r="I336" s="113">
        <v>0</v>
      </c>
      <c r="J336" s="114">
        <f t="shared" si="37"/>
        <v>0</v>
      </c>
      <c r="K336" s="113">
        <f t="shared" si="38"/>
        <v>0</v>
      </c>
      <c r="L336" s="113">
        <v>0</v>
      </c>
      <c r="M336" s="113">
        <v>0</v>
      </c>
      <c r="N336" s="113">
        <v>0</v>
      </c>
      <c r="O336" s="113">
        <v>0</v>
      </c>
      <c r="P336" s="113">
        <v>0</v>
      </c>
    </row>
    <row r="337" spans="2:16" ht="13.9" customHeight="1" outlineLevel="1" x14ac:dyDescent="0.25">
      <c r="B337" s="149"/>
      <c r="C337" s="150" t="s">
        <v>65</v>
      </c>
      <c r="D337" s="85">
        <v>0</v>
      </c>
      <c r="E337" s="86">
        <v>0</v>
      </c>
      <c r="F337" s="142">
        <f t="shared" si="36"/>
        <v>0</v>
      </c>
      <c r="G337" s="113">
        <v>0</v>
      </c>
      <c r="H337" s="86">
        <v>0</v>
      </c>
      <c r="I337" s="113">
        <v>0</v>
      </c>
      <c r="J337" s="114">
        <f t="shared" si="37"/>
        <v>0</v>
      </c>
      <c r="K337" s="113">
        <f t="shared" si="38"/>
        <v>0</v>
      </c>
      <c r="L337" s="113">
        <v>0</v>
      </c>
      <c r="M337" s="113">
        <v>0</v>
      </c>
      <c r="N337" s="113">
        <v>0</v>
      </c>
      <c r="O337" s="113">
        <v>0</v>
      </c>
      <c r="P337" s="113">
        <v>0</v>
      </c>
    </row>
    <row r="338" spans="2:16" ht="13.9" customHeight="1" outlineLevel="1" x14ac:dyDescent="0.25">
      <c r="B338" s="149"/>
      <c r="C338" s="150" t="s">
        <v>66</v>
      </c>
      <c r="D338" s="85">
        <v>0</v>
      </c>
      <c r="E338" s="86">
        <v>0</v>
      </c>
      <c r="F338" s="142">
        <f t="shared" si="36"/>
        <v>0</v>
      </c>
      <c r="G338" s="113">
        <v>0</v>
      </c>
      <c r="H338" s="86">
        <v>0</v>
      </c>
      <c r="I338" s="113">
        <v>0</v>
      </c>
      <c r="J338" s="114">
        <f t="shared" si="37"/>
        <v>0</v>
      </c>
      <c r="K338" s="113">
        <f t="shared" si="38"/>
        <v>0</v>
      </c>
      <c r="L338" s="113">
        <v>0</v>
      </c>
      <c r="M338" s="113">
        <v>0</v>
      </c>
      <c r="N338" s="113">
        <v>0</v>
      </c>
      <c r="O338" s="113">
        <v>0</v>
      </c>
      <c r="P338" s="113">
        <v>0</v>
      </c>
    </row>
    <row r="339" spans="2:16" ht="13.9" customHeight="1" outlineLevel="1" x14ac:dyDescent="0.25">
      <c r="B339" s="149"/>
      <c r="C339" s="150" t="s">
        <v>67</v>
      </c>
      <c r="D339" s="85">
        <v>6</v>
      </c>
      <c r="E339" s="86">
        <v>24432330</v>
      </c>
      <c r="F339" s="142">
        <f t="shared" si="36"/>
        <v>14659398.199999999</v>
      </c>
      <c r="G339" s="113">
        <v>13794032.619999999</v>
      </c>
      <c r="H339" s="86">
        <v>10638297.380000001</v>
      </c>
      <c r="I339" s="113">
        <v>865365.58</v>
      </c>
      <c r="J339" s="114">
        <f t="shared" si="37"/>
        <v>9772931.8000000007</v>
      </c>
      <c r="K339" s="113">
        <f t="shared" si="38"/>
        <v>9772931.8000000007</v>
      </c>
      <c r="L339" s="113">
        <v>0</v>
      </c>
      <c r="M339" s="113">
        <v>0</v>
      </c>
      <c r="N339" s="113">
        <v>0</v>
      </c>
      <c r="O339" s="113">
        <v>0</v>
      </c>
      <c r="P339" s="113">
        <v>0</v>
      </c>
    </row>
    <row r="340" spans="2:16" ht="13.9" customHeight="1" x14ac:dyDescent="0.25">
      <c r="B340" s="149"/>
      <c r="C340" s="148" t="s">
        <v>103</v>
      </c>
      <c r="D340" s="90">
        <f>SUM(D303:D339)</f>
        <v>114</v>
      </c>
      <c r="E340" s="91">
        <f t="shared" ref="E340:P340" si="39">SUM(E303:E339)</f>
        <v>430458389.24000001</v>
      </c>
      <c r="F340" s="92">
        <f t="shared" si="39"/>
        <v>230838027.02000001</v>
      </c>
      <c r="G340" s="93">
        <f t="shared" si="39"/>
        <v>225569781.56000003</v>
      </c>
      <c r="H340" s="90">
        <f t="shared" si="39"/>
        <v>204888607.68000001</v>
      </c>
      <c r="I340" s="91">
        <f t="shared" si="39"/>
        <v>5268245.459999999</v>
      </c>
      <c r="J340" s="92">
        <f t="shared" si="39"/>
        <v>199620362.22000003</v>
      </c>
      <c r="K340" s="93">
        <f t="shared" si="39"/>
        <v>89689551.290000021</v>
      </c>
      <c r="L340" s="90">
        <f t="shared" si="39"/>
        <v>106344420.11999999</v>
      </c>
      <c r="M340" s="91">
        <f t="shared" si="39"/>
        <v>3586390.81</v>
      </c>
      <c r="N340" s="90">
        <f t="shared" si="39"/>
        <v>0</v>
      </c>
      <c r="O340" s="91">
        <f t="shared" si="39"/>
        <v>0</v>
      </c>
      <c r="P340" s="91">
        <f t="shared" si="39"/>
        <v>0</v>
      </c>
    </row>
    <row r="341" spans="2:16" ht="13.9" customHeight="1" outlineLevel="1" x14ac:dyDescent="0.25">
      <c r="B341" s="149" t="s">
        <v>83</v>
      </c>
      <c r="C341" s="150" t="s">
        <v>70</v>
      </c>
      <c r="D341" s="85">
        <v>30</v>
      </c>
      <c r="E341" s="86">
        <v>56674956.910000004</v>
      </c>
      <c r="F341" s="142">
        <f t="shared" si="36"/>
        <v>24268387.540000003</v>
      </c>
      <c r="G341" s="113">
        <v>24268385.810000002</v>
      </c>
      <c r="H341" s="86">
        <v>32406571.099999998</v>
      </c>
      <c r="I341" s="113">
        <v>1.73</v>
      </c>
      <c r="J341" s="114">
        <f t="shared" si="37"/>
        <v>32406569.369999997</v>
      </c>
      <c r="K341" s="113">
        <f t="shared" si="38"/>
        <v>6249839.9499999955</v>
      </c>
      <c r="L341" s="113">
        <v>12654830.57</v>
      </c>
      <c r="M341" s="113">
        <v>12602242.210000001</v>
      </c>
      <c r="N341" s="113">
        <v>899656.64</v>
      </c>
      <c r="O341" s="113">
        <v>0</v>
      </c>
      <c r="P341" s="113">
        <v>0</v>
      </c>
    </row>
    <row r="342" spans="2:16" ht="13.9" customHeight="1" outlineLevel="1" x14ac:dyDescent="0.25">
      <c r="B342" s="149"/>
      <c r="C342" s="150" t="s">
        <v>71</v>
      </c>
      <c r="D342" s="85">
        <v>8</v>
      </c>
      <c r="E342" s="86">
        <v>118787745.00999999</v>
      </c>
      <c r="F342" s="142">
        <f t="shared" si="36"/>
        <v>51157476.010000005</v>
      </c>
      <c r="G342" s="113">
        <v>51157476.010000005</v>
      </c>
      <c r="H342" s="86">
        <v>67630269</v>
      </c>
      <c r="I342" s="113">
        <v>0</v>
      </c>
      <c r="J342" s="114">
        <f t="shared" si="37"/>
        <v>67630269</v>
      </c>
      <c r="K342" s="113">
        <f t="shared" si="38"/>
        <v>5511401.9499999881</v>
      </c>
      <c r="L342" s="113">
        <v>39255814.850000009</v>
      </c>
      <c r="M342" s="113">
        <v>22863052.199999999</v>
      </c>
      <c r="N342" s="113">
        <v>0</v>
      </c>
      <c r="O342" s="113">
        <v>0</v>
      </c>
      <c r="P342" s="113">
        <v>0</v>
      </c>
    </row>
    <row r="343" spans="2:16" ht="13.9" customHeight="1" outlineLevel="1" x14ac:dyDescent="0.25">
      <c r="B343" s="149"/>
      <c r="C343" s="150" t="s">
        <v>72</v>
      </c>
      <c r="D343" s="85">
        <v>0</v>
      </c>
      <c r="E343" s="86">
        <v>0</v>
      </c>
      <c r="F343" s="142">
        <f t="shared" si="36"/>
        <v>0</v>
      </c>
      <c r="G343" s="113">
        <v>0</v>
      </c>
      <c r="H343" s="86">
        <v>0</v>
      </c>
      <c r="I343" s="113">
        <v>0</v>
      </c>
      <c r="J343" s="114">
        <f t="shared" si="37"/>
        <v>0</v>
      </c>
      <c r="K343" s="113">
        <f t="shared" si="38"/>
        <v>0</v>
      </c>
      <c r="L343" s="113">
        <v>0</v>
      </c>
      <c r="M343" s="113">
        <v>0</v>
      </c>
      <c r="N343" s="113">
        <v>0</v>
      </c>
      <c r="O343" s="113">
        <v>0</v>
      </c>
      <c r="P343" s="113">
        <v>0</v>
      </c>
    </row>
    <row r="344" spans="2:16" ht="13.9" customHeight="1" x14ac:dyDescent="0.25">
      <c r="B344" s="149"/>
      <c r="C344" s="148" t="s">
        <v>104</v>
      </c>
      <c r="D344" s="90">
        <f>SUM(D341:D343)</f>
        <v>38</v>
      </c>
      <c r="E344" s="91">
        <f t="shared" ref="E344:P344" si="40">SUM(E341:E343)</f>
        <v>175462701.91999999</v>
      </c>
      <c r="F344" s="92">
        <f t="shared" si="40"/>
        <v>75425863.550000012</v>
      </c>
      <c r="G344" s="93">
        <f t="shared" si="40"/>
        <v>75425861.820000008</v>
      </c>
      <c r="H344" s="90">
        <f t="shared" si="40"/>
        <v>100036840.09999999</v>
      </c>
      <c r="I344" s="91">
        <f t="shared" si="40"/>
        <v>1.73</v>
      </c>
      <c r="J344" s="92">
        <f t="shared" si="40"/>
        <v>100036838.37</v>
      </c>
      <c r="K344" s="93">
        <f t="shared" si="40"/>
        <v>11761241.899999984</v>
      </c>
      <c r="L344" s="90">
        <f t="shared" si="40"/>
        <v>51910645.420000009</v>
      </c>
      <c r="M344" s="91">
        <f t="shared" si="40"/>
        <v>35465294.409999996</v>
      </c>
      <c r="N344" s="90">
        <f t="shared" si="40"/>
        <v>899656.64</v>
      </c>
      <c r="O344" s="91">
        <f t="shared" si="40"/>
        <v>0</v>
      </c>
      <c r="P344" s="91">
        <f t="shared" si="40"/>
        <v>0</v>
      </c>
    </row>
    <row r="345" spans="2:16" ht="13.9" customHeight="1" outlineLevel="1" x14ac:dyDescent="0.25">
      <c r="B345" s="149" t="s">
        <v>105</v>
      </c>
      <c r="C345" s="150" t="s">
        <v>75</v>
      </c>
      <c r="D345" s="85">
        <v>0</v>
      </c>
      <c r="E345" s="86">
        <v>0</v>
      </c>
      <c r="F345" s="142">
        <f t="shared" si="36"/>
        <v>0</v>
      </c>
      <c r="G345" s="113">
        <v>0</v>
      </c>
      <c r="H345" s="86">
        <v>0</v>
      </c>
      <c r="I345" s="113">
        <v>0</v>
      </c>
      <c r="J345" s="114">
        <f t="shared" si="37"/>
        <v>0</v>
      </c>
      <c r="K345" s="113">
        <f t="shared" si="38"/>
        <v>0</v>
      </c>
      <c r="L345" s="113">
        <v>0</v>
      </c>
      <c r="M345" s="113">
        <v>0</v>
      </c>
      <c r="N345" s="113">
        <v>0</v>
      </c>
      <c r="O345" s="113">
        <v>0</v>
      </c>
      <c r="P345" s="113">
        <v>0</v>
      </c>
    </row>
    <row r="346" spans="2:16" ht="13.9" customHeight="1" outlineLevel="1" x14ac:dyDescent="0.25">
      <c r="B346" s="149"/>
      <c r="C346" s="150" t="s">
        <v>76</v>
      </c>
      <c r="D346" s="85">
        <v>0</v>
      </c>
      <c r="E346" s="86">
        <v>0</v>
      </c>
      <c r="F346" s="142">
        <f t="shared" si="36"/>
        <v>0</v>
      </c>
      <c r="G346" s="113">
        <v>0</v>
      </c>
      <c r="H346" s="86">
        <v>0</v>
      </c>
      <c r="I346" s="113">
        <v>0</v>
      </c>
      <c r="J346" s="114">
        <f t="shared" si="37"/>
        <v>0</v>
      </c>
      <c r="K346" s="113">
        <f t="shared" si="38"/>
        <v>0</v>
      </c>
      <c r="L346" s="113">
        <v>0</v>
      </c>
      <c r="M346" s="113">
        <v>0</v>
      </c>
      <c r="N346" s="113">
        <v>0</v>
      </c>
      <c r="O346" s="113">
        <v>0</v>
      </c>
      <c r="P346" s="113">
        <v>0</v>
      </c>
    </row>
    <row r="347" spans="2:16" ht="13.9" customHeight="1" x14ac:dyDescent="0.25">
      <c r="B347" s="149"/>
      <c r="C347" s="148" t="s">
        <v>106</v>
      </c>
      <c r="D347" s="90">
        <f>SUM(D345:D346)</f>
        <v>0</v>
      </c>
      <c r="E347" s="91">
        <f t="shared" ref="E347:P347" si="41">SUM(E345:E346)</f>
        <v>0</v>
      </c>
      <c r="F347" s="92">
        <f t="shared" si="41"/>
        <v>0</v>
      </c>
      <c r="G347" s="93">
        <f t="shared" si="41"/>
        <v>0</v>
      </c>
      <c r="H347" s="90">
        <f t="shared" si="41"/>
        <v>0</v>
      </c>
      <c r="I347" s="91">
        <f t="shared" si="41"/>
        <v>0</v>
      </c>
      <c r="J347" s="92">
        <f t="shared" si="41"/>
        <v>0</v>
      </c>
      <c r="K347" s="93">
        <f t="shared" si="41"/>
        <v>0</v>
      </c>
      <c r="L347" s="90">
        <f t="shared" si="41"/>
        <v>0</v>
      </c>
      <c r="M347" s="91">
        <f t="shared" si="41"/>
        <v>0</v>
      </c>
      <c r="N347" s="90">
        <f t="shared" si="41"/>
        <v>0</v>
      </c>
      <c r="O347" s="91">
        <f t="shared" si="41"/>
        <v>0</v>
      </c>
      <c r="P347" s="91">
        <f t="shared" si="41"/>
        <v>0</v>
      </c>
    </row>
    <row r="348" spans="2:16" ht="13.9" customHeight="1" x14ac:dyDescent="0.25">
      <c r="B348" s="155" t="s">
        <v>78</v>
      </c>
      <c r="C348" s="155"/>
      <c r="D348" s="90">
        <f>D340+D344+D347</f>
        <v>152</v>
      </c>
      <c r="E348" s="91">
        <f t="shared" ref="E348:P348" si="42">E340+E344+E347</f>
        <v>605921091.15999997</v>
      </c>
      <c r="F348" s="92">
        <f t="shared" si="42"/>
        <v>306263890.57000005</v>
      </c>
      <c r="G348" s="93">
        <f t="shared" si="42"/>
        <v>300995643.38000005</v>
      </c>
      <c r="H348" s="90">
        <f t="shared" si="42"/>
        <v>304925447.77999997</v>
      </c>
      <c r="I348" s="91">
        <f t="shared" si="42"/>
        <v>5268247.1899999995</v>
      </c>
      <c r="J348" s="92">
        <f t="shared" si="42"/>
        <v>299657200.59000003</v>
      </c>
      <c r="K348" s="93">
        <f t="shared" si="42"/>
        <v>101450793.19</v>
      </c>
      <c r="L348" s="90">
        <f t="shared" si="42"/>
        <v>158255065.53999999</v>
      </c>
      <c r="M348" s="91">
        <f t="shared" si="42"/>
        <v>39051685.219999999</v>
      </c>
      <c r="N348" s="90">
        <f t="shared" si="42"/>
        <v>899656.64</v>
      </c>
      <c r="O348" s="91">
        <f t="shared" si="42"/>
        <v>0</v>
      </c>
      <c r="P348" s="91">
        <f t="shared" si="42"/>
        <v>0</v>
      </c>
    </row>
    <row r="349" spans="2:16" ht="13.9" customHeight="1" x14ac:dyDescent="0.25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</row>
    <row r="350" spans="2:16" ht="13.9" customHeight="1" x14ac:dyDescent="0.25">
      <c r="B350" s="107" t="s">
        <v>92</v>
      </c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</row>
    <row r="351" spans="2:16" ht="13.9" customHeight="1" x14ac:dyDescent="0.25">
      <c r="B351" s="154" t="s">
        <v>26</v>
      </c>
      <c r="C351" s="148" t="s">
        <v>27</v>
      </c>
      <c r="D351" s="109" t="s">
        <v>28</v>
      </c>
      <c r="E351" s="110" t="s">
        <v>29</v>
      </c>
      <c r="F351" s="111" t="s">
        <v>85</v>
      </c>
      <c r="G351" s="112" t="s">
        <v>81</v>
      </c>
      <c r="H351" s="110" t="s">
        <v>82</v>
      </c>
      <c r="I351" s="112" t="s">
        <v>86</v>
      </c>
      <c r="J351" s="110" t="s">
        <v>87</v>
      </c>
      <c r="K351" s="112">
        <v>2026</v>
      </c>
      <c r="L351" s="112">
        <v>2027</v>
      </c>
      <c r="M351" s="110">
        <v>2028</v>
      </c>
      <c r="N351" s="112">
        <v>2029</v>
      </c>
      <c r="O351" s="110">
        <v>2030</v>
      </c>
      <c r="P351" s="112">
        <v>2031</v>
      </c>
    </row>
    <row r="352" spans="2:16" ht="13.9" customHeight="1" outlineLevel="1" x14ac:dyDescent="0.25">
      <c r="B352" s="149" t="s">
        <v>30</v>
      </c>
      <c r="C352" s="150" t="s">
        <v>31</v>
      </c>
      <c r="D352" s="85">
        <v>31</v>
      </c>
      <c r="E352" s="86">
        <v>52459384.819999993</v>
      </c>
      <c r="F352" s="142">
        <f t="shared" ref="F352:F395" si="43">G352+I352</f>
        <v>49239797.840000004</v>
      </c>
      <c r="G352" s="113">
        <v>49236775.980000004</v>
      </c>
      <c r="H352" s="86">
        <v>3353499.0799999991</v>
      </c>
      <c r="I352" s="113">
        <v>3021.8599999999997</v>
      </c>
      <c r="J352" s="114">
        <f t="shared" ref="J352:J395" si="44">MAX(0,H352-I352)</f>
        <v>3350477.2199999993</v>
      </c>
      <c r="K352" s="113">
        <f t="shared" ref="K352:K395" si="45">MAX(J352-SUM(L352:P352),0)</f>
        <v>3350477.2199999993</v>
      </c>
      <c r="L352" s="113">
        <v>0</v>
      </c>
      <c r="M352" s="113">
        <v>0</v>
      </c>
      <c r="N352" s="113">
        <v>0</v>
      </c>
      <c r="O352" s="113">
        <v>0</v>
      </c>
      <c r="P352" s="113">
        <v>0</v>
      </c>
    </row>
    <row r="353" spans="2:16" ht="13.9" customHeight="1" outlineLevel="1" x14ac:dyDescent="0.25">
      <c r="B353" s="149"/>
      <c r="C353" s="150" t="s">
        <v>32</v>
      </c>
      <c r="D353" s="85">
        <v>3</v>
      </c>
      <c r="E353" s="86">
        <v>6772109.25</v>
      </c>
      <c r="F353" s="142">
        <f t="shared" si="43"/>
        <v>5873328.9399999995</v>
      </c>
      <c r="G353" s="113">
        <v>5873328.9399999995</v>
      </c>
      <c r="H353" s="86">
        <v>902383.82999999984</v>
      </c>
      <c r="I353" s="113">
        <v>0</v>
      </c>
      <c r="J353" s="114">
        <f t="shared" si="44"/>
        <v>902383.82999999984</v>
      </c>
      <c r="K353" s="113">
        <f t="shared" si="45"/>
        <v>902383.82999999984</v>
      </c>
      <c r="L353" s="113">
        <v>0</v>
      </c>
      <c r="M353" s="113">
        <v>0</v>
      </c>
      <c r="N353" s="113">
        <v>0</v>
      </c>
      <c r="O353" s="113">
        <v>0</v>
      </c>
      <c r="P353" s="113">
        <v>0</v>
      </c>
    </row>
    <row r="354" spans="2:16" ht="13.9" customHeight="1" outlineLevel="1" x14ac:dyDescent="0.25">
      <c r="B354" s="149"/>
      <c r="C354" s="150" t="s">
        <v>33</v>
      </c>
      <c r="D354" s="85">
        <v>10</v>
      </c>
      <c r="E354" s="86">
        <v>18741299</v>
      </c>
      <c r="F354" s="142">
        <f t="shared" si="43"/>
        <v>18094094.350000001</v>
      </c>
      <c r="G354" s="113">
        <v>18094089.300000001</v>
      </c>
      <c r="H354" s="86">
        <v>800099.95000000007</v>
      </c>
      <c r="I354" s="113">
        <v>5.05</v>
      </c>
      <c r="J354" s="114">
        <f t="shared" si="44"/>
        <v>800094.9</v>
      </c>
      <c r="K354" s="113">
        <f t="shared" si="45"/>
        <v>533394.11</v>
      </c>
      <c r="L354" s="113">
        <v>266700.79000000004</v>
      </c>
      <c r="M354" s="113">
        <v>0</v>
      </c>
      <c r="N354" s="113">
        <v>0</v>
      </c>
      <c r="O354" s="113">
        <v>0</v>
      </c>
      <c r="P354" s="113">
        <v>0</v>
      </c>
    </row>
    <row r="355" spans="2:16" ht="13.9" customHeight="1" outlineLevel="1" x14ac:dyDescent="0.25">
      <c r="B355" s="149"/>
      <c r="C355" s="150" t="s">
        <v>34</v>
      </c>
      <c r="D355" s="85">
        <v>17</v>
      </c>
      <c r="E355" s="86">
        <v>42915827.82</v>
      </c>
      <c r="F355" s="142">
        <f t="shared" si="43"/>
        <v>36531896.709999993</v>
      </c>
      <c r="G355" s="113">
        <v>34760311.589999996</v>
      </c>
      <c r="H355" s="86">
        <v>8168793.0500000007</v>
      </c>
      <c r="I355" s="113">
        <v>1771585.1199999999</v>
      </c>
      <c r="J355" s="114">
        <f t="shared" si="44"/>
        <v>6397207.9300000006</v>
      </c>
      <c r="K355" s="113">
        <f t="shared" si="45"/>
        <v>1526506.2400000012</v>
      </c>
      <c r="L355" s="113">
        <v>3053848.46</v>
      </c>
      <c r="M355" s="113">
        <v>1816853.23</v>
      </c>
      <c r="N355" s="113">
        <v>0</v>
      </c>
      <c r="O355" s="113">
        <v>0</v>
      </c>
      <c r="P355" s="113">
        <v>0</v>
      </c>
    </row>
    <row r="356" spans="2:16" ht="13.9" customHeight="1" outlineLevel="1" x14ac:dyDescent="0.25">
      <c r="B356" s="149"/>
      <c r="C356" s="150" t="s">
        <v>35</v>
      </c>
      <c r="D356" s="85">
        <v>35</v>
      </c>
      <c r="E356" s="86">
        <v>37208712.189999998</v>
      </c>
      <c r="F356" s="142">
        <f t="shared" si="43"/>
        <v>38207494.710000008</v>
      </c>
      <c r="G356" s="113">
        <v>38207493.510000005</v>
      </c>
      <c r="H356" s="86">
        <v>1.2000000000698492</v>
      </c>
      <c r="I356" s="113">
        <v>1.2000000000000002</v>
      </c>
      <c r="J356" s="114">
        <f t="shared" si="44"/>
        <v>6.9849015460476949E-11</v>
      </c>
      <c r="K356" s="113">
        <f t="shared" si="45"/>
        <v>6.9849015460476949E-11</v>
      </c>
      <c r="L356" s="113">
        <v>0</v>
      </c>
      <c r="M356" s="113">
        <v>0</v>
      </c>
      <c r="N356" s="113">
        <v>0</v>
      </c>
      <c r="O356" s="113">
        <v>0</v>
      </c>
      <c r="P356" s="113">
        <v>0</v>
      </c>
    </row>
    <row r="357" spans="2:16" ht="13.9" customHeight="1" outlineLevel="1" x14ac:dyDescent="0.25">
      <c r="B357" s="149"/>
      <c r="C357" s="150" t="s">
        <v>36</v>
      </c>
      <c r="D357" s="85">
        <v>0</v>
      </c>
      <c r="E357" s="86">
        <v>0</v>
      </c>
      <c r="F357" s="142">
        <f t="shared" si="43"/>
        <v>0</v>
      </c>
      <c r="G357" s="113">
        <v>0</v>
      </c>
      <c r="H357" s="86">
        <v>0</v>
      </c>
      <c r="I357" s="113">
        <v>0</v>
      </c>
      <c r="J357" s="114">
        <f t="shared" si="44"/>
        <v>0</v>
      </c>
      <c r="K357" s="113">
        <f t="shared" si="45"/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</row>
    <row r="358" spans="2:16" ht="13.9" customHeight="1" outlineLevel="1" x14ac:dyDescent="0.25">
      <c r="B358" s="149"/>
      <c r="C358" s="150" t="s">
        <v>37</v>
      </c>
      <c r="D358" s="85">
        <v>4</v>
      </c>
      <c r="E358" s="86">
        <v>10561428.449999999</v>
      </c>
      <c r="F358" s="142">
        <f t="shared" si="43"/>
        <v>10627312.950000001</v>
      </c>
      <c r="G358" s="113">
        <v>10627312.65</v>
      </c>
      <c r="H358" s="86">
        <v>0.29999999981373549</v>
      </c>
      <c r="I358" s="113">
        <v>0.3</v>
      </c>
      <c r="J358" s="114">
        <f t="shared" si="44"/>
        <v>0</v>
      </c>
      <c r="K358" s="113">
        <f t="shared" si="45"/>
        <v>0</v>
      </c>
      <c r="L358" s="113">
        <v>0</v>
      </c>
      <c r="M358" s="113">
        <v>0</v>
      </c>
      <c r="N358" s="113">
        <v>0</v>
      </c>
      <c r="O358" s="113">
        <v>0</v>
      </c>
      <c r="P358" s="113">
        <v>0</v>
      </c>
    </row>
    <row r="359" spans="2:16" ht="13.9" customHeight="1" outlineLevel="1" x14ac:dyDescent="0.25">
      <c r="B359" s="149"/>
      <c r="C359" s="150" t="s">
        <v>38</v>
      </c>
      <c r="D359" s="85">
        <v>26</v>
      </c>
      <c r="E359" s="86">
        <v>142804986.65000001</v>
      </c>
      <c r="F359" s="142">
        <f t="shared" si="43"/>
        <v>143054343.09999999</v>
      </c>
      <c r="G359" s="113">
        <v>143053822.01999998</v>
      </c>
      <c r="H359" s="86">
        <v>521.06999999983236</v>
      </c>
      <c r="I359" s="113">
        <v>521.07999999999981</v>
      </c>
      <c r="J359" s="114">
        <f t="shared" si="44"/>
        <v>0</v>
      </c>
      <c r="K359" s="113">
        <f t="shared" si="45"/>
        <v>0</v>
      </c>
      <c r="L359" s="113">
        <v>0</v>
      </c>
      <c r="M359" s="113">
        <v>0</v>
      </c>
      <c r="N359" s="113">
        <v>0</v>
      </c>
      <c r="O359" s="113">
        <v>0</v>
      </c>
      <c r="P359" s="113">
        <v>0</v>
      </c>
    </row>
    <row r="360" spans="2:16" ht="13.9" customHeight="1" outlineLevel="1" x14ac:dyDescent="0.25">
      <c r="B360" s="149"/>
      <c r="C360" s="150" t="s">
        <v>39</v>
      </c>
      <c r="D360" s="85">
        <v>10</v>
      </c>
      <c r="E360" s="86">
        <v>137613959.43000001</v>
      </c>
      <c r="F360" s="142">
        <f t="shared" si="43"/>
        <v>137980835.78</v>
      </c>
      <c r="G360" s="113">
        <v>133583348.39</v>
      </c>
      <c r="H360" s="86">
        <v>4397487.8900000006</v>
      </c>
      <c r="I360" s="113">
        <v>4397487.3899999997</v>
      </c>
      <c r="J360" s="114">
        <f t="shared" si="44"/>
        <v>0.50000000093132257</v>
      </c>
      <c r="K360" s="113">
        <f t="shared" si="45"/>
        <v>0.50000000093132257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</row>
    <row r="361" spans="2:16" ht="13.9" customHeight="1" outlineLevel="1" x14ac:dyDescent="0.25">
      <c r="B361" s="149"/>
      <c r="C361" s="150" t="s">
        <v>40</v>
      </c>
      <c r="D361" s="85">
        <v>3</v>
      </c>
      <c r="E361" s="86">
        <v>73793184</v>
      </c>
      <c r="F361" s="142">
        <f t="shared" si="43"/>
        <v>63652078.200000003</v>
      </c>
      <c r="G361" s="113">
        <v>61604164.490000002</v>
      </c>
      <c r="H361" s="86">
        <v>12189019.509999998</v>
      </c>
      <c r="I361" s="113">
        <v>2047913.71</v>
      </c>
      <c r="J361" s="114">
        <f t="shared" si="44"/>
        <v>10141105.799999997</v>
      </c>
      <c r="K361" s="113">
        <f t="shared" si="45"/>
        <v>9617404.799999997</v>
      </c>
      <c r="L361" s="113">
        <v>523701</v>
      </c>
      <c r="M361" s="113">
        <v>0</v>
      </c>
      <c r="N361" s="113">
        <v>0</v>
      </c>
      <c r="O361" s="113">
        <v>0</v>
      </c>
      <c r="P361" s="113">
        <v>0</v>
      </c>
    </row>
    <row r="362" spans="2:16" ht="13.9" customHeight="1" outlineLevel="1" x14ac:dyDescent="0.25">
      <c r="B362" s="149"/>
      <c r="C362" s="150" t="s">
        <v>41</v>
      </c>
      <c r="D362" s="85">
        <v>7</v>
      </c>
      <c r="E362" s="86">
        <v>14694410.9</v>
      </c>
      <c r="F362" s="142">
        <f t="shared" si="43"/>
        <v>14711484.77</v>
      </c>
      <c r="G362" s="113">
        <v>14711484.43</v>
      </c>
      <c r="H362" s="86">
        <v>0.32000000029802322</v>
      </c>
      <c r="I362" s="113">
        <v>0.34</v>
      </c>
      <c r="J362" s="114">
        <f t="shared" si="44"/>
        <v>0</v>
      </c>
      <c r="K362" s="113">
        <f t="shared" si="45"/>
        <v>0</v>
      </c>
      <c r="L362" s="113">
        <v>0</v>
      </c>
      <c r="M362" s="113">
        <v>0</v>
      </c>
      <c r="N362" s="113">
        <v>0</v>
      </c>
      <c r="O362" s="113">
        <v>0</v>
      </c>
      <c r="P362" s="113">
        <v>0</v>
      </c>
    </row>
    <row r="363" spans="2:16" ht="13.9" customHeight="1" outlineLevel="1" x14ac:dyDescent="0.25">
      <c r="B363" s="149"/>
      <c r="C363" s="150" t="s">
        <v>42</v>
      </c>
      <c r="D363" s="85">
        <v>42</v>
      </c>
      <c r="E363" s="86">
        <v>90137397.700000003</v>
      </c>
      <c r="F363" s="142">
        <f t="shared" si="43"/>
        <v>64769653.590000011</v>
      </c>
      <c r="G363" s="113">
        <v>64322304.670000009</v>
      </c>
      <c r="H363" s="86">
        <v>25815093.480000004</v>
      </c>
      <c r="I363" s="113">
        <v>447348.92</v>
      </c>
      <c r="J363" s="114">
        <f t="shared" si="44"/>
        <v>25367744.560000002</v>
      </c>
      <c r="K363" s="113">
        <f t="shared" si="45"/>
        <v>7630911.8300000019</v>
      </c>
      <c r="L363" s="113">
        <v>17736832.73</v>
      </c>
      <c r="M363" s="113">
        <v>0</v>
      </c>
      <c r="N363" s="113">
        <v>0</v>
      </c>
      <c r="O363" s="113">
        <v>0</v>
      </c>
      <c r="P363" s="113">
        <v>0</v>
      </c>
    </row>
    <row r="364" spans="2:16" ht="13.9" customHeight="1" outlineLevel="1" x14ac:dyDescent="0.25">
      <c r="B364" s="149"/>
      <c r="C364" s="150" t="s">
        <v>43</v>
      </c>
      <c r="D364" s="85">
        <v>30</v>
      </c>
      <c r="E364" s="86">
        <v>222557202</v>
      </c>
      <c r="F364" s="142">
        <f t="shared" si="43"/>
        <v>165376093.23999998</v>
      </c>
      <c r="G364" s="113">
        <v>152895691.18999997</v>
      </c>
      <c r="H364" s="86">
        <v>69661510.809999987</v>
      </c>
      <c r="I364" s="113">
        <v>12480402.050000003</v>
      </c>
      <c r="J364" s="114">
        <f t="shared" si="44"/>
        <v>57181108.759999983</v>
      </c>
      <c r="K364" s="113">
        <f t="shared" si="45"/>
        <v>51572875.819999985</v>
      </c>
      <c r="L364" s="113">
        <v>5608232.9400000004</v>
      </c>
      <c r="M364" s="113">
        <v>0</v>
      </c>
      <c r="N364" s="113">
        <v>0</v>
      </c>
      <c r="O364" s="113">
        <v>0</v>
      </c>
      <c r="P364" s="113">
        <v>0</v>
      </c>
    </row>
    <row r="365" spans="2:16" ht="13.9" customHeight="1" outlineLevel="1" x14ac:dyDescent="0.25">
      <c r="B365" s="149"/>
      <c r="C365" s="150" t="s">
        <v>44</v>
      </c>
      <c r="D365" s="85">
        <v>0</v>
      </c>
      <c r="E365" s="86">
        <v>0</v>
      </c>
      <c r="F365" s="142">
        <f t="shared" si="43"/>
        <v>0</v>
      </c>
      <c r="G365" s="113">
        <v>0</v>
      </c>
      <c r="H365" s="86">
        <v>0</v>
      </c>
      <c r="I365" s="113">
        <v>0</v>
      </c>
      <c r="J365" s="114">
        <f t="shared" si="44"/>
        <v>0</v>
      </c>
      <c r="K365" s="113">
        <f t="shared" si="45"/>
        <v>0</v>
      </c>
      <c r="L365" s="113">
        <v>0</v>
      </c>
      <c r="M365" s="113">
        <v>0</v>
      </c>
      <c r="N365" s="113">
        <v>0</v>
      </c>
      <c r="O365" s="113">
        <v>0</v>
      </c>
      <c r="P365" s="113">
        <v>0</v>
      </c>
    </row>
    <row r="366" spans="2:16" ht="13.9" customHeight="1" outlineLevel="1" x14ac:dyDescent="0.25">
      <c r="B366" s="149"/>
      <c r="C366" s="150" t="s">
        <v>45</v>
      </c>
      <c r="D366" s="85">
        <v>8</v>
      </c>
      <c r="E366" s="86">
        <v>30272011.300000004</v>
      </c>
      <c r="F366" s="142">
        <f t="shared" si="43"/>
        <v>30272012</v>
      </c>
      <c r="G366" s="113">
        <v>30272012</v>
      </c>
      <c r="H366" s="86">
        <v>0.5</v>
      </c>
      <c r="I366" s="113">
        <v>0</v>
      </c>
      <c r="J366" s="114">
        <f t="shared" si="44"/>
        <v>0.5</v>
      </c>
      <c r="K366" s="113">
        <f t="shared" si="45"/>
        <v>0</v>
      </c>
      <c r="L366" s="113">
        <v>0</v>
      </c>
      <c r="M366" s="113">
        <v>0</v>
      </c>
      <c r="N366" s="113">
        <v>0.5</v>
      </c>
      <c r="O366" s="113">
        <v>0</v>
      </c>
      <c r="P366" s="113">
        <v>0</v>
      </c>
    </row>
    <row r="367" spans="2:16" ht="13.9" customHeight="1" outlineLevel="1" x14ac:dyDescent="0.25">
      <c r="B367" s="149"/>
      <c r="C367" s="150" t="s">
        <v>46</v>
      </c>
      <c r="D367" s="85">
        <v>0</v>
      </c>
      <c r="E367" s="86">
        <v>0</v>
      </c>
      <c r="F367" s="142">
        <f t="shared" si="43"/>
        <v>0</v>
      </c>
      <c r="G367" s="113">
        <v>0</v>
      </c>
      <c r="H367" s="86">
        <v>0</v>
      </c>
      <c r="I367" s="113">
        <v>0</v>
      </c>
      <c r="J367" s="114">
        <f t="shared" si="44"/>
        <v>0</v>
      </c>
      <c r="K367" s="113">
        <f t="shared" si="45"/>
        <v>0</v>
      </c>
      <c r="L367" s="113">
        <v>0</v>
      </c>
      <c r="M367" s="113">
        <v>0</v>
      </c>
      <c r="N367" s="113">
        <v>0</v>
      </c>
      <c r="O367" s="113">
        <v>0</v>
      </c>
      <c r="P367" s="113">
        <v>0</v>
      </c>
    </row>
    <row r="368" spans="2:16" ht="13.9" customHeight="1" outlineLevel="1" x14ac:dyDescent="0.25">
      <c r="B368" s="149"/>
      <c r="C368" s="150" t="s">
        <v>47</v>
      </c>
      <c r="D368" s="85">
        <v>18</v>
      </c>
      <c r="E368" s="86">
        <v>43074522.640000001</v>
      </c>
      <c r="F368" s="142">
        <f t="shared" si="43"/>
        <v>27217123.230000004</v>
      </c>
      <c r="G368" s="113">
        <v>27217123.230000004</v>
      </c>
      <c r="H368" s="86">
        <v>15858206.870000003</v>
      </c>
      <c r="I368" s="113">
        <v>0</v>
      </c>
      <c r="J368" s="114">
        <f t="shared" si="44"/>
        <v>15858206.870000003</v>
      </c>
      <c r="K368" s="113">
        <f t="shared" si="45"/>
        <v>15858206.870000003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</row>
    <row r="369" spans="2:16" ht="13.9" customHeight="1" outlineLevel="1" x14ac:dyDescent="0.25">
      <c r="B369" s="149"/>
      <c r="C369" s="150" t="s">
        <v>48</v>
      </c>
      <c r="D369" s="85">
        <v>0</v>
      </c>
      <c r="E369" s="86">
        <v>0</v>
      </c>
      <c r="F369" s="142">
        <f t="shared" si="43"/>
        <v>0</v>
      </c>
      <c r="G369" s="113">
        <v>0</v>
      </c>
      <c r="H369" s="86">
        <v>0</v>
      </c>
      <c r="I369" s="113">
        <v>0</v>
      </c>
      <c r="J369" s="114">
        <f t="shared" si="44"/>
        <v>0</v>
      </c>
      <c r="K369" s="113">
        <f t="shared" si="45"/>
        <v>0</v>
      </c>
      <c r="L369" s="113">
        <v>0</v>
      </c>
      <c r="M369" s="113">
        <v>0</v>
      </c>
      <c r="N369" s="113">
        <v>0</v>
      </c>
      <c r="O369" s="113">
        <v>0</v>
      </c>
      <c r="P369" s="113">
        <v>0</v>
      </c>
    </row>
    <row r="370" spans="2:16" ht="13.9" customHeight="1" outlineLevel="1" x14ac:dyDescent="0.25">
      <c r="B370" s="149"/>
      <c r="C370" s="150" t="s">
        <v>49</v>
      </c>
      <c r="D370" s="85">
        <v>8</v>
      </c>
      <c r="E370" s="86">
        <v>81965055.75</v>
      </c>
      <c r="F370" s="142">
        <f t="shared" si="43"/>
        <v>62115935.270000003</v>
      </c>
      <c r="G370" s="113">
        <v>61523826.310000002</v>
      </c>
      <c r="H370" s="86">
        <v>20441229.869999997</v>
      </c>
      <c r="I370" s="113">
        <v>592108.96000000008</v>
      </c>
      <c r="J370" s="114">
        <f t="shared" si="44"/>
        <v>19849120.909999996</v>
      </c>
      <c r="K370" s="113">
        <f t="shared" si="45"/>
        <v>15327250.789999995</v>
      </c>
      <c r="L370" s="113">
        <v>4521870.12</v>
      </c>
      <c r="M370" s="113">
        <v>0</v>
      </c>
      <c r="N370" s="113">
        <v>0</v>
      </c>
      <c r="O370" s="113">
        <v>0</v>
      </c>
      <c r="P370" s="113">
        <v>0</v>
      </c>
    </row>
    <row r="371" spans="2:16" ht="13.9" customHeight="1" outlineLevel="1" x14ac:dyDescent="0.25">
      <c r="B371" s="149"/>
      <c r="C371" s="150" t="s">
        <v>50</v>
      </c>
      <c r="D371" s="85">
        <v>0</v>
      </c>
      <c r="E371" s="86">
        <v>0</v>
      </c>
      <c r="F371" s="142">
        <f t="shared" si="43"/>
        <v>0</v>
      </c>
      <c r="G371" s="113">
        <v>0</v>
      </c>
      <c r="H371" s="86">
        <v>0</v>
      </c>
      <c r="I371" s="113">
        <v>0</v>
      </c>
      <c r="J371" s="114">
        <f t="shared" si="44"/>
        <v>0</v>
      </c>
      <c r="K371" s="113">
        <f t="shared" si="45"/>
        <v>0</v>
      </c>
      <c r="L371" s="113">
        <v>0</v>
      </c>
      <c r="M371" s="113">
        <v>0</v>
      </c>
      <c r="N371" s="113">
        <v>0</v>
      </c>
      <c r="O371" s="113">
        <v>0</v>
      </c>
      <c r="P371" s="113">
        <v>0</v>
      </c>
    </row>
    <row r="372" spans="2:16" ht="13.9" customHeight="1" outlineLevel="1" x14ac:dyDescent="0.25">
      <c r="B372" s="149"/>
      <c r="C372" s="150" t="s">
        <v>51</v>
      </c>
      <c r="D372" s="85">
        <v>0</v>
      </c>
      <c r="E372" s="86">
        <v>0</v>
      </c>
      <c r="F372" s="142">
        <f t="shared" si="43"/>
        <v>0</v>
      </c>
      <c r="G372" s="113">
        <v>0</v>
      </c>
      <c r="H372" s="86">
        <v>0</v>
      </c>
      <c r="I372" s="113">
        <v>0</v>
      </c>
      <c r="J372" s="114">
        <f t="shared" si="44"/>
        <v>0</v>
      </c>
      <c r="K372" s="113">
        <f t="shared" si="45"/>
        <v>0</v>
      </c>
      <c r="L372" s="113">
        <v>0</v>
      </c>
      <c r="M372" s="113">
        <v>0</v>
      </c>
      <c r="N372" s="113">
        <v>0</v>
      </c>
      <c r="O372" s="113">
        <v>0</v>
      </c>
      <c r="P372" s="113">
        <v>0</v>
      </c>
    </row>
    <row r="373" spans="2:16" ht="13.9" customHeight="1" outlineLevel="1" x14ac:dyDescent="0.25">
      <c r="B373" s="149"/>
      <c r="C373" s="150" t="s">
        <v>52</v>
      </c>
      <c r="D373" s="85">
        <v>0</v>
      </c>
      <c r="E373" s="86">
        <v>0</v>
      </c>
      <c r="F373" s="142">
        <f t="shared" si="43"/>
        <v>0</v>
      </c>
      <c r="G373" s="113">
        <v>0</v>
      </c>
      <c r="H373" s="86">
        <v>0</v>
      </c>
      <c r="I373" s="113">
        <v>0</v>
      </c>
      <c r="J373" s="114">
        <f t="shared" si="44"/>
        <v>0</v>
      </c>
      <c r="K373" s="113">
        <f t="shared" si="45"/>
        <v>0</v>
      </c>
      <c r="L373" s="113">
        <v>0</v>
      </c>
      <c r="M373" s="113">
        <v>0</v>
      </c>
      <c r="N373" s="113">
        <v>0</v>
      </c>
      <c r="O373" s="113">
        <v>0</v>
      </c>
      <c r="P373" s="113">
        <v>0</v>
      </c>
    </row>
    <row r="374" spans="2:16" ht="13.9" customHeight="1" outlineLevel="1" x14ac:dyDescent="0.25">
      <c r="B374" s="149"/>
      <c r="C374" s="150" t="s">
        <v>53</v>
      </c>
      <c r="D374" s="85">
        <v>0</v>
      </c>
      <c r="E374" s="86">
        <v>0</v>
      </c>
      <c r="F374" s="142">
        <f t="shared" si="43"/>
        <v>0</v>
      </c>
      <c r="G374" s="113">
        <v>0</v>
      </c>
      <c r="H374" s="86">
        <v>0</v>
      </c>
      <c r="I374" s="113">
        <v>0</v>
      </c>
      <c r="J374" s="114">
        <f t="shared" si="44"/>
        <v>0</v>
      </c>
      <c r="K374" s="113">
        <f t="shared" si="45"/>
        <v>0</v>
      </c>
      <c r="L374" s="113">
        <v>0</v>
      </c>
      <c r="M374" s="113">
        <v>0</v>
      </c>
      <c r="N374" s="113">
        <v>0</v>
      </c>
      <c r="O374" s="113">
        <v>0</v>
      </c>
      <c r="P374" s="113">
        <v>0</v>
      </c>
    </row>
    <row r="375" spans="2:16" ht="13.9" customHeight="1" outlineLevel="1" x14ac:dyDescent="0.25">
      <c r="B375" s="149"/>
      <c r="C375" s="150" t="s">
        <v>54</v>
      </c>
      <c r="D375" s="85">
        <v>10</v>
      </c>
      <c r="E375" s="86">
        <v>26105314.079999998</v>
      </c>
      <c r="F375" s="142">
        <f t="shared" si="43"/>
        <v>26105314</v>
      </c>
      <c r="G375" s="113">
        <v>26105314</v>
      </c>
      <c r="H375" s="86">
        <v>1.9499999997206032</v>
      </c>
      <c r="I375" s="113">
        <v>0</v>
      </c>
      <c r="J375" s="114">
        <f t="shared" si="44"/>
        <v>1.9499999997206032</v>
      </c>
      <c r="K375" s="113">
        <f t="shared" si="45"/>
        <v>0</v>
      </c>
      <c r="L375" s="113">
        <v>0</v>
      </c>
      <c r="M375" s="113">
        <v>0</v>
      </c>
      <c r="N375" s="113">
        <v>2.04</v>
      </c>
      <c r="O375" s="113">
        <v>0</v>
      </c>
      <c r="P375" s="113">
        <v>0</v>
      </c>
    </row>
    <row r="376" spans="2:16" ht="13.9" customHeight="1" outlineLevel="1" x14ac:dyDescent="0.25">
      <c r="B376" s="149"/>
      <c r="C376" s="150" t="s">
        <v>55</v>
      </c>
      <c r="D376" s="85">
        <v>0</v>
      </c>
      <c r="E376" s="86">
        <v>0</v>
      </c>
      <c r="F376" s="142">
        <f t="shared" si="43"/>
        <v>0</v>
      </c>
      <c r="G376" s="113">
        <v>0</v>
      </c>
      <c r="H376" s="86">
        <v>0</v>
      </c>
      <c r="I376" s="113">
        <v>0</v>
      </c>
      <c r="J376" s="114">
        <f t="shared" si="44"/>
        <v>0</v>
      </c>
      <c r="K376" s="113">
        <f t="shared" si="45"/>
        <v>0</v>
      </c>
      <c r="L376" s="113">
        <v>0</v>
      </c>
      <c r="M376" s="113">
        <v>0</v>
      </c>
      <c r="N376" s="113">
        <v>0</v>
      </c>
      <c r="O376" s="113">
        <v>0</v>
      </c>
      <c r="P376" s="113">
        <v>0</v>
      </c>
    </row>
    <row r="377" spans="2:16" ht="13.9" customHeight="1" outlineLevel="1" x14ac:dyDescent="0.25">
      <c r="B377" s="149"/>
      <c r="C377" s="150" t="s">
        <v>56</v>
      </c>
      <c r="D377" s="85">
        <v>0</v>
      </c>
      <c r="E377" s="86">
        <v>0</v>
      </c>
      <c r="F377" s="142">
        <f t="shared" si="43"/>
        <v>0</v>
      </c>
      <c r="G377" s="113">
        <v>0</v>
      </c>
      <c r="H377" s="86">
        <v>0</v>
      </c>
      <c r="I377" s="113">
        <v>0</v>
      </c>
      <c r="J377" s="114">
        <f t="shared" si="44"/>
        <v>0</v>
      </c>
      <c r="K377" s="113">
        <f t="shared" si="45"/>
        <v>0</v>
      </c>
      <c r="L377" s="113">
        <v>0</v>
      </c>
      <c r="M377" s="113">
        <v>0</v>
      </c>
      <c r="N377" s="113">
        <v>0</v>
      </c>
      <c r="O377" s="113">
        <v>0</v>
      </c>
      <c r="P377" s="113">
        <v>0</v>
      </c>
    </row>
    <row r="378" spans="2:16" ht="13.9" customHeight="1" outlineLevel="1" x14ac:dyDescent="0.25">
      <c r="B378" s="149"/>
      <c r="C378" s="150" t="s">
        <v>57</v>
      </c>
      <c r="D378" s="85">
        <v>8</v>
      </c>
      <c r="E378" s="86">
        <v>129290986.98999999</v>
      </c>
      <c r="F378" s="142">
        <f t="shared" si="43"/>
        <v>130276657.22</v>
      </c>
      <c r="G378" s="113">
        <v>130276657.22</v>
      </c>
      <c r="H378" s="86">
        <v>0</v>
      </c>
      <c r="I378" s="113">
        <v>0</v>
      </c>
      <c r="J378" s="114">
        <f t="shared" si="44"/>
        <v>0</v>
      </c>
      <c r="K378" s="113">
        <f t="shared" si="45"/>
        <v>0</v>
      </c>
      <c r="L378" s="113">
        <v>0</v>
      </c>
      <c r="M378" s="113">
        <v>0</v>
      </c>
      <c r="N378" s="113">
        <v>0</v>
      </c>
      <c r="O378" s="113">
        <v>0</v>
      </c>
      <c r="P378" s="113">
        <v>0</v>
      </c>
    </row>
    <row r="379" spans="2:16" ht="13.9" customHeight="1" outlineLevel="1" x14ac:dyDescent="0.25">
      <c r="B379" s="149"/>
      <c r="C379" s="150" t="s">
        <v>58</v>
      </c>
      <c r="D379" s="85">
        <v>0</v>
      </c>
      <c r="E379" s="86">
        <v>0</v>
      </c>
      <c r="F379" s="142">
        <f t="shared" si="43"/>
        <v>0</v>
      </c>
      <c r="G379" s="113">
        <v>0</v>
      </c>
      <c r="H379" s="86">
        <v>0</v>
      </c>
      <c r="I379" s="113">
        <v>0</v>
      </c>
      <c r="J379" s="114">
        <f t="shared" si="44"/>
        <v>0</v>
      </c>
      <c r="K379" s="113">
        <f t="shared" si="45"/>
        <v>0</v>
      </c>
      <c r="L379" s="113">
        <v>0</v>
      </c>
      <c r="M379" s="113">
        <v>0</v>
      </c>
      <c r="N379" s="113">
        <v>0</v>
      </c>
      <c r="O379" s="113">
        <v>0</v>
      </c>
      <c r="P379" s="113">
        <v>0</v>
      </c>
    </row>
    <row r="380" spans="2:16" ht="13.9" customHeight="1" outlineLevel="1" x14ac:dyDescent="0.25">
      <c r="B380" s="149"/>
      <c r="C380" s="150" t="s">
        <v>59</v>
      </c>
      <c r="D380" s="85">
        <v>0</v>
      </c>
      <c r="E380" s="86">
        <v>0</v>
      </c>
      <c r="F380" s="142">
        <f t="shared" si="43"/>
        <v>0</v>
      </c>
      <c r="G380" s="113">
        <v>0</v>
      </c>
      <c r="H380" s="86">
        <v>0</v>
      </c>
      <c r="I380" s="113">
        <v>0</v>
      </c>
      <c r="J380" s="114">
        <f t="shared" si="44"/>
        <v>0</v>
      </c>
      <c r="K380" s="113">
        <f t="shared" si="45"/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</row>
    <row r="381" spans="2:16" ht="13.9" customHeight="1" outlineLevel="1" x14ac:dyDescent="0.25">
      <c r="B381" s="149"/>
      <c r="C381" s="150" t="s">
        <v>60</v>
      </c>
      <c r="D381" s="85">
        <v>0</v>
      </c>
      <c r="E381" s="86">
        <v>0</v>
      </c>
      <c r="F381" s="142">
        <f t="shared" si="43"/>
        <v>0</v>
      </c>
      <c r="G381" s="113">
        <v>0</v>
      </c>
      <c r="H381" s="86">
        <v>0</v>
      </c>
      <c r="I381" s="113">
        <v>0</v>
      </c>
      <c r="J381" s="114">
        <f t="shared" si="44"/>
        <v>0</v>
      </c>
      <c r="K381" s="113">
        <f t="shared" si="45"/>
        <v>0</v>
      </c>
      <c r="L381" s="113">
        <v>0</v>
      </c>
      <c r="M381" s="113">
        <v>0</v>
      </c>
      <c r="N381" s="113">
        <v>0</v>
      </c>
      <c r="O381" s="113">
        <v>0</v>
      </c>
      <c r="P381" s="113">
        <v>0</v>
      </c>
    </row>
    <row r="382" spans="2:16" ht="13.9" customHeight="1" outlineLevel="1" x14ac:dyDescent="0.25">
      <c r="B382" s="149"/>
      <c r="C382" s="150" t="s">
        <v>61</v>
      </c>
      <c r="D382" s="85">
        <v>0</v>
      </c>
      <c r="E382" s="86">
        <v>0</v>
      </c>
      <c r="F382" s="142">
        <f t="shared" si="43"/>
        <v>0</v>
      </c>
      <c r="G382" s="113">
        <v>0</v>
      </c>
      <c r="H382" s="86">
        <v>0</v>
      </c>
      <c r="I382" s="113">
        <v>0</v>
      </c>
      <c r="J382" s="114">
        <f t="shared" si="44"/>
        <v>0</v>
      </c>
      <c r="K382" s="113">
        <f t="shared" si="45"/>
        <v>0</v>
      </c>
      <c r="L382" s="113">
        <v>0</v>
      </c>
      <c r="M382" s="113">
        <v>0</v>
      </c>
      <c r="N382" s="113">
        <v>0</v>
      </c>
      <c r="O382" s="113">
        <v>0</v>
      </c>
      <c r="P382" s="113">
        <v>0</v>
      </c>
    </row>
    <row r="383" spans="2:16" ht="13.9" customHeight="1" outlineLevel="1" x14ac:dyDescent="0.25">
      <c r="B383" s="149"/>
      <c r="C383" s="150" t="s">
        <v>62</v>
      </c>
      <c r="D383" s="85">
        <v>0</v>
      </c>
      <c r="E383" s="86">
        <v>0</v>
      </c>
      <c r="F383" s="142">
        <f t="shared" si="43"/>
        <v>0</v>
      </c>
      <c r="G383" s="113">
        <v>0</v>
      </c>
      <c r="H383" s="86">
        <v>0</v>
      </c>
      <c r="I383" s="113">
        <v>0</v>
      </c>
      <c r="J383" s="114">
        <f t="shared" si="44"/>
        <v>0</v>
      </c>
      <c r="K383" s="113">
        <f t="shared" si="45"/>
        <v>0</v>
      </c>
      <c r="L383" s="113">
        <v>0</v>
      </c>
      <c r="M383" s="113">
        <v>0</v>
      </c>
      <c r="N383" s="113">
        <v>0</v>
      </c>
      <c r="O383" s="113">
        <v>0</v>
      </c>
      <c r="P383" s="113">
        <v>0</v>
      </c>
    </row>
    <row r="384" spans="2:16" ht="13.9" customHeight="1" outlineLevel="1" x14ac:dyDescent="0.25">
      <c r="B384" s="149"/>
      <c r="C384" s="150" t="s">
        <v>63</v>
      </c>
      <c r="D384" s="85">
        <v>0</v>
      </c>
      <c r="E384" s="86">
        <v>0</v>
      </c>
      <c r="F384" s="142">
        <f t="shared" si="43"/>
        <v>0</v>
      </c>
      <c r="G384" s="113">
        <v>0</v>
      </c>
      <c r="H384" s="86">
        <v>0</v>
      </c>
      <c r="I384" s="113">
        <v>0</v>
      </c>
      <c r="J384" s="114">
        <f t="shared" si="44"/>
        <v>0</v>
      </c>
      <c r="K384" s="113">
        <f t="shared" si="45"/>
        <v>0</v>
      </c>
      <c r="L384" s="113">
        <v>0</v>
      </c>
      <c r="M384" s="113">
        <v>0</v>
      </c>
      <c r="N384" s="113">
        <v>0</v>
      </c>
      <c r="O384" s="113">
        <v>0</v>
      </c>
      <c r="P384" s="113">
        <v>0</v>
      </c>
    </row>
    <row r="385" spans="2:16" ht="13.9" customHeight="1" outlineLevel="1" x14ac:dyDescent="0.25">
      <c r="B385" s="149"/>
      <c r="C385" s="150" t="s">
        <v>64</v>
      </c>
      <c r="D385" s="85">
        <v>0</v>
      </c>
      <c r="E385" s="86">
        <v>0</v>
      </c>
      <c r="F385" s="142">
        <f t="shared" si="43"/>
        <v>0</v>
      </c>
      <c r="G385" s="113">
        <v>0</v>
      </c>
      <c r="H385" s="86">
        <v>0</v>
      </c>
      <c r="I385" s="113">
        <v>0</v>
      </c>
      <c r="J385" s="114">
        <f t="shared" si="44"/>
        <v>0</v>
      </c>
      <c r="K385" s="113">
        <f t="shared" si="45"/>
        <v>0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</row>
    <row r="386" spans="2:16" ht="13.9" customHeight="1" outlineLevel="1" x14ac:dyDescent="0.25">
      <c r="B386" s="149"/>
      <c r="C386" s="150" t="s">
        <v>65</v>
      </c>
      <c r="D386" s="85">
        <v>11</v>
      </c>
      <c r="E386" s="86">
        <v>18779925</v>
      </c>
      <c r="F386" s="142">
        <f t="shared" si="43"/>
        <v>19052126.289999999</v>
      </c>
      <c r="G386" s="113">
        <v>19052121.73</v>
      </c>
      <c r="H386" s="86">
        <v>4.5600000000558794</v>
      </c>
      <c r="I386" s="113">
        <v>4.5599999999999996</v>
      </c>
      <c r="J386" s="114">
        <f t="shared" si="44"/>
        <v>5.5879745275433379E-11</v>
      </c>
      <c r="K386" s="113">
        <f t="shared" si="45"/>
        <v>5.5879745275433379E-11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</row>
    <row r="387" spans="2:16" ht="13.9" customHeight="1" outlineLevel="1" x14ac:dyDescent="0.25">
      <c r="B387" s="149"/>
      <c r="C387" s="150" t="s">
        <v>66</v>
      </c>
      <c r="D387" s="85">
        <v>13</v>
      </c>
      <c r="E387" s="86">
        <v>32005768</v>
      </c>
      <c r="F387" s="142">
        <f t="shared" si="43"/>
        <v>32862237.890000004</v>
      </c>
      <c r="G387" s="113">
        <v>32862237.130000003</v>
      </c>
      <c r="H387" s="86">
        <v>0.75</v>
      </c>
      <c r="I387" s="113">
        <v>0.76</v>
      </c>
      <c r="J387" s="114">
        <f t="shared" si="44"/>
        <v>0</v>
      </c>
      <c r="K387" s="113">
        <f t="shared" si="45"/>
        <v>0</v>
      </c>
      <c r="L387" s="113">
        <v>0</v>
      </c>
      <c r="M387" s="113">
        <v>0</v>
      </c>
      <c r="N387" s="113">
        <v>0</v>
      </c>
      <c r="O387" s="113">
        <v>0</v>
      </c>
      <c r="P387" s="113">
        <v>0</v>
      </c>
    </row>
    <row r="388" spans="2:16" ht="13.9" customHeight="1" outlineLevel="1" x14ac:dyDescent="0.25">
      <c r="B388" s="149"/>
      <c r="C388" s="150" t="s">
        <v>67</v>
      </c>
      <c r="D388" s="85">
        <v>1</v>
      </c>
      <c r="E388" s="86">
        <v>2235206</v>
      </c>
      <c r="F388" s="142">
        <f t="shared" si="43"/>
        <v>2053465.51</v>
      </c>
      <c r="G388" s="113">
        <v>2053465.51</v>
      </c>
      <c r="H388" s="86">
        <v>181740.49</v>
      </c>
      <c r="I388" s="113">
        <v>0</v>
      </c>
      <c r="J388" s="114">
        <f t="shared" si="44"/>
        <v>181740.49</v>
      </c>
      <c r="K388" s="113">
        <f t="shared" si="45"/>
        <v>181740.49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</row>
    <row r="389" spans="2:16" ht="13.9" customHeight="1" x14ac:dyDescent="0.25">
      <c r="B389" s="149"/>
      <c r="C389" s="148" t="s">
        <v>103</v>
      </c>
      <c r="D389" s="90">
        <f>SUM(D352:D388)</f>
        <v>295</v>
      </c>
      <c r="E389" s="91">
        <f t="shared" ref="E389:P389" si="46">SUM(E352:E388)</f>
        <v>1213988691.97</v>
      </c>
      <c r="F389" s="92">
        <f t="shared" si="46"/>
        <v>1078073285.5899999</v>
      </c>
      <c r="G389" s="93">
        <f t="shared" si="46"/>
        <v>1056332884.2900001</v>
      </c>
      <c r="H389" s="90">
        <f t="shared" si="46"/>
        <v>161769595.47999999</v>
      </c>
      <c r="I389" s="91">
        <f t="shared" si="46"/>
        <v>21740401.300000004</v>
      </c>
      <c r="J389" s="92">
        <f t="shared" si="46"/>
        <v>140029194.21999997</v>
      </c>
      <c r="K389" s="93">
        <f t="shared" si="46"/>
        <v>106501152.49999999</v>
      </c>
      <c r="L389" s="90">
        <f t="shared" si="46"/>
        <v>31711186.040000003</v>
      </c>
      <c r="M389" s="91">
        <f t="shared" si="46"/>
        <v>1816853.23</v>
      </c>
      <c r="N389" s="90">
        <f t="shared" si="46"/>
        <v>2.54</v>
      </c>
      <c r="O389" s="91">
        <f t="shared" si="46"/>
        <v>0</v>
      </c>
      <c r="P389" s="91">
        <f t="shared" si="46"/>
        <v>0</v>
      </c>
    </row>
    <row r="390" spans="2:16" ht="13.9" customHeight="1" outlineLevel="1" x14ac:dyDescent="0.25">
      <c r="B390" s="149" t="s">
        <v>83</v>
      </c>
      <c r="C390" s="150" t="s">
        <v>70</v>
      </c>
      <c r="D390" s="85">
        <v>1</v>
      </c>
      <c r="E390" s="86">
        <v>1190518.58</v>
      </c>
      <c r="F390" s="142">
        <f t="shared" si="43"/>
        <v>727266</v>
      </c>
      <c r="G390" s="113">
        <v>727266</v>
      </c>
      <c r="H390" s="86">
        <v>463252.58000000007</v>
      </c>
      <c r="I390" s="113">
        <v>0</v>
      </c>
      <c r="J390" s="114">
        <f t="shared" si="44"/>
        <v>463252.58000000007</v>
      </c>
      <c r="K390" s="113">
        <f t="shared" si="45"/>
        <v>0</v>
      </c>
      <c r="L390" s="113">
        <v>463252.59</v>
      </c>
      <c r="M390" s="113">
        <v>0</v>
      </c>
      <c r="N390" s="113">
        <v>0</v>
      </c>
      <c r="O390" s="113">
        <v>0</v>
      </c>
      <c r="P390" s="113">
        <v>0</v>
      </c>
    </row>
    <row r="391" spans="2:16" ht="13.9" customHeight="1" outlineLevel="1" x14ac:dyDescent="0.25">
      <c r="B391" s="149"/>
      <c r="C391" s="150" t="s">
        <v>71</v>
      </c>
      <c r="D391" s="85">
        <v>0</v>
      </c>
      <c r="E391" s="86">
        <v>0</v>
      </c>
      <c r="F391" s="142">
        <f t="shared" si="43"/>
        <v>0</v>
      </c>
      <c r="G391" s="113">
        <v>0</v>
      </c>
      <c r="H391" s="86">
        <v>0</v>
      </c>
      <c r="I391" s="113">
        <v>0</v>
      </c>
      <c r="J391" s="114">
        <f t="shared" si="44"/>
        <v>0</v>
      </c>
      <c r="K391" s="113">
        <f t="shared" si="45"/>
        <v>0</v>
      </c>
      <c r="L391" s="113">
        <v>0</v>
      </c>
      <c r="M391" s="113">
        <v>0</v>
      </c>
      <c r="N391" s="113">
        <v>0</v>
      </c>
      <c r="O391" s="113">
        <v>0</v>
      </c>
      <c r="P391" s="113">
        <v>0</v>
      </c>
    </row>
    <row r="392" spans="2:16" ht="13.9" customHeight="1" outlineLevel="1" x14ac:dyDescent="0.25">
      <c r="B392" s="149"/>
      <c r="C392" s="150" t="s">
        <v>72</v>
      </c>
      <c r="D392" s="85">
        <v>0</v>
      </c>
      <c r="E392" s="86">
        <v>0</v>
      </c>
      <c r="F392" s="142">
        <f t="shared" si="43"/>
        <v>0</v>
      </c>
      <c r="G392" s="113">
        <v>0</v>
      </c>
      <c r="H392" s="86">
        <v>0</v>
      </c>
      <c r="I392" s="113">
        <v>0</v>
      </c>
      <c r="J392" s="114">
        <f t="shared" si="44"/>
        <v>0</v>
      </c>
      <c r="K392" s="113">
        <f t="shared" si="45"/>
        <v>0</v>
      </c>
      <c r="L392" s="113">
        <v>0</v>
      </c>
      <c r="M392" s="113">
        <v>0</v>
      </c>
      <c r="N392" s="113">
        <v>0</v>
      </c>
      <c r="O392" s="113">
        <v>0</v>
      </c>
      <c r="P392" s="113">
        <v>0</v>
      </c>
    </row>
    <row r="393" spans="2:16" ht="13.9" customHeight="1" x14ac:dyDescent="0.25">
      <c r="B393" s="149"/>
      <c r="C393" s="148" t="s">
        <v>104</v>
      </c>
      <c r="D393" s="90">
        <f>SUM(D390:D392)</f>
        <v>1</v>
      </c>
      <c r="E393" s="91">
        <f t="shared" ref="E393:P393" si="47">SUM(E390:E392)</f>
        <v>1190518.58</v>
      </c>
      <c r="F393" s="92">
        <f t="shared" si="47"/>
        <v>727266</v>
      </c>
      <c r="G393" s="93">
        <f t="shared" si="47"/>
        <v>727266</v>
      </c>
      <c r="H393" s="90">
        <f t="shared" si="47"/>
        <v>463252.58000000007</v>
      </c>
      <c r="I393" s="91">
        <f t="shared" si="47"/>
        <v>0</v>
      </c>
      <c r="J393" s="92">
        <f t="shared" si="47"/>
        <v>463252.58000000007</v>
      </c>
      <c r="K393" s="93">
        <f t="shared" si="47"/>
        <v>0</v>
      </c>
      <c r="L393" s="90">
        <f t="shared" si="47"/>
        <v>463252.59</v>
      </c>
      <c r="M393" s="91">
        <f t="shared" si="47"/>
        <v>0</v>
      </c>
      <c r="N393" s="90">
        <f t="shared" si="47"/>
        <v>0</v>
      </c>
      <c r="O393" s="91">
        <f t="shared" si="47"/>
        <v>0</v>
      </c>
      <c r="P393" s="91">
        <f t="shared" si="47"/>
        <v>0</v>
      </c>
    </row>
    <row r="394" spans="2:16" ht="13.9" customHeight="1" outlineLevel="1" x14ac:dyDescent="0.25">
      <c r="B394" s="149" t="s">
        <v>105</v>
      </c>
      <c r="C394" s="150" t="s">
        <v>75</v>
      </c>
      <c r="D394" s="85">
        <v>0</v>
      </c>
      <c r="E394" s="86">
        <v>0</v>
      </c>
      <c r="F394" s="142">
        <f t="shared" si="43"/>
        <v>0</v>
      </c>
      <c r="G394" s="113">
        <v>0</v>
      </c>
      <c r="H394" s="86">
        <v>0</v>
      </c>
      <c r="I394" s="113">
        <v>0</v>
      </c>
      <c r="J394" s="114">
        <f t="shared" si="44"/>
        <v>0</v>
      </c>
      <c r="K394" s="113">
        <f t="shared" si="45"/>
        <v>0</v>
      </c>
      <c r="L394" s="113">
        <v>0</v>
      </c>
      <c r="M394" s="113">
        <v>0</v>
      </c>
      <c r="N394" s="113">
        <v>0</v>
      </c>
      <c r="O394" s="113">
        <v>0</v>
      </c>
      <c r="P394" s="113">
        <v>0</v>
      </c>
    </row>
    <row r="395" spans="2:16" ht="13.9" customHeight="1" outlineLevel="1" x14ac:dyDescent="0.25">
      <c r="B395" s="149"/>
      <c r="C395" s="150" t="s">
        <v>76</v>
      </c>
      <c r="D395" s="85">
        <v>0</v>
      </c>
      <c r="E395" s="86">
        <v>0</v>
      </c>
      <c r="F395" s="142">
        <f t="shared" si="43"/>
        <v>0</v>
      </c>
      <c r="G395" s="113">
        <v>0</v>
      </c>
      <c r="H395" s="86">
        <v>0</v>
      </c>
      <c r="I395" s="113">
        <v>0</v>
      </c>
      <c r="J395" s="114">
        <f t="shared" si="44"/>
        <v>0</v>
      </c>
      <c r="K395" s="113">
        <f t="shared" si="45"/>
        <v>0</v>
      </c>
      <c r="L395" s="113">
        <v>0</v>
      </c>
      <c r="M395" s="113">
        <v>0</v>
      </c>
      <c r="N395" s="113">
        <v>0</v>
      </c>
      <c r="O395" s="113">
        <v>0</v>
      </c>
      <c r="P395" s="113">
        <v>0</v>
      </c>
    </row>
    <row r="396" spans="2:16" ht="13.9" customHeight="1" x14ac:dyDescent="0.25">
      <c r="B396" s="149"/>
      <c r="C396" s="148" t="s">
        <v>106</v>
      </c>
      <c r="D396" s="90">
        <f>SUM(D394:D395)</f>
        <v>0</v>
      </c>
      <c r="E396" s="91">
        <f t="shared" ref="E396:P396" si="48">SUM(E394:E395)</f>
        <v>0</v>
      </c>
      <c r="F396" s="92">
        <f t="shared" si="48"/>
        <v>0</v>
      </c>
      <c r="G396" s="93">
        <f t="shared" si="48"/>
        <v>0</v>
      </c>
      <c r="H396" s="90">
        <f t="shared" si="48"/>
        <v>0</v>
      </c>
      <c r="I396" s="91">
        <f t="shared" si="48"/>
        <v>0</v>
      </c>
      <c r="J396" s="92">
        <f t="shared" si="48"/>
        <v>0</v>
      </c>
      <c r="K396" s="93">
        <f t="shared" si="48"/>
        <v>0</v>
      </c>
      <c r="L396" s="90">
        <f t="shared" si="48"/>
        <v>0</v>
      </c>
      <c r="M396" s="91">
        <f t="shared" si="48"/>
        <v>0</v>
      </c>
      <c r="N396" s="90">
        <f t="shared" si="48"/>
        <v>0</v>
      </c>
      <c r="O396" s="91">
        <f t="shared" si="48"/>
        <v>0</v>
      </c>
      <c r="P396" s="91">
        <f t="shared" si="48"/>
        <v>0</v>
      </c>
    </row>
    <row r="397" spans="2:16" ht="13.9" customHeight="1" x14ac:dyDescent="0.25">
      <c r="B397" s="155" t="s">
        <v>78</v>
      </c>
      <c r="C397" s="155"/>
      <c r="D397" s="90">
        <f>+D389+D393+D396</f>
        <v>296</v>
      </c>
      <c r="E397" s="91">
        <f t="shared" ref="E397:P397" si="49">+E389+E393+E396</f>
        <v>1215179210.55</v>
      </c>
      <c r="F397" s="92">
        <f t="shared" si="49"/>
        <v>1078800551.5899999</v>
      </c>
      <c r="G397" s="93">
        <f t="shared" si="49"/>
        <v>1057060150.2900001</v>
      </c>
      <c r="H397" s="90">
        <f t="shared" si="49"/>
        <v>162232848.06</v>
      </c>
      <c r="I397" s="91">
        <f t="shared" si="49"/>
        <v>21740401.300000004</v>
      </c>
      <c r="J397" s="92">
        <f t="shared" si="49"/>
        <v>140492446.79999998</v>
      </c>
      <c r="K397" s="93">
        <f t="shared" si="49"/>
        <v>106501152.49999999</v>
      </c>
      <c r="L397" s="90">
        <f t="shared" si="49"/>
        <v>32174438.630000003</v>
      </c>
      <c r="M397" s="91">
        <f t="shared" si="49"/>
        <v>1816853.23</v>
      </c>
      <c r="N397" s="90">
        <f t="shared" si="49"/>
        <v>2.54</v>
      </c>
      <c r="O397" s="91">
        <f t="shared" si="49"/>
        <v>0</v>
      </c>
      <c r="P397" s="91">
        <f t="shared" si="49"/>
        <v>0</v>
      </c>
    </row>
    <row r="398" spans="2:16" ht="13.9" customHeight="1" x14ac:dyDescent="0.25"/>
    <row r="399" spans="2:16" x14ac:dyDescent="0.25"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</row>
    <row r="400" spans="2:16" x14ac:dyDescent="0.25"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</row>
    <row r="401" spans="2:17" x14ac:dyDescent="0.25">
      <c r="H401" s="71"/>
      <c r="J401" s="71"/>
      <c r="K401" s="71"/>
      <c r="L401" s="71"/>
      <c r="M401" s="71"/>
      <c r="N401" s="71"/>
      <c r="O401" s="71"/>
      <c r="P401" s="71"/>
    </row>
    <row r="402" spans="2:17" x14ac:dyDescent="0.25">
      <c r="B402" s="14"/>
      <c r="C402" s="14"/>
      <c r="D402" s="14"/>
      <c r="E402" s="14"/>
      <c r="F402" s="14"/>
      <c r="G402" s="14"/>
      <c r="H402" s="95"/>
      <c r="I402" s="14"/>
      <c r="J402" s="95"/>
      <c r="K402" s="95"/>
      <c r="L402" s="95"/>
      <c r="M402" s="95"/>
      <c r="N402" s="95"/>
      <c r="O402" s="95"/>
      <c r="P402" s="95"/>
    </row>
    <row r="403" spans="2:17" x14ac:dyDescent="0.25">
      <c r="B403" s="14"/>
      <c r="C403" s="14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</row>
    <row r="404" spans="2:17" x14ac:dyDescent="0.25">
      <c r="B404" s="14"/>
      <c r="C404" s="14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</row>
    <row r="405" spans="2:17" x14ac:dyDescent="0.25">
      <c r="B405" s="14"/>
      <c r="C405" s="14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</row>
    <row r="406" spans="2:17" x14ac:dyDescent="0.25">
      <c r="B406" s="14"/>
      <c r="C406" s="14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</row>
    <row r="407" spans="2:17" x14ac:dyDescent="0.25">
      <c r="B407" s="14"/>
      <c r="C407" s="14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</row>
    <row r="408" spans="2:17" x14ac:dyDescent="0.25">
      <c r="B408" s="14"/>
      <c r="C408" s="14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</row>
    <row r="409" spans="2:17" x14ac:dyDescent="0.25">
      <c r="B409" s="14"/>
      <c r="C409" s="14"/>
      <c r="D409" s="9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2:17" x14ac:dyDescent="0.25"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2:17" x14ac:dyDescent="0.25"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2:17" x14ac:dyDescent="0.25"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2:17" x14ac:dyDescent="0.25"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</row>
    <row r="414" spans="2:17" x14ac:dyDescent="0.25"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</row>
  </sheetData>
  <mergeCells count="48">
    <mergeCell ref="B345:B347"/>
    <mergeCell ref="B348:C348"/>
    <mergeCell ref="B352:B389"/>
    <mergeCell ref="B390:B393"/>
    <mergeCell ref="B394:B396"/>
    <mergeCell ref="B397:C397"/>
    <mergeCell ref="B254:B291"/>
    <mergeCell ref="B292:B295"/>
    <mergeCell ref="B296:B298"/>
    <mergeCell ref="B299:C299"/>
    <mergeCell ref="B303:B340"/>
    <mergeCell ref="B341:B344"/>
    <mergeCell ref="B197:B199"/>
    <mergeCell ref="B200:C200"/>
    <mergeCell ref="B205:B242"/>
    <mergeCell ref="B243:B246"/>
    <mergeCell ref="B247:B249"/>
    <mergeCell ref="B250:C250"/>
    <mergeCell ref="B106:B143"/>
    <mergeCell ref="B144:B147"/>
    <mergeCell ref="B148:B150"/>
    <mergeCell ref="B151:C151"/>
    <mergeCell ref="B155:B192"/>
    <mergeCell ref="B193:B196"/>
    <mergeCell ref="L55:M55"/>
    <mergeCell ref="N55:O55"/>
    <mergeCell ref="B57:B94"/>
    <mergeCell ref="B95:B98"/>
    <mergeCell ref="B99:B101"/>
    <mergeCell ref="B102:C102"/>
    <mergeCell ref="B52:C52"/>
    <mergeCell ref="B55:B56"/>
    <mergeCell ref="D55:E55"/>
    <mergeCell ref="F55:G55"/>
    <mergeCell ref="H55:I55"/>
    <mergeCell ref="J55:K55"/>
    <mergeCell ref="N3:O3"/>
    <mergeCell ref="B5:B42"/>
    <mergeCell ref="B43:B46"/>
    <mergeCell ref="B47:B49"/>
    <mergeCell ref="B50:C50"/>
    <mergeCell ref="B51:C51"/>
    <mergeCell ref="B3:B4"/>
    <mergeCell ref="D3:E3"/>
    <mergeCell ref="F3:G3"/>
    <mergeCell ref="H3:I3"/>
    <mergeCell ref="J3:K3"/>
    <mergeCell ref="L3:M3"/>
  </mergeCells>
  <conditionalFormatting sqref="B3">
    <cfRule type="cellIs" dxfId="36" priority="9" operator="lessThan">
      <formula>0</formula>
    </cfRule>
  </conditionalFormatting>
  <conditionalFormatting sqref="B151">
    <cfRule type="cellIs" dxfId="35" priority="10" operator="lessThan">
      <formula>0</formula>
    </cfRule>
  </conditionalFormatting>
  <conditionalFormatting sqref="B200">
    <cfRule type="cellIs" dxfId="34" priority="8" operator="lessThan">
      <formula>0</formula>
    </cfRule>
  </conditionalFormatting>
  <conditionalFormatting sqref="B250">
    <cfRule type="cellIs" dxfId="33" priority="7" operator="lessThan">
      <formula>0</formula>
    </cfRule>
  </conditionalFormatting>
  <conditionalFormatting sqref="B299">
    <cfRule type="cellIs" dxfId="32" priority="6" operator="lessThan">
      <formula>0</formula>
    </cfRule>
  </conditionalFormatting>
  <conditionalFormatting sqref="B348">
    <cfRule type="cellIs" dxfId="31" priority="5" operator="lessThan">
      <formula>0</formula>
    </cfRule>
  </conditionalFormatting>
  <conditionalFormatting sqref="B397">
    <cfRule type="cellIs" dxfId="30" priority="4" operator="lessThan">
      <formula>0</formula>
    </cfRule>
  </conditionalFormatting>
  <conditionalFormatting sqref="C3:C49 B50:B52 C53:C101 B102 C105:C150 B153 C154:C199 B203 C204:C249 C251 B252 C253:C298 B301 C302:C347 B350 C351:C396 C401:C402">
    <cfRule type="cellIs" dxfId="29" priority="11" operator="lessThan">
      <formula>0</formula>
    </cfRule>
  </conditionalFormatting>
  <conditionalFormatting sqref="C403:C455">
    <cfRule type="duplicateValues" dxfId="28" priority="14"/>
  </conditionalFormatting>
  <conditionalFormatting sqref="C1:Q2 D3:Q104 D105:P200 D203:P397">
    <cfRule type="cellIs" dxfId="27" priority="12" operator="lessThan">
      <formula>0</formula>
    </cfRule>
  </conditionalFormatting>
  <conditionalFormatting sqref="D399:P402">
    <cfRule type="cellIs" dxfId="26" priority="3" operator="lessThan">
      <formula>0</formula>
    </cfRule>
  </conditionalFormatting>
  <conditionalFormatting sqref="R1:R23">
    <cfRule type="cellIs" dxfId="25" priority="13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7" fitToHeight="2" orientation="landscape" r:id="rId1"/>
  <headerFooter alignWithMargins="0">
    <oddHeader>&amp;LSOBHA LLC&amp;C&amp;18
Bulk buyers_30mn to 60mn investment_Paid% category VS Balance collectibles YOY breakup&amp;R&amp;D</oddHeader>
    <oddFooter>&amp;LCOLLECTIONS&amp;R&amp;P/&amp;N</oddFooter>
  </headerFooter>
  <rowBreaks count="3" manualBreakCount="3">
    <brk id="102" min="1" max="15" man="1"/>
    <brk id="202" min="1" max="15" man="1"/>
    <brk id="301" min="1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05C1-63C6-4F69-9C81-3203CE4D012E}">
  <dimension ref="A3:R413"/>
  <sheetViews>
    <sheetView view="pageBreakPreview" topLeftCell="C372" zoomScale="70" zoomScaleNormal="100" zoomScaleSheetLayoutView="70" workbookViewId="0">
      <selection activeCell="F404" sqref="F404"/>
    </sheetView>
  </sheetViews>
  <sheetFormatPr defaultRowHeight="15" outlineLevelRow="1" x14ac:dyDescent="0.25"/>
  <cols>
    <col min="1" max="1" width="14.5703125" bestFit="1" customWidth="1"/>
    <col min="2" max="2" width="13.85546875" customWidth="1"/>
    <col min="3" max="3" width="78.85546875" bestFit="1" customWidth="1"/>
    <col min="4" max="4" width="15.42578125" bestFit="1" customWidth="1"/>
    <col min="5" max="5" width="22.5703125" bestFit="1" customWidth="1"/>
    <col min="6" max="6" width="26.5703125" bestFit="1" customWidth="1"/>
    <col min="7" max="9" width="22.5703125" bestFit="1" customWidth="1"/>
    <col min="10" max="10" width="22.28515625" bestFit="1" customWidth="1"/>
    <col min="11" max="11" width="22.5703125" bestFit="1" customWidth="1"/>
    <col min="12" max="12" width="17.7109375" bestFit="1" customWidth="1"/>
    <col min="13" max="13" width="22.5703125" bestFit="1" customWidth="1"/>
    <col min="14" max="14" width="17.7109375" bestFit="1" customWidth="1"/>
    <col min="15" max="15" width="22.5703125" bestFit="1" customWidth="1"/>
    <col min="16" max="16" width="16.28515625" bestFit="1" customWidth="1"/>
    <col min="17" max="17" width="8.140625" bestFit="1" customWidth="1"/>
    <col min="18" max="18" width="21.42578125" bestFit="1" customWidth="1"/>
    <col min="19" max="19" width="17.85546875" bestFit="1" customWidth="1"/>
    <col min="20" max="21" width="15" bestFit="1" customWidth="1"/>
    <col min="23" max="23" width="18.42578125" customWidth="1"/>
  </cols>
  <sheetData>
    <row r="3" spans="1:18" ht="13.9" customHeight="1" x14ac:dyDescent="0.25">
      <c r="A3">
        <v>3</v>
      </c>
      <c r="B3" s="147" t="s">
        <v>26</v>
      </c>
      <c r="C3" s="148" t="s">
        <v>19</v>
      </c>
      <c r="D3" s="73" t="s">
        <v>20</v>
      </c>
      <c r="E3" s="74"/>
      <c r="F3" s="75" t="s">
        <v>21</v>
      </c>
      <c r="G3" s="76"/>
      <c r="H3" s="73" t="s">
        <v>22</v>
      </c>
      <c r="I3" s="74"/>
      <c r="J3" s="75" t="s">
        <v>23</v>
      </c>
      <c r="K3" s="76"/>
      <c r="L3" s="73" t="s">
        <v>24</v>
      </c>
      <c r="M3" s="74"/>
      <c r="N3" s="73" t="s">
        <v>25</v>
      </c>
      <c r="O3" s="74"/>
      <c r="P3" s="77"/>
      <c r="Q3" s="77"/>
      <c r="R3" s="77"/>
    </row>
    <row r="4" spans="1:18" ht="13.9" customHeight="1" x14ac:dyDescent="0.25">
      <c r="A4" t="s">
        <v>98</v>
      </c>
      <c r="B4" s="147"/>
      <c r="C4" s="148" t="s">
        <v>102</v>
      </c>
      <c r="D4" s="79" t="s">
        <v>28</v>
      </c>
      <c r="E4" s="80" t="s">
        <v>29</v>
      </c>
      <c r="F4" s="81" t="s">
        <v>28</v>
      </c>
      <c r="G4" s="82" t="s">
        <v>29</v>
      </c>
      <c r="H4" s="79" t="s">
        <v>28</v>
      </c>
      <c r="I4" s="80" t="s">
        <v>29</v>
      </c>
      <c r="J4" s="81" t="s">
        <v>28</v>
      </c>
      <c r="K4" s="82" t="s">
        <v>29</v>
      </c>
      <c r="L4" s="79" t="s">
        <v>28</v>
      </c>
      <c r="M4" s="80" t="s">
        <v>29</v>
      </c>
      <c r="N4" s="79" t="s">
        <v>28</v>
      </c>
      <c r="O4" s="80" t="s">
        <v>29</v>
      </c>
      <c r="P4" s="83"/>
      <c r="Q4" s="83"/>
      <c r="R4" s="83"/>
    </row>
    <row r="5" spans="1:18" ht="13.9" customHeight="1" outlineLevel="1" x14ac:dyDescent="0.25">
      <c r="B5" s="149" t="s">
        <v>30</v>
      </c>
      <c r="C5" s="150" t="s">
        <v>31</v>
      </c>
      <c r="D5" s="85">
        <v>0</v>
      </c>
      <c r="E5" s="86">
        <v>0</v>
      </c>
      <c r="F5" s="85">
        <v>0</v>
      </c>
      <c r="G5" s="86">
        <v>0</v>
      </c>
      <c r="H5" s="85">
        <v>0</v>
      </c>
      <c r="I5" s="86">
        <v>0</v>
      </c>
      <c r="J5" s="85">
        <v>0</v>
      </c>
      <c r="K5" s="86">
        <v>0</v>
      </c>
      <c r="L5" s="85">
        <v>0</v>
      </c>
      <c r="M5" s="86">
        <v>0</v>
      </c>
      <c r="N5" s="85">
        <v>1</v>
      </c>
      <c r="O5" s="86">
        <v>4461900</v>
      </c>
      <c r="P5" s="87"/>
      <c r="Q5" s="87"/>
      <c r="R5" s="87"/>
    </row>
    <row r="6" spans="1:18" ht="13.9" customHeight="1" outlineLevel="1" x14ac:dyDescent="0.25">
      <c r="B6" s="149"/>
      <c r="C6" s="150" t="s">
        <v>32</v>
      </c>
      <c r="D6" s="85">
        <v>0</v>
      </c>
      <c r="E6" s="86">
        <v>0</v>
      </c>
      <c r="F6" s="85">
        <v>0</v>
      </c>
      <c r="G6" s="86">
        <v>0</v>
      </c>
      <c r="H6" s="85">
        <v>0</v>
      </c>
      <c r="I6" s="86">
        <v>0</v>
      </c>
      <c r="J6" s="85">
        <v>0</v>
      </c>
      <c r="K6" s="86">
        <v>0</v>
      </c>
      <c r="L6" s="85">
        <v>0</v>
      </c>
      <c r="M6" s="86">
        <v>0</v>
      </c>
      <c r="N6" s="85">
        <v>1</v>
      </c>
      <c r="O6" s="86">
        <v>19875130</v>
      </c>
      <c r="P6" s="87"/>
      <c r="Q6" s="87"/>
      <c r="R6" s="87"/>
    </row>
    <row r="7" spans="1:18" ht="13.9" customHeight="1" outlineLevel="1" x14ac:dyDescent="0.25">
      <c r="B7" s="149"/>
      <c r="C7" s="150" t="s">
        <v>33</v>
      </c>
      <c r="D7" s="85">
        <v>0</v>
      </c>
      <c r="E7" s="86">
        <v>0</v>
      </c>
      <c r="F7" s="85">
        <v>0</v>
      </c>
      <c r="G7" s="86">
        <v>0</v>
      </c>
      <c r="H7" s="85">
        <v>0</v>
      </c>
      <c r="I7" s="86">
        <v>0</v>
      </c>
      <c r="J7" s="85">
        <v>0</v>
      </c>
      <c r="K7" s="86">
        <v>0</v>
      </c>
      <c r="L7" s="85">
        <v>0</v>
      </c>
      <c r="M7" s="86">
        <v>0</v>
      </c>
      <c r="N7" s="85">
        <v>10</v>
      </c>
      <c r="O7" s="86">
        <v>21342908.75</v>
      </c>
      <c r="P7" s="87"/>
      <c r="Q7" s="87"/>
      <c r="R7" s="87"/>
    </row>
    <row r="8" spans="1:18" ht="13.9" customHeight="1" outlineLevel="1" x14ac:dyDescent="0.25">
      <c r="B8" s="149"/>
      <c r="C8" s="150" t="s">
        <v>34</v>
      </c>
      <c r="D8" s="85">
        <v>0</v>
      </c>
      <c r="E8" s="86">
        <v>0</v>
      </c>
      <c r="F8" s="85">
        <v>0</v>
      </c>
      <c r="G8" s="86">
        <v>0</v>
      </c>
      <c r="H8" s="85">
        <v>0</v>
      </c>
      <c r="I8" s="86">
        <v>0</v>
      </c>
      <c r="J8" s="85">
        <v>0</v>
      </c>
      <c r="K8" s="86">
        <v>0</v>
      </c>
      <c r="L8" s="85">
        <v>30</v>
      </c>
      <c r="M8" s="86">
        <v>87923137</v>
      </c>
      <c r="N8" s="85">
        <v>2</v>
      </c>
      <c r="O8" s="86">
        <v>5511390.5</v>
      </c>
      <c r="P8" s="87"/>
      <c r="Q8" s="87"/>
      <c r="R8" s="87"/>
    </row>
    <row r="9" spans="1:18" ht="13.9" customHeight="1" outlineLevel="1" x14ac:dyDescent="0.25">
      <c r="B9" s="149"/>
      <c r="C9" s="150" t="s">
        <v>35</v>
      </c>
      <c r="D9" s="85">
        <v>0</v>
      </c>
      <c r="E9" s="86">
        <v>0</v>
      </c>
      <c r="F9" s="85">
        <v>0</v>
      </c>
      <c r="G9" s="86">
        <v>0</v>
      </c>
      <c r="H9" s="85">
        <v>0</v>
      </c>
      <c r="I9" s="86">
        <v>0</v>
      </c>
      <c r="J9" s="85">
        <v>0</v>
      </c>
      <c r="K9" s="86">
        <v>0</v>
      </c>
      <c r="L9" s="85">
        <v>0</v>
      </c>
      <c r="M9" s="86">
        <v>0</v>
      </c>
      <c r="N9" s="85">
        <v>0</v>
      </c>
      <c r="O9" s="86">
        <v>0</v>
      </c>
      <c r="P9" s="87"/>
      <c r="Q9" s="87"/>
      <c r="R9" s="87"/>
    </row>
    <row r="10" spans="1:18" ht="13.9" customHeight="1" outlineLevel="1" x14ac:dyDescent="0.25">
      <c r="B10" s="149"/>
      <c r="C10" s="150" t="s">
        <v>36</v>
      </c>
      <c r="D10" s="85">
        <v>0</v>
      </c>
      <c r="E10" s="86">
        <v>0</v>
      </c>
      <c r="F10" s="85">
        <v>7</v>
      </c>
      <c r="G10" s="86">
        <v>80922262.5</v>
      </c>
      <c r="H10" s="85">
        <v>1</v>
      </c>
      <c r="I10" s="86">
        <v>14386180</v>
      </c>
      <c r="J10" s="85">
        <v>1</v>
      </c>
      <c r="K10" s="86">
        <v>11508944</v>
      </c>
      <c r="L10" s="85">
        <v>0</v>
      </c>
      <c r="M10" s="86">
        <v>0</v>
      </c>
      <c r="N10" s="85">
        <v>0</v>
      </c>
      <c r="O10" s="86">
        <v>0</v>
      </c>
      <c r="P10" s="87"/>
      <c r="Q10" s="87"/>
      <c r="R10" s="87"/>
    </row>
    <row r="11" spans="1:18" ht="13.9" customHeight="1" outlineLevel="1" x14ac:dyDescent="0.25">
      <c r="B11" s="149"/>
      <c r="C11" s="150" t="s">
        <v>37</v>
      </c>
      <c r="D11" s="85">
        <v>0</v>
      </c>
      <c r="E11" s="86">
        <v>0</v>
      </c>
      <c r="F11" s="85">
        <v>0</v>
      </c>
      <c r="G11" s="86">
        <v>0</v>
      </c>
      <c r="H11" s="85">
        <v>0</v>
      </c>
      <c r="I11" s="86">
        <v>0</v>
      </c>
      <c r="J11" s="85">
        <v>0</v>
      </c>
      <c r="K11" s="86">
        <v>0</v>
      </c>
      <c r="L11" s="85">
        <v>0</v>
      </c>
      <c r="M11" s="86">
        <v>0</v>
      </c>
      <c r="N11" s="85">
        <v>1</v>
      </c>
      <c r="O11" s="86">
        <v>1097285</v>
      </c>
      <c r="P11" s="87"/>
      <c r="Q11" s="87"/>
      <c r="R11" s="87"/>
    </row>
    <row r="12" spans="1:18" ht="13.9" customHeight="1" outlineLevel="1" x14ac:dyDescent="0.25">
      <c r="B12" s="149"/>
      <c r="C12" s="150" t="s">
        <v>38</v>
      </c>
      <c r="D12" s="85">
        <v>0</v>
      </c>
      <c r="E12" s="86">
        <v>0</v>
      </c>
      <c r="F12" s="85">
        <v>0</v>
      </c>
      <c r="G12" s="86">
        <v>0</v>
      </c>
      <c r="H12" s="85">
        <v>0</v>
      </c>
      <c r="I12" s="86">
        <v>0</v>
      </c>
      <c r="J12" s="85">
        <v>0</v>
      </c>
      <c r="K12" s="86">
        <v>0</v>
      </c>
      <c r="L12" s="85">
        <v>0</v>
      </c>
      <c r="M12" s="86">
        <v>0</v>
      </c>
      <c r="N12" s="85">
        <v>2</v>
      </c>
      <c r="O12" s="86">
        <v>10838124</v>
      </c>
      <c r="P12" s="87"/>
      <c r="Q12" s="87"/>
      <c r="R12" s="87"/>
    </row>
    <row r="13" spans="1:18" ht="13.9" customHeight="1" outlineLevel="1" x14ac:dyDescent="0.25">
      <c r="B13" s="149"/>
      <c r="C13" s="150" t="s">
        <v>39</v>
      </c>
      <c r="D13" s="85">
        <v>0</v>
      </c>
      <c r="E13" s="86">
        <v>0</v>
      </c>
      <c r="F13" s="85">
        <v>0</v>
      </c>
      <c r="G13" s="86">
        <v>0</v>
      </c>
      <c r="H13" s="85">
        <v>0</v>
      </c>
      <c r="I13" s="86">
        <v>0</v>
      </c>
      <c r="J13" s="85">
        <v>0</v>
      </c>
      <c r="K13" s="86">
        <v>0</v>
      </c>
      <c r="L13" s="85">
        <v>0</v>
      </c>
      <c r="M13" s="86">
        <v>0</v>
      </c>
      <c r="N13" s="85">
        <v>3</v>
      </c>
      <c r="O13" s="86">
        <v>35006568.149999999</v>
      </c>
      <c r="P13" s="87"/>
      <c r="Q13" s="87"/>
      <c r="R13" s="87"/>
    </row>
    <row r="14" spans="1:18" ht="13.9" customHeight="1" outlineLevel="1" x14ac:dyDescent="0.25">
      <c r="B14" s="149"/>
      <c r="C14" s="150" t="s">
        <v>40</v>
      </c>
      <c r="D14" s="85">
        <v>0</v>
      </c>
      <c r="E14" s="86">
        <v>0</v>
      </c>
      <c r="F14" s="85">
        <v>0</v>
      </c>
      <c r="G14" s="86">
        <v>0</v>
      </c>
      <c r="H14" s="85">
        <v>2</v>
      </c>
      <c r="I14" s="86">
        <v>53629705</v>
      </c>
      <c r="J14" s="85">
        <v>2</v>
      </c>
      <c r="K14" s="86">
        <v>54496949</v>
      </c>
      <c r="L14" s="85">
        <v>2</v>
      </c>
      <c r="M14" s="86">
        <v>61108326</v>
      </c>
      <c r="N14" s="85">
        <v>1</v>
      </c>
      <c r="O14" s="86">
        <v>24333414</v>
      </c>
      <c r="P14" s="87"/>
      <c r="Q14" s="87"/>
      <c r="R14" s="87"/>
    </row>
    <row r="15" spans="1:18" ht="13.9" customHeight="1" outlineLevel="1" x14ac:dyDescent="0.25">
      <c r="B15" s="149"/>
      <c r="C15" s="150" t="s">
        <v>41</v>
      </c>
      <c r="D15" s="85">
        <v>0</v>
      </c>
      <c r="E15" s="86">
        <v>0</v>
      </c>
      <c r="F15" s="85">
        <v>0</v>
      </c>
      <c r="G15" s="86">
        <v>0</v>
      </c>
      <c r="H15" s="85">
        <v>0</v>
      </c>
      <c r="I15" s="86">
        <v>0</v>
      </c>
      <c r="J15" s="85">
        <v>0</v>
      </c>
      <c r="K15" s="86">
        <v>0</v>
      </c>
      <c r="L15" s="85">
        <v>0</v>
      </c>
      <c r="M15" s="86">
        <v>0</v>
      </c>
      <c r="N15" s="85">
        <v>3</v>
      </c>
      <c r="O15" s="86">
        <v>17161606.440000001</v>
      </c>
      <c r="P15" s="87"/>
      <c r="Q15" s="87"/>
      <c r="R15" s="87"/>
    </row>
    <row r="16" spans="1:18" ht="13.9" customHeight="1" outlineLevel="1" x14ac:dyDescent="0.25">
      <c r="B16" s="149"/>
      <c r="C16" s="150" t="s">
        <v>42</v>
      </c>
      <c r="D16" s="85">
        <v>0</v>
      </c>
      <c r="E16" s="86">
        <v>0</v>
      </c>
      <c r="F16" s="85">
        <v>0</v>
      </c>
      <c r="G16" s="86">
        <v>0</v>
      </c>
      <c r="H16" s="85">
        <v>0</v>
      </c>
      <c r="I16" s="86">
        <v>0</v>
      </c>
      <c r="J16" s="85">
        <v>0</v>
      </c>
      <c r="K16" s="86">
        <v>0</v>
      </c>
      <c r="L16" s="85">
        <v>0</v>
      </c>
      <c r="M16" s="86">
        <v>0</v>
      </c>
      <c r="N16" s="85">
        <v>0</v>
      </c>
      <c r="O16" s="86">
        <v>0</v>
      </c>
      <c r="P16" s="87"/>
      <c r="Q16" s="87"/>
      <c r="R16" s="87"/>
    </row>
    <row r="17" spans="2:18" ht="13.9" customHeight="1" outlineLevel="1" x14ac:dyDescent="0.25">
      <c r="B17" s="149"/>
      <c r="C17" s="150" t="s">
        <v>43</v>
      </c>
      <c r="D17" s="85">
        <v>0</v>
      </c>
      <c r="E17" s="86">
        <v>0</v>
      </c>
      <c r="F17" s="85">
        <v>0</v>
      </c>
      <c r="G17" s="86">
        <v>0</v>
      </c>
      <c r="H17" s="85">
        <v>3</v>
      </c>
      <c r="I17" s="86">
        <v>73744340</v>
      </c>
      <c r="J17" s="85">
        <v>0</v>
      </c>
      <c r="K17" s="86">
        <v>0</v>
      </c>
      <c r="L17" s="85">
        <v>0</v>
      </c>
      <c r="M17" s="86">
        <v>0</v>
      </c>
      <c r="N17" s="85">
        <v>13</v>
      </c>
      <c r="O17" s="86">
        <v>155574450</v>
      </c>
      <c r="P17" s="87"/>
      <c r="Q17" s="87"/>
      <c r="R17" s="87"/>
    </row>
    <row r="18" spans="2:18" ht="13.9" customHeight="1" outlineLevel="1" x14ac:dyDescent="0.25">
      <c r="B18" s="149"/>
      <c r="C18" s="150" t="s">
        <v>44</v>
      </c>
      <c r="D18" s="85">
        <v>0</v>
      </c>
      <c r="E18" s="86">
        <v>0</v>
      </c>
      <c r="F18" s="85">
        <v>1</v>
      </c>
      <c r="G18" s="86">
        <v>7725196</v>
      </c>
      <c r="H18" s="85">
        <v>8</v>
      </c>
      <c r="I18" s="86">
        <v>28717628</v>
      </c>
      <c r="J18" s="85">
        <v>4</v>
      </c>
      <c r="K18" s="86">
        <v>11749505.35</v>
      </c>
      <c r="L18" s="85">
        <v>0</v>
      </c>
      <c r="M18" s="86">
        <v>0</v>
      </c>
      <c r="N18" s="85">
        <v>0</v>
      </c>
      <c r="O18" s="86">
        <v>0</v>
      </c>
      <c r="P18" s="87"/>
      <c r="Q18" s="87"/>
      <c r="R18" s="87"/>
    </row>
    <row r="19" spans="2:18" ht="13.9" customHeight="1" outlineLevel="1" x14ac:dyDescent="0.25">
      <c r="B19" s="149"/>
      <c r="C19" s="150" t="s">
        <v>45</v>
      </c>
      <c r="D19" s="85">
        <v>0</v>
      </c>
      <c r="E19" s="86">
        <v>0</v>
      </c>
      <c r="F19" s="85">
        <v>0</v>
      </c>
      <c r="G19" s="86">
        <v>0</v>
      </c>
      <c r="H19" s="85">
        <v>0</v>
      </c>
      <c r="I19" s="86">
        <v>0</v>
      </c>
      <c r="J19" s="85">
        <v>0</v>
      </c>
      <c r="K19" s="86">
        <v>0</v>
      </c>
      <c r="L19" s="85">
        <v>0</v>
      </c>
      <c r="M19" s="86">
        <v>0</v>
      </c>
      <c r="N19" s="85">
        <v>0</v>
      </c>
      <c r="O19" s="86">
        <v>0</v>
      </c>
      <c r="P19" s="87"/>
      <c r="Q19" s="87"/>
      <c r="R19" s="87"/>
    </row>
    <row r="20" spans="2:18" ht="13.9" customHeight="1" outlineLevel="1" x14ac:dyDescent="0.25">
      <c r="B20" s="149"/>
      <c r="C20" s="150" t="s">
        <v>46</v>
      </c>
      <c r="D20" s="85">
        <v>0</v>
      </c>
      <c r="E20" s="86">
        <v>0</v>
      </c>
      <c r="F20" s="85">
        <v>0</v>
      </c>
      <c r="G20" s="86">
        <v>0</v>
      </c>
      <c r="H20" s="85">
        <v>0</v>
      </c>
      <c r="I20" s="86">
        <v>0</v>
      </c>
      <c r="J20" s="85">
        <v>0</v>
      </c>
      <c r="K20" s="86">
        <v>0</v>
      </c>
      <c r="L20" s="85">
        <v>0</v>
      </c>
      <c r="M20" s="86">
        <v>0</v>
      </c>
      <c r="N20" s="85">
        <v>0</v>
      </c>
      <c r="O20" s="86">
        <v>0</v>
      </c>
      <c r="P20" s="87"/>
      <c r="Q20" s="87"/>
      <c r="R20" s="87"/>
    </row>
    <row r="21" spans="2:18" ht="13.9" customHeight="1" outlineLevel="1" x14ac:dyDescent="0.25">
      <c r="B21" s="149"/>
      <c r="C21" s="150" t="s">
        <v>47</v>
      </c>
      <c r="D21" s="85">
        <v>0</v>
      </c>
      <c r="E21" s="86">
        <v>0</v>
      </c>
      <c r="F21" s="85">
        <v>6</v>
      </c>
      <c r="G21" s="86">
        <v>31058697.75</v>
      </c>
      <c r="H21" s="85">
        <v>1</v>
      </c>
      <c r="I21" s="86">
        <v>5584364.7999999998</v>
      </c>
      <c r="J21" s="85">
        <v>0</v>
      </c>
      <c r="K21" s="86">
        <v>0</v>
      </c>
      <c r="L21" s="85">
        <v>0</v>
      </c>
      <c r="M21" s="86">
        <v>0</v>
      </c>
      <c r="N21" s="85">
        <v>2</v>
      </c>
      <c r="O21" s="86">
        <v>19048120</v>
      </c>
      <c r="P21" s="87"/>
      <c r="Q21" s="87"/>
      <c r="R21" s="87"/>
    </row>
    <row r="22" spans="2:18" ht="13.9" customHeight="1" outlineLevel="1" x14ac:dyDescent="0.25">
      <c r="B22" s="149"/>
      <c r="C22" s="150" t="s">
        <v>48</v>
      </c>
      <c r="D22" s="85">
        <v>0</v>
      </c>
      <c r="E22" s="86">
        <v>0</v>
      </c>
      <c r="F22" s="85">
        <v>2</v>
      </c>
      <c r="G22" s="86">
        <v>30999550</v>
      </c>
      <c r="H22" s="85">
        <v>0</v>
      </c>
      <c r="I22" s="86">
        <v>0</v>
      </c>
      <c r="J22" s="85">
        <v>0</v>
      </c>
      <c r="K22" s="86">
        <v>0</v>
      </c>
      <c r="L22" s="85">
        <v>0</v>
      </c>
      <c r="M22" s="86">
        <v>0</v>
      </c>
      <c r="N22" s="85">
        <v>0</v>
      </c>
      <c r="O22" s="86">
        <v>0</v>
      </c>
      <c r="P22" s="87"/>
      <c r="Q22" s="87"/>
      <c r="R22" s="87"/>
    </row>
    <row r="23" spans="2:18" ht="13.9" customHeight="1" outlineLevel="1" x14ac:dyDescent="0.25">
      <c r="B23" s="149"/>
      <c r="C23" s="150" t="s">
        <v>49</v>
      </c>
      <c r="D23" s="85">
        <v>0</v>
      </c>
      <c r="E23" s="86">
        <v>0</v>
      </c>
      <c r="F23" s="85">
        <v>1</v>
      </c>
      <c r="G23" s="86">
        <v>23122500</v>
      </c>
      <c r="H23" s="85">
        <v>0</v>
      </c>
      <c r="I23" s="86">
        <v>0</v>
      </c>
      <c r="J23" s="85">
        <v>0</v>
      </c>
      <c r="K23" s="86">
        <v>0</v>
      </c>
      <c r="L23" s="85">
        <v>2</v>
      </c>
      <c r="M23" s="86">
        <v>23992152.259999998</v>
      </c>
      <c r="N23" s="85">
        <v>0</v>
      </c>
      <c r="O23" s="86">
        <v>0</v>
      </c>
      <c r="P23" s="87"/>
      <c r="Q23" s="87"/>
      <c r="R23" s="87"/>
    </row>
    <row r="24" spans="2:18" ht="13.9" customHeight="1" outlineLevel="1" x14ac:dyDescent="0.25">
      <c r="B24" s="149"/>
      <c r="C24" s="150" t="s">
        <v>50</v>
      </c>
      <c r="D24" s="85">
        <v>0</v>
      </c>
      <c r="E24" s="86">
        <v>0</v>
      </c>
      <c r="F24" s="85">
        <v>10</v>
      </c>
      <c r="G24" s="86">
        <v>31293124.5</v>
      </c>
      <c r="H24" s="85">
        <v>0</v>
      </c>
      <c r="I24" s="86">
        <v>0</v>
      </c>
      <c r="J24" s="85">
        <v>0</v>
      </c>
      <c r="K24" s="86">
        <v>0</v>
      </c>
      <c r="L24" s="85">
        <v>0</v>
      </c>
      <c r="M24" s="86">
        <v>0</v>
      </c>
      <c r="N24" s="85">
        <v>0</v>
      </c>
      <c r="O24" s="86">
        <v>0</v>
      </c>
      <c r="P24" s="87"/>
    </row>
    <row r="25" spans="2:18" ht="13.9" customHeight="1" outlineLevel="1" x14ac:dyDescent="0.25">
      <c r="B25" s="149"/>
      <c r="C25" s="150" t="s">
        <v>51</v>
      </c>
      <c r="D25" s="85">
        <v>0</v>
      </c>
      <c r="E25" s="86">
        <v>0</v>
      </c>
      <c r="F25" s="85">
        <v>0</v>
      </c>
      <c r="G25" s="86">
        <v>0</v>
      </c>
      <c r="H25" s="85">
        <v>0</v>
      </c>
      <c r="I25" s="86">
        <v>0</v>
      </c>
      <c r="J25" s="85">
        <v>0</v>
      </c>
      <c r="K25" s="86">
        <v>0</v>
      </c>
      <c r="L25" s="85">
        <v>0</v>
      </c>
      <c r="M25" s="86">
        <v>0</v>
      </c>
      <c r="N25" s="85">
        <v>0</v>
      </c>
      <c r="O25" s="86">
        <v>0</v>
      </c>
      <c r="P25" s="87"/>
    </row>
    <row r="26" spans="2:18" ht="13.9" customHeight="1" outlineLevel="1" x14ac:dyDescent="0.25">
      <c r="B26" s="149"/>
      <c r="C26" s="150" t="s">
        <v>52</v>
      </c>
      <c r="D26" s="85">
        <v>0</v>
      </c>
      <c r="E26" s="86">
        <v>0</v>
      </c>
      <c r="F26" s="85">
        <v>0</v>
      </c>
      <c r="G26" s="86">
        <v>0</v>
      </c>
      <c r="H26" s="85">
        <v>0</v>
      </c>
      <c r="I26" s="86">
        <v>0</v>
      </c>
      <c r="J26" s="85">
        <v>0</v>
      </c>
      <c r="K26" s="86">
        <v>0</v>
      </c>
      <c r="L26" s="85">
        <v>0</v>
      </c>
      <c r="M26" s="86">
        <v>0</v>
      </c>
      <c r="N26" s="85">
        <v>0</v>
      </c>
      <c r="O26" s="86">
        <v>0</v>
      </c>
      <c r="P26" s="87"/>
    </row>
    <row r="27" spans="2:18" ht="13.9" customHeight="1" outlineLevel="1" x14ac:dyDescent="0.25">
      <c r="B27" s="149"/>
      <c r="C27" s="150" t="s">
        <v>53</v>
      </c>
      <c r="D27" s="85">
        <v>0</v>
      </c>
      <c r="E27" s="86">
        <v>0</v>
      </c>
      <c r="F27" s="85">
        <v>0</v>
      </c>
      <c r="G27" s="86">
        <v>0</v>
      </c>
      <c r="H27" s="85">
        <v>0</v>
      </c>
      <c r="I27" s="86">
        <v>0</v>
      </c>
      <c r="J27" s="85">
        <v>0</v>
      </c>
      <c r="K27" s="86">
        <v>0</v>
      </c>
      <c r="L27" s="85">
        <v>0</v>
      </c>
      <c r="M27" s="86">
        <v>0</v>
      </c>
      <c r="N27" s="85">
        <v>0</v>
      </c>
      <c r="O27" s="86">
        <v>0</v>
      </c>
      <c r="P27" s="87"/>
    </row>
    <row r="28" spans="2:18" ht="13.9" customHeight="1" outlineLevel="1" x14ac:dyDescent="0.25">
      <c r="B28" s="149"/>
      <c r="C28" s="150" t="s">
        <v>54</v>
      </c>
      <c r="D28" s="85">
        <v>0</v>
      </c>
      <c r="E28" s="86">
        <v>0</v>
      </c>
      <c r="F28" s="85">
        <v>0</v>
      </c>
      <c r="G28" s="86">
        <v>0</v>
      </c>
      <c r="H28" s="85">
        <v>0</v>
      </c>
      <c r="I28" s="86">
        <v>0</v>
      </c>
      <c r="J28" s="85">
        <v>0</v>
      </c>
      <c r="K28" s="86">
        <v>0</v>
      </c>
      <c r="L28" s="85">
        <v>0</v>
      </c>
      <c r="M28" s="86">
        <v>0</v>
      </c>
      <c r="N28" s="85">
        <v>0</v>
      </c>
      <c r="O28" s="86">
        <v>0</v>
      </c>
      <c r="P28" s="87"/>
    </row>
    <row r="29" spans="2:18" ht="13.9" customHeight="1" outlineLevel="1" x14ac:dyDescent="0.25">
      <c r="B29" s="149"/>
      <c r="C29" s="150" t="s">
        <v>55</v>
      </c>
      <c r="D29" s="85">
        <v>0</v>
      </c>
      <c r="E29" s="86">
        <v>0</v>
      </c>
      <c r="F29" s="85">
        <v>9</v>
      </c>
      <c r="G29" s="86">
        <v>24136052.25</v>
      </c>
      <c r="H29" s="85">
        <v>4</v>
      </c>
      <c r="I29" s="86">
        <v>9225432</v>
      </c>
      <c r="J29" s="85">
        <v>0</v>
      </c>
      <c r="K29" s="86">
        <v>0</v>
      </c>
      <c r="L29" s="85">
        <v>0</v>
      </c>
      <c r="M29" s="86">
        <v>0</v>
      </c>
      <c r="N29" s="85">
        <v>0</v>
      </c>
      <c r="O29" s="86">
        <v>0</v>
      </c>
      <c r="P29" s="87"/>
    </row>
    <row r="30" spans="2:18" ht="13.9" customHeight="1" outlineLevel="1" x14ac:dyDescent="0.25">
      <c r="B30" s="149"/>
      <c r="C30" s="150" t="s">
        <v>56</v>
      </c>
      <c r="D30" s="85">
        <v>0</v>
      </c>
      <c r="E30" s="86">
        <v>0</v>
      </c>
      <c r="F30" s="85">
        <v>0</v>
      </c>
      <c r="G30" s="86">
        <v>0</v>
      </c>
      <c r="H30" s="85">
        <v>0</v>
      </c>
      <c r="I30" s="86">
        <v>0</v>
      </c>
      <c r="J30" s="85">
        <v>0</v>
      </c>
      <c r="K30" s="86">
        <v>0</v>
      </c>
      <c r="L30" s="85">
        <v>0</v>
      </c>
      <c r="M30" s="86">
        <v>0</v>
      </c>
      <c r="N30" s="85">
        <v>0</v>
      </c>
      <c r="O30" s="86">
        <v>0</v>
      </c>
      <c r="P30" s="87"/>
    </row>
    <row r="31" spans="2:18" ht="13.9" customHeight="1" outlineLevel="1" x14ac:dyDescent="0.25">
      <c r="B31" s="149"/>
      <c r="C31" s="150" t="s">
        <v>57</v>
      </c>
      <c r="D31" s="85">
        <v>0</v>
      </c>
      <c r="E31" s="86">
        <v>0</v>
      </c>
      <c r="F31" s="85">
        <v>0</v>
      </c>
      <c r="G31" s="86">
        <v>0</v>
      </c>
      <c r="H31" s="85">
        <v>0</v>
      </c>
      <c r="I31" s="86">
        <v>0</v>
      </c>
      <c r="J31" s="85">
        <v>0</v>
      </c>
      <c r="K31" s="86">
        <v>0</v>
      </c>
      <c r="L31" s="85">
        <v>0</v>
      </c>
      <c r="M31" s="86">
        <v>0</v>
      </c>
      <c r="N31" s="85">
        <v>8</v>
      </c>
      <c r="O31" s="86">
        <v>123688884</v>
      </c>
      <c r="P31" s="87"/>
    </row>
    <row r="32" spans="2:18" ht="13.9" customHeight="1" outlineLevel="1" x14ac:dyDescent="0.25">
      <c r="B32" s="149"/>
      <c r="C32" s="150" t="s">
        <v>58</v>
      </c>
      <c r="D32" s="85">
        <v>0</v>
      </c>
      <c r="E32" s="86">
        <v>0</v>
      </c>
      <c r="F32" s="85">
        <v>0</v>
      </c>
      <c r="G32" s="86">
        <v>0</v>
      </c>
      <c r="H32" s="85">
        <v>0</v>
      </c>
      <c r="I32" s="86">
        <v>0</v>
      </c>
      <c r="J32" s="85">
        <v>0</v>
      </c>
      <c r="K32" s="86">
        <v>0</v>
      </c>
      <c r="L32" s="85">
        <v>0</v>
      </c>
      <c r="M32" s="86">
        <v>0</v>
      </c>
      <c r="N32" s="85">
        <v>0</v>
      </c>
      <c r="O32" s="86">
        <v>0</v>
      </c>
      <c r="P32" s="87"/>
    </row>
    <row r="33" spans="2:16" ht="13.9" customHeight="1" outlineLevel="1" x14ac:dyDescent="0.25">
      <c r="B33" s="149"/>
      <c r="C33" s="150" t="s">
        <v>59</v>
      </c>
      <c r="D33" s="85">
        <v>0</v>
      </c>
      <c r="E33" s="86">
        <v>0</v>
      </c>
      <c r="F33" s="85">
        <v>0</v>
      </c>
      <c r="G33" s="86">
        <v>0</v>
      </c>
      <c r="H33" s="85">
        <v>0</v>
      </c>
      <c r="I33" s="86">
        <v>0</v>
      </c>
      <c r="J33" s="85">
        <v>0</v>
      </c>
      <c r="K33" s="86">
        <v>0</v>
      </c>
      <c r="L33" s="85">
        <v>0</v>
      </c>
      <c r="M33" s="86">
        <v>0</v>
      </c>
      <c r="N33" s="85">
        <v>0</v>
      </c>
      <c r="O33" s="86">
        <v>0</v>
      </c>
      <c r="P33" s="87"/>
    </row>
    <row r="34" spans="2:16" ht="13.9" customHeight="1" outlineLevel="1" x14ac:dyDescent="0.25">
      <c r="B34" s="149"/>
      <c r="C34" s="150" t="s">
        <v>60</v>
      </c>
      <c r="D34" s="85">
        <v>0</v>
      </c>
      <c r="E34" s="86">
        <v>0</v>
      </c>
      <c r="F34" s="85">
        <v>0</v>
      </c>
      <c r="G34" s="86">
        <v>0</v>
      </c>
      <c r="H34" s="85">
        <v>0</v>
      </c>
      <c r="I34" s="86">
        <v>0</v>
      </c>
      <c r="J34" s="85">
        <v>0</v>
      </c>
      <c r="K34" s="86">
        <v>0</v>
      </c>
      <c r="L34" s="85">
        <v>0</v>
      </c>
      <c r="M34" s="86">
        <v>0</v>
      </c>
      <c r="N34" s="85">
        <v>0</v>
      </c>
      <c r="O34" s="86">
        <v>0</v>
      </c>
      <c r="P34" s="87"/>
    </row>
    <row r="35" spans="2:16" ht="13.9" customHeight="1" outlineLevel="1" x14ac:dyDescent="0.25">
      <c r="B35" s="149"/>
      <c r="C35" s="150" t="s">
        <v>61</v>
      </c>
      <c r="D35" s="85">
        <v>0</v>
      </c>
      <c r="E35" s="86">
        <v>0</v>
      </c>
      <c r="F35" s="85">
        <v>0</v>
      </c>
      <c r="G35" s="86">
        <v>0</v>
      </c>
      <c r="H35" s="85">
        <v>0</v>
      </c>
      <c r="I35" s="86">
        <v>0</v>
      </c>
      <c r="J35" s="85">
        <v>0</v>
      </c>
      <c r="K35" s="86">
        <v>0</v>
      </c>
      <c r="L35" s="85">
        <v>0</v>
      </c>
      <c r="M35" s="86">
        <v>0</v>
      </c>
      <c r="N35" s="85">
        <v>0</v>
      </c>
      <c r="O35" s="86">
        <v>0</v>
      </c>
      <c r="P35" s="87"/>
    </row>
    <row r="36" spans="2:16" ht="13.9" customHeight="1" outlineLevel="1" x14ac:dyDescent="0.25">
      <c r="B36" s="149"/>
      <c r="C36" s="150" t="s">
        <v>62</v>
      </c>
      <c r="D36" s="85">
        <v>0</v>
      </c>
      <c r="E36" s="86">
        <v>0</v>
      </c>
      <c r="F36" s="85">
        <v>0</v>
      </c>
      <c r="G36" s="86">
        <v>0</v>
      </c>
      <c r="H36" s="85">
        <v>0</v>
      </c>
      <c r="I36" s="86">
        <v>0</v>
      </c>
      <c r="J36" s="85">
        <v>0</v>
      </c>
      <c r="K36" s="86">
        <v>0</v>
      </c>
      <c r="L36" s="85">
        <v>0</v>
      </c>
      <c r="M36" s="86">
        <v>0</v>
      </c>
      <c r="N36" s="85">
        <v>0</v>
      </c>
      <c r="O36" s="86">
        <v>0</v>
      </c>
      <c r="P36" s="87"/>
    </row>
    <row r="37" spans="2:16" ht="13.9" customHeight="1" outlineLevel="1" x14ac:dyDescent="0.25">
      <c r="B37" s="149"/>
      <c r="C37" s="150" t="s">
        <v>63</v>
      </c>
      <c r="D37" s="85">
        <v>0</v>
      </c>
      <c r="E37" s="86">
        <v>0</v>
      </c>
      <c r="F37" s="85">
        <v>0</v>
      </c>
      <c r="G37" s="86">
        <v>0</v>
      </c>
      <c r="H37" s="85">
        <v>0</v>
      </c>
      <c r="I37" s="86">
        <v>0</v>
      </c>
      <c r="J37" s="85">
        <v>0</v>
      </c>
      <c r="K37" s="86">
        <v>0</v>
      </c>
      <c r="L37" s="85">
        <v>0</v>
      </c>
      <c r="M37" s="86">
        <v>0</v>
      </c>
      <c r="N37" s="85">
        <v>0</v>
      </c>
      <c r="O37" s="86">
        <v>0</v>
      </c>
      <c r="P37" s="87"/>
    </row>
    <row r="38" spans="2:16" ht="13.9" customHeight="1" outlineLevel="1" x14ac:dyDescent="0.25">
      <c r="B38" s="149"/>
      <c r="C38" s="150" t="s">
        <v>64</v>
      </c>
      <c r="D38" s="85">
        <v>0</v>
      </c>
      <c r="E38" s="86">
        <v>0</v>
      </c>
      <c r="F38" s="85">
        <v>0</v>
      </c>
      <c r="G38" s="86">
        <v>0</v>
      </c>
      <c r="H38" s="85">
        <v>0</v>
      </c>
      <c r="I38" s="86">
        <v>0</v>
      </c>
      <c r="J38" s="85">
        <v>0</v>
      </c>
      <c r="K38" s="86">
        <v>0</v>
      </c>
      <c r="L38" s="85">
        <v>0</v>
      </c>
      <c r="M38" s="86">
        <v>0</v>
      </c>
      <c r="N38" s="85">
        <v>0</v>
      </c>
      <c r="O38" s="86">
        <v>0</v>
      </c>
      <c r="P38" s="87"/>
    </row>
    <row r="39" spans="2:16" ht="13.9" customHeight="1" outlineLevel="1" x14ac:dyDescent="0.25">
      <c r="B39" s="149"/>
      <c r="C39" s="150" t="s">
        <v>65</v>
      </c>
      <c r="D39" s="85">
        <v>0</v>
      </c>
      <c r="E39" s="86">
        <v>0</v>
      </c>
      <c r="F39" s="85">
        <v>0</v>
      </c>
      <c r="G39" s="86">
        <v>0</v>
      </c>
      <c r="H39" s="85">
        <v>0</v>
      </c>
      <c r="I39" s="86">
        <v>0</v>
      </c>
      <c r="J39" s="85">
        <v>0</v>
      </c>
      <c r="K39" s="86">
        <v>0</v>
      </c>
      <c r="L39" s="85">
        <v>0</v>
      </c>
      <c r="M39" s="86">
        <v>0</v>
      </c>
      <c r="N39" s="85">
        <v>33</v>
      </c>
      <c r="O39" s="86">
        <v>32635000</v>
      </c>
      <c r="P39" s="87"/>
    </row>
    <row r="40" spans="2:16" ht="13.9" customHeight="1" outlineLevel="1" x14ac:dyDescent="0.25">
      <c r="B40" s="149"/>
      <c r="C40" s="150" t="s">
        <v>66</v>
      </c>
      <c r="D40" s="85">
        <v>0</v>
      </c>
      <c r="E40" s="86">
        <v>0</v>
      </c>
      <c r="F40" s="85">
        <v>0</v>
      </c>
      <c r="G40" s="86">
        <v>0</v>
      </c>
      <c r="H40" s="85">
        <v>0</v>
      </c>
      <c r="I40" s="86">
        <v>0</v>
      </c>
      <c r="J40" s="85">
        <v>0</v>
      </c>
      <c r="K40" s="86">
        <v>0</v>
      </c>
      <c r="L40" s="85">
        <v>0</v>
      </c>
      <c r="M40" s="86">
        <v>0</v>
      </c>
      <c r="N40" s="85">
        <v>0</v>
      </c>
      <c r="O40" s="86">
        <v>0</v>
      </c>
      <c r="P40" s="87"/>
    </row>
    <row r="41" spans="2:16" ht="13.9" customHeight="1" outlineLevel="1" x14ac:dyDescent="0.25">
      <c r="B41" s="149"/>
      <c r="C41" s="150" t="s">
        <v>67</v>
      </c>
      <c r="D41" s="85">
        <v>0</v>
      </c>
      <c r="E41" s="86">
        <v>0</v>
      </c>
      <c r="F41" s="85">
        <v>0</v>
      </c>
      <c r="G41" s="86">
        <v>0</v>
      </c>
      <c r="H41" s="85">
        <v>0</v>
      </c>
      <c r="I41" s="86">
        <v>0</v>
      </c>
      <c r="J41" s="85">
        <v>0</v>
      </c>
      <c r="K41" s="86">
        <v>0</v>
      </c>
      <c r="L41" s="85">
        <v>12</v>
      </c>
      <c r="M41" s="86">
        <v>93603241</v>
      </c>
      <c r="N41" s="85">
        <v>4</v>
      </c>
      <c r="O41" s="86">
        <v>10381385</v>
      </c>
      <c r="P41" s="87"/>
    </row>
    <row r="42" spans="2:16" ht="13.9" customHeight="1" x14ac:dyDescent="0.25">
      <c r="B42" s="149"/>
      <c r="C42" s="148" t="s">
        <v>103</v>
      </c>
      <c r="D42" s="90">
        <f>SUM(D5:D41)</f>
        <v>0</v>
      </c>
      <c r="E42" s="91">
        <f t="shared" ref="E42:O42" si="0">SUM(E5:E41)</f>
        <v>0</v>
      </c>
      <c r="F42" s="92">
        <f t="shared" si="0"/>
        <v>36</v>
      </c>
      <c r="G42" s="93">
        <f t="shared" si="0"/>
        <v>229257383</v>
      </c>
      <c r="H42" s="90">
        <f t="shared" si="0"/>
        <v>19</v>
      </c>
      <c r="I42" s="91">
        <f t="shared" si="0"/>
        <v>185287649.80000001</v>
      </c>
      <c r="J42" s="92">
        <f t="shared" si="0"/>
        <v>7</v>
      </c>
      <c r="K42" s="93">
        <f t="shared" si="0"/>
        <v>77755398.349999994</v>
      </c>
      <c r="L42" s="90">
        <f t="shared" si="0"/>
        <v>46</v>
      </c>
      <c r="M42" s="91">
        <f t="shared" si="0"/>
        <v>266626856.25999999</v>
      </c>
      <c r="N42" s="90">
        <f t="shared" si="0"/>
        <v>84</v>
      </c>
      <c r="O42" s="91">
        <f t="shared" si="0"/>
        <v>480956165.84000003</v>
      </c>
      <c r="P42" s="94"/>
    </row>
    <row r="43" spans="2:16" ht="13.9" customHeight="1" outlineLevel="1" x14ac:dyDescent="0.25">
      <c r="B43" s="149" t="s">
        <v>83</v>
      </c>
      <c r="C43" s="150" t="s">
        <v>70</v>
      </c>
      <c r="D43" s="85">
        <v>0</v>
      </c>
      <c r="E43" s="86">
        <v>0</v>
      </c>
      <c r="F43" s="85">
        <v>1</v>
      </c>
      <c r="G43" s="86">
        <v>1135721.67</v>
      </c>
      <c r="H43" s="85">
        <v>1</v>
      </c>
      <c r="I43" s="86">
        <v>2295643.2999999998</v>
      </c>
      <c r="J43" s="85">
        <v>0</v>
      </c>
      <c r="K43" s="86">
        <v>0</v>
      </c>
      <c r="L43" s="85">
        <v>0</v>
      </c>
      <c r="M43" s="86">
        <v>0</v>
      </c>
      <c r="N43" s="85">
        <v>0</v>
      </c>
      <c r="O43" s="86">
        <v>0</v>
      </c>
      <c r="P43" s="87"/>
    </row>
    <row r="44" spans="2:16" ht="13.9" customHeight="1" outlineLevel="1" x14ac:dyDescent="0.25">
      <c r="B44" s="149"/>
      <c r="C44" s="150" t="s">
        <v>71</v>
      </c>
      <c r="D44" s="85">
        <v>0</v>
      </c>
      <c r="E44" s="86">
        <v>0</v>
      </c>
      <c r="F44" s="85">
        <v>2</v>
      </c>
      <c r="G44" s="86">
        <v>22279422</v>
      </c>
      <c r="H44" s="85">
        <v>0</v>
      </c>
      <c r="I44" s="86">
        <v>0</v>
      </c>
      <c r="J44" s="85">
        <v>0</v>
      </c>
      <c r="K44" s="86">
        <v>0</v>
      </c>
      <c r="L44" s="85">
        <v>0</v>
      </c>
      <c r="M44" s="86">
        <v>0</v>
      </c>
      <c r="N44" s="85">
        <v>0</v>
      </c>
      <c r="O44" s="86">
        <v>0</v>
      </c>
      <c r="P44" s="87"/>
    </row>
    <row r="45" spans="2:16" ht="13.9" customHeight="1" outlineLevel="1" x14ac:dyDescent="0.25">
      <c r="B45" s="149"/>
      <c r="C45" s="150" t="s">
        <v>72</v>
      </c>
      <c r="D45" s="85">
        <v>0</v>
      </c>
      <c r="E45" s="86">
        <v>0</v>
      </c>
      <c r="F45" s="85">
        <v>0</v>
      </c>
      <c r="G45" s="86">
        <v>0</v>
      </c>
      <c r="H45" s="85">
        <v>0</v>
      </c>
      <c r="I45" s="86">
        <v>0</v>
      </c>
      <c r="J45" s="85">
        <v>0</v>
      </c>
      <c r="K45" s="86">
        <v>0</v>
      </c>
      <c r="L45" s="85">
        <v>0</v>
      </c>
      <c r="M45" s="86">
        <v>0</v>
      </c>
      <c r="N45" s="85">
        <v>0</v>
      </c>
      <c r="O45" s="86">
        <v>0</v>
      </c>
      <c r="P45" s="87"/>
    </row>
    <row r="46" spans="2:16" ht="13.9" customHeight="1" x14ac:dyDescent="0.25">
      <c r="B46" s="149"/>
      <c r="C46" s="148" t="s">
        <v>104</v>
      </c>
      <c r="D46" s="90">
        <f>SUM(D43:D45)</f>
        <v>0</v>
      </c>
      <c r="E46" s="91">
        <f t="shared" ref="E46:O46" si="1">SUM(E43:E45)</f>
        <v>0</v>
      </c>
      <c r="F46" s="92">
        <f t="shared" si="1"/>
        <v>3</v>
      </c>
      <c r="G46" s="93">
        <f t="shared" si="1"/>
        <v>23415143.670000002</v>
      </c>
      <c r="H46" s="90">
        <f t="shared" si="1"/>
        <v>1</v>
      </c>
      <c r="I46" s="91">
        <f t="shared" si="1"/>
        <v>2295643.2999999998</v>
      </c>
      <c r="J46" s="92">
        <f t="shared" si="1"/>
        <v>0</v>
      </c>
      <c r="K46" s="93">
        <f t="shared" si="1"/>
        <v>0</v>
      </c>
      <c r="L46" s="90">
        <f t="shared" si="1"/>
        <v>0</v>
      </c>
      <c r="M46" s="91">
        <f t="shared" si="1"/>
        <v>0</v>
      </c>
      <c r="N46" s="90">
        <f t="shared" si="1"/>
        <v>0</v>
      </c>
      <c r="O46" s="91">
        <f t="shared" si="1"/>
        <v>0</v>
      </c>
      <c r="P46" s="94"/>
    </row>
    <row r="47" spans="2:16" ht="13.9" customHeight="1" outlineLevel="1" x14ac:dyDescent="0.25">
      <c r="B47" s="149" t="s">
        <v>105</v>
      </c>
      <c r="C47" s="150" t="s">
        <v>75</v>
      </c>
      <c r="D47" s="85">
        <v>0</v>
      </c>
      <c r="E47" s="86">
        <v>0</v>
      </c>
      <c r="F47" s="85">
        <v>0</v>
      </c>
      <c r="G47" s="86">
        <v>0</v>
      </c>
      <c r="H47" s="85">
        <v>0</v>
      </c>
      <c r="I47" s="86">
        <v>0</v>
      </c>
      <c r="J47" s="85">
        <v>0</v>
      </c>
      <c r="K47" s="86">
        <v>0</v>
      </c>
      <c r="L47" s="85">
        <v>0</v>
      </c>
      <c r="M47" s="86">
        <v>0</v>
      </c>
      <c r="N47" s="85">
        <v>0</v>
      </c>
      <c r="O47" s="86">
        <v>0</v>
      </c>
      <c r="P47" s="87"/>
    </row>
    <row r="48" spans="2:16" ht="13.9" customHeight="1" outlineLevel="1" x14ac:dyDescent="0.25">
      <c r="B48" s="149"/>
      <c r="C48" s="150" t="s">
        <v>76</v>
      </c>
      <c r="D48" s="85">
        <v>0</v>
      </c>
      <c r="E48" s="86">
        <v>0</v>
      </c>
      <c r="F48" s="85">
        <v>0</v>
      </c>
      <c r="G48" s="86">
        <v>0</v>
      </c>
      <c r="H48" s="85">
        <v>0</v>
      </c>
      <c r="I48" s="86">
        <v>0</v>
      </c>
      <c r="J48" s="85">
        <v>0</v>
      </c>
      <c r="K48" s="86">
        <v>0</v>
      </c>
      <c r="L48" s="85">
        <v>0</v>
      </c>
      <c r="M48" s="86">
        <v>0</v>
      </c>
      <c r="N48" s="85">
        <v>0</v>
      </c>
      <c r="O48" s="86">
        <v>0</v>
      </c>
      <c r="P48" s="87"/>
    </row>
    <row r="49" spans="2:16" ht="13.9" customHeight="1" x14ac:dyDescent="0.25">
      <c r="B49" s="149"/>
      <c r="C49" s="148" t="s">
        <v>106</v>
      </c>
      <c r="D49" s="90">
        <f>SUM(D47:D48)</f>
        <v>0</v>
      </c>
      <c r="E49" s="91">
        <f t="shared" ref="E49:O49" si="2">SUM(E47:E48)</f>
        <v>0</v>
      </c>
      <c r="F49" s="92">
        <f t="shared" si="2"/>
        <v>0</v>
      </c>
      <c r="G49" s="93">
        <f t="shared" si="2"/>
        <v>0</v>
      </c>
      <c r="H49" s="90">
        <f t="shared" si="2"/>
        <v>0</v>
      </c>
      <c r="I49" s="91">
        <f t="shared" si="2"/>
        <v>0</v>
      </c>
      <c r="J49" s="92">
        <f t="shared" si="2"/>
        <v>0</v>
      </c>
      <c r="K49" s="93">
        <f t="shared" si="2"/>
        <v>0</v>
      </c>
      <c r="L49" s="90">
        <f t="shared" si="2"/>
        <v>0</v>
      </c>
      <c r="M49" s="91">
        <f t="shared" si="2"/>
        <v>0</v>
      </c>
      <c r="N49" s="90">
        <f t="shared" si="2"/>
        <v>0</v>
      </c>
      <c r="O49" s="91">
        <f t="shared" si="2"/>
        <v>0</v>
      </c>
      <c r="P49" s="94"/>
    </row>
    <row r="50" spans="2:16" ht="13.9" customHeight="1" x14ac:dyDescent="0.25">
      <c r="B50" s="151" t="s">
        <v>78</v>
      </c>
      <c r="C50" s="151"/>
      <c r="D50" s="90">
        <f>D42+D46+D49</f>
        <v>0</v>
      </c>
      <c r="E50" s="91">
        <f t="shared" ref="E50:O50" si="3">E42+E46+E49</f>
        <v>0</v>
      </c>
      <c r="F50" s="92">
        <f t="shared" si="3"/>
        <v>39</v>
      </c>
      <c r="G50" s="93">
        <f t="shared" si="3"/>
        <v>252672526.67000002</v>
      </c>
      <c r="H50" s="90">
        <f t="shared" si="3"/>
        <v>20</v>
      </c>
      <c r="I50" s="91">
        <f t="shared" si="3"/>
        <v>187583293.10000002</v>
      </c>
      <c r="J50" s="92">
        <f t="shared" si="3"/>
        <v>7</v>
      </c>
      <c r="K50" s="93">
        <f t="shared" si="3"/>
        <v>77755398.349999994</v>
      </c>
      <c r="L50" s="90">
        <f t="shared" si="3"/>
        <v>46</v>
      </c>
      <c r="M50" s="91">
        <f t="shared" si="3"/>
        <v>266626856.25999999</v>
      </c>
      <c r="N50" s="90">
        <f t="shared" si="3"/>
        <v>84</v>
      </c>
      <c r="O50" s="91">
        <f t="shared" si="3"/>
        <v>480956165.84000003</v>
      </c>
      <c r="P50" s="94"/>
    </row>
    <row r="51" spans="2:16" ht="13.9" customHeight="1" x14ac:dyDescent="0.25">
      <c r="B51" s="151" t="s">
        <v>79</v>
      </c>
      <c r="C51" s="151"/>
      <c r="D51" s="97">
        <f>D50/SUM($D$50,$F$50,$H$50,$J$50,$L$50,$N$50)</f>
        <v>0</v>
      </c>
      <c r="E51" s="98">
        <f>E50/SUM($E$50,$G$50,$I$50,$K$50,$M$50,$O$50)</f>
        <v>0</v>
      </c>
      <c r="F51" s="97">
        <f>F50/SUM($D$50,$F$50,$H$50,$J$50,$L$50,$N$50)</f>
        <v>0.19897959183673469</v>
      </c>
      <c r="G51" s="98">
        <f>G50/SUM($E$50,$G$50,$I$50,$K$50,$M$50,$O$50)</f>
        <v>0.19964734244213816</v>
      </c>
      <c r="H51" s="97">
        <f>H50/SUM($D$50,$F$50,$H$50,$J$50,$L$50,$N$50)</f>
        <v>0.10204081632653061</v>
      </c>
      <c r="I51" s="98">
        <f>I50/SUM($E$50,$G$50,$I$50,$K$50,$M$50,$O$50)</f>
        <v>0.14821756226339347</v>
      </c>
      <c r="J51" s="97">
        <f>J50/SUM($D$50,$F$50,$H$50,$J$50,$L$50,$N$50)</f>
        <v>3.5714285714285712E-2</v>
      </c>
      <c r="K51" s="98">
        <f>K50/SUM($E$50,$G$50,$I$50,$K$50,$M$50,$O$50)</f>
        <v>6.1437857315535555E-2</v>
      </c>
      <c r="L51" s="97">
        <f>L50/SUM($D$50,$F$50,$H$50,$J$50,$L$50,$N$50)</f>
        <v>0.23469387755102042</v>
      </c>
      <c r="M51" s="98">
        <f>M50/SUM($E$50,$G$50,$I$50,$K$50,$M$50,$O$50)</f>
        <v>0.21067325354898256</v>
      </c>
      <c r="N51" s="97">
        <f>N50/SUM($D$50,$F$50,$H$50,$J$50,$L$50,$N$50)</f>
        <v>0.42857142857142855</v>
      </c>
      <c r="O51" s="98">
        <f>O50/SUM($E$50,$G$50,$I$50,$K$50,$M$50,$O$50)</f>
        <v>0.38002398442995028</v>
      </c>
      <c r="P51" s="99"/>
    </row>
    <row r="52" spans="2:16" ht="13.9" customHeight="1" x14ac:dyDescent="0.25">
      <c r="B52" s="152" t="s">
        <v>80</v>
      </c>
      <c r="C52" s="153"/>
      <c r="D52" s="102">
        <f>D51</f>
        <v>0</v>
      </c>
      <c r="E52" s="103">
        <f>E51</f>
        <v>0</v>
      </c>
      <c r="F52" s="102">
        <f>D51+F51</f>
        <v>0.19897959183673469</v>
      </c>
      <c r="G52" s="103">
        <f>E51+G51</f>
        <v>0.19964734244213816</v>
      </c>
      <c r="H52" s="102">
        <f>F51+H51+D51</f>
        <v>0.30102040816326531</v>
      </c>
      <c r="I52" s="103">
        <f>G51+I51+E51</f>
        <v>0.34786490470553166</v>
      </c>
      <c r="J52" s="102">
        <f>H51+J51+F51+D51</f>
        <v>0.33673469387755101</v>
      </c>
      <c r="K52" s="103">
        <f>I51+K51+G51+E51</f>
        <v>0.40930276202106719</v>
      </c>
      <c r="L52" s="102">
        <f>J51+L51+H51+F51+D51</f>
        <v>0.5714285714285714</v>
      </c>
      <c r="M52" s="103">
        <f>K51+M51+I51+G51+E51</f>
        <v>0.61997601557004978</v>
      </c>
      <c r="N52" s="102">
        <f>L51+N51+J51+H51+F51+D51</f>
        <v>1</v>
      </c>
      <c r="O52" s="103">
        <f>M51+O51+K51+I51+G51+E51</f>
        <v>1</v>
      </c>
      <c r="P52" s="99"/>
    </row>
    <row r="53" spans="2:16" ht="13.9" customHeight="1" x14ac:dyDescent="0.25"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  <row r="54" spans="2:16" ht="13.9" customHeight="1" x14ac:dyDescent="0.25"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  <row r="55" spans="2:16" ht="13.9" customHeight="1" x14ac:dyDescent="0.25">
      <c r="B55" s="149" t="s">
        <v>26</v>
      </c>
      <c r="C55" s="148" t="s">
        <v>19</v>
      </c>
      <c r="D55" s="73" t="s">
        <v>20</v>
      </c>
      <c r="E55" s="74"/>
      <c r="F55" s="75" t="s">
        <v>21</v>
      </c>
      <c r="G55" s="76"/>
      <c r="H55" s="73" t="s">
        <v>22</v>
      </c>
      <c r="I55" s="74"/>
      <c r="J55" s="75" t="s">
        <v>23</v>
      </c>
      <c r="K55" s="76"/>
      <c r="L55" s="73" t="s">
        <v>24</v>
      </c>
      <c r="M55" s="74"/>
      <c r="N55" s="73" t="s">
        <v>25</v>
      </c>
      <c r="O55" s="74"/>
      <c r="P55" s="77"/>
    </row>
    <row r="56" spans="2:16" ht="13.9" customHeight="1" x14ac:dyDescent="0.25">
      <c r="B56" s="149"/>
      <c r="C56" s="148" t="s">
        <v>102</v>
      </c>
      <c r="D56" s="79" t="s">
        <v>81</v>
      </c>
      <c r="E56" s="80" t="s">
        <v>82</v>
      </c>
      <c r="F56" s="79" t="s">
        <v>81</v>
      </c>
      <c r="G56" s="80" t="s">
        <v>82</v>
      </c>
      <c r="H56" s="79" t="s">
        <v>81</v>
      </c>
      <c r="I56" s="80" t="s">
        <v>82</v>
      </c>
      <c r="J56" s="79" t="s">
        <v>81</v>
      </c>
      <c r="K56" s="80" t="s">
        <v>82</v>
      </c>
      <c r="L56" s="79" t="s">
        <v>81</v>
      </c>
      <c r="M56" s="80" t="s">
        <v>82</v>
      </c>
      <c r="N56" s="79" t="s">
        <v>81</v>
      </c>
      <c r="O56" s="80" t="s">
        <v>82</v>
      </c>
      <c r="P56" s="83"/>
    </row>
    <row r="57" spans="2:16" ht="13.9" customHeight="1" outlineLevel="1" x14ac:dyDescent="0.25">
      <c r="B57" s="149" t="s">
        <v>30</v>
      </c>
      <c r="C57" s="150" t="s">
        <v>31</v>
      </c>
      <c r="D57" s="85">
        <v>0</v>
      </c>
      <c r="E57" s="86">
        <v>0</v>
      </c>
      <c r="F57" s="85">
        <v>0</v>
      </c>
      <c r="G57" s="86">
        <v>0</v>
      </c>
      <c r="H57" s="85">
        <v>0</v>
      </c>
      <c r="I57" s="86">
        <v>0</v>
      </c>
      <c r="J57" s="85">
        <v>0</v>
      </c>
      <c r="K57" s="86">
        <v>0</v>
      </c>
      <c r="L57" s="85">
        <v>0</v>
      </c>
      <c r="M57" s="86">
        <v>0</v>
      </c>
      <c r="N57" s="85">
        <v>2894205</v>
      </c>
      <c r="O57" s="86">
        <v>1790790</v>
      </c>
      <c r="P57" s="87"/>
    </row>
    <row r="58" spans="2:16" ht="13.9" customHeight="1" outlineLevel="1" x14ac:dyDescent="0.25">
      <c r="B58" s="149"/>
      <c r="C58" s="150" t="s">
        <v>32</v>
      </c>
      <c r="D58" s="85">
        <v>0</v>
      </c>
      <c r="E58" s="86">
        <v>0</v>
      </c>
      <c r="F58" s="85">
        <v>0</v>
      </c>
      <c r="G58" s="86">
        <v>0</v>
      </c>
      <c r="H58" s="85">
        <v>0</v>
      </c>
      <c r="I58" s="86">
        <v>0</v>
      </c>
      <c r="J58" s="85">
        <v>0</v>
      </c>
      <c r="K58" s="86">
        <v>0</v>
      </c>
      <c r="L58" s="85">
        <v>0</v>
      </c>
      <c r="M58" s="86">
        <v>0</v>
      </c>
      <c r="N58" s="85">
        <v>12643346.800000001</v>
      </c>
      <c r="O58" s="86">
        <v>8225539.6999999993</v>
      </c>
      <c r="P58" s="87"/>
    </row>
    <row r="59" spans="2:16" ht="13.9" customHeight="1" outlineLevel="1" x14ac:dyDescent="0.25">
      <c r="B59" s="149"/>
      <c r="C59" s="150" t="s">
        <v>33</v>
      </c>
      <c r="D59" s="85">
        <v>0</v>
      </c>
      <c r="E59" s="86">
        <v>0</v>
      </c>
      <c r="F59" s="85">
        <v>0</v>
      </c>
      <c r="G59" s="86">
        <v>0</v>
      </c>
      <c r="H59" s="85">
        <v>0</v>
      </c>
      <c r="I59" s="86">
        <v>0</v>
      </c>
      <c r="J59" s="85">
        <v>0</v>
      </c>
      <c r="K59" s="86">
        <v>0</v>
      </c>
      <c r="L59" s="85">
        <v>0</v>
      </c>
      <c r="M59" s="86">
        <v>0</v>
      </c>
      <c r="N59" s="85">
        <v>15610846.760000002</v>
      </c>
      <c r="O59" s="86">
        <v>5732061.9900000002</v>
      </c>
      <c r="P59" s="87"/>
    </row>
    <row r="60" spans="2:16" ht="13.9" customHeight="1" outlineLevel="1" x14ac:dyDescent="0.25">
      <c r="B60" s="149"/>
      <c r="C60" s="150" t="s">
        <v>34</v>
      </c>
      <c r="D60" s="85">
        <v>0</v>
      </c>
      <c r="E60" s="86">
        <v>0</v>
      </c>
      <c r="F60" s="85">
        <v>0</v>
      </c>
      <c r="G60" s="86">
        <v>0</v>
      </c>
      <c r="H60" s="85">
        <v>0</v>
      </c>
      <c r="I60" s="86">
        <v>0</v>
      </c>
      <c r="J60" s="85">
        <v>0</v>
      </c>
      <c r="K60" s="86">
        <v>0</v>
      </c>
      <c r="L60" s="85">
        <v>51088601.919999979</v>
      </c>
      <c r="M60" s="86">
        <v>36834535.079999998</v>
      </c>
      <c r="N60" s="85">
        <v>3308696.25</v>
      </c>
      <c r="O60" s="86">
        <v>2202694.25</v>
      </c>
      <c r="P60" s="87"/>
    </row>
    <row r="61" spans="2:16" ht="13.9" customHeight="1" outlineLevel="1" x14ac:dyDescent="0.25">
      <c r="B61" s="149"/>
      <c r="C61" s="150" t="s">
        <v>35</v>
      </c>
      <c r="D61" s="85">
        <v>0</v>
      </c>
      <c r="E61" s="86">
        <v>0</v>
      </c>
      <c r="F61" s="85">
        <v>0</v>
      </c>
      <c r="G61" s="86">
        <v>0</v>
      </c>
      <c r="H61" s="85">
        <v>0</v>
      </c>
      <c r="I61" s="86">
        <v>0</v>
      </c>
      <c r="J61" s="85">
        <v>0</v>
      </c>
      <c r="K61" s="86">
        <v>0</v>
      </c>
      <c r="L61" s="85">
        <v>0</v>
      </c>
      <c r="M61" s="86">
        <v>0</v>
      </c>
      <c r="N61" s="85">
        <v>0</v>
      </c>
      <c r="O61" s="86">
        <v>0</v>
      </c>
      <c r="P61" s="87"/>
    </row>
    <row r="62" spans="2:16" ht="13.9" customHeight="1" outlineLevel="1" x14ac:dyDescent="0.25">
      <c r="B62" s="149"/>
      <c r="C62" s="150" t="s">
        <v>36</v>
      </c>
      <c r="D62" s="85">
        <v>0</v>
      </c>
      <c r="E62" s="86">
        <v>0</v>
      </c>
      <c r="F62" s="85">
        <v>8111028.5999999996</v>
      </c>
      <c r="G62" s="86">
        <v>72811233.900000006</v>
      </c>
      <c r="H62" s="85">
        <v>4315854</v>
      </c>
      <c r="I62" s="86">
        <v>10070326</v>
      </c>
      <c r="J62" s="85">
        <v>4599362.42</v>
      </c>
      <c r="K62" s="86">
        <v>6909581.5800000001</v>
      </c>
      <c r="L62" s="85">
        <v>0</v>
      </c>
      <c r="M62" s="86">
        <v>0</v>
      </c>
      <c r="N62" s="85">
        <v>0</v>
      </c>
      <c r="O62" s="86">
        <v>0</v>
      </c>
      <c r="P62" s="87"/>
    </row>
    <row r="63" spans="2:16" ht="13.9" customHeight="1" outlineLevel="1" x14ac:dyDescent="0.25">
      <c r="B63" s="149"/>
      <c r="C63" s="150" t="s">
        <v>37</v>
      </c>
      <c r="D63" s="85">
        <v>0</v>
      </c>
      <c r="E63" s="86">
        <v>0</v>
      </c>
      <c r="F63" s="85">
        <v>0</v>
      </c>
      <c r="G63" s="86">
        <v>0</v>
      </c>
      <c r="H63" s="85">
        <v>0</v>
      </c>
      <c r="I63" s="86">
        <v>0</v>
      </c>
      <c r="J63" s="85">
        <v>0</v>
      </c>
      <c r="K63" s="86">
        <v>0</v>
      </c>
      <c r="L63" s="85">
        <v>0</v>
      </c>
      <c r="M63" s="86">
        <v>0</v>
      </c>
      <c r="N63" s="85">
        <v>1122406.1299999999</v>
      </c>
      <c r="O63" s="86">
        <v>0</v>
      </c>
      <c r="P63" s="87"/>
    </row>
    <row r="64" spans="2:16" ht="13.9" customHeight="1" outlineLevel="1" x14ac:dyDescent="0.25">
      <c r="B64" s="149"/>
      <c r="C64" s="150" t="s">
        <v>38</v>
      </c>
      <c r="D64" s="85">
        <v>0</v>
      </c>
      <c r="E64" s="86">
        <v>0</v>
      </c>
      <c r="F64" s="85">
        <v>0</v>
      </c>
      <c r="G64" s="86">
        <v>0</v>
      </c>
      <c r="H64" s="85">
        <v>0</v>
      </c>
      <c r="I64" s="86">
        <v>0</v>
      </c>
      <c r="J64" s="85">
        <v>0</v>
      </c>
      <c r="K64" s="86">
        <v>0</v>
      </c>
      <c r="L64" s="85">
        <v>0</v>
      </c>
      <c r="M64" s="86">
        <v>0</v>
      </c>
      <c r="N64" s="85">
        <v>10839636.039999999</v>
      </c>
      <c r="O64" s="86">
        <v>0</v>
      </c>
      <c r="P64" s="87"/>
    </row>
    <row r="65" spans="2:16" ht="13.9" customHeight="1" outlineLevel="1" x14ac:dyDescent="0.25">
      <c r="B65" s="149"/>
      <c r="C65" s="150" t="s">
        <v>39</v>
      </c>
      <c r="D65" s="85">
        <v>0</v>
      </c>
      <c r="E65" s="86">
        <v>0</v>
      </c>
      <c r="F65" s="85">
        <v>0</v>
      </c>
      <c r="G65" s="86">
        <v>0</v>
      </c>
      <c r="H65" s="85">
        <v>0</v>
      </c>
      <c r="I65" s="86">
        <v>0</v>
      </c>
      <c r="J65" s="85">
        <v>0</v>
      </c>
      <c r="K65" s="86">
        <v>0</v>
      </c>
      <c r="L65" s="85">
        <v>0</v>
      </c>
      <c r="M65" s="86">
        <v>0</v>
      </c>
      <c r="N65" s="85">
        <v>35124568.120000005</v>
      </c>
      <c r="O65" s="86">
        <v>0.44999999925494194</v>
      </c>
      <c r="P65" s="87"/>
    </row>
    <row r="66" spans="2:16" ht="13.9" customHeight="1" outlineLevel="1" x14ac:dyDescent="0.25">
      <c r="B66" s="149"/>
      <c r="C66" s="150" t="s">
        <v>40</v>
      </c>
      <c r="D66" s="85">
        <v>0</v>
      </c>
      <c r="E66" s="86">
        <v>0</v>
      </c>
      <c r="F66" s="85">
        <v>0</v>
      </c>
      <c r="G66" s="86">
        <v>0</v>
      </c>
      <c r="H66" s="85">
        <v>13376557.5</v>
      </c>
      <c r="I66" s="86">
        <v>40253147.5</v>
      </c>
      <c r="J66" s="85">
        <v>16355643.550000001</v>
      </c>
      <c r="K66" s="86">
        <v>38141305.450000003</v>
      </c>
      <c r="L66" s="85">
        <v>25412361.600000001</v>
      </c>
      <c r="M66" s="86">
        <v>35695964.399999999</v>
      </c>
      <c r="N66" s="85">
        <v>19466730.149999999</v>
      </c>
      <c r="O66" s="86">
        <v>4866683.8500000015</v>
      </c>
      <c r="P66" s="87"/>
    </row>
    <row r="67" spans="2:16" ht="13.9" customHeight="1" outlineLevel="1" x14ac:dyDescent="0.25">
      <c r="B67" s="149"/>
      <c r="C67" s="150" t="s">
        <v>41</v>
      </c>
      <c r="D67" s="85">
        <v>0</v>
      </c>
      <c r="E67" s="86">
        <v>0</v>
      </c>
      <c r="F67" s="85">
        <v>0</v>
      </c>
      <c r="G67" s="86">
        <v>0</v>
      </c>
      <c r="H67" s="85">
        <v>0</v>
      </c>
      <c r="I67" s="86">
        <v>0</v>
      </c>
      <c r="J67" s="85">
        <v>0</v>
      </c>
      <c r="K67" s="86">
        <v>0</v>
      </c>
      <c r="L67" s="85">
        <v>0</v>
      </c>
      <c r="M67" s="86">
        <v>0</v>
      </c>
      <c r="N67" s="85">
        <v>18032311</v>
      </c>
      <c r="O67" s="86">
        <v>1</v>
      </c>
      <c r="P67" s="87"/>
    </row>
    <row r="68" spans="2:16" ht="13.9" customHeight="1" outlineLevel="1" x14ac:dyDescent="0.25">
      <c r="B68" s="149"/>
      <c r="C68" s="150" t="s">
        <v>42</v>
      </c>
      <c r="D68" s="85">
        <v>0</v>
      </c>
      <c r="E68" s="86">
        <v>0</v>
      </c>
      <c r="F68" s="85">
        <v>0</v>
      </c>
      <c r="G68" s="86">
        <v>0</v>
      </c>
      <c r="H68" s="85">
        <v>0</v>
      </c>
      <c r="I68" s="86">
        <v>0</v>
      </c>
      <c r="J68" s="85">
        <v>0</v>
      </c>
      <c r="K68" s="86">
        <v>0</v>
      </c>
      <c r="L68" s="85">
        <v>0</v>
      </c>
      <c r="M68" s="86">
        <v>0</v>
      </c>
      <c r="N68" s="85">
        <v>0</v>
      </c>
      <c r="O68" s="86">
        <v>0</v>
      </c>
      <c r="P68" s="87"/>
    </row>
    <row r="69" spans="2:16" ht="13.9" customHeight="1" outlineLevel="1" x14ac:dyDescent="0.25">
      <c r="B69" s="149"/>
      <c r="C69" s="150" t="s">
        <v>43</v>
      </c>
      <c r="D69" s="85">
        <v>0</v>
      </c>
      <c r="E69" s="86">
        <v>0</v>
      </c>
      <c r="F69" s="85">
        <v>0</v>
      </c>
      <c r="G69" s="86">
        <v>0</v>
      </c>
      <c r="H69" s="85">
        <v>15457580.109999999</v>
      </c>
      <c r="I69" s="86">
        <v>58286759.890000001</v>
      </c>
      <c r="J69" s="85">
        <v>0</v>
      </c>
      <c r="K69" s="86">
        <v>0</v>
      </c>
      <c r="L69" s="85">
        <v>0</v>
      </c>
      <c r="M69" s="86">
        <v>0</v>
      </c>
      <c r="N69" s="85">
        <v>141030908.04999998</v>
      </c>
      <c r="O69" s="86">
        <v>14543542.550000001</v>
      </c>
      <c r="P69" s="87"/>
    </row>
    <row r="70" spans="2:16" ht="13.9" customHeight="1" outlineLevel="1" x14ac:dyDescent="0.25">
      <c r="B70" s="149"/>
      <c r="C70" s="150" t="s">
        <v>44</v>
      </c>
      <c r="D70" s="85">
        <v>0</v>
      </c>
      <c r="E70" s="86">
        <v>0</v>
      </c>
      <c r="F70" s="85">
        <v>1544721.48</v>
      </c>
      <c r="G70" s="86">
        <v>6180474.5199999996</v>
      </c>
      <c r="H70" s="85">
        <v>7853652.4699999997</v>
      </c>
      <c r="I70" s="86">
        <v>20863975.530000001</v>
      </c>
      <c r="J70" s="85">
        <v>3531856.5</v>
      </c>
      <c r="K70" s="86">
        <v>8217648.8499999996</v>
      </c>
      <c r="L70" s="85">
        <v>0</v>
      </c>
      <c r="M70" s="86">
        <v>0</v>
      </c>
      <c r="N70" s="85">
        <v>0</v>
      </c>
      <c r="O70" s="86">
        <v>0</v>
      </c>
      <c r="P70" s="87"/>
    </row>
    <row r="71" spans="2:16" ht="13.9" customHeight="1" outlineLevel="1" x14ac:dyDescent="0.25">
      <c r="B71" s="149"/>
      <c r="C71" s="150" t="s">
        <v>45</v>
      </c>
      <c r="D71" s="85">
        <v>0</v>
      </c>
      <c r="E71" s="86">
        <v>0</v>
      </c>
      <c r="F71" s="85">
        <v>0</v>
      </c>
      <c r="G71" s="86">
        <v>0</v>
      </c>
      <c r="H71" s="85">
        <v>0</v>
      </c>
      <c r="I71" s="86">
        <v>0</v>
      </c>
      <c r="J71" s="85">
        <v>0</v>
      </c>
      <c r="K71" s="86">
        <v>0</v>
      </c>
      <c r="L71" s="85">
        <v>0</v>
      </c>
      <c r="M71" s="86">
        <v>0</v>
      </c>
      <c r="N71" s="85">
        <v>0</v>
      </c>
      <c r="O71" s="86">
        <v>0</v>
      </c>
      <c r="P71" s="87"/>
    </row>
    <row r="72" spans="2:16" ht="13.9" customHeight="1" outlineLevel="1" x14ac:dyDescent="0.25">
      <c r="B72" s="149"/>
      <c r="C72" s="150" t="s">
        <v>46</v>
      </c>
      <c r="D72" s="85">
        <v>0</v>
      </c>
      <c r="E72" s="86">
        <v>0</v>
      </c>
      <c r="F72" s="85">
        <v>0</v>
      </c>
      <c r="G72" s="86">
        <v>0</v>
      </c>
      <c r="H72" s="85">
        <v>0</v>
      </c>
      <c r="I72" s="86">
        <v>0</v>
      </c>
      <c r="J72" s="85">
        <v>0</v>
      </c>
      <c r="K72" s="86">
        <v>0</v>
      </c>
      <c r="L72" s="85">
        <v>0</v>
      </c>
      <c r="M72" s="86">
        <v>0</v>
      </c>
      <c r="N72" s="85">
        <v>0</v>
      </c>
      <c r="O72" s="86">
        <v>0</v>
      </c>
      <c r="P72" s="87"/>
    </row>
    <row r="73" spans="2:16" ht="13.9" customHeight="1" outlineLevel="1" x14ac:dyDescent="0.25">
      <c r="B73" s="149"/>
      <c r="C73" s="150" t="s">
        <v>47</v>
      </c>
      <c r="D73" s="85">
        <v>0</v>
      </c>
      <c r="E73" s="86">
        <v>0</v>
      </c>
      <c r="F73" s="85">
        <v>3623833.49</v>
      </c>
      <c r="G73" s="86">
        <v>27434864.259999998</v>
      </c>
      <c r="H73" s="85">
        <v>1118395.6000000001</v>
      </c>
      <c r="I73" s="86">
        <v>4465969.1999999993</v>
      </c>
      <c r="J73" s="85">
        <v>0</v>
      </c>
      <c r="K73" s="86">
        <v>0</v>
      </c>
      <c r="L73" s="85">
        <v>0</v>
      </c>
      <c r="M73" s="86">
        <v>0</v>
      </c>
      <c r="N73" s="85">
        <v>12370740.199999999</v>
      </c>
      <c r="O73" s="86">
        <v>6677379.8000000007</v>
      </c>
      <c r="P73" s="87"/>
    </row>
    <row r="74" spans="2:16" ht="13.9" customHeight="1" outlineLevel="1" x14ac:dyDescent="0.25">
      <c r="B74" s="149"/>
      <c r="C74" s="150" t="s">
        <v>48</v>
      </c>
      <c r="D74" s="85">
        <v>0</v>
      </c>
      <c r="E74" s="86">
        <v>0</v>
      </c>
      <c r="F74" s="85">
        <v>3249461</v>
      </c>
      <c r="G74" s="86">
        <v>27750089</v>
      </c>
      <c r="H74" s="85">
        <v>0</v>
      </c>
      <c r="I74" s="86">
        <v>0</v>
      </c>
      <c r="J74" s="85">
        <v>0</v>
      </c>
      <c r="K74" s="86">
        <v>0</v>
      </c>
      <c r="L74" s="85">
        <v>0</v>
      </c>
      <c r="M74" s="86">
        <v>0</v>
      </c>
      <c r="N74" s="85">
        <v>0</v>
      </c>
      <c r="O74" s="86">
        <v>0</v>
      </c>
      <c r="P74" s="87"/>
    </row>
    <row r="75" spans="2:16" ht="13.9" customHeight="1" outlineLevel="1" x14ac:dyDescent="0.25">
      <c r="B75" s="149"/>
      <c r="C75" s="150" t="s">
        <v>49</v>
      </c>
      <c r="D75" s="85">
        <v>0</v>
      </c>
      <c r="E75" s="86">
        <v>0</v>
      </c>
      <c r="F75" s="85">
        <v>4624500</v>
      </c>
      <c r="G75" s="86">
        <v>18498000</v>
      </c>
      <c r="H75" s="85">
        <v>0</v>
      </c>
      <c r="I75" s="86">
        <v>0</v>
      </c>
      <c r="J75" s="85">
        <v>0</v>
      </c>
      <c r="K75" s="86">
        <v>0</v>
      </c>
      <c r="L75" s="85">
        <v>11996076</v>
      </c>
      <c r="M75" s="86">
        <v>11996076.26</v>
      </c>
      <c r="N75" s="85">
        <v>0</v>
      </c>
      <c r="O75" s="86">
        <v>0</v>
      </c>
      <c r="P75" s="87"/>
    </row>
    <row r="76" spans="2:16" ht="13.9" customHeight="1" outlineLevel="1" x14ac:dyDescent="0.25">
      <c r="B76" s="149"/>
      <c r="C76" s="150" t="s">
        <v>50</v>
      </c>
      <c r="D76" s="85">
        <v>0</v>
      </c>
      <c r="E76" s="86">
        <v>0</v>
      </c>
      <c r="F76" s="85">
        <v>3129381</v>
      </c>
      <c r="G76" s="86">
        <v>28163743.5</v>
      </c>
      <c r="H76" s="85">
        <v>0</v>
      </c>
      <c r="I76" s="86">
        <v>0</v>
      </c>
      <c r="J76" s="85">
        <v>0</v>
      </c>
      <c r="K76" s="86">
        <v>0</v>
      </c>
      <c r="L76" s="85">
        <v>0</v>
      </c>
      <c r="M76" s="86">
        <v>0</v>
      </c>
      <c r="N76" s="85">
        <v>0</v>
      </c>
      <c r="O76" s="86">
        <v>0</v>
      </c>
      <c r="P76" s="87"/>
    </row>
    <row r="77" spans="2:16" ht="13.9" customHeight="1" outlineLevel="1" x14ac:dyDescent="0.25">
      <c r="B77" s="149"/>
      <c r="C77" s="150" t="s">
        <v>51</v>
      </c>
      <c r="D77" s="85">
        <v>0</v>
      </c>
      <c r="E77" s="86">
        <v>0</v>
      </c>
      <c r="F77" s="85">
        <v>0</v>
      </c>
      <c r="G77" s="86">
        <v>0</v>
      </c>
      <c r="H77" s="85">
        <v>0</v>
      </c>
      <c r="I77" s="86">
        <v>0</v>
      </c>
      <c r="J77" s="85">
        <v>0</v>
      </c>
      <c r="K77" s="86">
        <v>0</v>
      </c>
      <c r="L77" s="85">
        <v>0</v>
      </c>
      <c r="M77" s="86">
        <v>0</v>
      </c>
      <c r="N77" s="85">
        <v>0</v>
      </c>
      <c r="O77" s="86">
        <v>0</v>
      </c>
      <c r="P77" s="87"/>
    </row>
    <row r="78" spans="2:16" ht="13.9" customHeight="1" outlineLevel="1" x14ac:dyDescent="0.25">
      <c r="B78" s="149"/>
      <c r="C78" s="150" t="s">
        <v>52</v>
      </c>
      <c r="D78" s="85">
        <v>0</v>
      </c>
      <c r="E78" s="86">
        <v>0</v>
      </c>
      <c r="F78" s="85">
        <v>0</v>
      </c>
      <c r="G78" s="86">
        <v>0</v>
      </c>
      <c r="H78" s="85">
        <v>0</v>
      </c>
      <c r="I78" s="86">
        <v>0</v>
      </c>
      <c r="J78" s="85">
        <v>0</v>
      </c>
      <c r="K78" s="86">
        <v>0</v>
      </c>
      <c r="L78" s="85">
        <v>0</v>
      </c>
      <c r="M78" s="86">
        <v>0</v>
      </c>
      <c r="N78" s="85">
        <v>0</v>
      </c>
      <c r="O78" s="86">
        <v>0</v>
      </c>
      <c r="P78" s="87"/>
    </row>
    <row r="79" spans="2:16" ht="13.9" customHeight="1" outlineLevel="1" x14ac:dyDescent="0.25">
      <c r="B79" s="149"/>
      <c r="C79" s="150" t="s">
        <v>53</v>
      </c>
      <c r="D79" s="85">
        <v>0</v>
      </c>
      <c r="E79" s="86">
        <v>0</v>
      </c>
      <c r="F79" s="85">
        <v>0</v>
      </c>
      <c r="G79" s="86">
        <v>0</v>
      </c>
      <c r="H79" s="85">
        <v>0</v>
      </c>
      <c r="I79" s="86">
        <v>0</v>
      </c>
      <c r="J79" s="85">
        <v>0</v>
      </c>
      <c r="K79" s="86">
        <v>0</v>
      </c>
      <c r="L79" s="85">
        <v>0</v>
      </c>
      <c r="M79" s="86">
        <v>0</v>
      </c>
      <c r="N79" s="85">
        <v>0</v>
      </c>
      <c r="O79" s="86">
        <v>0</v>
      </c>
      <c r="P79" s="87"/>
    </row>
    <row r="80" spans="2:16" ht="13.9" customHeight="1" outlineLevel="1" x14ac:dyDescent="0.25">
      <c r="B80" s="149"/>
      <c r="C80" s="150" t="s">
        <v>54</v>
      </c>
      <c r="D80" s="85">
        <v>0</v>
      </c>
      <c r="E80" s="86">
        <v>0</v>
      </c>
      <c r="F80" s="85">
        <v>0</v>
      </c>
      <c r="G80" s="86">
        <v>0</v>
      </c>
      <c r="H80" s="85">
        <v>0</v>
      </c>
      <c r="I80" s="86">
        <v>0</v>
      </c>
      <c r="J80" s="85">
        <v>0</v>
      </c>
      <c r="K80" s="86">
        <v>0</v>
      </c>
      <c r="L80" s="85">
        <v>0</v>
      </c>
      <c r="M80" s="86">
        <v>0</v>
      </c>
      <c r="N80" s="85">
        <v>0</v>
      </c>
      <c r="O80" s="86">
        <v>0</v>
      </c>
      <c r="P80" s="87"/>
    </row>
    <row r="81" spans="2:16" ht="13.9" customHeight="1" outlineLevel="1" x14ac:dyDescent="0.25">
      <c r="B81" s="149"/>
      <c r="C81" s="150" t="s">
        <v>55</v>
      </c>
      <c r="D81" s="85">
        <v>0</v>
      </c>
      <c r="E81" s="86">
        <v>0</v>
      </c>
      <c r="F81" s="85">
        <v>4827208</v>
      </c>
      <c r="G81" s="86">
        <v>19308844.25</v>
      </c>
      <c r="H81" s="85">
        <v>1845090</v>
      </c>
      <c r="I81" s="86">
        <v>7380342</v>
      </c>
      <c r="J81" s="85">
        <v>0</v>
      </c>
      <c r="K81" s="86">
        <v>0</v>
      </c>
      <c r="L81" s="85">
        <v>0</v>
      </c>
      <c r="M81" s="86">
        <v>0</v>
      </c>
      <c r="N81" s="85">
        <v>0</v>
      </c>
      <c r="O81" s="86">
        <v>0</v>
      </c>
      <c r="P81" s="87"/>
    </row>
    <row r="82" spans="2:16" ht="13.9" customHeight="1" outlineLevel="1" x14ac:dyDescent="0.25">
      <c r="B82" s="149"/>
      <c r="C82" s="150" t="s">
        <v>56</v>
      </c>
      <c r="D82" s="85">
        <v>0</v>
      </c>
      <c r="E82" s="86">
        <v>0</v>
      </c>
      <c r="F82" s="85">
        <v>0</v>
      </c>
      <c r="G82" s="86">
        <v>0</v>
      </c>
      <c r="H82" s="85">
        <v>0</v>
      </c>
      <c r="I82" s="86">
        <v>0</v>
      </c>
      <c r="J82" s="85">
        <v>0</v>
      </c>
      <c r="K82" s="86">
        <v>0</v>
      </c>
      <c r="L82" s="85">
        <v>0</v>
      </c>
      <c r="M82" s="86">
        <v>0</v>
      </c>
      <c r="N82" s="85">
        <v>0</v>
      </c>
      <c r="O82" s="86">
        <v>0</v>
      </c>
      <c r="P82" s="87"/>
    </row>
    <row r="83" spans="2:16" ht="13.9" customHeight="1" outlineLevel="1" x14ac:dyDescent="0.25">
      <c r="B83" s="149"/>
      <c r="C83" s="150" t="s">
        <v>57</v>
      </c>
      <c r="D83" s="85">
        <v>0</v>
      </c>
      <c r="E83" s="86">
        <v>0</v>
      </c>
      <c r="F83" s="85">
        <v>0</v>
      </c>
      <c r="G83" s="86">
        <v>0</v>
      </c>
      <c r="H83" s="85">
        <v>0</v>
      </c>
      <c r="I83" s="86">
        <v>0</v>
      </c>
      <c r="J83" s="85">
        <v>0</v>
      </c>
      <c r="K83" s="86">
        <v>0</v>
      </c>
      <c r="L83" s="85">
        <v>0</v>
      </c>
      <c r="M83" s="86">
        <v>0</v>
      </c>
      <c r="N83" s="85">
        <v>124382790.53</v>
      </c>
      <c r="O83" s="86">
        <v>0</v>
      </c>
      <c r="P83" s="87"/>
    </row>
    <row r="84" spans="2:16" ht="13.9" customHeight="1" outlineLevel="1" x14ac:dyDescent="0.25">
      <c r="B84" s="149"/>
      <c r="C84" s="150" t="s">
        <v>58</v>
      </c>
      <c r="D84" s="85">
        <v>0</v>
      </c>
      <c r="E84" s="86">
        <v>0</v>
      </c>
      <c r="F84" s="85">
        <v>0</v>
      </c>
      <c r="G84" s="86">
        <v>0</v>
      </c>
      <c r="H84" s="85">
        <v>0</v>
      </c>
      <c r="I84" s="86">
        <v>0</v>
      </c>
      <c r="J84" s="85">
        <v>0</v>
      </c>
      <c r="K84" s="86">
        <v>0</v>
      </c>
      <c r="L84" s="85">
        <v>0</v>
      </c>
      <c r="M84" s="86">
        <v>0</v>
      </c>
      <c r="N84" s="85">
        <v>0</v>
      </c>
      <c r="O84" s="86">
        <v>0</v>
      </c>
      <c r="P84" s="87"/>
    </row>
    <row r="85" spans="2:16" ht="13.9" customHeight="1" outlineLevel="1" x14ac:dyDescent="0.25">
      <c r="B85" s="149"/>
      <c r="C85" s="150" t="s">
        <v>59</v>
      </c>
      <c r="D85" s="85">
        <v>0</v>
      </c>
      <c r="E85" s="86">
        <v>0</v>
      </c>
      <c r="F85" s="85">
        <v>0</v>
      </c>
      <c r="G85" s="86">
        <v>0</v>
      </c>
      <c r="H85" s="85">
        <v>0</v>
      </c>
      <c r="I85" s="86">
        <v>0</v>
      </c>
      <c r="J85" s="85">
        <v>0</v>
      </c>
      <c r="K85" s="86">
        <v>0</v>
      </c>
      <c r="L85" s="85">
        <v>0</v>
      </c>
      <c r="M85" s="86">
        <v>0</v>
      </c>
      <c r="N85" s="85">
        <v>0</v>
      </c>
      <c r="O85" s="86">
        <v>0</v>
      </c>
      <c r="P85" s="87"/>
    </row>
    <row r="86" spans="2:16" ht="13.9" customHeight="1" outlineLevel="1" x14ac:dyDescent="0.25">
      <c r="B86" s="149"/>
      <c r="C86" s="150" t="s">
        <v>60</v>
      </c>
      <c r="D86" s="85">
        <v>0</v>
      </c>
      <c r="E86" s="86">
        <v>0</v>
      </c>
      <c r="F86" s="85">
        <v>0</v>
      </c>
      <c r="G86" s="86">
        <v>0</v>
      </c>
      <c r="H86" s="85">
        <v>0</v>
      </c>
      <c r="I86" s="86">
        <v>0</v>
      </c>
      <c r="J86" s="85">
        <v>0</v>
      </c>
      <c r="K86" s="86">
        <v>0</v>
      </c>
      <c r="L86" s="85">
        <v>0</v>
      </c>
      <c r="M86" s="86">
        <v>0</v>
      </c>
      <c r="N86" s="85">
        <v>0</v>
      </c>
      <c r="O86" s="86">
        <v>0</v>
      </c>
      <c r="P86" s="87"/>
    </row>
    <row r="87" spans="2:16" ht="13.9" customHeight="1" outlineLevel="1" x14ac:dyDescent="0.25">
      <c r="B87" s="149"/>
      <c r="C87" s="150" t="s">
        <v>61</v>
      </c>
      <c r="D87" s="85">
        <v>0</v>
      </c>
      <c r="E87" s="86">
        <v>0</v>
      </c>
      <c r="F87" s="85">
        <v>0</v>
      </c>
      <c r="G87" s="86">
        <v>0</v>
      </c>
      <c r="H87" s="85">
        <v>0</v>
      </c>
      <c r="I87" s="86">
        <v>0</v>
      </c>
      <c r="J87" s="85">
        <v>0</v>
      </c>
      <c r="K87" s="86">
        <v>0</v>
      </c>
      <c r="L87" s="85">
        <v>0</v>
      </c>
      <c r="M87" s="86">
        <v>0</v>
      </c>
      <c r="N87" s="85">
        <v>0</v>
      </c>
      <c r="O87" s="86">
        <v>0</v>
      </c>
      <c r="P87" s="87"/>
    </row>
    <row r="88" spans="2:16" ht="13.9" customHeight="1" outlineLevel="1" x14ac:dyDescent="0.25">
      <c r="B88" s="149"/>
      <c r="C88" s="150" t="s">
        <v>62</v>
      </c>
      <c r="D88" s="85">
        <v>0</v>
      </c>
      <c r="E88" s="86">
        <v>0</v>
      </c>
      <c r="F88" s="85">
        <v>0</v>
      </c>
      <c r="G88" s="86">
        <v>0</v>
      </c>
      <c r="H88" s="85">
        <v>0</v>
      </c>
      <c r="I88" s="86">
        <v>0</v>
      </c>
      <c r="J88" s="85">
        <v>0</v>
      </c>
      <c r="K88" s="86">
        <v>0</v>
      </c>
      <c r="L88" s="85">
        <v>0</v>
      </c>
      <c r="M88" s="86">
        <v>0</v>
      </c>
      <c r="N88" s="85">
        <v>0</v>
      </c>
      <c r="O88" s="86">
        <v>0</v>
      </c>
      <c r="P88" s="87"/>
    </row>
    <row r="89" spans="2:16" ht="13.9" customHeight="1" outlineLevel="1" x14ac:dyDescent="0.25">
      <c r="B89" s="149"/>
      <c r="C89" s="150" t="s">
        <v>63</v>
      </c>
      <c r="D89" s="85">
        <v>0</v>
      </c>
      <c r="E89" s="86">
        <v>0</v>
      </c>
      <c r="F89" s="85">
        <v>0</v>
      </c>
      <c r="G89" s="86">
        <v>0</v>
      </c>
      <c r="H89" s="85">
        <v>0</v>
      </c>
      <c r="I89" s="86">
        <v>0</v>
      </c>
      <c r="J89" s="85">
        <v>0</v>
      </c>
      <c r="K89" s="86">
        <v>0</v>
      </c>
      <c r="L89" s="85">
        <v>0</v>
      </c>
      <c r="M89" s="86">
        <v>0</v>
      </c>
      <c r="N89" s="85">
        <v>0</v>
      </c>
      <c r="O89" s="86">
        <v>0</v>
      </c>
      <c r="P89" s="87"/>
    </row>
    <row r="90" spans="2:16" ht="13.9" customHeight="1" outlineLevel="1" x14ac:dyDescent="0.25">
      <c r="B90" s="149"/>
      <c r="C90" s="150" t="s">
        <v>64</v>
      </c>
      <c r="D90" s="85">
        <v>0</v>
      </c>
      <c r="E90" s="86">
        <v>0</v>
      </c>
      <c r="F90" s="85">
        <v>0</v>
      </c>
      <c r="G90" s="86">
        <v>0</v>
      </c>
      <c r="H90" s="85">
        <v>0</v>
      </c>
      <c r="I90" s="86">
        <v>0</v>
      </c>
      <c r="J90" s="85">
        <v>0</v>
      </c>
      <c r="K90" s="86">
        <v>0</v>
      </c>
      <c r="L90" s="85">
        <v>0</v>
      </c>
      <c r="M90" s="86">
        <v>0</v>
      </c>
      <c r="N90" s="85">
        <v>0</v>
      </c>
      <c r="O90" s="86">
        <v>0</v>
      </c>
      <c r="P90" s="87"/>
    </row>
    <row r="91" spans="2:16" ht="13.9" customHeight="1" outlineLevel="1" x14ac:dyDescent="0.25">
      <c r="B91" s="149"/>
      <c r="C91" s="150" t="s">
        <v>65</v>
      </c>
      <c r="D91" s="85">
        <v>0</v>
      </c>
      <c r="E91" s="86">
        <v>0</v>
      </c>
      <c r="F91" s="85">
        <v>0</v>
      </c>
      <c r="G91" s="86">
        <v>0</v>
      </c>
      <c r="H91" s="85">
        <v>0</v>
      </c>
      <c r="I91" s="86">
        <v>0</v>
      </c>
      <c r="J91" s="85">
        <v>0</v>
      </c>
      <c r="K91" s="86">
        <v>0</v>
      </c>
      <c r="L91" s="85">
        <v>0</v>
      </c>
      <c r="M91" s="86">
        <v>0</v>
      </c>
      <c r="N91" s="85">
        <v>32643767.899999999</v>
      </c>
      <c r="O91" s="86">
        <v>384</v>
      </c>
      <c r="P91" s="87"/>
    </row>
    <row r="92" spans="2:16" ht="13.9" customHeight="1" outlineLevel="1" x14ac:dyDescent="0.25">
      <c r="B92" s="149"/>
      <c r="C92" s="150" t="s">
        <v>66</v>
      </c>
      <c r="D92" s="85">
        <v>0</v>
      </c>
      <c r="E92" s="86">
        <v>0</v>
      </c>
      <c r="F92" s="85">
        <v>0</v>
      </c>
      <c r="G92" s="86">
        <v>0</v>
      </c>
      <c r="H92" s="85">
        <v>0</v>
      </c>
      <c r="I92" s="86">
        <v>0</v>
      </c>
      <c r="J92" s="85">
        <v>0</v>
      </c>
      <c r="K92" s="86">
        <v>0</v>
      </c>
      <c r="L92" s="85">
        <v>0</v>
      </c>
      <c r="M92" s="86">
        <v>0</v>
      </c>
      <c r="N92" s="85">
        <v>0</v>
      </c>
      <c r="O92" s="86">
        <v>0</v>
      </c>
      <c r="P92" s="87"/>
    </row>
    <row r="93" spans="2:16" ht="13.9" customHeight="1" outlineLevel="1" x14ac:dyDescent="0.25">
      <c r="B93" s="149"/>
      <c r="C93" s="150" t="s">
        <v>67</v>
      </c>
      <c r="D93" s="85">
        <v>0</v>
      </c>
      <c r="E93" s="86">
        <v>0</v>
      </c>
      <c r="F93" s="85">
        <v>0</v>
      </c>
      <c r="G93" s="86">
        <v>0</v>
      </c>
      <c r="H93" s="85">
        <v>0</v>
      </c>
      <c r="I93" s="86">
        <v>0</v>
      </c>
      <c r="J93" s="85">
        <v>0</v>
      </c>
      <c r="K93" s="86">
        <v>0</v>
      </c>
      <c r="L93" s="85">
        <v>43363963.239999995</v>
      </c>
      <c r="M93" s="86">
        <v>50239277.760000005</v>
      </c>
      <c r="N93" s="85">
        <v>6228842.8999999994</v>
      </c>
      <c r="O93" s="86">
        <v>4152542.1000000006</v>
      </c>
      <c r="P93" s="87"/>
    </row>
    <row r="94" spans="2:16" ht="13.9" customHeight="1" x14ac:dyDescent="0.25">
      <c r="B94" s="149"/>
      <c r="C94" s="148" t="s">
        <v>103</v>
      </c>
      <c r="D94" s="90">
        <f>SUM(D57:D93)</f>
        <v>0</v>
      </c>
      <c r="E94" s="91">
        <f t="shared" ref="E94:O94" si="4">SUM(E57:E93)</f>
        <v>0</v>
      </c>
      <c r="F94" s="92">
        <f t="shared" si="4"/>
        <v>29110133.57</v>
      </c>
      <c r="G94" s="93">
        <f t="shared" si="4"/>
        <v>200147249.43000001</v>
      </c>
      <c r="H94" s="90">
        <f t="shared" si="4"/>
        <v>43967129.68</v>
      </c>
      <c r="I94" s="91">
        <f t="shared" si="4"/>
        <v>141320520.12</v>
      </c>
      <c r="J94" s="92">
        <f t="shared" si="4"/>
        <v>24486862.469999999</v>
      </c>
      <c r="K94" s="93">
        <f t="shared" si="4"/>
        <v>53268535.880000003</v>
      </c>
      <c r="L94" s="90">
        <f t="shared" si="4"/>
        <v>131861002.75999998</v>
      </c>
      <c r="M94" s="91">
        <f t="shared" si="4"/>
        <v>134765853.5</v>
      </c>
      <c r="N94" s="90">
        <f t="shared" si="4"/>
        <v>435699795.82999992</v>
      </c>
      <c r="O94" s="91">
        <f t="shared" si="4"/>
        <v>48191619.690000005</v>
      </c>
      <c r="P94" s="94"/>
    </row>
    <row r="95" spans="2:16" ht="13.9" customHeight="1" outlineLevel="1" x14ac:dyDescent="0.25">
      <c r="B95" s="149" t="s">
        <v>83</v>
      </c>
      <c r="C95" s="150" t="s">
        <v>70</v>
      </c>
      <c r="D95" s="85">
        <v>0</v>
      </c>
      <c r="E95" s="86">
        <v>0</v>
      </c>
      <c r="F95" s="85">
        <v>226923.23</v>
      </c>
      <c r="G95" s="86">
        <v>908798.44</v>
      </c>
      <c r="H95" s="85">
        <v>462710.5</v>
      </c>
      <c r="I95" s="86">
        <v>1832932.7999999998</v>
      </c>
      <c r="J95" s="85">
        <v>0</v>
      </c>
      <c r="K95" s="86">
        <v>0</v>
      </c>
      <c r="L95" s="85">
        <v>0</v>
      </c>
      <c r="M95" s="86">
        <v>0</v>
      </c>
      <c r="N95" s="85">
        <v>0</v>
      </c>
      <c r="O95" s="86">
        <v>0</v>
      </c>
      <c r="P95" s="87"/>
    </row>
    <row r="96" spans="2:16" ht="13.9" customHeight="1" outlineLevel="1" x14ac:dyDescent="0.25">
      <c r="B96" s="149"/>
      <c r="C96" s="150" t="s">
        <v>71</v>
      </c>
      <c r="D96" s="85">
        <v>0</v>
      </c>
      <c r="E96" s="86">
        <v>0</v>
      </c>
      <c r="F96" s="85">
        <v>4455884.34</v>
      </c>
      <c r="G96" s="86">
        <v>17823537.66</v>
      </c>
      <c r="H96" s="85">
        <v>0</v>
      </c>
      <c r="I96" s="86">
        <v>0</v>
      </c>
      <c r="J96" s="85">
        <v>0</v>
      </c>
      <c r="K96" s="86">
        <v>0</v>
      </c>
      <c r="L96" s="85">
        <v>0</v>
      </c>
      <c r="M96" s="86">
        <v>0</v>
      </c>
      <c r="N96" s="85">
        <v>0</v>
      </c>
      <c r="O96" s="86">
        <v>0</v>
      </c>
      <c r="P96" s="87"/>
    </row>
    <row r="97" spans="2:16" ht="13.9" customHeight="1" outlineLevel="1" x14ac:dyDescent="0.25">
      <c r="B97" s="149"/>
      <c r="C97" s="150" t="s">
        <v>72</v>
      </c>
      <c r="D97" s="85">
        <v>0</v>
      </c>
      <c r="E97" s="86">
        <v>0</v>
      </c>
      <c r="F97" s="85">
        <v>0</v>
      </c>
      <c r="G97" s="86">
        <v>0</v>
      </c>
      <c r="H97" s="85">
        <v>0</v>
      </c>
      <c r="I97" s="86">
        <v>0</v>
      </c>
      <c r="J97" s="85">
        <v>0</v>
      </c>
      <c r="K97" s="86">
        <v>0</v>
      </c>
      <c r="L97" s="85">
        <v>0</v>
      </c>
      <c r="M97" s="86">
        <v>0</v>
      </c>
      <c r="N97" s="85">
        <v>0</v>
      </c>
      <c r="O97" s="86">
        <v>0</v>
      </c>
      <c r="P97" s="87"/>
    </row>
    <row r="98" spans="2:16" ht="13.9" customHeight="1" x14ac:dyDescent="0.25">
      <c r="B98" s="149"/>
      <c r="C98" s="148" t="s">
        <v>104</v>
      </c>
      <c r="D98" s="90">
        <f>SUM(D95:D97)</f>
        <v>0</v>
      </c>
      <c r="E98" s="91">
        <f t="shared" ref="E98:O98" si="5">SUM(E95:E97)</f>
        <v>0</v>
      </c>
      <c r="F98" s="92">
        <f t="shared" si="5"/>
        <v>4682807.57</v>
      </c>
      <c r="G98" s="93">
        <f t="shared" si="5"/>
        <v>18732336.100000001</v>
      </c>
      <c r="H98" s="90">
        <f t="shared" si="5"/>
        <v>462710.5</v>
      </c>
      <c r="I98" s="91">
        <f t="shared" si="5"/>
        <v>1832932.7999999998</v>
      </c>
      <c r="J98" s="92">
        <f t="shared" si="5"/>
        <v>0</v>
      </c>
      <c r="K98" s="93">
        <f t="shared" si="5"/>
        <v>0</v>
      </c>
      <c r="L98" s="90">
        <f t="shared" si="5"/>
        <v>0</v>
      </c>
      <c r="M98" s="91">
        <f t="shared" si="5"/>
        <v>0</v>
      </c>
      <c r="N98" s="90">
        <f t="shared" si="5"/>
        <v>0</v>
      </c>
      <c r="O98" s="91">
        <f t="shared" si="5"/>
        <v>0</v>
      </c>
      <c r="P98" s="94"/>
    </row>
    <row r="99" spans="2:16" ht="13.9" customHeight="1" outlineLevel="1" x14ac:dyDescent="0.25">
      <c r="B99" s="149" t="s">
        <v>105</v>
      </c>
      <c r="C99" s="150" t="s">
        <v>75</v>
      </c>
      <c r="D99" s="85">
        <v>0</v>
      </c>
      <c r="E99" s="86">
        <v>0</v>
      </c>
      <c r="F99" s="85">
        <v>0</v>
      </c>
      <c r="G99" s="86">
        <v>0</v>
      </c>
      <c r="H99" s="85">
        <v>0</v>
      </c>
      <c r="I99" s="86">
        <v>0</v>
      </c>
      <c r="J99" s="85">
        <v>0</v>
      </c>
      <c r="K99" s="86">
        <v>0</v>
      </c>
      <c r="L99" s="85">
        <v>0</v>
      </c>
      <c r="M99" s="86">
        <v>0</v>
      </c>
      <c r="N99" s="85">
        <v>0</v>
      </c>
      <c r="O99" s="86">
        <v>0</v>
      </c>
      <c r="P99" s="87"/>
    </row>
    <row r="100" spans="2:16" ht="13.9" customHeight="1" outlineLevel="1" x14ac:dyDescent="0.25">
      <c r="B100" s="149"/>
      <c r="C100" s="150" t="s">
        <v>76</v>
      </c>
      <c r="D100" s="85">
        <v>0</v>
      </c>
      <c r="E100" s="86">
        <v>0</v>
      </c>
      <c r="F100" s="85">
        <v>0</v>
      </c>
      <c r="G100" s="86">
        <v>0</v>
      </c>
      <c r="H100" s="85">
        <v>0</v>
      </c>
      <c r="I100" s="86">
        <v>0</v>
      </c>
      <c r="J100" s="85">
        <v>0</v>
      </c>
      <c r="K100" s="86">
        <v>0</v>
      </c>
      <c r="L100" s="85">
        <v>0</v>
      </c>
      <c r="M100" s="86">
        <v>0</v>
      </c>
      <c r="N100" s="85">
        <v>0</v>
      </c>
      <c r="O100" s="86">
        <v>0</v>
      </c>
      <c r="P100" s="87"/>
    </row>
    <row r="101" spans="2:16" ht="13.9" customHeight="1" x14ac:dyDescent="0.25">
      <c r="B101" s="149"/>
      <c r="C101" s="148" t="s">
        <v>106</v>
      </c>
      <c r="D101" s="90">
        <f>SUM(D99:D100)</f>
        <v>0</v>
      </c>
      <c r="E101" s="91">
        <f t="shared" ref="E101:O101" si="6">SUM(E99:E100)</f>
        <v>0</v>
      </c>
      <c r="F101" s="92">
        <f t="shared" si="6"/>
        <v>0</v>
      </c>
      <c r="G101" s="93">
        <f t="shared" si="6"/>
        <v>0</v>
      </c>
      <c r="H101" s="90">
        <f t="shared" si="6"/>
        <v>0</v>
      </c>
      <c r="I101" s="91">
        <f t="shared" si="6"/>
        <v>0</v>
      </c>
      <c r="J101" s="92">
        <f t="shared" si="6"/>
        <v>0</v>
      </c>
      <c r="K101" s="93">
        <f t="shared" si="6"/>
        <v>0</v>
      </c>
      <c r="L101" s="90">
        <f t="shared" si="6"/>
        <v>0</v>
      </c>
      <c r="M101" s="91">
        <f t="shared" si="6"/>
        <v>0</v>
      </c>
      <c r="N101" s="90">
        <f t="shared" si="6"/>
        <v>0</v>
      </c>
      <c r="O101" s="91">
        <f t="shared" si="6"/>
        <v>0</v>
      </c>
      <c r="P101" s="94"/>
    </row>
    <row r="102" spans="2:16" ht="13.9" customHeight="1" x14ac:dyDescent="0.25">
      <c r="B102" s="151" t="s">
        <v>78</v>
      </c>
      <c r="C102" s="151"/>
      <c r="D102" s="90">
        <f>D94+D98+D101</f>
        <v>0</v>
      </c>
      <c r="E102" s="91">
        <f t="shared" ref="E102:O102" si="7">E94+E98+E101</f>
        <v>0</v>
      </c>
      <c r="F102" s="92">
        <f t="shared" si="7"/>
        <v>33792941.140000001</v>
      </c>
      <c r="G102" s="93">
        <f t="shared" si="7"/>
        <v>218879585.53</v>
      </c>
      <c r="H102" s="90">
        <f t="shared" si="7"/>
        <v>44429840.18</v>
      </c>
      <c r="I102" s="91">
        <f t="shared" si="7"/>
        <v>143153452.92000002</v>
      </c>
      <c r="J102" s="92">
        <f t="shared" si="7"/>
        <v>24486862.469999999</v>
      </c>
      <c r="K102" s="93">
        <f t="shared" si="7"/>
        <v>53268535.880000003</v>
      </c>
      <c r="L102" s="90">
        <f t="shared" si="7"/>
        <v>131861002.75999998</v>
      </c>
      <c r="M102" s="91">
        <f t="shared" si="7"/>
        <v>134765853.5</v>
      </c>
      <c r="N102" s="90">
        <f t="shared" si="7"/>
        <v>435699795.82999992</v>
      </c>
      <c r="O102" s="91">
        <f t="shared" si="7"/>
        <v>48191619.690000005</v>
      </c>
      <c r="P102" s="94"/>
    </row>
    <row r="103" spans="2:16" ht="13.9" customHeight="1" x14ac:dyDescent="0.25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</row>
    <row r="104" spans="2:16" ht="13.9" customHeight="1" x14ac:dyDescent="0.25">
      <c r="B104" s="158" t="s">
        <v>84</v>
      </c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</row>
    <row r="105" spans="2:16" ht="13.9" customHeight="1" x14ac:dyDescent="0.25">
      <c r="B105" s="154" t="s">
        <v>26</v>
      </c>
      <c r="C105" s="148" t="s">
        <v>27</v>
      </c>
      <c r="D105" s="109" t="s">
        <v>28</v>
      </c>
      <c r="E105" s="110" t="s">
        <v>29</v>
      </c>
      <c r="F105" s="111" t="s">
        <v>85</v>
      </c>
      <c r="G105" s="112" t="s">
        <v>81</v>
      </c>
      <c r="H105" s="110" t="s">
        <v>82</v>
      </c>
      <c r="I105" s="112" t="s">
        <v>86</v>
      </c>
      <c r="J105" s="110" t="s">
        <v>87</v>
      </c>
      <c r="K105" s="112">
        <v>2026</v>
      </c>
      <c r="L105" s="112">
        <v>2027</v>
      </c>
      <c r="M105" s="110">
        <v>2028</v>
      </c>
      <c r="N105" s="112">
        <v>2029</v>
      </c>
      <c r="O105" s="110">
        <v>2030</v>
      </c>
      <c r="P105" s="112">
        <v>2031</v>
      </c>
    </row>
    <row r="106" spans="2:16" ht="13.9" customHeight="1" outlineLevel="1" x14ac:dyDescent="0.25">
      <c r="B106" s="149" t="s">
        <v>30</v>
      </c>
      <c r="C106" s="150" t="s">
        <v>31</v>
      </c>
      <c r="D106" s="85">
        <v>0</v>
      </c>
      <c r="E106" s="86">
        <v>0</v>
      </c>
      <c r="F106" s="113">
        <f t="shared" ref="F106:F146" si="8">G106+I106</f>
        <v>0</v>
      </c>
      <c r="G106" s="113">
        <v>0</v>
      </c>
      <c r="H106" s="86">
        <v>0</v>
      </c>
      <c r="I106" s="113">
        <v>0</v>
      </c>
      <c r="J106" s="114">
        <f t="shared" ref="J106:J146" si="9">H106-I106</f>
        <v>0</v>
      </c>
      <c r="K106" s="113">
        <f t="shared" ref="K106:K149" si="10">MAX(J106-SUM(L106:P106),0)</f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</row>
    <row r="107" spans="2:16" ht="13.9" customHeight="1" outlineLevel="1" x14ac:dyDescent="0.25">
      <c r="B107" s="149"/>
      <c r="C107" s="150" t="s">
        <v>32</v>
      </c>
      <c r="D107" s="85">
        <v>0</v>
      </c>
      <c r="E107" s="86">
        <v>0</v>
      </c>
      <c r="F107" s="113">
        <f t="shared" si="8"/>
        <v>0</v>
      </c>
      <c r="G107" s="113">
        <v>0</v>
      </c>
      <c r="H107" s="86">
        <v>0</v>
      </c>
      <c r="I107" s="113">
        <v>0</v>
      </c>
      <c r="J107" s="114">
        <f t="shared" si="9"/>
        <v>0</v>
      </c>
      <c r="K107" s="113">
        <f t="shared" si="10"/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</row>
    <row r="108" spans="2:16" ht="13.9" customHeight="1" outlineLevel="1" x14ac:dyDescent="0.25">
      <c r="B108" s="149"/>
      <c r="C108" s="150" t="s">
        <v>33</v>
      </c>
      <c r="D108" s="85">
        <v>0</v>
      </c>
      <c r="E108" s="86">
        <v>0</v>
      </c>
      <c r="F108" s="113">
        <f t="shared" si="8"/>
        <v>0</v>
      </c>
      <c r="G108" s="113">
        <v>0</v>
      </c>
      <c r="H108" s="86">
        <v>0</v>
      </c>
      <c r="I108" s="113">
        <v>0</v>
      </c>
      <c r="J108" s="114">
        <f t="shared" si="9"/>
        <v>0</v>
      </c>
      <c r="K108" s="113">
        <f t="shared" si="10"/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</row>
    <row r="109" spans="2:16" ht="13.9" customHeight="1" outlineLevel="1" x14ac:dyDescent="0.25">
      <c r="B109" s="149"/>
      <c r="C109" s="150" t="s">
        <v>34</v>
      </c>
      <c r="D109" s="85">
        <v>0</v>
      </c>
      <c r="E109" s="86">
        <v>0</v>
      </c>
      <c r="F109" s="113">
        <f t="shared" si="8"/>
        <v>0</v>
      </c>
      <c r="G109" s="113">
        <v>0</v>
      </c>
      <c r="H109" s="86">
        <v>0</v>
      </c>
      <c r="I109" s="113">
        <v>0</v>
      </c>
      <c r="J109" s="114">
        <f t="shared" si="9"/>
        <v>0</v>
      </c>
      <c r="K109" s="113">
        <f t="shared" si="10"/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</row>
    <row r="110" spans="2:16" ht="13.9" customHeight="1" outlineLevel="1" x14ac:dyDescent="0.25">
      <c r="B110" s="149"/>
      <c r="C110" s="150" t="s">
        <v>35</v>
      </c>
      <c r="D110" s="85">
        <v>0</v>
      </c>
      <c r="E110" s="86">
        <v>0</v>
      </c>
      <c r="F110" s="113">
        <f t="shared" si="8"/>
        <v>0</v>
      </c>
      <c r="G110" s="113">
        <v>0</v>
      </c>
      <c r="H110" s="86">
        <v>0</v>
      </c>
      <c r="I110" s="113">
        <v>0</v>
      </c>
      <c r="J110" s="114">
        <f t="shared" si="9"/>
        <v>0</v>
      </c>
      <c r="K110" s="113">
        <f t="shared" si="10"/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</row>
    <row r="111" spans="2:16" ht="13.9" customHeight="1" outlineLevel="1" x14ac:dyDescent="0.25">
      <c r="B111" s="149"/>
      <c r="C111" s="150" t="s">
        <v>36</v>
      </c>
      <c r="D111" s="85">
        <v>0</v>
      </c>
      <c r="E111" s="86">
        <v>0</v>
      </c>
      <c r="F111" s="113">
        <f t="shared" si="8"/>
        <v>0</v>
      </c>
      <c r="G111" s="113">
        <v>0</v>
      </c>
      <c r="H111" s="86">
        <v>0</v>
      </c>
      <c r="I111" s="113">
        <v>0</v>
      </c>
      <c r="J111" s="114">
        <f t="shared" si="9"/>
        <v>0</v>
      </c>
      <c r="K111" s="113">
        <f t="shared" si="10"/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</row>
    <row r="112" spans="2:16" ht="13.9" customHeight="1" outlineLevel="1" x14ac:dyDescent="0.25">
      <c r="B112" s="149"/>
      <c r="C112" s="150" t="s">
        <v>37</v>
      </c>
      <c r="D112" s="85">
        <v>0</v>
      </c>
      <c r="E112" s="86">
        <v>0</v>
      </c>
      <c r="F112" s="113">
        <f t="shared" si="8"/>
        <v>0</v>
      </c>
      <c r="G112" s="113">
        <v>0</v>
      </c>
      <c r="H112" s="86">
        <v>0</v>
      </c>
      <c r="I112" s="113">
        <v>0</v>
      </c>
      <c r="J112" s="114">
        <f t="shared" si="9"/>
        <v>0</v>
      </c>
      <c r="K112" s="113">
        <f t="shared" si="10"/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</row>
    <row r="113" spans="2:16" ht="13.9" customHeight="1" outlineLevel="1" x14ac:dyDescent="0.25">
      <c r="B113" s="149"/>
      <c r="C113" s="150" t="s">
        <v>38</v>
      </c>
      <c r="D113" s="85">
        <v>0</v>
      </c>
      <c r="E113" s="86">
        <v>0</v>
      </c>
      <c r="F113" s="113">
        <f t="shared" si="8"/>
        <v>0</v>
      </c>
      <c r="G113" s="113">
        <v>0</v>
      </c>
      <c r="H113" s="86">
        <v>0</v>
      </c>
      <c r="I113" s="113">
        <v>0</v>
      </c>
      <c r="J113" s="114">
        <f t="shared" si="9"/>
        <v>0</v>
      </c>
      <c r="K113" s="113">
        <f t="shared" si="10"/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</row>
    <row r="114" spans="2:16" ht="13.9" customHeight="1" outlineLevel="1" x14ac:dyDescent="0.25">
      <c r="B114" s="149"/>
      <c r="C114" s="150" t="s">
        <v>39</v>
      </c>
      <c r="D114" s="85">
        <v>0</v>
      </c>
      <c r="E114" s="86">
        <v>0</v>
      </c>
      <c r="F114" s="113">
        <f t="shared" si="8"/>
        <v>0</v>
      </c>
      <c r="G114" s="113">
        <v>0</v>
      </c>
      <c r="H114" s="86">
        <v>0</v>
      </c>
      <c r="I114" s="113">
        <v>0</v>
      </c>
      <c r="J114" s="114">
        <f t="shared" si="9"/>
        <v>0</v>
      </c>
      <c r="K114" s="113">
        <f t="shared" si="10"/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</row>
    <row r="115" spans="2:16" ht="13.9" customHeight="1" outlineLevel="1" x14ac:dyDescent="0.25">
      <c r="B115" s="149"/>
      <c r="C115" s="150" t="s">
        <v>40</v>
      </c>
      <c r="D115" s="85">
        <v>0</v>
      </c>
      <c r="E115" s="86">
        <v>0</v>
      </c>
      <c r="F115" s="113">
        <f t="shared" si="8"/>
        <v>0</v>
      </c>
      <c r="G115" s="113">
        <v>0</v>
      </c>
      <c r="H115" s="86">
        <v>0</v>
      </c>
      <c r="I115" s="113">
        <v>0</v>
      </c>
      <c r="J115" s="114">
        <f t="shared" si="9"/>
        <v>0</v>
      </c>
      <c r="K115" s="113">
        <f t="shared" si="10"/>
        <v>0</v>
      </c>
      <c r="L115" s="113">
        <v>0</v>
      </c>
      <c r="M115" s="113">
        <v>0</v>
      </c>
      <c r="N115" s="113">
        <v>0</v>
      </c>
      <c r="O115" s="113">
        <v>0</v>
      </c>
      <c r="P115" s="113">
        <v>0</v>
      </c>
    </row>
    <row r="116" spans="2:16" ht="13.9" customHeight="1" outlineLevel="1" x14ac:dyDescent="0.25">
      <c r="B116" s="149"/>
      <c r="C116" s="150" t="s">
        <v>41</v>
      </c>
      <c r="D116" s="85">
        <v>0</v>
      </c>
      <c r="E116" s="86">
        <v>0</v>
      </c>
      <c r="F116" s="113">
        <f t="shared" si="8"/>
        <v>0</v>
      </c>
      <c r="G116" s="113">
        <v>0</v>
      </c>
      <c r="H116" s="86">
        <v>0</v>
      </c>
      <c r="I116" s="113">
        <v>0</v>
      </c>
      <c r="J116" s="114">
        <f t="shared" si="9"/>
        <v>0</v>
      </c>
      <c r="K116" s="113">
        <f t="shared" si="10"/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</row>
    <row r="117" spans="2:16" ht="13.9" customHeight="1" outlineLevel="1" x14ac:dyDescent="0.25">
      <c r="B117" s="149"/>
      <c r="C117" s="150" t="s">
        <v>42</v>
      </c>
      <c r="D117" s="85">
        <v>0</v>
      </c>
      <c r="E117" s="86">
        <v>0</v>
      </c>
      <c r="F117" s="113">
        <f t="shared" si="8"/>
        <v>0</v>
      </c>
      <c r="G117" s="113">
        <v>0</v>
      </c>
      <c r="H117" s="86">
        <v>0</v>
      </c>
      <c r="I117" s="113">
        <v>0</v>
      </c>
      <c r="J117" s="114">
        <f t="shared" si="9"/>
        <v>0</v>
      </c>
      <c r="K117" s="113">
        <f t="shared" si="10"/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</row>
    <row r="118" spans="2:16" ht="13.9" customHeight="1" outlineLevel="1" x14ac:dyDescent="0.25">
      <c r="B118" s="149"/>
      <c r="C118" s="150" t="s">
        <v>43</v>
      </c>
      <c r="D118" s="85">
        <v>0</v>
      </c>
      <c r="E118" s="86">
        <v>0</v>
      </c>
      <c r="F118" s="113">
        <f t="shared" si="8"/>
        <v>0</v>
      </c>
      <c r="G118" s="113">
        <v>0</v>
      </c>
      <c r="H118" s="86">
        <v>0</v>
      </c>
      <c r="I118" s="113">
        <v>0</v>
      </c>
      <c r="J118" s="114">
        <f t="shared" si="9"/>
        <v>0</v>
      </c>
      <c r="K118" s="113">
        <f t="shared" si="10"/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</row>
    <row r="119" spans="2:16" ht="13.9" customHeight="1" outlineLevel="1" x14ac:dyDescent="0.25">
      <c r="B119" s="149"/>
      <c r="C119" s="150" t="s">
        <v>44</v>
      </c>
      <c r="D119" s="85">
        <v>0</v>
      </c>
      <c r="E119" s="86">
        <v>0</v>
      </c>
      <c r="F119" s="113">
        <f t="shared" si="8"/>
        <v>0</v>
      </c>
      <c r="G119" s="113">
        <v>0</v>
      </c>
      <c r="H119" s="86">
        <v>0</v>
      </c>
      <c r="I119" s="113">
        <v>0</v>
      </c>
      <c r="J119" s="114">
        <f t="shared" si="9"/>
        <v>0</v>
      </c>
      <c r="K119" s="113">
        <f t="shared" si="10"/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</row>
    <row r="120" spans="2:16" ht="13.9" customHeight="1" outlineLevel="1" x14ac:dyDescent="0.25">
      <c r="B120" s="149"/>
      <c r="C120" s="150" t="s">
        <v>45</v>
      </c>
      <c r="D120" s="85">
        <v>0</v>
      </c>
      <c r="E120" s="86">
        <v>0</v>
      </c>
      <c r="F120" s="113">
        <f t="shared" si="8"/>
        <v>0</v>
      </c>
      <c r="G120" s="113">
        <v>0</v>
      </c>
      <c r="H120" s="86">
        <v>0</v>
      </c>
      <c r="I120" s="113">
        <v>0</v>
      </c>
      <c r="J120" s="114">
        <f t="shared" si="9"/>
        <v>0</v>
      </c>
      <c r="K120" s="113">
        <f t="shared" si="10"/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</row>
    <row r="121" spans="2:16" ht="13.9" customHeight="1" outlineLevel="1" x14ac:dyDescent="0.25">
      <c r="B121" s="149"/>
      <c r="C121" s="150" t="s">
        <v>46</v>
      </c>
      <c r="D121" s="85">
        <v>0</v>
      </c>
      <c r="E121" s="86">
        <v>0</v>
      </c>
      <c r="F121" s="113">
        <f t="shared" si="8"/>
        <v>0</v>
      </c>
      <c r="G121" s="113">
        <v>0</v>
      </c>
      <c r="H121" s="86">
        <v>0</v>
      </c>
      <c r="I121" s="113">
        <v>0</v>
      </c>
      <c r="J121" s="114">
        <f t="shared" si="9"/>
        <v>0</v>
      </c>
      <c r="K121" s="113">
        <f t="shared" si="10"/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</row>
    <row r="122" spans="2:16" ht="13.9" customHeight="1" outlineLevel="1" x14ac:dyDescent="0.25">
      <c r="B122" s="149"/>
      <c r="C122" s="150" t="s">
        <v>47</v>
      </c>
      <c r="D122" s="85">
        <v>0</v>
      </c>
      <c r="E122" s="86">
        <v>0</v>
      </c>
      <c r="F122" s="113">
        <f t="shared" si="8"/>
        <v>0</v>
      </c>
      <c r="G122" s="113">
        <v>0</v>
      </c>
      <c r="H122" s="86">
        <v>0</v>
      </c>
      <c r="I122" s="113">
        <v>0</v>
      </c>
      <c r="J122" s="114">
        <f t="shared" si="9"/>
        <v>0</v>
      </c>
      <c r="K122" s="113">
        <f t="shared" si="10"/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</row>
    <row r="123" spans="2:16" ht="13.9" customHeight="1" outlineLevel="1" x14ac:dyDescent="0.25">
      <c r="B123" s="149"/>
      <c r="C123" s="150" t="s">
        <v>48</v>
      </c>
      <c r="D123" s="85">
        <v>0</v>
      </c>
      <c r="E123" s="86">
        <v>0</v>
      </c>
      <c r="F123" s="113">
        <f t="shared" si="8"/>
        <v>0</v>
      </c>
      <c r="G123" s="113">
        <v>0</v>
      </c>
      <c r="H123" s="86">
        <v>0</v>
      </c>
      <c r="I123" s="113">
        <v>0</v>
      </c>
      <c r="J123" s="114">
        <f t="shared" si="9"/>
        <v>0</v>
      </c>
      <c r="K123" s="113">
        <f t="shared" si="10"/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</row>
    <row r="124" spans="2:16" ht="13.9" customHeight="1" outlineLevel="1" x14ac:dyDescent="0.25">
      <c r="B124" s="149"/>
      <c r="C124" s="150" t="s">
        <v>49</v>
      </c>
      <c r="D124" s="85">
        <v>0</v>
      </c>
      <c r="E124" s="86">
        <v>0</v>
      </c>
      <c r="F124" s="113">
        <f t="shared" si="8"/>
        <v>0</v>
      </c>
      <c r="G124" s="113">
        <v>0</v>
      </c>
      <c r="H124" s="86">
        <v>0</v>
      </c>
      <c r="I124" s="113">
        <v>0</v>
      </c>
      <c r="J124" s="114">
        <f t="shared" si="9"/>
        <v>0</v>
      </c>
      <c r="K124" s="113">
        <f t="shared" si="10"/>
        <v>0</v>
      </c>
      <c r="L124" s="113">
        <v>0</v>
      </c>
      <c r="M124" s="113">
        <v>0</v>
      </c>
      <c r="N124" s="113">
        <v>0</v>
      </c>
      <c r="O124" s="113">
        <v>0</v>
      </c>
      <c r="P124" s="113">
        <v>0</v>
      </c>
    </row>
    <row r="125" spans="2:16" ht="13.9" customHeight="1" outlineLevel="1" x14ac:dyDescent="0.25">
      <c r="B125" s="149"/>
      <c r="C125" s="150" t="s">
        <v>50</v>
      </c>
      <c r="D125" s="85">
        <v>0</v>
      </c>
      <c r="E125" s="86">
        <v>0</v>
      </c>
      <c r="F125" s="113">
        <f t="shared" si="8"/>
        <v>0</v>
      </c>
      <c r="G125" s="113">
        <v>0</v>
      </c>
      <c r="H125" s="86">
        <v>0</v>
      </c>
      <c r="I125" s="113">
        <v>0</v>
      </c>
      <c r="J125" s="114">
        <f t="shared" si="9"/>
        <v>0</v>
      </c>
      <c r="K125" s="113">
        <f t="shared" si="10"/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</row>
    <row r="126" spans="2:16" ht="13.9" customHeight="1" outlineLevel="1" x14ac:dyDescent="0.25">
      <c r="B126" s="149"/>
      <c r="C126" s="150" t="s">
        <v>51</v>
      </c>
      <c r="D126" s="85">
        <v>0</v>
      </c>
      <c r="E126" s="86">
        <v>0</v>
      </c>
      <c r="F126" s="113">
        <f t="shared" si="8"/>
        <v>0</v>
      </c>
      <c r="G126" s="113">
        <v>0</v>
      </c>
      <c r="H126" s="86">
        <v>0</v>
      </c>
      <c r="I126" s="113">
        <v>0</v>
      </c>
      <c r="J126" s="114">
        <f t="shared" si="9"/>
        <v>0</v>
      </c>
      <c r="K126" s="113">
        <f t="shared" si="10"/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</row>
    <row r="127" spans="2:16" ht="13.9" customHeight="1" outlineLevel="1" x14ac:dyDescent="0.25">
      <c r="B127" s="149"/>
      <c r="C127" s="150" t="s">
        <v>52</v>
      </c>
      <c r="D127" s="85">
        <v>0</v>
      </c>
      <c r="E127" s="86">
        <v>0</v>
      </c>
      <c r="F127" s="113">
        <f t="shared" si="8"/>
        <v>0</v>
      </c>
      <c r="G127" s="113">
        <v>0</v>
      </c>
      <c r="H127" s="86">
        <v>0</v>
      </c>
      <c r="I127" s="113">
        <v>0</v>
      </c>
      <c r="J127" s="114">
        <f t="shared" si="9"/>
        <v>0</v>
      </c>
      <c r="K127" s="113">
        <f t="shared" si="10"/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</row>
    <row r="128" spans="2:16" ht="13.9" customHeight="1" outlineLevel="1" x14ac:dyDescent="0.25">
      <c r="B128" s="149"/>
      <c r="C128" s="150" t="s">
        <v>53</v>
      </c>
      <c r="D128" s="85">
        <v>0</v>
      </c>
      <c r="E128" s="86">
        <v>0</v>
      </c>
      <c r="F128" s="113">
        <f t="shared" si="8"/>
        <v>0</v>
      </c>
      <c r="G128" s="113">
        <v>0</v>
      </c>
      <c r="H128" s="86">
        <v>0</v>
      </c>
      <c r="I128" s="113">
        <v>0</v>
      </c>
      <c r="J128" s="114">
        <f t="shared" si="9"/>
        <v>0</v>
      </c>
      <c r="K128" s="113">
        <f t="shared" si="10"/>
        <v>0</v>
      </c>
      <c r="L128" s="113">
        <v>0</v>
      </c>
      <c r="M128" s="113">
        <v>0</v>
      </c>
      <c r="N128" s="113">
        <v>0</v>
      </c>
      <c r="O128" s="113">
        <v>0</v>
      </c>
      <c r="P128" s="113">
        <v>0</v>
      </c>
    </row>
    <row r="129" spans="2:16" ht="13.9" customHeight="1" outlineLevel="1" x14ac:dyDescent="0.25">
      <c r="B129" s="149"/>
      <c r="C129" s="150" t="s">
        <v>54</v>
      </c>
      <c r="D129" s="85">
        <v>0</v>
      </c>
      <c r="E129" s="86">
        <v>0</v>
      </c>
      <c r="F129" s="113">
        <f t="shared" si="8"/>
        <v>0</v>
      </c>
      <c r="G129" s="113">
        <v>0</v>
      </c>
      <c r="H129" s="86">
        <v>0</v>
      </c>
      <c r="I129" s="113">
        <v>0</v>
      </c>
      <c r="J129" s="114">
        <f t="shared" si="9"/>
        <v>0</v>
      </c>
      <c r="K129" s="113">
        <f t="shared" si="10"/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</row>
    <row r="130" spans="2:16" ht="13.9" customHeight="1" outlineLevel="1" x14ac:dyDescent="0.25">
      <c r="B130" s="149"/>
      <c r="C130" s="150" t="s">
        <v>55</v>
      </c>
      <c r="D130" s="85">
        <v>0</v>
      </c>
      <c r="E130" s="86">
        <v>0</v>
      </c>
      <c r="F130" s="113">
        <f t="shared" si="8"/>
        <v>0</v>
      </c>
      <c r="G130" s="113">
        <v>0</v>
      </c>
      <c r="H130" s="86">
        <v>0</v>
      </c>
      <c r="I130" s="113">
        <v>0</v>
      </c>
      <c r="J130" s="114">
        <f t="shared" si="9"/>
        <v>0</v>
      </c>
      <c r="K130" s="113">
        <f t="shared" si="10"/>
        <v>0</v>
      </c>
      <c r="L130" s="113">
        <v>0</v>
      </c>
      <c r="M130" s="113">
        <v>0</v>
      </c>
      <c r="N130" s="113">
        <v>0</v>
      </c>
      <c r="O130" s="113">
        <v>0</v>
      </c>
      <c r="P130" s="113">
        <v>0</v>
      </c>
    </row>
    <row r="131" spans="2:16" ht="13.9" customHeight="1" outlineLevel="1" x14ac:dyDescent="0.25">
      <c r="B131" s="149"/>
      <c r="C131" s="150" t="s">
        <v>56</v>
      </c>
      <c r="D131" s="85">
        <v>0</v>
      </c>
      <c r="E131" s="86">
        <v>0</v>
      </c>
      <c r="F131" s="113">
        <f t="shared" si="8"/>
        <v>0</v>
      </c>
      <c r="G131" s="113">
        <v>0</v>
      </c>
      <c r="H131" s="86">
        <v>0</v>
      </c>
      <c r="I131" s="113">
        <v>0</v>
      </c>
      <c r="J131" s="114">
        <f t="shared" si="9"/>
        <v>0</v>
      </c>
      <c r="K131" s="113">
        <f t="shared" si="10"/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</row>
    <row r="132" spans="2:16" ht="13.9" customHeight="1" outlineLevel="1" x14ac:dyDescent="0.25">
      <c r="B132" s="149"/>
      <c r="C132" s="150" t="s">
        <v>57</v>
      </c>
      <c r="D132" s="85">
        <v>0</v>
      </c>
      <c r="E132" s="86">
        <v>0</v>
      </c>
      <c r="F132" s="113">
        <f t="shared" si="8"/>
        <v>0</v>
      </c>
      <c r="G132" s="113">
        <v>0</v>
      </c>
      <c r="H132" s="86">
        <v>0</v>
      </c>
      <c r="I132" s="113">
        <v>0</v>
      </c>
      <c r="J132" s="114">
        <f t="shared" si="9"/>
        <v>0</v>
      </c>
      <c r="K132" s="113">
        <f t="shared" si="10"/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</row>
    <row r="133" spans="2:16" ht="13.9" customHeight="1" outlineLevel="1" x14ac:dyDescent="0.25">
      <c r="B133" s="149"/>
      <c r="C133" s="150" t="s">
        <v>58</v>
      </c>
      <c r="D133" s="85">
        <v>0</v>
      </c>
      <c r="E133" s="86">
        <v>0</v>
      </c>
      <c r="F133" s="113">
        <f t="shared" si="8"/>
        <v>0</v>
      </c>
      <c r="G133" s="113">
        <v>0</v>
      </c>
      <c r="H133" s="86">
        <v>0</v>
      </c>
      <c r="I133" s="113">
        <v>0</v>
      </c>
      <c r="J133" s="114">
        <f t="shared" si="9"/>
        <v>0</v>
      </c>
      <c r="K133" s="113">
        <f t="shared" si="10"/>
        <v>0</v>
      </c>
      <c r="L133" s="113">
        <v>0</v>
      </c>
      <c r="M133" s="113">
        <v>0</v>
      </c>
      <c r="N133" s="113">
        <v>0</v>
      </c>
      <c r="O133" s="113">
        <v>0</v>
      </c>
      <c r="P133" s="113">
        <v>0</v>
      </c>
    </row>
    <row r="134" spans="2:16" ht="13.9" customHeight="1" outlineLevel="1" x14ac:dyDescent="0.25">
      <c r="B134" s="149"/>
      <c r="C134" s="150" t="s">
        <v>59</v>
      </c>
      <c r="D134" s="85">
        <v>0</v>
      </c>
      <c r="E134" s="86">
        <v>0</v>
      </c>
      <c r="F134" s="113">
        <f t="shared" si="8"/>
        <v>0</v>
      </c>
      <c r="G134" s="113">
        <v>0</v>
      </c>
      <c r="H134" s="86">
        <v>0</v>
      </c>
      <c r="I134" s="113">
        <v>0</v>
      </c>
      <c r="J134" s="114">
        <f t="shared" si="9"/>
        <v>0</v>
      </c>
      <c r="K134" s="113">
        <f t="shared" si="10"/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</row>
    <row r="135" spans="2:16" ht="13.9" customHeight="1" outlineLevel="1" x14ac:dyDescent="0.25">
      <c r="B135" s="149"/>
      <c r="C135" s="150" t="s">
        <v>60</v>
      </c>
      <c r="D135" s="85">
        <v>0</v>
      </c>
      <c r="E135" s="86">
        <v>0</v>
      </c>
      <c r="F135" s="113">
        <f t="shared" si="8"/>
        <v>0</v>
      </c>
      <c r="G135" s="113">
        <v>0</v>
      </c>
      <c r="H135" s="86">
        <v>0</v>
      </c>
      <c r="I135" s="113">
        <v>0</v>
      </c>
      <c r="J135" s="114">
        <f t="shared" si="9"/>
        <v>0</v>
      </c>
      <c r="K135" s="113">
        <f t="shared" si="10"/>
        <v>0</v>
      </c>
      <c r="L135" s="113">
        <v>0</v>
      </c>
      <c r="M135" s="113">
        <v>0</v>
      </c>
      <c r="N135" s="113">
        <v>0</v>
      </c>
      <c r="O135" s="113">
        <v>0</v>
      </c>
      <c r="P135" s="113">
        <v>0</v>
      </c>
    </row>
    <row r="136" spans="2:16" ht="13.9" customHeight="1" outlineLevel="1" x14ac:dyDescent="0.25">
      <c r="B136" s="149"/>
      <c r="C136" s="150" t="s">
        <v>61</v>
      </c>
      <c r="D136" s="85">
        <v>0</v>
      </c>
      <c r="E136" s="86">
        <v>0</v>
      </c>
      <c r="F136" s="113">
        <f t="shared" si="8"/>
        <v>0</v>
      </c>
      <c r="G136" s="113">
        <v>0</v>
      </c>
      <c r="H136" s="86">
        <v>0</v>
      </c>
      <c r="I136" s="113">
        <v>0</v>
      </c>
      <c r="J136" s="114">
        <f t="shared" si="9"/>
        <v>0</v>
      </c>
      <c r="K136" s="113">
        <f t="shared" si="10"/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</row>
    <row r="137" spans="2:16" ht="13.9" customHeight="1" outlineLevel="1" x14ac:dyDescent="0.25">
      <c r="B137" s="149"/>
      <c r="C137" s="150" t="s">
        <v>62</v>
      </c>
      <c r="D137" s="85">
        <v>0</v>
      </c>
      <c r="E137" s="86">
        <v>0</v>
      </c>
      <c r="F137" s="113">
        <f t="shared" si="8"/>
        <v>0</v>
      </c>
      <c r="G137" s="113">
        <v>0</v>
      </c>
      <c r="H137" s="86">
        <v>0</v>
      </c>
      <c r="I137" s="113">
        <v>0</v>
      </c>
      <c r="J137" s="114">
        <f t="shared" si="9"/>
        <v>0</v>
      </c>
      <c r="K137" s="113">
        <f t="shared" si="10"/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</row>
    <row r="138" spans="2:16" ht="13.9" customHeight="1" outlineLevel="1" x14ac:dyDescent="0.25">
      <c r="B138" s="149"/>
      <c r="C138" s="150" t="s">
        <v>63</v>
      </c>
      <c r="D138" s="85">
        <v>0</v>
      </c>
      <c r="E138" s="86">
        <v>0</v>
      </c>
      <c r="F138" s="113">
        <f t="shared" si="8"/>
        <v>0</v>
      </c>
      <c r="G138" s="113">
        <v>0</v>
      </c>
      <c r="H138" s="86">
        <v>0</v>
      </c>
      <c r="I138" s="113">
        <v>0</v>
      </c>
      <c r="J138" s="114">
        <f t="shared" si="9"/>
        <v>0</v>
      </c>
      <c r="K138" s="113">
        <f t="shared" si="10"/>
        <v>0</v>
      </c>
      <c r="L138" s="113">
        <v>0</v>
      </c>
      <c r="M138" s="113">
        <v>0</v>
      </c>
      <c r="N138" s="113">
        <v>0</v>
      </c>
      <c r="O138" s="113">
        <v>0</v>
      </c>
      <c r="P138" s="113">
        <v>0</v>
      </c>
    </row>
    <row r="139" spans="2:16" ht="13.9" customHeight="1" outlineLevel="1" x14ac:dyDescent="0.25">
      <c r="B139" s="149"/>
      <c r="C139" s="150" t="s">
        <v>64</v>
      </c>
      <c r="D139" s="85">
        <v>0</v>
      </c>
      <c r="E139" s="86">
        <v>0</v>
      </c>
      <c r="F139" s="113">
        <f t="shared" si="8"/>
        <v>0</v>
      </c>
      <c r="G139" s="113">
        <v>0</v>
      </c>
      <c r="H139" s="86">
        <v>0</v>
      </c>
      <c r="I139" s="113">
        <v>0</v>
      </c>
      <c r="J139" s="114">
        <f t="shared" si="9"/>
        <v>0</v>
      </c>
      <c r="K139" s="113">
        <f t="shared" si="10"/>
        <v>0</v>
      </c>
      <c r="L139" s="113">
        <v>0</v>
      </c>
      <c r="M139" s="113">
        <v>0</v>
      </c>
      <c r="N139" s="113">
        <v>0</v>
      </c>
      <c r="O139" s="113">
        <v>0</v>
      </c>
      <c r="P139" s="113">
        <v>0</v>
      </c>
    </row>
    <row r="140" spans="2:16" ht="13.9" customHeight="1" outlineLevel="1" x14ac:dyDescent="0.25">
      <c r="B140" s="149"/>
      <c r="C140" s="150" t="s">
        <v>65</v>
      </c>
      <c r="D140" s="85">
        <v>0</v>
      </c>
      <c r="E140" s="86">
        <v>0</v>
      </c>
      <c r="F140" s="113">
        <f t="shared" si="8"/>
        <v>0</v>
      </c>
      <c r="G140" s="113">
        <v>0</v>
      </c>
      <c r="H140" s="86">
        <v>0</v>
      </c>
      <c r="I140" s="113">
        <v>0</v>
      </c>
      <c r="J140" s="114">
        <f t="shared" si="9"/>
        <v>0</v>
      </c>
      <c r="K140" s="113">
        <f t="shared" si="10"/>
        <v>0</v>
      </c>
      <c r="L140" s="113">
        <v>0</v>
      </c>
      <c r="M140" s="113">
        <v>0</v>
      </c>
      <c r="N140" s="113">
        <v>0</v>
      </c>
      <c r="O140" s="113">
        <v>0</v>
      </c>
      <c r="P140" s="113">
        <v>0</v>
      </c>
    </row>
    <row r="141" spans="2:16" ht="13.9" customHeight="1" outlineLevel="1" x14ac:dyDescent="0.25">
      <c r="B141" s="149"/>
      <c r="C141" s="150" t="s">
        <v>66</v>
      </c>
      <c r="D141" s="85">
        <v>0</v>
      </c>
      <c r="E141" s="86">
        <v>0</v>
      </c>
      <c r="F141" s="113">
        <f t="shared" si="8"/>
        <v>0</v>
      </c>
      <c r="G141" s="113">
        <v>0</v>
      </c>
      <c r="H141" s="86">
        <v>0</v>
      </c>
      <c r="I141" s="113">
        <v>0</v>
      </c>
      <c r="J141" s="114">
        <f t="shared" si="9"/>
        <v>0</v>
      </c>
      <c r="K141" s="113">
        <f t="shared" si="10"/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</row>
    <row r="142" spans="2:16" ht="13.9" customHeight="1" outlineLevel="1" x14ac:dyDescent="0.25">
      <c r="B142" s="149"/>
      <c r="C142" s="150" t="s">
        <v>67</v>
      </c>
      <c r="D142" s="85">
        <v>0</v>
      </c>
      <c r="E142" s="86">
        <v>0</v>
      </c>
      <c r="F142" s="113">
        <f t="shared" si="8"/>
        <v>0</v>
      </c>
      <c r="G142" s="113">
        <v>0</v>
      </c>
      <c r="H142" s="86">
        <v>0</v>
      </c>
      <c r="I142" s="113">
        <v>0</v>
      </c>
      <c r="J142" s="114">
        <f t="shared" si="9"/>
        <v>0</v>
      </c>
      <c r="K142" s="113">
        <f t="shared" si="10"/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</row>
    <row r="143" spans="2:16" ht="13.9" customHeight="1" x14ac:dyDescent="0.25">
      <c r="B143" s="149"/>
      <c r="C143" s="148" t="s">
        <v>103</v>
      </c>
      <c r="D143" s="90">
        <f>SUM(D106:D142)</f>
        <v>0</v>
      </c>
      <c r="E143" s="91">
        <f t="shared" ref="E143:P143" si="11">SUM(E106:E142)</f>
        <v>0</v>
      </c>
      <c r="F143" s="92">
        <f t="shared" si="11"/>
        <v>0</v>
      </c>
      <c r="G143" s="93">
        <f t="shared" si="11"/>
        <v>0</v>
      </c>
      <c r="H143" s="90">
        <f t="shared" si="11"/>
        <v>0</v>
      </c>
      <c r="I143" s="91">
        <f t="shared" si="11"/>
        <v>0</v>
      </c>
      <c r="J143" s="92">
        <f t="shared" si="11"/>
        <v>0</v>
      </c>
      <c r="K143" s="93">
        <f t="shared" si="11"/>
        <v>0</v>
      </c>
      <c r="L143" s="90">
        <f t="shared" si="11"/>
        <v>0</v>
      </c>
      <c r="M143" s="91">
        <f t="shared" si="11"/>
        <v>0</v>
      </c>
      <c r="N143" s="90">
        <f t="shared" si="11"/>
        <v>0</v>
      </c>
      <c r="O143" s="91">
        <f t="shared" si="11"/>
        <v>0</v>
      </c>
      <c r="P143" s="91">
        <f t="shared" si="11"/>
        <v>0</v>
      </c>
    </row>
    <row r="144" spans="2:16" ht="13.9" customHeight="1" outlineLevel="1" x14ac:dyDescent="0.25">
      <c r="B144" s="149" t="s">
        <v>83</v>
      </c>
      <c r="C144" s="150" t="s">
        <v>70</v>
      </c>
      <c r="D144" s="85">
        <v>0</v>
      </c>
      <c r="E144" s="86">
        <v>0</v>
      </c>
      <c r="F144" s="113">
        <f t="shared" si="8"/>
        <v>0</v>
      </c>
      <c r="G144" s="113">
        <v>0</v>
      </c>
      <c r="H144" s="86">
        <v>0</v>
      </c>
      <c r="I144" s="113">
        <v>0</v>
      </c>
      <c r="J144" s="114">
        <f t="shared" si="9"/>
        <v>0</v>
      </c>
      <c r="K144" s="113">
        <f t="shared" si="10"/>
        <v>0</v>
      </c>
      <c r="L144" s="113">
        <v>0</v>
      </c>
      <c r="M144" s="113">
        <v>0</v>
      </c>
      <c r="N144" s="113">
        <v>0</v>
      </c>
      <c r="O144" s="113">
        <v>0</v>
      </c>
      <c r="P144" s="113">
        <v>0</v>
      </c>
    </row>
    <row r="145" spans="2:16" ht="13.9" customHeight="1" outlineLevel="1" x14ac:dyDescent="0.25">
      <c r="B145" s="149"/>
      <c r="C145" s="150" t="s">
        <v>71</v>
      </c>
      <c r="D145" s="85">
        <v>0</v>
      </c>
      <c r="E145" s="86">
        <v>0</v>
      </c>
      <c r="F145" s="113">
        <f t="shared" si="8"/>
        <v>0</v>
      </c>
      <c r="G145" s="113">
        <v>0</v>
      </c>
      <c r="H145" s="86">
        <v>0</v>
      </c>
      <c r="I145" s="113">
        <v>0</v>
      </c>
      <c r="J145" s="114">
        <f t="shared" si="9"/>
        <v>0</v>
      </c>
      <c r="K145" s="113">
        <f t="shared" si="10"/>
        <v>0</v>
      </c>
      <c r="L145" s="113">
        <v>0</v>
      </c>
      <c r="M145" s="113">
        <v>0</v>
      </c>
      <c r="N145" s="113">
        <v>0</v>
      </c>
      <c r="O145" s="113">
        <v>0</v>
      </c>
      <c r="P145" s="113">
        <v>0</v>
      </c>
    </row>
    <row r="146" spans="2:16" ht="13.9" customHeight="1" outlineLevel="1" x14ac:dyDescent="0.25">
      <c r="B146" s="149"/>
      <c r="C146" s="150" t="s">
        <v>72</v>
      </c>
      <c r="D146" s="85">
        <v>0</v>
      </c>
      <c r="E146" s="86">
        <v>0</v>
      </c>
      <c r="F146" s="113">
        <f t="shared" si="8"/>
        <v>0</v>
      </c>
      <c r="G146" s="113">
        <v>0</v>
      </c>
      <c r="H146" s="86">
        <v>0</v>
      </c>
      <c r="I146" s="113">
        <v>0</v>
      </c>
      <c r="J146" s="114">
        <f t="shared" si="9"/>
        <v>0</v>
      </c>
      <c r="K146" s="113">
        <f t="shared" si="10"/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</row>
    <row r="147" spans="2:16" ht="13.9" customHeight="1" x14ac:dyDescent="0.25">
      <c r="B147" s="149"/>
      <c r="C147" s="148" t="s">
        <v>104</v>
      </c>
      <c r="D147" s="90">
        <f>SUM(D144:D146)</f>
        <v>0</v>
      </c>
      <c r="E147" s="91">
        <f t="shared" ref="E147:P147" si="12">SUM(E144:E146)</f>
        <v>0</v>
      </c>
      <c r="F147" s="92">
        <f t="shared" si="12"/>
        <v>0</v>
      </c>
      <c r="G147" s="93">
        <f t="shared" si="12"/>
        <v>0</v>
      </c>
      <c r="H147" s="90">
        <f t="shared" si="12"/>
        <v>0</v>
      </c>
      <c r="I147" s="91">
        <f t="shared" si="12"/>
        <v>0</v>
      </c>
      <c r="J147" s="92">
        <f t="shared" si="12"/>
        <v>0</v>
      </c>
      <c r="K147" s="93">
        <f t="shared" si="12"/>
        <v>0</v>
      </c>
      <c r="L147" s="90">
        <f t="shared" si="12"/>
        <v>0</v>
      </c>
      <c r="M147" s="91">
        <f t="shared" si="12"/>
        <v>0</v>
      </c>
      <c r="N147" s="90">
        <f t="shared" si="12"/>
        <v>0</v>
      </c>
      <c r="O147" s="91">
        <f t="shared" si="12"/>
        <v>0</v>
      </c>
      <c r="P147" s="91">
        <f t="shared" si="12"/>
        <v>0</v>
      </c>
    </row>
    <row r="148" spans="2:16" ht="13.9" customHeight="1" outlineLevel="1" x14ac:dyDescent="0.25">
      <c r="B148" s="149" t="s">
        <v>105</v>
      </c>
      <c r="C148" s="150" t="s">
        <v>75</v>
      </c>
      <c r="D148" s="85">
        <v>0</v>
      </c>
      <c r="E148" s="86">
        <v>0</v>
      </c>
      <c r="F148" s="113">
        <f>G148+I148</f>
        <v>0</v>
      </c>
      <c r="G148" s="113">
        <v>0</v>
      </c>
      <c r="H148" s="86">
        <v>0</v>
      </c>
      <c r="I148" s="113">
        <v>0</v>
      </c>
      <c r="J148" s="114">
        <f>H148-I148</f>
        <v>0</v>
      </c>
      <c r="K148" s="113">
        <f t="shared" si="10"/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</row>
    <row r="149" spans="2:16" ht="13.9" customHeight="1" outlineLevel="1" x14ac:dyDescent="0.25">
      <c r="B149" s="149"/>
      <c r="C149" s="150" t="s">
        <v>76</v>
      </c>
      <c r="D149" s="85">
        <v>0</v>
      </c>
      <c r="E149" s="86">
        <v>0</v>
      </c>
      <c r="F149" s="113">
        <f>G149+I149</f>
        <v>0</v>
      </c>
      <c r="G149" s="113">
        <v>0</v>
      </c>
      <c r="H149" s="86">
        <v>0</v>
      </c>
      <c r="I149" s="113">
        <v>0</v>
      </c>
      <c r="J149" s="114">
        <f>H149-I149</f>
        <v>0</v>
      </c>
      <c r="K149" s="113">
        <f t="shared" si="10"/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</row>
    <row r="150" spans="2:16" ht="13.9" customHeight="1" x14ac:dyDescent="0.25">
      <c r="B150" s="149"/>
      <c r="C150" s="148" t="s">
        <v>106</v>
      </c>
      <c r="D150" s="90">
        <f>SUM(D148:D149)</f>
        <v>0</v>
      </c>
      <c r="E150" s="91">
        <f t="shared" ref="E150:P150" si="13">SUM(E148:E149)</f>
        <v>0</v>
      </c>
      <c r="F150" s="92">
        <f t="shared" si="13"/>
        <v>0</v>
      </c>
      <c r="G150" s="93">
        <f t="shared" si="13"/>
        <v>0</v>
      </c>
      <c r="H150" s="90">
        <f t="shared" si="13"/>
        <v>0</v>
      </c>
      <c r="I150" s="91">
        <f t="shared" si="13"/>
        <v>0</v>
      </c>
      <c r="J150" s="92">
        <f t="shared" si="13"/>
        <v>0</v>
      </c>
      <c r="K150" s="93">
        <f t="shared" si="13"/>
        <v>0</v>
      </c>
      <c r="L150" s="90">
        <f t="shared" si="13"/>
        <v>0</v>
      </c>
      <c r="M150" s="91">
        <f t="shared" si="13"/>
        <v>0</v>
      </c>
      <c r="N150" s="90">
        <f t="shared" si="13"/>
        <v>0</v>
      </c>
      <c r="O150" s="91">
        <f t="shared" si="13"/>
        <v>0</v>
      </c>
      <c r="P150" s="91">
        <f t="shared" si="13"/>
        <v>0</v>
      </c>
    </row>
    <row r="151" spans="2:16" ht="13.9" customHeight="1" x14ac:dyDescent="0.25">
      <c r="B151" s="155" t="s">
        <v>78</v>
      </c>
      <c r="C151" s="155"/>
      <c r="D151" s="90">
        <f>D143+D147+D150</f>
        <v>0</v>
      </c>
      <c r="E151" s="91">
        <f t="shared" ref="E151:P151" si="14">E143+E147+E150</f>
        <v>0</v>
      </c>
      <c r="F151" s="92">
        <f t="shared" si="14"/>
        <v>0</v>
      </c>
      <c r="G151" s="93">
        <f t="shared" si="14"/>
        <v>0</v>
      </c>
      <c r="H151" s="90">
        <f t="shared" si="14"/>
        <v>0</v>
      </c>
      <c r="I151" s="91">
        <f t="shared" si="14"/>
        <v>0</v>
      </c>
      <c r="J151" s="92">
        <f t="shared" si="14"/>
        <v>0</v>
      </c>
      <c r="K151" s="93">
        <f t="shared" si="14"/>
        <v>0</v>
      </c>
      <c r="L151" s="90">
        <f t="shared" si="14"/>
        <v>0</v>
      </c>
      <c r="M151" s="91">
        <f t="shared" si="14"/>
        <v>0</v>
      </c>
      <c r="N151" s="90">
        <f t="shared" si="14"/>
        <v>0</v>
      </c>
      <c r="O151" s="91">
        <f t="shared" si="14"/>
        <v>0</v>
      </c>
      <c r="P151" s="91">
        <f t="shared" si="14"/>
        <v>0</v>
      </c>
    </row>
    <row r="152" spans="2:16" ht="13.9" customHeight="1" x14ac:dyDescent="0.25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</row>
    <row r="153" spans="2:16" ht="13.9" customHeight="1" x14ac:dyDescent="0.25">
      <c r="B153" s="107" t="s">
        <v>88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</row>
    <row r="154" spans="2:16" ht="13.9" customHeight="1" x14ac:dyDescent="0.25">
      <c r="B154" s="154" t="s">
        <v>26</v>
      </c>
      <c r="C154" s="148" t="s">
        <v>27</v>
      </c>
      <c r="D154" s="109" t="s">
        <v>28</v>
      </c>
      <c r="E154" s="110" t="s">
        <v>29</v>
      </c>
      <c r="F154" s="111" t="s">
        <v>85</v>
      </c>
      <c r="G154" s="112" t="s">
        <v>81</v>
      </c>
      <c r="H154" s="110" t="s">
        <v>82</v>
      </c>
      <c r="I154" s="112" t="s">
        <v>86</v>
      </c>
      <c r="J154" s="110" t="s">
        <v>87</v>
      </c>
      <c r="K154" s="112">
        <v>2026</v>
      </c>
      <c r="L154" s="112">
        <v>2027</v>
      </c>
      <c r="M154" s="110">
        <v>2028</v>
      </c>
      <c r="N154" s="112">
        <v>2029</v>
      </c>
      <c r="O154" s="110">
        <v>2030</v>
      </c>
      <c r="P154" s="112">
        <v>2031</v>
      </c>
    </row>
    <row r="155" spans="2:16" ht="13.9" customHeight="1" outlineLevel="1" x14ac:dyDescent="0.25">
      <c r="B155" s="149" t="s">
        <v>30</v>
      </c>
      <c r="C155" s="150" t="s">
        <v>31</v>
      </c>
      <c r="D155" s="85">
        <v>0</v>
      </c>
      <c r="E155" s="86">
        <v>0</v>
      </c>
      <c r="F155" s="142">
        <f t="shared" ref="F155:F198" si="15">G155+I155</f>
        <v>0</v>
      </c>
      <c r="G155" s="113">
        <v>0</v>
      </c>
      <c r="H155" s="86">
        <v>0</v>
      </c>
      <c r="I155" s="113">
        <v>0</v>
      </c>
      <c r="J155" s="114">
        <f t="shared" ref="J155:J198" si="16">H155-I155</f>
        <v>0</v>
      </c>
      <c r="K155" s="113">
        <f t="shared" ref="K155:K198" si="17">MAX(J155-SUM(L155:P155),0)</f>
        <v>0</v>
      </c>
      <c r="L155" s="113">
        <v>0</v>
      </c>
      <c r="M155" s="113">
        <v>0</v>
      </c>
      <c r="N155" s="113">
        <v>0</v>
      </c>
      <c r="O155" s="113">
        <v>0</v>
      </c>
      <c r="P155" s="113">
        <v>0</v>
      </c>
    </row>
    <row r="156" spans="2:16" ht="13.9" customHeight="1" outlineLevel="1" x14ac:dyDescent="0.25">
      <c r="B156" s="149"/>
      <c r="C156" s="150" t="s">
        <v>32</v>
      </c>
      <c r="D156" s="85">
        <v>0</v>
      </c>
      <c r="E156" s="86">
        <v>0</v>
      </c>
      <c r="F156" s="142">
        <f t="shared" si="15"/>
        <v>0</v>
      </c>
      <c r="G156" s="113">
        <v>0</v>
      </c>
      <c r="H156" s="86">
        <v>0</v>
      </c>
      <c r="I156" s="113">
        <v>0</v>
      </c>
      <c r="J156" s="114">
        <f t="shared" si="16"/>
        <v>0</v>
      </c>
      <c r="K156" s="113">
        <f t="shared" si="17"/>
        <v>0</v>
      </c>
      <c r="L156" s="113">
        <v>0</v>
      </c>
      <c r="M156" s="113">
        <v>0</v>
      </c>
      <c r="N156" s="113">
        <v>0</v>
      </c>
      <c r="O156" s="113">
        <v>0</v>
      </c>
      <c r="P156" s="113">
        <v>0</v>
      </c>
    </row>
    <row r="157" spans="2:16" ht="13.9" customHeight="1" outlineLevel="1" x14ac:dyDescent="0.25">
      <c r="B157" s="149"/>
      <c r="C157" s="150" t="s">
        <v>33</v>
      </c>
      <c r="D157" s="85">
        <v>0</v>
      </c>
      <c r="E157" s="86">
        <v>0</v>
      </c>
      <c r="F157" s="142">
        <f t="shared" si="15"/>
        <v>0</v>
      </c>
      <c r="G157" s="113">
        <v>0</v>
      </c>
      <c r="H157" s="86">
        <v>0</v>
      </c>
      <c r="I157" s="113">
        <v>0</v>
      </c>
      <c r="J157" s="114">
        <f t="shared" si="16"/>
        <v>0</v>
      </c>
      <c r="K157" s="113">
        <f t="shared" si="17"/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</row>
    <row r="158" spans="2:16" ht="13.9" customHeight="1" outlineLevel="1" x14ac:dyDescent="0.25">
      <c r="B158" s="149"/>
      <c r="C158" s="150" t="s">
        <v>34</v>
      </c>
      <c r="D158" s="85">
        <v>0</v>
      </c>
      <c r="E158" s="86">
        <v>0</v>
      </c>
      <c r="F158" s="142">
        <f t="shared" si="15"/>
        <v>0</v>
      </c>
      <c r="G158" s="113">
        <v>0</v>
      </c>
      <c r="H158" s="86">
        <v>0</v>
      </c>
      <c r="I158" s="113">
        <v>0</v>
      </c>
      <c r="J158" s="114">
        <f t="shared" si="16"/>
        <v>0</v>
      </c>
      <c r="K158" s="113">
        <f t="shared" si="17"/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</row>
    <row r="159" spans="2:16" ht="13.9" customHeight="1" outlineLevel="1" x14ac:dyDescent="0.25">
      <c r="B159" s="149"/>
      <c r="C159" s="150" t="s">
        <v>35</v>
      </c>
      <c r="D159" s="85">
        <v>0</v>
      </c>
      <c r="E159" s="86">
        <v>0</v>
      </c>
      <c r="F159" s="142">
        <f t="shared" si="15"/>
        <v>0</v>
      </c>
      <c r="G159" s="113">
        <v>0</v>
      </c>
      <c r="H159" s="86">
        <v>0</v>
      </c>
      <c r="I159" s="113">
        <v>0</v>
      </c>
      <c r="J159" s="114">
        <f t="shared" si="16"/>
        <v>0</v>
      </c>
      <c r="K159" s="113">
        <f t="shared" si="17"/>
        <v>0</v>
      </c>
      <c r="L159" s="113">
        <v>0</v>
      </c>
      <c r="M159" s="113">
        <v>0</v>
      </c>
      <c r="N159" s="113">
        <v>0</v>
      </c>
      <c r="O159" s="113">
        <v>0</v>
      </c>
      <c r="P159" s="113">
        <v>0</v>
      </c>
    </row>
    <row r="160" spans="2:16" ht="13.9" customHeight="1" outlineLevel="1" x14ac:dyDescent="0.25">
      <c r="B160" s="149"/>
      <c r="C160" s="150" t="s">
        <v>36</v>
      </c>
      <c r="D160" s="85">
        <v>7</v>
      </c>
      <c r="E160" s="86">
        <v>80922262.5</v>
      </c>
      <c r="F160" s="142">
        <f t="shared" si="15"/>
        <v>31218010.600000001</v>
      </c>
      <c r="G160" s="113">
        <v>8111028.5999999996</v>
      </c>
      <c r="H160" s="86">
        <v>72811233.900000006</v>
      </c>
      <c r="I160" s="113">
        <v>23106982.000000004</v>
      </c>
      <c r="J160" s="114">
        <f t="shared" si="16"/>
        <v>49704251.900000006</v>
      </c>
      <c r="K160" s="113">
        <f t="shared" si="17"/>
        <v>8092226.2500000075</v>
      </c>
      <c r="L160" s="113">
        <v>41612025.649999999</v>
      </c>
      <c r="M160" s="113">
        <v>0</v>
      </c>
      <c r="N160" s="113">
        <v>0</v>
      </c>
      <c r="O160" s="113">
        <v>0</v>
      </c>
      <c r="P160" s="113">
        <v>0</v>
      </c>
    </row>
    <row r="161" spans="2:16" ht="13.9" customHeight="1" outlineLevel="1" x14ac:dyDescent="0.25">
      <c r="B161" s="149"/>
      <c r="C161" s="150" t="s">
        <v>37</v>
      </c>
      <c r="D161" s="85">
        <v>0</v>
      </c>
      <c r="E161" s="86">
        <v>0</v>
      </c>
      <c r="F161" s="142">
        <f t="shared" si="15"/>
        <v>0</v>
      </c>
      <c r="G161" s="113">
        <v>0</v>
      </c>
      <c r="H161" s="86">
        <v>0</v>
      </c>
      <c r="I161" s="113">
        <v>0</v>
      </c>
      <c r="J161" s="114">
        <f t="shared" si="16"/>
        <v>0</v>
      </c>
      <c r="K161" s="113">
        <f t="shared" si="17"/>
        <v>0</v>
      </c>
      <c r="L161" s="113">
        <v>0</v>
      </c>
      <c r="M161" s="113">
        <v>0</v>
      </c>
      <c r="N161" s="113">
        <v>0</v>
      </c>
      <c r="O161" s="113">
        <v>0</v>
      </c>
      <c r="P161" s="113">
        <v>0</v>
      </c>
    </row>
    <row r="162" spans="2:16" ht="13.9" customHeight="1" outlineLevel="1" x14ac:dyDescent="0.25">
      <c r="B162" s="149"/>
      <c r="C162" s="150" t="s">
        <v>38</v>
      </c>
      <c r="D162" s="85">
        <v>0</v>
      </c>
      <c r="E162" s="86">
        <v>0</v>
      </c>
      <c r="F162" s="142">
        <f t="shared" si="15"/>
        <v>0</v>
      </c>
      <c r="G162" s="113">
        <v>0</v>
      </c>
      <c r="H162" s="86">
        <v>0</v>
      </c>
      <c r="I162" s="113">
        <v>0</v>
      </c>
      <c r="J162" s="114">
        <f t="shared" si="16"/>
        <v>0</v>
      </c>
      <c r="K162" s="113">
        <f t="shared" si="17"/>
        <v>0</v>
      </c>
      <c r="L162" s="113">
        <v>0</v>
      </c>
      <c r="M162" s="113">
        <v>0</v>
      </c>
      <c r="N162" s="113">
        <v>0</v>
      </c>
      <c r="O162" s="113">
        <v>0</v>
      </c>
      <c r="P162" s="113">
        <v>0</v>
      </c>
    </row>
    <row r="163" spans="2:16" ht="13.9" customHeight="1" outlineLevel="1" x14ac:dyDescent="0.25">
      <c r="B163" s="149"/>
      <c r="C163" s="150" t="s">
        <v>39</v>
      </c>
      <c r="D163" s="85">
        <v>0</v>
      </c>
      <c r="E163" s="86">
        <v>0</v>
      </c>
      <c r="F163" s="142">
        <f t="shared" si="15"/>
        <v>0</v>
      </c>
      <c r="G163" s="113">
        <v>0</v>
      </c>
      <c r="H163" s="86">
        <v>0</v>
      </c>
      <c r="I163" s="113">
        <v>0</v>
      </c>
      <c r="J163" s="114">
        <f t="shared" si="16"/>
        <v>0</v>
      </c>
      <c r="K163" s="113">
        <f t="shared" si="17"/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</row>
    <row r="164" spans="2:16" ht="13.9" customHeight="1" outlineLevel="1" x14ac:dyDescent="0.25">
      <c r="B164" s="149"/>
      <c r="C164" s="150" t="s">
        <v>40</v>
      </c>
      <c r="D164" s="85">
        <v>0</v>
      </c>
      <c r="E164" s="86">
        <v>0</v>
      </c>
      <c r="F164" s="142">
        <f t="shared" si="15"/>
        <v>0</v>
      </c>
      <c r="G164" s="113">
        <v>0</v>
      </c>
      <c r="H164" s="86">
        <v>0</v>
      </c>
      <c r="I164" s="113">
        <v>0</v>
      </c>
      <c r="J164" s="114">
        <f t="shared" si="16"/>
        <v>0</v>
      </c>
      <c r="K164" s="113">
        <f t="shared" si="17"/>
        <v>0</v>
      </c>
      <c r="L164" s="113">
        <v>0</v>
      </c>
      <c r="M164" s="113">
        <v>0</v>
      </c>
      <c r="N164" s="113">
        <v>0</v>
      </c>
      <c r="O164" s="113">
        <v>0</v>
      </c>
      <c r="P164" s="113">
        <v>0</v>
      </c>
    </row>
    <row r="165" spans="2:16" ht="13.9" customHeight="1" outlineLevel="1" x14ac:dyDescent="0.25">
      <c r="B165" s="149"/>
      <c r="C165" s="150" t="s">
        <v>41</v>
      </c>
      <c r="D165" s="85">
        <v>0</v>
      </c>
      <c r="E165" s="86">
        <v>0</v>
      </c>
      <c r="F165" s="142">
        <f t="shared" si="15"/>
        <v>0</v>
      </c>
      <c r="G165" s="113">
        <v>0</v>
      </c>
      <c r="H165" s="86">
        <v>0</v>
      </c>
      <c r="I165" s="113">
        <v>0</v>
      </c>
      <c r="J165" s="114">
        <f t="shared" si="16"/>
        <v>0</v>
      </c>
      <c r="K165" s="113">
        <f t="shared" si="17"/>
        <v>0</v>
      </c>
      <c r="L165" s="113">
        <v>0</v>
      </c>
      <c r="M165" s="113">
        <v>0</v>
      </c>
      <c r="N165" s="113">
        <v>0</v>
      </c>
      <c r="O165" s="113">
        <v>0</v>
      </c>
      <c r="P165" s="113">
        <v>0</v>
      </c>
    </row>
    <row r="166" spans="2:16" ht="13.9" customHeight="1" outlineLevel="1" x14ac:dyDescent="0.25">
      <c r="B166" s="149"/>
      <c r="C166" s="150" t="s">
        <v>42</v>
      </c>
      <c r="D166" s="85">
        <v>0</v>
      </c>
      <c r="E166" s="86">
        <v>0</v>
      </c>
      <c r="F166" s="142">
        <f t="shared" si="15"/>
        <v>0</v>
      </c>
      <c r="G166" s="113">
        <v>0</v>
      </c>
      <c r="H166" s="86">
        <v>0</v>
      </c>
      <c r="I166" s="113">
        <v>0</v>
      </c>
      <c r="J166" s="114">
        <f t="shared" si="16"/>
        <v>0</v>
      </c>
      <c r="K166" s="113">
        <f t="shared" si="17"/>
        <v>0</v>
      </c>
      <c r="L166" s="113">
        <v>0</v>
      </c>
      <c r="M166" s="113">
        <v>0</v>
      </c>
      <c r="N166" s="113">
        <v>0</v>
      </c>
      <c r="O166" s="113">
        <v>0</v>
      </c>
      <c r="P166" s="113">
        <v>0</v>
      </c>
    </row>
    <row r="167" spans="2:16" ht="13.9" customHeight="1" outlineLevel="1" x14ac:dyDescent="0.25">
      <c r="B167" s="149"/>
      <c r="C167" s="150" t="s">
        <v>43</v>
      </c>
      <c r="D167" s="85">
        <v>0</v>
      </c>
      <c r="E167" s="86">
        <v>0</v>
      </c>
      <c r="F167" s="142">
        <f t="shared" si="15"/>
        <v>0</v>
      </c>
      <c r="G167" s="113">
        <v>0</v>
      </c>
      <c r="H167" s="86">
        <v>0</v>
      </c>
      <c r="I167" s="113">
        <v>0</v>
      </c>
      <c r="J167" s="114">
        <f t="shared" si="16"/>
        <v>0</v>
      </c>
      <c r="K167" s="113">
        <f t="shared" si="17"/>
        <v>0</v>
      </c>
      <c r="L167" s="113">
        <v>0</v>
      </c>
      <c r="M167" s="113">
        <v>0</v>
      </c>
      <c r="N167" s="113">
        <v>0</v>
      </c>
      <c r="O167" s="113">
        <v>0</v>
      </c>
      <c r="P167" s="113">
        <v>0</v>
      </c>
    </row>
    <row r="168" spans="2:16" ht="13.9" customHeight="1" outlineLevel="1" x14ac:dyDescent="0.25">
      <c r="B168" s="149"/>
      <c r="C168" s="150" t="s">
        <v>44</v>
      </c>
      <c r="D168" s="85">
        <v>1</v>
      </c>
      <c r="E168" s="86">
        <v>7725196</v>
      </c>
      <c r="F168" s="142">
        <f t="shared" si="15"/>
        <v>2317558.7999999998</v>
      </c>
      <c r="G168" s="113">
        <v>1544721.48</v>
      </c>
      <c r="H168" s="86">
        <v>6180474.5199999996</v>
      </c>
      <c r="I168" s="113">
        <v>772837.32</v>
      </c>
      <c r="J168" s="114">
        <f t="shared" si="16"/>
        <v>5407637.1999999993</v>
      </c>
      <c r="K168" s="113">
        <f t="shared" si="17"/>
        <v>772519.59999999963</v>
      </c>
      <c r="L168" s="113">
        <v>1545039.2</v>
      </c>
      <c r="M168" s="113">
        <v>3090078.4</v>
      </c>
      <c r="N168" s="113">
        <v>0</v>
      </c>
      <c r="O168" s="113">
        <v>0</v>
      </c>
      <c r="P168" s="113">
        <v>0</v>
      </c>
    </row>
    <row r="169" spans="2:16" ht="13.9" customHeight="1" outlineLevel="1" x14ac:dyDescent="0.25">
      <c r="B169" s="149"/>
      <c r="C169" s="150" t="s">
        <v>45</v>
      </c>
      <c r="D169" s="85">
        <v>0</v>
      </c>
      <c r="E169" s="86">
        <v>0</v>
      </c>
      <c r="F169" s="142">
        <f t="shared" si="15"/>
        <v>0</v>
      </c>
      <c r="G169" s="113">
        <v>0</v>
      </c>
      <c r="H169" s="86">
        <v>0</v>
      </c>
      <c r="I169" s="113">
        <v>0</v>
      </c>
      <c r="J169" s="114">
        <f t="shared" si="16"/>
        <v>0</v>
      </c>
      <c r="K169" s="113">
        <f t="shared" si="17"/>
        <v>0</v>
      </c>
      <c r="L169" s="113">
        <v>0</v>
      </c>
      <c r="M169" s="113">
        <v>0</v>
      </c>
      <c r="N169" s="113">
        <v>0</v>
      </c>
      <c r="O169" s="113">
        <v>0</v>
      </c>
      <c r="P169" s="113">
        <v>0</v>
      </c>
    </row>
    <row r="170" spans="2:16" ht="13.9" customHeight="1" outlineLevel="1" x14ac:dyDescent="0.25">
      <c r="B170" s="149"/>
      <c r="C170" s="150" t="s">
        <v>46</v>
      </c>
      <c r="D170" s="85">
        <v>0</v>
      </c>
      <c r="E170" s="86">
        <v>0</v>
      </c>
      <c r="F170" s="142">
        <f t="shared" si="15"/>
        <v>0</v>
      </c>
      <c r="G170" s="113">
        <v>0</v>
      </c>
      <c r="H170" s="86">
        <v>0</v>
      </c>
      <c r="I170" s="113">
        <v>0</v>
      </c>
      <c r="J170" s="114">
        <f t="shared" si="16"/>
        <v>0</v>
      </c>
      <c r="K170" s="113">
        <f t="shared" si="17"/>
        <v>0</v>
      </c>
      <c r="L170" s="113">
        <v>0</v>
      </c>
      <c r="M170" s="113">
        <v>0</v>
      </c>
      <c r="N170" s="113">
        <v>0</v>
      </c>
      <c r="O170" s="113">
        <v>0</v>
      </c>
      <c r="P170" s="113">
        <v>0</v>
      </c>
    </row>
    <row r="171" spans="2:16" ht="13.9" customHeight="1" outlineLevel="1" x14ac:dyDescent="0.25">
      <c r="B171" s="149"/>
      <c r="C171" s="150" t="s">
        <v>47</v>
      </c>
      <c r="D171" s="85">
        <v>6</v>
      </c>
      <c r="E171" s="86">
        <v>31058697.75</v>
      </c>
      <c r="F171" s="142">
        <f t="shared" si="15"/>
        <v>9539189.3599999994</v>
      </c>
      <c r="G171" s="113">
        <v>3623833.49</v>
      </c>
      <c r="H171" s="86">
        <v>27434864.259999998</v>
      </c>
      <c r="I171" s="113">
        <v>5915355.8700000001</v>
      </c>
      <c r="J171" s="114">
        <f t="shared" si="16"/>
        <v>21519508.389999997</v>
      </c>
      <c r="K171" s="113">
        <f t="shared" si="17"/>
        <v>21519508.389999997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</row>
    <row r="172" spans="2:16" ht="13.9" customHeight="1" outlineLevel="1" x14ac:dyDescent="0.25">
      <c r="B172" s="149"/>
      <c r="C172" s="150" t="s">
        <v>48</v>
      </c>
      <c r="D172" s="85">
        <v>2</v>
      </c>
      <c r="E172" s="86">
        <v>30999550</v>
      </c>
      <c r="F172" s="142">
        <f t="shared" si="15"/>
        <v>6509905.5</v>
      </c>
      <c r="G172" s="113">
        <v>3249461</v>
      </c>
      <c r="H172" s="86">
        <v>27750089</v>
      </c>
      <c r="I172" s="113">
        <v>3260444.5</v>
      </c>
      <c r="J172" s="114">
        <f t="shared" si="16"/>
        <v>24489644.5</v>
      </c>
      <c r="K172" s="113">
        <f t="shared" si="17"/>
        <v>4959928</v>
      </c>
      <c r="L172" s="113">
        <v>19529716.5</v>
      </c>
      <c r="M172" s="113">
        <v>0</v>
      </c>
      <c r="N172" s="113">
        <v>0</v>
      </c>
      <c r="O172" s="113">
        <v>0</v>
      </c>
      <c r="P172" s="113">
        <v>0</v>
      </c>
    </row>
    <row r="173" spans="2:16" ht="13.9" customHeight="1" outlineLevel="1" x14ac:dyDescent="0.25">
      <c r="B173" s="149"/>
      <c r="C173" s="150" t="s">
        <v>49</v>
      </c>
      <c r="D173" s="85">
        <v>1</v>
      </c>
      <c r="E173" s="86">
        <v>23122500</v>
      </c>
      <c r="F173" s="142">
        <f t="shared" si="15"/>
        <v>7283589</v>
      </c>
      <c r="G173" s="113">
        <v>4624500</v>
      </c>
      <c r="H173" s="86">
        <v>18498000</v>
      </c>
      <c r="I173" s="113">
        <v>2659089</v>
      </c>
      <c r="J173" s="114">
        <f t="shared" si="16"/>
        <v>15838911</v>
      </c>
      <c r="K173" s="113">
        <f t="shared" si="17"/>
        <v>6127461</v>
      </c>
      <c r="L173" s="113">
        <v>9711450</v>
      </c>
      <c r="M173" s="113">
        <v>0</v>
      </c>
      <c r="N173" s="113">
        <v>0</v>
      </c>
      <c r="O173" s="113">
        <v>0</v>
      </c>
      <c r="P173" s="113">
        <v>0</v>
      </c>
    </row>
    <row r="174" spans="2:16" ht="13.9" customHeight="1" outlineLevel="1" x14ac:dyDescent="0.25">
      <c r="B174" s="149"/>
      <c r="C174" s="150" t="s">
        <v>50</v>
      </c>
      <c r="D174" s="85">
        <v>10</v>
      </c>
      <c r="E174" s="86">
        <v>31293124.5</v>
      </c>
      <c r="F174" s="142">
        <f t="shared" si="15"/>
        <v>3129381</v>
      </c>
      <c r="G174" s="113">
        <v>3129381</v>
      </c>
      <c r="H174" s="86">
        <v>28163743.5</v>
      </c>
      <c r="I174" s="113">
        <v>0</v>
      </c>
      <c r="J174" s="114">
        <f t="shared" si="16"/>
        <v>28163743.5</v>
      </c>
      <c r="K174" s="113">
        <f t="shared" si="17"/>
        <v>6258556.299999997</v>
      </c>
      <c r="L174" s="113">
        <v>3129312.4600000009</v>
      </c>
      <c r="M174" s="113">
        <v>3129312.4600000009</v>
      </c>
      <c r="N174" s="113">
        <v>3129312.4600000009</v>
      </c>
      <c r="O174" s="113">
        <v>3129312.4600000009</v>
      </c>
      <c r="P174" s="113">
        <v>9387937.3599999994</v>
      </c>
    </row>
    <row r="175" spans="2:16" ht="13.9" customHeight="1" outlineLevel="1" x14ac:dyDescent="0.25">
      <c r="B175" s="149"/>
      <c r="C175" s="150" t="s">
        <v>51</v>
      </c>
      <c r="D175" s="85">
        <v>0</v>
      </c>
      <c r="E175" s="86">
        <v>0</v>
      </c>
      <c r="F175" s="142">
        <f t="shared" si="15"/>
        <v>0</v>
      </c>
      <c r="G175" s="113">
        <v>0</v>
      </c>
      <c r="H175" s="86">
        <v>0</v>
      </c>
      <c r="I175" s="113">
        <v>0</v>
      </c>
      <c r="J175" s="114">
        <f t="shared" si="16"/>
        <v>0</v>
      </c>
      <c r="K175" s="113">
        <f t="shared" si="17"/>
        <v>0</v>
      </c>
      <c r="L175" s="113">
        <v>0</v>
      </c>
      <c r="M175" s="113">
        <v>0</v>
      </c>
      <c r="N175" s="113">
        <v>0</v>
      </c>
      <c r="O175" s="113">
        <v>0</v>
      </c>
      <c r="P175" s="113">
        <v>0</v>
      </c>
    </row>
    <row r="176" spans="2:16" ht="13.9" customHeight="1" outlineLevel="1" x14ac:dyDescent="0.25">
      <c r="B176" s="149"/>
      <c r="C176" s="150" t="s">
        <v>52</v>
      </c>
      <c r="D176" s="85">
        <v>0</v>
      </c>
      <c r="E176" s="86">
        <v>0</v>
      </c>
      <c r="F176" s="142">
        <f t="shared" si="15"/>
        <v>0</v>
      </c>
      <c r="G176" s="113">
        <v>0</v>
      </c>
      <c r="H176" s="86">
        <v>0</v>
      </c>
      <c r="I176" s="113">
        <v>0</v>
      </c>
      <c r="J176" s="114">
        <f t="shared" si="16"/>
        <v>0</v>
      </c>
      <c r="K176" s="113">
        <f t="shared" si="17"/>
        <v>0</v>
      </c>
      <c r="L176" s="113">
        <v>0</v>
      </c>
      <c r="M176" s="113">
        <v>0</v>
      </c>
      <c r="N176" s="113">
        <v>0</v>
      </c>
      <c r="O176" s="113">
        <v>0</v>
      </c>
      <c r="P176" s="113">
        <v>0</v>
      </c>
    </row>
    <row r="177" spans="2:16" ht="13.9" customHeight="1" outlineLevel="1" x14ac:dyDescent="0.25">
      <c r="B177" s="149"/>
      <c r="C177" s="150" t="s">
        <v>53</v>
      </c>
      <c r="D177" s="85">
        <v>0</v>
      </c>
      <c r="E177" s="86">
        <v>0</v>
      </c>
      <c r="F177" s="142">
        <f t="shared" si="15"/>
        <v>0</v>
      </c>
      <c r="G177" s="113">
        <v>0</v>
      </c>
      <c r="H177" s="86">
        <v>0</v>
      </c>
      <c r="I177" s="113">
        <v>0</v>
      </c>
      <c r="J177" s="114">
        <f t="shared" si="16"/>
        <v>0</v>
      </c>
      <c r="K177" s="113">
        <f t="shared" si="17"/>
        <v>0</v>
      </c>
      <c r="L177" s="113">
        <v>0</v>
      </c>
      <c r="M177" s="113">
        <v>0</v>
      </c>
      <c r="N177" s="113">
        <v>0</v>
      </c>
      <c r="O177" s="113">
        <v>0</v>
      </c>
      <c r="P177" s="113">
        <v>0</v>
      </c>
    </row>
    <row r="178" spans="2:16" ht="13.9" customHeight="1" outlineLevel="1" x14ac:dyDescent="0.25">
      <c r="B178" s="149"/>
      <c r="C178" s="150" t="s">
        <v>54</v>
      </c>
      <c r="D178" s="85">
        <v>0</v>
      </c>
      <c r="E178" s="86">
        <v>0</v>
      </c>
      <c r="F178" s="142">
        <f t="shared" si="15"/>
        <v>0</v>
      </c>
      <c r="G178" s="113">
        <v>0</v>
      </c>
      <c r="H178" s="86">
        <v>0</v>
      </c>
      <c r="I178" s="113">
        <v>0</v>
      </c>
      <c r="J178" s="114">
        <f t="shared" si="16"/>
        <v>0</v>
      </c>
      <c r="K178" s="113">
        <f t="shared" si="17"/>
        <v>0</v>
      </c>
      <c r="L178" s="113">
        <v>0</v>
      </c>
      <c r="M178" s="113">
        <v>0</v>
      </c>
      <c r="N178" s="113">
        <v>0</v>
      </c>
      <c r="O178" s="113">
        <v>0</v>
      </c>
      <c r="P178" s="113">
        <v>0</v>
      </c>
    </row>
    <row r="179" spans="2:16" ht="13.9" customHeight="1" outlineLevel="1" x14ac:dyDescent="0.25">
      <c r="B179" s="149"/>
      <c r="C179" s="150" t="s">
        <v>55</v>
      </c>
      <c r="D179" s="85">
        <v>9</v>
      </c>
      <c r="E179" s="86">
        <v>24136052.25</v>
      </c>
      <c r="F179" s="142">
        <f t="shared" si="15"/>
        <v>4827210.4800000004</v>
      </c>
      <c r="G179" s="113">
        <v>4827208</v>
      </c>
      <c r="H179" s="86">
        <v>19308844.25</v>
      </c>
      <c r="I179" s="113">
        <v>2.4800000000000004</v>
      </c>
      <c r="J179" s="114">
        <f t="shared" si="16"/>
        <v>19308841.77</v>
      </c>
      <c r="K179" s="113">
        <f t="shared" si="17"/>
        <v>2413605.1800000034</v>
      </c>
      <c r="L179" s="113">
        <v>2413605.2399999998</v>
      </c>
      <c r="M179" s="113">
        <v>0</v>
      </c>
      <c r="N179" s="113">
        <v>0</v>
      </c>
      <c r="O179" s="113">
        <v>14481631.349999998</v>
      </c>
      <c r="P179" s="113">
        <v>0</v>
      </c>
    </row>
    <row r="180" spans="2:16" ht="13.9" customHeight="1" outlineLevel="1" x14ac:dyDescent="0.25">
      <c r="B180" s="149"/>
      <c r="C180" s="150" t="s">
        <v>56</v>
      </c>
      <c r="D180" s="85">
        <v>0</v>
      </c>
      <c r="E180" s="86">
        <v>0</v>
      </c>
      <c r="F180" s="142">
        <f t="shared" si="15"/>
        <v>0</v>
      </c>
      <c r="G180" s="113">
        <v>0</v>
      </c>
      <c r="H180" s="86">
        <v>0</v>
      </c>
      <c r="I180" s="113">
        <v>0</v>
      </c>
      <c r="J180" s="114">
        <f t="shared" si="16"/>
        <v>0</v>
      </c>
      <c r="K180" s="113">
        <f t="shared" si="17"/>
        <v>0</v>
      </c>
      <c r="L180" s="113">
        <v>0</v>
      </c>
      <c r="M180" s="113">
        <v>0</v>
      </c>
      <c r="N180" s="113">
        <v>0</v>
      </c>
      <c r="O180" s="113">
        <v>0</v>
      </c>
      <c r="P180" s="113">
        <v>0</v>
      </c>
    </row>
    <row r="181" spans="2:16" ht="13.9" customHeight="1" outlineLevel="1" x14ac:dyDescent="0.25">
      <c r="B181" s="149"/>
      <c r="C181" s="150" t="s">
        <v>57</v>
      </c>
      <c r="D181" s="85">
        <v>0</v>
      </c>
      <c r="E181" s="86">
        <v>0</v>
      </c>
      <c r="F181" s="142">
        <f t="shared" si="15"/>
        <v>0</v>
      </c>
      <c r="G181" s="113">
        <v>0</v>
      </c>
      <c r="H181" s="86">
        <v>0</v>
      </c>
      <c r="I181" s="113">
        <v>0</v>
      </c>
      <c r="J181" s="114">
        <f t="shared" si="16"/>
        <v>0</v>
      </c>
      <c r="K181" s="113">
        <f t="shared" si="17"/>
        <v>0</v>
      </c>
      <c r="L181" s="113">
        <v>0</v>
      </c>
      <c r="M181" s="113">
        <v>0</v>
      </c>
      <c r="N181" s="113">
        <v>0</v>
      </c>
      <c r="O181" s="113">
        <v>0</v>
      </c>
      <c r="P181" s="113">
        <v>0</v>
      </c>
    </row>
    <row r="182" spans="2:16" ht="13.9" customHeight="1" outlineLevel="1" x14ac:dyDescent="0.25">
      <c r="B182" s="149"/>
      <c r="C182" s="150" t="s">
        <v>58</v>
      </c>
      <c r="D182" s="85">
        <v>0</v>
      </c>
      <c r="E182" s="86">
        <v>0</v>
      </c>
      <c r="F182" s="142">
        <f t="shared" si="15"/>
        <v>0</v>
      </c>
      <c r="G182" s="113">
        <v>0</v>
      </c>
      <c r="H182" s="86">
        <v>0</v>
      </c>
      <c r="I182" s="113">
        <v>0</v>
      </c>
      <c r="J182" s="114">
        <f t="shared" si="16"/>
        <v>0</v>
      </c>
      <c r="K182" s="113">
        <f t="shared" si="17"/>
        <v>0</v>
      </c>
      <c r="L182" s="113">
        <v>0</v>
      </c>
      <c r="M182" s="113">
        <v>0</v>
      </c>
      <c r="N182" s="113">
        <v>0</v>
      </c>
      <c r="O182" s="113">
        <v>0</v>
      </c>
      <c r="P182" s="113">
        <v>0</v>
      </c>
    </row>
    <row r="183" spans="2:16" ht="13.9" customHeight="1" outlineLevel="1" x14ac:dyDescent="0.25">
      <c r="B183" s="149"/>
      <c r="C183" s="150" t="s">
        <v>59</v>
      </c>
      <c r="D183" s="85">
        <v>0</v>
      </c>
      <c r="E183" s="86">
        <v>0</v>
      </c>
      <c r="F183" s="142">
        <f t="shared" si="15"/>
        <v>0</v>
      </c>
      <c r="G183" s="113">
        <v>0</v>
      </c>
      <c r="H183" s="86">
        <v>0</v>
      </c>
      <c r="I183" s="113">
        <v>0</v>
      </c>
      <c r="J183" s="114">
        <f t="shared" si="16"/>
        <v>0</v>
      </c>
      <c r="K183" s="113">
        <f t="shared" si="17"/>
        <v>0</v>
      </c>
      <c r="L183" s="113">
        <v>0</v>
      </c>
      <c r="M183" s="113">
        <v>0</v>
      </c>
      <c r="N183" s="113">
        <v>0</v>
      </c>
      <c r="O183" s="113">
        <v>0</v>
      </c>
      <c r="P183" s="113">
        <v>0</v>
      </c>
    </row>
    <row r="184" spans="2:16" ht="13.9" customHeight="1" outlineLevel="1" x14ac:dyDescent="0.25">
      <c r="B184" s="149"/>
      <c r="C184" s="150" t="s">
        <v>60</v>
      </c>
      <c r="D184" s="85">
        <v>0</v>
      </c>
      <c r="E184" s="86">
        <v>0</v>
      </c>
      <c r="F184" s="142">
        <f t="shared" si="15"/>
        <v>0</v>
      </c>
      <c r="G184" s="113">
        <v>0</v>
      </c>
      <c r="H184" s="86">
        <v>0</v>
      </c>
      <c r="I184" s="113">
        <v>0</v>
      </c>
      <c r="J184" s="114">
        <f t="shared" si="16"/>
        <v>0</v>
      </c>
      <c r="K184" s="113">
        <f t="shared" si="17"/>
        <v>0</v>
      </c>
      <c r="L184" s="113">
        <v>0</v>
      </c>
      <c r="M184" s="113">
        <v>0</v>
      </c>
      <c r="N184" s="113">
        <v>0</v>
      </c>
      <c r="O184" s="113">
        <v>0</v>
      </c>
      <c r="P184" s="113">
        <v>0</v>
      </c>
    </row>
    <row r="185" spans="2:16" ht="13.9" customHeight="1" outlineLevel="1" x14ac:dyDescent="0.25">
      <c r="B185" s="149"/>
      <c r="C185" s="150" t="s">
        <v>61</v>
      </c>
      <c r="D185" s="85">
        <v>0</v>
      </c>
      <c r="E185" s="86">
        <v>0</v>
      </c>
      <c r="F185" s="142">
        <f t="shared" si="15"/>
        <v>0</v>
      </c>
      <c r="G185" s="113">
        <v>0</v>
      </c>
      <c r="H185" s="86">
        <v>0</v>
      </c>
      <c r="I185" s="113">
        <v>0</v>
      </c>
      <c r="J185" s="114">
        <f t="shared" si="16"/>
        <v>0</v>
      </c>
      <c r="K185" s="113">
        <f t="shared" si="17"/>
        <v>0</v>
      </c>
      <c r="L185" s="113">
        <v>0</v>
      </c>
      <c r="M185" s="113">
        <v>0</v>
      </c>
      <c r="N185" s="113">
        <v>0</v>
      </c>
      <c r="O185" s="113">
        <v>0</v>
      </c>
      <c r="P185" s="113">
        <v>0</v>
      </c>
    </row>
    <row r="186" spans="2:16" ht="13.9" customHeight="1" outlineLevel="1" x14ac:dyDescent="0.25">
      <c r="B186" s="149"/>
      <c r="C186" s="150" t="s">
        <v>62</v>
      </c>
      <c r="D186" s="85">
        <v>0</v>
      </c>
      <c r="E186" s="86">
        <v>0</v>
      </c>
      <c r="F186" s="142">
        <f t="shared" si="15"/>
        <v>0</v>
      </c>
      <c r="G186" s="113">
        <v>0</v>
      </c>
      <c r="H186" s="86">
        <v>0</v>
      </c>
      <c r="I186" s="113">
        <v>0</v>
      </c>
      <c r="J186" s="114">
        <f t="shared" si="16"/>
        <v>0</v>
      </c>
      <c r="K186" s="113">
        <f t="shared" si="17"/>
        <v>0</v>
      </c>
      <c r="L186" s="113">
        <v>0</v>
      </c>
      <c r="M186" s="113">
        <v>0</v>
      </c>
      <c r="N186" s="113">
        <v>0</v>
      </c>
      <c r="O186" s="113">
        <v>0</v>
      </c>
      <c r="P186" s="113">
        <v>0</v>
      </c>
    </row>
    <row r="187" spans="2:16" ht="13.9" customHeight="1" outlineLevel="1" x14ac:dyDescent="0.25">
      <c r="B187" s="149"/>
      <c r="C187" s="150" t="s">
        <v>63</v>
      </c>
      <c r="D187" s="85">
        <v>0</v>
      </c>
      <c r="E187" s="86">
        <v>0</v>
      </c>
      <c r="F187" s="142">
        <f t="shared" si="15"/>
        <v>0</v>
      </c>
      <c r="G187" s="113">
        <v>0</v>
      </c>
      <c r="H187" s="86">
        <v>0</v>
      </c>
      <c r="I187" s="113">
        <v>0</v>
      </c>
      <c r="J187" s="114">
        <f t="shared" si="16"/>
        <v>0</v>
      </c>
      <c r="K187" s="113">
        <f t="shared" si="17"/>
        <v>0</v>
      </c>
      <c r="L187" s="113">
        <v>0</v>
      </c>
      <c r="M187" s="113">
        <v>0</v>
      </c>
      <c r="N187" s="113">
        <v>0</v>
      </c>
      <c r="O187" s="113">
        <v>0</v>
      </c>
      <c r="P187" s="113">
        <v>0</v>
      </c>
    </row>
    <row r="188" spans="2:16" ht="13.9" customHeight="1" outlineLevel="1" x14ac:dyDescent="0.25">
      <c r="B188" s="149"/>
      <c r="C188" s="150" t="s">
        <v>64</v>
      </c>
      <c r="D188" s="85">
        <v>0</v>
      </c>
      <c r="E188" s="86">
        <v>0</v>
      </c>
      <c r="F188" s="142">
        <f t="shared" si="15"/>
        <v>0</v>
      </c>
      <c r="G188" s="113">
        <v>0</v>
      </c>
      <c r="H188" s="86">
        <v>0</v>
      </c>
      <c r="I188" s="113">
        <v>0</v>
      </c>
      <c r="J188" s="114">
        <f t="shared" si="16"/>
        <v>0</v>
      </c>
      <c r="K188" s="113">
        <f t="shared" si="17"/>
        <v>0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</row>
    <row r="189" spans="2:16" ht="13.9" customHeight="1" outlineLevel="1" x14ac:dyDescent="0.25">
      <c r="B189" s="149"/>
      <c r="C189" s="150" t="s">
        <v>65</v>
      </c>
      <c r="D189" s="85">
        <v>0</v>
      </c>
      <c r="E189" s="86">
        <v>0</v>
      </c>
      <c r="F189" s="142">
        <f t="shared" si="15"/>
        <v>0</v>
      </c>
      <c r="G189" s="113">
        <v>0</v>
      </c>
      <c r="H189" s="86">
        <v>0</v>
      </c>
      <c r="I189" s="113">
        <v>0</v>
      </c>
      <c r="J189" s="114">
        <f t="shared" si="16"/>
        <v>0</v>
      </c>
      <c r="K189" s="113">
        <f t="shared" si="17"/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</row>
    <row r="190" spans="2:16" ht="13.9" customHeight="1" outlineLevel="1" x14ac:dyDescent="0.25">
      <c r="B190" s="149"/>
      <c r="C190" s="150" t="s">
        <v>66</v>
      </c>
      <c r="D190" s="85">
        <v>0</v>
      </c>
      <c r="E190" s="86">
        <v>0</v>
      </c>
      <c r="F190" s="142">
        <f t="shared" si="15"/>
        <v>0</v>
      </c>
      <c r="G190" s="113">
        <v>0</v>
      </c>
      <c r="H190" s="86">
        <v>0</v>
      </c>
      <c r="I190" s="113">
        <v>0</v>
      </c>
      <c r="J190" s="114">
        <f t="shared" si="16"/>
        <v>0</v>
      </c>
      <c r="K190" s="113">
        <f t="shared" si="17"/>
        <v>0</v>
      </c>
      <c r="L190" s="113">
        <v>0</v>
      </c>
      <c r="M190" s="113">
        <v>0</v>
      </c>
      <c r="N190" s="113">
        <v>0</v>
      </c>
      <c r="O190" s="113">
        <v>0</v>
      </c>
      <c r="P190" s="113">
        <v>0</v>
      </c>
    </row>
    <row r="191" spans="2:16" ht="13.9" customHeight="1" outlineLevel="1" x14ac:dyDescent="0.25">
      <c r="B191" s="149"/>
      <c r="C191" s="150" t="s">
        <v>67</v>
      </c>
      <c r="D191" s="85">
        <v>0</v>
      </c>
      <c r="E191" s="86">
        <v>0</v>
      </c>
      <c r="F191" s="142">
        <f t="shared" si="15"/>
        <v>0</v>
      </c>
      <c r="G191" s="113">
        <v>0</v>
      </c>
      <c r="H191" s="86">
        <v>0</v>
      </c>
      <c r="I191" s="113">
        <v>0</v>
      </c>
      <c r="J191" s="114">
        <f t="shared" si="16"/>
        <v>0</v>
      </c>
      <c r="K191" s="113">
        <f t="shared" si="17"/>
        <v>0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</row>
    <row r="192" spans="2:16" ht="13.9" customHeight="1" x14ac:dyDescent="0.25">
      <c r="B192" s="149"/>
      <c r="C192" s="148" t="s">
        <v>103</v>
      </c>
      <c r="D192" s="90">
        <f>SUM(D155:D191)</f>
        <v>36</v>
      </c>
      <c r="E192" s="91">
        <f t="shared" ref="E192:P192" si="18">SUM(E155:E191)</f>
        <v>229257383</v>
      </c>
      <c r="F192" s="92">
        <f t="shared" si="18"/>
        <v>64824844.74000001</v>
      </c>
      <c r="G192" s="93">
        <f t="shared" si="18"/>
        <v>29110133.57</v>
      </c>
      <c r="H192" s="90">
        <f t="shared" si="18"/>
        <v>200147249.43000001</v>
      </c>
      <c r="I192" s="91">
        <f t="shared" si="18"/>
        <v>35714711.170000002</v>
      </c>
      <c r="J192" s="92">
        <f t="shared" si="18"/>
        <v>164432538.26000002</v>
      </c>
      <c r="K192" s="93">
        <f t="shared" si="18"/>
        <v>50143804.719999999</v>
      </c>
      <c r="L192" s="90">
        <f t="shared" si="18"/>
        <v>77941149.049999997</v>
      </c>
      <c r="M192" s="91">
        <f t="shared" si="18"/>
        <v>6219390.8600000013</v>
      </c>
      <c r="N192" s="90">
        <f t="shared" si="18"/>
        <v>3129312.4600000009</v>
      </c>
      <c r="O192" s="91">
        <f t="shared" si="18"/>
        <v>17610943.809999999</v>
      </c>
      <c r="P192" s="91">
        <f t="shared" si="18"/>
        <v>9387937.3599999994</v>
      </c>
    </row>
    <row r="193" spans="2:16" ht="13.9" customHeight="1" outlineLevel="1" x14ac:dyDescent="0.25">
      <c r="B193" s="149" t="s">
        <v>83</v>
      </c>
      <c r="C193" s="150" t="s">
        <v>70</v>
      </c>
      <c r="D193" s="85">
        <v>1</v>
      </c>
      <c r="E193" s="86">
        <v>1135721.67</v>
      </c>
      <c r="F193" s="142">
        <f t="shared" si="15"/>
        <v>454288.67000000004</v>
      </c>
      <c r="G193" s="113">
        <v>226923.23</v>
      </c>
      <c r="H193" s="86">
        <v>908798.44</v>
      </c>
      <c r="I193" s="113">
        <v>227365.44</v>
      </c>
      <c r="J193" s="114">
        <f t="shared" si="16"/>
        <v>681433</v>
      </c>
      <c r="K193" s="113">
        <f t="shared" si="17"/>
        <v>113572.16000000003</v>
      </c>
      <c r="L193" s="113">
        <v>567860.84</v>
      </c>
      <c r="M193" s="113">
        <v>0</v>
      </c>
      <c r="N193" s="113">
        <v>0</v>
      </c>
      <c r="O193" s="113">
        <v>0</v>
      </c>
      <c r="P193" s="113">
        <v>0</v>
      </c>
    </row>
    <row r="194" spans="2:16" ht="13.9" customHeight="1" outlineLevel="1" x14ac:dyDescent="0.25">
      <c r="B194" s="149"/>
      <c r="C194" s="150" t="s">
        <v>71</v>
      </c>
      <c r="D194" s="85">
        <v>2</v>
      </c>
      <c r="E194" s="86">
        <v>22279422</v>
      </c>
      <c r="F194" s="142">
        <f t="shared" si="15"/>
        <v>8911768.8000000007</v>
      </c>
      <c r="G194" s="113">
        <v>4455884.34</v>
      </c>
      <c r="H194" s="86">
        <v>17823537.66</v>
      </c>
      <c r="I194" s="113">
        <v>4455884.46</v>
      </c>
      <c r="J194" s="114">
        <f t="shared" si="16"/>
        <v>13367653.199999999</v>
      </c>
      <c r="K194" s="113">
        <f t="shared" si="17"/>
        <v>0</v>
      </c>
      <c r="L194" s="113">
        <v>13367653.199999999</v>
      </c>
      <c r="M194" s="113">
        <v>0</v>
      </c>
      <c r="N194" s="113">
        <v>0</v>
      </c>
      <c r="O194" s="113">
        <v>0</v>
      </c>
      <c r="P194" s="113">
        <v>0</v>
      </c>
    </row>
    <row r="195" spans="2:16" ht="13.9" customHeight="1" outlineLevel="1" x14ac:dyDescent="0.25">
      <c r="B195" s="149"/>
      <c r="C195" s="150" t="s">
        <v>72</v>
      </c>
      <c r="D195" s="85">
        <v>0</v>
      </c>
      <c r="E195" s="86">
        <v>0</v>
      </c>
      <c r="F195" s="142">
        <f t="shared" si="15"/>
        <v>0</v>
      </c>
      <c r="G195" s="113">
        <v>0</v>
      </c>
      <c r="H195" s="86">
        <v>0</v>
      </c>
      <c r="I195" s="113">
        <v>0</v>
      </c>
      <c r="J195" s="114">
        <f t="shared" si="16"/>
        <v>0</v>
      </c>
      <c r="K195" s="113">
        <f t="shared" si="17"/>
        <v>0</v>
      </c>
      <c r="L195" s="113">
        <v>0</v>
      </c>
      <c r="M195" s="113">
        <v>0</v>
      </c>
      <c r="N195" s="113">
        <v>0</v>
      </c>
      <c r="O195" s="113">
        <v>0</v>
      </c>
      <c r="P195" s="113">
        <v>0</v>
      </c>
    </row>
    <row r="196" spans="2:16" ht="13.9" customHeight="1" x14ac:dyDescent="0.25">
      <c r="B196" s="149"/>
      <c r="C196" s="148" t="s">
        <v>104</v>
      </c>
      <c r="D196" s="90">
        <f>SUM(D193:D195)</f>
        <v>3</v>
      </c>
      <c r="E196" s="91">
        <f t="shared" ref="E196:P196" si="19">SUM(E193:E195)</f>
        <v>23415143.670000002</v>
      </c>
      <c r="F196" s="92">
        <f t="shared" si="19"/>
        <v>9366057.4700000007</v>
      </c>
      <c r="G196" s="93">
        <f t="shared" si="19"/>
        <v>4682807.57</v>
      </c>
      <c r="H196" s="90">
        <f t="shared" si="19"/>
        <v>18732336.100000001</v>
      </c>
      <c r="I196" s="91">
        <f t="shared" si="19"/>
        <v>4683249.9000000004</v>
      </c>
      <c r="J196" s="92">
        <f t="shared" si="19"/>
        <v>14049086.199999999</v>
      </c>
      <c r="K196" s="93">
        <f t="shared" si="19"/>
        <v>113572.16000000003</v>
      </c>
      <c r="L196" s="90">
        <f t="shared" si="19"/>
        <v>13935514.039999999</v>
      </c>
      <c r="M196" s="91">
        <f t="shared" si="19"/>
        <v>0</v>
      </c>
      <c r="N196" s="90">
        <f t="shared" si="19"/>
        <v>0</v>
      </c>
      <c r="O196" s="91">
        <f t="shared" si="19"/>
        <v>0</v>
      </c>
      <c r="P196" s="91">
        <f t="shared" si="19"/>
        <v>0</v>
      </c>
    </row>
    <row r="197" spans="2:16" ht="13.9" customHeight="1" outlineLevel="1" x14ac:dyDescent="0.25">
      <c r="B197" s="149" t="s">
        <v>105</v>
      </c>
      <c r="C197" s="150" t="s">
        <v>75</v>
      </c>
      <c r="D197" s="85">
        <v>0</v>
      </c>
      <c r="E197" s="86">
        <v>0</v>
      </c>
      <c r="F197" s="142">
        <f t="shared" si="15"/>
        <v>0</v>
      </c>
      <c r="G197" s="113">
        <v>0</v>
      </c>
      <c r="H197" s="86">
        <v>0</v>
      </c>
      <c r="I197" s="113">
        <v>0</v>
      </c>
      <c r="J197" s="114">
        <f t="shared" si="16"/>
        <v>0</v>
      </c>
      <c r="K197" s="113">
        <f t="shared" si="17"/>
        <v>0</v>
      </c>
      <c r="L197" s="113">
        <v>0</v>
      </c>
      <c r="M197" s="113">
        <v>0</v>
      </c>
      <c r="N197" s="113">
        <v>0</v>
      </c>
      <c r="O197" s="113">
        <v>0</v>
      </c>
      <c r="P197" s="113">
        <v>0</v>
      </c>
    </row>
    <row r="198" spans="2:16" ht="13.9" customHeight="1" outlineLevel="1" x14ac:dyDescent="0.25">
      <c r="B198" s="149"/>
      <c r="C198" s="150" t="s">
        <v>76</v>
      </c>
      <c r="D198" s="85">
        <v>0</v>
      </c>
      <c r="E198" s="86">
        <v>0</v>
      </c>
      <c r="F198" s="142">
        <f t="shared" si="15"/>
        <v>0</v>
      </c>
      <c r="G198" s="113">
        <v>0</v>
      </c>
      <c r="H198" s="86">
        <v>0</v>
      </c>
      <c r="I198" s="113">
        <v>0</v>
      </c>
      <c r="J198" s="114">
        <f t="shared" si="16"/>
        <v>0</v>
      </c>
      <c r="K198" s="113">
        <f t="shared" si="17"/>
        <v>0</v>
      </c>
      <c r="L198" s="113">
        <v>0</v>
      </c>
      <c r="M198" s="113">
        <v>0</v>
      </c>
      <c r="N198" s="113">
        <v>0</v>
      </c>
      <c r="O198" s="113">
        <v>0</v>
      </c>
      <c r="P198" s="113">
        <v>0</v>
      </c>
    </row>
    <row r="199" spans="2:16" ht="13.9" customHeight="1" x14ac:dyDescent="0.25">
      <c r="B199" s="149"/>
      <c r="C199" s="148" t="s">
        <v>106</v>
      </c>
      <c r="D199" s="90">
        <f>SUM(D197:D198)</f>
        <v>0</v>
      </c>
      <c r="E199" s="91">
        <f t="shared" ref="E199:P199" si="20">SUM(E197:E198)</f>
        <v>0</v>
      </c>
      <c r="F199" s="92">
        <f t="shared" si="20"/>
        <v>0</v>
      </c>
      <c r="G199" s="93">
        <f t="shared" si="20"/>
        <v>0</v>
      </c>
      <c r="H199" s="90">
        <f t="shared" si="20"/>
        <v>0</v>
      </c>
      <c r="I199" s="91">
        <f t="shared" si="20"/>
        <v>0</v>
      </c>
      <c r="J199" s="92">
        <f t="shared" si="20"/>
        <v>0</v>
      </c>
      <c r="K199" s="93">
        <f t="shared" si="20"/>
        <v>0</v>
      </c>
      <c r="L199" s="90">
        <f t="shared" si="20"/>
        <v>0</v>
      </c>
      <c r="M199" s="91">
        <f t="shared" si="20"/>
        <v>0</v>
      </c>
      <c r="N199" s="90">
        <f t="shared" si="20"/>
        <v>0</v>
      </c>
      <c r="O199" s="91">
        <f t="shared" si="20"/>
        <v>0</v>
      </c>
      <c r="P199" s="91">
        <f t="shared" si="20"/>
        <v>0</v>
      </c>
    </row>
    <row r="200" spans="2:16" ht="13.9" customHeight="1" x14ac:dyDescent="0.25">
      <c r="B200" s="155" t="s">
        <v>78</v>
      </c>
      <c r="C200" s="155"/>
      <c r="D200" s="90">
        <f>D192+D196+D199</f>
        <v>39</v>
      </c>
      <c r="E200" s="91">
        <f t="shared" ref="E200:P200" si="21">E192+E196+E199</f>
        <v>252672526.67000002</v>
      </c>
      <c r="F200" s="92">
        <f t="shared" si="21"/>
        <v>74190902.210000008</v>
      </c>
      <c r="G200" s="93">
        <f t="shared" si="21"/>
        <v>33792941.140000001</v>
      </c>
      <c r="H200" s="90">
        <f t="shared" si="21"/>
        <v>218879585.53</v>
      </c>
      <c r="I200" s="91">
        <f t="shared" si="21"/>
        <v>40397961.07</v>
      </c>
      <c r="J200" s="92">
        <f t="shared" si="21"/>
        <v>178481624.46000001</v>
      </c>
      <c r="K200" s="93">
        <f t="shared" si="21"/>
        <v>50257376.879999995</v>
      </c>
      <c r="L200" s="90">
        <f t="shared" si="21"/>
        <v>91876663.090000004</v>
      </c>
      <c r="M200" s="91">
        <f t="shared" si="21"/>
        <v>6219390.8600000013</v>
      </c>
      <c r="N200" s="90">
        <f t="shared" si="21"/>
        <v>3129312.4600000009</v>
      </c>
      <c r="O200" s="91">
        <f t="shared" si="21"/>
        <v>17610943.809999999</v>
      </c>
      <c r="P200" s="91">
        <f t="shared" si="21"/>
        <v>9387937.3599999994</v>
      </c>
    </row>
    <row r="201" spans="2:16" ht="13.9" customHeight="1" x14ac:dyDescent="0.25"/>
    <row r="202" spans="2:16" ht="13.9" customHeight="1" x14ac:dyDescent="0.25"/>
    <row r="203" spans="2:16" ht="13.9" customHeight="1" x14ac:dyDescent="0.25">
      <c r="B203" s="107" t="s">
        <v>89</v>
      </c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</row>
    <row r="204" spans="2:16" ht="13.9" customHeight="1" x14ac:dyDescent="0.25">
      <c r="B204" s="154" t="s">
        <v>26</v>
      </c>
      <c r="C204" s="148" t="s">
        <v>27</v>
      </c>
      <c r="D204" s="109" t="s">
        <v>28</v>
      </c>
      <c r="E204" s="110" t="s">
        <v>29</v>
      </c>
      <c r="F204" s="111" t="s">
        <v>85</v>
      </c>
      <c r="G204" s="112" t="s">
        <v>81</v>
      </c>
      <c r="H204" s="110" t="s">
        <v>82</v>
      </c>
      <c r="I204" s="112" t="s">
        <v>86</v>
      </c>
      <c r="J204" s="110" t="s">
        <v>87</v>
      </c>
      <c r="K204" s="112">
        <v>2026</v>
      </c>
      <c r="L204" s="112">
        <v>2027</v>
      </c>
      <c r="M204" s="110">
        <v>2028</v>
      </c>
      <c r="N204" s="112">
        <v>2029</v>
      </c>
      <c r="O204" s="110">
        <v>2030</v>
      </c>
      <c r="P204" s="112">
        <v>2031</v>
      </c>
    </row>
    <row r="205" spans="2:16" ht="13.9" customHeight="1" outlineLevel="1" x14ac:dyDescent="0.25">
      <c r="B205" s="149" t="s">
        <v>30</v>
      </c>
      <c r="C205" s="150" t="s">
        <v>31</v>
      </c>
      <c r="D205" s="85">
        <v>0</v>
      </c>
      <c r="E205" s="86">
        <v>0</v>
      </c>
      <c r="F205" s="142">
        <f t="shared" ref="F205:F248" si="22">G205+I205</f>
        <v>0</v>
      </c>
      <c r="G205" s="113">
        <v>0</v>
      </c>
      <c r="H205" s="86">
        <v>0</v>
      </c>
      <c r="I205" s="113">
        <v>0</v>
      </c>
      <c r="J205" s="114">
        <f t="shared" ref="J205:J248" si="23">H205-I205</f>
        <v>0</v>
      </c>
      <c r="K205" s="113">
        <f t="shared" ref="K205:K248" si="24">MAX(J205-SUM(L205:P205),0)</f>
        <v>0</v>
      </c>
      <c r="L205" s="113">
        <v>0</v>
      </c>
      <c r="M205" s="113">
        <v>0</v>
      </c>
      <c r="N205" s="113">
        <v>0</v>
      </c>
      <c r="O205" s="113">
        <v>0</v>
      </c>
      <c r="P205" s="113">
        <v>0</v>
      </c>
    </row>
    <row r="206" spans="2:16" ht="13.9" customHeight="1" outlineLevel="1" x14ac:dyDescent="0.25">
      <c r="B206" s="149"/>
      <c r="C206" s="150" t="s">
        <v>32</v>
      </c>
      <c r="D206" s="85">
        <v>0</v>
      </c>
      <c r="E206" s="86">
        <v>0</v>
      </c>
      <c r="F206" s="142">
        <f t="shared" si="22"/>
        <v>0</v>
      </c>
      <c r="G206" s="113">
        <v>0</v>
      </c>
      <c r="H206" s="86">
        <v>0</v>
      </c>
      <c r="I206" s="113">
        <v>0</v>
      </c>
      <c r="J206" s="114">
        <f t="shared" si="23"/>
        <v>0</v>
      </c>
      <c r="K206" s="113">
        <f t="shared" si="24"/>
        <v>0</v>
      </c>
      <c r="L206" s="113">
        <v>0</v>
      </c>
      <c r="M206" s="113">
        <v>0</v>
      </c>
      <c r="N206" s="113">
        <v>0</v>
      </c>
      <c r="O206" s="113">
        <v>0</v>
      </c>
      <c r="P206" s="113">
        <v>0</v>
      </c>
    </row>
    <row r="207" spans="2:16" ht="13.9" customHeight="1" outlineLevel="1" x14ac:dyDescent="0.25">
      <c r="B207" s="149"/>
      <c r="C207" s="150" t="s">
        <v>33</v>
      </c>
      <c r="D207" s="85">
        <v>0</v>
      </c>
      <c r="E207" s="86">
        <v>0</v>
      </c>
      <c r="F207" s="142">
        <f t="shared" si="22"/>
        <v>0</v>
      </c>
      <c r="G207" s="113">
        <v>0</v>
      </c>
      <c r="H207" s="86">
        <v>0</v>
      </c>
      <c r="I207" s="113">
        <v>0</v>
      </c>
      <c r="J207" s="114">
        <f t="shared" si="23"/>
        <v>0</v>
      </c>
      <c r="K207" s="113">
        <f t="shared" si="24"/>
        <v>0</v>
      </c>
      <c r="L207" s="113">
        <v>0</v>
      </c>
      <c r="M207" s="113">
        <v>0</v>
      </c>
      <c r="N207" s="113">
        <v>0</v>
      </c>
      <c r="O207" s="113">
        <v>0</v>
      </c>
      <c r="P207" s="113">
        <v>0</v>
      </c>
    </row>
    <row r="208" spans="2:16" ht="13.9" customHeight="1" outlineLevel="1" x14ac:dyDescent="0.25">
      <c r="B208" s="149"/>
      <c r="C208" s="150" t="s">
        <v>34</v>
      </c>
      <c r="D208" s="85">
        <v>0</v>
      </c>
      <c r="E208" s="86">
        <v>0</v>
      </c>
      <c r="F208" s="142">
        <f t="shared" si="22"/>
        <v>0</v>
      </c>
      <c r="G208" s="113">
        <v>0</v>
      </c>
      <c r="H208" s="86">
        <v>0</v>
      </c>
      <c r="I208" s="113">
        <v>0</v>
      </c>
      <c r="J208" s="114">
        <f t="shared" si="23"/>
        <v>0</v>
      </c>
      <c r="K208" s="113">
        <f t="shared" si="24"/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</row>
    <row r="209" spans="2:16" ht="13.9" customHeight="1" outlineLevel="1" x14ac:dyDescent="0.25">
      <c r="B209" s="149"/>
      <c r="C209" s="150" t="s">
        <v>35</v>
      </c>
      <c r="D209" s="85">
        <v>0</v>
      </c>
      <c r="E209" s="86">
        <v>0</v>
      </c>
      <c r="F209" s="142">
        <f t="shared" si="22"/>
        <v>0</v>
      </c>
      <c r="G209" s="113">
        <v>0</v>
      </c>
      <c r="H209" s="86">
        <v>0</v>
      </c>
      <c r="I209" s="113">
        <v>0</v>
      </c>
      <c r="J209" s="114">
        <f t="shared" si="23"/>
        <v>0</v>
      </c>
      <c r="K209" s="113">
        <f t="shared" si="24"/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</row>
    <row r="210" spans="2:16" ht="13.9" customHeight="1" outlineLevel="1" x14ac:dyDescent="0.25">
      <c r="B210" s="149"/>
      <c r="C210" s="150" t="s">
        <v>36</v>
      </c>
      <c r="D210" s="85">
        <v>1</v>
      </c>
      <c r="E210" s="86">
        <v>14386180</v>
      </c>
      <c r="F210" s="142">
        <f t="shared" si="22"/>
        <v>4315854</v>
      </c>
      <c r="G210" s="113">
        <v>4315854</v>
      </c>
      <c r="H210" s="86">
        <v>10070326</v>
      </c>
      <c r="I210" s="113">
        <v>0</v>
      </c>
      <c r="J210" s="114">
        <f t="shared" si="23"/>
        <v>10070326</v>
      </c>
      <c r="K210" s="113">
        <f t="shared" si="24"/>
        <v>1438618</v>
      </c>
      <c r="L210" s="113">
        <v>8631708</v>
      </c>
      <c r="M210" s="113">
        <v>0</v>
      </c>
      <c r="N210" s="113">
        <v>0</v>
      </c>
      <c r="O210" s="113">
        <v>0</v>
      </c>
      <c r="P210" s="113">
        <v>0</v>
      </c>
    </row>
    <row r="211" spans="2:16" ht="13.9" customHeight="1" outlineLevel="1" x14ac:dyDescent="0.25">
      <c r="B211" s="149"/>
      <c r="C211" s="150" t="s">
        <v>37</v>
      </c>
      <c r="D211" s="85">
        <v>0</v>
      </c>
      <c r="E211" s="86">
        <v>0</v>
      </c>
      <c r="F211" s="142">
        <f t="shared" si="22"/>
        <v>0</v>
      </c>
      <c r="G211" s="113">
        <v>0</v>
      </c>
      <c r="H211" s="86">
        <v>0</v>
      </c>
      <c r="I211" s="113">
        <v>0</v>
      </c>
      <c r="J211" s="114">
        <f t="shared" si="23"/>
        <v>0</v>
      </c>
      <c r="K211" s="113">
        <f t="shared" si="24"/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</row>
    <row r="212" spans="2:16" ht="13.9" customHeight="1" outlineLevel="1" x14ac:dyDescent="0.25">
      <c r="B212" s="149"/>
      <c r="C212" s="150" t="s">
        <v>38</v>
      </c>
      <c r="D212" s="85">
        <v>0</v>
      </c>
      <c r="E212" s="86">
        <v>0</v>
      </c>
      <c r="F212" s="142">
        <f t="shared" si="22"/>
        <v>0</v>
      </c>
      <c r="G212" s="113">
        <v>0</v>
      </c>
      <c r="H212" s="86">
        <v>0</v>
      </c>
      <c r="I212" s="113">
        <v>0</v>
      </c>
      <c r="J212" s="114">
        <f t="shared" si="23"/>
        <v>0</v>
      </c>
      <c r="K212" s="113">
        <f t="shared" si="24"/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</row>
    <row r="213" spans="2:16" ht="13.9" customHeight="1" outlineLevel="1" x14ac:dyDescent="0.25">
      <c r="B213" s="149"/>
      <c r="C213" s="150" t="s">
        <v>39</v>
      </c>
      <c r="D213" s="85">
        <v>0</v>
      </c>
      <c r="E213" s="86">
        <v>0</v>
      </c>
      <c r="F213" s="142">
        <f t="shared" si="22"/>
        <v>0</v>
      </c>
      <c r="G213" s="113">
        <v>0</v>
      </c>
      <c r="H213" s="86">
        <v>0</v>
      </c>
      <c r="I213" s="113">
        <v>0</v>
      </c>
      <c r="J213" s="114">
        <f t="shared" si="23"/>
        <v>0</v>
      </c>
      <c r="K213" s="113">
        <f t="shared" si="24"/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</row>
    <row r="214" spans="2:16" ht="13.9" customHeight="1" outlineLevel="1" x14ac:dyDescent="0.25">
      <c r="B214" s="149"/>
      <c r="C214" s="150" t="s">
        <v>40</v>
      </c>
      <c r="D214" s="85">
        <v>2</v>
      </c>
      <c r="E214" s="86">
        <v>53629705</v>
      </c>
      <c r="F214" s="142">
        <f t="shared" si="22"/>
        <v>13376557.5</v>
      </c>
      <c r="G214" s="113">
        <v>13376557.5</v>
      </c>
      <c r="H214" s="86">
        <v>40253147.5</v>
      </c>
      <c r="I214" s="113">
        <v>0</v>
      </c>
      <c r="J214" s="114">
        <f t="shared" si="23"/>
        <v>40253147.5</v>
      </c>
      <c r="K214" s="113">
        <f t="shared" si="24"/>
        <v>13438295</v>
      </c>
      <c r="L214" s="113">
        <v>26814852.5</v>
      </c>
      <c r="M214" s="113">
        <v>0</v>
      </c>
      <c r="N214" s="113">
        <v>0</v>
      </c>
      <c r="O214" s="113">
        <v>0</v>
      </c>
      <c r="P214" s="113">
        <v>0</v>
      </c>
    </row>
    <row r="215" spans="2:16" ht="13.9" customHeight="1" outlineLevel="1" x14ac:dyDescent="0.25">
      <c r="B215" s="149"/>
      <c r="C215" s="150" t="s">
        <v>41</v>
      </c>
      <c r="D215" s="85">
        <v>0</v>
      </c>
      <c r="E215" s="86">
        <v>0</v>
      </c>
      <c r="F215" s="142">
        <f t="shared" si="22"/>
        <v>0</v>
      </c>
      <c r="G215" s="113">
        <v>0</v>
      </c>
      <c r="H215" s="86">
        <v>0</v>
      </c>
      <c r="I215" s="113">
        <v>0</v>
      </c>
      <c r="J215" s="114">
        <f t="shared" si="23"/>
        <v>0</v>
      </c>
      <c r="K215" s="113">
        <f t="shared" si="24"/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</row>
    <row r="216" spans="2:16" ht="13.9" customHeight="1" outlineLevel="1" x14ac:dyDescent="0.25">
      <c r="B216" s="149"/>
      <c r="C216" s="150" t="s">
        <v>42</v>
      </c>
      <c r="D216" s="85">
        <v>0</v>
      </c>
      <c r="E216" s="86">
        <v>0</v>
      </c>
      <c r="F216" s="142">
        <f t="shared" si="22"/>
        <v>0</v>
      </c>
      <c r="G216" s="113">
        <v>0</v>
      </c>
      <c r="H216" s="86">
        <v>0</v>
      </c>
      <c r="I216" s="113">
        <v>0</v>
      </c>
      <c r="J216" s="114">
        <f t="shared" si="23"/>
        <v>0</v>
      </c>
      <c r="K216" s="113">
        <f t="shared" si="24"/>
        <v>0</v>
      </c>
      <c r="L216" s="113">
        <v>0</v>
      </c>
      <c r="M216" s="113">
        <v>0</v>
      </c>
      <c r="N216" s="113">
        <v>0</v>
      </c>
      <c r="O216" s="113">
        <v>0</v>
      </c>
      <c r="P216" s="113">
        <v>0</v>
      </c>
    </row>
    <row r="217" spans="2:16" ht="13.9" customHeight="1" outlineLevel="1" x14ac:dyDescent="0.25">
      <c r="B217" s="149"/>
      <c r="C217" s="150" t="s">
        <v>43</v>
      </c>
      <c r="D217" s="85">
        <v>3</v>
      </c>
      <c r="E217" s="86">
        <v>73744340</v>
      </c>
      <c r="F217" s="142">
        <f t="shared" si="22"/>
        <v>23798167</v>
      </c>
      <c r="G217" s="113">
        <v>15457580.109999999</v>
      </c>
      <c r="H217" s="86">
        <v>58286759.890000001</v>
      </c>
      <c r="I217" s="113">
        <v>8340586.8899999997</v>
      </c>
      <c r="J217" s="114">
        <f t="shared" si="23"/>
        <v>49946173</v>
      </c>
      <c r="K217" s="113">
        <f t="shared" si="24"/>
        <v>12065294</v>
      </c>
      <c r="L217" s="113">
        <v>37880879</v>
      </c>
      <c r="M217" s="113">
        <v>0</v>
      </c>
      <c r="N217" s="113">
        <v>0</v>
      </c>
      <c r="O217" s="113">
        <v>0</v>
      </c>
      <c r="P217" s="113">
        <v>0</v>
      </c>
    </row>
    <row r="218" spans="2:16" ht="13.9" customHeight="1" outlineLevel="1" x14ac:dyDescent="0.25">
      <c r="B218" s="149"/>
      <c r="C218" s="150" t="s">
        <v>44</v>
      </c>
      <c r="D218" s="85">
        <v>8</v>
      </c>
      <c r="E218" s="86">
        <v>28717628</v>
      </c>
      <c r="F218" s="142">
        <f t="shared" si="22"/>
        <v>8615288.5399999991</v>
      </c>
      <c r="G218" s="113">
        <v>7853652.4699999997</v>
      </c>
      <c r="H218" s="86">
        <v>20863975.530000001</v>
      </c>
      <c r="I218" s="113">
        <v>761636.07000000018</v>
      </c>
      <c r="J218" s="114">
        <f t="shared" si="23"/>
        <v>20102339.460000001</v>
      </c>
      <c r="K218" s="113">
        <f t="shared" si="24"/>
        <v>2871762.6400000006</v>
      </c>
      <c r="L218" s="113">
        <v>5743525.6200000001</v>
      </c>
      <c r="M218" s="113">
        <v>11487051.200000001</v>
      </c>
      <c r="N218" s="113">
        <v>0</v>
      </c>
      <c r="O218" s="113">
        <v>0</v>
      </c>
      <c r="P218" s="113">
        <v>0</v>
      </c>
    </row>
    <row r="219" spans="2:16" ht="13.9" customHeight="1" outlineLevel="1" x14ac:dyDescent="0.25">
      <c r="B219" s="149"/>
      <c r="C219" s="150" t="s">
        <v>45</v>
      </c>
      <c r="D219" s="85">
        <v>0</v>
      </c>
      <c r="E219" s="86">
        <v>0</v>
      </c>
      <c r="F219" s="142">
        <f t="shared" si="22"/>
        <v>0</v>
      </c>
      <c r="G219" s="113">
        <v>0</v>
      </c>
      <c r="H219" s="86">
        <v>0</v>
      </c>
      <c r="I219" s="113">
        <v>0</v>
      </c>
      <c r="J219" s="114">
        <f t="shared" si="23"/>
        <v>0</v>
      </c>
      <c r="K219" s="113">
        <f t="shared" si="24"/>
        <v>0</v>
      </c>
      <c r="L219" s="113">
        <v>0</v>
      </c>
      <c r="M219" s="113">
        <v>0</v>
      </c>
      <c r="N219" s="113">
        <v>0</v>
      </c>
      <c r="O219" s="113">
        <v>0</v>
      </c>
      <c r="P219" s="113">
        <v>0</v>
      </c>
    </row>
    <row r="220" spans="2:16" ht="13.9" customHeight="1" outlineLevel="1" x14ac:dyDescent="0.25">
      <c r="B220" s="149"/>
      <c r="C220" s="150" t="s">
        <v>46</v>
      </c>
      <c r="D220" s="85">
        <v>0</v>
      </c>
      <c r="E220" s="86">
        <v>0</v>
      </c>
      <c r="F220" s="142">
        <f t="shared" si="22"/>
        <v>0</v>
      </c>
      <c r="G220" s="113">
        <v>0</v>
      </c>
      <c r="H220" s="86">
        <v>0</v>
      </c>
      <c r="I220" s="113">
        <v>0</v>
      </c>
      <c r="J220" s="114">
        <f t="shared" si="23"/>
        <v>0</v>
      </c>
      <c r="K220" s="113">
        <f t="shared" si="24"/>
        <v>0</v>
      </c>
      <c r="L220" s="113">
        <v>0</v>
      </c>
      <c r="M220" s="113">
        <v>0</v>
      </c>
      <c r="N220" s="113">
        <v>0</v>
      </c>
      <c r="O220" s="113">
        <v>0</v>
      </c>
      <c r="P220" s="113">
        <v>0</v>
      </c>
    </row>
    <row r="221" spans="2:16" ht="13.9" customHeight="1" outlineLevel="1" x14ac:dyDescent="0.25">
      <c r="B221" s="149"/>
      <c r="C221" s="150" t="s">
        <v>47</v>
      </c>
      <c r="D221" s="85">
        <v>1</v>
      </c>
      <c r="E221" s="86">
        <v>5584364.7999999998</v>
      </c>
      <c r="F221" s="142">
        <f t="shared" si="22"/>
        <v>1256482.08</v>
      </c>
      <c r="G221" s="113">
        <v>1118395.6000000001</v>
      </c>
      <c r="H221" s="86">
        <v>4465969.1999999993</v>
      </c>
      <c r="I221" s="113">
        <v>138086.48000000001</v>
      </c>
      <c r="J221" s="114">
        <f t="shared" si="23"/>
        <v>4327882.7199999988</v>
      </c>
      <c r="K221" s="113">
        <f t="shared" si="24"/>
        <v>4327882.7199999988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</row>
    <row r="222" spans="2:16" ht="13.9" customHeight="1" outlineLevel="1" x14ac:dyDescent="0.25">
      <c r="B222" s="149"/>
      <c r="C222" s="150" t="s">
        <v>48</v>
      </c>
      <c r="D222" s="85">
        <v>0</v>
      </c>
      <c r="E222" s="86">
        <v>0</v>
      </c>
      <c r="F222" s="142">
        <f t="shared" si="22"/>
        <v>0</v>
      </c>
      <c r="G222" s="113">
        <v>0</v>
      </c>
      <c r="H222" s="86">
        <v>0</v>
      </c>
      <c r="I222" s="113">
        <v>0</v>
      </c>
      <c r="J222" s="114">
        <f t="shared" si="23"/>
        <v>0</v>
      </c>
      <c r="K222" s="113">
        <f t="shared" si="24"/>
        <v>0</v>
      </c>
      <c r="L222" s="113">
        <v>0</v>
      </c>
      <c r="M222" s="113">
        <v>0</v>
      </c>
      <c r="N222" s="113">
        <v>0</v>
      </c>
      <c r="O222" s="113">
        <v>0</v>
      </c>
      <c r="P222" s="113">
        <v>0</v>
      </c>
    </row>
    <row r="223" spans="2:16" ht="13.9" customHeight="1" outlineLevel="1" x14ac:dyDescent="0.25">
      <c r="B223" s="149"/>
      <c r="C223" s="150" t="s">
        <v>49</v>
      </c>
      <c r="D223" s="85">
        <v>0</v>
      </c>
      <c r="E223" s="86">
        <v>0</v>
      </c>
      <c r="F223" s="142">
        <f t="shared" si="22"/>
        <v>0</v>
      </c>
      <c r="G223" s="113">
        <v>0</v>
      </c>
      <c r="H223" s="86">
        <v>0</v>
      </c>
      <c r="I223" s="113">
        <v>0</v>
      </c>
      <c r="J223" s="114">
        <f t="shared" si="23"/>
        <v>0</v>
      </c>
      <c r="K223" s="113">
        <f t="shared" si="24"/>
        <v>0</v>
      </c>
      <c r="L223" s="113">
        <v>0</v>
      </c>
      <c r="M223" s="113">
        <v>0</v>
      </c>
      <c r="N223" s="113">
        <v>0</v>
      </c>
      <c r="O223" s="113">
        <v>0</v>
      </c>
      <c r="P223" s="113">
        <v>0</v>
      </c>
    </row>
    <row r="224" spans="2:16" ht="13.9" customHeight="1" outlineLevel="1" x14ac:dyDescent="0.25">
      <c r="B224" s="149"/>
      <c r="C224" s="150" t="s">
        <v>50</v>
      </c>
      <c r="D224" s="85">
        <v>0</v>
      </c>
      <c r="E224" s="86">
        <v>0</v>
      </c>
      <c r="F224" s="142">
        <f t="shared" si="22"/>
        <v>0</v>
      </c>
      <c r="G224" s="113">
        <v>0</v>
      </c>
      <c r="H224" s="86">
        <v>0</v>
      </c>
      <c r="I224" s="113">
        <v>0</v>
      </c>
      <c r="J224" s="114">
        <f t="shared" si="23"/>
        <v>0</v>
      </c>
      <c r="K224" s="113">
        <f t="shared" si="24"/>
        <v>0</v>
      </c>
      <c r="L224" s="113">
        <v>0</v>
      </c>
      <c r="M224" s="113">
        <v>0</v>
      </c>
      <c r="N224" s="113">
        <v>0</v>
      </c>
      <c r="O224" s="113">
        <v>0</v>
      </c>
      <c r="P224" s="113">
        <v>0</v>
      </c>
    </row>
    <row r="225" spans="2:16" ht="13.9" customHeight="1" outlineLevel="1" x14ac:dyDescent="0.25">
      <c r="B225" s="149"/>
      <c r="C225" s="150" t="s">
        <v>51</v>
      </c>
      <c r="D225" s="85">
        <v>0</v>
      </c>
      <c r="E225" s="86">
        <v>0</v>
      </c>
      <c r="F225" s="142">
        <f t="shared" si="22"/>
        <v>0</v>
      </c>
      <c r="G225" s="113">
        <v>0</v>
      </c>
      <c r="H225" s="86">
        <v>0</v>
      </c>
      <c r="I225" s="113">
        <v>0</v>
      </c>
      <c r="J225" s="114">
        <f t="shared" si="23"/>
        <v>0</v>
      </c>
      <c r="K225" s="113">
        <f t="shared" si="24"/>
        <v>0</v>
      </c>
      <c r="L225" s="113">
        <v>0</v>
      </c>
      <c r="M225" s="113">
        <v>0</v>
      </c>
      <c r="N225" s="113">
        <v>0</v>
      </c>
      <c r="O225" s="113">
        <v>0</v>
      </c>
      <c r="P225" s="113">
        <v>0</v>
      </c>
    </row>
    <row r="226" spans="2:16" ht="13.9" customHeight="1" outlineLevel="1" x14ac:dyDescent="0.25">
      <c r="B226" s="149"/>
      <c r="C226" s="150" t="s">
        <v>52</v>
      </c>
      <c r="D226" s="85">
        <v>0</v>
      </c>
      <c r="E226" s="86">
        <v>0</v>
      </c>
      <c r="F226" s="142">
        <f t="shared" si="22"/>
        <v>0</v>
      </c>
      <c r="G226" s="113">
        <v>0</v>
      </c>
      <c r="H226" s="86">
        <v>0</v>
      </c>
      <c r="I226" s="113">
        <v>0</v>
      </c>
      <c r="J226" s="114">
        <f t="shared" si="23"/>
        <v>0</v>
      </c>
      <c r="K226" s="113">
        <f t="shared" si="24"/>
        <v>0</v>
      </c>
      <c r="L226" s="113">
        <v>0</v>
      </c>
      <c r="M226" s="113">
        <v>0</v>
      </c>
      <c r="N226" s="113">
        <v>0</v>
      </c>
      <c r="O226" s="113">
        <v>0</v>
      </c>
      <c r="P226" s="113">
        <v>0</v>
      </c>
    </row>
    <row r="227" spans="2:16" ht="13.9" customHeight="1" outlineLevel="1" x14ac:dyDescent="0.25">
      <c r="B227" s="149"/>
      <c r="C227" s="150" t="s">
        <v>53</v>
      </c>
      <c r="D227" s="85">
        <v>0</v>
      </c>
      <c r="E227" s="86">
        <v>0</v>
      </c>
      <c r="F227" s="142">
        <f t="shared" si="22"/>
        <v>0</v>
      </c>
      <c r="G227" s="113">
        <v>0</v>
      </c>
      <c r="H227" s="86">
        <v>0</v>
      </c>
      <c r="I227" s="113">
        <v>0</v>
      </c>
      <c r="J227" s="114">
        <f t="shared" si="23"/>
        <v>0</v>
      </c>
      <c r="K227" s="113">
        <f t="shared" si="24"/>
        <v>0</v>
      </c>
      <c r="L227" s="113">
        <v>0</v>
      </c>
      <c r="M227" s="113">
        <v>0</v>
      </c>
      <c r="N227" s="113">
        <v>0</v>
      </c>
      <c r="O227" s="113">
        <v>0</v>
      </c>
      <c r="P227" s="113">
        <v>0</v>
      </c>
    </row>
    <row r="228" spans="2:16" ht="13.9" customHeight="1" outlineLevel="1" x14ac:dyDescent="0.25">
      <c r="B228" s="149"/>
      <c r="C228" s="150" t="s">
        <v>54</v>
      </c>
      <c r="D228" s="85">
        <v>0</v>
      </c>
      <c r="E228" s="86">
        <v>0</v>
      </c>
      <c r="F228" s="142">
        <f t="shared" si="22"/>
        <v>0</v>
      </c>
      <c r="G228" s="113">
        <v>0</v>
      </c>
      <c r="H228" s="86">
        <v>0</v>
      </c>
      <c r="I228" s="113">
        <v>0</v>
      </c>
      <c r="J228" s="114">
        <f t="shared" si="23"/>
        <v>0</v>
      </c>
      <c r="K228" s="113">
        <f t="shared" si="24"/>
        <v>0</v>
      </c>
      <c r="L228" s="113">
        <v>0</v>
      </c>
      <c r="M228" s="113">
        <v>0</v>
      </c>
      <c r="N228" s="113">
        <v>0</v>
      </c>
      <c r="O228" s="113">
        <v>0</v>
      </c>
      <c r="P228" s="113">
        <v>0</v>
      </c>
    </row>
    <row r="229" spans="2:16" ht="13.9" customHeight="1" outlineLevel="1" x14ac:dyDescent="0.25">
      <c r="B229" s="149"/>
      <c r="C229" s="150" t="s">
        <v>55</v>
      </c>
      <c r="D229" s="85">
        <v>4</v>
      </c>
      <c r="E229" s="86">
        <v>9225432</v>
      </c>
      <c r="F229" s="142">
        <f t="shared" si="22"/>
        <v>1845090</v>
      </c>
      <c r="G229" s="113">
        <v>1845090</v>
      </c>
      <c r="H229" s="86">
        <v>7380342</v>
      </c>
      <c r="I229" s="113">
        <v>0</v>
      </c>
      <c r="J229" s="114">
        <f t="shared" si="23"/>
        <v>7380342</v>
      </c>
      <c r="K229" s="113">
        <f t="shared" si="24"/>
        <v>922539.59999999963</v>
      </c>
      <c r="L229" s="113">
        <v>922543.2</v>
      </c>
      <c r="M229" s="113">
        <v>0</v>
      </c>
      <c r="N229" s="113">
        <v>0</v>
      </c>
      <c r="O229" s="113">
        <v>5535259.2000000002</v>
      </c>
      <c r="P229" s="113">
        <v>0</v>
      </c>
    </row>
    <row r="230" spans="2:16" ht="13.9" customHeight="1" outlineLevel="1" x14ac:dyDescent="0.25">
      <c r="B230" s="149"/>
      <c r="C230" s="150" t="s">
        <v>56</v>
      </c>
      <c r="D230" s="85">
        <v>0</v>
      </c>
      <c r="E230" s="86">
        <v>0</v>
      </c>
      <c r="F230" s="142">
        <f t="shared" si="22"/>
        <v>0</v>
      </c>
      <c r="G230" s="113">
        <v>0</v>
      </c>
      <c r="H230" s="86">
        <v>0</v>
      </c>
      <c r="I230" s="113">
        <v>0</v>
      </c>
      <c r="J230" s="114">
        <f t="shared" si="23"/>
        <v>0</v>
      </c>
      <c r="K230" s="113">
        <f t="shared" si="24"/>
        <v>0</v>
      </c>
      <c r="L230" s="113">
        <v>0</v>
      </c>
      <c r="M230" s="113">
        <v>0</v>
      </c>
      <c r="N230" s="113">
        <v>0</v>
      </c>
      <c r="O230" s="113">
        <v>0</v>
      </c>
      <c r="P230" s="113">
        <v>0</v>
      </c>
    </row>
    <row r="231" spans="2:16" ht="13.9" customHeight="1" outlineLevel="1" x14ac:dyDescent="0.25">
      <c r="B231" s="149"/>
      <c r="C231" s="150" t="s">
        <v>57</v>
      </c>
      <c r="D231" s="85">
        <v>0</v>
      </c>
      <c r="E231" s="86">
        <v>0</v>
      </c>
      <c r="F231" s="142">
        <f t="shared" si="22"/>
        <v>0</v>
      </c>
      <c r="G231" s="113">
        <v>0</v>
      </c>
      <c r="H231" s="86">
        <v>0</v>
      </c>
      <c r="I231" s="113">
        <v>0</v>
      </c>
      <c r="J231" s="114">
        <f t="shared" si="23"/>
        <v>0</v>
      </c>
      <c r="K231" s="113">
        <f t="shared" si="24"/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</row>
    <row r="232" spans="2:16" ht="13.9" customHeight="1" outlineLevel="1" x14ac:dyDescent="0.25">
      <c r="B232" s="149"/>
      <c r="C232" s="150" t="s">
        <v>58</v>
      </c>
      <c r="D232" s="85">
        <v>0</v>
      </c>
      <c r="E232" s="86">
        <v>0</v>
      </c>
      <c r="F232" s="142">
        <f t="shared" si="22"/>
        <v>0</v>
      </c>
      <c r="G232" s="113">
        <v>0</v>
      </c>
      <c r="H232" s="86">
        <v>0</v>
      </c>
      <c r="I232" s="113">
        <v>0</v>
      </c>
      <c r="J232" s="114">
        <f t="shared" si="23"/>
        <v>0</v>
      </c>
      <c r="K232" s="113">
        <f t="shared" si="24"/>
        <v>0</v>
      </c>
      <c r="L232" s="113">
        <v>0</v>
      </c>
      <c r="M232" s="113">
        <v>0</v>
      </c>
      <c r="N232" s="113">
        <v>0</v>
      </c>
      <c r="O232" s="113">
        <v>0</v>
      </c>
      <c r="P232" s="113">
        <v>0</v>
      </c>
    </row>
    <row r="233" spans="2:16" ht="13.9" customHeight="1" outlineLevel="1" x14ac:dyDescent="0.25">
      <c r="B233" s="149"/>
      <c r="C233" s="150" t="s">
        <v>59</v>
      </c>
      <c r="D233" s="85">
        <v>0</v>
      </c>
      <c r="E233" s="86">
        <v>0</v>
      </c>
      <c r="F233" s="142">
        <f t="shared" si="22"/>
        <v>0</v>
      </c>
      <c r="G233" s="113">
        <v>0</v>
      </c>
      <c r="H233" s="86">
        <v>0</v>
      </c>
      <c r="I233" s="113">
        <v>0</v>
      </c>
      <c r="J233" s="114">
        <f t="shared" si="23"/>
        <v>0</v>
      </c>
      <c r="K233" s="113">
        <f t="shared" si="24"/>
        <v>0</v>
      </c>
      <c r="L233" s="113">
        <v>0</v>
      </c>
      <c r="M233" s="113">
        <v>0</v>
      </c>
      <c r="N233" s="113">
        <v>0</v>
      </c>
      <c r="O233" s="113">
        <v>0</v>
      </c>
      <c r="P233" s="113">
        <v>0</v>
      </c>
    </row>
    <row r="234" spans="2:16" ht="13.9" customHeight="1" outlineLevel="1" x14ac:dyDescent="0.25">
      <c r="B234" s="149"/>
      <c r="C234" s="150" t="s">
        <v>60</v>
      </c>
      <c r="D234" s="85">
        <v>0</v>
      </c>
      <c r="E234" s="86">
        <v>0</v>
      </c>
      <c r="F234" s="142">
        <f t="shared" si="22"/>
        <v>0</v>
      </c>
      <c r="G234" s="113">
        <v>0</v>
      </c>
      <c r="H234" s="86">
        <v>0</v>
      </c>
      <c r="I234" s="113">
        <v>0</v>
      </c>
      <c r="J234" s="114">
        <f t="shared" si="23"/>
        <v>0</v>
      </c>
      <c r="K234" s="113">
        <f t="shared" si="24"/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</row>
    <row r="235" spans="2:16" ht="13.9" customHeight="1" outlineLevel="1" x14ac:dyDescent="0.25">
      <c r="B235" s="149"/>
      <c r="C235" s="150" t="s">
        <v>61</v>
      </c>
      <c r="D235" s="85">
        <v>0</v>
      </c>
      <c r="E235" s="86">
        <v>0</v>
      </c>
      <c r="F235" s="142">
        <f t="shared" si="22"/>
        <v>0</v>
      </c>
      <c r="G235" s="113">
        <v>0</v>
      </c>
      <c r="H235" s="86">
        <v>0</v>
      </c>
      <c r="I235" s="113">
        <v>0</v>
      </c>
      <c r="J235" s="114">
        <f t="shared" si="23"/>
        <v>0</v>
      </c>
      <c r="K235" s="113">
        <f t="shared" si="24"/>
        <v>0</v>
      </c>
      <c r="L235" s="113">
        <v>0</v>
      </c>
      <c r="M235" s="113">
        <v>0</v>
      </c>
      <c r="N235" s="113">
        <v>0</v>
      </c>
      <c r="O235" s="113">
        <v>0</v>
      </c>
      <c r="P235" s="113">
        <v>0</v>
      </c>
    </row>
    <row r="236" spans="2:16" ht="13.9" customHeight="1" outlineLevel="1" x14ac:dyDescent="0.25">
      <c r="B236" s="149"/>
      <c r="C236" s="150" t="s">
        <v>62</v>
      </c>
      <c r="D236" s="85">
        <v>0</v>
      </c>
      <c r="E236" s="86">
        <v>0</v>
      </c>
      <c r="F236" s="142">
        <f t="shared" si="22"/>
        <v>0</v>
      </c>
      <c r="G236" s="113">
        <v>0</v>
      </c>
      <c r="H236" s="86">
        <v>0</v>
      </c>
      <c r="I236" s="113">
        <v>0</v>
      </c>
      <c r="J236" s="114">
        <f t="shared" si="23"/>
        <v>0</v>
      </c>
      <c r="K236" s="113">
        <f t="shared" si="24"/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</row>
    <row r="237" spans="2:16" ht="13.9" customHeight="1" outlineLevel="1" x14ac:dyDescent="0.25">
      <c r="B237" s="149"/>
      <c r="C237" s="150" t="s">
        <v>63</v>
      </c>
      <c r="D237" s="85">
        <v>0</v>
      </c>
      <c r="E237" s="86">
        <v>0</v>
      </c>
      <c r="F237" s="142">
        <f t="shared" si="22"/>
        <v>0</v>
      </c>
      <c r="G237" s="113">
        <v>0</v>
      </c>
      <c r="H237" s="86">
        <v>0</v>
      </c>
      <c r="I237" s="113">
        <v>0</v>
      </c>
      <c r="J237" s="114">
        <f t="shared" si="23"/>
        <v>0</v>
      </c>
      <c r="K237" s="113">
        <f t="shared" si="24"/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</row>
    <row r="238" spans="2:16" ht="13.9" customHeight="1" outlineLevel="1" x14ac:dyDescent="0.25">
      <c r="B238" s="149"/>
      <c r="C238" s="150" t="s">
        <v>64</v>
      </c>
      <c r="D238" s="85">
        <v>0</v>
      </c>
      <c r="E238" s="86">
        <v>0</v>
      </c>
      <c r="F238" s="142">
        <f t="shared" si="22"/>
        <v>0</v>
      </c>
      <c r="G238" s="113">
        <v>0</v>
      </c>
      <c r="H238" s="86">
        <v>0</v>
      </c>
      <c r="I238" s="113">
        <v>0</v>
      </c>
      <c r="J238" s="114">
        <f t="shared" si="23"/>
        <v>0</v>
      </c>
      <c r="K238" s="113">
        <f t="shared" si="24"/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</row>
    <row r="239" spans="2:16" ht="13.9" customHeight="1" outlineLevel="1" x14ac:dyDescent="0.25">
      <c r="B239" s="149"/>
      <c r="C239" s="150" t="s">
        <v>65</v>
      </c>
      <c r="D239" s="85">
        <v>0</v>
      </c>
      <c r="E239" s="86">
        <v>0</v>
      </c>
      <c r="F239" s="142">
        <f t="shared" si="22"/>
        <v>0</v>
      </c>
      <c r="G239" s="113">
        <v>0</v>
      </c>
      <c r="H239" s="86">
        <v>0</v>
      </c>
      <c r="I239" s="113">
        <v>0</v>
      </c>
      <c r="J239" s="114">
        <f t="shared" si="23"/>
        <v>0</v>
      </c>
      <c r="K239" s="113">
        <f t="shared" si="24"/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</row>
    <row r="240" spans="2:16" ht="13.9" customHeight="1" outlineLevel="1" x14ac:dyDescent="0.25">
      <c r="B240" s="149"/>
      <c r="C240" s="150" t="s">
        <v>66</v>
      </c>
      <c r="D240" s="85">
        <v>0</v>
      </c>
      <c r="E240" s="86">
        <v>0</v>
      </c>
      <c r="F240" s="142">
        <f t="shared" si="22"/>
        <v>0</v>
      </c>
      <c r="G240" s="113">
        <v>0</v>
      </c>
      <c r="H240" s="86">
        <v>0</v>
      </c>
      <c r="I240" s="113">
        <v>0</v>
      </c>
      <c r="J240" s="114">
        <f t="shared" si="23"/>
        <v>0</v>
      </c>
      <c r="K240" s="113">
        <f t="shared" si="24"/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</row>
    <row r="241" spans="2:16" ht="13.9" customHeight="1" outlineLevel="1" x14ac:dyDescent="0.25">
      <c r="B241" s="149"/>
      <c r="C241" s="150" t="s">
        <v>67</v>
      </c>
      <c r="D241" s="85">
        <v>0</v>
      </c>
      <c r="E241" s="86">
        <v>0</v>
      </c>
      <c r="F241" s="142">
        <f t="shared" si="22"/>
        <v>0</v>
      </c>
      <c r="G241" s="113">
        <v>0</v>
      </c>
      <c r="H241" s="86">
        <v>0</v>
      </c>
      <c r="I241" s="113">
        <v>0</v>
      </c>
      <c r="J241" s="114">
        <f t="shared" si="23"/>
        <v>0</v>
      </c>
      <c r="K241" s="113">
        <f t="shared" si="24"/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</row>
    <row r="242" spans="2:16" ht="13.9" customHeight="1" x14ac:dyDescent="0.25">
      <c r="B242" s="149"/>
      <c r="C242" s="148" t="s">
        <v>103</v>
      </c>
      <c r="D242" s="90">
        <f>SUM(D205:D241)</f>
        <v>19</v>
      </c>
      <c r="E242" s="91">
        <f t="shared" ref="E242:P242" si="25">SUM(E205:E241)</f>
        <v>185287649.80000001</v>
      </c>
      <c r="F242" s="92">
        <f t="shared" si="25"/>
        <v>53207439.119999997</v>
      </c>
      <c r="G242" s="93">
        <f t="shared" si="25"/>
        <v>43967129.68</v>
      </c>
      <c r="H242" s="90">
        <f t="shared" si="25"/>
        <v>141320520.12</v>
      </c>
      <c r="I242" s="91">
        <f t="shared" si="25"/>
        <v>9240309.4399999995</v>
      </c>
      <c r="J242" s="92">
        <f t="shared" si="25"/>
        <v>132080210.68000001</v>
      </c>
      <c r="K242" s="93">
        <f t="shared" si="25"/>
        <v>35064391.960000001</v>
      </c>
      <c r="L242" s="90">
        <f t="shared" si="25"/>
        <v>79993508.320000008</v>
      </c>
      <c r="M242" s="91">
        <f t="shared" si="25"/>
        <v>11487051.200000001</v>
      </c>
      <c r="N242" s="90">
        <f t="shared" si="25"/>
        <v>0</v>
      </c>
      <c r="O242" s="91">
        <f t="shared" si="25"/>
        <v>5535259.2000000002</v>
      </c>
      <c r="P242" s="91">
        <f t="shared" si="25"/>
        <v>0</v>
      </c>
    </row>
    <row r="243" spans="2:16" ht="13.9" customHeight="1" outlineLevel="1" x14ac:dyDescent="0.25">
      <c r="B243" s="149" t="s">
        <v>83</v>
      </c>
      <c r="C243" s="150" t="s">
        <v>70</v>
      </c>
      <c r="D243" s="85">
        <v>1</v>
      </c>
      <c r="E243" s="86">
        <v>2295643.2999999998</v>
      </c>
      <c r="F243" s="142">
        <f t="shared" si="22"/>
        <v>918257.32000000007</v>
      </c>
      <c r="G243" s="113">
        <v>462710.5</v>
      </c>
      <c r="H243" s="86">
        <v>1832932.7999999998</v>
      </c>
      <c r="I243" s="113">
        <v>455546.82</v>
      </c>
      <c r="J243" s="114">
        <f t="shared" si="23"/>
        <v>1377385.9799999997</v>
      </c>
      <c r="K243" s="113">
        <f t="shared" si="24"/>
        <v>229564.32999999984</v>
      </c>
      <c r="L243" s="113">
        <v>1147821.6499999999</v>
      </c>
      <c r="M243" s="113">
        <v>0</v>
      </c>
      <c r="N243" s="113">
        <v>0</v>
      </c>
      <c r="O243" s="113">
        <v>0</v>
      </c>
      <c r="P243" s="113">
        <v>0</v>
      </c>
    </row>
    <row r="244" spans="2:16" ht="13.9" customHeight="1" outlineLevel="1" x14ac:dyDescent="0.25">
      <c r="B244" s="149"/>
      <c r="C244" s="150" t="s">
        <v>71</v>
      </c>
      <c r="D244" s="85">
        <v>0</v>
      </c>
      <c r="E244" s="86">
        <v>0</v>
      </c>
      <c r="F244" s="142">
        <f t="shared" si="22"/>
        <v>0</v>
      </c>
      <c r="G244" s="113">
        <v>0</v>
      </c>
      <c r="H244" s="86">
        <v>0</v>
      </c>
      <c r="I244" s="113">
        <v>0</v>
      </c>
      <c r="J244" s="114">
        <f t="shared" si="23"/>
        <v>0</v>
      </c>
      <c r="K244" s="113">
        <f t="shared" si="24"/>
        <v>0</v>
      </c>
      <c r="L244" s="113">
        <v>0</v>
      </c>
      <c r="M244" s="113">
        <v>0</v>
      </c>
      <c r="N244" s="113">
        <v>0</v>
      </c>
      <c r="O244" s="113">
        <v>0</v>
      </c>
      <c r="P244" s="113">
        <v>0</v>
      </c>
    </row>
    <row r="245" spans="2:16" ht="13.9" customHeight="1" outlineLevel="1" x14ac:dyDescent="0.25">
      <c r="B245" s="149"/>
      <c r="C245" s="150" t="s">
        <v>72</v>
      </c>
      <c r="D245" s="85">
        <v>0</v>
      </c>
      <c r="E245" s="86">
        <v>0</v>
      </c>
      <c r="F245" s="142">
        <f t="shared" si="22"/>
        <v>0</v>
      </c>
      <c r="G245" s="113">
        <v>0</v>
      </c>
      <c r="H245" s="86">
        <v>0</v>
      </c>
      <c r="I245" s="113">
        <v>0</v>
      </c>
      <c r="J245" s="114">
        <f t="shared" si="23"/>
        <v>0</v>
      </c>
      <c r="K245" s="113">
        <f t="shared" si="24"/>
        <v>0</v>
      </c>
      <c r="L245" s="113">
        <v>0</v>
      </c>
      <c r="M245" s="113">
        <v>0</v>
      </c>
      <c r="N245" s="113">
        <v>0</v>
      </c>
      <c r="O245" s="113">
        <v>0</v>
      </c>
      <c r="P245" s="113">
        <v>0</v>
      </c>
    </row>
    <row r="246" spans="2:16" ht="13.9" customHeight="1" x14ac:dyDescent="0.25">
      <c r="B246" s="149"/>
      <c r="C246" s="148" t="s">
        <v>104</v>
      </c>
      <c r="D246" s="90">
        <f>SUM(D243:D245)</f>
        <v>1</v>
      </c>
      <c r="E246" s="91">
        <f t="shared" ref="E246:P246" si="26">SUM(E243:E245)</f>
        <v>2295643.2999999998</v>
      </c>
      <c r="F246" s="92">
        <f t="shared" si="26"/>
        <v>918257.32000000007</v>
      </c>
      <c r="G246" s="93">
        <f t="shared" si="26"/>
        <v>462710.5</v>
      </c>
      <c r="H246" s="90">
        <f t="shared" si="26"/>
        <v>1832932.7999999998</v>
      </c>
      <c r="I246" s="91">
        <f t="shared" si="26"/>
        <v>455546.82</v>
      </c>
      <c r="J246" s="92">
        <f t="shared" si="26"/>
        <v>1377385.9799999997</v>
      </c>
      <c r="K246" s="93">
        <f t="shared" si="26"/>
        <v>229564.32999999984</v>
      </c>
      <c r="L246" s="90">
        <f t="shared" si="26"/>
        <v>1147821.6499999999</v>
      </c>
      <c r="M246" s="91">
        <f t="shared" si="26"/>
        <v>0</v>
      </c>
      <c r="N246" s="90">
        <f t="shared" si="26"/>
        <v>0</v>
      </c>
      <c r="O246" s="91">
        <f t="shared" si="26"/>
        <v>0</v>
      </c>
      <c r="P246" s="91">
        <f t="shared" si="26"/>
        <v>0</v>
      </c>
    </row>
    <row r="247" spans="2:16" ht="13.9" customHeight="1" outlineLevel="1" x14ac:dyDescent="0.25">
      <c r="B247" s="149" t="s">
        <v>105</v>
      </c>
      <c r="C247" s="150" t="s">
        <v>75</v>
      </c>
      <c r="D247" s="85">
        <v>0</v>
      </c>
      <c r="E247" s="86">
        <v>0</v>
      </c>
      <c r="F247" s="142">
        <f t="shared" si="22"/>
        <v>0</v>
      </c>
      <c r="G247" s="113">
        <v>0</v>
      </c>
      <c r="H247" s="86">
        <v>0</v>
      </c>
      <c r="I247" s="113">
        <v>0</v>
      </c>
      <c r="J247" s="114">
        <f t="shared" si="23"/>
        <v>0</v>
      </c>
      <c r="K247" s="113">
        <f t="shared" si="24"/>
        <v>0</v>
      </c>
      <c r="L247" s="113">
        <v>0</v>
      </c>
      <c r="M247" s="113">
        <v>0</v>
      </c>
      <c r="N247" s="113">
        <v>0</v>
      </c>
      <c r="O247" s="113">
        <v>0</v>
      </c>
      <c r="P247" s="113">
        <v>0</v>
      </c>
    </row>
    <row r="248" spans="2:16" ht="13.9" customHeight="1" outlineLevel="1" x14ac:dyDescent="0.25">
      <c r="B248" s="149"/>
      <c r="C248" s="150" t="s">
        <v>76</v>
      </c>
      <c r="D248" s="85">
        <v>0</v>
      </c>
      <c r="E248" s="86">
        <v>0</v>
      </c>
      <c r="F248" s="142">
        <f t="shared" si="22"/>
        <v>0</v>
      </c>
      <c r="G248" s="113">
        <v>0</v>
      </c>
      <c r="H248" s="86">
        <v>0</v>
      </c>
      <c r="I248" s="113">
        <v>0</v>
      </c>
      <c r="J248" s="114">
        <f t="shared" si="23"/>
        <v>0</v>
      </c>
      <c r="K248" s="113">
        <f t="shared" si="24"/>
        <v>0</v>
      </c>
      <c r="L248" s="113">
        <v>0</v>
      </c>
      <c r="M248" s="113">
        <v>0</v>
      </c>
      <c r="N248" s="113">
        <v>0</v>
      </c>
      <c r="O248" s="113">
        <v>0</v>
      </c>
      <c r="P248" s="113">
        <v>0</v>
      </c>
    </row>
    <row r="249" spans="2:16" ht="13.9" customHeight="1" x14ac:dyDescent="0.25">
      <c r="B249" s="149"/>
      <c r="C249" s="148" t="s">
        <v>106</v>
      </c>
      <c r="D249" s="90">
        <f>SUM(D247:D248)</f>
        <v>0</v>
      </c>
      <c r="E249" s="91">
        <f t="shared" ref="E249:P249" si="27">SUM(E247:E248)</f>
        <v>0</v>
      </c>
      <c r="F249" s="92">
        <f t="shared" si="27"/>
        <v>0</v>
      </c>
      <c r="G249" s="93">
        <f t="shared" si="27"/>
        <v>0</v>
      </c>
      <c r="H249" s="90">
        <f t="shared" si="27"/>
        <v>0</v>
      </c>
      <c r="I249" s="91">
        <f t="shared" si="27"/>
        <v>0</v>
      </c>
      <c r="J249" s="92">
        <f t="shared" si="27"/>
        <v>0</v>
      </c>
      <c r="K249" s="93">
        <f t="shared" si="27"/>
        <v>0</v>
      </c>
      <c r="L249" s="90">
        <f t="shared" si="27"/>
        <v>0</v>
      </c>
      <c r="M249" s="91">
        <f t="shared" si="27"/>
        <v>0</v>
      </c>
      <c r="N249" s="90">
        <f t="shared" si="27"/>
        <v>0</v>
      </c>
      <c r="O249" s="91">
        <f t="shared" si="27"/>
        <v>0</v>
      </c>
      <c r="P249" s="91">
        <f t="shared" si="27"/>
        <v>0</v>
      </c>
    </row>
    <row r="250" spans="2:16" ht="13.9" customHeight="1" x14ac:dyDescent="0.25">
      <c r="B250" s="155" t="s">
        <v>78</v>
      </c>
      <c r="C250" s="155"/>
      <c r="D250" s="90">
        <f>D242+D246+D249</f>
        <v>20</v>
      </c>
      <c r="E250" s="91">
        <f t="shared" ref="E250:P250" si="28">E242+E246+E249</f>
        <v>187583293.10000002</v>
      </c>
      <c r="F250" s="92">
        <f t="shared" si="28"/>
        <v>54125696.439999998</v>
      </c>
      <c r="G250" s="93">
        <f t="shared" si="28"/>
        <v>44429840.18</v>
      </c>
      <c r="H250" s="90">
        <f t="shared" si="28"/>
        <v>143153452.92000002</v>
      </c>
      <c r="I250" s="91">
        <f t="shared" si="28"/>
        <v>9695856.2599999998</v>
      </c>
      <c r="J250" s="92">
        <f t="shared" si="28"/>
        <v>133457596.66000001</v>
      </c>
      <c r="K250" s="93">
        <f t="shared" si="28"/>
        <v>35293956.289999999</v>
      </c>
      <c r="L250" s="90">
        <f t="shared" si="28"/>
        <v>81141329.970000014</v>
      </c>
      <c r="M250" s="91">
        <f t="shared" si="28"/>
        <v>11487051.200000001</v>
      </c>
      <c r="N250" s="90">
        <f t="shared" si="28"/>
        <v>0</v>
      </c>
      <c r="O250" s="91">
        <f t="shared" si="28"/>
        <v>5535259.2000000002</v>
      </c>
      <c r="P250" s="91">
        <f t="shared" si="28"/>
        <v>0</v>
      </c>
    </row>
    <row r="251" spans="2:16" ht="13.9" customHeight="1" x14ac:dyDescent="0.25"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</row>
    <row r="252" spans="2:16" ht="13.9" customHeight="1" x14ac:dyDescent="0.25">
      <c r="B252" s="107" t="s">
        <v>90</v>
      </c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</row>
    <row r="253" spans="2:16" ht="13.9" customHeight="1" x14ac:dyDescent="0.25">
      <c r="B253" s="154" t="s">
        <v>26</v>
      </c>
      <c r="C253" s="148" t="s">
        <v>27</v>
      </c>
      <c r="D253" s="109" t="s">
        <v>28</v>
      </c>
      <c r="E253" s="110" t="s">
        <v>29</v>
      </c>
      <c r="F253" s="111" t="s">
        <v>85</v>
      </c>
      <c r="G253" s="112" t="s">
        <v>81</v>
      </c>
      <c r="H253" s="110" t="s">
        <v>82</v>
      </c>
      <c r="I253" s="112" t="s">
        <v>86</v>
      </c>
      <c r="J253" s="110" t="s">
        <v>87</v>
      </c>
      <c r="K253" s="112">
        <v>2026</v>
      </c>
      <c r="L253" s="112">
        <v>2027</v>
      </c>
      <c r="M253" s="110">
        <v>2028</v>
      </c>
      <c r="N253" s="112">
        <v>2029</v>
      </c>
      <c r="O253" s="110">
        <v>2030</v>
      </c>
      <c r="P253" s="112">
        <v>2031</v>
      </c>
    </row>
    <row r="254" spans="2:16" ht="13.9" customHeight="1" outlineLevel="1" x14ac:dyDescent="0.25">
      <c r="B254" s="149" t="s">
        <v>30</v>
      </c>
      <c r="C254" s="150" t="s">
        <v>31</v>
      </c>
      <c r="D254" s="85">
        <v>0</v>
      </c>
      <c r="E254" s="86">
        <v>0</v>
      </c>
      <c r="F254" s="142">
        <f t="shared" ref="F254:F297" si="29">G254+I254</f>
        <v>0</v>
      </c>
      <c r="G254" s="113">
        <v>0</v>
      </c>
      <c r="H254" s="86">
        <v>0</v>
      </c>
      <c r="I254" s="113">
        <v>0</v>
      </c>
      <c r="J254" s="114">
        <f t="shared" ref="J254:J297" si="30">H254-I254</f>
        <v>0</v>
      </c>
      <c r="K254" s="113">
        <f t="shared" ref="K254:K297" si="31">MAX(J254-SUM(L254:P254),0)</f>
        <v>0</v>
      </c>
      <c r="L254" s="113">
        <v>0</v>
      </c>
      <c r="M254" s="113">
        <v>0</v>
      </c>
      <c r="N254" s="113">
        <v>0</v>
      </c>
      <c r="O254" s="113">
        <v>0</v>
      </c>
      <c r="P254" s="113">
        <v>0</v>
      </c>
    </row>
    <row r="255" spans="2:16" ht="13.9" customHeight="1" outlineLevel="1" x14ac:dyDescent="0.25">
      <c r="B255" s="149"/>
      <c r="C255" s="150" t="s">
        <v>32</v>
      </c>
      <c r="D255" s="85">
        <v>0</v>
      </c>
      <c r="E255" s="86">
        <v>0</v>
      </c>
      <c r="F255" s="142">
        <f t="shared" si="29"/>
        <v>0</v>
      </c>
      <c r="G255" s="113">
        <v>0</v>
      </c>
      <c r="H255" s="86">
        <v>0</v>
      </c>
      <c r="I255" s="113">
        <v>0</v>
      </c>
      <c r="J255" s="114">
        <f t="shared" si="30"/>
        <v>0</v>
      </c>
      <c r="K255" s="113">
        <f t="shared" si="31"/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</row>
    <row r="256" spans="2:16" ht="13.9" customHeight="1" outlineLevel="1" x14ac:dyDescent="0.25">
      <c r="B256" s="149"/>
      <c r="C256" s="150" t="s">
        <v>33</v>
      </c>
      <c r="D256" s="85">
        <v>0</v>
      </c>
      <c r="E256" s="86">
        <v>0</v>
      </c>
      <c r="F256" s="142">
        <f t="shared" si="29"/>
        <v>0</v>
      </c>
      <c r="G256" s="113">
        <v>0</v>
      </c>
      <c r="H256" s="86">
        <v>0</v>
      </c>
      <c r="I256" s="113">
        <v>0</v>
      </c>
      <c r="J256" s="114">
        <f t="shared" si="30"/>
        <v>0</v>
      </c>
      <c r="K256" s="113">
        <f t="shared" si="31"/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</row>
    <row r="257" spans="2:16" ht="13.9" customHeight="1" outlineLevel="1" x14ac:dyDescent="0.25">
      <c r="B257" s="149"/>
      <c r="C257" s="150" t="s">
        <v>34</v>
      </c>
      <c r="D257" s="85">
        <v>0</v>
      </c>
      <c r="E257" s="86">
        <v>0</v>
      </c>
      <c r="F257" s="142">
        <f t="shared" si="29"/>
        <v>0</v>
      </c>
      <c r="G257" s="113">
        <v>0</v>
      </c>
      <c r="H257" s="86">
        <v>0</v>
      </c>
      <c r="I257" s="113">
        <v>0</v>
      </c>
      <c r="J257" s="114">
        <f t="shared" si="30"/>
        <v>0</v>
      </c>
      <c r="K257" s="113">
        <f t="shared" si="31"/>
        <v>0</v>
      </c>
      <c r="L257" s="113">
        <v>0</v>
      </c>
      <c r="M257" s="113">
        <v>0</v>
      </c>
      <c r="N257" s="113">
        <v>0</v>
      </c>
      <c r="O257" s="113">
        <v>0</v>
      </c>
      <c r="P257" s="113">
        <v>0</v>
      </c>
    </row>
    <row r="258" spans="2:16" ht="13.9" customHeight="1" outlineLevel="1" x14ac:dyDescent="0.25">
      <c r="B258" s="149"/>
      <c r="C258" s="150" t="s">
        <v>35</v>
      </c>
      <c r="D258" s="85">
        <v>0</v>
      </c>
      <c r="E258" s="86">
        <v>0</v>
      </c>
      <c r="F258" s="142">
        <f t="shared" si="29"/>
        <v>0</v>
      </c>
      <c r="G258" s="113">
        <v>0</v>
      </c>
      <c r="H258" s="86">
        <v>0</v>
      </c>
      <c r="I258" s="113">
        <v>0</v>
      </c>
      <c r="J258" s="114">
        <f t="shared" si="30"/>
        <v>0</v>
      </c>
      <c r="K258" s="113">
        <f t="shared" si="31"/>
        <v>0</v>
      </c>
      <c r="L258" s="113">
        <v>0</v>
      </c>
      <c r="M258" s="113">
        <v>0</v>
      </c>
      <c r="N258" s="113">
        <v>0</v>
      </c>
      <c r="O258" s="113">
        <v>0</v>
      </c>
      <c r="P258" s="113">
        <v>0</v>
      </c>
    </row>
    <row r="259" spans="2:16" ht="13.9" customHeight="1" outlineLevel="1" x14ac:dyDescent="0.25">
      <c r="B259" s="149"/>
      <c r="C259" s="150" t="s">
        <v>36</v>
      </c>
      <c r="D259" s="85">
        <v>1</v>
      </c>
      <c r="E259" s="86">
        <v>11508944</v>
      </c>
      <c r="F259" s="142">
        <f t="shared" si="29"/>
        <v>4603577.5999999996</v>
      </c>
      <c r="G259" s="113">
        <v>4599362.42</v>
      </c>
      <c r="H259" s="86">
        <v>6909581.5800000001</v>
      </c>
      <c r="I259" s="113">
        <v>4215.18</v>
      </c>
      <c r="J259" s="114">
        <f t="shared" si="30"/>
        <v>6905366.4000000004</v>
      </c>
      <c r="K259" s="113">
        <f t="shared" si="31"/>
        <v>2301788.8000000007</v>
      </c>
      <c r="L259" s="113">
        <v>4603577.5999999996</v>
      </c>
      <c r="M259" s="113">
        <v>0</v>
      </c>
      <c r="N259" s="113">
        <v>0</v>
      </c>
      <c r="O259" s="113">
        <v>0</v>
      </c>
      <c r="P259" s="113">
        <v>0</v>
      </c>
    </row>
    <row r="260" spans="2:16" ht="13.9" customHeight="1" outlineLevel="1" x14ac:dyDescent="0.25">
      <c r="B260" s="149"/>
      <c r="C260" s="150" t="s">
        <v>37</v>
      </c>
      <c r="D260" s="85">
        <v>0</v>
      </c>
      <c r="E260" s="86">
        <v>0</v>
      </c>
      <c r="F260" s="142">
        <f t="shared" si="29"/>
        <v>0</v>
      </c>
      <c r="G260" s="113">
        <v>0</v>
      </c>
      <c r="H260" s="86">
        <v>0</v>
      </c>
      <c r="I260" s="113">
        <v>0</v>
      </c>
      <c r="J260" s="114">
        <f t="shared" si="30"/>
        <v>0</v>
      </c>
      <c r="K260" s="113">
        <f t="shared" si="31"/>
        <v>0</v>
      </c>
      <c r="L260" s="113">
        <v>0</v>
      </c>
      <c r="M260" s="113">
        <v>0</v>
      </c>
      <c r="N260" s="113">
        <v>0</v>
      </c>
      <c r="O260" s="113">
        <v>0</v>
      </c>
      <c r="P260" s="113">
        <v>0</v>
      </c>
    </row>
    <row r="261" spans="2:16" ht="13.9" customHeight="1" outlineLevel="1" x14ac:dyDescent="0.25">
      <c r="B261" s="149"/>
      <c r="C261" s="150" t="s">
        <v>38</v>
      </c>
      <c r="D261" s="85">
        <v>0</v>
      </c>
      <c r="E261" s="86">
        <v>0</v>
      </c>
      <c r="F261" s="142">
        <f t="shared" si="29"/>
        <v>0</v>
      </c>
      <c r="G261" s="113">
        <v>0</v>
      </c>
      <c r="H261" s="86">
        <v>0</v>
      </c>
      <c r="I261" s="113">
        <v>0</v>
      </c>
      <c r="J261" s="114">
        <f t="shared" si="30"/>
        <v>0</v>
      </c>
      <c r="K261" s="113">
        <f t="shared" si="31"/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</row>
    <row r="262" spans="2:16" ht="13.9" customHeight="1" outlineLevel="1" x14ac:dyDescent="0.25">
      <c r="B262" s="149"/>
      <c r="C262" s="150" t="s">
        <v>39</v>
      </c>
      <c r="D262" s="85">
        <v>0</v>
      </c>
      <c r="E262" s="86">
        <v>0</v>
      </c>
      <c r="F262" s="142">
        <f t="shared" si="29"/>
        <v>0</v>
      </c>
      <c r="G262" s="113">
        <v>0</v>
      </c>
      <c r="H262" s="86">
        <v>0</v>
      </c>
      <c r="I262" s="113">
        <v>0</v>
      </c>
      <c r="J262" s="114">
        <f t="shared" si="30"/>
        <v>0</v>
      </c>
      <c r="K262" s="113">
        <f t="shared" si="31"/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</row>
    <row r="263" spans="2:16" ht="13.9" customHeight="1" outlineLevel="1" x14ac:dyDescent="0.25">
      <c r="B263" s="149"/>
      <c r="C263" s="150" t="s">
        <v>40</v>
      </c>
      <c r="D263" s="85">
        <v>2</v>
      </c>
      <c r="E263" s="86">
        <v>54496949</v>
      </c>
      <c r="F263" s="142">
        <f t="shared" si="29"/>
        <v>21798779.600000001</v>
      </c>
      <c r="G263" s="113">
        <v>16355643.550000001</v>
      </c>
      <c r="H263" s="86">
        <v>38141305.450000003</v>
      </c>
      <c r="I263" s="113">
        <v>5443136.0499999998</v>
      </c>
      <c r="J263" s="114">
        <f t="shared" si="30"/>
        <v>32698169.400000002</v>
      </c>
      <c r="K263" s="113">
        <f t="shared" si="31"/>
        <v>10899389.800000001</v>
      </c>
      <c r="L263" s="113">
        <v>21798779.600000001</v>
      </c>
      <c r="M263" s="113">
        <v>0</v>
      </c>
      <c r="N263" s="113">
        <v>0</v>
      </c>
      <c r="O263" s="113">
        <v>0</v>
      </c>
      <c r="P263" s="113">
        <v>0</v>
      </c>
    </row>
    <row r="264" spans="2:16" ht="13.9" customHeight="1" outlineLevel="1" x14ac:dyDescent="0.25">
      <c r="B264" s="149"/>
      <c r="C264" s="150" t="s">
        <v>41</v>
      </c>
      <c r="D264" s="85">
        <v>0</v>
      </c>
      <c r="E264" s="86">
        <v>0</v>
      </c>
      <c r="F264" s="142">
        <f t="shared" si="29"/>
        <v>0</v>
      </c>
      <c r="G264" s="113">
        <v>0</v>
      </c>
      <c r="H264" s="86">
        <v>0</v>
      </c>
      <c r="I264" s="113">
        <v>0</v>
      </c>
      <c r="J264" s="114">
        <f t="shared" si="30"/>
        <v>0</v>
      </c>
      <c r="K264" s="113">
        <f t="shared" si="31"/>
        <v>0</v>
      </c>
      <c r="L264" s="113">
        <v>0</v>
      </c>
      <c r="M264" s="113">
        <v>0</v>
      </c>
      <c r="N264" s="113">
        <v>0</v>
      </c>
      <c r="O264" s="113">
        <v>0</v>
      </c>
      <c r="P264" s="113">
        <v>0</v>
      </c>
    </row>
    <row r="265" spans="2:16" ht="13.9" customHeight="1" outlineLevel="1" x14ac:dyDescent="0.25">
      <c r="B265" s="149"/>
      <c r="C265" s="150" t="s">
        <v>42</v>
      </c>
      <c r="D265" s="85">
        <v>0</v>
      </c>
      <c r="E265" s="86">
        <v>0</v>
      </c>
      <c r="F265" s="142">
        <f t="shared" si="29"/>
        <v>0</v>
      </c>
      <c r="G265" s="113">
        <v>0</v>
      </c>
      <c r="H265" s="86">
        <v>0</v>
      </c>
      <c r="I265" s="113">
        <v>0</v>
      </c>
      <c r="J265" s="114">
        <f t="shared" si="30"/>
        <v>0</v>
      </c>
      <c r="K265" s="113">
        <f t="shared" si="31"/>
        <v>0</v>
      </c>
      <c r="L265" s="113">
        <v>0</v>
      </c>
      <c r="M265" s="113">
        <v>0</v>
      </c>
      <c r="N265" s="113">
        <v>0</v>
      </c>
      <c r="O265" s="113">
        <v>0</v>
      </c>
      <c r="P265" s="113">
        <v>0</v>
      </c>
    </row>
    <row r="266" spans="2:16" ht="13.9" customHeight="1" outlineLevel="1" x14ac:dyDescent="0.25">
      <c r="B266" s="149"/>
      <c r="C266" s="150" t="s">
        <v>43</v>
      </c>
      <c r="D266" s="85">
        <v>0</v>
      </c>
      <c r="E266" s="86">
        <v>0</v>
      </c>
      <c r="F266" s="142">
        <f t="shared" si="29"/>
        <v>0</v>
      </c>
      <c r="G266" s="113">
        <v>0</v>
      </c>
      <c r="H266" s="86">
        <v>0</v>
      </c>
      <c r="I266" s="113">
        <v>0</v>
      </c>
      <c r="J266" s="114">
        <f t="shared" si="30"/>
        <v>0</v>
      </c>
      <c r="K266" s="113">
        <f t="shared" si="31"/>
        <v>0</v>
      </c>
      <c r="L266" s="113">
        <v>0</v>
      </c>
      <c r="M266" s="113">
        <v>0</v>
      </c>
      <c r="N266" s="113">
        <v>0</v>
      </c>
      <c r="O266" s="113">
        <v>0</v>
      </c>
      <c r="P266" s="113">
        <v>0</v>
      </c>
    </row>
    <row r="267" spans="2:16" ht="13.9" customHeight="1" outlineLevel="1" x14ac:dyDescent="0.25">
      <c r="B267" s="149"/>
      <c r="C267" s="150" t="s">
        <v>44</v>
      </c>
      <c r="D267" s="85">
        <v>4</v>
      </c>
      <c r="E267" s="86">
        <v>11749505.35</v>
      </c>
      <c r="F267" s="142">
        <f t="shared" si="29"/>
        <v>3531856.5</v>
      </c>
      <c r="G267" s="113">
        <v>3531856.5</v>
      </c>
      <c r="H267" s="86">
        <v>8217648.8499999996</v>
      </c>
      <c r="I267" s="113">
        <v>0</v>
      </c>
      <c r="J267" s="114">
        <f t="shared" si="30"/>
        <v>8217648.8499999996</v>
      </c>
      <c r="K267" s="113">
        <f t="shared" si="31"/>
        <v>1490539.6500000004</v>
      </c>
      <c r="L267" s="113">
        <v>2027307.06</v>
      </c>
      <c r="M267" s="113">
        <v>4699802.1399999997</v>
      </c>
      <c r="N267" s="113">
        <v>0</v>
      </c>
      <c r="O267" s="113">
        <v>0</v>
      </c>
      <c r="P267" s="113">
        <v>0</v>
      </c>
    </row>
    <row r="268" spans="2:16" ht="13.9" customHeight="1" outlineLevel="1" x14ac:dyDescent="0.25">
      <c r="B268" s="149"/>
      <c r="C268" s="150" t="s">
        <v>45</v>
      </c>
      <c r="D268" s="85">
        <v>0</v>
      </c>
      <c r="E268" s="86">
        <v>0</v>
      </c>
      <c r="F268" s="142">
        <f t="shared" si="29"/>
        <v>0</v>
      </c>
      <c r="G268" s="113">
        <v>0</v>
      </c>
      <c r="H268" s="86">
        <v>0</v>
      </c>
      <c r="I268" s="113">
        <v>0</v>
      </c>
      <c r="J268" s="114">
        <f t="shared" si="30"/>
        <v>0</v>
      </c>
      <c r="K268" s="113">
        <f t="shared" si="31"/>
        <v>0</v>
      </c>
      <c r="L268" s="113">
        <v>0</v>
      </c>
      <c r="M268" s="113">
        <v>0</v>
      </c>
      <c r="N268" s="113">
        <v>0</v>
      </c>
      <c r="O268" s="113">
        <v>0</v>
      </c>
      <c r="P268" s="113">
        <v>0</v>
      </c>
    </row>
    <row r="269" spans="2:16" ht="13.9" customHeight="1" outlineLevel="1" x14ac:dyDescent="0.25">
      <c r="B269" s="149"/>
      <c r="C269" s="150" t="s">
        <v>46</v>
      </c>
      <c r="D269" s="85">
        <v>0</v>
      </c>
      <c r="E269" s="86">
        <v>0</v>
      </c>
      <c r="F269" s="142">
        <f t="shared" si="29"/>
        <v>0</v>
      </c>
      <c r="G269" s="113">
        <v>0</v>
      </c>
      <c r="H269" s="86">
        <v>0</v>
      </c>
      <c r="I269" s="113">
        <v>0</v>
      </c>
      <c r="J269" s="114">
        <f t="shared" si="30"/>
        <v>0</v>
      </c>
      <c r="K269" s="113">
        <f t="shared" si="31"/>
        <v>0</v>
      </c>
      <c r="L269" s="113">
        <v>0</v>
      </c>
      <c r="M269" s="113">
        <v>0</v>
      </c>
      <c r="N269" s="113">
        <v>0</v>
      </c>
      <c r="O269" s="113">
        <v>0</v>
      </c>
      <c r="P269" s="113">
        <v>0</v>
      </c>
    </row>
    <row r="270" spans="2:16" ht="13.9" customHeight="1" outlineLevel="1" x14ac:dyDescent="0.25">
      <c r="B270" s="149"/>
      <c r="C270" s="150" t="s">
        <v>47</v>
      </c>
      <c r="D270" s="85">
        <v>0</v>
      </c>
      <c r="E270" s="86">
        <v>0</v>
      </c>
      <c r="F270" s="142">
        <f t="shared" si="29"/>
        <v>0</v>
      </c>
      <c r="G270" s="113">
        <v>0</v>
      </c>
      <c r="H270" s="86">
        <v>0</v>
      </c>
      <c r="I270" s="113">
        <v>0</v>
      </c>
      <c r="J270" s="114">
        <f t="shared" si="30"/>
        <v>0</v>
      </c>
      <c r="K270" s="113">
        <f t="shared" si="31"/>
        <v>0</v>
      </c>
      <c r="L270" s="113">
        <v>0</v>
      </c>
      <c r="M270" s="113">
        <v>0</v>
      </c>
      <c r="N270" s="113">
        <v>0</v>
      </c>
      <c r="O270" s="113">
        <v>0</v>
      </c>
      <c r="P270" s="113">
        <v>0</v>
      </c>
    </row>
    <row r="271" spans="2:16" ht="13.9" customHeight="1" outlineLevel="1" x14ac:dyDescent="0.25">
      <c r="B271" s="149"/>
      <c r="C271" s="150" t="s">
        <v>48</v>
      </c>
      <c r="D271" s="85">
        <v>0</v>
      </c>
      <c r="E271" s="86">
        <v>0</v>
      </c>
      <c r="F271" s="142">
        <f t="shared" si="29"/>
        <v>0</v>
      </c>
      <c r="G271" s="113">
        <v>0</v>
      </c>
      <c r="H271" s="86">
        <v>0</v>
      </c>
      <c r="I271" s="113">
        <v>0</v>
      </c>
      <c r="J271" s="114">
        <f t="shared" si="30"/>
        <v>0</v>
      </c>
      <c r="K271" s="113">
        <f t="shared" si="31"/>
        <v>0</v>
      </c>
      <c r="L271" s="113">
        <v>0</v>
      </c>
      <c r="M271" s="113">
        <v>0</v>
      </c>
      <c r="N271" s="113">
        <v>0</v>
      </c>
      <c r="O271" s="113">
        <v>0</v>
      </c>
      <c r="P271" s="113">
        <v>0</v>
      </c>
    </row>
    <row r="272" spans="2:16" ht="13.9" customHeight="1" outlineLevel="1" x14ac:dyDescent="0.25">
      <c r="B272" s="149"/>
      <c r="C272" s="150" t="s">
        <v>49</v>
      </c>
      <c r="D272" s="85">
        <v>0</v>
      </c>
      <c r="E272" s="86">
        <v>0</v>
      </c>
      <c r="F272" s="142">
        <f t="shared" si="29"/>
        <v>0</v>
      </c>
      <c r="G272" s="113">
        <v>0</v>
      </c>
      <c r="H272" s="86">
        <v>0</v>
      </c>
      <c r="I272" s="113">
        <v>0</v>
      </c>
      <c r="J272" s="114">
        <f t="shared" si="30"/>
        <v>0</v>
      </c>
      <c r="K272" s="113">
        <f t="shared" si="31"/>
        <v>0</v>
      </c>
      <c r="L272" s="113">
        <v>0</v>
      </c>
      <c r="M272" s="113">
        <v>0</v>
      </c>
      <c r="N272" s="113">
        <v>0</v>
      </c>
      <c r="O272" s="113">
        <v>0</v>
      </c>
      <c r="P272" s="113">
        <v>0</v>
      </c>
    </row>
    <row r="273" spans="2:16" ht="13.9" customHeight="1" outlineLevel="1" x14ac:dyDescent="0.25">
      <c r="B273" s="149"/>
      <c r="C273" s="150" t="s">
        <v>50</v>
      </c>
      <c r="D273" s="85">
        <v>0</v>
      </c>
      <c r="E273" s="86">
        <v>0</v>
      </c>
      <c r="F273" s="142">
        <f t="shared" si="29"/>
        <v>0</v>
      </c>
      <c r="G273" s="113">
        <v>0</v>
      </c>
      <c r="H273" s="86">
        <v>0</v>
      </c>
      <c r="I273" s="113">
        <v>0</v>
      </c>
      <c r="J273" s="114">
        <f t="shared" si="30"/>
        <v>0</v>
      </c>
      <c r="K273" s="113">
        <f t="shared" si="31"/>
        <v>0</v>
      </c>
      <c r="L273" s="113">
        <v>0</v>
      </c>
      <c r="M273" s="113">
        <v>0</v>
      </c>
      <c r="N273" s="113">
        <v>0</v>
      </c>
      <c r="O273" s="113">
        <v>0</v>
      </c>
      <c r="P273" s="113">
        <v>0</v>
      </c>
    </row>
    <row r="274" spans="2:16" ht="13.9" customHeight="1" outlineLevel="1" x14ac:dyDescent="0.25">
      <c r="B274" s="149"/>
      <c r="C274" s="150" t="s">
        <v>51</v>
      </c>
      <c r="D274" s="85">
        <v>0</v>
      </c>
      <c r="E274" s="86">
        <v>0</v>
      </c>
      <c r="F274" s="142">
        <f t="shared" si="29"/>
        <v>0</v>
      </c>
      <c r="G274" s="113">
        <v>0</v>
      </c>
      <c r="H274" s="86">
        <v>0</v>
      </c>
      <c r="I274" s="113">
        <v>0</v>
      </c>
      <c r="J274" s="114">
        <f t="shared" si="30"/>
        <v>0</v>
      </c>
      <c r="K274" s="113">
        <f t="shared" si="31"/>
        <v>0</v>
      </c>
      <c r="L274" s="113">
        <v>0</v>
      </c>
      <c r="M274" s="113">
        <v>0</v>
      </c>
      <c r="N274" s="113">
        <v>0</v>
      </c>
      <c r="O274" s="113">
        <v>0</v>
      </c>
      <c r="P274" s="113">
        <v>0</v>
      </c>
    </row>
    <row r="275" spans="2:16" ht="13.9" customHeight="1" outlineLevel="1" x14ac:dyDescent="0.25">
      <c r="B275" s="149"/>
      <c r="C275" s="150" t="s">
        <v>52</v>
      </c>
      <c r="D275" s="85">
        <v>0</v>
      </c>
      <c r="E275" s="86">
        <v>0</v>
      </c>
      <c r="F275" s="142">
        <f t="shared" si="29"/>
        <v>0</v>
      </c>
      <c r="G275" s="113">
        <v>0</v>
      </c>
      <c r="H275" s="86">
        <v>0</v>
      </c>
      <c r="I275" s="113">
        <v>0</v>
      </c>
      <c r="J275" s="114">
        <f t="shared" si="30"/>
        <v>0</v>
      </c>
      <c r="K275" s="113">
        <f t="shared" si="31"/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</row>
    <row r="276" spans="2:16" ht="13.9" customHeight="1" outlineLevel="1" x14ac:dyDescent="0.25">
      <c r="B276" s="149"/>
      <c r="C276" s="150" t="s">
        <v>53</v>
      </c>
      <c r="D276" s="85">
        <v>0</v>
      </c>
      <c r="E276" s="86">
        <v>0</v>
      </c>
      <c r="F276" s="142">
        <f t="shared" si="29"/>
        <v>0</v>
      </c>
      <c r="G276" s="113">
        <v>0</v>
      </c>
      <c r="H276" s="86">
        <v>0</v>
      </c>
      <c r="I276" s="113">
        <v>0</v>
      </c>
      <c r="J276" s="114">
        <f t="shared" si="30"/>
        <v>0</v>
      </c>
      <c r="K276" s="113">
        <f t="shared" si="31"/>
        <v>0</v>
      </c>
      <c r="L276" s="113">
        <v>0</v>
      </c>
      <c r="M276" s="113">
        <v>0</v>
      </c>
      <c r="N276" s="113">
        <v>0</v>
      </c>
      <c r="O276" s="113">
        <v>0</v>
      </c>
      <c r="P276" s="113">
        <v>0</v>
      </c>
    </row>
    <row r="277" spans="2:16" ht="13.9" customHeight="1" outlineLevel="1" x14ac:dyDescent="0.25">
      <c r="B277" s="149"/>
      <c r="C277" s="150" t="s">
        <v>54</v>
      </c>
      <c r="D277" s="85">
        <v>0</v>
      </c>
      <c r="E277" s="86">
        <v>0</v>
      </c>
      <c r="F277" s="142">
        <f t="shared" si="29"/>
        <v>0</v>
      </c>
      <c r="G277" s="113">
        <v>0</v>
      </c>
      <c r="H277" s="86">
        <v>0</v>
      </c>
      <c r="I277" s="113">
        <v>0</v>
      </c>
      <c r="J277" s="114">
        <f t="shared" si="30"/>
        <v>0</v>
      </c>
      <c r="K277" s="113">
        <f t="shared" si="31"/>
        <v>0</v>
      </c>
      <c r="L277" s="113">
        <v>0</v>
      </c>
      <c r="M277" s="113">
        <v>0</v>
      </c>
      <c r="N277" s="113">
        <v>0</v>
      </c>
      <c r="O277" s="113">
        <v>0</v>
      </c>
      <c r="P277" s="113">
        <v>0</v>
      </c>
    </row>
    <row r="278" spans="2:16" ht="13.9" customHeight="1" outlineLevel="1" x14ac:dyDescent="0.25">
      <c r="B278" s="149"/>
      <c r="C278" s="150" t="s">
        <v>55</v>
      </c>
      <c r="D278" s="85">
        <v>0</v>
      </c>
      <c r="E278" s="86">
        <v>0</v>
      </c>
      <c r="F278" s="142">
        <f t="shared" si="29"/>
        <v>0</v>
      </c>
      <c r="G278" s="113">
        <v>0</v>
      </c>
      <c r="H278" s="86">
        <v>0</v>
      </c>
      <c r="I278" s="113">
        <v>0</v>
      </c>
      <c r="J278" s="114">
        <f t="shared" si="30"/>
        <v>0</v>
      </c>
      <c r="K278" s="113">
        <f t="shared" si="31"/>
        <v>0</v>
      </c>
      <c r="L278" s="113">
        <v>0</v>
      </c>
      <c r="M278" s="113">
        <v>0</v>
      </c>
      <c r="N278" s="113">
        <v>0</v>
      </c>
      <c r="O278" s="113">
        <v>0</v>
      </c>
      <c r="P278" s="113">
        <v>0</v>
      </c>
    </row>
    <row r="279" spans="2:16" ht="13.9" customHeight="1" outlineLevel="1" x14ac:dyDescent="0.25">
      <c r="B279" s="149"/>
      <c r="C279" s="150" t="s">
        <v>56</v>
      </c>
      <c r="D279" s="85">
        <v>0</v>
      </c>
      <c r="E279" s="86">
        <v>0</v>
      </c>
      <c r="F279" s="142">
        <f t="shared" si="29"/>
        <v>0</v>
      </c>
      <c r="G279" s="113">
        <v>0</v>
      </c>
      <c r="H279" s="86">
        <v>0</v>
      </c>
      <c r="I279" s="113">
        <v>0</v>
      </c>
      <c r="J279" s="114">
        <f t="shared" si="30"/>
        <v>0</v>
      </c>
      <c r="K279" s="113">
        <f t="shared" si="31"/>
        <v>0</v>
      </c>
      <c r="L279" s="113">
        <v>0</v>
      </c>
      <c r="M279" s="113">
        <v>0</v>
      </c>
      <c r="N279" s="113">
        <v>0</v>
      </c>
      <c r="O279" s="113">
        <v>0</v>
      </c>
      <c r="P279" s="113">
        <v>0</v>
      </c>
    </row>
    <row r="280" spans="2:16" ht="13.9" customHeight="1" outlineLevel="1" x14ac:dyDescent="0.25">
      <c r="B280" s="149"/>
      <c r="C280" s="150" t="s">
        <v>57</v>
      </c>
      <c r="D280" s="85">
        <v>0</v>
      </c>
      <c r="E280" s="86">
        <v>0</v>
      </c>
      <c r="F280" s="142">
        <f t="shared" si="29"/>
        <v>0</v>
      </c>
      <c r="G280" s="113">
        <v>0</v>
      </c>
      <c r="H280" s="86">
        <v>0</v>
      </c>
      <c r="I280" s="113">
        <v>0</v>
      </c>
      <c r="J280" s="114">
        <f t="shared" si="30"/>
        <v>0</v>
      </c>
      <c r="K280" s="113">
        <f t="shared" si="31"/>
        <v>0</v>
      </c>
      <c r="L280" s="113">
        <v>0</v>
      </c>
      <c r="M280" s="113">
        <v>0</v>
      </c>
      <c r="N280" s="113">
        <v>0</v>
      </c>
      <c r="O280" s="113">
        <v>0</v>
      </c>
      <c r="P280" s="113">
        <v>0</v>
      </c>
    </row>
    <row r="281" spans="2:16" ht="13.9" customHeight="1" outlineLevel="1" x14ac:dyDescent="0.25">
      <c r="B281" s="149"/>
      <c r="C281" s="150" t="s">
        <v>58</v>
      </c>
      <c r="D281" s="85">
        <v>0</v>
      </c>
      <c r="E281" s="86">
        <v>0</v>
      </c>
      <c r="F281" s="142">
        <f t="shared" si="29"/>
        <v>0</v>
      </c>
      <c r="G281" s="113">
        <v>0</v>
      </c>
      <c r="H281" s="86">
        <v>0</v>
      </c>
      <c r="I281" s="113">
        <v>0</v>
      </c>
      <c r="J281" s="114">
        <f t="shared" si="30"/>
        <v>0</v>
      </c>
      <c r="K281" s="113">
        <f t="shared" si="31"/>
        <v>0</v>
      </c>
      <c r="L281" s="113">
        <v>0</v>
      </c>
      <c r="M281" s="113">
        <v>0</v>
      </c>
      <c r="N281" s="113">
        <v>0</v>
      </c>
      <c r="O281" s="113">
        <v>0</v>
      </c>
      <c r="P281" s="113">
        <v>0</v>
      </c>
    </row>
    <row r="282" spans="2:16" ht="13.9" customHeight="1" outlineLevel="1" x14ac:dyDescent="0.25">
      <c r="B282" s="149"/>
      <c r="C282" s="150" t="s">
        <v>59</v>
      </c>
      <c r="D282" s="85">
        <v>0</v>
      </c>
      <c r="E282" s="86">
        <v>0</v>
      </c>
      <c r="F282" s="142">
        <f t="shared" si="29"/>
        <v>0</v>
      </c>
      <c r="G282" s="113">
        <v>0</v>
      </c>
      <c r="H282" s="86">
        <v>0</v>
      </c>
      <c r="I282" s="113">
        <v>0</v>
      </c>
      <c r="J282" s="114">
        <f t="shared" si="30"/>
        <v>0</v>
      </c>
      <c r="K282" s="113">
        <f t="shared" si="31"/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</row>
    <row r="283" spans="2:16" ht="13.9" customHeight="1" outlineLevel="1" x14ac:dyDescent="0.25">
      <c r="B283" s="149"/>
      <c r="C283" s="150" t="s">
        <v>60</v>
      </c>
      <c r="D283" s="85">
        <v>0</v>
      </c>
      <c r="E283" s="86">
        <v>0</v>
      </c>
      <c r="F283" s="142">
        <f t="shared" si="29"/>
        <v>0</v>
      </c>
      <c r="G283" s="113">
        <v>0</v>
      </c>
      <c r="H283" s="86">
        <v>0</v>
      </c>
      <c r="I283" s="113">
        <v>0</v>
      </c>
      <c r="J283" s="114">
        <f t="shared" si="30"/>
        <v>0</v>
      </c>
      <c r="K283" s="113">
        <f t="shared" si="31"/>
        <v>0</v>
      </c>
      <c r="L283" s="113">
        <v>0</v>
      </c>
      <c r="M283" s="113">
        <v>0</v>
      </c>
      <c r="N283" s="113">
        <v>0</v>
      </c>
      <c r="O283" s="113">
        <v>0</v>
      </c>
      <c r="P283" s="113">
        <v>0</v>
      </c>
    </row>
    <row r="284" spans="2:16" ht="13.9" customHeight="1" outlineLevel="1" x14ac:dyDescent="0.25">
      <c r="B284" s="149"/>
      <c r="C284" s="150" t="s">
        <v>61</v>
      </c>
      <c r="D284" s="85">
        <v>0</v>
      </c>
      <c r="E284" s="86">
        <v>0</v>
      </c>
      <c r="F284" s="142">
        <f t="shared" si="29"/>
        <v>0</v>
      </c>
      <c r="G284" s="113">
        <v>0</v>
      </c>
      <c r="H284" s="86">
        <v>0</v>
      </c>
      <c r="I284" s="113">
        <v>0</v>
      </c>
      <c r="J284" s="114">
        <f t="shared" si="30"/>
        <v>0</v>
      </c>
      <c r="K284" s="113">
        <f t="shared" si="31"/>
        <v>0</v>
      </c>
      <c r="L284" s="113">
        <v>0</v>
      </c>
      <c r="M284" s="113">
        <v>0</v>
      </c>
      <c r="N284" s="113">
        <v>0</v>
      </c>
      <c r="O284" s="113">
        <v>0</v>
      </c>
      <c r="P284" s="113">
        <v>0</v>
      </c>
    </row>
    <row r="285" spans="2:16" ht="13.9" customHeight="1" outlineLevel="1" x14ac:dyDescent="0.25">
      <c r="B285" s="149"/>
      <c r="C285" s="150" t="s">
        <v>62</v>
      </c>
      <c r="D285" s="85">
        <v>0</v>
      </c>
      <c r="E285" s="86">
        <v>0</v>
      </c>
      <c r="F285" s="142">
        <f t="shared" si="29"/>
        <v>0</v>
      </c>
      <c r="G285" s="113">
        <v>0</v>
      </c>
      <c r="H285" s="86">
        <v>0</v>
      </c>
      <c r="I285" s="113">
        <v>0</v>
      </c>
      <c r="J285" s="114">
        <f t="shared" si="30"/>
        <v>0</v>
      </c>
      <c r="K285" s="113">
        <f t="shared" si="31"/>
        <v>0</v>
      </c>
      <c r="L285" s="113">
        <v>0</v>
      </c>
      <c r="M285" s="113">
        <v>0</v>
      </c>
      <c r="N285" s="113">
        <v>0</v>
      </c>
      <c r="O285" s="113">
        <v>0</v>
      </c>
      <c r="P285" s="113">
        <v>0</v>
      </c>
    </row>
    <row r="286" spans="2:16" ht="13.9" customHeight="1" outlineLevel="1" x14ac:dyDescent="0.25">
      <c r="B286" s="149"/>
      <c r="C286" s="150" t="s">
        <v>63</v>
      </c>
      <c r="D286" s="85">
        <v>0</v>
      </c>
      <c r="E286" s="86">
        <v>0</v>
      </c>
      <c r="F286" s="142">
        <f t="shared" si="29"/>
        <v>0</v>
      </c>
      <c r="G286" s="113">
        <v>0</v>
      </c>
      <c r="H286" s="86">
        <v>0</v>
      </c>
      <c r="I286" s="113">
        <v>0</v>
      </c>
      <c r="J286" s="114">
        <f t="shared" si="30"/>
        <v>0</v>
      </c>
      <c r="K286" s="113">
        <f t="shared" si="31"/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</row>
    <row r="287" spans="2:16" ht="13.9" customHeight="1" outlineLevel="1" x14ac:dyDescent="0.25">
      <c r="B287" s="149"/>
      <c r="C287" s="150" t="s">
        <v>64</v>
      </c>
      <c r="D287" s="85">
        <v>0</v>
      </c>
      <c r="E287" s="86">
        <v>0</v>
      </c>
      <c r="F287" s="142">
        <f t="shared" si="29"/>
        <v>0</v>
      </c>
      <c r="G287" s="113">
        <v>0</v>
      </c>
      <c r="H287" s="86">
        <v>0</v>
      </c>
      <c r="I287" s="113">
        <v>0</v>
      </c>
      <c r="J287" s="114">
        <f t="shared" si="30"/>
        <v>0</v>
      </c>
      <c r="K287" s="113">
        <f t="shared" si="31"/>
        <v>0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</row>
    <row r="288" spans="2:16" ht="13.9" customHeight="1" outlineLevel="1" x14ac:dyDescent="0.25">
      <c r="B288" s="149"/>
      <c r="C288" s="150" t="s">
        <v>65</v>
      </c>
      <c r="D288" s="85">
        <v>0</v>
      </c>
      <c r="E288" s="86">
        <v>0</v>
      </c>
      <c r="F288" s="142">
        <f t="shared" si="29"/>
        <v>0</v>
      </c>
      <c r="G288" s="113">
        <v>0</v>
      </c>
      <c r="H288" s="86">
        <v>0</v>
      </c>
      <c r="I288" s="113">
        <v>0</v>
      </c>
      <c r="J288" s="114">
        <f t="shared" si="30"/>
        <v>0</v>
      </c>
      <c r="K288" s="113">
        <f t="shared" si="31"/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</row>
    <row r="289" spans="2:16" ht="13.9" customHeight="1" outlineLevel="1" x14ac:dyDescent="0.25">
      <c r="B289" s="149"/>
      <c r="C289" s="150" t="s">
        <v>66</v>
      </c>
      <c r="D289" s="85">
        <v>0</v>
      </c>
      <c r="E289" s="86">
        <v>0</v>
      </c>
      <c r="F289" s="142">
        <f t="shared" si="29"/>
        <v>0</v>
      </c>
      <c r="G289" s="113">
        <v>0</v>
      </c>
      <c r="H289" s="86">
        <v>0</v>
      </c>
      <c r="I289" s="113">
        <v>0</v>
      </c>
      <c r="J289" s="114">
        <f t="shared" si="30"/>
        <v>0</v>
      </c>
      <c r="K289" s="113">
        <f t="shared" si="31"/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</row>
    <row r="290" spans="2:16" ht="13.9" customHeight="1" outlineLevel="1" x14ac:dyDescent="0.25">
      <c r="B290" s="149"/>
      <c r="C290" s="150" t="s">
        <v>67</v>
      </c>
      <c r="D290" s="85">
        <v>0</v>
      </c>
      <c r="E290" s="86">
        <v>0</v>
      </c>
      <c r="F290" s="142">
        <f t="shared" si="29"/>
        <v>0</v>
      </c>
      <c r="G290" s="113">
        <v>0</v>
      </c>
      <c r="H290" s="86">
        <v>0</v>
      </c>
      <c r="I290" s="113">
        <v>0</v>
      </c>
      <c r="J290" s="114">
        <f t="shared" si="30"/>
        <v>0</v>
      </c>
      <c r="K290" s="113">
        <f t="shared" si="31"/>
        <v>0</v>
      </c>
      <c r="L290" s="113">
        <v>0</v>
      </c>
      <c r="M290" s="113">
        <v>0</v>
      </c>
      <c r="N290" s="113">
        <v>0</v>
      </c>
      <c r="O290" s="113">
        <v>0</v>
      </c>
      <c r="P290" s="113">
        <v>0</v>
      </c>
    </row>
    <row r="291" spans="2:16" ht="13.9" customHeight="1" x14ac:dyDescent="0.25">
      <c r="B291" s="149"/>
      <c r="C291" s="148" t="s">
        <v>103</v>
      </c>
      <c r="D291" s="90">
        <f>SUM(D254:D290)</f>
        <v>7</v>
      </c>
      <c r="E291" s="91">
        <f t="shared" ref="E291:P291" si="32">SUM(E254:E290)</f>
        <v>77755398.349999994</v>
      </c>
      <c r="F291" s="92">
        <f t="shared" si="32"/>
        <v>29934213.700000003</v>
      </c>
      <c r="G291" s="93">
        <f t="shared" si="32"/>
        <v>24486862.469999999</v>
      </c>
      <c r="H291" s="90">
        <f t="shared" si="32"/>
        <v>53268535.880000003</v>
      </c>
      <c r="I291" s="91">
        <f t="shared" si="32"/>
        <v>5447351.2299999995</v>
      </c>
      <c r="J291" s="92">
        <f t="shared" si="32"/>
        <v>47821184.650000006</v>
      </c>
      <c r="K291" s="93">
        <f t="shared" si="32"/>
        <v>14691718.250000002</v>
      </c>
      <c r="L291" s="90">
        <f t="shared" si="32"/>
        <v>28429664.260000002</v>
      </c>
      <c r="M291" s="91">
        <f t="shared" si="32"/>
        <v>4699802.1399999997</v>
      </c>
      <c r="N291" s="90">
        <f t="shared" si="32"/>
        <v>0</v>
      </c>
      <c r="O291" s="91">
        <f t="shared" si="32"/>
        <v>0</v>
      </c>
      <c r="P291" s="91">
        <f t="shared" si="32"/>
        <v>0</v>
      </c>
    </row>
    <row r="292" spans="2:16" ht="13.9" customHeight="1" outlineLevel="1" x14ac:dyDescent="0.25">
      <c r="B292" s="149" t="s">
        <v>83</v>
      </c>
      <c r="C292" s="150" t="s">
        <v>70</v>
      </c>
      <c r="D292" s="85">
        <v>0</v>
      </c>
      <c r="E292" s="86">
        <v>0</v>
      </c>
      <c r="F292" s="142">
        <f t="shared" si="29"/>
        <v>0</v>
      </c>
      <c r="G292" s="113">
        <v>0</v>
      </c>
      <c r="H292" s="86">
        <v>0</v>
      </c>
      <c r="I292" s="113">
        <v>0</v>
      </c>
      <c r="J292" s="114">
        <f t="shared" si="30"/>
        <v>0</v>
      </c>
      <c r="K292" s="113">
        <f t="shared" si="31"/>
        <v>0</v>
      </c>
      <c r="L292" s="113">
        <v>0</v>
      </c>
      <c r="M292" s="113">
        <v>0</v>
      </c>
      <c r="N292" s="113">
        <v>0</v>
      </c>
      <c r="O292" s="113">
        <v>0</v>
      </c>
      <c r="P292" s="113">
        <v>0</v>
      </c>
    </row>
    <row r="293" spans="2:16" ht="13.9" customHeight="1" outlineLevel="1" x14ac:dyDescent="0.25">
      <c r="B293" s="149"/>
      <c r="C293" s="150" t="s">
        <v>71</v>
      </c>
      <c r="D293" s="85">
        <v>0</v>
      </c>
      <c r="E293" s="86">
        <v>0</v>
      </c>
      <c r="F293" s="142">
        <f t="shared" si="29"/>
        <v>0</v>
      </c>
      <c r="G293" s="113">
        <v>0</v>
      </c>
      <c r="H293" s="86">
        <v>0</v>
      </c>
      <c r="I293" s="113">
        <v>0</v>
      </c>
      <c r="J293" s="114">
        <f t="shared" si="30"/>
        <v>0</v>
      </c>
      <c r="K293" s="113">
        <f t="shared" si="31"/>
        <v>0</v>
      </c>
      <c r="L293" s="113">
        <v>0</v>
      </c>
      <c r="M293" s="113">
        <v>0</v>
      </c>
      <c r="N293" s="113">
        <v>0</v>
      </c>
      <c r="O293" s="113">
        <v>0</v>
      </c>
      <c r="P293" s="113">
        <v>0</v>
      </c>
    </row>
    <row r="294" spans="2:16" ht="13.9" customHeight="1" outlineLevel="1" x14ac:dyDescent="0.25">
      <c r="B294" s="149"/>
      <c r="C294" s="150" t="s">
        <v>72</v>
      </c>
      <c r="D294" s="85">
        <v>0</v>
      </c>
      <c r="E294" s="86">
        <v>0</v>
      </c>
      <c r="F294" s="142">
        <f t="shared" si="29"/>
        <v>0</v>
      </c>
      <c r="G294" s="113">
        <v>0</v>
      </c>
      <c r="H294" s="86">
        <v>0</v>
      </c>
      <c r="I294" s="113">
        <v>0</v>
      </c>
      <c r="J294" s="114">
        <f t="shared" si="30"/>
        <v>0</v>
      </c>
      <c r="K294" s="113">
        <f t="shared" si="31"/>
        <v>0</v>
      </c>
      <c r="L294" s="113">
        <v>0</v>
      </c>
      <c r="M294" s="113">
        <v>0</v>
      </c>
      <c r="N294" s="113">
        <v>0</v>
      </c>
      <c r="O294" s="113">
        <v>0</v>
      </c>
      <c r="P294" s="113">
        <v>0</v>
      </c>
    </row>
    <row r="295" spans="2:16" ht="13.9" customHeight="1" x14ac:dyDescent="0.25">
      <c r="B295" s="149"/>
      <c r="C295" s="148" t="s">
        <v>104</v>
      </c>
      <c r="D295" s="90">
        <f>SUM(D292:D294)</f>
        <v>0</v>
      </c>
      <c r="E295" s="91">
        <f t="shared" ref="E295:P295" si="33">SUM(E292:E294)</f>
        <v>0</v>
      </c>
      <c r="F295" s="92">
        <f t="shared" si="33"/>
        <v>0</v>
      </c>
      <c r="G295" s="93">
        <f t="shared" si="33"/>
        <v>0</v>
      </c>
      <c r="H295" s="90">
        <f t="shared" si="33"/>
        <v>0</v>
      </c>
      <c r="I295" s="91">
        <f t="shared" si="33"/>
        <v>0</v>
      </c>
      <c r="J295" s="92">
        <f t="shared" si="33"/>
        <v>0</v>
      </c>
      <c r="K295" s="93">
        <f t="shared" si="33"/>
        <v>0</v>
      </c>
      <c r="L295" s="90">
        <f t="shared" si="33"/>
        <v>0</v>
      </c>
      <c r="M295" s="91">
        <f t="shared" si="33"/>
        <v>0</v>
      </c>
      <c r="N295" s="90">
        <f t="shared" si="33"/>
        <v>0</v>
      </c>
      <c r="O295" s="91">
        <f t="shared" si="33"/>
        <v>0</v>
      </c>
      <c r="P295" s="91">
        <f t="shared" si="33"/>
        <v>0</v>
      </c>
    </row>
    <row r="296" spans="2:16" ht="13.9" customHeight="1" outlineLevel="1" x14ac:dyDescent="0.25">
      <c r="B296" s="149" t="s">
        <v>105</v>
      </c>
      <c r="C296" s="150" t="s">
        <v>75</v>
      </c>
      <c r="D296" s="85">
        <v>0</v>
      </c>
      <c r="E296" s="86">
        <v>0</v>
      </c>
      <c r="F296" s="142">
        <f t="shared" si="29"/>
        <v>0</v>
      </c>
      <c r="G296" s="113">
        <v>0</v>
      </c>
      <c r="H296" s="86">
        <v>0</v>
      </c>
      <c r="I296" s="113">
        <v>0</v>
      </c>
      <c r="J296" s="114">
        <f t="shared" si="30"/>
        <v>0</v>
      </c>
      <c r="K296" s="113">
        <f t="shared" si="31"/>
        <v>0</v>
      </c>
      <c r="L296" s="113">
        <v>0</v>
      </c>
      <c r="M296" s="113">
        <v>0</v>
      </c>
      <c r="N296" s="113">
        <v>0</v>
      </c>
      <c r="O296" s="113">
        <v>0</v>
      </c>
      <c r="P296" s="113">
        <v>0</v>
      </c>
    </row>
    <row r="297" spans="2:16" ht="13.9" customHeight="1" outlineLevel="1" x14ac:dyDescent="0.25">
      <c r="B297" s="149"/>
      <c r="C297" s="150" t="s">
        <v>76</v>
      </c>
      <c r="D297" s="85">
        <v>0</v>
      </c>
      <c r="E297" s="86">
        <v>0</v>
      </c>
      <c r="F297" s="142">
        <f t="shared" si="29"/>
        <v>0</v>
      </c>
      <c r="G297" s="113">
        <v>0</v>
      </c>
      <c r="H297" s="86">
        <v>0</v>
      </c>
      <c r="I297" s="113">
        <v>0</v>
      </c>
      <c r="J297" s="114">
        <f t="shared" si="30"/>
        <v>0</v>
      </c>
      <c r="K297" s="113">
        <f t="shared" si="31"/>
        <v>0</v>
      </c>
      <c r="L297" s="113">
        <v>0</v>
      </c>
      <c r="M297" s="113">
        <v>0</v>
      </c>
      <c r="N297" s="113">
        <v>0</v>
      </c>
      <c r="O297" s="113">
        <v>0</v>
      </c>
      <c r="P297" s="113">
        <v>0</v>
      </c>
    </row>
    <row r="298" spans="2:16" ht="13.9" customHeight="1" x14ac:dyDescent="0.25">
      <c r="B298" s="149"/>
      <c r="C298" s="148" t="s">
        <v>106</v>
      </c>
      <c r="D298" s="90">
        <f>SUM(D296:D297)</f>
        <v>0</v>
      </c>
      <c r="E298" s="91">
        <f t="shared" ref="E298:P298" si="34">SUM(E296:E297)</f>
        <v>0</v>
      </c>
      <c r="F298" s="92">
        <f t="shared" si="34"/>
        <v>0</v>
      </c>
      <c r="G298" s="93">
        <f t="shared" si="34"/>
        <v>0</v>
      </c>
      <c r="H298" s="90">
        <f t="shared" si="34"/>
        <v>0</v>
      </c>
      <c r="I298" s="91">
        <f t="shared" si="34"/>
        <v>0</v>
      </c>
      <c r="J298" s="92">
        <f t="shared" si="34"/>
        <v>0</v>
      </c>
      <c r="K298" s="93">
        <f t="shared" si="34"/>
        <v>0</v>
      </c>
      <c r="L298" s="90">
        <f t="shared" si="34"/>
        <v>0</v>
      </c>
      <c r="M298" s="91">
        <f t="shared" si="34"/>
        <v>0</v>
      </c>
      <c r="N298" s="90">
        <f t="shared" si="34"/>
        <v>0</v>
      </c>
      <c r="O298" s="91">
        <f t="shared" si="34"/>
        <v>0</v>
      </c>
      <c r="P298" s="91">
        <f t="shared" si="34"/>
        <v>0</v>
      </c>
    </row>
    <row r="299" spans="2:16" ht="13.9" customHeight="1" x14ac:dyDescent="0.25">
      <c r="B299" s="155" t="s">
        <v>78</v>
      </c>
      <c r="C299" s="155"/>
      <c r="D299" s="90">
        <f>D291+D295+D298</f>
        <v>7</v>
      </c>
      <c r="E299" s="91">
        <f t="shared" ref="E299:P299" si="35">E291+E295+E298</f>
        <v>77755398.349999994</v>
      </c>
      <c r="F299" s="92">
        <f t="shared" si="35"/>
        <v>29934213.700000003</v>
      </c>
      <c r="G299" s="93">
        <f t="shared" si="35"/>
        <v>24486862.469999999</v>
      </c>
      <c r="H299" s="90">
        <f t="shared" si="35"/>
        <v>53268535.880000003</v>
      </c>
      <c r="I299" s="91">
        <f t="shared" si="35"/>
        <v>5447351.2299999995</v>
      </c>
      <c r="J299" s="92">
        <f t="shared" si="35"/>
        <v>47821184.650000006</v>
      </c>
      <c r="K299" s="93">
        <f t="shared" si="35"/>
        <v>14691718.250000002</v>
      </c>
      <c r="L299" s="90">
        <f t="shared" si="35"/>
        <v>28429664.260000002</v>
      </c>
      <c r="M299" s="91">
        <f t="shared" si="35"/>
        <v>4699802.1399999997</v>
      </c>
      <c r="N299" s="90">
        <f t="shared" si="35"/>
        <v>0</v>
      </c>
      <c r="O299" s="91">
        <f t="shared" si="35"/>
        <v>0</v>
      </c>
      <c r="P299" s="91">
        <f t="shared" si="35"/>
        <v>0</v>
      </c>
    </row>
    <row r="300" spans="2:16" ht="13.9" customHeight="1" x14ac:dyDescent="0.25"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</row>
    <row r="301" spans="2:16" ht="13.9" customHeight="1" x14ac:dyDescent="0.25">
      <c r="B301" s="107" t="s">
        <v>91</v>
      </c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</row>
    <row r="302" spans="2:16" ht="13.9" customHeight="1" x14ac:dyDescent="0.25">
      <c r="B302" s="154" t="s">
        <v>26</v>
      </c>
      <c r="C302" s="148" t="s">
        <v>27</v>
      </c>
      <c r="D302" s="109" t="s">
        <v>28</v>
      </c>
      <c r="E302" s="110" t="s">
        <v>29</v>
      </c>
      <c r="F302" s="111" t="s">
        <v>85</v>
      </c>
      <c r="G302" s="112" t="s">
        <v>81</v>
      </c>
      <c r="H302" s="110" t="s">
        <v>82</v>
      </c>
      <c r="I302" s="112" t="s">
        <v>86</v>
      </c>
      <c r="J302" s="110" t="s">
        <v>87</v>
      </c>
      <c r="K302" s="112">
        <v>2026</v>
      </c>
      <c r="L302" s="112">
        <v>2027</v>
      </c>
      <c r="M302" s="110">
        <v>2028</v>
      </c>
      <c r="N302" s="112">
        <v>2029</v>
      </c>
      <c r="O302" s="110">
        <v>2030</v>
      </c>
      <c r="P302" s="112">
        <v>2031</v>
      </c>
    </row>
    <row r="303" spans="2:16" ht="13.9" customHeight="1" outlineLevel="1" x14ac:dyDescent="0.25">
      <c r="B303" s="149" t="s">
        <v>30</v>
      </c>
      <c r="C303" s="150" t="s">
        <v>31</v>
      </c>
      <c r="D303" s="85">
        <v>0</v>
      </c>
      <c r="E303" s="86">
        <v>0</v>
      </c>
      <c r="F303" s="142">
        <f t="shared" ref="F303:F346" si="36">G303+I303</f>
        <v>0</v>
      </c>
      <c r="G303" s="113">
        <v>0</v>
      </c>
      <c r="H303" s="86">
        <v>0</v>
      </c>
      <c r="I303" s="113">
        <v>0</v>
      </c>
      <c r="J303" s="114">
        <f t="shared" ref="J303:J346" si="37">H303-I303</f>
        <v>0</v>
      </c>
      <c r="K303" s="113">
        <f t="shared" ref="K303:K346" si="38">MAX(J303-SUM(L303:P303),0)</f>
        <v>0</v>
      </c>
      <c r="L303" s="113">
        <v>0</v>
      </c>
      <c r="M303" s="113">
        <v>0</v>
      </c>
      <c r="N303" s="113">
        <v>0</v>
      </c>
      <c r="O303" s="113">
        <v>0</v>
      </c>
      <c r="P303" s="113">
        <v>0</v>
      </c>
    </row>
    <row r="304" spans="2:16" ht="13.9" customHeight="1" outlineLevel="1" x14ac:dyDescent="0.25">
      <c r="B304" s="149"/>
      <c r="C304" s="150" t="s">
        <v>32</v>
      </c>
      <c r="D304" s="85">
        <v>0</v>
      </c>
      <c r="E304" s="86">
        <v>0</v>
      </c>
      <c r="F304" s="142">
        <f t="shared" si="36"/>
        <v>0</v>
      </c>
      <c r="G304" s="113">
        <v>0</v>
      </c>
      <c r="H304" s="86">
        <v>0</v>
      </c>
      <c r="I304" s="113">
        <v>0</v>
      </c>
      <c r="J304" s="114">
        <f t="shared" si="37"/>
        <v>0</v>
      </c>
      <c r="K304" s="113">
        <f t="shared" si="38"/>
        <v>0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</row>
    <row r="305" spans="2:16" ht="13.9" customHeight="1" outlineLevel="1" x14ac:dyDescent="0.25">
      <c r="B305" s="149"/>
      <c r="C305" s="150" t="s">
        <v>33</v>
      </c>
      <c r="D305" s="85">
        <v>0</v>
      </c>
      <c r="E305" s="86">
        <v>0</v>
      </c>
      <c r="F305" s="142">
        <f t="shared" si="36"/>
        <v>0</v>
      </c>
      <c r="G305" s="113">
        <v>0</v>
      </c>
      <c r="H305" s="86">
        <v>0</v>
      </c>
      <c r="I305" s="113">
        <v>0</v>
      </c>
      <c r="J305" s="114">
        <f t="shared" si="37"/>
        <v>0</v>
      </c>
      <c r="K305" s="113">
        <f t="shared" si="38"/>
        <v>0</v>
      </c>
      <c r="L305" s="113">
        <v>0</v>
      </c>
      <c r="M305" s="113">
        <v>0</v>
      </c>
      <c r="N305" s="113">
        <v>0</v>
      </c>
      <c r="O305" s="113">
        <v>0</v>
      </c>
      <c r="P305" s="113">
        <v>0</v>
      </c>
    </row>
    <row r="306" spans="2:16" ht="13.9" customHeight="1" outlineLevel="1" x14ac:dyDescent="0.25">
      <c r="B306" s="149"/>
      <c r="C306" s="150" t="s">
        <v>34</v>
      </c>
      <c r="D306" s="85">
        <v>30</v>
      </c>
      <c r="E306" s="86">
        <v>87923137</v>
      </c>
      <c r="F306" s="142">
        <f t="shared" si="36"/>
        <v>52753882.199999981</v>
      </c>
      <c r="G306" s="113">
        <v>51088601.919999979</v>
      </c>
      <c r="H306" s="86">
        <v>36834535.079999998</v>
      </c>
      <c r="I306" s="113">
        <v>1665280.2800000003</v>
      </c>
      <c r="J306" s="114">
        <f t="shared" si="37"/>
        <v>35169254.799999997</v>
      </c>
      <c r="K306" s="113">
        <f t="shared" si="38"/>
        <v>8792313.6999999993</v>
      </c>
      <c r="L306" s="113">
        <v>17584627.399999999</v>
      </c>
      <c r="M306" s="113">
        <v>8792313.6999999993</v>
      </c>
      <c r="N306" s="113">
        <v>0</v>
      </c>
      <c r="O306" s="113">
        <v>0</v>
      </c>
      <c r="P306" s="113">
        <v>0</v>
      </c>
    </row>
    <row r="307" spans="2:16" ht="13.9" customHeight="1" outlineLevel="1" x14ac:dyDescent="0.25">
      <c r="B307" s="149"/>
      <c r="C307" s="150" t="s">
        <v>35</v>
      </c>
      <c r="D307" s="85">
        <v>0</v>
      </c>
      <c r="E307" s="86">
        <v>0</v>
      </c>
      <c r="F307" s="142">
        <f t="shared" si="36"/>
        <v>0</v>
      </c>
      <c r="G307" s="113">
        <v>0</v>
      </c>
      <c r="H307" s="86">
        <v>0</v>
      </c>
      <c r="I307" s="113">
        <v>0</v>
      </c>
      <c r="J307" s="114">
        <f t="shared" si="37"/>
        <v>0</v>
      </c>
      <c r="K307" s="113">
        <f t="shared" si="38"/>
        <v>0</v>
      </c>
      <c r="L307" s="113">
        <v>0</v>
      </c>
      <c r="M307" s="113">
        <v>0</v>
      </c>
      <c r="N307" s="113">
        <v>0</v>
      </c>
      <c r="O307" s="113">
        <v>0</v>
      </c>
      <c r="P307" s="113">
        <v>0</v>
      </c>
    </row>
    <row r="308" spans="2:16" ht="13.9" customHeight="1" outlineLevel="1" x14ac:dyDescent="0.25">
      <c r="B308" s="149"/>
      <c r="C308" s="150" t="s">
        <v>36</v>
      </c>
      <c r="D308" s="85">
        <v>0</v>
      </c>
      <c r="E308" s="86">
        <v>0</v>
      </c>
      <c r="F308" s="142">
        <f t="shared" si="36"/>
        <v>0</v>
      </c>
      <c r="G308" s="113">
        <v>0</v>
      </c>
      <c r="H308" s="86">
        <v>0</v>
      </c>
      <c r="I308" s="113">
        <v>0</v>
      </c>
      <c r="J308" s="114">
        <f t="shared" si="37"/>
        <v>0</v>
      </c>
      <c r="K308" s="113">
        <f t="shared" si="38"/>
        <v>0</v>
      </c>
      <c r="L308" s="113">
        <v>0</v>
      </c>
      <c r="M308" s="113">
        <v>0</v>
      </c>
      <c r="N308" s="113">
        <v>0</v>
      </c>
      <c r="O308" s="113">
        <v>0</v>
      </c>
      <c r="P308" s="113">
        <v>0</v>
      </c>
    </row>
    <row r="309" spans="2:16" ht="13.9" customHeight="1" outlineLevel="1" x14ac:dyDescent="0.25">
      <c r="B309" s="149"/>
      <c r="C309" s="150" t="s">
        <v>37</v>
      </c>
      <c r="D309" s="85">
        <v>0</v>
      </c>
      <c r="E309" s="86">
        <v>0</v>
      </c>
      <c r="F309" s="142">
        <f t="shared" si="36"/>
        <v>0</v>
      </c>
      <c r="G309" s="113">
        <v>0</v>
      </c>
      <c r="H309" s="86">
        <v>0</v>
      </c>
      <c r="I309" s="113">
        <v>0</v>
      </c>
      <c r="J309" s="114">
        <f t="shared" si="37"/>
        <v>0</v>
      </c>
      <c r="K309" s="113">
        <f t="shared" si="38"/>
        <v>0</v>
      </c>
      <c r="L309" s="113">
        <v>0</v>
      </c>
      <c r="M309" s="113">
        <v>0</v>
      </c>
      <c r="N309" s="113">
        <v>0</v>
      </c>
      <c r="O309" s="113">
        <v>0</v>
      </c>
      <c r="P309" s="113">
        <v>0</v>
      </c>
    </row>
    <row r="310" spans="2:16" ht="13.9" customHeight="1" outlineLevel="1" x14ac:dyDescent="0.25">
      <c r="B310" s="149"/>
      <c r="C310" s="150" t="s">
        <v>38</v>
      </c>
      <c r="D310" s="85">
        <v>0</v>
      </c>
      <c r="E310" s="86">
        <v>0</v>
      </c>
      <c r="F310" s="142">
        <f t="shared" si="36"/>
        <v>0</v>
      </c>
      <c r="G310" s="113">
        <v>0</v>
      </c>
      <c r="H310" s="86">
        <v>0</v>
      </c>
      <c r="I310" s="113">
        <v>0</v>
      </c>
      <c r="J310" s="114">
        <f t="shared" si="37"/>
        <v>0</v>
      </c>
      <c r="K310" s="113">
        <f t="shared" si="38"/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</row>
    <row r="311" spans="2:16" ht="13.9" customHeight="1" outlineLevel="1" x14ac:dyDescent="0.25">
      <c r="B311" s="149"/>
      <c r="C311" s="150" t="s">
        <v>39</v>
      </c>
      <c r="D311" s="85">
        <v>0</v>
      </c>
      <c r="E311" s="86">
        <v>0</v>
      </c>
      <c r="F311" s="142">
        <f t="shared" si="36"/>
        <v>0</v>
      </c>
      <c r="G311" s="113">
        <v>0</v>
      </c>
      <c r="H311" s="86">
        <v>0</v>
      </c>
      <c r="I311" s="113">
        <v>0</v>
      </c>
      <c r="J311" s="114">
        <f t="shared" si="37"/>
        <v>0</v>
      </c>
      <c r="K311" s="113">
        <f t="shared" si="38"/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</row>
    <row r="312" spans="2:16" ht="13.9" customHeight="1" outlineLevel="1" x14ac:dyDescent="0.25">
      <c r="B312" s="149"/>
      <c r="C312" s="150" t="s">
        <v>40</v>
      </c>
      <c r="D312" s="85">
        <v>2</v>
      </c>
      <c r="E312" s="86">
        <v>61108326</v>
      </c>
      <c r="F312" s="142">
        <f t="shared" si="36"/>
        <v>31189512</v>
      </c>
      <c r="G312" s="113">
        <v>25412361.600000001</v>
      </c>
      <c r="H312" s="86">
        <v>35695964.399999999</v>
      </c>
      <c r="I312" s="113">
        <v>5777150.4000000004</v>
      </c>
      <c r="J312" s="114">
        <f t="shared" si="37"/>
        <v>29918814</v>
      </c>
      <c r="K312" s="113">
        <f t="shared" si="38"/>
        <v>18946167.600000001</v>
      </c>
      <c r="L312" s="113">
        <v>10972646.4</v>
      </c>
      <c r="M312" s="113">
        <v>0</v>
      </c>
      <c r="N312" s="113">
        <v>0</v>
      </c>
      <c r="O312" s="113">
        <v>0</v>
      </c>
      <c r="P312" s="113">
        <v>0</v>
      </c>
    </row>
    <row r="313" spans="2:16" ht="13.9" customHeight="1" outlineLevel="1" x14ac:dyDescent="0.25">
      <c r="B313" s="149"/>
      <c r="C313" s="150" t="s">
        <v>41</v>
      </c>
      <c r="D313" s="85">
        <v>0</v>
      </c>
      <c r="E313" s="86">
        <v>0</v>
      </c>
      <c r="F313" s="142">
        <f t="shared" si="36"/>
        <v>0</v>
      </c>
      <c r="G313" s="113">
        <v>0</v>
      </c>
      <c r="H313" s="86">
        <v>0</v>
      </c>
      <c r="I313" s="113">
        <v>0</v>
      </c>
      <c r="J313" s="114">
        <f t="shared" si="37"/>
        <v>0</v>
      </c>
      <c r="K313" s="113">
        <f t="shared" si="38"/>
        <v>0</v>
      </c>
      <c r="L313" s="113">
        <v>0</v>
      </c>
      <c r="M313" s="113">
        <v>0</v>
      </c>
      <c r="N313" s="113">
        <v>0</v>
      </c>
      <c r="O313" s="113">
        <v>0</v>
      </c>
      <c r="P313" s="113">
        <v>0</v>
      </c>
    </row>
    <row r="314" spans="2:16" ht="13.9" customHeight="1" outlineLevel="1" x14ac:dyDescent="0.25">
      <c r="B314" s="149"/>
      <c r="C314" s="150" t="s">
        <v>42</v>
      </c>
      <c r="D314" s="85">
        <v>0</v>
      </c>
      <c r="E314" s="86">
        <v>0</v>
      </c>
      <c r="F314" s="142">
        <f t="shared" si="36"/>
        <v>0</v>
      </c>
      <c r="G314" s="113">
        <v>0</v>
      </c>
      <c r="H314" s="86">
        <v>0</v>
      </c>
      <c r="I314" s="113">
        <v>0</v>
      </c>
      <c r="J314" s="114">
        <f t="shared" si="37"/>
        <v>0</v>
      </c>
      <c r="K314" s="113">
        <f t="shared" si="38"/>
        <v>0</v>
      </c>
      <c r="L314" s="113">
        <v>0</v>
      </c>
      <c r="M314" s="113">
        <v>0</v>
      </c>
      <c r="N314" s="113">
        <v>0</v>
      </c>
      <c r="O314" s="113">
        <v>0</v>
      </c>
      <c r="P314" s="113">
        <v>0</v>
      </c>
    </row>
    <row r="315" spans="2:16" ht="13.9" customHeight="1" outlineLevel="1" x14ac:dyDescent="0.25">
      <c r="B315" s="149"/>
      <c r="C315" s="150" t="s">
        <v>43</v>
      </c>
      <c r="D315" s="85">
        <v>0</v>
      </c>
      <c r="E315" s="86">
        <v>0</v>
      </c>
      <c r="F315" s="142">
        <f t="shared" si="36"/>
        <v>0</v>
      </c>
      <c r="G315" s="113">
        <v>0</v>
      </c>
      <c r="H315" s="86">
        <v>0</v>
      </c>
      <c r="I315" s="113">
        <v>0</v>
      </c>
      <c r="J315" s="114">
        <f t="shared" si="37"/>
        <v>0</v>
      </c>
      <c r="K315" s="113">
        <f t="shared" si="38"/>
        <v>0</v>
      </c>
      <c r="L315" s="113">
        <v>0</v>
      </c>
      <c r="M315" s="113">
        <v>0</v>
      </c>
      <c r="N315" s="113">
        <v>0</v>
      </c>
      <c r="O315" s="113">
        <v>0</v>
      </c>
      <c r="P315" s="113">
        <v>0</v>
      </c>
    </row>
    <row r="316" spans="2:16" ht="13.9" customHeight="1" outlineLevel="1" x14ac:dyDescent="0.25">
      <c r="B316" s="149"/>
      <c r="C316" s="150" t="s">
        <v>44</v>
      </c>
      <c r="D316" s="85">
        <v>0</v>
      </c>
      <c r="E316" s="86">
        <v>0</v>
      </c>
      <c r="F316" s="142">
        <f t="shared" si="36"/>
        <v>0</v>
      </c>
      <c r="G316" s="113">
        <v>0</v>
      </c>
      <c r="H316" s="86">
        <v>0</v>
      </c>
      <c r="I316" s="113">
        <v>0</v>
      </c>
      <c r="J316" s="114">
        <f t="shared" si="37"/>
        <v>0</v>
      </c>
      <c r="K316" s="113">
        <f t="shared" si="38"/>
        <v>0</v>
      </c>
      <c r="L316" s="113">
        <v>0</v>
      </c>
      <c r="M316" s="113">
        <v>0</v>
      </c>
      <c r="N316" s="113">
        <v>0</v>
      </c>
      <c r="O316" s="113">
        <v>0</v>
      </c>
      <c r="P316" s="113">
        <v>0</v>
      </c>
    </row>
    <row r="317" spans="2:16" ht="13.9" customHeight="1" outlineLevel="1" x14ac:dyDescent="0.25">
      <c r="B317" s="149"/>
      <c r="C317" s="150" t="s">
        <v>45</v>
      </c>
      <c r="D317" s="85">
        <v>0</v>
      </c>
      <c r="E317" s="86">
        <v>0</v>
      </c>
      <c r="F317" s="142">
        <f t="shared" si="36"/>
        <v>0</v>
      </c>
      <c r="G317" s="113">
        <v>0</v>
      </c>
      <c r="H317" s="86">
        <v>0</v>
      </c>
      <c r="I317" s="113">
        <v>0</v>
      </c>
      <c r="J317" s="114">
        <f t="shared" si="37"/>
        <v>0</v>
      </c>
      <c r="K317" s="113">
        <f t="shared" si="38"/>
        <v>0</v>
      </c>
      <c r="L317" s="113">
        <v>0</v>
      </c>
      <c r="M317" s="113">
        <v>0</v>
      </c>
      <c r="N317" s="113">
        <v>0</v>
      </c>
      <c r="O317" s="113">
        <v>0</v>
      </c>
      <c r="P317" s="113">
        <v>0</v>
      </c>
    </row>
    <row r="318" spans="2:16" ht="13.9" customHeight="1" outlineLevel="1" x14ac:dyDescent="0.25">
      <c r="B318" s="149"/>
      <c r="C318" s="150" t="s">
        <v>46</v>
      </c>
      <c r="D318" s="85">
        <v>0</v>
      </c>
      <c r="E318" s="86">
        <v>0</v>
      </c>
      <c r="F318" s="142">
        <f t="shared" si="36"/>
        <v>0</v>
      </c>
      <c r="G318" s="113">
        <v>0</v>
      </c>
      <c r="H318" s="86">
        <v>0</v>
      </c>
      <c r="I318" s="113">
        <v>0</v>
      </c>
      <c r="J318" s="114">
        <f t="shared" si="37"/>
        <v>0</v>
      </c>
      <c r="K318" s="113">
        <f t="shared" si="38"/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</row>
    <row r="319" spans="2:16" ht="13.9" customHeight="1" outlineLevel="1" x14ac:dyDescent="0.25">
      <c r="B319" s="149"/>
      <c r="C319" s="150" t="s">
        <v>47</v>
      </c>
      <c r="D319" s="85">
        <v>0</v>
      </c>
      <c r="E319" s="86">
        <v>0</v>
      </c>
      <c r="F319" s="142">
        <f t="shared" si="36"/>
        <v>0</v>
      </c>
      <c r="G319" s="113">
        <v>0</v>
      </c>
      <c r="H319" s="86">
        <v>0</v>
      </c>
      <c r="I319" s="113">
        <v>0</v>
      </c>
      <c r="J319" s="114">
        <f t="shared" si="37"/>
        <v>0</v>
      </c>
      <c r="K319" s="113">
        <f t="shared" si="38"/>
        <v>0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</row>
    <row r="320" spans="2:16" ht="13.9" customHeight="1" outlineLevel="1" x14ac:dyDescent="0.25">
      <c r="B320" s="149"/>
      <c r="C320" s="150" t="s">
        <v>48</v>
      </c>
      <c r="D320" s="85">
        <v>0</v>
      </c>
      <c r="E320" s="86">
        <v>0</v>
      </c>
      <c r="F320" s="142">
        <f t="shared" si="36"/>
        <v>0</v>
      </c>
      <c r="G320" s="113">
        <v>0</v>
      </c>
      <c r="H320" s="86">
        <v>0</v>
      </c>
      <c r="I320" s="113">
        <v>0</v>
      </c>
      <c r="J320" s="114">
        <f t="shared" si="37"/>
        <v>0</v>
      </c>
      <c r="K320" s="113">
        <f t="shared" si="38"/>
        <v>0</v>
      </c>
      <c r="L320" s="113">
        <v>0</v>
      </c>
      <c r="M320" s="113">
        <v>0</v>
      </c>
      <c r="N320" s="113">
        <v>0</v>
      </c>
      <c r="O320" s="113">
        <v>0</v>
      </c>
      <c r="P320" s="113">
        <v>0</v>
      </c>
    </row>
    <row r="321" spans="2:16" ht="13.9" customHeight="1" outlineLevel="1" x14ac:dyDescent="0.25">
      <c r="B321" s="149"/>
      <c r="C321" s="150" t="s">
        <v>49</v>
      </c>
      <c r="D321" s="85">
        <v>2</v>
      </c>
      <c r="E321" s="86">
        <v>23992152.259999998</v>
      </c>
      <c r="F321" s="142">
        <f t="shared" si="36"/>
        <v>13212599.02</v>
      </c>
      <c r="G321" s="113">
        <v>11996076</v>
      </c>
      <c r="H321" s="86">
        <v>11996076.26</v>
      </c>
      <c r="I321" s="113">
        <v>1216523.02</v>
      </c>
      <c r="J321" s="114">
        <f t="shared" si="37"/>
        <v>10779553.24</v>
      </c>
      <c r="K321" s="113">
        <f t="shared" si="38"/>
        <v>1182692.33</v>
      </c>
      <c r="L321" s="113">
        <v>9596860.9100000001</v>
      </c>
      <c r="M321" s="113">
        <v>0</v>
      </c>
      <c r="N321" s="113">
        <v>0</v>
      </c>
      <c r="O321" s="113">
        <v>0</v>
      </c>
      <c r="P321" s="113">
        <v>0</v>
      </c>
    </row>
    <row r="322" spans="2:16" ht="13.9" customHeight="1" outlineLevel="1" x14ac:dyDescent="0.25">
      <c r="B322" s="149"/>
      <c r="C322" s="150" t="s">
        <v>50</v>
      </c>
      <c r="D322" s="85">
        <v>0</v>
      </c>
      <c r="E322" s="86">
        <v>0</v>
      </c>
      <c r="F322" s="142">
        <f t="shared" si="36"/>
        <v>0</v>
      </c>
      <c r="G322" s="113">
        <v>0</v>
      </c>
      <c r="H322" s="86">
        <v>0</v>
      </c>
      <c r="I322" s="113">
        <v>0</v>
      </c>
      <c r="J322" s="114">
        <f t="shared" si="37"/>
        <v>0</v>
      </c>
      <c r="K322" s="113">
        <f t="shared" si="38"/>
        <v>0</v>
      </c>
      <c r="L322" s="113">
        <v>0</v>
      </c>
      <c r="M322" s="113">
        <v>0</v>
      </c>
      <c r="N322" s="113">
        <v>0</v>
      </c>
      <c r="O322" s="113">
        <v>0</v>
      </c>
      <c r="P322" s="113">
        <v>0</v>
      </c>
    </row>
    <row r="323" spans="2:16" ht="13.9" customHeight="1" outlineLevel="1" x14ac:dyDescent="0.25">
      <c r="B323" s="149"/>
      <c r="C323" s="150" t="s">
        <v>51</v>
      </c>
      <c r="D323" s="85">
        <v>0</v>
      </c>
      <c r="E323" s="86">
        <v>0</v>
      </c>
      <c r="F323" s="142">
        <f t="shared" si="36"/>
        <v>0</v>
      </c>
      <c r="G323" s="113">
        <v>0</v>
      </c>
      <c r="H323" s="86">
        <v>0</v>
      </c>
      <c r="I323" s="113">
        <v>0</v>
      </c>
      <c r="J323" s="114">
        <f t="shared" si="37"/>
        <v>0</v>
      </c>
      <c r="K323" s="113">
        <f t="shared" si="38"/>
        <v>0</v>
      </c>
      <c r="L323" s="113">
        <v>0</v>
      </c>
      <c r="M323" s="113">
        <v>0</v>
      </c>
      <c r="N323" s="113">
        <v>0</v>
      </c>
      <c r="O323" s="113">
        <v>0</v>
      </c>
      <c r="P323" s="113">
        <v>0</v>
      </c>
    </row>
    <row r="324" spans="2:16" ht="13.9" customHeight="1" outlineLevel="1" x14ac:dyDescent="0.25">
      <c r="B324" s="149"/>
      <c r="C324" s="150" t="s">
        <v>52</v>
      </c>
      <c r="D324" s="85">
        <v>0</v>
      </c>
      <c r="E324" s="86">
        <v>0</v>
      </c>
      <c r="F324" s="142">
        <f t="shared" si="36"/>
        <v>0</v>
      </c>
      <c r="G324" s="113">
        <v>0</v>
      </c>
      <c r="H324" s="86">
        <v>0</v>
      </c>
      <c r="I324" s="113">
        <v>0</v>
      </c>
      <c r="J324" s="114">
        <f t="shared" si="37"/>
        <v>0</v>
      </c>
      <c r="K324" s="113">
        <f t="shared" si="38"/>
        <v>0</v>
      </c>
      <c r="L324" s="113">
        <v>0</v>
      </c>
      <c r="M324" s="113">
        <v>0</v>
      </c>
      <c r="N324" s="113">
        <v>0</v>
      </c>
      <c r="O324" s="113">
        <v>0</v>
      </c>
      <c r="P324" s="113">
        <v>0</v>
      </c>
    </row>
    <row r="325" spans="2:16" ht="13.9" customHeight="1" outlineLevel="1" x14ac:dyDescent="0.25">
      <c r="B325" s="149"/>
      <c r="C325" s="150" t="s">
        <v>53</v>
      </c>
      <c r="D325" s="85">
        <v>0</v>
      </c>
      <c r="E325" s="86">
        <v>0</v>
      </c>
      <c r="F325" s="142">
        <f t="shared" si="36"/>
        <v>0</v>
      </c>
      <c r="G325" s="113">
        <v>0</v>
      </c>
      <c r="H325" s="86">
        <v>0</v>
      </c>
      <c r="I325" s="113">
        <v>0</v>
      </c>
      <c r="J325" s="114">
        <f t="shared" si="37"/>
        <v>0</v>
      </c>
      <c r="K325" s="113">
        <f t="shared" si="38"/>
        <v>0</v>
      </c>
      <c r="L325" s="113">
        <v>0</v>
      </c>
      <c r="M325" s="113">
        <v>0</v>
      </c>
      <c r="N325" s="113">
        <v>0</v>
      </c>
      <c r="O325" s="113">
        <v>0</v>
      </c>
      <c r="P325" s="113">
        <v>0</v>
      </c>
    </row>
    <row r="326" spans="2:16" ht="13.9" customHeight="1" outlineLevel="1" x14ac:dyDescent="0.25">
      <c r="B326" s="149"/>
      <c r="C326" s="150" t="s">
        <v>54</v>
      </c>
      <c r="D326" s="85">
        <v>0</v>
      </c>
      <c r="E326" s="86">
        <v>0</v>
      </c>
      <c r="F326" s="142">
        <f t="shared" si="36"/>
        <v>0</v>
      </c>
      <c r="G326" s="113">
        <v>0</v>
      </c>
      <c r="H326" s="86">
        <v>0</v>
      </c>
      <c r="I326" s="113">
        <v>0</v>
      </c>
      <c r="J326" s="114">
        <f t="shared" si="37"/>
        <v>0</v>
      </c>
      <c r="K326" s="113">
        <f t="shared" si="38"/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</row>
    <row r="327" spans="2:16" ht="13.9" customHeight="1" outlineLevel="1" x14ac:dyDescent="0.25">
      <c r="B327" s="149"/>
      <c r="C327" s="150" t="s">
        <v>55</v>
      </c>
      <c r="D327" s="85">
        <v>0</v>
      </c>
      <c r="E327" s="86">
        <v>0</v>
      </c>
      <c r="F327" s="142">
        <f t="shared" si="36"/>
        <v>0</v>
      </c>
      <c r="G327" s="113">
        <v>0</v>
      </c>
      <c r="H327" s="86">
        <v>0</v>
      </c>
      <c r="I327" s="113">
        <v>0</v>
      </c>
      <c r="J327" s="114">
        <f t="shared" si="37"/>
        <v>0</v>
      </c>
      <c r="K327" s="113">
        <f t="shared" si="38"/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</row>
    <row r="328" spans="2:16" ht="13.9" customHeight="1" outlineLevel="1" x14ac:dyDescent="0.25">
      <c r="B328" s="149"/>
      <c r="C328" s="150" t="s">
        <v>56</v>
      </c>
      <c r="D328" s="85">
        <v>0</v>
      </c>
      <c r="E328" s="86">
        <v>0</v>
      </c>
      <c r="F328" s="142">
        <f t="shared" si="36"/>
        <v>0</v>
      </c>
      <c r="G328" s="113">
        <v>0</v>
      </c>
      <c r="H328" s="86">
        <v>0</v>
      </c>
      <c r="I328" s="113">
        <v>0</v>
      </c>
      <c r="J328" s="114">
        <f t="shared" si="37"/>
        <v>0</v>
      </c>
      <c r="K328" s="113">
        <f t="shared" si="38"/>
        <v>0</v>
      </c>
      <c r="L328" s="113">
        <v>0</v>
      </c>
      <c r="M328" s="113">
        <v>0</v>
      </c>
      <c r="N328" s="113">
        <v>0</v>
      </c>
      <c r="O328" s="113">
        <v>0</v>
      </c>
      <c r="P328" s="113">
        <v>0</v>
      </c>
    </row>
    <row r="329" spans="2:16" ht="13.9" customHeight="1" outlineLevel="1" x14ac:dyDescent="0.25">
      <c r="B329" s="149"/>
      <c r="C329" s="150" t="s">
        <v>57</v>
      </c>
      <c r="D329" s="85">
        <v>0</v>
      </c>
      <c r="E329" s="86">
        <v>0</v>
      </c>
      <c r="F329" s="142">
        <f t="shared" si="36"/>
        <v>0</v>
      </c>
      <c r="G329" s="113">
        <v>0</v>
      </c>
      <c r="H329" s="86">
        <v>0</v>
      </c>
      <c r="I329" s="113">
        <v>0</v>
      </c>
      <c r="J329" s="114">
        <f t="shared" si="37"/>
        <v>0</v>
      </c>
      <c r="K329" s="113">
        <f t="shared" si="38"/>
        <v>0</v>
      </c>
      <c r="L329" s="113">
        <v>0</v>
      </c>
      <c r="M329" s="113">
        <v>0</v>
      </c>
      <c r="N329" s="113">
        <v>0</v>
      </c>
      <c r="O329" s="113">
        <v>0</v>
      </c>
      <c r="P329" s="113">
        <v>0</v>
      </c>
    </row>
    <row r="330" spans="2:16" ht="13.9" customHeight="1" outlineLevel="1" x14ac:dyDescent="0.25">
      <c r="B330" s="149"/>
      <c r="C330" s="150" t="s">
        <v>58</v>
      </c>
      <c r="D330" s="85">
        <v>0</v>
      </c>
      <c r="E330" s="86">
        <v>0</v>
      </c>
      <c r="F330" s="142">
        <f t="shared" si="36"/>
        <v>0</v>
      </c>
      <c r="G330" s="113">
        <v>0</v>
      </c>
      <c r="H330" s="86">
        <v>0</v>
      </c>
      <c r="I330" s="113">
        <v>0</v>
      </c>
      <c r="J330" s="114">
        <f t="shared" si="37"/>
        <v>0</v>
      </c>
      <c r="K330" s="113">
        <f t="shared" si="38"/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</row>
    <row r="331" spans="2:16" ht="13.9" customHeight="1" outlineLevel="1" x14ac:dyDescent="0.25">
      <c r="B331" s="149"/>
      <c r="C331" s="150" t="s">
        <v>59</v>
      </c>
      <c r="D331" s="85">
        <v>0</v>
      </c>
      <c r="E331" s="86">
        <v>0</v>
      </c>
      <c r="F331" s="142">
        <f t="shared" si="36"/>
        <v>0</v>
      </c>
      <c r="G331" s="113">
        <v>0</v>
      </c>
      <c r="H331" s="86">
        <v>0</v>
      </c>
      <c r="I331" s="113">
        <v>0</v>
      </c>
      <c r="J331" s="114">
        <f t="shared" si="37"/>
        <v>0</v>
      </c>
      <c r="K331" s="113">
        <f t="shared" si="38"/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</row>
    <row r="332" spans="2:16" ht="13.9" customHeight="1" outlineLevel="1" x14ac:dyDescent="0.25">
      <c r="B332" s="149"/>
      <c r="C332" s="150" t="s">
        <v>60</v>
      </c>
      <c r="D332" s="85">
        <v>0</v>
      </c>
      <c r="E332" s="86">
        <v>0</v>
      </c>
      <c r="F332" s="142">
        <f t="shared" si="36"/>
        <v>0</v>
      </c>
      <c r="G332" s="113">
        <v>0</v>
      </c>
      <c r="H332" s="86">
        <v>0</v>
      </c>
      <c r="I332" s="113">
        <v>0</v>
      </c>
      <c r="J332" s="114">
        <f t="shared" si="37"/>
        <v>0</v>
      </c>
      <c r="K332" s="113">
        <f t="shared" si="38"/>
        <v>0</v>
      </c>
      <c r="L332" s="113">
        <v>0</v>
      </c>
      <c r="M332" s="113">
        <v>0</v>
      </c>
      <c r="N332" s="113">
        <v>0</v>
      </c>
      <c r="O332" s="113">
        <v>0</v>
      </c>
      <c r="P332" s="113">
        <v>0</v>
      </c>
    </row>
    <row r="333" spans="2:16" ht="13.9" customHeight="1" outlineLevel="1" x14ac:dyDescent="0.25">
      <c r="B333" s="149"/>
      <c r="C333" s="150" t="s">
        <v>61</v>
      </c>
      <c r="D333" s="85">
        <v>0</v>
      </c>
      <c r="E333" s="86">
        <v>0</v>
      </c>
      <c r="F333" s="142">
        <f t="shared" si="36"/>
        <v>0</v>
      </c>
      <c r="G333" s="113">
        <v>0</v>
      </c>
      <c r="H333" s="86">
        <v>0</v>
      </c>
      <c r="I333" s="113">
        <v>0</v>
      </c>
      <c r="J333" s="114">
        <f t="shared" si="37"/>
        <v>0</v>
      </c>
      <c r="K333" s="113">
        <f t="shared" si="38"/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</row>
    <row r="334" spans="2:16" ht="13.9" customHeight="1" outlineLevel="1" x14ac:dyDescent="0.25">
      <c r="B334" s="149"/>
      <c r="C334" s="150" t="s">
        <v>62</v>
      </c>
      <c r="D334" s="85">
        <v>0</v>
      </c>
      <c r="E334" s="86">
        <v>0</v>
      </c>
      <c r="F334" s="142">
        <f t="shared" si="36"/>
        <v>0</v>
      </c>
      <c r="G334" s="113">
        <v>0</v>
      </c>
      <c r="H334" s="86">
        <v>0</v>
      </c>
      <c r="I334" s="113">
        <v>0</v>
      </c>
      <c r="J334" s="114">
        <f t="shared" si="37"/>
        <v>0</v>
      </c>
      <c r="K334" s="113">
        <f t="shared" si="38"/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</row>
    <row r="335" spans="2:16" ht="13.9" customHeight="1" outlineLevel="1" x14ac:dyDescent="0.25">
      <c r="B335" s="149"/>
      <c r="C335" s="150" t="s">
        <v>63</v>
      </c>
      <c r="D335" s="85">
        <v>0</v>
      </c>
      <c r="E335" s="86">
        <v>0</v>
      </c>
      <c r="F335" s="142">
        <f t="shared" si="36"/>
        <v>0</v>
      </c>
      <c r="G335" s="113">
        <v>0</v>
      </c>
      <c r="H335" s="86">
        <v>0</v>
      </c>
      <c r="I335" s="113">
        <v>0</v>
      </c>
      <c r="J335" s="114">
        <f t="shared" si="37"/>
        <v>0</v>
      </c>
      <c r="K335" s="113">
        <f t="shared" si="38"/>
        <v>0</v>
      </c>
      <c r="L335" s="113">
        <v>0</v>
      </c>
      <c r="M335" s="113">
        <v>0</v>
      </c>
      <c r="N335" s="113">
        <v>0</v>
      </c>
      <c r="O335" s="113">
        <v>0</v>
      </c>
      <c r="P335" s="113">
        <v>0</v>
      </c>
    </row>
    <row r="336" spans="2:16" ht="13.9" customHeight="1" outlineLevel="1" x14ac:dyDescent="0.25">
      <c r="B336" s="149"/>
      <c r="C336" s="150" t="s">
        <v>64</v>
      </c>
      <c r="D336" s="85">
        <v>0</v>
      </c>
      <c r="E336" s="86">
        <v>0</v>
      </c>
      <c r="F336" s="142">
        <f t="shared" si="36"/>
        <v>0</v>
      </c>
      <c r="G336" s="113">
        <v>0</v>
      </c>
      <c r="H336" s="86">
        <v>0</v>
      </c>
      <c r="I336" s="113">
        <v>0</v>
      </c>
      <c r="J336" s="114">
        <f t="shared" si="37"/>
        <v>0</v>
      </c>
      <c r="K336" s="113">
        <f t="shared" si="38"/>
        <v>0</v>
      </c>
      <c r="L336" s="113">
        <v>0</v>
      </c>
      <c r="M336" s="113">
        <v>0</v>
      </c>
      <c r="N336" s="113">
        <v>0</v>
      </c>
      <c r="O336" s="113">
        <v>0</v>
      </c>
      <c r="P336" s="113">
        <v>0</v>
      </c>
    </row>
    <row r="337" spans="2:16" ht="13.9" customHeight="1" outlineLevel="1" x14ac:dyDescent="0.25">
      <c r="B337" s="149"/>
      <c r="C337" s="150" t="s">
        <v>65</v>
      </c>
      <c r="D337" s="85">
        <v>0</v>
      </c>
      <c r="E337" s="86">
        <v>0</v>
      </c>
      <c r="F337" s="142">
        <f t="shared" si="36"/>
        <v>0</v>
      </c>
      <c r="G337" s="113">
        <v>0</v>
      </c>
      <c r="H337" s="86">
        <v>0</v>
      </c>
      <c r="I337" s="113">
        <v>0</v>
      </c>
      <c r="J337" s="114">
        <f t="shared" si="37"/>
        <v>0</v>
      </c>
      <c r="K337" s="113">
        <f t="shared" si="38"/>
        <v>0</v>
      </c>
      <c r="L337" s="113">
        <v>0</v>
      </c>
      <c r="M337" s="113">
        <v>0</v>
      </c>
      <c r="N337" s="113">
        <v>0</v>
      </c>
      <c r="O337" s="113">
        <v>0</v>
      </c>
      <c r="P337" s="113">
        <v>0</v>
      </c>
    </row>
    <row r="338" spans="2:16" ht="13.9" customHeight="1" outlineLevel="1" x14ac:dyDescent="0.25">
      <c r="B338" s="149"/>
      <c r="C338" s="150" t="s">
        <v>66</v>
      </c>
      <c r="D338" s="85">
        <v>0</v>
      </c>
      <c r="E338" s="86">
        <v>0</v>
      </c>
      <c r="F338" s="142">
        <f t="shared" si="36"/>
        <v>0</v>
      </c>
      <c r="G338" s="113">
        <v>0</v>
      </c>
      <c r="H338" s="86">
        <v>0</v>
      </c>
      <c r="I338" s="113">
        <v>0</v>
      </c>
      <c r="J338" s="114">
        <f t="shared" si="37"/>
        <v>0</v>
      </c>
      <c r="K338" s="113">
        <f t="shared" si="38"/>
        <v>0</v>
      </c>
      <c r="L338" s="113">
        <v>0</v>
      </c>
      <c r="M338" s="113">
        <v>0</v>
      </c>
      <c r="N338" s="113">
        <v>0</v>
      </c>
      <c r="O338" s="113">
        <v>0</v>
      </c>
      <c r="P338" s="113">
        <v>0</v>
      </c>
    </row>
    <row r="339" spans="2:16" ht="13.9" customHeight="1" outlineLevel="1" x14ac:dyDescent="0.25">
      <c r="B339" s="149"/>
      <c r="C339" s="150" t="s">
        <v>67</v>
      </c>
      <c r="D339" s="85">
        <v>12</v>
      </c>
      <c r="E339" s="86">
        <v>93603241</v>
      </c>
      <c r="F339" s="142">
        <f t="shared" si="36"/>
        <v>43380126.549999997</v>
      </c>
      <c r="G339" s="113">
        <v>43363963.239999995</v>
      </c>
      <c r="H339" s="86">
        <v>50239277.760000005</v>
      </c>
      <c r="I339" s="113">
        <v>16163.31</v>
      </c>
      <c r="J339" s="114">
        <f t="shared" si="37"/>
        <v>50223114.450000003</v>
      </c>
      <c r="K339" s="113">
        <f t="shared" si="38"/>
        <v>50223114.450000003</v>
      </c>
      <c r="L339" s="113">
        <v>0</v>
      </c>
      <c r="M339" s="113">
        <v>0</v>
      </c>
      <c r="N339" s="113">
        <v>0</v>
      </c>
      <c r="O339" s="113">
        <v>0</v>
      </c>
      <c r="P339" s="113">
        <v>0</v>
      </c>
    </row>
    <row r="340" spans="2:16" ht="13.9" customHeight="1" x14ac:dyDescent="0.25">
      <c r="B340" s="149"/>
      <c r="C340" s="148" t="s">
        <v>103</v>
      </c>
      <c r="D340" s="90">
        <f>SUM(D303:D339)</f>
        <v>46</v>
      </c>
      <c r="E340" s="91">
        <f t="shared" ref="E340:P340" si="39">SUM(E303:E339)</f>
        <v>266626856.25999999</v>
      </c>
      <c r="F340" s="92">
        <f t="shared" si="39"/>
        <v>140536119.76999998</v>
      </c>
      <c r="G340" s="93">
        <f t="shared" si="39"/>
        <v>131861002.75999998</v>
      </c>
      <c r="H340" s="90">
        <f t="shared" si="39"/>
        <v>134765853.5</v>
      </c>
      <c r="I340" s="91">
        <f t="shared" si="39"/>
        <v>8675117.0100000016</v>
      </c>
      <c r="J340" s="92">
        <f t="shared" si="39"/>
        <v>126090736.48999999</v>
      </c>
      <c r="K340" s="93">
        <f t="shared" si="39"/>
        <v>79144288.080000013</v>
      </c>
      <c r="L340" s="90">
        <f t="shared" si="39"/>
        <v>38154134.709999993</v>
      </c>
      <c r="M340" s="91">
        <f t="shared" si="39"/>
        <v>8792313.6999999993</v>
      </c>
      <c r="N340" s="90">
        <f t="shared" si="39"/>
        <v>0</v>
      </c>
      <c r="O340" s="91">
        <f t="shared" si="39"/>
        <v>0</v>
      </c>
      <c r="P340" s="91">
        <f t="shared" si="39"/>
        <v>0</v>
      </c>
    </row>
    <row r="341" spans="2:16" ht="13.9" customHeight="1" outlineLevel="1" collapsed="1" x14ac:dyDescent="0.25">
      <c r="B341" s="149" t="s">
        <v>83</v>
      </c>
      <c r="C341" s="150" t="s">
        <v>70</v>
      </c>
      <c r="D341" s="85">
        <v>0</v>
      </c>
      <c r="E341" s="86">
        <v>0</v>
      </c>
      <c r="F341" s="142">
        <f t="shared" si="36"/>
        <v>0</v>
      </c>
      <c r="G341" s="113">
        <v>0</v>
      </c>
      <c r="H341" s="86">
        <v>0</v>
      </c>
      <c r="I341" s="113">
        <v>0</v>
      </c>
      <c r="J341" s="114">
        <f t="shared" si="37"/>
        <v>0</v>
      </c>
      <c r="K341" s="113">
        <f t="shared" si="38"/>
        <v>0</v>
      </c>
      <c r="L341" s="113">
        <v>0</v>
      </c>
      <c r="M341" s="113">
        <v>0</v>
      </c>
      <c r="N341" s="113">
        <v>0</v>
      </c>
      <c r="O341" s="113">
        <v>0</v>
      </c>
      <c r="P341" s="113">
        <v>0</v>
      </c>
    </row>
    <row r="342" spans="2:16" ht="13.9" customHeight="1" outlineLevel="1" x14ac:dyDescent="0.25">
      <c r="B342" s="149"/>
      <c r="C342" s="150" t="s">
        <v>71</v>
      </c>
      <c r="D342" s="85">
        <v>0</v>
      </c>
      <c r="E342" s="86">
        <v>0</v>
      </c>
      <c r="F342" s="142">
        <f t="shared" si="36"/>
        <v>0</v>
      </c>
      <c r="G342" s="113">
        <v>0</v>
      </c>
      <c r="H342" s="86">
        <v>0</v>
      </c>
      <c r="I342" s="113">
        <v>0</v>
      </c>
      <c r="J342" s="114">
        <f t="shared" si="37"/>
        <v>0</v>
      </c>
      <c r="K342" s="113">
        <f t="shared" si="38"/>
        <v>0</v>
      </c>
      <c r="L342" s="113">
        <v>0</v>
      </c>
      <c r="M342" s="113">
        <v>0</v>
      </c>
      <c r="N342" s="113">
        <v>0</v>
      </c>
      <c r="O342" s="113">
        <v>0</v>
      </c>
      <c r="P342" s="113">
        <v>0</v>
      </c>
    </row>
    <row r="343" spans="2:16" ht="13.9" customHeight="1" outlineLevel="1" x14ac:dyDescent="0.25">
      <c r="B343" s="149"/>
      <c r="C343" s="150" t="s">
        <v>72</v>
      </c>
      <c r="D343" s="85">
        <v>0</v>
      </c>
      <c r="E343" s="86">
        <v>0</v>
      </c>
      <c r="F343" s="142">
        <f t="shared" si="36"/>
        <v>0</v>
      </c>
      <c r="G343" s="113">
        <v>0</v>
      </c>
      <c r="H343" s="86">
        <v>0</v>
      </c>
      <c r="I343" s="113">
        <v>0</v>
      </c>
      <c r="J343" s="114">
        <f t="shared" si="37"/>
        <v>0</v>
      </c>
      <c r="K343" s="113">
        <f t="shared" si="38"/>
        <v>0</v>
      </c>
      <c r="L343" s="113">
        <v>0</v>
      </c>
      <c r="M343" s="113">
        <v>0</v>
      </c>
      <c r="N343" s="113">
        <v>0</v>
      </c>
      <c r="O343" s="113">
        <v>0</v>
      </c>
      <c r="P343" s="113">
        <v>0</v>
      </c>
    </row>
    <row r="344" spans="2:16" ht="13.9" customHeight="1" x14ac:dyDescent="0.25">
      <c r="B344" s="149"/>
      <c r="C344" s="148" t="s">
        <v>104</v>
      </c>
      <c r="D344" s="90">
        <f>SUM(D341:D343)</f>
        <v>0</v>
      </c>
      <c r="E344" s="91">
        <f t="shared" ref="E344:P344" si="40">SUM(E341:E343)</f>
        <v>0</v>
      </c>
      <c r="F344" s="92">
        <f t="shared" si="40"/>
        <v>0</v>
      </c>
      <c r="G344" s="93">
        <f t="shared" si="40"/>
        <v>0</v>
      </c>
      <c r="H344" s="90">
        <f t="shared" si="40"/>
        <v>0</v>
      </c>
      <c r="I344" s="91">
        <f t="shared" si="40"/>
        <v>0</v>
      </c>
      <c r="J344" s="92">
        <f t="shared" si="40"/>
        <v>0</v>
      </c>
      <c r="K344" s="93">
        <f t="shared" si="40"/>
        <v>0</v>
      </c>
      <c r="L344" s="90">
        <f t="shared" si="40"/>
        <v>0</v>
      </c>
      <c r="M344" s="91">
        <f t="shared" si="40"/>
        <v>0</v>
      </c>
      <c r="N344" s="90">
        <f t="shared" si="40"/>
        <v>0</v>
      </c>
      <c r="O344" s="91">
        <f t="shared" si="40"/>
        <v>0</v>
      </c>
      <c r="P344" s="91">
        <f t="shared" si="40"/>
        <v>0</v>
      </c>
    </row>
    <row r="345" spans="2:16" ht="13.9" customHeight="1" outlineLevel="1" collapsed="1" x14ac:dyDescent="0.25">
      <c r="B345" s="149" t="s">
        <v>105</v>
      </c>
      <c r="C345" s="150" t="s">
        <v>75</v>
      </c>
      <c r="D345" s="85">
        <v>0</v>
      </c>
      <c r="E345" s="86">
        <v>0</v>
      </c>
      <c r="F345" s="142">
        <f t="shared" si="36"/>
        <v>0</v>
      </c>
      <c r="G345" s="113">
        <v>0</v>
      </c>
      <c r="H345" s="86">
        <v>0</v>
      </c>
      <c r="I345" s="113">
        <v>0</v>
      </c>
      <c r="J345" s="114">
        <f t="shared" si="37"/>
        <v>0</v>
      </c>
      <c r="K345" s="113">
        <f t="shared" si="38"/>
        <v>0</v>
      </c>
      <c r="L345" s="113">
        <v>0</v>
      </c>
      <c r="M345" s="113">
        <v>0</v>
      </c>
      <c r="N345" s="113">
        <v>0</v>
      </c>
      <c r="O345" s="113">
        <v>0</v>
      </c>
      <c r="P345" s="113">
        <v>0</v>
      </c>
    </row>
    <row r="346" spans="2:16" ht="13.9" customHeight="1" outlineLevel="1" x14ac:dyDescent="0.25">
      <c r="B346" s="149"/>
      <c r="C346" s="150" t="s">
        <v>76</v>
      </c>
      <c r="D346" s="85">
        <v>0</v>
      </c>
      <c r="E346" s="86">
        <v>0</v>
      </c>
      <c r="F346" s="142">
        <f t="shared" si="36"/>
        <v>0</v>
      </c>
      <c r="G346" s="113">
        <v>0</v>
      </c>
      <c r="H346" s="86">
        <v>0</v>
      </c>
      <c r="I346" s="113">
        <v>0</v>
      </c>
      <c r="J346" s="114">
        <f t="shared" si="37"/>
        <v>0</v>
      </c>
      <c r="K346" s="113">
        <f t="shared" si="38"/>
        <v>0</v>
      </c>
      <c r="L346" s="113">
        <v>0</v>
      </c>
      <c r="M346" s="113">
        <v>0</v>
      </c>
      <c r="N346" s="113">
        <v>0</v>
      </c>
      <c r="O346" s="113">
        <v>0</v>
      </c>
      <c r="P346" s="113">
        <v>0</v>
      </c>
    </row>
    <row r="347" spans="2:16" ht="13.9" customHeight="1" x14ac:dyDescent="0.25">
      <c r="B347" s="149"/>
      <c r="C347" s="148" t="s">
        <v>106</v>
      </c>
      <c r="D347" s="90">
        <f>SUM(D345:D346)</f>
        <v>0</v>
      </c>
      <c r="E347" s="91">
        <f t="shared" ref="E347:P347" si="41">SUM(E345:E346)</f>
        <v>0</v>
      </c>
      <c r="F347" s="92">
        <f t="shared" si="41"/>
        <v>0</v>
      </c>
      <c r="G347" s="93">
        <f t="shared" si="41"/>
        <v>0</v>
      </c>
      <c r="H347" s="90">
        <f t="shared" si="41"/>
        <v>0</v>
      </c>
      <c r="I347" s="91">
        <f t="shared" si="41"/>
        <v>0</v>
      </c>
      <c r="J347" s="92">
        <f t="shared" si="41"/>
        <v>0</v>
      </c>
      <c r="K347" s="93">
        <f t="shared" si="41"/>
        <v>0</v>
      </c>
      <c r="L347" s="90">
        <f t="shared" si="41"/>
        <v>0</v>
      </c>
      <c r="M347" s="91">
        <f t="shared" si="41"/>
        <v>0</v>
      </c>
      <c r="N347" s="90">
        <f t="shared" si="41"/>
        <v>0</v>
      </c>
      <c r="O347" s="91">
        <f t="shared" si="41"/>
        <v>0</v>
      </c>
      <c r="P347" s="91">
        <f t="shared" si="41"/>
        <v>0</v>
      </c>
    </row>
    <row r="348" spans="2:16" ht="13.9" customHeight="1" collapsed="1" x14ac:dyDescent="0.25">
      <c r="B348" s="155" t="s">
        <v>78</v>
      </c>
      <c r="C348" s="155"/>
      <c r="D348" s="90">
        <f>D340+D344+D347</f>
        <v>46</v>
      </c>
      <c r="E348" s="91">
        <f t="shared" ref="E348:P348" si="42">E340+E344+E347</f>
        <v>266626856.25999999</v>
      </c>
      <c r="F348" s="92">
        <f t="shared" si="42"/>
        <v>140536119.76999998</v>
      </c>
      <c r="G348" s="93">
        <f t="shared" si="42"/>
        <v>131861002.75999998</v>
      </c>
      <c r="H348" s="90">
        <f t="shared" si="42"/>
        <v>134765853.5</v>
      </c>
      <c r="I348" s="91">
        <f t="shared" si="42"/>
        <v>8675117.0100000016</v>
      </c>
      <c r="J348" s="92">
        <f t="shared" si="42"/>
        <v>126090736.48999999</v>
      </c>
      <c r="K348" s="93">
        <f t="shared" si="42"/>
        <v>79144288.080000013</v>
      </c>
      <c r="L348" s="90">
        <f t="shared" si="42"/>
        <v>38154134.709999993</v>
      </c>
      <c r="M348" s="91">
        <f t="shared" si="42"/>
        <v>8792313.6999999993</v>
      </c>
      <c r="N348" s="90">
        <f t="shared" si="42"/>
        <v>0</v>
      </c>
      <c r="O348" s="91">
        <f t="shared" si="42"/>
        <v>0</v>
      </c>
      <c r="P348" s="91">
        <f t="shared" si="42"/>
        <v>0</v>
      </c>
    </row>
    <row r="349" spans="2:16" ht="13.9" customHeight="1" x14ac:dyDescent="0.25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</row>
    <row r="350" spans="2:16" ht="13.9" customHeight="1" x14ac:dyDescent="0.25">
      <c r="B350" s="107" t="s">
        <v>92</v>
      </c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</row>
    <row r="351" spans="2:16" ht="13.9" customHeight="1" x14ac:dyDescent="0.25">
      <c r="B351" s="154" t="s">
        <v>26</v>
      </c>
      <c r="C351" s="148" t="s">
        <v>27</v>
      </c>
      <c r="D351" s="109" t="s">
        <v>28</v>
      </c>
      <c r="E351" s="110" t="s">
        <v>29</v>
      </c>
      <c r="F351" s="111" t="s">
        <v>85</v>
      </c>
      <c r="G351" s="112" t="s">
        <v>81</v>
      </c>
      <c r="H351" s="110" t="s">
        <v>82</v>
      </c>
      <c r="I351" s="112" t="s">
        <v>86</v>
      </c>
      <c r="J351" s="110" t="s">
        <v>87</v>
      </c>
      <c r="K351" s="112">
        <v>2026</v>
      </c>
      <c r="L351" s="112">
        <v>2027</v>
      </c>
      <c r="M351" s="110">
        <v>2028</v>
      </c>
      <c r="N351" s="112">
        <v>2029</v>
      </c>
      <c r="O351" s="110">
        <v>2030</v>
      </c>
      <c r="P351" s="112">
        <v>2031</v>
      </c>
    </row>
    <row r="352" spans="2:16" ht="13.9" customHeight="1" outlineLevel="1" x14ac:dyDescent="0.25">
      <c r="B352" s="149" t="s">
        <v>30</v>
      </c>
      <c r="C352" s="150" t="s">
        <v>31</v>
      </c>
      <c r="D352" s="85">
        <v>1</v>
      </c>
      <c r="E352" s="86">
        <v>4461900</v>
      </c>
      <c r="F352" s="142">
        <f t="shared" ref="F352:F395" si="43">G352+I352</f>
        <v>2894205</v>
      </c>
      <c r="G352" s="113">
        <v>2894205</v>
      </c>
      <c r="H352" s="86">
        <v>1790790</v>
      </c>
      <c r="I352" s="113">
        <v>0</v>
      </c>
      <c r="J352" s="114">
        <f t="shared" ref="J352:J395" si="44">MAX(0,H352-I352)</f>
        <v>1790790</v>
      </c>
      <c r="K352" s="113">
        <f t="shared" ref="K352:K395" si="45">MAX(J352-SUM(L352:P352),0)</f>
        <v>1790790</v>
      </c>
      <c r="L352" s="113">
        <v>0</v>
      </c>
      <c r="M352" s="113">
        <v>0</v>
      </c>
      <c r="N352" s="113">
        <v>0</v>
      </c>
      <c r="O352" s="113">
        <v>0</v>
      </c>
      <c r="P352" s="113">
        <v>0</v>
      </c>
    </row>
    <row r="353" spans="2:16" ht="13.9" customHeight="1" outlineLevel="1" x14ac:dyDescent="0.25">
      <c r="B353" s="149"/>
      <c r="C353" s="150" t="s">
        <v>32</v>
      </c>
      <c r="D353" s="85">
        <v>1</v>
      </c>
      <c r="E353" s="86">
        <v>19875130</v>
      </c>
      <c r="F353" s="142">
        <f t="shared" si="43"/>
        <v>20868886.5</v>
      </c>
      <c r="G353" s="113">
        <v>12643346.800000001</v>
      </c>
      <c r="H353" s="86">
        <v>8225539.6999999993</v>
      </c>
      <c r="I353" s="113">
        <v>8225539.7000000002</v>
      </c>
      <c r="J353" s="114">
        <f t="shared" si="44"/>
        <v>0</v>
      </c>
      <c r="K353" s="113">
        <f t="shared" si="45"/>
        <v>0</v>
      </c>
      <c r="L353" s="113">
        <v>0</v>
      </c>
      <c r="M353" s="113">
        <v>0</v>
      </c>
      <c r="N353" s="113">
        <v>0</v>
      </c>
      <c r="O353" s="113">
        <v>0</v>
      </c>
      <c r="P353" s="113">
        <v>0</v>
      </c>
    </row>
    <row r="354" spans="2:16" ht="13.9" customHeight="1" outlineLevel="1" x14ac:dyDescent="0.25">
      <c r="B354" s="149"/>
      <c r="C354" s="150" t="s">
        <v>33</v>
      </c>
      <c r="D354" s="85">
        <v>10</v>
      </c>
      <c r="E354" s="86">
        <v>21342908.75</v>
      </c>
      <c r="F354" s="142">
        <f t="shared" si="43"/>
        <v>15610846.760000002</v>
      </c>
      <c r="G354" s="113">
        <v>15610846.760000002</v>
      </c>
      <c r="H354" s="86">
        <v>5732061.9900000002</v>
      </c>
      <c r="I354" s="113">
        <v>0</v>
      </c>
      <c r="J354" s="114">
        <f t="shared" si="44"/>
        <v>5732061.9900000002</v>
      </c>
      <c r="K354" s="113">
        <f t="shared" si="45"/>
        <v>3259837.1100000003</v>
      </c>
      <c r="L354" s="113">
        <v>2472224.88</v>
      </c>
      <c r="M354" s="113">
        <v>0</v>
      </c>
      <c r="N354" s="113">
        <v>0</v>
      </c>
      <c r="O354" s="113">
        <v>0</v>
      </c>
      <c r="P354" s="113">
        <v>0</v>
      </c>
    </row>
    <row r="355" spans="2:16" ht="13.9" customHeight="1" outlineLevel="1" x14ac:dyDescent="0.25">
      <c r="B355" s="149"/>
      <c r="C355" s="150" t="s">
        <v>34</v>
      </c>
      <c r="D355" s="85">
        <v>2</v>
      </c>
      <c r="E355" s="86">
        <v>5511390.5</v>
      </c>
      <c r="F355" s="142">
        <f t="shared" si="43"/>
        <v>3308696.25</v>
      </c>
      <c r="G355" s="113">
        <v>3308696.25</v>
      </c>
      <c r="H355" s="86">
        <v>2202694.25</v>
      </c>
      <c r="I355" s="113">
        <v>0</v>
      </c>
      <c r="J355" s="114">
        <f t="shared" si="44"/>
        <v>2202694.25</v>
      </c>
      <c r="K355" s="113">
        <f t="shared" si="45"/>
        <v>549277.09999999986</v>
      </c>
      <c r="L355" s="113">
        <v>1102278.1000000001</v>
      </c>
      <c r="M355" s="113">
        <v>551139.05000000005</v>
      </c>
      <c r="N355" s="113">
        <v>0</v>
      </c>
      <c r="O355" s="113">
        <v>0</v>
      </c>
      <c r="P355" s="113">
        <v>0</v>
      </c>
    </row>
    <row r="356" spans="2:16" ht="13.9" customHeight="1" outlineLevel="1" x14ac:dyDescent="0.25">
      <c r="B356" s="149"/>
      <c r="C356" s="150" t="s">
        <v>35</v>
      </c>
      <c r="D356" s="85">
        <v>0</v>
      </c>
      <c r="E356" s="86">
        <v>0</v>
      </c>
      <c r="F356" s="142">
        <f t="shared" si="43"/>
        <v>0</v>
      </c>
      <c r="G356" s="113">
        <v>0</v>
      </c>
      <c r="H356" s="86">
        <v>0</v>
      </c>
      <c r="I356" s="113">
        <v>0</v>
      </c>
      <c r="J356" s="114">
        <f t="shared" si="44"/>
        <v>0</v>
      </c>
      <c r="K356" s="113">
        <f t="shared" si="45"/>
        <v>0</v>
      </c>
      <c r="L356" s="113">
        <v>0</v>
      </c>
      <c r="M356" s="113">
        <v>0</v>
      </c>
      <c r="N356" s="113">
        <v>0</v>
      </c>
      <c r="O356" s="113">
        <v>0</v>
      </c>
      <c r="P356" s="113">
        <v>0</v>
      </c>
    </row>
    <row r="357" spans="2:16" ht="13.9" customHeight="1" outlineLevel="1" x14ac:dyDescent="0.25">
      <c r="B357" s="149"/>
      <c r="C357" s="150" t="s">
        <v>36</v>
      </c>
      <c r="D357" s="85">
        <v>0</v>
      </c>
      <c r="E357" s="86">
        <v>0</v>
      </c>
      <c r="F357" s="142">
        <f t="shared" si="43"/>
        <v>0</v>
      </c>
      <c r="G357" s="113">
        <v>0</v>
      </c>
      <c r="H357" s="86">
        <v>0</v>
      </c>
      <c r="I357" s="113">
        <v>0</v>
      </c>
      <c r="J357" s="114">
        <f t="shared" si="44"/>
        <v>0</v>
      </c>
      <c r="K357" s="113">
        <f t="shared" si="45"/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</row>
    <row r="358" spans="2:16" ht="13.9" customHeight="1" outlineLevel="1" x14ac:dyDescent="0.25">
      <c r="B358" s="149"/>
      <c r="C358" s="150" t="s">
        <v>37</v>
      </c>
      <c r="D358" s="85">
        <v>1</v>
      </c>
      <c r="E358" s="86">
        <v>1097285</v>
      </c>
      <c r="F358" s="142">
        <f t="shared" si="43"/>
        <v>1122406.1299999999</v>
      </c>
      <c r="G358" s="113">
        <v>1122406.1299999999</v>
      </c>
      <c r="H358" s="86">
        <v>0</v>
      </c>
      <c r="I358" s="113">
        <v>0</v>
      </c>
      <c r="J358" s="114">
        <f t="shared" si="44"/>
        <v>0</v>
      </c>
      <c r="K358" s="113">
        <f t="shared" si="45"/>
        <v>0</v>
      </c>
      <c r="L358" s="113">
        <v>0</v>
      </c>
      <c r="M358" s="113">
        <v>0</v>
      </c>
      <c r="N358" s="113">
        <v>0</v>
      </c>
      <c r="O358" s="113">
        <v>0</v>
      </c>
      <c r="P358" s="113">
        <v>0</v>
      </c>
    </row>
    <row r="359" spans="2:16" ht="13.9" customHeight="1" outlineLevel="1" x14ac:dyDescent="0.25">
      <c r="B359" s="149"/>
      <c r="C359" s="150" t="s">
        <v>38</v>
      </c>
      <c r="D359" s="85">
        <v>2</v>
      </c>
      <c r="E359" s="86">
        <v>10838124</v>
      </c>
      <c r="F359" s="142">
        <f t="shared" si="43"/>
        <v>10839636.039999999</v>
      </c>
      <c r="G359" s="113">
        <v>10839636.039999999</v>
      </c>
      <c r="H359" s="86">
        <v>0</v>
      </c>
      <c r="I359" s="113">
        <v>0</v>
      </c>
      <c r="J359" s="114">
        <f t="shared" si="44"/>
        <v>0</v>
      </c>
      <c r="K359" s="113">
        <f t="shared" si="45"/>
        <v>0</v>
      </c>
      <c r="L359" s="113">
        <v>0</v>
      </c>
      <c r="M359" s="113">
        <v>0</v>
      </c>
      <c r="N359" s="113">
        <v>0</v>
      </c>
      <c r="O359" s="113">
        <v>0</v>
      </c>
      <c r="P359" s="113">
        <v>0</v>
      </c>
    </row>
    <row r="360" spans="2:16" ht="13.9" customHeight="1" outlineLevel="1" x14ac:dyDescent="0.25">
      <c r="B360" s="149"/>
      <c r="C360" s="150" t="s">
        <v>39</v>
      </c>
      <c r="D360" s="85">
        <v>3</v>
      </c>
      <c r="E360" s="86">
        <v>35006568.149999999</v>
      </c>
      <c r="F360" s="142">
        <f t="shared" si="43"/>
        <v>35124568.580000006</v>
      </c>
      <c r="G360" s="113">
        <v>35124568.120000005</v>
      </c>
      <c r="H360" s="86">
        <v>0.44999999925494194</v>
      </c>
      <c r="I360" s="113">
        <v>0.46</v>
      </c>
      <c r="J360" s="114">
        <f t="shared" si="44"/>
        <v>0</v>
      </c>
      <c r="K360" s="113">
        <f t="shared" si="45"/>
        <v>0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</row>
    <row r="361" spans="2:16" ht="13.9" customHeight="1" outlineLevel="1" x14ac:dyDescent="0.25">
      <c r="B361" s="149"/>
      <c r="C361" s="150" t="s">
        <v>40</v>
      </c>
      <c r="D361" s="85">
        <v>1</v>
      </c>
      <c r="E361" s="86">
        <v>24333414</v>
      </c>
      <c r="F361" s="142">
        <f t="shared" si="43"/>
        <v>19466731.199999999</v>
      </c>
      <c r="G361" s="113">
        <v>19466730.149999999</v>
      </c>
      <c r="H361" s="86">
        <v>4866683.8500000015</v>
      </c>
      <c r="I361" s="113">
        <v>1.05</v>
      </c>
      <c r="J361" s="114">
        <f t="shared" si="44"/>
        <v>4866682.8000000017</v>
      </c>
      <c r="K361" s="113">
        <f t="shared" si="45"/>
        <v>4866682.8000000017</v>
      </c>
      <c r="L361" s="113">
        <v>0</v>
      </c>
      <c r="M361" s="113">
        <v>0</v>
      </c>
      <c r="N361" s="113">
        <v>0</v>
      </c>
      <c r="O361" s="113">
        <v>0</v>
      </c>
      <c r="P361" s="113">
        <v>0</v>
      </c>
    </row>
    <row r="362" spans="2:16" ht="13.9" customHeight="1" outlineLevel="1" x14ac:dyDescent="0.25">
      <c r="B362" s="149"/>
      <c r="C362" s="150" t="s">
        <v>41</v>
      </c>
      <c r="D362" s="85">
        <v>3</v>
      </c>
      <c r="E362" s="86">
        <v>17161606.440000001</v>
      </c>
      <c r="F362" s="142">
        <f t="shared" si="43"/>
        <v>18032313.390000001</v>
      </c>
      <c r="G362" s="113">
        <v>18032311</v>
      </c>
      <c r="H362" s="86">
        <v>1</v>
      </c>
      <c r="I362" s="113">
        <v>2.39</v>
      </c>
      <c r="J362" s="114">
        <f t="shared" si="44"/>
        <v>0</v>
      </c>
      <c r="K362" s="113">
        <f t="shared" si="45"/>
        <v>0</v>
      </c>
      <c r="L362" s="113">
        <v>0</v>
      </c>
      <c r="M362" s="113">
        <v>0</v>
      </c>
      <c r="N362" s="113">
        <v>0</v>
      </c>
      <c r="O362" s="113">
        <v>0</v>
      </c>
      <c r="P362" s="113">
        <v>0</v>
      </c>
    </row>
    <row r="363" spans="2:16" ht="13.9" customHeight="1" outlineLevel="1" x14ac:dyDescent="0.25">
      <c r="B363" s="149"/>
      <c r="C363" s="150" t="s">
        <v>42</v>
      </c>
      <c r="D363" s="85">
        <v>0</v>
      </c>
      <c r="E363" s="86">
        <v>0</v>
      </c>
      <c r="F363" s="142">
        <f t="shared" si="43"/>
        <v>0</v>
      </c>
      <c r="G363" s="113">
        <v>0</v>
      </c>
      <c r="H363" s="86">
        <v>0</v>
      </c>
      <c r="I363" s="113">
        <v>0</v>
      </c>
      <c r="J363" s="114">
        <f t="shared" si="44"/>
        <v>0</v>
      </c>
      <c r="K363" s="113">
        <f t="shared" si="45"/>
        <v>0</v>
      </c>
      <c r="L363" s="113">
        <v>0</v>
      </c>
      <c r="M363" s="113">
        <v>0</v>
      </c>
      <c r="N363" s="113">
        <v>0</v>
      </c>
      <c r="O363" s="113">
        <v>0</v>
      </c>
      <c r="P363" s="113">
        <v>0</v>
      </c>
    </row>
    <row r="364" spans="2:16" ht="13.9" customHeight="1" outlineLevel="1" x14ac:dyDescent="0.25">
      <c r="B364" s="149"/>
      <c r="C364" s="150" t="s">
        <v>43</v>
      </c>
      <c r="D364" s="85">
        <v>13</v>
      </c>
      <c r="E364" s="86">
        <v>155574450</v>
      </c>
      <c r="F364" s="142">
        <f t="shared" si="43"/>
        <v>141030908.24999997</v>
      </c>
      <c r="G364" s="113">
        <v>141030908.04999998</v>
      </c>
      <c r="H364" s="86">
        <v>14543542.550000001</v>
      </c>
      <c r="I364" s="113">
        <v>0.2</v>
      </c>
      <c r="J364" s="114">
        <f t="shared" si="44"/>
        <v>14543542.350000001</v>
      </c>
      <c r="K364" s="113">
        <f t="shared" si="45"/>
        <v>14543542.350000001</v>
      </c>
      <c r="L364" s="113">
        <v>0</v>
      </c>
      <c r="M364" s="113">
        <v>0</v>
      </c>
      <c r="N364" s="113">
        <v>0</v>
      </c>
      <c r="O364" s="113">
        <v>0</v>
      </c>
      <c r="P364" s="113">
        <v>0</v>
      </c>
    </row>
    <row r="365" spans="2:16" ht="13.9" customHeight="1" outlineLevel="1" x14ac:dyDescent="0.25">
      <c r="B365" s="149"/>
      <c r="C365" s="150" t="s">
        <v>44</v>
      </c>
      <c r="D365" s="85">
        <v>0</v>
      </c>
      <c r="E365" s="86">
        <v>0</v>
      </c>
      <c r="F365" s="142">
        <f t="shared" si="43"/>
        <v>0</v>
      </c>
      <c r="G365" s="113">
        <v>0</v>
      </c>
      <c r="H365" s="86">
        <v>0</v>
      </c>
      <c r="I365" s="113">
        <v>0</v>
      </c>
      <c r="J365" s="114">
        <f t="shared" si="44"/>
        <v>0</v>
      </c>
      <c r="K365" s="113">
        <f t="shared" si="45"/>
        <v>0</v>
      </c>
      <c r="L365" s="113">
        <v>0</v>
      </c>
      <c r="M365" s="113">
        <v>0</v>
      </c>
      <c r="N365" s="113">
        <v>0</v>
      </c>
      <c r="O365" s="113">
        <v>0</v>
      </c>
      <c r="P365" s="113">
        <v>0</v>
      </c>
    </row>
    <row r="366" spans="2:16" ht="13.9" customHeight="1" outlineLevel="1" x14ac:dyDescent="0.25">
      <c r="B366" s="149"/>
      <c r="C366" s="150" t="s">
        <v>45</v>
      </c>
      <c r="D366" s="85">
        <v>0</v>
      </c>
      <c r="E366" s="86">
        <v>0</v>
      </c>
      <c r="F366" s="142">
        <f t="shared" si="43"/>
        <v>0</v>
      </c>
      <c r="G366" s="113">
        <v>0</v>
      </c>
      <c r="H366" s="86">
        <v>0</v>
      </c>
      <c r="I366" s="113">
        <v>0</v>
      </c>
      <c r="J366" s="114">
        <f t="shared" si="44"/>
        <v>0</v>
      </c>
      <c r="K366" s="113">
        <f t="shared" si="45"/>
        <v>0</v>
      </c>
      <c r="L366" s="113">
        <v>0</v>
      </c>
      <c r="M366" s="113">
        <v>0</v>
      </c>
      <c r="N366" s="113">
        <v>0</v>
      </c>
      <c r="O366" s="113">
        <v>0</v>
      </c>
      <c r="P366" s="113">
        <v>0</v>
      </c>
    </row>
    <row r="367" spans="2:16" ht="13.9" customHeight="1" outlineLevel="1" x14ac:dyDescent="0.25">
      <c r="B367" s="149"/>
      <c r="C367" s="150" t="s">
        <v>46</v>
      </c>
      <c r="D367" s="85">
        <v>0</v>
      </c>
      <c r="E367" s="86">
        <v>0</v>
      </c>
      <c r="F367" s="142">
        <f t="shared" si="43"/>
        <v>0</v>
      </c>
      <c r="G367" s="113">
        <v>0</v>
      </c>
      <c r="H367" s="86">
        <v>0</v>
      </c>
      <c r="I367" s="113">
        <v>0</v>
      </c>
      <c r="J367" s="114">
        <f t="shared" si="44"/>
        <v>0</v>
      </c>
      <c r="K367" s="113">
        <f t="shared" si="45"/>
        <v>0</v>
      </c>
      <c r="L367" s="113">
        <v>0</v>
      </c>
      <c r="M367" s="113">
        <v>0</v>
      </c>
      <c r="N367" s="113">
        <v>0</v>
      </c>
      <c r="O367" s="113">
        <v>0</v>
      </c>
      <c r="P367" s="113">
        <v>0</v>
      </c>
    </row>
    <row r="368" spans="2:16" ht="13.9" customHeight="1" outlineLevel="1" x14ac:dyDescent="0.25">
      <c r="B368" s="149"/>
      <c r="C368" s="150" t="s">
        <v>47</v>
      </c>
      <c r="D368" s="85">
        <v>2</v>
      </c>
      <c r="E368" s="86">
        <v>19048120</v>
      </c>
      <c r="F368" s="142">
        <f t="shared" si="43"/>
        <v>12370740.199999999</v>
      </c>
      <c r="G368" s="113">
        <v>12370740.199999999</v>
      </c>
      <c r="H368" s="86">
        <v>6677379.8000000007</v>
      </c>
      <c r="I368" s="113">
        <v>0</v>
      </c>
      <c r="J368" s="114">
        <f t="shared" si="44"/>
        <v>6677379.8000000007</v>
      </c>
      <c r="K368" s="113">
        <f t="shared" si="45"/>
        <v>6677379.8000000007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</row>
    <row r="369" spans="2:16" ht="13.9" customHeight="1" outlineLevel="1" x14ac:dyDescent="0.25">
      <c r="B369" s="149"/>
      <c r="C369" s="150" t="s">
        <v>48</v>
      </c>
      <c r="D369" s="85">
        <v>0</v>
      </c>
      <c r="E369" s="86">
        <v>0</v>
      </c>
      <c r="F369" s="142">
        <f t="shared" si="43"/>
        <v>0</v>
      </c>
      <c r="G369" s="113">
        <v>0</v>
      </c>
      <c r="H369" s="86">
        <v>0</v>
      </c>
      <c r="I369" s="113">
        <v>0</v>
      </c>
      <c r="J369" s="114">
        <f t="shared" si="44"/>
        <v>0</v>
      </c>
      <c r="K369" s="113">
        <f t="shared" si="45"/>
        <v>0</v>
      </c>
      <c r="L369" s="113">
        <v>0</v>
      </c>
      <c r="M369" s="113">
        <v>0</v>
      </c>
      <c r="N369" s="113">
        <v>0</v>
      </c>
      <c r="O369" s="113">
        <v>0</v>
      </c>
      <c r="P369" s="113">
        <v>0</v>
      </c>
    </row>
    <row r="370" spans="2:16" ht="13.9" customHeight="1" outlineLevel="1" x14ac:dyDescent="0.25">
      <c r="B370" s="149"/>
      <c r="C370" s="150" t="s">
        <v>49</v>
      </c>
      <c r="D370" s="85">
        <v>0</v>
      </c>
      <c r="E370" s="86">
        <v>0</v>
      </c>
      <c r="F370" s="142">
        <f t="shared" si="43"/>
        <v>0</v>
      </c>
      <c r="G370" s="113">
        <v>0</v>
      </c>
      <c r="H370" s="86">
        <v>0</v>
      </c>
      <c r="I370" s="113">
        <v>0</v>
      </c>
      <c r="J370" s="114">
        <f t="shared" si="44"/>
        <v>0</v>
      </c>
      <c r="K370" s="113">
        <f t="shared" si="45"/>
        <v>0</v>
      </c>
      <c r="L370" s="113">
        <v>0</v>
      </c>
      <c r="M370" s="113">
        <v>0</v>
      </c>
      <c r="N370" s="113">
        <v>0</v>
      </c>
      <c r="O370" s="113">
        <v>0</v>
      </c>
      <c r="P370" s="113">
        <v>0</v>
      </c>
    </row>
    <row r="371" spans="2:16" ht="13.9" customHeight="1" outlineLevel="1" x14ac:dyDescent="0.25">
      <c r="B371" s="149"/>
      <c r="C371" s="150" t="s">
        <v>50</v>
      </c>
      <c r="D371" s="85">
        <v>0</v>
      </c>
      <c r="E371" s="86">
        <v>0</v>
      </c>
      <c r="F371" s="142">
        <f t="shared" si="43"/>
        <v>0</v>
      </c>
      <c r="G371" s="113">
        <v>0</v>
      </c>
      <c r="H371" s="86">
        <v>0</v>
      </c>
      <c r="I371" s="113">
        <v>0</v>
      </c>
      <c r="J371" s="114">
        <f t="shared" si="44"/>
        <v>0</v>
      </c>
      <c r="K371" s="113">
        <f t="shared" si="45"/>
        <v>0</v>
      </c>
      <c r="L371" s="113">
        <v>0</v>
      </c>
      <c r="M371" s="113">
        <v>0</v>
      </c>
      <c r="N371" s="113">
        <v>0</v>
      </c>
      <c r="O371" s="113">
        <v>0</v>
      </c>
      <c r="P371" s="113">
        <v>0</v>
      </c>
    </row>
    <row r="372" spans="2:16" ht="13.9" customHeight="1" outlineLevel="1" x14ac:dyDescent="0.25">
      <c r="B372" s="149"/>
      <c r="C372" s="150" t="s">
        <v>51</v>
      </c>
      <c r="D372" s="85">
        <v>0</v>
      </c>
      <c r="E372" s="86">
        <v>0</v>
      </c>
      <c r="F372" s="142">
        <f t="shared" si="43"/>
        <v>0</v>
      </c>
      <c r="G372" s="113">
        <v>0</v>
      </c>
      <c r="H372" s="86">
        <v>0</v>
      </c>
      <c r="I372" s="113">
        <v>0</v>
      </c>
      <c r="J372" s="114">
        <f t="shared" si="44"/>
        <v>0</v>
      </c>
      <c r="K372" s="113">
        <f t="shared" si="45"/>
        <v>0</v>
      </c>
      <c r="L372" s="113">
        <v>0</v>
      </c>
      <c r="M372" s="113">
        <v>0</v>
      </c>
      <c r="N372" s="113">
        <v>0</v>
      </c>
      <c r="O372" s="113">
        <v>0</v>
      </c>
      <c r="P372" s="113">
        <v>0</v>
      </c>
    </row>
    <row r="373" spans="2:16" ht="13.9" customHeight="1" outlineLevel="1" x14ac:dyDescent="0.25">
      <c r="B373" s="149"/>
      <c r="C373" s="150" t="s">
        <v>52</v>
      </c>
      <c r="D373" s="85">
        <v>0</v>
      </c>
      <c r="E373" s="86">
        <v>0</v>
      </c>
      <c r="F373" s="142">
        <f t="shared" si="43"/>
        <v>0</v>
      </c>
      <c r="G373" s="113">
        <v>0</v>
      </c>
      <c r="H373" s="86">
        <v>0</v>
      </c>
      <c r="I373" s="113">
        <v>0</v>
      </c>
      <c r="J373" s="114">
        <f t="shared" si="44"/>
        <v>0</v>
      </c>
      <c r="K373" s="113">
        <f t="shared" si="45"/>
        <v>0</v>
      </c>
      <c r="L373" s="113">
        <v>0</v>
      </c>
      <c r="M373" s="113">
        <v>0</v>
      </c>
      <c r="N373" s="113">
        <v>0</v>
      </c>
      <c r="O373" s="113">
        <v>0</v>
      </c>
      <c r="P373" s="113">
        <v>0</v>
      </c>
    </row>
    <row r="374" spans="2:16" ht="13.9" customHeight="1" outlineLevel="1" x14ac:dyDescent="0.25">
      <c r="B374" s="149"/>
      <c r="C374" s="150" t="s">
        <v>53</v>
      </c>
      <c r="D374" s="85">
        <v>0</v>
      </c>
      <c r="E374" s="86">
        <v>0</v>
      </c>
      <c r="F374" s="142">
        <f t="shared" si="43"/>
        <v>0</v>
      </c>
      <c r="G374" s="113">
        <v>0</v>
      </c>
      <c r="H374" s="86">
        <v>0</v>
      </c>
      <c r="I374" s="113">
        <v>0</v>
      </c>
      <c r="J374" s="114">
        <f t="shared" si="44"/>
        <v>0</v>
      </c>
      <c r="K374" s="113">
        <f t="shared" si="45"/>
        <v>0</v>
      </c>
      <c r="L374" s="113">
        <v>0</v>
      </c>
      <c r="M374" s="113">
        <v>0</v>
      </c>
      <c r="N374" s="113">
        <v>0</v>
      </c>
      <c r="O374" s="113">
        <v>0</v>
      </c>
      <c r="P374" s="113">
        <v>0</v>
      </c>
    </row>
    <row r="375" spans="2:16" ht="13.9" customHeight="1" outlineLevel="1" x14ac:dyDescent="0.25">
      <c r="B375" s="149"/>
      <c r="C375" s="150" t="s">
        <v>54</v>
      </c>
      <c r="D375" s="85">
        <v>0</v>
      </c>
      <c r="E375" s="86">
        <v>0</v>
      </c>
      <c r="F375" s="142">
        <f t="shared" si="43"/>
        <v>0</v>
      </c>
      <c r="G375" s="113">
        <v>0</v>
      </c>
      <c r="H375" s="86">
        <v>0</v>
      </c>
      <c r="I375" s="113">
        <v>0</v>
      </c>
      <c r="J375" s="114">
        <f t="shared" si="44"/>
        <v>0</v>
      </c>
      <c r="K375" s="113">
        <f t="shared" si="45"/>
        <v>0</v>
      </c>
      <c r="L375" s="113">
        <v>0</v>
      </c>
      <c r="M375" s="113">
        <v>0</v>
      </c>
      <c r="N375" s="113">
        <v>0</v>
      </c>
      <c r="O375" s="113">
        <v>0</v>
      </c>
      <c r="P375" s="113">
        <v>0</v>
      </c>
    </row>
    <row r="376" spans="2:16" ht="13.9" customHeight="1" outlineLevel="1" x14ac:dyDescent="0.25">
      <c r="B376" s="149"/>
      <c r="C376" s="150" t="s">
        <v>55</v>
      </c>
      <c r="D376" s="85">
        <v>0</v>
      </c>
      <c r="E376" s="86">
        <v>0</v>
      </c>
      <c r="F376" s="142">
        <f t="shared" si="43"/>
        <v>0</v>
      </c>
      <c r="G376" s="113">
        <v>0</v>
      </c>
      <c r="H376" s="86">
        <v>0</v>
      </c>
      <c r="I376" s="113">
        <v>0</v>
      </c>
      <c r="J376" s="114">
        <f t="shared" si="44"/>
        <v>0</v>
      </c>
      <c r="K376" s="113">
        <f t="shared" si="45"/>
        <v>0</v>
      </c>
      <c r="L376" s="113">
        <v>0</v>
      </c>
      <c r="M376" s="113">
        <v>0</v>
      </c>
      <c r="N376" s="113">
        <v>0</v>
      </c>
      <c r="O376" s="113">
        <v>0</v>
      </c>
      <c r="P376" s="113">
        <v>0</v>
      </c>
    </row>
    <row r="377" spans="2:16" ht="13.9" customHeight="1" outlineLevel="1" x14ac:dyDescent="0.25">
      <c r="B377" s="149"/>
      <c r="C377" s="150" t="s">
        <v>56</v>
      </c>
      <c r="D377" s="85">
        <v>0</v>
      </c>
      <c r="E377" s="86">
        <v>0</v>
      </c>
      <c r="F377" s="142">
        <f t="shared" si="43"/>
        <v>0</v>
      </c>
      <c r="G377" s="113">
        <v>0</v>
      </c>
      <c r="H377" s="86">
        <v>0</v>
      </c>
      <c r="I377" s="113">
        <v>0</v>
      </c>
      <c r="J377" s="114">
        <f t="shared" si="44"/>
        <v>0</v>
      </c>
      <c r="K377" s="113">
        <f t="shared" si="45"/>
        <v>0</v>
      </c>
      <c r="L377" s="113">
        <v>0</v>
      </c>
      <c r="M377" s="113">
        <v>0</v>
      </c>
      <c r="N377" s="113">
        <v>0</v>
      </c>
      <c r="O377" s="113">
        <v>0</v>
      </c>
      <c r="P377" s="113">
        <v>0</v>
      </c>
    </row>
    <row r="378" spans="2:16" ht="13.9" customHeight="1" outlineLevel="1" x14ac:dyDescent="0.25">
      <c r="B378" s="149"/>
      <c r="C378" s="150" t="s">
        <v>57</v>
      </c>
      <c r="D378" s="85">
        <v>8</v>
      </c>
      <c r="E378" s="86">
        <v>123688884</v>
      </c>
      <c r="F378" s="142">
        <f t="shared" si="43"/>
        <v>124382790.53</v>
      </c>
      <c r="G378" s="113">
        <v>124382790.53</v>
      </c>
      <c r="H378" s="86">
        <v>0</v>
      </c>
      <c r="I378" s="113">
        <v>0</v>
      </c>
      <c r="J378" s="114">
        <f t="shared" si="44"/>
        <v>0</v>
      </c>
      <c r="K378" s="113">
        <f t="shared" si="45"/>
        <v>0</v>
      </c>
      <c r="L378" s="113">
        <v>0</v>
      </c>
      <c r="M378" s="113">
        <v>0</v>
      </c>
      <c r="N378" s="113">
        <v>0</v>
      </c>
      <c r="O378" s="113">
        <v>0</v>
      </c>
      <c r="P378" s="113">
        <v>0</v>
      </c>
    </row>
    <row r="379" spans="2:16" ht="13.9" customHeight="1" outlineLevel="1" x14ac:dyDescent="0.25">
      <c r="B379" s="149"/>
      <c r="C379" s="150" t="s">
        <v>58</v>
      </c>
      <c r="D379" s="85">
        <v>0</v>
      </c>
      <c r="E379" s="86">
        <v>0</v>
      </c>
      <c r="F379" s="142">
        <f t="shared" si="43"/>
        <v>0</v>
      </c>
      <c r="G379" s="113">
        <v>0</v>
      </c>
      <c r="H379" s="86">
        <v>0</v>
      </c>
      <c r="I379" s="113">
        <v>0</v>
      </c>
      <c r="J379" s="114">
        <f t="shared" si="44"/>
        <v>0</v>
      </c>
      <c r="K379" s="113">
        <f t="shared" si="45"/>
        <v>0</v>
      </c>
      <c r="L379" s="113">
        <v>0</v>
      </c>
      <c r="M379" s="113">
        <v>0</v>
      </c>
      <c r="N379" s="113">
        <v>0</v>
      </c>
      <c r="O379" s="113">
        <v>0</v>
      </c>
      <c r="P379" s="113">
        <v>0</v>
      </c>
    </row>
    <row r="380" spans="2:16" ht="13.9" customHeight="1" outlineLevel="1" x14ac:dyDescent="0.25">
      <c r="B380" s="149"/>
      <c r="C380" s="150" t="s">
        <v>59</v>
      </c>
      <c r="D380" s="85">
        <v>0</v>
      </c>
      <c r="E380" s="86">
        <v>0</v>
      </c>
      <c r="F380" s="142">
        <f t="shared" si="43"/>
        <v>0</v>
      </c>
      <c r="G380" s="113">
        <v>0</v>
      </c>
      <c r="H380" s="86">
        <v>0</v>
      </c>
      <c r="I380" s="113">
        <v>0</v>
      </c>
      <c r="J380" s="114">
        <f t="shared" si="44"/>
        <v>0</v>
      </c>
      <c r="K380" s="113">
        <f t="shared" si="45"/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</row>
    <row r="381" spans="2:16" ht="13.9" customHeight="1" outlineLevel="1" x14ac:dyDescent="0.25">
      <c r="B381" s="149"/>
      <c r="C381" s="150" t="s">
        <v>60</v>
      </c>
      <c r="D381" s="85">
        <v>0</v>
      </c>
      <c r="E381" s="86">
        <v>0</v>
      </c>
      <c r="F381" s="142">
        <f t="shared" si="43"/>
        <v>0</v>
      </c>
      <c r="G381" s="113">
        <v>0</v>
      </c>
      <c r="H381" s="86">
        <v>0</v>
      </c>
      <c r="I381" s="113">
        <v>0</v>
      </c>
      <c r="J381" s="114">
        <f t="shared" si="44"/>
        <v>0</v>
      </c>
      <c r="K381" s="113">
        <f t="shared" si="45"/>
        <v>0</v>
      </c>
      <c r="L381" s="113">
        <v>0</v>
      </c>
      <c r="M381" s="113">
        <v>0</v>
      </c>
      <c r="N381" s="113">
        <v>0</v>
      </c>
      <c r="O381" s="113">
        <v>0</v>
      </c>
      <c r="P381" s="113">
        <v>0</v>
      </c>
    </row>
    <row r="382" spans="2:16" ht="13.9" customHeight="1" outlineLevel="1" x14ac:dyDescent="0.25">
      <c r="B382" s="149"/>
      <c r="C382" s="150" t="s">
        <v>61</v>
      </c>
      <c r="D382" s="85">
        <v>0</v>
      </c>
      <c r="E382" s="86">
        <v>0</v>
      </c>
      <c r="F382" s="142">
        <f t="shared" si="43"/>
        <v>0</v>
      </c>
      <c r="G382" s="113">
        <v>0</v>
      </c>
      <c r="H382" s="86">
        <v>0</v>
      </c>
      <c r="I382" s="113">
        <v>0</v>
      </c>
      <c r="J382" s="114">
        <f t="shared" si="44"/>
        <v>0</v>
      </c>
      <c r="K382" s="113">
        <f t="shared" si="45"/>
        <v>0</v>
      </c>
      <c r="L382" s="113">
        <v>0</v>
      </c>
      <c r="M382" s="113">
        <v>0</v>
      </c>
      <c r="N382" s="113">
        <v>0</v>
      </c>
      <c r="O382" s="113">
        <v>0</v>
      </c>
      <c r="P382" s="113">
        <v>0</v>
      </c>
    </row>
    <row r="383" spans="2:16" ht="13.9" customHeight="1" outlineLevel="1" x14ac:dyDescent="0.25">
      <c r="B383" s="149"/>
      <c r="C383" s="150" t="s">
        <v>62</v>
      </c>
      <c r="D383" s="85">
        <v>0</v>
      </c>
      <c r="E383" s="86">
        <v>0</v>
      </c>
      <c r="F383" s="142">
        <f t="shared" si="43"/>
        <v>0</v>
      </c>
      <c r="G383" s="113">
        <v>0</v>
      </c>
      <c r="H383" s="86">
        <v>0</v>
      </c>
      <c r="I383" s="113">
        <v>0</v>
      </c>
      <c r="J383" s="114">
        <f t="shared" si="44"/>
        <v>0</v>
      </c>
      <c r="K383" s="113">
        <f t="shared" si="45"/>
        <v>0</v>
      </c>
      <c r="L383" s="113">
        <v>0</v>
      </c>
      <c r="M383" s="113">
        <v>0</v>
      </c>
      <c r="N383" s="113">
        <v>0</v>
      </c>
      <c r="O383" s="113">
        <v>0</v>
      </c>
      <c r="P383" s="113">
        <v>0</v>
      </c>
    </row>
    <row r="384" spans="2:16" ht="13.9" customHeight="1" outlineLevel="1" x14ac:dyDescent="0.25">
      <c r="B384" s="149"/>
      <c r="C384" s="150" t="s">
        <v>63</v>
      </c>
      <c r="D384" s="85">
        <v>0</v>
      </c>
      <c r="E384" s="86">
        <v>0</v>
      </c>
      <c r="F384" s="142">
        <f t="shared" si="43"/>
        <v>0</v>
      </c>
      <c r="G384" s="113">
        <v>0</v>
      </c>
      <c r="H384" s="86">
        <v>0</v>
      </c>
      <c r="I384" s="113">
        <v>0</v>
      </c>
      <c r="J384" s="114">
        <f t="shared" si="44"/>
        <v>0</v>
      </c>
      <c r="K384" s="113">
        <f t="shared" si="45"/>
        <v>0</v>
      </c>
      <c r="L384" s="113">
        <v>0</v>
      </c>
      <c r="M384" s="113">
        <v>0</v>
      </c>
      <c r="N384" s="113">
        <v>0</v>
      </c>
      <c r="O384" s="113">
        <v>0</v>
      </c>
      <c r="P384" s="113">
        <v>0</v>
      </c>
    </row>
    <row r="385" spans="2:16" ht="13.9" customHeight="1" outlineLevel="1" x14ac:dyDescent="0.25">
      <c r="B385" s="149"/>
      <c r="C385" s="150" t="s">
        <v>64</v>
      </c>
      <c r="D385" s="85">
        <v>0</v>
      </c>
      <c r="E385" s="86">
        <v>0</v>
      </c>
      <c r="F385" s="142">
        <f t="shared" si="43"/>
        <v>0</v>
      </c>
      <c r="G385" s="113">
        <v>0</v>
      </c>
      <c r="H385" s="86">
        <v>0</v>
      </c>
      <c r="I385" s="113">
        <v>0</v>
      </c>
      <c r="J385" s="114">
        <f t="shared" si="44"/>
        <v>0</v>
      </c>
      <c r="K385" s="113">
        <f t="shared" si="45"/>
        <v>0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</row>
    <row r="386" spans="2:16" ht="13.9" customHeight="1" outlineLevel="1" x14ac:dyDescent="0.25">
      <c r="B386" s="149"/>
      <c r="C386" s="150" t="s">
        <v>65</v>
      </c>
      <c r="D386" s="85">
        <v>33</v>
      </c>
      <c r="E386" s="86">
        <v>32635000</v>
      </c>
      <c r="F386" s="142">
        <f t="shared" si="43"/>
        <v>32644151.899999999</v>
      </c>
      <c r="G386" s="113">
        <v>32643767.899999999</v>
      </c>
      <c r="H386" s="86">
        <v>384</v>
      </c>
      <c r="I386" s="113">
        <v>384</v>
      </c>
      <c r="J386" s="114">
        <f t="shared" si="44"/>
        <v>0</v>
      </c>
      <c r="K386" s="113">
        <f t="shared" si="45"/>
        <v>0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</row>
    <row r="387" spans="2:16" ht="13.9" customHeight="1" outlineLevel="1" x14ac:dyDescent="0.25">
      <c r="B387" s="149"/>
      <c r="C387" s="150" t="s">
        <v>66</v>
      </c>
      <c r="D387" s="85">
        <v>0</v>
      </c>
      <c r="E387" s="86">
        <v>0</v>
      </c>
      <c r="F387" s="142">
        <f t="shared" si="43"/>
        <v>0</v>
      </c>
      <c r="G387" s="113">
        <v>0</v>
      </c>
      <c r="H387" s="86">
        <v>0</v>
      </c>
      <c r="I387" s="113">
        <v>0</v>
      </c>
      <c r="J387" s="114">
        <f t="shared" si="44"/>
        <v>0</v>
      </c>
      <c r="K387" s="113">
        <f t="shared" si="45"/>
        <v>0</v>
      </c>
      <c r="L387" s="113">
        <v>0</v>
      </c>
      <c r="M387" s="113">
        <v>0</v>
      </c>
      <c r="N387" s="113">
        <v>0</v>
      </c>
      <c r="O387" s="113">
        <v>0</v>
      </c>
      <c r="P387" s="113">
        <v>0</v>
      </c>
    </row>
    <row r="388" spans="2:16" ht="13.9" customHeight="1" outlineLevel="1" x14ac:dyDescent="0.25">
      <c r="B388" s="149"/>
      <c r="C388" s="150" t="s">
        <v>67</v>
      </c>
      <c r="D388" s="85">
        <v>4</v>
      </c>
      <c r="E388" s="86">
        <v>10381385</v>
      </c>
      <c r="F388" s="142">
        <f t="shared" si="43"/>
        <v>6228842.8999999994</v>
      </c>
      <c r="G388" s="113">
        <v>6228842.8999999994</v>
      </c>
      <c r="H388" s="86">
        <v>4152542.1000000006</v>
      </c>
      <c r="I388" s="113">
        <v>0</v>
      </c>
      <c r="J388" s="114">
        <f t="shared" si="44"/>
        <v>4152542.1000000006</v>
      </c>
      <c r="K388" s="113">
        <f t="shared" si="45"/>
        <v>4152542.1000000006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</row>
    <row r="389" spans="2:16" ht="13.9" customHeight="1" x14ac:dyDescent="0.25">
      <c r="B389" s="149"/>
      <c r="C389" s="148" t="s">
        <v>103</v>
      </c>
      <c r="D389" s="90">
        <f>SUM(D352:D388)</f>
        <v>84</v>
      </c>
      <c r="E389" s="91">
        <f t="shared" ref="E389:P389" si="46">SUM(E352:E388)</f>
        <v>480956165.84000003</v>
      </c>
      <c r="F389" s="92">
        <f t="shared" si="46"/>
        <v>443925723.63</v>
      </c>
      <c r="G389" s="93">
        <f t="shared" si="46"/>
        <v>435699795.82999992</v>
      </c>
      <c r="H389" s="90">
        <f t="shared" si="46"/>
        <v>48191619.690000005</v>
      </c>
      <c r="I389" s="91">
        <f t="shared" si="46"/>
        <v>8225927.7999999998</v>
      </c>
      <c r="J389" s="92">
        <f t="shared" si="46"/>
        <v>39965693.290000007</v>
      </c>
      <c r="K389" s="93">
        <f t="shared" si="46"/>
        <v>35840051.260000005</v>
      </c>
      <c r="L389" s="90">
        <f t="shared" si="46"/>
        <v>3574502.98</v>
      </c>
      <c r="M389" s="91">
        <f t="shared" si="46"/>
        <v>551139.05000000005</v>
      </c>
      <c r="N389" s="90">
        <f t="shared" si="46"/>
        <v>0</v>
      </c>
      <c r="O389" s="91">
        <f t="shared" si="46"/>
        <v>0</v>
      </c>
      <c r="P389" s="91">
        <f t="shared" si="46"/>
        <v>0</v>
      </c>
    </row>
    <row r="390" spans="2:16" ht="13.9" customHeight="1" outlineLevel="1" collapsed="1" x14ac:dyDescent="0.25">
      <c r="B390" s="149" t="s">
        <v>83</v>
      </c>
      <c r="C390" s="150" t="s">
        <v>70</v>
      </c>
      <c r="D390" s="85">
        <v>0</v>
      </c>
      <c r="E390" s="86">
        <v>0</v>
      </c>
      <c r="F390" s="142">
        <f t="shared" si="43"/>
        <v>0</v>
      </c>
      <c r="G390" s="113">
        <v>0</v>
      </c>
      <c r="H390" s="86">
        <v>0</v>
      </c>
      <c r="I390" s="113">
        <v>0</v>
      </c>
      <c r="J390" s="114">
        <f t="shared" si="44"/>
        <v>0</v>
      </c>
      <c r="K390" s="113">
        <f t="shared" si="45"/>
        <v>0</v>
      </c>
      <c r="L390" s="113">
        <v>0</v>
      </c>
      <c r="M390" s="113">
        <v>0</v>
      </c>
      <c r="N390" s="113">
        <v>0</v>
      </c>
      <c r="O390" s="113">
        <v>0</v>
      </c>
      <c r="P390" s="113">
        <v>0</v>
      </c>
    </row>
    <row r="391" spans="2:16" ht="13.9" customHeight="1" outlineLevel="1" x14ac:dyDescent="0.25">
      <c r="B391" s="149"/>
      <c r="C391" s="150" t="s">
        <v>71</v>
      </c>
      <c r="D391" s="85">
        <v>0</v>
      </c>
      <c r="E391" s="86">
        <v>0</v>
      </c>
      <c r="F391" s="142">
        <f t="shared" si="43"/>
        <v>0</v>
      </c>
      <c r="G391" s="113">
        <v>0</v>
      </c>
      <c r="H391" s="86">
        <v>0</v>
      </c>
      <c r="I391" s="113">
        <v>0</v>
      </c>
      <c r="J391" s="114">
        <f t="shared" si="44"/>
        <v>0</v>
      </c>
      <c r="K391" s="113">
        <f t="shared" si="45"/>
        <v>0</v>
      </c>
      <c r="L391" s="113">
        <v>0</v>
      </c>
      <c r="M391" s="113">
        <v>0</v>
      </c>
      <c r="N391" s="113">
        <v>0</v>
      </c>
      <c r="O391" s="113">
        <v>0</v>
      </c>
      <c r="P391" s="113">
        <v>0</v>
      </c>
    </row>
    <row r="392" spans="2:16" ht="13.9" customHeight="1" outlineLevel="1" x14ac:dyDescent="0.25">
      <c r="B392" s="149"/>
      <c r="C392" s="150" t="s">
        <v>72</v>
      </c>
      <c r="D392" s="85">
        <v>0</v>
      </c>
      <c r="E392" s="86">
        <v>0</v>
      </c>
      <c r="F392" s="142">
        <f t="shared" si="43"/>
        <v>0</v>
      </c>
      <c r="G392" s="113">
        <v>0</v>
      </c>
      <c r="H392" s="86">
        <v>0</v>
      </c>
      <c r="I392" s="113">
        <v>0</v>
      </c>
      <c r="J392" s="114">
        <f t="shared" si="44"/>
        <v>0</v>
      </c>
      <c r="K392" s="113">
        <f t="shared" si="45"/>
        <v>0</v>
      </c>
      <c r="L392" s="113">
        <v>0</v>
      </c>
      <c r="M392" s="113">
        <v>0</v>
      </c>
      <c r="N392" s="113">
        <v>0</v>
      </c>
      <c r="O392" s="113">
        <v>0</v>
      </c>
      <c r="P392" s="113">
        <v>0</v>
      </c>
    </row>
    <row r="393" spans="2:16" ht="13.9" customHeight="1" x14ac:dyDescent="0.25">
      <c r="B393" s="149"/>
      <c r="C393" s="148" t="s">
        <v>104</v>
      </c>
      <c r="D393" s="90">
        <f>SUM(D390:D392)</f>
        <v>0</v>
      </c>
      <c r="E393" s="91">
        <f t="shared" ref="E393:P393" si="47">SUM(E390:E392)</f>
        <v>0</v>
      </c>
      <c r="F393" s="92">
        <f t="shared" si="47"/>
        <v>0</v>
      </c>
      <c r="G393" s="93">
        <f t="shared" si="47"/>
        <v>0</v>
      </c>
      <c r="H393" s="90">
        <f t="shared" si="47"/>
        <v>0</v>
      </c>
      <c r="I393" s="91">
        <f t="shared" si="47"/>
        <v>0</v>
      </c>
      <c r="J393" s="92">
        <f t="shared" si="47"/>
        <v>0</v>
      </c>
      <c r="K393" s="93">
        <f t="shared" si="47"/>
        <v>0</v>
      </c>
      <c r="L393" s="90">
        <f t="shared" si="47"/>
        <v>0</v>
      </c>
      <c r="M393" s="91">
        <f t="shared" si="47"/>
        <v>0</v>
      </c>
      <c r="N393" s="90">
        <f t="shared" si="47"/>
        <v>0</v>
      </c>
      <c r="O393" s="91">
        <f t="shared" si="47"/>
        <v>0</v>
      </c>
      <c r="P393" s="91">
        <f t="shared" si="47"/>
        <v>0</v>
      </c>
    </row>
    <row r="394" spans="2:16" ht="13.9" customHeight="1" outlineLevel="1" collapsed="1" x14ac:dyDescent="0.25">
      <c r="B394" s="149" t="s">
        <v>105</v>
      </c>
      <c r="C394" s="150" t="s">
        <v>75</v>
      </c>
      <c r="D394" s="85">
        <v>0</v>
      </c>
      <c r="E394" s="86">
        <v>0</v>
      </c>
      <c r="F394" s="142">
        <f t="shared" si="43"/>
        <v>0</v>
      </c>
      <c r="G394" s="113">
        <v>0</v>
      </c>
      <c r="H394" s="86">
        <v>0</v>
      </c>
      <c r="I394" s="113">
        <v>0</v>
      </c>
      <c r="J394" s="114">
        <f t="shared" si="44"/>
        <v>0</v>
      </c>
      <c r="K394" s="113">
        <f t="shared" si="45"/>
        <v>0</v>
      </c>
      <c r="L394" s="113">
        <v>0</v>
      </c>
      <c r="M394" s="113">
        <v>0</v>
      </c>
      <c r="N394" s="113">
        <v>0</v>
      </c>
      <c r="O394" s="113">
        <v>0</v>
      </c>
      <c r="P394" s="113">
        <v>0</v>
      </c>
    </row>
    <row r="395" spans="2:16" ht="13.9" customHeight="1" outlineLevel="1" x14ac:dyDescent="0.25">
      <c r="B395" s="149"/>
      <c r="C395" s="150" t="s">
        <v>76</v>
      </c>
      <c r="D395" s="85">
        <v>0</v>
      </c>
      <c r="E395" s="86">
        <v>0</v>
      </c>
      <c r="F395" s="142">
        <f t="shared" si="43"/>
        <v>0</v>
      </c>
      <c r="G395" s="113">
        <v>0</v>
      </c>
      <c r="H395" s="86">
        <v>0</v>
      </c>
      <c r="I395" s="113">
        <v>0</v>
      </c>
      <c r="J395" s="114">
        <f t="shared" si="44"/>
        <v>0</v>
      </c>
      <c r="K395" s="113">
        <f t="shared" si="45"/>
        <v>0</v>
      </c>
      <c r="L395" s="113">
        <v>0</v>
      </c>
      <c r="M395" s="113">
        <v>0</v>
      </c>
      <c r="N395" s="113">
        <v>0</v>
      </c>
      <c r="O395" s="113">
        <v>0</v>
      </c>
      <c r="P395" s="113">
        <v>0</v>
      </c>
    </row>
    <row r="396" spans="2:16" ht="13.9" customHeight="1" x14ac:dyDescent="0.25">
      <c r="B396" s="149"/>
      <c r="C396" s="148" t="s">
        <v>106</v>
      </c>
      <c r="D396" s="90">
        <f>SUM(D394:D395)</f>
        <v>0</v>
      </c>
      <c r="E396" s="91">
        <f t="shared" ref="E396:P396" si="48">SUM(E394:E395)</f>
        <v>0</v>
      </c>
      <c r="F396" s="92">
        <f t="shared" si="48"/>
        <v>0</v>
      </c>
      <c r="G396" s="93">
        <f t="shared" si="48"/>
        <v>0</v>
      </c>
      <c r="H396" s="90">
        <f t="shared" si="48"/>
        <v>0</v>
      </c>
      <c r="I396" s="91">
        <f t="shared" si="48"/>
        <v>0</v>
      </c>
      <c r="J396" s="92">
        <f t="shared" si="48"/>
        <v>0</v>
      </c>
      <c r="K396" s="93">
        <f t="shared" si="48"/>
        <v>0</v>
      </c>
      <c r="L396" s="90">
        <f t="shared" si="48"/>
        <v>0</v>
      </c>
      <c r="M396" s="91">
        <f t="shared" si="48"/>
        <v>0</v>
      </c>
      <c r="N396" s="90">
        <f t="shared" si="48"/>
        <v>0</v>
      </c>
      <c r="O396" s="91">
        <f t="shared" si="48"/>
        <v>0</v>
      </c>
      <c r="P396" s="91">
        <f t="shared" si="48"/>
        <v>0</v>
      </c>
    </row>
    <row r="397" spans="2:16" ht="13.9" customHeight="1" collapsed="1" x14ac:dyDescent="0.25">
      <c r="B397" s="155" t="s">
        <v>78</v>
      </c>
      <c r="C397" s="155"/>
      <c r="D397" s="90">
        <f>+D389+D393+D396</f>
        <v>84</v>
      </c>
      <c r="E397" s="91">
        <f t="shared" ref="E397:P397" si="49">+E389+E393+E396</f>
        <v>480956165.84000003</v>
      </c>
      <c r="F397" s="92">
        <f t="shared" si="49"/>
        <v>443925723.63</v>
      </c>
      <c r="G397" s="93">
        <f t="shared" si="49"/>
        <v>435699795.82999992</v>
      </c>
      <c r="H397" s="90">
        <f t="shared" si="49"/>
        <v>48191619.690000005</v>
      </c>
      <c r="I397" s="91">
        <f t="shared" si="49"/>
        <v>8225927.7999999998</v>
      </c>
      <c r="J397" s="92">
        <f t="shared" si="49"/>
        <v>39965693.290000007</v>
      </c>
      <c r="K397" s="93">
        <f t="shared" si="49"/>
        <v>35840051.260000005</v>
      </c>
      <c r="L397" s="90">
        <f t="shared" si="49"/>
        <v>3574502.98</v>
      </c>
      <c r="M397" s="91">
        <f t="shared" si="49"/>
        <v>551139.05000000005</v>
      </c>
      <c r="N397" s="90">
        <f t="shared" si="49"/>
        <v>0</v>
      </c>
      <c r="O397" s="91">
        <f t="shared" si="49"/>
        <v>0</v>
      </c>
      <c r="P397" s="91">
        <f t="shared" si="49"/>
        <v>0</v>
      </c>
    </row>
    <row r="398" spans="2:16" ht="13.9" customHeight="1" x14ac:dyDescent="0.25"/>
    <row r="399" spans="2:16" x14ac:dyDescent="0.25"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</row>
    <row r="400" spans="2:16" x14ac:dyDescent="0.25"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</row>
    <row r="401" spans="3:17" x14ac:dyDescent="0.25">
      <c r="C401" s="14"/>
      <c r="D401" s="14"/>
      <c r="E401" s="14"/>
      <c r="F401" s="14"/>
      <c r="G401" s="14"/>
      <c r="H401" s="157"/>
      <c r="I401" s="14"/>
      <c r="J401" s="157"/>
      <c r="K401" s="157"/>
      <c r="L401" s="157"/>
      <c r="M401" s="157"/>
      <c r="N401" s="157"/>
      <c r="O401" s="157"/>
      <c r="P401" s="157"/>
    </row>
    <row r="402" spans="3:17" x14ac:dyDescent="0.25">
      <c r="C402" s="14"/>
      <c r="D402" s="14"/>
      <c r="E402" s="14"/>
      <c r="F402" s="14"/>
      <c r="G402" s="14"/>
      <c r="H402" s="95"/>
      <c r="I402" s="14"/>
      <c r="J402" s="95"/>
      <c r="K402" s="95"/>
      <c r="L402" s="95"/>
      <c r="M402" s="95"/>
      <c r="N402" s="95"/>
      <c r="O402" s="95"/>
      <c r="P402" s="95"/>
    </row>
    <row r="403" spans="3:17" x14ac:dyDescent="0.25">
      <c r="C403" s="14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</row>
    <row r="404" spans="3:17" x14ac:dyDescent="0.25">
      <c r="C404" s="14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</row>
    <row r="405" spans="3:17" x14ac:dyDescent="0.25">
      <c r="C405" s="14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</row>
    <row r="406" spans="3:17" x14ac:dyDescent="0.25">
      <c r="C406" s="14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</row>
    <row r="407" spans="3:17" x14ac:dyDescent="0.25">
      <c r="C407" s="14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</row>
    <row r="408" spans="3:17" x14ac:dyDescent="0.25">
      <c r="C408" s="14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</row>
    <row r="409" spans="3:17" x14ac:dyDescent="0.25">
      <c r="C409" s="14"/>
      <c r="D409" s="9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3:17" x14ac:dyDescent="0.25"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3:17" x14ac:dyDescent="0.25"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3:17" x14ac:dyDescent="0.25"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3:17" x14ac:dyDescent="0.25"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</row>
  </sheetData>
  <mergeCells count="48">
    <mergeCell ref="B345:B347"/>
    <mergeCell ref="B348:C348"/>
    <mergeCell ref="B352:B389"/>
    <mergeCell ref="B390:B393"/>
    <mergeCell ref="B394:B396"/>
    <mergeCell ref="B397:C397"/>
    <mergeCell ref="B254:B291"/>
    <mergeCell ref="B292:B295"/>
    <mergeCell ref="B296:B298"/>
    <mergeCell ref="B299:C299"/>
    <mergeCell ref="B303:B340"/>
    <mergeCell ref="B341:B344"/>
    <mergeCell ref="B197:B199"/>
    <mergeCell ref="B200:C200"/>
    <mergeCell ref="B205:B242"/>
    <mergeCell ref="B243:B246"/>
    <mergeCell ref="B247:B249"/>
    <mergeCell ref="B250:C250"/>
    <mergeCell ref="B106:B143"/>
    <mergeCell ref="B144:B147"/>
    <mergeCell ref="B148:B150"/>
    <mergeCell ref="B151:C151"/>
    <mergeCell ref="B155:B192"/>
    <mergeCell ref="B193:B196"/>
    <mergeCell ref="L55:M55"/>
    <mergeCell ref="N55:O55"/>
    <mergeCell ref="B57:B94"/>
    <mergeCell ref="B95:B98"/>
    <mergeCell ref="B99:B101"/>
    <mergeCell ref="B102:C102"/>
    <mergeCell ref="B52:C52"/>
    <mergeCell ref="B55:B56"/>
    <mergeCell ref="D55:E55"/>
    <mergeCell ref="F55:G55"/>
    <mergeCell ref="H55:I55"/>
    <mergeCell ref="J55:K55"/>
    <mergeCell ref="N3:O3"/>
    <mergeCell ref="B5:B42"/>
    <mergeCell ref="B43:B46"/>
    <mergeCell ref="B47:B49"/>
    <mergeCell ref="B50:C50"/>
    <mergeCell ref="B51:C51"/>
    <mergeCell ref="B3:B4"/>
    <mergeCell ref="D3:E3"/>
    <mergeCell ref="F3:G3"/>
    <mergeCell ref="H3:I3"/>
    <mergeCell ref="J3:K3"/>
    <mergeCell ref="L3:M3"/>
  </mergeCells>
  <conditionalFormatting sqref="B3">
    <cfRule type="cellIs" dxfId="24" priority="9" operator="lessThan">
      <formula>0</formula>
    </cfRule>
  </conditionalFormatting>
  <conditionalFormatting sqref="B151">
    <cfRule type="cellIs" dxfId="23" priority="10" operator="lessThan">
      <formula>0</formula>
    </cfRule>
  </conditionalFormatting>
  <conditionalFormatting sqref="B200">
    <cfRule type="cellIs" dxfId="22" priority="8" operator="lessThan">
      <formula>0</formula>
    </cfRule>
  </conditionalFormatting>
  <conditionalFormatting sqref="B250">
    <cfRule type="cellIs" dxfId="21" priority="7" operator="lessThan">
      <formula>0</formula>
    </cfRule>
  </conditionalFormatting>
  <conditionalFormatting sqref="B299">
    <cfRule type="cellIs" dxfId="20" priority="6" operator="lessThan">
      <formula>0</formula>
    </cfRule>
  </conditionalFormatting>
  <conditionalFormatting sqref="B348">
    <cfRule type="cellIs" dxfId="19" priority="5" operator="lessThan">
      <formula>0</formula>
    </cfRule>
  </conditionalFormatting>
  <conditionalFormatting sqref="B397">
    <cfRule type="cellIs" dxfId="18" priority="4" operator="lessThan">
      <formula>0</formula>
    </cfRule>
  </conditionalFormatting>
  <conditionalFormatting sqref="C3:C49 B50:B52 C53:C101 B102 C105:C150 B153 C154:C199 B203 C204:C249 C251 B252 C253:C298 B301 C302:C347 B350 C351:C396 C401:C402">
    <cfRule type="cellIs" dxfId="17" priority="11" operator="lessThan">
      <formula>0</formula>
    </cfRule>
  </conditionalFormatting>
  <conditionalFormatting sqref="C403:C455">
    <cfRule type="duplicateValues" dxfId="16" priority="14"/>
  </conditionalFormatting>
  <conditionalFormatting sqref="C1:Q2 D3:Q104 D105:P200 D203:P397">
    <cfRule type="cellIs" dxfId="15" priority="12" operator="lessThan">
      <formula>0</formula>
    </cfRule>
  </conditionalFormatting>
  <conditionalFormatting sqref="D399:P402">
    <cfRule type="cellIs" dxfId="14" priority="3" operator="lessThan">
      <formula>0</formula>
    </cfRule>
  </conditionalFormatting>
  <conditionalFormatting sqref="R1:R23">
    <cfRule type="cellIs" dxfId="13" priority="13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7" fitToHeight="2" orientation="landscape" r:id="rId1"/>
  <headerFooter alignWithMargins="0">
    <oddHeader>&amp;LSOBHA LLC&amp;C&amp;18
Bulk buyers_60mn to 100mn investment_Paid% category VS Balance collectibles YOY breakup&amp;R&amp;D</oddHeader>
    <oddFooter>&amp;LCOLLECTIONS&amp;R&amp;P/&amp;N</oddFooter>
  </headerFooter>
  <rowBreaks count="3" manualBreakCount="3">
    <brk id="102" min="1" max="15" man="1"/>
    <brk id="202" min="1" max="15" man="1"/>
    <brk id="300" min="1" max="1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65BE-D08A-471F-9FF9-89CC831412AA}">
  <dimension ref="A3:R416"/>
  <sheetViews>
    <sheetView view="pageBreakPreview" topLeftCell="A346" zoomScale="70" zoomScaleNormal="100" zoomScaleSheetLayoutView="70" workbookViewId="0">
      <selection activeCell="F404" sqref="F404"/>
    </sheetView>
  </sheetViews>
  <sheetFormatPr defaultRowHeight="15" outlineLevelRow="1" x14ac:dyDescent="0.25"/>
  <cols>
    <col min="1" max="1" width="12.7109375" customWidth="1"/>
    <col min="2" max="2" width="9.140625" customWidth="1"/>
    <col min="3" max="3" width="78.85546875" bestFit="1" customWidth="1"/>
    <col min="4" max="4" width="15.42578125" bestFit="1" customWidth="1"/>
    <col min="5" max="5" width="22.5703125" bestFit="1" customWidth="1"/>
    <col min="6" max="6" width="26.5703125" bestFit="1" customWidth="1"/>
    <col min="7" max="9" width="22.5703125" bestFit="1" customWidth="1"/>
    <col min="10" max="10" width="22.28515625" bestFit="1" customWidth="1"/>
    <col min="11" max="11" width="22.5703125" bestFit="1" customWidth="1"/>
    <col min="12" max="12" width="17.7109375" bestFit="1" customWidth="1"/>
    <col min="13" max="13" width="22.5703125" bestFit="1" customWidth="1"/>
    <col min="14" max="14" width="17.7109375" bestFit="1" customWidth="1"/>
    <col min="15" max="15" width="22.5703125" bestFit="1" customWidth="1"/>
    <col min="16" max="16" width="7.140625" bestFit="1" customWidth="1"/>
    <col min="17" max="17" width="8.140625" bestFit="1" customWidth="1"/>
    <col min="18" max="18" width="16.28515625" bestFit="1" customWidth="1"/>
    <col min="19" max="19" width="17.85546875" bestFit="1" customWidth="1"/>
    <col min="20" max="21" width="13.28515625" bestFit="1" customWidth="1"/>
    <col min="23" max="23" width="18.42578125" customWidth="1"/>
  </cols>
  <sheetData>
    <row r="3" spans="1:18" ht="13.9" customHeight="1" x14ac:dyDescent="0.25">
      <c r="A3">
        <v>3</v>
      </c>
      <c r="B3" s="147" t="s">
        <v>26</v>
      </c>
      <c r="C3" s="148" t="s">
        <v>19</v>
      </c>
      <c r="D3" s="73" t="s">
        <v>20</v>
      </c>
      <c r="E3" s="74"/>
      <c r="F3" s="75" t="s">
        <v>21</v>
      </c>
      <c r="G3" s="76"/>
      <c r="H3" s="73" t="s">
        <v>22</v>
      </c>
      <c r="I3" s="74"/>
      <c r="J3" s="75" t="s">
        <v>23</v>
      </c>
      <c r="K3" s="76"/>
      <c r="L3" s="73" t="s">
        <v>24</v>
      </c>
      <c r="M3" s="74"/>
      <c r="N3" s="73" t="s">
        <v>25</v>
      </c>
      <c r="O3" s="74"/>
      <c r="P3" s="77"/>
      <c r="Q3" s="77"/>
      <c r="R3" s="77"/>
    </row>
    <row r="4" spans="1:18" ht="13.9" customHeight="1" x14ac:dyDescent="0.25">
      <c r="A4" t="s">
        <v>99</v>
      </c>
      <c r="B4" s="147"/>
      <c r="C4" s="148" t="s">
        <v>102</v>
      </c>
      <c r="D4" s="79" t="s">
        <v>28</v>
      </c>
      <c r="E4" s="80" t="s">
        <v>29</v>
      </c>
      <c r="F4" s="81" t="s">
        <v>28</v>
      </c>
      <c r="G4" s="82" t="s">
        <v>29</v>
      </c>
      <c r="H4" s="79" t="s">
        <v>28</v>
      </c>
      <c r="I4" s="80" t="s">
        <v>29</v>
      </c>
      <c r="J4" s="81" t="s">
        <v>28</v>
      </c>
      <c r="K4" s="82" t="s">
        <v>29</v>
      </c>
      <c r="L4" s="79" t="s">
        <v>28</v>
      </c>
      <c r="M4" s="80" t="s">
        <v>29</v>
      </c>
      <c r="N4" s="79" t="s">
        <v>28</v>
      </c>
      <c r="O4" s="80" t="s">
        <v>29</v>
      </c>
      <c r="P4" s="83"/>
      <c r="Q4" s="83"/>
      <c r="R4" s="83"/>
    </row>
    <row r="5" spans="1:18" ht="13.9" customHeight="1" outlineLevel="1" x14ac:dyDescent="0.25">
      <c r="B5" s="149" t="s">
        <v>30</v>
      </c>
      <c r="C5" s="150" t="s">
        <v>31</v>
      </c>
      <c r="D5" s="85">
        <v>0</v>
      </c>
      <c r="E5" s="86">
        <v>0</v>
      </c>
      <c r="F5" s="85">
        <v>0</v>
      </c>
      <c r="G5" s="86">
        <v>0</v>
      </c>
      <c r="H5" s="85">
        <v>0</v>
      </c>
      <c r="I5" s="86">
        <v>0</v>
      </c>
      <c r="J5" s="85">
        <v>0</v>
      </c>
      <c r="K5" s="86">
        <v>0</v>
      </c>
      <c r="L5" s="85">
        <v>0</v>
      </c>
      <c r="M5" s="86">
        <v>0</v>
      </c>
      <c r="N5" s="85">
        <v>12</v>
      </c>
      <c r="O5" s="86">
        <v>26067379.440000005</v>
      </c>
      <c r="P5" s="87"/>
      <c r="Q5" s="87"/>
      <c r="R5" s="87"/>
    </row>
    <row r="6" spans="1:18" ht="13.9" customHeight="1" outlineLevel="1" x14ac:dyDescent="0.25">
      <c r="B6" s="149"/>
      <c r="C6" s="150" t="s">
        <v>32</v>
      </c>
      <c r="D6" s="85">
        <v>0</v>
      </c>
      <c r="E6" s="86">
        <v>0</v>
      </c>
      <c r="F6" s="85">
        <v>0</v>
      </c>
      <c r="G6" s="86">
        <v>0</v>
      </c>
      <c r="H6" s="85">
        <v>0</v>
      </c>
      <c r="I6" s="86">
        <v>0</v>
      </c>
      <c r="J6" s="85">
        <v>0</v>
      </c>
      <c r="K6" s="86">
        <v>0</v>
      </c>
      <c r="L6" s="85">
        <v>0</v>
      </c>
      <c r="M6" s="86">
        <v>0</v>
      </c>
      <c r="N6" s="85">
        <v>0</v>
      </c>
      <c r="O6" s="86">
        <v>0</v>
      </c>
      <c r="P6" s="87"/>
      <c r="Q6" s="87"/>
      <c r="R6" s="87"/>
    </row>
    <row r="7" spans="1:18" ht="13.9" customHeight="1" outlineLevel="1" x14ac:dyDescent="0.25">
      <c r="B7" s="149"/>
      <c r="C7" s="150" t="s">
        <v>33</v>
      </c>
      <c r="D7" s="85">
        <v>0</v>
      </c>
      <c r="E7" s="86">
        <v>0</v>
      </c>
      <c r="F7" s="85">
        <v>0</v>
      </c>
      <c r="G7" s="86">
        <v>0</v>
      </c>
      <c r="H7" s="85">
        <v>0</v>
      </c>
      <c r="I7" s="86">
        <v>0</v>
      </c>
      <c r="J7" s="85">
        <v>0</v>
      </c>
      <c r="K7" s="86">
        <v>0</v>
      </c>
      <c r="L7" s="85">
        <v>0</v>
      </c>
      <c r="M7" s="86">
        <v>0</v>
      </c>
      <c r="N7" s="85">
        <v>1</v>
      </c>
      <c r="O7" s="86">
        <v>2629030.25</v>
      </c>
      <c r="P7" s="87"/>
      <c r="Q7" s="87"/>
      <c r="R7" s="87"/>
    </row>
    <row r="8" spans="1:18" ht="13.9" customHeight="1" outlineLevel="1" x14ac:dyDescent="0.25">
      <c r="B8" s="149"/>
      <c r="C8" s="150" t="s">
        <v>34</v>
      </c>
      <c r="D8" s="85">
        <v>0</v>
      </c>
      <c r="E8" s="86">
        <v>0</v>
      </c>
      <c r="F8" s="85">
        <v>0</v>
      </c>
      <c r="G8" s="86">
        <v>0</v>
      </c>
      <c r="H8" s="85">
        <v>0</v>
      </c>
      <c r="I8" s="86">
        <v>0</v>
      </c>
      <c r="J8" s="85">
        <v>0</v>
      </c>
      <c r="K8" s="86">
        <v>0</v>
      </c>
      <c r="L8" s="85">
        <v>27</v>
      </c>
      <c r="M8" s="86">
        <v>75119767.5</v>
      </c>
      <c r="N8" s="85">
        <v>10</v>
      </c>
      <c r="O8" s="86">
        <v>21093278.75</v>
      </c>
      <c r="P8" s="87"/>
      <c r="Q8" s="87"/>
      <c r="R8" s="87"/>
    </row>
    <row r="9" spans="1:18" ht="13.9" customHeight="1" outlineLevel="1" x14ac:dyDescent="0.25">
      <c r="B9" s="149"/>
      <c r="C9" s="150" t="s">
        <v>35</v>
      </c>
      <c r="D9" s="85">
        <v>0</v>
      </c>
      <c r="E9" s="86">
        <v>0</v>
      </c>
      <c r="F9" s="85">
        <v>0</v>
      </c>
      <c r="G9" s="86">
        <v>0</v>
      </c>
      <c r="H9" s="85">
        <v>0</v>
      </c>
      <c r="I9" s="86">
        <v>0</v>
      </c>
      <c r="J9" s="85">
        <v>0</v>
      </c>
      <c r="K9" s="86">
        <v>0</v>
      </c>
      <c r="L9" s="85">
        <v>0</v>
      </c>
      <c r="M9" s="86">
        <v>0</v>
      </c>
      <c r="N9" s="85">
        <v>5</v>
      </c>
      <c r="O9" s="86">
        <v>5348817.1000000006</v>
      </c>
      <c r="P9" s="87"/>
      <c r="Q9" s="87"/>
      <c r="R9" s="87"/>
    </row>
    <row r="10" spans="1:18" ht="13.9" customHeight="1" outlineLevel="1" x14ac:dyDescent="0.25">
      <c r="B10" s="149"/>
      <c r="C10" s="150" t="s">
        <v>36</v>
      </c>
      <c r="D10" s="85">
        <v>0</v>
      </c>
      <c r="E10" s="86">
        <v>0</v>
      </c>
      <c r="F10" s="85">
        <v>0</v>
      </c>
      <c r="G10" s="86">
        <v>0</v>
      </c>
      <c r="H10" s="85">
        <v>0</v>
      </c>
      <c r="I10" s="86">
        <v>0</v>
      </c>
      <c r="J10" s="85">
        <v>0</v>
      </c>
      <c r="K10" s="86">
        <v>0</v>
      </c>
      <c r="L10" s="85">
        <v>2</v>
      </c>
      <c r="M10" s="86">
        <v>20949840</v>
      </c>
      <c r="N10" s="85">
        <v>0</v>
      </c>
      <c r="O10" s="86">
        <v>0</v>
      </c>
      <c r="P10" s="87"/>
      <c r="Q10" s="87"/>
      <c r="R10" s="87"/>
    </row>
    <row r="11" spans="1:18" ht="13.9" customHeight="1" outlineLevel="1" x14ac:dyDescent="0.25">
      <c r="B11" s="149"/>
      <c r="C11" s="150" t="s">
        <v>37</v>
      </c>
      <c r="D11" s="85">
        <v>0</v>
      </c>
      <c r="E11" s="86">
        <v>0</v>
      </c>
      <c r="F11" s="85">
        <v>0</v>
      </c>
      <c r="G11" s="86">
        <v>0</v>
      </c>
      <c r="H11" s="85">
        <v>0</v>
      </c>
      <c r="I11" s="86">
        <v>0</v>
      </c>
      <c r="J11" s="85">
        <v>0</v>
      </c>
      <c r="K11" s="86">
        <v>0</v>
      </c>
      <c r="L11" s="85">
        <v>0</v>
      </c>
      <c r="M11" s="86">
        <v>0</v>
      </c>
      <c r="N11" s="85">
        <v>1</v>
      </c>
      <c r="O11" s="86">
        <v>2042784.8</v>
      </c>
      <c r="P11" s="87"/>
      <c r="Q11" s="87"/>
      <c r="R11" s="87"/>
    </row>
    <row r="12" spans="1:18" ht="13.9" customHeight="1" outlineLevel="1" x14ac:dyDescent="0.25">
      <c r="B12" s="149"/>
      <c r="C12" s="150" t="s">
        <v>38</v>
      </c>
      <c r="D12" s="85">
        <v>0</v>
      </c>
      <c r="E12" s="86">
        <v>0</v>
      </c>
      <c r="F12" s="85">
        <v>0</v>
      </c>
      <c r="G12" s="86">
        <v>0</v>
      </c>
      <c r="H12" s="85">
        <v>0</v>
      </c>
      <c r="I12" s="86">
        <v>0</v>
      </c>
      <c r="J12" s="85">
        <v>0</v>
      </c>
      <c r="K12" s="86">
        <v>0</v>
      </c>
      <c r="L12" s="85">
        <v>0</v>
      </c>
      <c r="M12" s="86">
        <v>0</v>
      </c>
      <c r="N12" s="85">
        <v>0</v>
      </c>
      <c r="O12" s="86">
        <v>0</v>
      </c>
      <c r="P12" s="87"/>
      <c r="Q12" s="87"/>
      <c r="R12" s="87"/>
    </row>
    <row r="13" spans="1:18" ht="13.9" customHeight="1" outlineLevel="1" x14ac:dyDescent="0.25">
      <c r="B13" s="149"/>
      <c r="C13" s="150" t="s">
        <v>39</v>
      </c>
      <c r="D13" s="85">
        <v>0</v>
      </c>
      <c r="E13" s="86">
        <v>0</v>
      </c>
      <c r="F13" s="85">
        <v>0</v>
      </c>
      <c r="G13" s="86">
        <v>0</v>
      </c>
      <c r="H13" s="85">
        <v>0</v>
      </c>
      <c r="I13" s="86">
        <v>0</v>
      </c>
      <c r="J13" s="85">
        <v>0</v>
      </c>
      <c r="K13" s="86">
        <v>0</v>
      </c>
      <c r="L13" s="85">
        <v>0</v>
      </c>
      <c r="M13" s="86">
        <v>0</v>
      </c>
      <c r="N13" s="85">
        <v>0</v>
      </c>
      <c r="O13" s="86">
        <v>0</v>
      </c>
      <c r="P13" s="87"/>
      <c r="Q13" s="87"/>
      <c r="R13" s="87"/>
    </row>
    <row r="14" spans="1:18" ht="13.9" customHeight="1" outlineLevel="1" x14ac:dyDescent="0.25">
      <c r="B14" s="149"/>
      <c r="C14" s="150" t="s">
        <v>40</v>
      </c>
      <c r="D14" s="85">
        <v>0</v>
      </c>
      <c r="E14" s="86">
        <v>0</v>
      </c>
      <c r="F14" s="85">
        <v>9</v>
      </c>
      <c r="G14" s="86">
        <v>231782940</v>
      </c>
      <c r="H14" s="85">
        <v>1</v>
      </c>
      <c r="I14" s="86">
        <v>25706160</v>
      </c>
      <c r="J14" s="85">
        <v>0</v>
      </c>
      <c r="K14" s="86">
        <v>0</v>
      </c>
      <c r="L14" s="85">
        <v>3</v>
      </c>
      <c r="M14" s="86">
        <v>118772806.5</v>
      </c>
      <c r="N14" s="85">
        <v>2</v>
      </c>
      <c r="O14" s="86">
        <v>87527872</v>
      </c>
      <c r="P14" s="87"/>
      <c r="Q14" s="87"/>
      <c r="R14" s="87"/>
    </row>
    <row r="15" spans="1:18" ht="13.9" customHeight="1" outlineLevel="1" x14ac:dyDescent="0.25">
      <c r="B15" s="149"/>
      <c r="C15" s="150" t="s">
        <v>41</v>
      </c>
      <c r="D15" s="85">
        <v>0</v>
      </c>
      <c r="E15" s="86">
        <v>0</v>
      </c>
      <c r="F15" s="85">
        <v>0</v>
      </c>
      <c r="G15" s="86">
        <v>0</v>
      </c>
      <c r="H15" s="85">
        <v>0</v>
      </c>
      <c r="I15" s="86">
        <v>0</v>
      </c>
      <c r="J15" s="85">
        <v>0</v>
      </c>
      <c r="K15" s="86">
        <v>0</v>
      </c>
      <c r="L15" s="85">
        <v>0</v>
      </c>
      <c r="M15" s="86">
        <v>0</v>
      </c>
      <c r="N15" s="85">
        <v>0</v>
      </c>
      <c r="O15" s="86">
        <v>0</v>
      </c>
      <c r="P15" s="87"/>
      <c r="Q15" s="87"/>
      <c r="R15" s="87"/>
    </row>
    <row r="16" spans="1:18" ht="13.9" customHeight="1" outlineLevel="1" x14ac:dyDescent="0.25">
      <c r="B16" s="149"/>
      <c r="C16" s="150" t="s">
        <v>42</v>
      </c>
      <c r="D16" s="85">
        <v>0</v>
      </c>
      <c r="E16" s="86">
        <v>0</v>
      </c>
      <c r="F16" s="85">
        <v>0</v>
      </c>
      <c r="G16" s="86">
        <v>0</v>
      </c>
      <c r="H16" s="85">
        <v>0</v>
      </c>
      <c r="I16" s="86">
        <v>0</v>
      </c>
      <c r="J16" s="85">
        <v>0</v>
      </c>
      <c r="K16" s="86">
        <v>0</v>
      </c>
      <c r="L16" s="85">
        <v>0</v>
      </c>
      <c r="M16" s="86">
        <v>0</v>
      </c>
      <c r="N16" s="85">
        <v>11</v>
      </c>
      <c r="O16" s="86">
        <v>29450848.950000003</v>
      </c>
      <c r="P16" s="87"/>
      <c r="Q16" s="87"/>
      <c r="R16" s="87"/>
    </row>
    <row r="17" spans="2:18" ht="13.9" customHeight="1" outlineLevel="1" x14ac:dyDescent="0.25">
      <c r="B17" s="149"/>
      <c r="C17" s="150" t="s">
        <v>43</v>
      </c>
      <c r="D17" s="85">
        <v>0</v>
      </c>
      <c r="E17" s="86">
        <v>0</v>
      </c>
      <c r="F17" s="85">
        <v>0</v>
      </c>
      <c r="G17" s="86">
        <v>0</v>
      </c>
      <c r="H17" s="85">
        <v>3</v>
      </c>
      <c r="I17" s="86">
        <v>72074200</v>
      </c>
      <c r="J17" s="85">
        <v>0</v>
      </c>
      <c r="K17" s="86">
        <v>0</v>
      </c>
      <c r="L17" s="85">
        <v>10</v>
      </c>
      <c r="M17" s="86">
        <v>71916380</v>
      </c>
      <c r="N17" s="85">
        <v>14</v>
      </c>
      <c r="O17" s="86">
        <v>200007733</v>
      </c>
      <c r="P17" s="87"/>
      <c r="Q17" s="87"/>
      <c r="R17" s="87"/>
    </row>
    <row r="18" spans="2:18" ht="13.9" customHeight="1" outlineLevel="1" x14ac:dyDescent="0.25">
      <c r="B18" s="149"/>
      <c r="C18" s="150" t="s">
        <v>44</v>
      </c>
      <c r="D18" s="85">
        <v>0</v>
      </c>
      <c r="E18" s="86">
        <v>0</v>
      </c>
      <c r="F18" s="85">
        <v>1</v>
      </c>
      <c r="G18" s="86">
        <v>7941688</v>
      </c>
      <c r="H18" s="85">
        <v>1</v>
      </c>
      <c r="I18" s="86">
        <v>7941688</v>
      </c>
      <c r="J18" s="85">
        <v>0</v>
      </c>
      <c r="K18" s="86">
        <v>0</v>
      </c>
      <c r="L18" s="85">
        <v>0</v>
      </c>
      <c r="M18" s="86">
        <v>0</v>
      </c>
      <c r="N18" s="85">
        <v>0</v>
      </c>
      <c r="O18" s="86">
        <v>0</v>
      </c>
      <c r="P18" s="87"/>
      <c r="Q18" s="87"/>
      <c r="R18" s="87"/>
    </row>
    <row r="19" spans="2:18" ht="13.9" customHeight="1" outlineLevel="1" x14ac:dyDescent="0.25">
      <c r="B19" s="149"/>
      <c r="C19" s="150" t="s">
        <v>45</v>
      </c>
      <c r="D19" s="85">
        <v>0</v>
      </c>
      <c r="E19" s="86">
        <v>0</v>
      </c>
      <c r="F19" s="85">
        <v>2</v>
      </c>
      <c r="G19" s="86">
        <v>4907843.8</v>
      </c>
      <c r="H19" s="85">
        <v>1</v>
      </c>
      <c r="I19" s="86">
        <v>3208873.2</v>
      </c>
      <c r="J19" s="85">
        <v>0</v>
      </c>
      <c r="K19" s="86">
        <v>0</v>
      </c>
      <c r="L19" s="85">
        <v>0</v>
      </c>
      <c r="M19" s="86">
        <v>0</v>
      </c>
      <c r="N19" s="85">
        <v>0</v>
      </c>
      <c r="O19" s="86">
        <v>0</v>
      </c>
      <c r="P19" s="87"/>
      <c r="Q19" s="87"/>
      <c r="R19" s="87"/>
    </row>
    <row r="20" spans="2:18" ht="13.9" customHeight="1" outlineLevel="1" x14ac:dyDescent="0.25">
      <c r="B20" s="149"/>
      <c r="C20" s="150" t="s">
        <v>46</v>
      </c>
      <c r="D20" s="85">
        <v>0</v>
      </c>
      <c r="E20" s="86">
        <v>0</v>
      </c>
      <c r="F20" s="85">
        <v>0</v>
      </c>
      <c r="G20" s="86">
        <v>0</v>
      </c>
      <c r="H20" s="85">
        <v>0</v>
      </c>
      <c r="I20" s="86">
        <v>0</v>
      </c>
      <c r="J20" s="85">
        <v>0</v>
      </c>
      <c r="K20" s="86">
        <v>0</v>
      </c>
      <c r="L20" s="85">
        <v>0</v>
      </c>
      <c r="M20" s="86">
        <v>0</v>
      </c>
      <c r="N20" s="85">
        <v>0</v>
      </c>
      <c r="O20" s="86">
        <v>0</v>
      </c>
      <c r="P20" s="87"/>
      <c r="Q20" s="87"/>
      <c r="R20" s="87"/>
    </row>
    <row r="21" spans="2:18" ht="13.9" customHeight="1" outlineLevel="1" x14ac:dyDescent="0.25">
      <c r="B21" s="149"/>
      <c r="C21" s="150" t="s">
        <v>47</v>
      </c>
      <c r="D21" s="85">
        <v>0</v>
      </c>
      <c r="E21" s="86">
        <v>0</v>
      </c>
      <c r="F21" s="85">
        <v>0</v>
      </c>
      <c r="G21" s="86">
        <v>0</v>
      </c>
      <c r="H21" s="85">
        <v>0</v>
      </c>
      <c r="I21" s="86">
        <v>0</v>
      </c>
      <c r="J21" s="85">
        <v>30</v>
      </c>
      <c r="K21" s="86">
        <v>147439234.04999998</v>
      </c>
      <c r="L21" s="85">
        <v>3</v>
      </c>
      <c r="M21" s="86">
        <v>12026582.050000001</v>
      </c>
      <c r="N21" s="85">
        <v>10</v>
      </c>
      <c r="O21" s="86">
        <v>30756177.300000001</v>
      </c>
      <c r="P21" s="87"/>
      <c r="Q21" s="87"/>
      <c r="R21" s="87"/>
    </row>
    <row r="22" spans="2:18" ht="13.9" customHeight="1" outlineLevel="1" x14ac:dyDescent="0.25">
      <c r="B22" s="149"/>
      <c r="C22" s="150" t="s">
        <v>48</v>
      </c>
      <c r="D22" s="85">
        <v>0</v>
      </c>
      <c r="E22" s="86">
        <v>0</v>
      </c>
      <c r="F22" s="85">
        <v>2</v>
      </c>
      <c r="G22" s="86">
        <v>33799200</v>
      </c>
      <c r="H22" s="85">
        <v>0</v>
      </c>
      <c r="I22" s="86">
        <v>0</v>
      </c>
      <c r="J22" s="85">
        <v>0</v>
      </c>
      <c r="K22" s="86">
        <v>0</v>
      </c>
      <c r="L22" s="85">
        <v>0</v>
      </c>
      <c r="M22" s="86">
        <v>0</v>
      </c>
      <c r="N22" s="85">
        <v>0</v>
      </c>
      <c r="O22" s="86">
        <v>0</v>
      </c>
      <c r="P22" s="87"/>
      <c r="Q22" s="87"/>
      <c r="R22" s="87"/>
    </row>
    <row r="23" spans="2:18" ht="13.9" customHeight="1" outlineLevel="1" x14ac:dyDescent="0.25">
      <c r="B23" s="149"/>
      <c r="C23" s="150" t="s">
        <v>49</v>
      </c>
      <c r="D23" s="85">
        <v>0</v>
      </c>
      <c r="E23" s="86">
        <v>0</v>
      </c>
      <c r="F23" s="85">
        <v>0</v>
      </c>
      <c r="G23" s="86">
        <v>0</v>
      </c>
      <c r="H23" s="85">
        <v>0</v>
      </c>
      <c r="I23" s="86">
        <v>0</v>
      </c>
      <c r="J23" s="85">
        <v>0</v>
      </c>
      <c r="K23" s="86">
        <v>0</v>
      </c>
      <c r="L23" s="85">
        <v>1</v>
      </c>
      <c r="M23" s="86">
        <v>12166050.369999999</v>
      </c>
      <c r="N23" s="85">
        <v>6</v>
      </c>
      <c r="O23" s="86">
        <v>54713424.800000004</v>
      </c>
      <c r="P23" s="87"/>
      <c r="Q23" s="87"/>
      <c r="R23" s="87"/>
    </row>
    <row r="24" spans="2:18" ht="13.9" customHeight="1" outlineLevel="1" x14ac:dyDescent="0.25">
      <c r="B24" s="149"/>
      <c r="C24" s="150" t="s">
        <v>50</v>
      </c>
      <c r="D24" s="85">
        <v>0</v>
      </c>
      <c r="E24" s="86">
        <v>0</v>
      </c>
      <c r="F24" s="85">
        <v>0</v>
      </c>
      <c r="G24" s="86">
        <v>0</v>
      </c>
      <c r="H24" s="85">
        <v>0</v>
      </c>
      <c r="I24" s="86">
        <v>0</v>
      </c>
      <c r="J24" s="85">
        <v>0</v>
      </c>
      <c r="K24" s="86">
        <v>0</v>
      </c>
      <c r="L24" s="85">
        <v>0</v>
      </c>
      <c r="M24" s="86">
        <v>0</v>
      </c>
      <c r="N24" s="85">
        <v>0</v>
      </c>
      <c r="O24" s="86">
        <v>0</v>
      </c>
      <c r="P24" s="87"/>
    </row>
    <row r="25" spans="2:18" ht="13.9" customHeight="1" outlineLevel="1" x14ac:dyDescent="0.25">
      <c r="B25" s="149"/>
      <c r="C25" s="150" t="s">
        <v>51</v>
      </c>
      <c r="D25" s="85">
        <v>0</v>
      </c>
      <c r="E25" s="86">
        <v>0</v>
      </c>
      <c r="F25" s="85">
        <v>0</v>
      </c>
      <c r="G25" s="86">
        <v>0</v>
      </c>
      <c r="H25" s="85">
        <v>1</v>
      </c>
      <c r="I25" s="86">
        <v>1095831.8999999999</v>
      </c>
      <c r="J25" s="85">
        <v>3</v>
      </c>
      <c r="K25" s="86">
        <v>3285767.1</v>
      </c>
      <c r="L25" s="85">
        <v>0</v>
      </c>
      <c r="M25" s="86">
        <v>0</v>
      </c>
      <c r="N25" s="85">
        <v>0</v>
      </c>
      <c r="O25" s="86">
        <v>0</v>
      </c>
      <c r="P25" s="87"/>
    </row>
    <row r="26" spans="2:18" ht="13.9" customHeight="1" outlineLevel="1" x14ac:dyDescent="0.25">
      <c r="B26" s="149"/>
      <c r="C26" s="150" t="s">
        <v>52</v>
      </c>
      <c r="D26" s="85">
        <v>0</v>
      </c>
      <c r="E26" s="86">
        <v>0</v>
      </c>
      <c r="F26" s="85">
        <v>0</v>
      </c>
      <c r="G26" s="86">
        <v>0</v>
      </c>
      <c r="H26" s="85">
        <v>0</v>
      </c>
      <c r="I26" s="86">
        <v>0</v>
      </c>
      <c r="J26" s="85">
        <v>0</v>
      </c>
      <c r="K26" s="86">
        <v>0</v>
      </c>
      <c r="L26" s="85">
        <v>0</v>
      </c>
      <c r="M26" s="86">
        <v>0</v>
      </c>
      <c r="N26" s="85">
        <v>0</v>
      </c>
      <c r="O26" s="86">
        <v>0</v>
      </c>
      <c r="P26" s="87"/>
    </row>
    <row r="27" spans="2:18" ht="13.9" customHeight="1" outlineLevel="1" x14ac:dyDescent="0.25">
      <c r="B27" s="149"/>
      <c r="C27" s="150" t="s">
        <v>53</v>
      </c>
      <c r="D27" s="85">
        <v>0</v>
      </c>
      <c r="E27" s="86">
        <v>0</v>
      </c>
      <c r="F27" s="85">
        <v>0</v>
      </c>
      <c r="G27" s="86">
        <v>0</v>
      </c>
      <c r="H27" s="85">
        <v>1</v>
      </c>
      <c r="I27" s="86">
        <v>3071727.45</v>
      </c>
      <c r="J27" s="85">
        <v>0</v>
      </c>
      <c r="K27" s="86">
        <v>0</v>
      </c>
      <c r="L27" s="85">
        <v>0</v>
      </c>
      <c r="M27" s="86">
        <v>0</v>
      </c>
      <c r="N27" s="85">
        <v>0</v>
      </c>
      <c r="O27" s="86">
        <v>0</v>
      </c>
      <c r="P27" s="87"/>
    </row>
    <row r="28" spans="2:18" ht="13.9" customHeight="1" outlineLevel="1" x14ac:dyDescent="0.25">
      <c r="B28" s="149"/>
      <c r="C28" s="150" t="s">
        <v>54</v>
      </c>
      <c r="D28" s="85">
        <v>0</v>
      </c>
      <c r="E28" s="86">
        <v>0</v>
      </c>
      <c r="F28" s="85">
        <v>0</v>
      </c>
      <c r="G28" s="86">
        <v>0</v>
      </c>
      <c r="H28" s="85">
        <v>0</v>
      </c>
      <c r="I28" s="86">
        <v>0</v>
      </c>
      <c r="J28" s="85">
        <v>0</v>
      </c>
      <c r="K28" s="86">
        <v>0</v>
      </c>
      <c r="L28" s="85">
        <v>0</v>
      </c>
      <c r="M28" s="86">
        <v>0</v>
      </c>
      <c r="N28" s="85">
        <v>0</v>
      </c>
      <c r="O28" s="86">
        <v>0</v>
      </c>
      <c r="P28" s="87"/>
    </row>
    <row r="29" spans="2:18" ht="13.9" customHeight="1" outlineLevel="1" x14ac:dyDescent="0.25">
      <c r="B29" s="149"/>
      <c r="C29" s="150" t="s">
        <v>55</v>
      </c>
      <c r="D29" s="85">
        <v>0</v>
      </c>
      <c r="E29" s="86">
        <v>0</v>
      </c>
      <c r="F29" s="85">
        <v>0</v>
      </c>
      <c r="G29" s="86">
        <v>0</v>
      </c>
      <c r="H29" s="85">
        <v>0</v>
      </c>
      <c r="I29" s="86">
        <v>0</v>
      </c>
      <c r="J29" s="85">
        <v>0</v>
      </c>
      <c r="K29" s="86">
        <v>0</v>
      </c>
      <c r="L29" s="85">
        <v>0</v>
      </c>
      <c r="M29" s="86">
        <v>0</v>
      </c>
      <c r="N29" s="85">
        <v>0</v>
      </c>
      <c r="O29" s="86">
        <v>0</v>
      </c>
      <c r="P29" s="87"/>
    </row>
    <row r="30" spans="2:18" ht="13.9" customHeight="1" outlineLevel="1" x14ac:dyDescent="0.25">
      <c r="B30" s="149"/>
      <c r="C30" s="150" t="s">
        <v>56</v>
      </c>
      <c r="D30" s="85">
        <v>0</v>
      </c>
      <c r="E30" s="86">
        <v>0</v>
      </c>
      <c r="F30" s="85">
        <v>0</v>
      </c>
      <c r="G30" s="86">
        <v>0</v>
      </c>
      <c r="H30" s="85">
        <v>0</v>
      </c>
      <c r="I30" s="86">
        <v>0</v>
      </c>
      <c r="J30" s="85">
        <v>0</v>
      </c>
      <c r="K30" s="86">
        <v>0</v>
      </c>
      <c r="L30" s="85">
        <v>0</v>
      </c>
      <c r="M30" s="86">
        <v>0</v>
      </c>
      <c r="N30" s="85">
        <v>0</v>
      </c>
      <c r="O30" s="86">
        <v>0</v>
      </c>
      <c r="P30" s="87"/>
    </row>
    <row r="31" spans="2:18" ht="13.9" customHeight="1" outlineLevel="1" x14ac:dyDescent="0.25">
      <c r="B31" s="149"/>
      <c r="C31" s="150" t="s">
        <v>57</v>
      </c>
      <c r="D31" s="85">
        <v>0</v>
      </c>
      <c r="E31" s="86">
        <v>0</v>
      </c>
      <c r="F31" s="85">
        <v>0</v>
      </c>
      <c r="G31" s="86">
        <v>0</v>
      </c>
      <c r="H31" s="85">
        <v>0</v>
      </c>
      <c r="I31" s="86">
        <v>0</v>
      </c>
      <c r="J31" s="85">
        <v>0</v>
      </c>
      <c r="K31" s="86">
        <v>0</v>
      </c>
      <c r="L31" s="85">
        <v>0</v>
      </c>
      <c r="M31" s="86">
        <v>0</v>
      </c>
      <c r="N31" s="85">
        <v>11</v>
      </c>
      <c r="O31" s="86">
        <v>175247286</v>
      </c>
      <c r="P31" s="87"/>
    </row>
    <row r="32" spans="2:18" ht="13.9" customHeight="1" outlineLevel="1" x14ac:dyDescent="0.25">
      <c r="B32" s="149"/>
      <c r="C32" s="150" t="s">
        <v>58</v>
      </c>
      <c r="D32" s="85">
        <v>0</v>
      </c>
      <c r="E32" s="86">
        <v>0</v>
      </c>
      <c r="F32" s="85">
        <v>0</v>
      </c>
      <c r="G32" s="86">
        <v>0</v>
      </c>
      <c r="H32" s="85">
        <v>0</v>
      </c>
      <c r="I32" s="86">
        <v>0</v>
      </c>
      <c r="J32" s="85">
        <v>0</v>
      </c>
      <c r="K32" s="86">
        <v>0</v>
      </c>
      <c r="L32" s="85">
        <v>0</v>
      </c>
      <c r="M32" s="86">
        <v>0</v>
      </c>
      <c r="N32" s="85">
        <v>0</v>
      </c>
      <c r="O32" s="86">
        <v>0</v>
      </c>
      <c r="P32" s="87"/>
    </row>
    <row r="33" spans="2:16" ht="13.9" customHeight="1" outlineLevel="1" x14ac:dyDescent="0.25">
      <c r="B33" s="149"/>
      <c r="C33" s="150" t="s">
        <v>59</v>
      </c>
      <c r="D33" s="85">
        <v>0</v>
      </c>
      <c r="E33" s="86">
        <v>0</v>
      </c>
      <c r="F33" s="85">
        <v>0</v>
      </c>
      <c r="G33" s="86">
        <v>0</v>
      </c>
      <c r="H33" s="85">
        <v>0</v>
      </c>
      <c r="I33" s="86">
        <v>0</v>
      </c>
      <c r="J33" s="85">
        <v>0</v>
      </c>
      <c r="K33" s="86">
        <v>0</v>
      </c>
      <c r="L33" s="85">
        <v>0</v>
      </c>
      <c r="M33" s="86">
        <v>0</v>
      </c>
      <c r="N33" s="85">
        <v>0</v>
      </c>
      <c r="O33" s="86">
        <v>0</v>
      </c>
      <c r="P33" s="87"/>
    </row>
    <row r="34" spans="2:16" ht="13.9" customHeight="1" outlineLevel="1" x14ac:dyDescent="0.25">
      <c r="B34" s="149"/>
      <c r="C34" s="150" t="s">
        <v>60</v>
      </c>
      <c r="D34" s="85">
        <v>0</v>
      </c>
      <c r="E34" s="86">
        <v>0</v>
      </c>
      <c r="F34" s="85">
        <v>0</v>
      </c>
      <c r="G34" s="86">
        <v>0</v>
      </c>
      <c r="H34" s="85">
        <v>0</v>
      </c>
      <c r="I34" s="86">
        <v>0</v>
      </c>
      <c r="J34" s="85">
        <v>0</v>
      </c>
      <c r="K34" s="86">
        <v>0</v>
      </c>
      <c r="L34" s="85">
        <v>0</v>
      </c>
      <c r="M34" s="86">
        <v>0</v>
      </c>
      <c r="N34" s="85">
        <v>0</v>
      </c>
      <c r="O34" s="86">
        <v>0</v>
      </c>
      <c r="P34" s="87"/>
    </row>
    <row r="35" spans="2:16" ht="13.9" customHeight="1" outlineLevel="1" x14ac:dyDescent="0.25">
      <c r="B35" s="149"/>
      <c r="C35" s="150" t="s">
        <v>61</v>
      </c>
      <c r="D35" s="85">
        <v>0</v>
      </c>
      <c r="E35" s="86">
        <v>0</v>
      </c>
      <c r="F35" s="85">
        <v>0</v>
      </c>
      <c r="G35" s="86">
        <v>0</v>
      </c>
      <c r="H35" s="85">
        <v>1</v>
      </c>
      <c r="I35" s="86">
        <v>5658858</v>
      </c>
      <c r="J35" s="85">
        <v>0</v>
      </c>
      <c r="K35" s="86">
        <v>0</v>
      </c>
      <c r="L35" s="85">
        <v>0</v>
      </c>
      <c r="M35" s="86">
        <v>0</v>
      </c>
      <c r="N35" s="85">
        <v>0</v>
      </c>
      <c r="O35" s="86">
        <v>0</v>
      </c>
      <c r="P35" s="87"/>
    </row>
    <row r="36" spans="2:16" ht="13.9" customHeight="1" outlineLevel="1" x14ac:dyDescent="0.25">
      <c r="B36" s="149"/>
      <c r="C36" s="150" t="s">
        <v>62</v>
      </c>
      <c r="D36" s="85">
        <v>0</v>
      </c>
      <c r="E36" s="86">
        <v>0</v>
      </c>
      <c r="F36" s="85">
        <v>0</v>
      </c>
      <c r="G36" s="86">
        <v>0</v>
      </c>
      <c r="H36" s="85">
        <v>0</v>
      </c>
      <c r="I36" s="86">
        <v>0</v>
      </c>
      <c r="J36" s="85">
        <v>0</v>
      </c>
      <c r="K36" s="86">
        <v>0</v>
      </c>
      <c r="L36" s="85">
        <v>0</v>
      </c>
      <c r="M36" s="86">
        <v>0</v>
      </c>
      <c r="N36" s="85">
        <v>0</v>
      </c>
      <c r="O36" s="86">
        <v>0</v>
      </c>
      <c r="P36" s="87"/>
    </row>
    <row r="37" spans="2:16" ht="13.9" customHeight="1" outlineLevel="1" x14ac:dyDescent="0.25">
      <c r="B37" s="149"/>
      <c r="C37" s="150" t="s">
        <v>63</v>
      </c>
      <c r="D37" s="85">
        <v>0</v>
      </c>
      <c r="E37" s="86">
        <v>0</v>
      </c>
      <c r="F37" s="85">
        <v>0</v>
      </c>
      <c r="G37" s="86">
        <v>0</v>
      </c>
      <c r="H37" s="85">
        <v>0</v>
      </c>
      <c r="I37" s="86">
        <v>0</v>
      </c>
      <c r="J37" s="85">
        <v>0</v>
      </c>
      <c r="K37" s="86">
        <v>0</v>
      </c>
      <c r="L37" s="85">
        <v>0</v>
      </c>
      <c r="M37" s="86">
        <v>0</v>
      </c>
      <c r="N37" s="85">
        <v>0</v>
      </c>
      <c r="O37" s="86">
        <v>0</v>
      </c>
      <c r="P37" s="87"/>
    </row>
    <row r="38" spans="2:16" ht="13.9" customHeight="1" outlineLevel="1" x14ac:dyDescent="0.25">
      <c r="B38" s="149"/>
      <c r="C38" s="150" t="s">
        <v>64</v>
      </c>
      <c r="D38" s="85">
        <v>0</v>
      </c>
      <c r="E38" s="86">
        <v>0</v>
      </c>
      <c r="F38" s="85">
        <v>0</v>
      </c>
      <c r="G38" s="86">
        <v>0</v>
      </c>
      <c r="H38" s="85">
        <v>0</v>
      </c>
      <c r="I38" s="86">
        <v>0</v>
      </c>
      <c r="J38" s="85">
        <v>0</v>
      </c>
      <c r="K38" s="86">
        <v>0</v>
      </c>
      <c r="L38" s="85">
        <v>0</v>
      </c>
      <c r="M38" s="86">
        <v>0</v>
      </c>
      <c r="N38" s="85">
        <v>11</v>
      </c>
      <c r="O38" s="86">
        <v>37032196.600000001</v>
      </c>
      <c r="P38" s="87"/>
    </row>
    <row r="39" spans="2:16" ht="13.9" customHeight="1" outlineLevel="1" x14ac:dyDescent="0.25">
      <c r="B39" s="149"/>
      <c r="C39" s="150" t="s">
        <v>65</v>
      </c>
      <c r="D39" s="85">
        <v>0</v>
      </c>
      <c r="E39" s="86">
        <v>0</v>
      </c>
      <c r="F39" s="85">
        <v>0</v>
      </c>
      <c r="G39" s="86">
        <v>0</v>
      </c>
      <c r="H39" s="85">
        <v>0</v>
      </c>
      <c r="I39" s="86">
        <v>0</v>
      </c>
      <c r="J39" s="85">
        <v>0</v>
      </c>
      <c r="K39" s="86">
        <v>0</v>
      </c>
      <c r="L39" s="85">
        <v>0</v>
      </c>
      <c r="M39" s="86">
        <v>0</v>
      </c>
      <c r="N39" s="85">
        <v>2</v>
      </c>
      <c r="O39" s="86">
        <v>3525000.01</v>
      </c>
      <c r="P39" s="87"/>
    </row>
    <row r="40" spans="2:16" ht="13.9" customHeight="1" outlineLevel="1" x14ac:dyDescent="0.25">
      <c r="B40" s="149"/>
      <c r="C40" s="150" t="s">
        <v>66</v>
      </c>
      <c r="D40" s="85">
        <v>0</v>
      </c>
      <c r="E40" s="86">
        <v>0</v>
      </c>
      <c r="F40" s="85">
        <v>0</v>
      </c>
      <c r="G40" s="86">
        <v>0</v>
      </c>
      <c r="H40" s="85">
        <v>0</v>
      </c>
      <c r="I40" s="86">
        <v>0</v>
      </c>
      <c r="J40" s="85">
        <v>0</v>
      </c>
      <c r="K40" s="86">
        <v>0</v>
      </c>
      <c r="L40" s="85">
        <v>0</v>
      </c>
      <c r="M40" s="86">
        <v>0</v>
      </c>
      <c r="N40" s="85">
        <v>0</v>
      </c>
      <c r="O40" s="86">
        <v>0</v>
      </c>
      <c r="P40" s="87"/>
    </row>
    <row r="41" spans="2:16" ht="13.9" customHeight="1" outlineLevel="1" x14ac:dyDescent="0.25">
      <c r="B41" s="149"/>
      <c r="C41" s="150" t="s">
        <v>67</v>
      </c>
      <c r="D41" s="85">
        <v>0</v>
      </c>
      <c r="E41" s="86">
        <v>0</v>
      </c>
      <c r="F41" s="85">
        <v>0</v>
      </c>
      <c r="G41" s="86">
        <v>0</v>
      </c>
      <c r="H41" s="85">
        <v>0</v>
      </c>
      <c r="I41" s="86">
        <v>0</v>
      </c>
      <c r="J41" s="85">
        <v>0</v>
      </c>
      <c r="K41" s="86">
        <v>0</v>
      </c>
      <c r="L41" s="85">
        <v>0</v>
      </c>
      <c r="M41" s="86">
        <v>0</v>
      </c>
      <c r="N41" s="85">
        <v>0</v>
      </c>
      <c r="O41" s="86">
        <v>0</v>
      </c>
      <c r="P41" s="87"/>
    </row>
    <row r="42" spans="2:16" ht="13.9" customHeight="1" x14ac:dyDescent="0.25">
      <c r="B42" s="149"/>
      <c r="C42" s="148" t="s">
        <v>103</v>
      </c>
      <c r="D42" s="90">
        <f>SUM(D5:D41)</f>
        <v>0</v>
      </c>
      <c r="E42" s="91">
        <f t="shared" ref="E42:O42" si="0">SUM(E5:E41)</f>
        <v>0</v>
      </c>
      <c r="F42" s="92">
        <f t="shared" si="0"/>
        <v>14</v>
      </c>
      <c r="G42" s="93">
        <f t="shared" si="0"/>
        <v>278431671.80000001</v>
      </c>
      <c r="H42" s="90">
        <f t="shared" si="0"/>
        <v>9</v>
      </c>
      <c r="I42" s="91">
        <f t="shared" si="0"/>
        <v>118757338.55000001</v>
      </c>
      <c r="J42" s="92">
        <f t="shared" si="0"/>
        <v>33</v>
      </c>
      <c r="K42" s="93">
        <f t="shared" si="0"/>
        <v>150725001.14999998</v>
      </c>
      <c r="L42" s="90">
        <f t="shared" si="0"/>
        <v>46</v>
      </c>
      <c r="M42" s="91">
        <f t="shared" si="0"/>
        <v>310951426.42000002</v>
      </c>
      <c r="N42" s="90">
        <f t="shared" si="0"/>
        <v>96</v>
      </c>
      <c r="O42" s="91">
        <f t="shared" si="0"/>
        <v>675441829.00000012</v>
      </c>
      <c r="P42" s="94"/>
    </row>
    <row r="43" spans="2:16" ht="13.9" customHeight="1" outlineLevel="1" x14ac:dyDescent="0.25">
      <c r="B43" s="149" t="s">
        <v>83</v>
      </c>
      <c r="C43" s="150" t="s">
        <v>70</v>
      </c>
      <c r="D43" s="85">
        <v>0</v>
      </c>
      <c r="E43" s="86">
        <v>0</v>
      </c>
      <c r="F43" s="85">
        <v>15</v>
      </c>
      <c r="G43" s="86">
        <v>64318074.490000017</v>
      </c>
      <c r="H43" s="85">
        <v>22</v>
      </c>
      <c r="I43" s="86">
        <v>88134766.579999983</v>
      </c>
      <c r="J43" s="85">
        <v>1</v>
      </c>
      <c r="K43" s="86">
        <v>4175195.56</v>
      </c>
      <c r="L43" s="85">
        <v>0</v>
      </c>
      <c r="M43" s="86">
        <v>0</v>
      </c>
      <c r="N43" s="85">
        <v>0</v>
      </c>
      <c r="O43" s="86">
        <v>0</v>
      </c>
      <c r="P43" s="87"/>
    </row>
    <row r="44" spans="2:16" ht="13.9" customHeight="1" outlineLevel="1" x14ac:dyDescent="0.25">
      <c r="B44" s="149"/>
      <c r="C44" s="150" t="s">
        <v>71</v>
      </c>
      <c r="D44" s="85">
        <v>0</v>
      </c>
      <c r="E44" s="86">
        <v>0</v>
      </c>
      <c r="F44" s="85">
        <v>0</v>
      </c>
      <c r="G44" s="86">
        <v>0</v>
      </c>
      <c r="H44" s="85">
        <v>1</v>
      </c>
      <c r="I44" s="86">
        <v>18118935.02</v>
      </c>
      <c r="J44" s="85">
        <v>0</v>
      </c>
      <c r="K44" s="86">
        <v>0</v>
      </c>
      <c r="L44" s="85">
        <v>0</v>
      </c>
      <c r="M44" s="86">
        <v>0</v>
      </c>
      <c r="N44" s="85">
        <v>0</v>
      </c>
      <c r="O44" s="86">
        <v>0</v>
      </c>
      <c r="P44" s="87"/>
    </row>
    <row r="45" spans="2:16" ht="13.9" customHeight="1" outlineLevel="1" x14ac:dyDescent="0.25">
      <c r="B45" s="149"/>
      <c r="C45" s="150" t="s">
        <v>72</v>
      </c>
      <c r="D45" s="85">
        <v>0</v>
      </c>
      <c r="E45" s="86">
        <v>0</v>
      </c>
      <c r="F45" s="85">
        <v>0</v>
      </c>
      <c r="G45" s="86">
        <v>0</v>
      </c>
      <c r="H45" s="85">
        <v>0</v>
      </c>
      <c r="I45" s="86">
        <v>0</v>
      </c>
      <c r="J45" s="85">
        <v>0</v>
      </c>
      <c r="K45" s="86">
        <v>0</v>
      </c>
      <c r="L45" s="85">
        <v>0</v>
      </c>
      <c r="M45" s="86">
        <v>0</v>
      </c>
      <c r="N45" s="85">
        <v>0</v>
      </c>
      <c r="O45" s="86">
        <v>0</v>
      </c>
      <c r="P45" s="87"/>
    </row>
    <row r="46" spans="2:16" ht="13.9" customHeight="1" x14ac:dyDescent="0.25">
      <c r="B46" s="149"/>
      <c r="C46" s="148" t="s">
        <v>104</v>
      </c>
      <c r="D46" s="90">
        <f>SUM(D43:D45)</f>
        <v>0</v>
      </c>
      <c r="E46" s="91">
        <f t="shared" ref="E46:O46" si="1">SUM(E43:E45)</f>
        <v>0</v>
      </c>
      <c r="F46" s="92">
        <f t="shared" si="1"/>
        <v>15</v>
      </c>
      <c r="G46" s="93">
        <f t="shared" si="1"/>
        <v>64318074.490000017</v>
      </c>
      <c r="H46" s="90">
        <f t="shared" si="1"/>
        <v>23</v>
      </c>
      <c r="I46" s="91">
        <f t="shared" si="1"/>
        <v>106253701.59999998</v>
      </c>
      <c r="J46" s="92">
        <f t="shared" si="1"/>
        <v>1</v>
      </c>
      <c r="K46" s="93">
        <f t="shared" si="1"/>
        <v>4175195.56</v>
      </c>
      <c r="L46" s="90">
        <f t="shared" si="1"/>
        <v>0</v>
      </c>
      <c r="M46" s="91">
        <f t="shared" si="1"/>
        <v>0</v>
      </c>
      <c r="N46" s="90">
        <f t="shared" si="1"/>
        <v>0</v>
      </c>
      <c r="O46" s="91">
        <f t="shared" si="1"/>
        <v>0</v>
      </c>
      <c r="P46" s="94"/>
    </row>
    <row r="47" spans="2:16" ht="13.9" customHeight="1" outlineLevel="1" x14ac:dyDescent="0.25">
      <c r="B47" s="149" t="s">
        <v>105</v>
      </c>
      <c r="C47" s="150" t="s">
        <v>75</v>
      </c>
      <c r="D47" s="85">
        <v>0</v>
      </c>
      <c r="E47" s="86">
        <v>0</v>
      </c>
      <c r="F47" s="85">
        <v>0</v>
      </c>
      <c r="G47" s="86">
        <v>0</v>
      </c>
      <c r="H47" s="85">
        <v>0</v>
      </c>
      <c r="I47" s="86">
        <v>0</v>
      </c>
      <c r="J47" s="85">
        <v>0</v>
      </c>
      <c r="K47" s="86">
        <v>0</v>
      </c>
      <c r="L47" s="85">
        <v>0</v>
      </c>
      <c r="M47" s="86">
        <v>0</v>
      </c>
      <c r="N47" s="85">
        <v>0</v>
      </c>
      <c r="O47" s="86">
        <v>0</v>
      </c>
      <c r="P47" s="87"/>
    </row>
    <row r="48" spans="2:16" ht="13.9" customHeight="1" outlineLevel="1" x14ac:dyDescent="0.25">
      <c r="B48" s="149"/>
      <c r="C48" s="150" t="s">
        <v>76</v>
      </c>
      <c r="D48" s="85">
        <v>0</v>
      </c>
      <c r="E48" s="86">
        <v>0</v>
      </c>
      <c r="F48" s="85">
        <v>0</v>
      </c>
      <c r="G48" s="86">
        <v>0</v>
      </c>
      <c r="H48" s="85">
        <v>0</v>
      </c>
      <c r="I48" s="86">
        <v>0</v>
      </c>
      <c r="J48" s="85">
        <v>0</v>
      </c>
      <c r="K48" s="86">
        <v>0</v>
      </c>
      <c r="L48" s="85">
        <v>0</v>
      </c>
      <c r="M48" s="86">
        <v>0</v>
      </c>
      <c r="N48" s="85">
        <v>0</v>
      </c>
      <c r="O48" s="86">
        <v>0</v>
      </c>
      <c r="P48" s="87"/>
    </row>
    <row r="49" spans="2:16" ht="13.9" customHeight="1" x14ac:dyDescent="0.25">
      <c r="B49" s="149"/>
      <c r="C49" s="148" t="s">
        <v>106</v>
      </c>
      <c r="D49" s="90">
        <f>SUM(D47:D48)</f>
        <v>0</v>
      </c>
      <c r="E49" s="91">
        <f t="shared" ref="E49:O49" si="2">SUM(E47:E48)</f>
        <v>0</v>
      </c>
      <c r="F49" s="92">
        <f t="shared" si="2"/>
        <v>0</v>
      </c>
      <c r="G49" s="93">
        <f t="shared" si="2"/>
        <v>0</v>
      </c>
      <c r="H49" s="90">
        <f t="shared" si="2"/>
        <v>0</v>
      </c>
      <c r="I49" s="91">
        <f t="shared" si="2"/>
        <v>0</v>
      </c>
      <c r="J49" s="92">
        <f t="shared" si="2"/>
        <v>0</v>
      </c>
      <c r="K49" s="93">
        <f t="shared" si="2"/>
        <v>0</v>
      </c>
      <c r="L49" s="90">
        <f t="shared" si="2"/>
        <v>0</v>
      </c>
      <c r="M49" s="91">
        <f t="shared" si="2"/>
        <v>0</v>
      </c>
      <c r="N49" s="90">
        <f t="shared" si="2"/>
        <v>0</v>
      </c>
      <c r="O49" s="91">
        <f t="shared" si="2"/>
        <v>0</v>
      </c>
      <c r="P49" s="94"/>
    </row>
    <row r="50" spans="2:16" ht="13.9" customHeight="1" x14ac:dyDescent="0.25">
      <c r="B50" s="151" t="s">
        <v>78</v>
      </c>
      <c r="C50" s="151"/>
      <c r="D50" s="90">
        <f>D42+D46+D49</f>
        <v>0</v>
      </c>
      <c r="E50" s="91">
        <f t="shared" ref="E50:O50" si="3">E42+E46+E49</f>
        <v>0</v>
      </c>
      <c r="F50" s="92">
        <f t="shared" si="3"/>
        <v>29</v>
      </c>
      <c r="G50" s="93">
        <f t="shared" si="3"/>
        <v>342749746.29000002</v>
      </c>
      <c r="H50" s="90">
        <f t="shared" si="3"/>
        <v>32</v>
      </c>
      <c r="I50" s="91">
        <f t="shared" si="3"/>
        <v>225011040.14999998</v>
      </c>
      <c r="J50" s="92">
        <f t="shared" si="3"/>
        <v>34</v>
      </c>
      <c r="K50" s="93">
        <f t="shared" si="3"/>
        <v>154900196.70999998</v>
      </c>
      <c r="L50" s="90">
        <f t="shared" si="3"/>
        <v>46</v>
      </c>
      <c r="M50" s="91">
        <f t="shared" si="3"/>
        <v>310951426.42000002</v>
      </c>
      <c r="N50" s="90">
        <f t="shared" si="3"/>
        <v>96</v>
      </c>
      <c r="O50" s="91">
        <f t="shared" si="3"/>
        <v>675441829.00000012</v>
      </c>
      <c r="P50" s="94"/>
    </row>
    <row r="51" spans="2:16" ht="13.9" customHeight="1" x14ac:dyDescent="0.25">
      <c r="B51" s="151" t="s">
        <v>79</v>
      </c>
      <c r="C51" s="151"/>
      <c r="D51" s="97">
        <f>D50/SUM($D$50,$F$50,$H$50,$J$50,$L$50,$N$50)</f>
        <v>0</v>
      </c>
      <c r="E51" s="98">
        <f>E50/SUM($E$50,$G$50,$I$50,$K$50,$M$50,$O$50)</f>
        <v>0</v>
      </c>
      <c r="F51" s="97">
        <f>F50/SUM($D$50,$F$50,$H$50,$J$50,$L$50,$N$50)</f>
        <v>0.12236286919831224</v>
      </c>
      <c r="G51" s="98">
        <f>G50/SUM($E$50,$G$50,$I$50,$K$50,$M$50,$O$50)</f>
        <v>0.20054936733709844</v>
      </c>
      <c r="H51" s="97">
        <f>H50/SUM($D$50,$F$50,$H$50,$J$50,$L$50,$N$50)</f>
        <v>0.13502109704641349</v>
      </c>
      <c r="I51" s="98">
        <f>I50/SUM($E$50,$G$50,$I$50,$K$50,$M$50,$O$50)</f>
        <v>0.13165822071174946</v>
      </c>
      <c r="J51" s="97">
        <f>J50/SUM($D$50,$F$50,$H$50,$J$50,$L$50,$N$50)</f>
        <v>0.14345991561181434</v>
      </c>
      <c r="K51" s="98">
        <f>K50/SUM($E$50,$G$50,$I$50,$K$50,$M$50,$O$50)</f>
        <v>9.0635038499192438E-2</v>
      </c>
      <c r="L51" s="97">
        <f>L50/SUM($D$50,$F$50,$H$50,$J$50,$L$50,$N$50)</f>
        <v>0.1940928270042194</v>
      </c>
      <c r="M51" s="98">
        <f>M50/SUM($E$50,$G$50,$I$50,$K$50,$M$50,$O$50)</f>
        <v>0.18194356820423632</v>
      </c>
      <c r="N51" s="97">
        <f>N50/SUM($D$50,$F$50,$H$50,$J$50,$L$50,$N$50)</f>
        <v>0.4050632911392405</v>
      </c>
      <c r="O51" s="98">
        <f>O50/SUM($E$50,$G$50,$I$50,$K$50,$M$50,$O$50)</f>
        <v>0.39521380524772332</v>
      </c>
      <c r="P51" s="99"/>
    </row>
    <row r="52" spans="2:16" ht="13.9" customHeight="1" x14ac:dyDescent="0.25">
      <c r="B52" s="152" t="s">
        <v>80</v>
      </c>
      <c r="C52" s="153"/>
      <c r="D52" s="102">
        <f>D51</f>
        <v>0</v>
      </c>
      <c r="E52" s="103">
        <f>E51</f>
        <v>0</v>
      </c>
      <c r="F52" s="102">
        <f>D51+F51</f>
        <v>0.12236286919831224</v>
      </c>
      <c r="G52" s="103">
        <f>E51+G51</f>
        <v>0.20054936733709844</v>
      </c>
      <c r="H52" s="102">
        <f>F51+H51+D51</f>
        <v>0.2573839662447257</v>
      </c>
      <c r="I52" s="103">
        <f>G51+I51+E51</f>
        <v>0.33220758804884787</v>
      </c>
      <c r="J52" s="102">
        <f>H51+J51+F51+D51</f>
        <v>0.40084388185654007</v>
      </c>
      <c r="K52" s="103">
        <f>I51+K51+G51+E51</f>
        <v>0.42284262654804033</v>
      </c>
      <c r="L52" s="102">
        <f>J51+L51+H51+F51+D51</f>
        <v>0.59493670886075956</v>
      </c>
      <c r="M52" s="103">
        <f>K51+M51+I51+G51+E51</f>
        <v>0.60478619475227657</v>
      </c>
      <c r="N52" s="102">
        <f>L51+N51+J51+H51+F51+D51</f>
        <v>1</v>
      </c>
      <c r="O52" s="103">
        <f>M51+O51+K51+I51+G51+E51</f>
        <v>1</v>
      </c>
      <c r="P52" s="99"/>
    </row>
    <row r="53" spans="2:16" ht="13.9" customHeight="1" x14ac:dyDescent="0.25"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</row>
    <row r="54" spans="2:16" ht="13.9" customHeight="1" x14ac:dyDescent="0.25"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  <row r="55" spans="2:16" ht="13.9" customHeight="1" x14ac:dyDescent="0.25">
      <c r="B55" s="149" t="s">
        <v>26</v>
      </c>
      <c r="C55" s="148" t="s">
        <v>19</v>
      </c>
      <c r="D55" s="73" t="s">
        <v>20</v>
      </c>
      <c r="E55" s="74"/>
      <c r="F55" s="75" t="s">
        <v>21</v>
      </c>
      <c r="G55" s="76"/>
      <c r="H55" s="73" t="s">
        <v>22</v>
      </c>
      <c r="I55" s="74"/>
      <c r="J55" s="75" t="s">
        <v>23</v>
      </c>
      <c r="K55" s="76"/>
      <c r="L55" s="73" t="s">
        <v>24</v>
      </c>
      <c r="M55" s="74"/>
      <c r="N55" s="73" t="s">
        <v>25</v>
      </c>
      <c r="O55" s="74"/>
      <c r="P55" s="77"/>
    </row>
    <row r="56" spans="2:16" ht="13.9" customHeight="1" x14ac:dyDescent="0.25">
      <c r="B56" s="149"/>
      <c r="C56" s="148" t="s">
        <v>102</v>
      </c>
      <c r="D56" s="79" t="s">
        <v>81</v>
      </c>
      <c r="E56" s="80" t="s">
        <v>82</v>
      </c>
      <c r="F56" s="79" t="s">
        <v>81</v>
      </c>
      <c r="G56" s="80" t="s">
        <v>82</v>
      </c>
      <c r="H56" s="79" t="s">
        <v>81</v>
      </c>
      <c r="I56" s="80" t="s">
        <v>82</v>
      </c>
      <c r="J56" s="79" t="s">
        <v>81</v>
      </c>
      <c r="K56" s="80" t="s">
        <v>82</v>
      </c>
      <c r="L56" s="79" t="s">
        <v>81</v>
      </c>
      <c r="M56" s="80" t="s">
        <v>82</v>
      </c>
      <c r="N56" s="79" t="s">
        <v>81</v>
      </c>
      <c r="O56" s="80" t="s">
        <v>82</v>
      </c>
      <c r="P56" s="83"/>
    </row>
    <row r="57" spans="2:16" ht="13.9" customHeight="1" outlineLevel="1" x14ac:dyDescent="0.25">
      <c r="B57" s="149" t="s">
        <v>30</v>
      </c>
      <c r="C57" s="150" t="s">
        <v>31</v>
      </c>
      <c r="D57" s="85">
        <v>0</v>
      </c>
      <c r="E57" s="86">
        <v>0</v>
      </c>
      <c r="F57" s="85">
        <v>0</v>
      </c>
      <c r="G57" s="86">
        <v>0</v>
      </c>
      <c r="H57" s="85">
        <v>0</v>
      </c>
      <c r="I57" s="86">
        <v>0</v>
      </c>
      <c r="J57" s="85">
        <v>0</v>
      </c>
      <c r="K57" s="86">
        <v>0</v>
      </c>
      <c r="L57" s="85">
        <v>0</v>
      </c>
      <c r="M57" s="86">
        <v>0</v>
      </c>
      <c r="N57" s="85">
        <v>26092137.409999996</v>
      </c>
      <c r="O57" s="86">
        <v>631.26000000000931</v>
      </c>
      <c r="P57" s="87"/>
    </row>
    <row r="58" spans="2:16" ht="13.9" customHeight="1" outlineLevel="1" x14ac:dyDescent="0.25">
      <c r="B58" s="149"/>
      <c r="C58" s="150" t="s">
        <v>32</v>
      </c>
      <c r="D58" s="85">
        <v>0</v>
      </c>
      <c r="E58" s="86">
        <v>0</v>
      </c>
      <c r="F58" s="85">
        <v>0</v>
      </c>
      <c r="G58" s="86">
        <v>0</v>
      </c>
      <c r="H58" s="85">
        <v>0</v>
      </c>
      <c r="I58" s="86">
        <v>0</v>
      </c>
      <c r="J58" s="85">
        <v>0</v>
      </c>
      <c r="K58" s="86">
        <v>0</v>
      </c>
      <c r="L58" s="85">
        <v>0</v>
      </c>
      <c r="M58" s="86">
        <v>0</v>
      </c>
      <c r="N58" s="85">
        <v>0</v>
      </c>
      <c r="O58" s="86">
        <v>0</v>
      </c>
      <c r="P58" s="87"/>
    </row>
    <row r="59" spans="2:16" ht="13.9" customHeight="1" outlineLevel="1" x14ac:dyDescent="0.25">
      <c r="B59" s="149"/>
      <c r="C59" s="150" t="s">
        <v>33</v>
      </c>
      <c r="D59" s="85">
        <v>0</v>
      </c>
      <c r="E59" s="86">
        <v>0</v>
      </c>
      <c r="F59" s="85">
        <v>0</v>
      </c>
      <c r="G59" s="86">
        <v>0</v>
      </c>
      <c r="H59" s="85">
        <v>0</v>
      </c>
      <c r="I59" s="86">
        <v>0</v>
      </c>
      <c r="J59" s="85">
        <v>0</v>
      </c>
      <c r="K59" s="86">
        <v>0</v>
      </c>
      <c r="L59" s="85">
        <v>0</v>
      </c>
      <c r="M59" s="86">
        <v>0</v>
      </c>
      <c r="N59" s="85">
        <v>2629029.9700000002</v>
      </c>
      <c r="O59" s="86">
        <v>0.27999999979510903</v>
      </c>
      <c r="P59" s="87"/>
    </row>
    <row r="60" spans="2:16" ht="13.9" customHeight="1" outlineLevel="1" x14ac:dyDescent="0.25">
      <c r="B60" s="149"/>
      <c r="C60" s="150" t="s">
        <v>34</v>
      </c>
      <c r="D60" s="85">
        <v>0</v>
      </c>
      <c r="E60" s="86">
        <v>0</v>
      </c>
      <c r="F60" s="85">
        <v>0</v>
      </c>
      <c r="G60" s="86">
        <v>0</v>
      </c>
      <c r="H60" s="85">
        <v>0</v>
      </c>
      <c r="I60" s="86">
        <v>0</v>
      </c>
      <c r="J60" s="85">
        <v>0</v>
      </c>
      <c r="K60" s="86">
        <v>0</v>
      </c>
      <c r="L60" s="85">
        <v>44786638.369999997</v>
      </c>
      <c r="M60" s="86">
        <v>30333129.129999999</v>
      </c>
      <c r="N60" s="85">
        <v>13247817.639999999</v>
      </c>
      <c r="O60" s="86">
        <v>7845461.1100000013</v>
      </c>
      <c r="P60" s="87"/>
    </row>
    <row r="61" spans="2:16" ht="13.9" customHeight="1" outlineLevel="1" x14ac:dyDescent="0.25">
      <c r="B61" s="149"/>
      <c r="C61" s="150" t="s">
        <v>35</v>
      </c>
      <c r="D61" s="85">
        <v>0</v>
      </c>
      <c r="E61" s="86">
        <v>0</v>
      </c>
      <c r="F61" s="85">
        <v>0</v>
      </c>
      <c r="G61" s="86">
        <v>0</v>
      </c>
      <c r="H61" s="85">
        <v>0</v>
      </c>
      <c r="I61" s="86">
        <v>0</v>
      </c>
      <c r="J61" s="85">
        <v>0</v>
      </c>
      <c r="K61" s="86">
        <v>0</v>
      </c>
      <c r="L61" s="85">
        <v>0</v>
      </c>
      <c r="M61" s="86">
        <v>0</v>
      </c>
      <c r="N61" s="85">
        <v>5350228</v>
      </c>
      <c r="O61" s="86">
        <v>0</v>
      </c>
      <c r="P61" s="87"/>
    </row>
    <row r="62" spans="2:16" ht="13.9" customHeight="1" outlineLevel="1" x14ac:dyDescent="0.25">
      <c r="B62" s="149"/>
      <c r="C62" s="150" t="s">
        <v>36</v>
      </c>
      <c r="D62" s="85">
        <v>0</v>
      </c>
      <c r="E62" s="86">
        <v>0</v>
      </c>
      <c r="F62" s="85">
        <v>0</v>
      </c>
      <c r="G62" s="86">
        <v>0</v>
      </c>
      <c r="H62" s="85">
        <v>0</v>
      </c>
      <c r="I62" s="86">
        <v>0</v>
      </c>
      <c r="J62" s="85">
        <v>0</v>
      </c>
      <c r="K62" s="86">
        <v>0</v>
      </c>
      <c r="L62" s="85">
        <v>10181547.300000001</v>
      </c>
      <c r="M62" s="86">
        <v>10768292.699999999</v>
      </c>
      <c r="N62" s="85">
        <v>0</v>
      </c>
      <c r="O62" s="86">
        <v>0</v>
      </c>
      <c r="P62" s="87"/>
    </row>
    <row r="63" spans="2:16" ht="13.9" customHeight="1" outlineLevel="1" x14ac:dyDescent="0.25">
      <c r="B63" s="149"/>
      <c r="C63" s="150" t="s">
        <v>37</v>
      </c>
      <c r="D63" s="85">
        <v>0</v>
      </c>
      <c r="E63" s="86">
        <v>0</v>
      </c>
      <c r="F63" s="85">
        <v>0</v>
      </c>
      <c r="G63" s="86">
        <v>0</v>
      </c>
      <c r="H63" s="85">
        <v>0</v>
      </c>
      <c r="I63" s="86">
        <v>0</v>
      </c>
      <c r="J63" s="85">
        <v>0</v>
      </c>
      <c r="K63" s="86">
        <v>0</v>
      </c>
      <c r="L63" s="85">
        <v>0</v>
      </c>
      <c r="M63" s="86">
        <v>0</v>
      </c>
      <c r="N63" s="85">
        <v>2047783.9</v>
      </c>
      <c r="O63" s="86">
        <v>0</v>
      </c>
      <c r="P63" s="87"/>
    </row>
    <row r="64" spans="2:16" ht="13.9" customHeight="1" outlineLevel="1" x14ac:dyDescent="0.25">
      <c r="B64" s="149"/>
      <c r="C64" s="150" t="s">
        <v>38</v>
      </c>
      <c r="D64" s="85">
        <v>0</v>
      </c>
      <c r="E64" s="86">
        <v>0</v>
      </c>
      <c r="F64" s="85">
        <v>0</v>
      </c>
      <c r="G64" s="86">
        <v>0</v>
      </c>
      <c r="H64" s="85">
        <v>0</v>
      </c>
      <c r="I64" s="86">
        <v>0</v>
      </c>
      <c r="J64" s="85">
        <v>0</v>
      </c>
      <c r="K64" s="86">
        <v>0</v>
      </c>
      <c r="L64" s="85">
        <v>0</v>
      </c>
      <c r="M64" s="86">
        <v>0</v>
      </c>
      <c r="N64" s="85">
        <v>0</v>
      </c>
      <c r="O64" s="86">
        <v>0</v>
      </c>
      <c r="P64" s="87"/>
    </row>
    <row r="65" spans="2:16" ht="13.9" customHeight="1" outlineLevel="1" x14ac:dyDescent="0.25">
      <c r="B65" s="149"/>
      <c r="C65" s="150" t="s">
        <v>39</v>
      </c>
      <c r="D65" s="85">
        <v>0</v>
      </c>
      <c r="E65" s="86">
        <v>0</v>
      </c>
      <c r="F65" s="85">
        <v>0</v>
      </c>
      <c r="G65" s="86">
        <v>0</v>
      </c>
      <c r="H65" s="85">
        <v>0</v>
      </c>
      <c r="I65" s="86">
        <v>0</v>
      </c>
      <c r="J65" s="85">
        <v>0</v>
      </c>
      <c r="K65" s="86">
        <v>0</v>
      </c>
      <c r="L65" s="85">
        <v>0</v>
      </c>
      <c r="M65" s="86">
        <v>0</v>
      </c>
      <c r="N65" s="85">
        <v>0</v>
      </c>
      <c r="O65" s="86">
        <v>0</v>
      </c>
      <c r="P65" s="87"/>
    </row>
    <row r="66" spans="2:16" ht="13.9" customHeight="1" outlineLevel="1" x14ac:dyDescent="0.25">
      <c r="B66" s="149"/>
      <c r="C66" s="150" t="s">
        <v>40</v>
      </c>
      <c r="D66" s="85">
        <v>0</v>
      </c>
      <c r="E66" s="86">
        <v>0</v>
      </c>
      <c r="F66" s="85">
        <v>46355588</v>
      </c>
      <c r="G66" s="86">
        <v>185427352</v>
      </c>
      <c r="H66" s="85">
        <v>5142232</v>
      </c>
      <c r="I66" s="86">
        <v>20563928</v>
      </c>
      <c r="J66" s="85">
        <v>0</v>
      </c>
      <c r="K66" s="86">
        <v>0</v>
      </c>
      <c r="L66" s="85">
        <v>54191795.899999999</v>
      </c>
      <c r="M66" s="86">
        <v>64581010.600000001</v>
      </c>
      <c r="N66" s="85">
        <v>74910288</v>
      </c>
      <c r="O66" s="86">
        <v>12617584</v>
      </c>
      <c r="P66" s="87"/>
    </row>
    <row r="67" spans="2:16" ht="13.9" customHeight="1" outlineLevel="1" x14ac:dyDescent="0.25">
      <c r="B67" s="149"/>
      <c r="C67" s="150" t="s">
        <v>41</v>
      </c>
      <c r="D67" s="85">
        <v>0</v>
      </c>
      <c r="E67" s="86">
        <v>0</v>
      </c>
      <c r="F67" s="85">
        <v>0</v>
      </c>
      <c r="G67" s="86">
        <v>0</v>
      </c>
      <c r="H67" s="85">
        <v>0</v>
      </c>
      <c r="I67" s="86">
        <v>0</v>
      </c>
      <c r="J67" s="85">
        <v>0</v>
      </c>
      <c r="K67" s="86">
        <v>0</v>
      </c>
      <c r="L67" s="85">
        <v>0</v>
      </c>
      <c r="M67" s="86">
        <v>0</v>
      </c>
      <c r="N67" s="85">
        <v>0</v>
      </c>
      <c r="O67" s="86">
        <v>0</v>
      </c>
      <c r="P67" s="87"/>
    </row>
    <row r="68" spans="2:16" ht="13.9" customHeight="1" outlineLevel="1" x14ac:dyDescent="0.25">
      <c r="B68" s="149"/>
      <c r="C68" s="150" t="s">
        <v>42</v>
      </c>
      <c r="D68" s="85">
        <v>0</v>
      </c>
      <c r="E68" s="86">
        <v>0</v>
      </c>
      <c r="F68" s="85">
        <v>0</v>
      </c>
      <c r="G68" s="86">
        <v>0</v>
      </c>
      <c r="H68" s="85">
        <v>0</v>
      </c>
      <c r="I68" s="86">
        <v>0</v>
      </c>
      <c r="J68" s="85">
        <v>0</v>
      </c>
      <c r="K68" s="86">
        <v>0</v>
      </c>
      <c r="L68" s="85">
        <v>0</v>
      </c>
      <c r="M68" s="86">
        <v>0</v>
      </c>
      <c r="N68" s="85">
        <v>19569517.91</v>
      </c>
      <c r="O68" s="86">
        <v>9881331.040000001</v>
      </c>
      <c r="P68" s="87"/>
    </row>
    <row r="69" spans="2:16" ht="13.9" customHeight="1" outlineLevel="1" x14ac:dyDescent="0.25">
      <c r="B69" s="149"/>
      <c r="C69" s="150" t="s">
        <v>43</v>
      </c>
      <c r="D69" s="85">
        <v>0</v>
      </c>
      <c r="E69" s="86">
        <v>0</v>
      </c>
      <c r="F69" s="85">
        <v>0</v>
      </c>
      <c r="G69" s="86">
        <v>0</v>
      </c>
      <c r="H69" s="85">
        <v>16072443</v>
      </c>
      <c r="I69" s="86">
        <v>56001757</v>
      </c>
      <c r="J69" s="85">
        <v>0</v>
      </c>
      <c r="K69" s="86">
        <v>0</v>
      </c>
      <c r="L69" s="85">
        <v>42351622.74000001</v>
      </c>
      <c r="M69" s="86">
        <v>29564757.259999994</v>
      </c>
      <c r="N69" s="85">
        <v>133841437.85999998</v>
      </c>
      <c r="O69" s="86">
        <v>66166295.139999993</v>
      </c>
      <c r="P69" s="87"/>
    </row>
    <row r="70" spans="2:16" ht="13.9" customHeight="1" outlineLevel="1" x14ac:dyDescent="0.25">
      <c r="B70" s="149"/>
      <c r="C70" s="150" t="s">
        <v>44</v>
      </c>
      <c r="D70" s="85">
        <v>0</v>
      </c>
      <c r="E70" s="86">
        <v>0</v>
      </c>
      <c r="F70" s="85">
        <v>1588337</v>
      </c>
      <c r="G70" s="86">
        <v>6353351</v>
      </c>
      <c r="H70" s="85">
        <v>1588338.6</v>
      </c>
      <c r="I70" s="86">
        <v>6353349.4000000004</v>
      </c>
      <c r="J70" s="85">
        <v>0</v>
      </c>
      <c r="K70" s="86">
        <v>0</v>
      </c>
      <c r="L70" s="85">
        <v>0</v>
      </c>
      <c r="M70" s="86">
        <v>0</v>
      </c>
      <c r="N70" s="85">
        <v>0</v>
      </c>
      <c r="O70" s="86">
        <v>0</v>
      </c>
      <c r="P70" s="87"/>
    </row>
    <row r="71" spans="2:16" ht="13.9" customHeight="1" outlineLevel="1" x14ac:dyDescent="0.25">
      <c r="B71" s="149"/>
      <c r="C71" s="150" t="s">
        <v>45</v>
      </c>
      <c r="D71" s="85">
        <v>0</v>
      </c>
      <c r="E71" s="86">
        <v>0</v>
      </c>
      <c r="F71" s="85">
        <v>978752.21</v>
      </c>
      <c r="G71" s="86">
        <v>3929091.59</v>
      </c>
      <c r="H71" s="85">
        <v>641887.36</v>
      </c>
      <c r="I71" s="86">
        <v>2566985.8400000003</v>
      </c>
      <c r="J71" s="85">
        <v>0</v>
      </c>
      <c r="K71" s="86">
        <v>0</v>
      </c>
      <c r="L71" s="85">
        <v>0</v>
      </c>
      <c r="M71" s="86">
        <v>0</v>
      </c>
      <c r="N71" s="85">
        <v>0</v>
      </c>
      <c r="O71" s="86">
        <v>0</v>
      </c>
      <c r="P71" s="87"/>
    </row>
    <row r="72" spans="2:16" ht="13.9" customHeight="1" outlineLevel="1" x14ac:dyDescent="0.25">
      <c r="B72" s="149"/>
      <c r="C72" s="150" t="s">
        <v>46</v>
      </c>
      <c r="D72" s="85">
        <v>0</v>
      </c>
      <c r="E72" s="86">
        <v>0</v>
      </c>
      <c r="F72" s="85">
        <v>0</v>
      </c>
      <c r="G72" s="86">
        <v>0</v>
      </c>
      <c r="H72" s="85">
        <v>0</v>
      </c>
      <c r="I72" s="86">
        <v>0</v>
      </c>
      <c r="J72" s="85">
        <v>0</v>
      </c>
      <c r="K72" s="86">
        <v>0</v>
      </c>
      <c r="L72" s="85">
        <v>0</v>
      </c>
      <c r="M72" s="86">
        <v>0</v>
      </c>
      <c r="N72" s="85">
        <v>0</v>
      </c>
      <c r="O72" s="86">
        <v>0</v>
      </c>
      <c r="P72" s="87"/>
    </row>
    <row r="73" spans="2:16" ht="13.9" customHeight="1" outlineLevel="1" x14ac:dyDescent="0.25">
      <c r="B73" s="149"/>
      <c r="C73" s="150" t="s">
        <v>47</v>
      </c>
      <c r="D73" s="85">
        <v>0</v>
      </c>
      <c r="E73" s="86">
        <v>0</v>
      </c>
      <c r="F73" s="85">
        <v>0</v>
      </c>
      <c r="G73" s="86">
        <v>0</v>
      </c>
      <c r="H73" s="85">
        <v>0</v>
      </c>
      <c r="I73" s="86">
        <v>0</v>
      </c>
      <c r="J73" s="85">
        <v>58975689.929999985</v>
      </c>
      <c r="K73" s="86">
        <v>88463544.11999996</v>
      </c>
      <c r="L73" s="85">
        <v>7207129.4100000001</v>
      </c>
      <c r="M73" s="86">
        <v>4819452.6399999997</v>
      </c>
      <c r="N73" s="85">
        <v>18524831.899999999</v>
      </c>
      <c r="O73" s="86">
        <v>12231345.400000002</v>
      </c>
      <c r="P73" s="87"/>
    </row>
    <row r="74" spans="2:16" ht="13.9" customHeight="1" outlineLevel="1" x14ac:dyDescent="0.25">
      <c r="B74" s="149"/>
      <c r="C74" s="150" t="s">
        <v>48</v>
      </c>
      <c r="D74" s="85">
        <v>0</v>
      </c>
      <c r="E74" s="86">
        <v>0</v>
      </c>
      <c r="F74" s="85">
        <v>3502117</v>
      </c>
      <c r="G74" s="86">
        <v>30297083</v>
      </c>
      <c r="H74" s="85">
        <v>0</v>
      </c>
      <c r="I74" s="86">
        <v>0</v>
      </c>
      <c r="J74" s="85">
        <v>0</v>
      </c>
      <c r="K74" s="86">
        <v>0</v>
      </c>
      <c r="L74" s="85">
        <v>0</v>
      </c>
      <c r="M74" s="86">
        <v>0</v>
      </c>
      <c r="N74" s="85">
        <v>0</v>
      </c>
      <c r="O74" s="86">
        <v>0</v>
      </c>
      <c r="P74" s="87"/>
    </row>
    <row r="75" spans="2:16" ht="13.9" customHeight="1" outlineLevel="1" x14ac:dyDescent="0.25">
      <c r="B75" s="149"/>
      <c r="C75" s="150" t="s">
        <v>49</v>
      </c>
      <c r="D75" s="85">
        <v>0</v>
      </c>
      <c r="E75" s="86">
        <v>0</v>
      </c>
      <c r="F75" s="85">
        <v>0</v>
      </c>
      <c r="G75" s="86">
        <v>0</v>
      </c>
      <c r="H75" s="85">
        <v>0</v>
      </c>
      <c r="I75" s="86">
        <v>0</v>
      </c>
      <c r="J75" s="85">
        <v>0</v>
      </c>
      <c r="K75" s="86">
        <v>0</v>
      </c>
      <c r="L75" s="85">
        <v>7295329.9000000004</v>
      </c>
      <c r="M75" s="86">
        <v>4870720.4699999988</v>
      </c>
      <c r="N75" s="85">
        <v>41919582</v>
      </c>
      <c r="O75" s="86">
        <v>12793842.799999999</v>
      </c>
      <c r="P75" s="87"/>
    </row>
    <row r="76" spans="2:16" ht="13.9" customHeight="1" outlineLevel="1" x14ac:dyDescent="0.25">
      <c r="B76" s="149"/>
      <c r="C76" s="150" t="s">
        <v>50</v>
      </c>
      <c r="D76" s="85">
        <v>0</v>
      </c>
      <c r="E76" s="86">
        <v>0</v>
      </c>
      <c r="F76" s="85">
        <v>0</v>
      </c>
      <c r="G76" s="86">
        <v>0</v>
      </c>
      <c r="H76" s="85">
        <v>0</v>
      </c>
      <c r="I76" s="86">
        <v>0</v>
      </c>
      <c r="J76" s="85">
        <v>0</v>
      </c>
      <c r="K76" s="86">
        <v>0</v>
      </c>
      <c r="L76" s="85">
        <v>0</v>
      </c>
      <c r="M76" s="86">
        <v>0</v>
      </c>
      <c r="N76" s="85">
        <v>0</v>
      </c>
      <c r="O76" s="86">
        <v>0</v>
      </c>
      <c r="P76" s="87"/>
    </row>
    <row r="77" spans="2:16" ht="13.9" customHeight="1" outlineLevel="1" x14ac:dyDescent="0.25">
      <c r="B77" s="149"/>
      <c r="C77" s="150" t="s">
        <v>51</v>
      </c>
      <c r="D77" s="85">
        <v>0</v>
      </c>
      <c r="E77" s="86">
        <v>0</v>
      </c>
      <c r="F77" s="85">
        <v>0</v>
      </c>
      <c r="G77" s="86">
        <v>0</v>
      </c>
      <c r="H77" s="85">
        <v>328749</v>
      </c>
      <c r="I77" s="86">
        <v>767082.89999999991</v>
      </c>
      <c r="J77" s="85">
        <v>985731.9</v>
      </c>
      <c r="K77" s="86">
        <v>2300035.2000000002</v>
      </c>
      <c r="L77" s="85">
        <v>0</v>
      </c>
      <c r="M77" s="86">
        <v>0</v>
      </c>
      <c r="N77" s="85">
        <v>0</v>
      </c>
      <c r="O77" s="86">
        <v>0</v>
      </c>
      <c r="P77" s="87"/>
    </row>
    <row r="78" spans="2:16" ht="13.9" customHeight="1" outlineLevel="1" x14ac:dyDescent="0.25">
      <c r="B78" s="149"/>
      <c r="C78" s="150" t="s">
        <v>52</v>
      </c>
      <c r="D78" s="85">
        <v>0</v>
      </c>
      <c r="E78" s="86">
        <v>0</v>
      </c>
      <c r="F78" s="85">
        <v>0</v>
      </c>
      <c r="G78" s="86">
        <v>0</v>
      </c>
      <c r="H78" s="85">
        <v>0</v>
      </c>
      <c r="I78" s="86">
        <v>0</v>
      </c>
      <c r="J78" s="85">
        <v>0</v>
      </c>
      <c r="K78" s="86">
        <v>0</v>
      </c>
      <c r="L78" s="85">
        <v>0</v>
      </c>
      <c r="M78" s="86">
        <v>0</v>
      </c>
      <c r="N78" s="85">
        <v>0</v>
      </c>
      <c r="O78" s="86">
        <v>0</v>
      </c>
      <c r="P78" s="87"/>
    </row>
    <row r="79" spans="2:16" ht="13.9" customHeight="1" outlineLevel="1" x14ac:dyDescent="0.25">
      <c r="B79" s="149"/>
      <c r="C79" s="150" t="s">
        <v>53</v>
      </c>
      <c r="D79" s="85">
        <v>0</v>
      </c>
      <c r="E79" s="86">
        <v>0</v>
      </c>
      <c r="F79" s="85">
        <v>0</v>
      </c>
      <c r="G79" s="86">
        <v>0</v>
      </c>
      <c r="H79" s="85">
        <v>614346.75</v>
      </c>
      <c r="I79" s="86">
        <v>2457380.7000000002</v>
      </c>
      <c r="J79" s="85">
        <v>0</v>
      </c>
      <c r="K79" s="86">
        <v>0</v>
      </c>
      <c r="L79" s="85">
        <v>0</v>
      </c>
      <c r="M79" s="86">
        <v>0</v>
      </c>
      <c r="N79" s="85">
        <v>0</v>
      </c>
      <c r="O79" s="86">
        <v>0</v>
      </c>
      <c r="P79" s="87"/>
    </row>
    <row r="80" spans="2:16" ht="13.9" customHeight="1" outlineLevel="1" x14ac:dyDescent="0.25">
      <c r="B80" s="149"/>
      <c r="C80" s="150" t="s">
        <v>54</v>
      </c>
      <c r="D80" s="85">
        <v>0</v>
      </c>
      <c r="E80" s="86">
        <v>0</v>
      </c>
      <c r="F80" s="85">
        <v>0</v>
      </c>
      <c r="G80" s="86">
        <v>0</v>
      </c>
      <c r="H80" s="85">
        <v>0</v>
      </c>
      <c r="I80" s="86">
        <v>0</v>
      </c>
      <c r="J80" s="85">
        <v>0</v>
      </c>
      <c r="K80" s="86">
        <v>0</v>
      </c>
      <c r="L80" s="85">
        <v>0</v>
      </c>
      <c r="M80" s="86">
        <v>0</v>
      </c>
      <c r="N80" s="85">
        <v>0</v>
      </c>
      <c r="O80" s="86">
        <v>0</v>
      </c>
      <c r="P80" s="87"/>
    </row>
    <row r="81" spans="2:16" ht="13.9" customHeight="1" outlineLevel="1" x14ac:dyDescent="0.25">
      <c r="B81" s="149"/>
      <c r="C81" s="150" t="s">
        <v>55</v>
      </c>
      <c r="D81" s="85">
        <v>0</v>
      </c>
      <c r="E81" s="86">
        <v>0</v>
      </c>
      <c r="F81" s="85">
        <v>0</v>
      </c>
      <c r="G81" s="86">
        <v>0</v>
      </c>
      <c r="H81" s="85">
        <v>0</v>
      </c>
      <c r="I81" s="86">
        <v>0</v>
      </c>
      <c r="J81" s="85">
        <v>0</v>
      </c>
      <c r="K81" s="86">
        <v>0</v>
      </c>
      <c r="L81" s="85">
        <v>0</v>
      </c>
      <c r="M81" s="86">
        <v>0</v>
      </c>
      <c r="N81" s="85">
        <v>0</v>
      </c>
      <c r="O81" s="86">
        <v>0</v>
      </c>
      <c r="P81" s="87"/>
    </row>
    <row r="82" spans="2:16" ht="13.9" customHeight="1" outlineLevel="1" x14ac:dyDescent="0.25">
      <c r="B82" s="149"/>
      <c r="C82" s="150" t="s">
        <v>56</v>
      </c>
      <c r="D82" s="85">
        <v>0</v>
      </c>
      <c r="E82" s="86">
        <v>0</v>
      </c>
      <c r="F82" s="85">
        <v>0</v>
      </c>
      <c r="G82" s="86">
        <v>0</v>
      </c>
      <c r="H82" s="85">
        <v>0</v>
      </c>
      <c r="I82" s="86">
        <v>0</v>
      </c>
      <c r="J82" s="85">
        <v>0</v>
      </c>
      <c r="K82" s="86">
        <v>0</v>
      </c>
      <c r="L82" s="85">
        <v>0</v>
      </c>
      <c r="M82" s="86">
        <v>0</v>
      </c>
      <c r="N82" s="85">
        <v>0</v>
      </c>
      <c r="O82" s="86">
        <v>0</v>
      </c>
      <c r="P82" s="87"/>
    </row>
    <row r="83" spans="2:16" ht="13.9" customHeight="1" outlineLevel="1" x14ac:dyDescent="0.25">
      <c r="B83" s="149"/>
      <c r="C83" s="150" t="s">
        <v>57</v>
      </c>
      <c r="D83" s="85">
        <v>0</v>
      </c>
      <c r="E83" s="86">
        <v>0</v>
      </c>
      <c r="F83" s="85">
        <v>0</v>
      </c>
      <c r="G83" s="86">
        <v>0</v>
      </c>
      <c r="H83" s="85">
        <v>0</v>
      </c>
      <c r="I83" s="86">
        <v>0</v>
      </c>
      <c r="J83" s="85">
        <v>0</v>
      </c>
      <c r="K83" s="86">
        <v>0</v>
      </c>
      <c r="L83" s="85">
        <v>0</v>
      </c>
      <c r="M83" s="86">
        <v>0</v>
      </c>
      <c r="N83" s="85">
        <v>176047939.44000003</v>
      </c>
      <c r="O83" s="86">
        <v>0.19999999925494194</v>
      </c>
      <c r="P83" s="87"/>
    </row>
    <row r="84" spans="2:16" ht="13.9" customHeight="1" outlineLevel="1" x14ac:dyDescent="0.25">
      <c r="B84" s="149"/>
      <c r="C84" s="150" t="s">
        <v>58</v>
      </c>
      <c r="D84" s="85">
        <v>0</v>
      </c>
      <c r="E84" s="86">
        <v>0</v>
      </c>
      <c r="F84" s="85">
        <v>0</v>
      </c>
      <c r="G84" s="86">
        <v>0</v>
      </c>
      <c r="H84" s="85">
        <v>0</v>
      </c>
      <c r="I84" s="86">
        <v>0</v>
      </c>
      <c r="J84" s="85">
        <v>0</v>
      </c>
      <c r="K84" s="86">
        <v>0</v>
      </c>
      <c r="L84" s="85">
        <v>0</v>
      </c>
      <c r="M84" s="86">
        <v>0</v>
      </c>
      <c r="N84" s="85">
        <v>0</v>
      </c>
      <c r="O84" s="86">
        <v>0</v>
      </c>
      <c r="P84" s="87"/>
    </row>
    <row r="85" spans="2:16" ht="13.9" customHeight="1" outlineLevel="1" x14ac:dyDescent="0.25">
      <c r="B85" s="149"/>
      <c r="C85" s="150" t="s">
        <v>59</v>
      </c>
      <c r="D85" s="85">
        <v>0</v>
      </c>
      <c r="E85" s="86">
        <v>0</v>
      </c>
      <c r="F85" s="85">
        <v>0</v>
      </c>
      <c r="G85" s="86">
        <v>0</v>
      </c>
      <c r="H85" s="85">
        <v>0</v>
      </c>
      <c r="I85" s="86">
        <v>0</v>
      </c>
      <c r="J85" s="85">
        <v>0</v>
      </c>
      <c r="K85" s="86">
        <v>0</v>
      </c>
      <c r="L85" s="85">
        <v>0</v>
      </c>
      <c r="M85" s="86">
        <v>0</v>
      </c>
      <c r="N85" s="85">
        <v>0</v>
      </c>
      <c r="O85" s="86">
        <v>0</v>
      </c>
      <c r="P85" s="87"/>
    </row>
    <row r="86" spans="2:16" ht="13.9" customHeight="1" outlineLevel="1" x14ac:dyDescent="0.25">
      <c r="B86" s="149"/>
      <c r="C86" s="150" t="s">
        <v>60</v>
      </c>
      <c r="D86" s="85">
        <v>0</v>
      </c>
      <c r="E86" s="86">
        <v>0</v>
      </c>
      <c r="F86" s="85">
        <v>0</v>
      </c>
      <c r="G86" s="86">
        <v>0</v>
      </c>
      <c r="H86" s="85">
        <v>0</v>
      </c>
      <c r="I86" s="86">
        <v>0</v>
      </c>
      <c r="J86" s="85">
        <v>0</v>
      </c>
      <c r="K86" s="86">
        <v>0</v>
      </c>
      <c r="L86" s="85">
        <v>0</v>
      </c>
      <c r="M86" s="86">
        <v>0</v>
      </c>
      <c r="N86" s="85">
        <v>0</v>
      </c>
      <c r="O86" s="86">
        <v>0</v>
      </c>
      <c r="P86" s="87"/>
    </row>
    <row r="87" spans="2:16" ht="13.9" customHeight="1" outlineLevel="1" x14ac:dyDescent="0.25">
      <c r="B87" s="149"/>
      <c r="C87" s="150" t="s">
        <v>61</v>
      </c>
      <c r="D87" s="85">
        <v>0</v>
      </c>
      <c r="E87" s="86">
        <v>0</v>
      </c>
      <c r="F87" s="85">
        <v>0</v>
      </c>
      <c r="G87" s="86">
        <v>0</v>
      </c>
      <c r="H87" s="85">
        <v>1131772</v>
      </c>
      <c r="I87" s="86">
        <v>4527086</v>
      </c>
      <c r="J87" s="85">
        <v>0</v>
      </c>
      <c r="K87" s="86">
        <v>0</v>
      </c>
      <c r="L87" s="85">
        <v>0</v>
      </c>
      <c r="M87" s="86">
        <v>0</v>
      </c>
      <c r="N87" s="85">
        <v>0</v>
      </c>
      <c r="O87" s="86">
        <v>0</v>
      </c>
      <c r="P87" s="87"/>
    </row>
    <row r="88" spans="2:16" ht="13.9" customHeight="1" outlineLevel="1" x14ac:dyDescent="0.25">
      <c r="B88" s="149"/>
      <c r="C88" s="150" t="s">
        <v>62</v>
      </c>
      <c r="D88" s="85">
        <v>0</v>
      </c>
      <c r="E88" s="86">
        <v>0</v>
      </c>
      <c r="F88" s="85">
        <v>0</v>
      </c>
      <c r="G88" s="86">
        <v>0</v>
      </c>
      <c r="H88" s="85">
        <v>0</v>
      </c>
      <c r="I88" s="86">
        <v>0</v>
      </c>
      <c r="J88" s="85">
        <v>0</v>
      </c>
      <c r="K88" s="86">
        <v>0</v>
      </c>
      <c r="L88" s="85">
        <v>0</v>
      </c>
      <c r="M88" s="86">
        <v>0</v>
      </c>
      <c r="N88" s="85">
        <v>0</v>
      </c>
      <c r="O88" s="86">
        <v>0</v>
      </c>
      <c r="P88" s="87"/>
    </row>
    <row r="89" spans="2:16" ht="13.9" customHeight="1" outlineLevel="1" x14ac:dyDescent="0.25">
      <c r="B89" s="149"/>
      <c r="C89" s="150" t="s">
        <v>63</v>
      </c>
      <c r="D89" s="85">
        <v>0</v>
      </c>
      <c r="E89" s="86">
        <v>0</v>
      </c>
      <c r="F89" s="85">
        <v>0</v>
      </c>
      <c r="G89" s="86">
        <v>0</v>
      </c>
      <c r="H89" s="85">
        <v>0</v>
      </c>
      <c r="I89" s="86">
        <v>0</v>
      </c>
      <c r="J89" s="85">
        <v>0</v>
      </c>
      <c r="K89" s="86">
        <v>0</v>
      </c>
      <c r="L89" s="85">
        <v>0</v>
      </c>
      <c r="M89" s="86">
        <v>0</v>
      </c>
      <c r="N89" s="85">
        <v>0</v>
      </c>
      <c r="O89" s="86">
        <v>0</v>
      </c>
      <c r="P89" s="87"/>
    </row>
    <row r="90" spans="2:16" ht="13.9" customHeight="1" outlineLevel="1" x14ac:dyDescent="0.25">
      <c r="B90" s="149"/>
      <c r="C90" s="150" t="s">
        <v>64</v>
      </c>
      <c r="D90" s="85">
        <v>0</v>
      </c>
      <c r="E90" s="86">
        <v>0</v>
      </c>
      <c r="F90" s="85">
        <v>0</v>
      </c>
      <c r="G90" s="86">
        <v>0</v>
      </c>
      <c r="H90" s="85">
        <v>0</v>
      </c>
      <c r="I90" s="86">
        <v>0</v>
      </c>
      <c r="J90" s="85">
        <v>0</v>
      </c>
      <c r="K90" s="86">
        <v>0</v>
      </c>
      <c r="L90" s="85">
        <v>0</v>
      </c>
      <c r="M90" s="86">
        <v>0</v>
      </c>
      <c r="N90" s="85">
        <v>22364994</v>
      </c>
      <c r="O90" s="86">
        <v>14667202.600000001</v>
      </c>
      <c r="P90" s="87"/>
    </row>
    <row r="91" spans="2:16" ht="13.9" customHeight="1" outlineLevel="1" x14ac:dyDescent="0.25">
      <c r="B91" s="149"/>
      <c r="C91" s="150" t="s">
        <v>65</v>
      </c>
      <c r="D91" s="85">
        <v>0</v>
      </c>
      <c r="E91" s="86">
        <v>0</v>
      </c>
      <c r="F91" s="85">
        <v>0</v>
      </c>
      <c r="G91" s="86">
        <v>0</v>
      </c>
      <c r="H91" s="85">
        <v>0</v>
      </c>
      <c r="I91" s="86">
        <v>0</v>
      </c>
      <c r="J91" s="85">
        <v>0</v>
      </c>
      <c r="K91" s="86">
        <v>0</v>
      </c>
      <c r="L91" s="85">
        <v>0</v>
      </c>
      <c r="M91" s="86">
        <v>0</v>
      </c>
      <c r="N91" s="85">
        <v>3529999.93</v>
      </c>
      <c r="O91" s="86">
        <v>7.9999999608844519E-2</v>
      </c>
      <c r="P91" s="87"/>
    </row>
    <row r="92" spans="2:16" ht="13.9" customHeight="1" outlineLevel="1" x14ac:dyDescent="0.25">
      <c r="B92" s="149"/>
      <c r="C92" s="150" t="s">
        <v>66</v>
      </c>
      <c r="D92" s="85">
        <v>0</v>
      </c>
      <c r="E92" s="86">
        <v>0</v>
      </c>
      <c r="F92" s="85">
        <v>0</v>
      </c>
      <c r="G92" s="86">
        <v>0</v>
      </c>
      <c r="H92" s="85">
        <v>0</v>
      </c>
      <c r="I92" s="86">
        <v>0</v>
      </c>
      <c r="J92" s="85">
        <v>0</v>
      </c>
      <c r="K92" s="86">
        <v>0</v>
      </c>
      <c r="L92" s="85">
        <v>0</v>
      </c>
      <c r="M92" s="86">
        <v>0</v>
      </c>
      <c r="N92" s="85">
        <v>0</v>
      </c>
      <c r="O92" s="86">
        <v>0</v>
      </c>
      <c r="P92" s="87"/>
    </row>
    <row r="93" spans="2:16" ht="13.9" customHeight="1" outlineLevel="1" x14ac:dyDescent="0.25">
      <c r="B93" s="149"/>
      <c r="C93" s="150" t="s">
        <v>67</v>
      </c>
      <c r="D93" s="85">
        <v>0</v>
      </c>
      <c r="E93" s="86">
        <v>0</v>
      </c>
      <c r="F93" s="85">
        <v>0</v>
      </c>
      <c r="G93" s="86">
        <v>0</v>
      </c>
      <c r="H93" s="85">
        <v>0</v>
      </c>
      <c r="I93" s="86">
        <v>0</v>
      </c>
      <c r="J93" s="85">
        <v>0</v>
      </c>
      <c r="K93" s="86">
        <v>0</v>
      </c>
      <c r="L93" s="85">
        <v>0</v>
      </c>
      <c r="M93" s="86">
        <v>0</v>
      </c>
      <c r="N93" s="85">
        <v>0</v>
      </c>
      <c r="O93" s="86">
        <v>0</v>
      </c>
      <c r="P93" s="87"/>
    </row>
    <row r="94" spans="2:16" ht="13.9" customHeight="1" x14ac:dyDescent="0.25">
      <c r="B94" s="149"/>
      <c r="C94" s="148" t="s">
        <v>103</v>
      </c>
      <c r="D94" s="90">
        <f>SUM(D57:D93)</f>
        <v>0</v>
      </c>
      <c r="E94" s="91">
        <f t="shared" ref="E94:O94" si="4">SUM(E57:E93)</f>
        <v>0</v>
      </c>
      <c r="F94" s="92">
        <f t="shared" si="4"/>
        <v>52424794.210000001</v>
      </c>
      <c r="G94" s="93">
        <f t="shared" si="4"/>
        <v>226006877.59</v>
      </c>
      <c r="H94" s="90">
        <f t="shared" si="4"/>
        <v>25519768.710000001</v>
      </c>
      <c r="I94" s="91">
        <f t="shared" si="4"/>
        <v>93237569.840000018</v>
      </c>
      <c r="J94" s="92">
        <f t="shared" si="4"/>
        <v>59961421.829999983</v>
      </c>
      <c r="K94" s="93">
        <f t="shared" si="4"/>
        <v>90763579.319999963</v>
      </c>
      <c r="L94" s="90">
        <f t="shared" si="4"/>
        <v>166014063.62</v>
      </c>
      <c r="M94" s="91">
        <f t="shared" si="4"/>
        <v>144937362.79999998</v>
      </c>
      <c r="N94" s="90">
        <f t="shared" si="4"/>
        <v>540075587.95999992</v>
      </c>
      <c r="O94" s="91">
        <f t="shared" si="4"/>
        <v>136203693.91000003</v>
      </c>
      <c r="P94" s="94"/>
    </row>
    <row r="95" spans="2:16" ht="13.9" customHeight="1" outlineLevel="1" x14ac:dyDescent="0.25">
      <c r="B95" s="149" t="s">
        <v>83</v>
      </c>
      <c r="C95" s="150" t="s">
        <v>70</v>
      </c>
      <c r="D95" s="85">
        <v>0</v>
      </c>
      <c r="E95" s="86">
        <v>0</v>
      </c>
      <c r="F95" s="85">
        <v>12863611.779999999</v>
      </c>
      <c r="G95" s="86">
        <v>51454462.710000016</v>
      </c>
      <c r="H95" s="85">
        <v>17684987.640000001</v>
      </c>
      <c r="I95" s="86">
        <v>70449778.939999998</v>
      </c>
      <c r="J95" s="85">
        <v>1252565</v>
      </c>
      <c r="K95" s="86">
        <v>2922630.56</v>
      </c>
      <c r="L95" s="85">
        <v>0</v>
      </c>
      <c r="M95" s="86">
        <v>0</v>
      </c>
      <c r="N95" s="85">
        <v>0</v>
      </c>
      <c r="O95" s="86">
        <v>0</v>
      </c>
      <c r="P95" s="87"/>
    </row>
    <row r="96" spans="2:16" ht="13.9" customHeight="1" outlineLevel="1" x14ac:dyDescent="0.25">
      <c r="B96" s="149"/>
      <c r="C96" s="150" t="s">
        <v>71</v>
      </c>
      <c r="D96" s="85">
        <v>0</v>
      </c>
      <c r="E96" s="86">
        <v>0</v>
      </c>
      <c r="F96" s="85">
        <v>0</v>
      </c>
      <c r="G96" s="86">
        <v>0</v>
      </c>
      <c r="H96" s="85">
        <v>3623793.5</v>
      </c>
      <c r="I96" s="86">
        <v>14495141.52</v>
      </c>
      <c r="J96" s="85">
        <v>0</v>
      </c>
      <c r="K96" s="86">
        <v>0</v>
      </c>
      <c r="L96" s="85">
        <v>0</v>
      </c>
      <c r="M96" s="86">
        <v>0</v>
      </c>
      <c r="N96" s="85">
        <v>0</v>
      </c>
      <c r="O96" s="86">
        <v>0</v>
      </c>
      <c r="P96" s="87"/>
    </row>
    <row r="97" spans="2:16" ht="13.9" customHeight="1" outlineLevel="1" x14ac:dyDescent="0.25">
      <c r="B97" s="149"/>
      <c r="C97" s="150" t="s">
        <v>72</v>
      </c>
      <c r="D97" s="85">
        <v>0</v>
      </c>
      <c r="E97" s="86">
        <v>0</v>
      </c>
      <c r="F97" s="85">
        <v>0</v>
      </c>
      <c r="G97" s="86">
        <v>0</v>
      </c>
      <c r="H97" s="85">
        <v>0</v>
      </c>
      <c r="I97" s="86">
        <v>0</v>
      </c>
      <c r="J97" s="85">
        <v>0</v>
      </c>
      <c r="K97" s="86">
        <v>0</v>
      </c>
      <c r="L97" s="85">
        <v>0</v>
      </c>
      <c r="M97" s="86">
        <v>0</v>
      </c>
      <c r="N97" s="85">
        <v>0</v>
      </c>
      <c r="O97" s="86">
        <v>0</v>
      </c>
      <c r="P97" s="87"/>
    </row>
    <row r="98" spans="2:16" ht="13.9" customHeight="1" x14ac:dyDescent="0.25">
      <c r="B98" s="149"/>
      <c r="C98" s="148" t="s">
        <v>104</v>
      </c>
      <c r="D98" s="90">
        <f>SUM(D95:D97)</f>
        <v>0</v>
      </c>
      <c r="E98" s="91">
        <f t="shared" ref="E98:O98" si="5">SUM(E95:E97)</f>
        <v>0</v>
      </c>
      <c r="F98" s="92">
        <f t="shared" si="5"/>
        <v>12863611.779999999</v>
      </c>
      <c r="G98" s="93">
        <f t="shared" si="5"/>
        <v>51454462.710000016</v>
      </c>
      <c r="H98" s="90">
        <f t="shared" si="5"/>
        <v>21308781.140000001</v>
      </c>
      <c r="I98" s="91">
        <f t="shared" si="5"/>
        <v>84944920.459999993</v>
      </c>
      <c r="J98" s="92">
        <f t="shared" si="5"/>
        <v>1252565</v>
      </c>
      <c r="K98" s="93">
        <f t="shared" si="5"/>
        <v>2922630.56</v>
      </c>
      <c r="L98" s="90">
        <f t="shared" si="5"/>
        <v>0</v>
      </c>
      <c r="M98" s="91">
        <f t="shared" si="5"/>
        <v>0</v>
      </c>
      <c r="N98" s="90">
        <f t="shared" si="5"/>
        <v>0</v>
      </c>
      <c r="O98" s="91">
        <f t="shared" si="5"/>
        <v>0</v>
      </c>
      <c r="P98" s="94"/>
    </row>
    <row r="99" spans="2:16" ht="13.9" customHeight="1" outlineLevel="1" x14ac:dyDescent="0.25">
      <c r="B99" s="149" t="s">
        <v>105</v>
      </c>
      <c r="C99" s="150" t="s">
        <v>75</v>
      </c>
      <c r="D99" s="85">
        <v>0</v>
      </c>
      <c r="E99" s="86">
        <v>0</v>
      </c>
      <c r="F99" s="85">
        <v>0</v>
      </c>
      <c r="G99" s="86">
        <v>0</v>
      </c>
      <c r="H99" s="85">
        <v>0</v>
      </c>
      <c r="I99" s="86">
        <v>0</v>
      </c>
      <c r="J99" s="85">
        <v>0</v>
      </c>
      <c r="K99" s="86">
        <v>0</v>
      </c>
      <c r="L99" s="85">
        <v>0</v>
      </c>
      <c r="M99" s="86">
        <v>0</v>
      </c>
      <c r="N99" s="85">
        <v>0</v>
      </c>
      <c r="O99" s="86">
        <v>0</v>
      </c>
      <c r="P99" s="87"/>
    </row>
    <row r="100" spans="2:16" ht="13.9" customHeight="1" outlineLevel="1" x14ac:dyDescent="0.25">
      <c r="B100" s="149"/>
      <c r="C100" s="150" t="s">
        <v>76</v>
      </c>
      <c r="D100" s="85">
        <v>0</v>
      </c>
      <c r="E100" s="86">
        <v>0</v>
      </c>
      <c r="F100" s="85">
        <v>0</v>
      </c>
      <c r="G100" s="86">
        <v>0</v>
      </c>
      <c r="H100" s="85">
        <v>0</v>
      </c>
      <c r="I100" s="86">
        <v>0</v>
      </c>
      <c r="J100" s="85">
        <v>0</v>
      </c>
      <c r="K100" s="86">
        <v>0</v>
      </c>
      <c r="L100" s="85">
        <v>0</v>
      </c>
      <c r="M100" s="86">
        <v>0</v>
      </c>
      <c r="N100" s="85">
        <v>0</v>
      </c>
      <c r="O100" s="86">
        <v>0</v>
      </c>
      <c r="P100" s="87"/>
    </row>
    <row r="101" spans="2:16" ht="13.9" customHeight="1" x14ac:dyDescent="0.25">
      <c r="B101" s="149"/>
      <c r="C101" s="148" t="s">
        <v>106</v>
      </c>
      <c r="D101" s="90">
        <f>SUM(D99:D100)</f>
        <v>0</v>
      </c>
      <c r="E101" s="91">
        <f t="shared" ref="E101:O101" si="6">SUM(E99:E100)</f>
        <v>0</v>
      </c>
      <c r="F101" s="92">
        <f t="shared" si="6"/>
        <v>0</v>
      </c>
      <c r="G101" s="93">
        <f t="shared" si="6"/>
        <v>0</v>
      </c>
      <c r="H101" s="90">
        <f t="shared" si="6"/>
        <v>0</v>
      </c>
      <c r="I101" s="91">
        <f t="shared" si="6"/>
        <v>0</v>
      </c>
      <c r="J101" s="92">
        <f t="shared" si="6"/>
        <v>0</v>
      </c>
      <c r="K101" s="93">
        <f t="shared" si="6"/>
        <v>0</v>
      </c>
      <c r="L101" s="90">
        <f t="shared" si="6"/>
        <v>0</v>
      </c>
      <c r="M101" s="91">
        <f t="shared" si="6"/>
        <v>0</v>
      </c>
      <c r="N101" s="90">
        <f t="shared" si="6"/>
        <v>0</v>
      </c>
      <c r="O101" s="91">
        <f t="shared" si="6"/>
        <v>0</v>
      </c>
      <c r="P101" s="94"/>
    </row>
    <row r="102" spans="2:16" ht="13.9" customHeight="1" x14ac:dyDescent="0.25">
      <c r="B102" s="151" t="s">
        <v>78</v>
      </c>
      <c r="C102" s="151"/>
      <c r="D102" s="90">
        <f>D94+D98+D101</f>
        <v>0</v>
      </c>
      <c r="E102" s="91">
        <f t="shared" ref="E102:O102" si="7">E94+E98+E101</f>
        <v>0</v>
      </c>
      <c r="F102" s="92">
        <f t="shared" si="7"/>
        <v>65288405.990000002</v>
      </c>
      <c r="G102" s="93">
        <f t="shared" si="7"/>
        <v>277461340.30000001</v>
      </c>
      <c r="H102" s="90">
        <f t="shared" si="7"/>
        <v>46828549.850000001</v>
      </c>
      <c r="I102" s="91">
        <f t="shared" si="7"/>
        <v>178182490.30000001</v>
      </c>
      <c r="J102" s="92">
        <f t="shared" si="7"/>
        <v>61213986.829999983</v>
      </c>
      <c r="K102" s="93">
        <f t="shared" si="7"/>
        <v>93686209.879999965</v>
      </c>
      <c r="L102" s="90">
        <f t="shared" si="7"/>
        <v>166014063.62</v>
      </c>
      <c r="M102" s="91">
        <f t="shared" si="7"/>
        <v>144937362.79999998</v>
      </c>
      <c r="N102" s="90">
        <f t="shared" si="7"/>
        <v>540075587.95999992</v>
      </c>
      <c r="O102" s="91">
        <f t="shared" si="7"/>
        <v>136203693.91000003</v>
      </c>
      <c r="P102" s="94"/>
    </row>
    <row r="103" spans="2:16" ht="13.9" customHeight="1" x14ac:dyDescent="0.25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</row>
    <row r="104" spans="2:16" ht="13.9" customHeight="1" x14ac:dyDescent="0.25">
      <c r="B104" s="158" t="s">
        <v>84</v>
      </c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</row>
    <row r="105" spans="2:16" ht="13.9" customHeight="1" x14ac:dyDescent="0.25">
      <c r="B105" s="154" t="s">
        <v>26</v>
      </c>
      <c r="C105" s="148" t="s">
        <v>27</v>
      </c>
      <c r="D105" s="109" t="s">
        <v>28</v>
      </c>
      <c r="E105" s="110" t="s">
        <v>29</v>
      </c>
      <c r="F105" s="111" t="s">
        <v>85</v>
      </c>
      <c r="G105" s="112" t="s">
        <v>81</v>
      </c>
      <c r="H105" s="110" t="s">
        <v>82</v>
      </c>
      <c r="I105" s="112" t="s">
        <v>86</v>
      </c>
      <c r="J105" s="110" t="s">
        <v>87</v>
      </c>
      <c r="K105" s="112">
        <v>2026</v>
      </c>
      <c r="L105" s="112">
        <v>2027</v>
      </c>
      <c r="M105" s="110">
        <v>2028</v>
      </c>
      <c r="N105" s="112">
        <v>2029</v>
      </c>
      <c r="O105" s="110">
        <v>2030</v>
      </c>
      <c r="P105" s="112">
        <v>2031</v>
      </c>
    </row>
    <row r="106" spans="2:16" ht="13.9" customHeight="1" outlineLevel="1" x14ac:dyDescent="0.25">
      <c r="B106" s="149" t="s">
        <v>30</v>
      </c>
      <c r="C106" s="150" t="s">
        <v>31</v>
      </c>
      <c r="D106" s="85">
        <v>0</v>
      </c>
      <c r="E106" s="86">
        <v>0</v>
      </c>
      <c r="F106" s="113">
        <f t="shared" ref="F106:F146" si="8">G106+I106</f>
        <v>0</v>
      </c>
      <c r="G106" s="113">
        <v>0</v>
      </c>
      <c r="H106" s="86">
        <v>0</v>
      </c>
      <c r="I106" s="113">
        <v>0</v>
      </c>
      <c r="J106" s="114">
        <f t="shared" ref="J106:J146" si="9">H106-I106</f>
        <v>0</v>
      </c>
      <c r="K106" s="113">
        <f t="shared" ref="K106:K149" si="10">MAX(J106-SUM(L106:P106),0)</f>
        <v>0</v>
      </c>
      <c r="L106" s="113">
        <v>0</v>
      </c>
      <c r="M106" s="113">
        <v>0</v>
      </c>
      <c r="N106" s="113">
        <v>0</v>
      </c>
      <c r="O106" s="113">
        <v>0</v>
      </c>
      <c r="P106" s="113">
        <v>0</v>
      </c>
    </row>
    <row r="107" spans="2:16" ht="13.9" customHeight="1" outlineLevel="1" x14ac:dyDescent="0.25">
      <c r="B107" s="149"/>
      <c r="C107" s="150" t="s">
        <v>32</v>
      </c>
      <c r="D107" s="85">
        <v>0</v>
      </c>
      <c r="E107" s="86">
        <v>0</v>
      </c>
      <c r="F107" s="113">
        <f t="shared" si="8"/>
        <v>0</v>
      </c>
      <c r="G107" s="113">
        <v>0</v>
      </c>
      <c r="H107" s="86">
        <v>0</v>
      </c>
      <c r="I107" s="113">
        <v>0</v>
      </c>
      <c r="J107" s="114">
        <f t="shared" si="9"/>
        <v>0</v>
      </c>
      <c r="K107" s="113">
        <f t="shared" si="10"/>
        <v>0</v>
      </c>
      <c r="L107" s="113">
        <v>0</v>
      </c>
      <c r="M107" s="113">
        <v>0</v>
      </c>
      <c r="N107" s="113">
        <v>0</v>
      </c>
      <c r="O107" s="113">
        <v>0</v>
      </c>
      <c r="P107" s="113">
        <v>0</v>
      </c>
    </row>
    <row r="108" spans="2:16" ht="13.9" customHeight="1" outlineLevel="1" x14ac:dyDescent="0.25">
      <c r="B108" s="149"/>
      <c r="C108" s="150" t="s">
        <v>33</v>
      </c>
      <c r="D108" s="85">
        <v>0</v>
      </c>
      <c r="E108" s="86">
        <v>0</v>
      </c>
      <c r="F108" s="113">
        <f t="shared" si="8"/>
        <v>0</v>
      </c>
      <c r="G108" s="113">
        <v>0</v>
      </c>
      <c r="H108" s="86">
        <v>0</v>
      </c>
      <c r="I108" s="113">
        <v>0</v>
      </c>
      <c r="J108" s="114">
        <f t="shared" si="9"/>
        <v>0</v>
      </c>
      <c r="K108" s="113">
        <f t="shared" si="10"/>
        <v>0</v>
      </c>
      <c r="L108" s="113">
        <v>0</v>
      </c>
      <c r="M108" s="113">
        <v>0</v>
      </c>
      <c r="N108" s="113">
        <v>0</v>
      </c>
      <c r="O108" s="113">
        <v>0</v>
      </c>
      <c r="P108" s="113">
        <v>0</v>
      </c>
    </row>
    <row r="109" spans="2:16" ht="13.9" customHeight="1" outlineLevel="1" x14ac:dyDescent="0.25">
      <c r="B109" s="149"/>
      <c r="C109" s="150" t="s">
        <v>34</v>
      </c>
      <c r="D109" s="85">
        <v>0</v>
      </c>
      <c r="E109" s="86">
        <v>0</v>
      </c>
      <c r="F109" s="113">
        <f t="shared" si="8"/>
        <v>0</v>
      </c>
      <c r="G109" s="113">
        <v>0</v>
      </c>
      <c r="H109" s="86">
        <v>0</v>
      </c>
      <c r="I109" s="113">
        <v>0</v>
      </c>
      <c r="J109" s="114">
        <f t="shared" si="9"/>
        <v>0</v>
      </c>
      <c r="K109" s="113">
        <f t="shared" si="10"/>
        <v>0</v>
      </c>
      <c r="L109" s="113">
        <v>0</v>
      </c>
      <c r="M109" s="113">
        <v>0</v>
      </c>
      <c r="N109" s="113">
        <v>0</v>
      </c>
      <c r="O109" s="113">
        <v>0</v>
      </c>
      <c r="P109" s="113">
        <v>0</v>
      </c>
    </row>
    <row r="110" spans="2:16" ht="13.9" customHeight="1" outlineLevel="1" x14ac:dyDescent="0.25">
      <c r="B110" s="149"/>
      <c r="C110" s="150" t="s">
        <v>35</v>
      </c>
      <c r="D110" s="85">
        <v>0</v>
      </c>
      <c r="E110" s="86">
        <v>0</v>
      </c>
      <c r="F110" s="113">
        <f t="shared" si="8"/>
        <v>0</v>
      </c>
      <c r="G110" s="113">
        <v>0</v>
      </c>
      <c r="H110" s="86">
        <v>0</v>
      </c>
      <c r="I110" s="113">
        <v>0</v>
      </c>
      <c r="J110" s="114">
        <f t="shared" si="9"/>
        <v>0</v>
      </c>
      <c r="K110" s="113">
        <f t="shared" si="10"/>
        <v>0</v>
      </c>
      <c r="L110" s="113">
        <v>0</v>
      </c>
      <c r="M110" s="113">
        <v>0</v>
      </c>
      <c r="N110" s="113">
        <v>0</v>
      </c>
      <c r="O110" s="113">
        <v>0</v>
      </c>
      <c r="P110" s="113">
        <v>0</v>
      </c>
    </row>
    <row r="111" spans="2:16" ht="13.9" customHeight="1" outlineLevel="1" x14ac:dyDescent="0.25">
      <c r="B111" s="149"/>
      <c r="C111" s="150" t="s">
        <v>36</v>
      </c>
      <c r="D111" s="85">
        <v>0</v>
      </c>
      <c r="E111" s="86">
        <v>0</v>
      </c>
      <c r="F111" s="113">
        <f t="shared" si="8"/>
        <v>0</v>
      </c>
      <c r="G111" s="113">
        <v>0</v>
      </c>
      <c r="H111" s="86">
        <v>0</v>
      </c>
      <c r="I111" s="113">
        <v>0</v>
      </c>
      <c r="J111" s="114">
        <f t="shared" si="9"/>
        <v>0</v>
      </c>
      <c r="K111" s="113">
        <f t="shared" si="10"/>
        <v>0</v>
      </c>
      <c r="L111" s="113">
        <v>0</v>
      </c>
      <c r="M111" s="113">
        <v>0</v>
      </c>
      <c r="N111" s="113">
        <v>0</v>
      </c>
      <c r="O111" s="113">
        <v>0</v>
      </c>
      <c r="P111" s="113">
        <v>0</v>
      </c>
    </row>
    <row r="112" spans="2:16" ht="13.9" customHeight="1" outlineLevel="1" x14ac:dyDescent="0.25">
      <c r="B112" s="149"/>
      <c r="C112" s="150" t="s">
        <v>37</v>
      </c>
      <c r="D112" s="85">
        <v>0</v>
      </c>
      <c r="E112" s="86">
        <v>0</v>
      </c>
      <c r="F112" s="113">
        <f t="shared" si="8"/>
        <v>0</v>
      </c>
      <c r="G112" s="113">
        <v>0</v>
      </c>
      <c r="H112" s="86">
        <v>0</v>
      </c>
      <c r="I112" s="113">
        <v>0</v>
      </c>
      <c r="J112" s="114">
        <f t="shared" si="9"/>
        <v>0</v>
      </c>
      <c r="K112" s="113">
        <f t="shared" si="10"/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</row>
    <row r="113" spans="2:16" ht="13.9" customHeight="1" outlineLevel="1" x14ac:dyDescent="0.25">
      <c r="B113" s="149"/>
      <c r="C113" s="150" t="s">
        <v>38</v>
      </c>
      <c r="D113" s="85">
        <v>0</v>
      </c>
      <c r="E113" s="86">
        <v>0</v>
      </c>
      <c r="F113" s="113">
        <f t="shared" si="8"/>
        <v>0</v>
      </c>
      <c r="G113" s="113">
        <v>0</v>
      </c>
      <c r="H113" s="86">
        <v>0</v>
      </c>
      <c r="I113" s="113">
        <v>0</v>
      </c>
      <c r="J113" s="114">
        <f t="shared" si="9"/>
        <v>0</v>
      </c>
      <c r="K113" s="113">
        <f t="shared" si="10"/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</row>
    <row r="114" spans="2:16" ht="13.9" customHeight="1" outlineLevel="1" x14ac:dyDescent="0.25">
      <c r="B114" s="149"/>
      <c r="C114" s="150" t="s">
        <v>39</v>
      </c>
      <c r="D114" s="85">
        <v>0</v>
      </c>
      <c r="E114" s="86">
        <v>0</v>
      </c>
      <c r="F114" s="113">
        <f t="shared" si="8"/>
        <v>0</v>
      </c>
      <c r="G114" s="113">
        <v>0</v>
      </c>
      <c r="H114" s="86">
        <v>0</v>
      </c>
      <c r="I114" s="113">
        <v>0</v>
      </c>
      <c r="J114" s="114">
        <f t="shared" si="9"/>
        <v>0</v>
      </c>
      <c r="K114" s="113">
        <f t="shared" si="10"/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</row>
    <row r="115" spans="2:16" ht="13.9" customHeight="1" outlineLevel="1" x14ac:dyDescent="0.25">
      <c r="B115" s="149"/>
      <c r="C115" s="150" t="s">
        <v>40</v>
      </c>
      <c r="D115" s="85">
        <v>0</v>
      </c>
      <c r="E115" s="86">
        <v>0</v>
      </c>
      <c r="F115" s="113">
        <f t="shared" si="8"/>
        <v>0</v>
      </c>
      <c r="G115" s="113">
        <v>0</v>
      </c>
      <c r="H115" s="86">
        <v>0</v>
      </c>
      <c r="I115" s="113">
        <v>0</v>
      </c>
      <c r="J115" s="114">
        <f t="shared" si="9"/>
        <v>0</v>
      </c>
      <c r="K115" s="113">
        <f t="shared" si="10"/>
        <v>0</v>
      </c>
      <c r="L115" s="113">
        <v>0</v>
      </c>
      <c r="M115" s="113">
        <v>0</v>
      </c>
      <c r="N115" s="113">
        <v>0</v>
      </c>
      <c r="O115" s="113">
        <v>0</v>
      </c>
      <c r="P115" s="113">
        <v>0</v>
      </c>
    </row>
    <row r="116" spans="2:16" ht="13.9" customHeight="1" outlineLevel="1" x14ac:dyDescent="0.25">
      <c r="B116" s="149"/>
      <c r="C116" s="150" t="s">
        <v>41</v>
      </c>
      <c r="D116" s="85">
        <v>0</v>
      </c>
      <c r="E116" s="86">
        <v>0</v>
      </c>
      <c r="F116" s="113">
        <f t="shared" si="8"/>
        <v>0</v>
      </c>
      <c r="G116" s="113">
        <v>0</v>
      </c>
      <c r="H116" s="86">
        <v>0</v>
      </c>
      <c r="I116" s="113">
        <v>0</v>
      </c>
      <c r="J116" s="114">
        <f t="shared" si="9"/>
        <v>0</v>
      </c>
      <c r="K116" s="113">
        <f t="shared" si="10"/>
        <v>0</v>
      </c>
      <c r="L116" s="113">
        <v>0</v>
      </c>
      <c r="M116" s="113">
        <v>0</v>
      </c>
      <c r="N116" s="113">
        <v>0</v>
      </c>
      <c r="O116" s="113">
        <v>0</v>
      </c>
      <c r="P116" s="113">
        <v>0</v>
      </c>
    </row>
    <row r="117" spans="2:16" ht="13.9" customHeight="1" outlineLevel="1" x14ac:dyDescent="0.25">
      <c r="B117" s="149"/>
      <c r="C117" s="150" t="s">
        <v>42</v>
      </c>
      <c r="D117" s="85">
        <v>0</v>
      </c>
      <c r="E117" s="86">
        <v>0</v>
      </c>
      <c r="F117" s="113">
        <f t="shared" si="8"/>
        <v>0</v>
      </c>
      <c r="G117" s="113">
        <v>0</v>
      </c>
      <c r="H117" s="86">
        <v>0</v>
      </c>
      <c r="I117" s="113">
        <v>0</v>
      </c>
      <c r="J117" s="114">
        <f t="shared" si="9"/>
        <v>0</v>
      </c>
      <c r="K117" s="113">
        <f t="shared" si="10"/>
        <v>0</v>
      </c>
      <c r="L117" s="113">
        <v>0</v>
      </c>
      <c r="M117" s="113">
        <v>0</v>
      </c>
      <c r="N117" s="113">
        <v>0</v>
      </c>
      <c r="O117" s="113">
        <v>0</v>
      </c>
      <c r="P117" s="113">
        <v>0</v>
      </c>
    </row>
    <row r="118" spans="2:16" ht="13.9" customHeight="1" outlineLevel="1" x14ac:dyDescent="0.25">
      <c r="B118" s="149"/>
      <c r="C118" s="150" t="s">
        <v>43</v>
      </c>
      <c r="D118" s="85">
        <v>0</v>
      </c>
      <c r="E118" s="86">
        <v>0</v>
      </c>
      <c r="F118" s="113">
        <f t="shared" si="8"/>
        <v>0</v>
      </c>
      <c r="G118" s="113">
        <v>0</v>
      </c>
      <c r="H118" s="86">
        <v>0</v>
      </c>
      <c r="I118" s="113">
        <v>0</v>
      </c>
      <c r="J118" s="114">
        <f t="shared" si="9"/>
        <v>0</v>
      </c>
      <c r="K118" s="113">
        <f t="shared" si="10"/>
        <v>0</v>
      </c>
      <c r="L118" s="113">
        <v>0</v>
      </c>
      <c r="M118" s="113">
        <v>0</v>
      </c>
      <c r="N118" s="113">
        <v>0</v>
      </c>
      <c r="O118" s="113">
        <v>0</v>
      </c>
      <c r="P118" s="113">
        <v>0</v>
      </c>
    </row>
    <row r="119" spans="2:16" ht="13.9" customHeight="1" outlineLevel="1" x14ac:dyDescent="0.25">
      <c r="B119" s="149"/>
      <c r="C119" s="150" t="s">
        <v>44</v>
      </c>
      <c r="D119" s="85">
        <v>0</v>
      </c>
      <c r="E119" s="86">
        <v>0</v>
      </c>
      <c r="F119" s="113">
        <f t="shared" si="8"/>
        <v>0</v>
      </c>
      <c r="G119" s="113">
        <v>0</v>
      </c>
      <c r="H119" s="86">
        <v>0</v>
      </c>
      <c r="I119" s="113">
        <v>0</v>
      </c>
      <c r="J119" s="114">
        <f t="shared" si="9"/>
        <v>0</v>
      </c>
      <c r="K119" s="113">
        <f t="shared" si="10"/>
        <v>0</v>
      </c>
      <c r="L119" s="113">
        <v>0</v>
      </c>
      <c r="M119" s="113">
        <v>0</v>
      </c>
      <c r="N119" s="113">
        <v>0</v>
      </c>
      <c r="O119" s="113">
        <v>0</v>
      </c>
      <c r="P119" s="113">
        <v>0</v>
      </c>
    </row>
    <row r="120" spans="2:16" ht="13.9" customHeight="1" outlineLevel="1" x14ac:dyDescent="0.25">
      <c r="B120" s="149"/>
      <c r="C120" s="150" t="s">
        <v>45</v>
      </c>
      <c r="D120" s="85">
        <v>0</v>
      </c>
      <c r="E120" s="86">
        <v>0</v>
      </c>
      <c r="F120" s="113">
        <f t="shared" si="8"/>
        <v>0</v>
      </c>
      <c r="G120" s="113">
        <v>0</v>
      </c>
      <c r="H120" s="86">
        <v>0</v>
      </c>
      <c r="I120" s="113">
        <v>0</v>
      </c>
      <c r="J120" s="114">
        <f t="shared" si="9"/>
        <v>0</v>
      </c>
      <c r="K120" s="113">
        <f t="shared" si="10"/>
        <v>0</v>
      </c>
      <c r="L120" s="113">
        <v>0</v>
      </c>
      <c r="M120" s="113">
        <v>0</v>
      </c>
      <c r="N120" s="113">
        <v>0</v>
      </c>
      <c r="O120" s="113">
        <v>0</v>
      </c>
      <c r="P120" s="113">
        <v>0</v>
      </c>
    </row>
    <row r="121" spans="2:16" ht="13.9" customHeight="1" outlineLevel="1" x14ac:dyDescent="0.25">
      <c r="B121" s="149"/>
      <c r="C121" s="150" t="s">
        <v>46</v>
      </c>
      <c r="D121" s="85">
        <v>0</v>
      </c>
      <c r="E121" s="86">
        <v>0</v>
      </c>
      <c r="F121" s="113">
        <f t="shared" si="8"/>
        <v>0</v>
      </c>
      <c r="G121" s="113">
        <v>0</v>
      </c>
      <c r="H121" s="86">
        <v>0</v>
      </c>
      <c r="I121" s="113">
        <v>0</v>
      </c>
      <c r="J121" s="114">
        <f t="shared" si="9"/>
        <v>0</v>
      </c>
      <c r="K121" s="113">
        <f t="shared" si="10"/>
        <v>0</v>
      </c>
      <c r="L121" s="113">
        <v>0</v>
      </c>
      <c r="M121" s="113">
        <v>0</v>
      </c>
      <c r="N121" s="113">
        <v>0</v>
      </c>
      <c r="O121" s="113">
        <v>0</v>
      </c>
      <c r="P121" s="113">
        <v>0</v>
      </c>
    </row>
    <row r="122" spans="2:16" ht="13.9" customHeight="1" outlineLevel="1" x14ac:dyDescent="0.25">
      <c r="B122" s="149"/>
      <c r="C122" s="150" t="s">
        <v>47</v>
      </c>
      <c r="D122" s="85">
        <v>0</v>
      </c>
      <c r="E122" s="86">
        <v>0</v>
      </c>
      <c r="F122" s="113">
        <f t="shared" si="8"/>
        <v>0</v>
      </c>
      <c r="G122" s="113">
        <v>0</v>
      </c>
      <c r="H122" s="86">
        <v>0</v>
      </c>
      <c r="I122" s="113">
        <v>0</v>
      </c>
      <c r="J122" s="114">
        <f t="shared" si="9"/>
        <v>0</v>
      </c>
      <c r="K122" s="113">
        <f t="shared" si="10"/>
        <v>0</v>
      </c>
      <c r="L122" s="113">
        <v>0</v>
      </c>
      <c r="M122" s="113">
        <v>0</v>
      </c>
      <c r="N122" s="113">
        <v>0</v>
      </c>
      <c r="O122" s="113">
        <v>0</v>
      </c>
      <c r="P122" s="113">
        <v>0</v>
      </c>
    </row>
    <row r="123" spans="2:16" ht="13.9" customHeight="1" outlineLevel="1" x14ac:dyDescent="0.25">
      <c r="B123" s="149"/>
      <c r="C123" s="150" t="s">
        <v>48</v>
      </c>
      <c r="D123" s="85">
        <v>0</v>
      </c>
      <c r="E123" s="86">
        <v>0</v>
      </c>
      <c r="F123" s="113">
        <f t="shared" si="8"/>
        <v>0</v>
      </c>
      <c r="G123" s="113">
        <v>0</v>
      </c>
      <c r="H123" s="86">
        <v>0</v>
      </c>
      <c r="I123" s="113">
        <v>0</v>
      </c>
      <c r="J123" s="114">
        <f t="shared" si="9"/>
        <v>0</v>
      </c>
      <c r="K123" s="113">
        <f t="shared" si="10"/>
        <v>0</v>
      </c>
      <c r="L123" s="113">
        <v>0</v>
      </c>
      <c r="M123" s="113">
        <v>0</v>
      </c>
      <c r="N123" s="113">
        <v>0</v>
      </c>
      <c r="O123" s="113">
        <v>0</v>
      </c>
      <c r="P123" s="113">
        <v>0</v>
      </c>
    </row>
    <row r="124" spans="2:16" ht="13.9" customHeight="1" outlineLevel="1" x14ac:dyDescent="0.25">
      <c r="B124" s="149"/>
      <c r="C124" s="150" t="s">
        <v>49</v>
      </c>
      <c r="D124" s="85">
        <v>0</v>
      </c>
      <c r="E124" s="86">
        <v>0</v>
      </c>
      <c r="F124" s="113">
        <f t="shared" si="8"/>
        <v>0</v>
      </c>
      <c r="G124" s="113">
        <v>0</v>
      </c>
      <c r="H124" s="86">
        <v>0</v>
      </c>
      <c r="I124" s="113">
        <v>0</v>
      </c>
      <c r="J124" s="114">
        <f t="shared" si="9"/>
        <v>0</v>
      </c>
      <c r="K124" s="113">
        <f t="shared" si="10"/>
        <v>0</v>
      </c>
      <c r="L124" s="113">
        <v>0</v>
      </c>
      <c r="M124" s="113">
        <v>0</v>
      </c>
      <c r="N124" s="113">
        <v>0</v>
      </c>
      <c r="O124" s="113">
        <v>0</v>
      </c>
      <c r="P124" s="113">
        <v>0</v>
      </c>
    </row>
    <row r="125" spans="2:16" ht="13.9" customHeight="1" outlineLevel="1" x14ac:dyDescent="0.25">
      <c r="B125" s="149"/>
      <c r="C125" s="150" t="s">
        <v>50</v>
      </c>
      <c r="D125" s="85">
        <v>0</v>
      </c>
      <c r="E125" s="86">
        <v>0</v>
      </c>
      <c r="F125" s="113">
        <f t="shared" si="8"/>
        <v>0</v>
      </c>
      <c r="G125" s="113">
        <v>0</v>
      </c>
      <c r="H125" s="86">
        <v>0</v>
      </c>
      <c r="I125" s="113">
        <v>0</v>
      </c>
      <c r="J125" s="114">
        <f t="shared" si="9"/>
        <v>0</v>
      </c>
      <c r="K125" s="113">
        <f t="shared" si="10"/>
        <v>0</v>
      </c>
      <c r="L125" s="113">
        <v>0</v>
      </c>
      <c r="M125" s="113">
        <v>0</v>
      </c>
      <c r="N125" s="113">
        <v>0</v>
      </c>
      <c r="O125" s="113">
        <v>0</v>
      </c>
      <c r="P125" s="113">
        <v>0</v>
      </c>
    </row>
    <row r="126" spans="2:16" ht="13.9" customHeight="1" outlineLevel="1" x14ac:dyDescent="0.25">
      <c r="B126" s="149"/>
      <c r="C126" s="150" t="s">
        <v>51</v>
      </c>
      <c r="D126" s="85">
        <v>0</v>
      </c>
      <c r="E126" s="86">
        <v>0</v>
      </c>
      <c r="F126" s="113">
        <f t="shared" si="8"/>
        <v>0</v>
      </c>
      <c r="G126" s="113">
        <v>0</v>
      </c>
      <c r="H126" s="86">
        <v>0</v>
      </c>
      <c r="I126" s="113">
        <v>0</v>
      </c>
      <c r="J126" s="114">
        <f t="shared" si="9"/>
        <v>0</v>
      </c>
      <c r="K126" s="113">
        <f t="shared" si="10"/>
        <v>0</v>
      </c>
      <c r="L126" s="113">
        <v>0</v>
      </c>
      <c r="M126" s="113">
        <v>0</v>
      </c>
      <c r="N126" s="113">
        <v>0</v>
      </c>
      <c r="O126" s="113">
        <v>0</v>
      </c>
      <c r="P126" s="113">
        <v>0</v>
      </c>
    </row>
    <row r="127" spans="2:16" ht="13.9" customHeight="1" outlineLevel="1" x14ac:dyDescent="0.25">
      <c r="B127" s="149"/>
      <c r="C127" s="150" t="s">
        <v>52</v>
      </c>
      <c r="D127" s="85">
        <v>0</v>
      </c>
      <c r="E127" s="86">
        <v>0</v>
      </c>
      <c r="F127" s="113">
        <f t="shared" si="8"/>
        <v>0</v>
      </c>
      <c r="G127" s="113">
        <v>0</v>
      </c>
      <c r="H127" s="86">
        <v>0</v>
      </c>
      <c r="I127" s="113">
        <v>0</v>
      </c>
      <c r="J127" s="114">
        <f t="shared" si="9"/>
        <v>0</v>
      </c>
      <c r="K127" s="113">
        <f t="shared" si="10"/>
        <v>0</v>
      </c>
      <c r="L127" s="113">
        <v>0</v>
      </c>
      <c r="M127" s="113">
        <v>0</v>
      </c>
      <c r="N127" s="113">
        <v>0</v>
      </c>
      <c r="O127" s="113">
        <v>0</v>
      </c>
      <c r="P127" s="113">
        <v>0</v>
      </c>
    </row>
    <row r="128" spans="2:16" ht="13.9" customHeight="1" outlineLevel="1" x14ac:dyDescent="0.25">
      <c r="B128" s="149"/>
      <c r="C128" s="150" t="s">
        <v>53</v>
      </c>
      <c r="D128" s="85">
        <v>0</v>
      </c>
      <c r="E128" s="86">
        <v>0</v>
      </c>
      <c r="F128" s="113">
        <f t="shared" si="8"/>
        <v>0</v>
      </c>
      <c r="G128" s="113">
        <v>0</v>
      </c>
      <c r="H128" s="86">
        <v>0</v>
      </c>
      <c r="I128" s="113">
        <v>0</v>
      </c>
      <c r="J128" s="114">
        <f t="shared" si="9"/>
        <v>0</v>
      </c>
      <c r="K128" s="113">
        <f t="shared" si="10"/>
        <v>0</v>
      </c>
      <c r="L128" s="113">
        <v>0</v>
      </c>
      <c r="M128" s="113">
        <v>0</v>
      </c>
      <c r="N128" s="113">
        <v>0</v>
      </c>
      <c r="O128" s="113">
        <v>0</v>
      </c>
      <c r="P128" s="113">
        <v>0</v>
      </c>
    </row>
    <row r="129" spans="2:16" ht="13.9" customHeight="1" outlineLevel="1" x14ac:dyDescent="0.25">
      <c r="B129" s="149"/>
      <c r="C129" s="150" t="s">
        <v>54</v>
      </c>
      <c r="D129" s="85">
        <v>0</v>
      </c>
      <c r="E129" s="86">
        <v>0</v>
      </c>
      <c r="F129" s="113">
        <f t="shared" si="8"/>
        <v>0</v>
      </c>
      <c r="G129" s="113">
        <v>0</v>
      </c>
      <c r="H129" s="86">
        <v>0</v>
      </c>
      <c r="I129" s="113">
        <v>0</v>
      </c>
      <c r="J129" s="114">
        <f t="shared" si="9"/>
        <v>0</v>
      </c>
      <c r="K129" s="113">
        <f t="shared" si="10"/>
        <v>0</v>
      </c>
      <c r="L129" s="113">
        <v>0</v>
      </c>
      <c r="M129" s="113">
        <v>0</v>
      </c>
      <c r="N129" s="113">
        <v>0</v>
      </c>
      <c r="O129" s="113">
        <v>0</v>
      </c>
      <c r="P129" s="113">
        <v>0</v>
      </c>
    </row>
    <row r="130" spans="2:16" ht="13.9" customHeight="1" outlineLevel="1" x14ac:dyDescent="0.25">
      <c r="B130" s="149"/>
      <c r="C130" s="150" t="s">
        <v>55</v>
      </c>
      <c r="D130" s="85">
        <v>0</v>
      </c>
      <c r="E130" s="86">
        <v>0</v>
      </c>
      <c r="F130" s="113">
        <f t="shared" si="8"/>
        <v>0</v>
      </c>
      <c r="G130" s="113">
        <v>0</v>
      </c>
      <c r="H130" s="86">
        <v>0</v>
      </c>
      <c r="I130" s="113">
        <v>0</v>
      </c>
      <c r="J130" s="114">
        <f t="shared" si="9"/>
        <v>0</v>
      </c>
      <c r="K130" s="113">
        <f t="shared" si="10"/>
        <v>0</v>
      </c>
      <c r="L130" s="113">
        <v>0</v>
      </c>
      <c r="M130" s="113">
        <v>0</v>
      </c>
      <c r="N130" s="113">
        <v>0</v>
      </c>
      <c r="O130" s="113">
        <v>0</v>
      </c>
      <c r="P130" s="113">
        <v>0</v>
      </c>
    </row>
    <row r="131" spans="2:16" ht="13.9" customHeight="1" outlineLevel="1" x14ac:dyDescent="0.25">
      <c r="B131" s="149"/>
      <c r="C131" s="150" t="s">
        <v>56</v>
      </c>
      <c r="D131" s="85">
        <v>0</v>
      </c>
      <c r="E131" s="86">
        <v>0</v>
      </c>
      <c r="F131" s="113">
        <f t="shared" si="8"/>
        <v>0</v>
      </c>
      <c r="G131" s="113">
        <v>0</v>
      </c>
      <c r="H131" s="86">
        <v>0</v>
      </c>
      <c r="I131" s="113">
        <v>0</v>
      </c>
      <c r="J131" s="114">
        <f t="shared" si="9"/>
        <v>0</v>
      </c>
      <c r="K131" s="113">
        <f t="shared" si="10"/>
        <v>0</v>
      </c>
      <c r="L131" s="113">
        <v>0</v>
      </c>
      <c r="M131" s="113">
        <v>0</v>
      </c>
      <c r="N131" s="113">
        <v>0</v>
      </c>
      <c r="O131" s="113">
        <v>0</v>
      </c>
      <c r="P131" s="113">
        <v>0</v>
      </c>
    </row>
    <row r="132" spans="2:16" ht="13.9" customHeight="1" outlineLevel="1" x14ac:dyDescent="0.25">
      <c r="B132" s="149"/>
      <c r="C132" s="150" t="s">
        <v>57</v>
      </c>
      <c r="D132" s="85">
        <v>0</v>
      </c>
      <c r="E132" s="86">
        <v>0</v>
      </c>
      <c r="F132" s="113">
        <f t="shared" si="8"/>
        <v>0</v>
      </c>
      <c r="G132" s="113">
        <v>0</v>
      </c>
      <c r="H132" s="86">
        <v>0</v>
      </c>
      <c r="I132" s="113">
        <v>0</v>
      </c>
      <c r="J132" s="114">
        <f t="shared" si="9"/>
        <v>0</v>
      </c>
      <c r="K132" s="113">
        <f t="shared" si="10"/>
        <v>0</v>
      </c>
      <c r="L132" s="113">
        <v>0</v>
      </c>
      <c r="M132" s="113">
        <v>0</v>
      </c>
      <c r="N132" s="113">
        <v>0</v>
      </c>
      <c r="O132" s="113">
        <v>0</v>
      </c>
      <c r="P132" s="113">
        <v>0</v>
      </c>
    </row>
    <row r="133" spans="2:16" ht="13.9" customHeight="1" outlineLevel="1" x14ac:dyDescent="0.25">
      <c r="B133" s="149"/>
      <c r="C133" s="150" t="s">
        <v>58</v>
      </c>
      <c r="D133" s="85">
        <v>0</v>
      </c>
      <c r="E133" s="86">
        <v>0</v>
      </c>
      <c r="F133" s="113">
        <f t="shared" si="8"/>
        <v>0</v>
      </c>
      <c r="G133" s="113">
        <v>0</v>
      </c>
      <c r="H133" s="86">
        <v>0</v>
      </c>
      <c r="I133" s="113">
        <v>0</v>
      </c>
      <c r="J133" s="114">
        <f t="shared" si="9"/>
        <v>0</v>
      </c>
      <c r="K133" s="113">
        <f t="shared" si="10"/>
        <v>0</v>
      </c>
      <c r="L133" s="113">
        <v>0</v>
      </c>
      <c r="M133" s="113">
        <v>0</v>
      </c>
      <c r="N133" s="113">
        <v>0</v>
      </c>
      <c r="O133" s="113">
        <v>0</v>
      </c>
      <c r="P133" s="113">
        <v>0</v>
      </c>
    </row>
    <row r="134" spans="2:16" ht="13.9" customHeight="1" outlineLevel="1" x14ac:dyDescent="0.25">
      <c r="B134" s="149"/>
      <c r="C134" s="150" t="s">
        <v>59</v>
      </c>
      <c r="D134" s="85">
        <v>0</v>
      </c>
      <c r="E134" s="86">
        <v>0</v>
      </c>
      <c r="F134" s="113">
        <f t="shared" si="8"/>
        <v>0</v>
      </c>
      <c r="G134" s="113">
        <v>0</v>
      </c>
      <c r="H134" s="86">
        <v>0</v>
      </c>
      <c r="I134" s="113">
        <v>0</v>
      </c>
      <c r="J134" s="114">
        <f t="shared" si="9"/>
        <v>0</v>
      </c>
      <c r="K134" s="113">
        <f t="shared" si="10"/>
        <v>0</v>
      </c>
      <c r="L134" s="113">
        <v>0</v>
      </c>
      <c r="M134" s="113">
        <v>0</v>
      </c>
      <c r="N134" s="113">
        <v>0</v>
      </c>
      <c r="O134" s="113">
        <v>0</v>
      </c>
      <c r="P134" s="113">
        <v>0</v>
      </c>
    </row>
    <row r="135" spans="2:16" ht="13.9" customHeight="1" outlineLevel="1" x14ac:dyDescent="0.25">
      <c r="B135" s="149"/>
      <c r="C135" s="150" t="s">
        <v>60</v>
      </c>
      <c r="D135" s="85">
        <v>0</v>
      </c>
      <c r="E135" s="86">
        <v>0</v>
      </c>
      <c r="F135" s="113">
        <f t="shared" si="8"/>
        <v>0</v>
      </c>
      <c r="G135" s="113">
        <v>0</v>
      </c>
      <c r="H135" s="86">
        <v>0</v>
      </c>
      <c r="I135" s="113">
        <v>0</v>
      </c>
      <c r="J135" s="114">
        <f t="shared" si="9"/>
        <v>0</v>
      </c>
      <c r="K135" s="113">
        <f t="shared" si="10"/>
        <v>0</v>
      </c>
      <c r="L135" s="113">
        <v>0</v>
      </c>
      <c r="M135" s="113">
        <v>0</v>
      </c>
      <c r="N135" s="113">
        <v>0</v>
      </c>
      <c r="O135" s="113">
        <v>0</v>
      </c>
      <c r="P135" s="113">
        <v>0</v>
      </c>
    </row>
    <row r="136" spans="2:16" ht="13.9" customHeight="1" outlineLevel="1" x14ac:dyDescent="0.25">
      <c r="B136" s="149"/>
      <c r="C136" s="150" t="s">
        <v>61</v>
      </c>
      <c r="D136" s="85">
        <v>0</v>
      </c>
      <c r="E136" s="86">
        <v>0</v>
      </c>
      <c r="F136" s="113">
        <f t="shared" si="8"/>
        <v>0</v>
      </c>
      <c r="G136" s="113">
        <v>0</v>
      </c>
      <c r="H136" s="86">
        <v>0</v>
      </c>
      <c r="I136" s="113">
        <v>0</v>
      </c>
      <c r="J136" s="114">
        <f t="shared" si="9"/>
        <v>0</v>
      </c>
      <c r="K136" s="113">
        <f t="shared" si="10"/>
        <v>0</v>
      </c>
      <c r="L136" s="113">
        <v>0</v>
      </c>
      <c r="M136" s="113">
        <v>0</v>
      </c>
      <c r="N136" s="113">
        <v>0</v>
      </c>
      <c r="O136" s="113">
        <v>0</v>
      </c>
      <c r="P136" s="113">
        <v>0</v>
      </c>
    </row>
    <row r="137" spans="2:16" ht="13.9" customHeight="1" outlineLevel="1" x14ac:dyDescent="0.25">
      <c r="B137" s="149"/>
      <c r="C137" s="150" t="s">
        <v>62</v>
      </c>
      <c r="D137" s="85">
        <v>0</v>
      </c>
      <c r="E137" s="86">
        <v>0</v>
      </c>
      <c r="F137" s="113">
        <f t="shared" si="8"/>
        <v>0</v>
      </c>
      <c r="G137" s="113">
        <v>0</v>
      </c>
      <c r="H137" s="86">
        <v>0</v>
      </c>
      <c r="I137" s="113">
        <v>0</v>
      </c>
      <c r="J137" s="114">
        <f t="shared" si="9"/>
        <v>0</v>
      </c>
      <c r="K137" s="113">
        <f t="shared" si="10"/>
        <v>0</v>
      </c>
      <c r="L137" s="113">
        <v>0</v>
      </c>
      <c r="M137" s="113">
        <v>0</v>
      </c>
      <c r="N137" s="113">
        <v>0</v>
      </c>
      <c r="O137" s="113">
        <v>0</v>
      </c>
      <c r="P137" s="113">
        <v>0</v>
      </c>
    </row>
    <row r="138" spans="2:16" ht="13.9" customHeight="1" outlineLevel="1" x14ac:dyDescent="0.25">
      <c r="B138" s="149"/>
      <c r="C138" s="150" t="s">
        <v>63</v>
      </c>
      <c r="D138" s="85">
        <v>0</v>
      </c>
      <c r="E138" s="86">
        <v>0</v>
      </c>
      <c r="F138" s="113">
        <f t="shared" si="8"/>
        <v>0</v>
      </c>
      <c r="G138" s="113">
        <v>0</v>
      </c>
      <c r="H138" s="86">
        <v>0</v>
      </c>
      <c r="I138" s="113">
        <v>0</v>
      </c>
      <c r="J138" s="114">
        <f t="shared" si="9"/>
        <v>0</v>
      </c>
      <c r="K138" s="113">
        <f t="shared" si="10"/>
        <v>0</v>
      </c>
      <c r="L138" s="113">
        <v>0</v>
      </c>
      <c r="M138" s="113">
        <v>0</v>
      </c>
      <c r="N138" s="113">
        <v>0</v>
      </c>
      <c r="O138" s="113">
        <v>0</v>
      </c>
      <c r="P138" s="113">
        <v>0</v>
      </c>
    </row>
    <row r="139" spans="2:16" ht="13.9" customHeight="1" outlineLevel="1" x14ac:dyDescent="0.25">
      <c r="B139" s="149"/>
      <c r="C139" s="150" t="s">
        <v>64</v>
      </c>
      <c r="D139" s="85">
        <v>0</v>
      </c>
      <c r="E139" s="86">
        <v>0</v>
      </c>
      <c r="F139" s="113">
        <f t="shared" si="8"/>
        <v>0</v>
      </c>
      <c r="G139" s="113">
        <v>0</v>
      </c>
      <c r="H139" s="86">
        <v>0</v>
      </c>
      <c r="I139" s="113">
        <v>0</v>
      </c>
      <c r="J139" s="114">
        <f t="shared" si="9"/>
        <v>0</v>
      </c>
      <c r="K139" s="113">
        <f t="shared" si="10"/>
        <v>0</v>
      </c>
      <c r="L139" s="113">
        <v>0</v>
      </c>
      <c r="M139" s="113">
        <v>0</v>
      </c>
      <c r="N139" s="113">
        <v>0</v>
      </c>
      <c r="O139" s="113">
        <v>0</v>
      </c>
      <c r="P139" s="113">
        <v>0</v>
      </c>
    </row>
    <row r="140" spans="2:16" ht="13.9" customHeight="1" outlineLevel="1" x14ac:dyDescent="0.25">
      <c r="B140" s="149"/>
      <c r="C140" s="150" t="s">
        <v>65</v>
      </c>
      <c r="D140" s="85">
        <v>0</v>
      </c>
      <c r="E140" s="86">
        <v>0</v>
      </c>
      <c r="F140" s="113">
        <f t="shared" si="8"/>
        <v>0</v>
      </c>
      <c r="G140" s="113">
        <v>0</v>
      </c>
      <c r="H140" s="86">
        <v>0</v>
      </c>
      <c r="I140" s="113">
        <v>0</v>
      </c>
      <c r="J140" s="114">
        <f t="shared" si="9"/>
        <v>0</v>
      </c>
      <c r="K140" s="113">
        <f t="shared" si="10"/>
        <v>0</v>
      </c>
      <c r="L140" s="113">
        <v>0</v>
      </c>
      <c r="M140" s="113">
        <v>0</v>
      </c>
      <c r="N140" s="113">
        <v>0</v>
      </c>
      <c r="O140" s="113">
        <v>0</v>
      </c>
      <c r="P140" s="113">
        <v>0</v>
      </c>
    </row>
    <row r="141" spans="2:16" ht="13.9" customHeight="1" outlineLevel="1" x14ac:dyDescent="0.25">
      <c r="B141" s="149"/>
      <c r="C141" s="150" t="s">
        <v>66</v>
      </c>
      <c r="D141" s="85">
        <v>0</v>
      </c>
      <c r="E141" s="86">
        <v>0</v>
      </c>
      <c r="F141" s="113">
        <f t="shared" si="8"/>
        <v>0</v>
      </c>
      <c r="G141" s="113">
        <v>0</v>
      </c>
      <c r="H141" s="86">
        <v>0</v>
      </c>
      <c r="I141" s="113">
        <v>0</v>
      </c>
      <c r="J141" s="114">
        <f t="shared" si="9"/>
        <v>0</v>
      </c>
      <c r="K141" s="113">
        <f t="shared" si="10"/>
        <v>0</v>
      </c>
      <c r="L141" s="113">
        <v>0</v>
      </c>
      <c r="M141" s="113">
        <v>0</v>
      </c>
      <c r="N141" s="113">
        <v>0</v>
      </c>
      <c r="O141" s="113">
        <v>0</v>
      </c>
      <c r="P141" s="113">
        <v>0</v>
      </c>
    </row>
    <row r="142" spans="2:16" ht="13.9" customHeight="1" outlineLevel="1" x14ac:dyDescent="0.25">
      <c r="B142" s="149"/>
      <c r="C142" s="150" t="s">
        <v>67</v>
      </c>
      <c r="D142" s="85">
        <v>0</v>
      </c>
      <c r="E142" s="86">
        <v>0</v>
      </c>
      <c r="F142" s="113">
        <f t="shared" si="8"/>
        <v>0</v>
      </c>
      <c r="G142" s="113">
        <v>0</v>
      </c>
      <c r="H142" s="86">
        <v>0</v>
      </c>
      <c r="I142" s="113">
        <v>0</v>
      </c>
      <c r="J142" s="114">
        <f t="shared" si="9"/>
        <v>0</v>
      </c>
      <c r="K142" s="113">
        <f t="shared" si="10"/>
        <v>0</v>
      </c>
      <c r="L142" s="113">
        <v>0</v>
      </c>
      <c r="M142" s="113">
        <v>0</v>
      </c>
      <c r="N142" s="113">
        <v>0</v>
      </c>
      <c r="O142" s="113">
        <v>0</v>
      </c>
      <c r="P142" s="113">
        <v>0</v>
      </c>
    </row>
    <row r="143" spans="2:16" ht="13.9" customHeight="1" x14ac:dyDescent="0.25">
      <c r="B143" s="149"/>
      <c r="C143" s="148" t="s">
        <v>103</v>
      </c>
      <c r="D143" s="90">
        <f>SUM(D106:D142)</f>
        <v>0</v>
      </c>
      <c r="E143" s="91">
        <f t="shared" ref="E143:P143" si="11">SUM(E106:E142)</f>
        <v>0</v>
      </c>
      <c r="F143" s="92">
        <f t="shared" si="11"/>
        <v>0</v>
      </c>
      <c r="G143" s="93">
        <f t="shared" si="11"/>
        <v>0</v>
      </c>
      <c r="H143" s="90">
        <f t="shared" si="11"/>
        <v>0</v>
      </c>
      <c r="I143" s="91">
        <f t="shared" si="11"/>
        <v>0</v>
      </c>
      <c r="J143" s="92">
        <f t="shared" si="11"/>
        <v>0</v>
      </c>
      <c r="K143" s="93">
        <f t="shared" si="11"/>
        <v>0</v>
      </c>
      <c r="L143" s="90">
        <f t="shared" si="11"/>
        <v>0</v>
      </c>
      <c r="M143" s="91">
        <f t="shared" si="11"/>
        <v>0</v>
      </c>
      <c r="N143" s="90">
        <f t="shared" si="11"/>
        <v>0</v>
      </c>
      <c r="O143" s="91">
        <f t="shared" si="11"/>
        <v>0</v>
      </c>
      <c r="P143" s="91">
        <f t="shared" si="11"/>
        <v>0</v>
      </c>
    </row>
    <row r="144" spans="2:16" ht="13.9" customHeight="1" outlineLevel="1" x14ac:dyDescent="0.25">
      <c r="B144" s="149" t="s">
        <v>83</v>
      </c>
      <c r="C144" s="150" t="s">
        <v>70</v>
      </c>
      <c r="D144" s="85">
        <v>0</v>
      </c>
      <c r="E144" s="86">
        <v>0</v>
      </c>
      <c r="F144" s="113">
        <f t="shared" si="8"/>
        <v>0</v>
      </c>
      <c r="G144" s="113">
        <v>0</v>
      </c>
      <c r="H144" s="86">
        <v>0</v>
      </c>
      <c r="I144" s="113">
        <v>0</v>
      </c>
      <c r="J144" s="114">
        <f t="shared" si="9"/>
        <v>0</v>
      </c>
      <c r="K144" s="113">
        <f t="shared" si="10"/>
        <v>0</v>
      </c>
      <c r="L144" s="113">
        <v>0</v>
      </c>
      <c r="M144" s="113">
        <v>0</v>
      </c>
      <c r="N144" s="113">
        <v>0</v>
      </c>
      <c r="O144" s="113">
        <v>0</v>
      </c>
      <c r="P144" s="113">
        <v>0</v>
      </c>
    </row>
    <row r="145" spans="2:16" ht="13.9" customHeight="1" outlineLevel="1" x14ac:dyDescent="0.25">
      <c r="B145" s="149"/>
      <c r="C145" s="150" t="s">
        <v>71</v>
      </c>
      <c r="D145" s="85">
        <v>0</v>
      </c>
      <c r="E145" s="86">
        <v>0</v>
      </c>
      <c r="F145" s="113">
        <f t="shared" si="8"/>
        <v>0</v>
      </c>
      <c r="G145" s="113">
        <v>0</v>
      </c>
      <c r="H145" s="86">
        <v>0</v>
      </c>
      <c r="I145" s="113">
        <v>0</v>
      </c>
      <c r="J145" s="114">
        <f t="shared" si="9"/>
        <v>0</v>
      </c>
      <c r="K145" s="113">
        <f t="shared" si="10"/>
        <v>0</v>
      </c>
      <c r="L145" s="113">
        <v>0</v>
      </c>
      <c r="M145" s="113">
        <v>0</v>
      </c>
      <c r="N145" s="113">
        <v>0</v>
      </c>
      <c r="O145" s="113">
        <v>0</v>
      </c>
      <c r="P145" s="113">
        <v>0</v>
      </c>
    </row>
    <row r="146" spans="2:16" ht="13.9" customHeight="1" outlineLevel="1" x14ac:dyDescent="0.25">
      <c r="B146" s="149"/>
      <c r="C146" s="150" t="s">
        <v>72</v>
      </c>
      <c r="D146" s="85">
        <v>0</v>
      </c>
      <c r="E146" s="86">
        <v>0</v>
      </c>
      <c r="F146" s="113">
        <f t="shared" si="8"/>
        <v>0</v>
      </c>
      <c r="G146" s="113">
        <v>0</v>
      </c>
      <c r="H146" s="86">
        <v>0</v>
      </c>
      <c r="I146" s="113">
        <v>0</v>
      </c>
      <c r="J146" s="114">
        <f t="shared" si="9"/>
        <v>0</v>
      </c>
      <c r="K146" s="113">
        <f t="shared" si="10"/>
        <v>0</v>
      </c>
      <c r="L146" s="113">
        <v>0</v>
      </c>
      <c r="M146" s="113">
        <v>0</v>
      </c>
      <c r="N146" s="113">
        <v>0</v>
      </c>
      <c r="O146" s="113">
        <v>0</v>
      </c>
      <c r="P146" s="113">
        <v>0</v>
      </c>
    </row>
    <row r="147" spans="2:16" ht="13.9" customHeight="1" x14ac:dyDescent="0.25">
      <c r="B147" s="149"/>
      <c r="C147" s="148" t="s">
        <v>104</v>
      </c>
      <c r="D147" s="90">
        <f>SUM(D144:D146)</f>
        <v>0</v>
      </c>
      <c r="E147" s="91">
        <f t="shared" ref="E147:P147" si="12">SUM(E144:E146)</f>
        <v>0</v>
      </c>
      <c r="F147" s="92">
        <f t="shared" si="12"/>
        <v>0</v>
      </c>
      <c r="G147" s="93">
        <f t="shared" si="12"/>
        <v>0</v>
      </c>
      <c r="H147" s="90">
        <f t="shared" si="12"/>
        <v>0</v>
      </c>
      <c r="I147" s="91">
        <f t="shared" si="12"/>
        <v>0</v>
      </c>
      <c r="J147" s="92">
        <f t="shared" si="12"/>
        <v>0</v>
      </c>
      <c r="K147" s="93">
        <f t="shared" si="12"/>
        <v>0</v>
      </c>
      <c r="L147" s="90">
        <f t="shared" si="12"/>
        <v>0</v>
      </c>
      <c r="M147" s="91">
        <f t="shared" si="12"/>
        <v>0</v>
      </c>
      <c r="N147" s="90">
        <f t="shared" si="12"/>
        <v>0</v>
      </c>
      <c r="O147" s="91">
        <f t="shared" si="12"/>
        <v>0</v>
      </c>
      <c r="P147" s="91">
        <f t="shared" si="12"/>
        <v>0</v>
      </c>
    </row>
    <row r="148" spans="2:16" ht="13.9" customHeight="1" outlineLevel="1" x14ac:dyDescent="0.25">
      <c r="B148" s="149" t="s">
        <v>105</v>
      </c>
      <c r="C148" s="150" t="s">
        <v>75</v>
      </c>
      <c r="D148" s="85">
        <v>0</v>
      </c>
      <c r="E148" s="86">
        <v>0</v>
      </c>
      <c r="F148" s="113">
        <f>G148+I148</f>
        <v>0</v>
      </c>
      <c r="G148" s="113">
        <v>0</v>
      </c>
      <c r="H148" s="86">
        <v>0</v>
      </c>
      <c r="I148" s="113">
        <v>0</v>
      </c>
      <c r="J148" s="114">
        <f>H148-I148</f>
        <v>0</v>
      </c>
      <c r="K148" s="113">
        <f t="shared" si="10"/>
        <v>0</v>
      </c>
      <c r="L148" s="113">
        <v>0</v>
      </c>
      <c r="M148" s="113">
        <v>0</v>
      </c>
      <c r="N148" s="113">
        <v>0</v>
      </c>
      <c r="O148" s="113">
        <v>0</v>
      </c>
      <c r="P148" s="113">
        <v>0</v>
      </c>
    </row>
    <row r="149" spans="2:16" ht="13.9" customHeight="1" outlineLevel="1" x14ac:dyDescent="0.25">
      <c r="B149" s="149"/>
      <c r="C149" s="150" t="s">
        <v>76</v>
      </c>
      <c r="D149" s="85">
        <v>0</v>
      </c>
      <c r="E149" s="86">
        <v>0</v>
      </c>
      <c r="F149" s="113">
        <f>G149+I149</f>
        <v>0</v>
      </c>
      <c r="G149" s="113">
        <v>0</v>
      </c>
      <c r="H149" s="86">
        <v>0</v>
      </c>
      <c r="I149" s="113">
        <v>0</v>
      </c>
      <c r="J149" s="114">
        <f>H149-I149</f>
        <v>0</v>
      </c>
      <c r="K149" s="113">
        <f t="shared" si="10"/>
        <v>0</v>
      </c>
      <c r="L149" s="113">
        <v>0</v>
      </c>
      <c r="M149" s="113">
        <v>0</v>
      </c>
      <c r="N149" s="113">
        <v>0</v>
      </c>
      <c r="O149" s="113">
        <v>0</v>
      </c>
      <c r="P149" s="113">
        <v>0</v>
      </c>
    </row>
    <row r="150" spans="2:16" ht="13.9" customHeight="1" x14ac:dyDescent="0.25">
      <c r="B150" s="149"/>
      <c r="C150" s="148" t="s">
        <v>106</v>
      </c>
      <c r="D150" s="90">
        <f>SUM(D148:D149)</f>
        <v>0</v>
      </c>
      <c r="E150" s="91">
        <f t="shared" ref="E150:P150" si="13">SUM(E148:E149)</f>
        <v>0</v>
      </c>
      <c r="F150" s="92">
        <f t="shared" si="13"/>
        <v>0</v>
      </c>
      <c r="G150" s="93">
        <f t="shared" si="13"/>
        <v>0</v>
      </c>
      <c r="H150" s="90">
        <f t="shared" si="13"/>
        <v>0</v>
      </c>
      <c r="I150" s="91">
        <f t="shared" si="13"/>
        <v>0</v>
      </c>
      <c r="J150" s="92">
        <f t="shared" si="13"/>
        <v>0</v>
      </c>
      <c r="K150" s="93">
        <f t="shared" si="13"/>
        <v>0</v>
      </c>
      <c r="L150" s="90">
        <f t="shared" si="13"/>
        <v>0</v>
      </c>
      <c r="M150" s="91">
        <f t="shared" si="13"/>
        <v>0</v>
      </c>
      <c r="N150" s="90">
        <f t="shared" si="13"/>
        <v>0</v>
      </c>
      <c r="O150" s="91">
        <f t="shared" si="13"/>
        <v>0</v>
      </c>
      <c r="P150" s="91">
        <f t="shared" si="13"/>
        <v>0</v>
      </c>
    </row>
    <row r="151" spans="2:16" ht="13.9" customHeight="1" x14ac:dyDescent="0.25">
      <c r="B151" s="155" t="s">
        <v>78</v>
      </c>
      <c r="C151" s="155"/>
      <c r="D151" s="90">
        <f>D143+D147+D150</f>
        <v>0</v>
      </c>
      <c r="E151" s="91">
        <f t="shared" ref="E151:P151" si="14">E143+E147+E150</f>
        <v>0</v>
      </c>
      <c r="F151" s="92">
        <f t="shared" si="14"/>
        <v>0</v>
      </c>
      <c r="G151" s="93">
        <f t="shared" si="14"/>
        <v>0</v>
      </c>
      <c r="H151" s="90">
        <f t="shared" si="14"/>
        <v>0</v>
      </c>
      <c r="I151" s="91">
        <f t="shared" si="14"/>
        <v>0</v>
      </c>
      <c r="J151" s="92">
        <f t="shared" si="14"/>
        <v>0</v>
      </c>
      <c r="K151" s="93">
        <f t="shared" si="14"/>
        <v>0</v>
      </c>
      <c r="L151" s="90">
        <f t="shared" si="14"/>
        <v>0</v>
      </c>
      <c r="M151" s="91">
        <f t="shared" si="14"/>
        <v>0</v>
      </c>
      <c r="N151" s="90">
        <f t="shared" si="14"/>
        <v>0</v>
      </c>
      <c r="O151" s="91">
        <f t="shared" si="14"/>
        <v>0</v>
      </c>
      <c r="P151" s="91">
        <f t="shared" si="14"/>
        <v>0</v>
      </c>
    </row>
    <row r="152" spans="2:16" ht="13.9" customHeight="1" x14ac:dyDescent="0.25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</row>
    <row r="153" spans="2:16" ht="13.9" customHeight="1" x14ac:dyDescent="0.25">
      <c r="B153" s="107" t="s">
        <v>88</v>
      </c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</row>
    <row r="154" spans="2:16" ht="13.9" customHeight="1" x14ac:dyDescent="0.25">
      <c r="B154" s="154" t="s">
        <v>26</v>
      </c>
      <c r="C154" s="148" t="s">
        <v>27</v>
      </c>
      <c r="D154" s="109" t="s">
        <v>28</v>
      </c>
      <c r="E154" s="110" t="s">
        <v>29</v>
      </c>
      <c r="F154" s="111" t="s">
        <v>85</v>
      </c>
      <c r="G154" s="112" t="s">
        <v>81</v>
      </c>
      <c r="H154" s="110" t="s">
        <v>82</v>
      </c>
      <c r="I154" s="112" t="s">
        <v>86</v>
      </c>
      <c r="J154" s="110" t="s">
        <v>87</v>
      </c>
      <c r="K154" s="112">
        <v>2026</v>
      </c>
      <c r="L154" s="112">
        <v>2027</v>
      </c>
      <c r="M154" s="110">
        <v>2028</v>
      </c>
      <c r="N154" s="112">
        <v>2029</v>
      </c>
      <c r="O154" s="110">
        <v>2030</v>
      </c>
      <c r="P154" s="112">
        <v>2031</v>
      </c>
    </row>
    <row r="155" spans="2:16" ht="13.9" customHeight="1" outlineLevel="1" x14ac:dyDescent="0.25">
      <c r="B155" s="149" t="s">
        <v>30</v>
      </c>
      <c r="C155" s="150" t="s">
        <v>31</v>
      </c>
      <c r="D155" s="85">
        <v>0</v>
      </c>
      <c r="E155" s="86">
        <v>0</v>
      </c>
      <c r="F155" s="142">
        <f t="shared" ref="F155:F198" si="15">G155+I155</f>
        <v>0</v>
      </c>
      <c r="G155" s="113">
        <v>0</v>
      </c>
      <c r="H155" s="86">
        <v>0</v>
      </c>
      <c r="I155" s="113">
        <v>0</v>
      </c>
      <c r="J155" s="114">
        <f t="shared" ref="J155:J198" si="16">H155-I155</f>
        <v>0</v>
      </c>
      <c r="K155" s="113">
        <f t="shared" ref="K155:K198" si="17">MAX(J155-SUM(L155:P155),0)</f>
        <v>0</v>
      </c>
      <c r="L155" s="113">
        <v>0</v>
      </c>
      <c r="M155" s="113">
        <v>0</v>
      </c>
      <c r="N155" s="113">
        <v>0</v>
      </c>
      <c r="O155" s="113">
        <v>0</v>
      </c>
      <c r="P155" s="113">
        <v>0</v>
      </c>
    </row>
    <row r="156" spans="2:16" ht="13.9" customHeight="1" outlineLevel="1" x14ac:dyDescent="0.25">
      <c r="B156" s="149"/>
      <c r="C156" s="150" t="s">
        <v>32</v>
      </c>
      <c r="D156" s="85">
        <v>0</v>
      </c>
      <c r="E156" s="86">
        <v>0</v>
      </c>
      <c r="F156" s="142">
        <f t="shared" si="15"/>
        <v>0</v>
      </c>
      <c r="G156" s="113">
        <v>0</v>
      </c>
      <c r="H156" s="86">
        <v>0</v>
      </c>
      <c r="I156" s="113">
        <v>0</v>
      </c>
      <c r="J156" s="114">
        <f t="shared" si="16"/>
        <v>0</v>
      </c>
      <c r="K156" s="113">
        <f t="shared" si="17"/>
        <v>0</v>
      </c>
      <c r="L156" s="113">
        <v>0</v>
      </c>
      <c r="M156" s="113">
        <v>0</v>
      </c>
      <c r="N156" s="113">
        <v>0</v>
      </c>
      <c r="O156" s="113">
        <v>0</v>
      </c>
      <c r="P156" s="113">
        <v>0</v>
      </c>
    </row>
    <row r="157" spans="2:16" ht="13.9" customHeight="1" outlineLevel="1" x14ac:dyDescent="0.25">
      <c r="B157" s="149"/>
      <c r="C157" s="150" t="s">
        <v>33</v>
      </c>
      <c r="D157" s="85">
        <v>0</v>
      </c>
      <c r="E157" s="86">
        <v>0</v>
      </c>
      <c r="F157" s="142">
        <f t="shared" si="15"/>
        <v>0</v>
      </c>
      <c r="G157" s="113">
        <v>0</v>
      </c>
      <c r="H157" s="86">
        <v>0</v>
      </c>
      <c r="I157" s="113">
        <v>0</v>
      </c>
      <c r="J157" s="114">
        <f t="shared" si="16"/>
        <v>0</v>
      </c>
      <c r="K157" s="113">
        <f t="shared" si="17"/>
        <v>0</v>
      </c>
      <c r="L157" s="113">
        <v>0</v>
      </c>
      <c r="M157" s="113">
        <v>0</v>
      </c>
      <c r="N157" s="113">
        <v>0</v>
      </c>
      <c r="O157" s="113">
        <v>0</v>
      </c>
      <c r="P157" s="113">
        <v>0</v>
      </c>
    </row>
    <row r="158" spans="2:16" ht="13.9" customHeight="1" outlineLevel="1" x14ac:dyDescent="0.25">
      <c r="B158" s="149"/>
      <c r="C158" s="150" t="s">
        <v>34</v>
      </c>
      <c r="D158" s="85">
        <v>0</v>
      </c>
      <c r="E158" s="86">
        <v>0</v>
      </c>
      <c r="F158" s="142">
        <f t="shared" si="15"/>
        <v>0</v>
      </c>
      <c r="G158" s="113">
        <v>0</v>
      </c>
      <c r="H158" s="86">
        <v>0</v>
      </c>
      <c r="I158" s="113">
        <v>0</v>
      </c>
      <c r="J158" s="114">
        <f t="shared" si="16"/>
        <v>0</v>
      </c>
      <c r="K158" s="113">
        <f t="shared" si="17"/>
        <v>0</v>
      </c>
      <c r="L158" s="113">
        <v>0</v>
      </c>
      <c r="M158" s="113">
        <v>0</v>
      </c>
      <c r="N158" s="113">
        <v>0</v>
      </c>
      <c r="O158" s="113">
        <v>0</v>
      </c>
      <c r="P158" s="113">
        <v>0</v>
      </c>
    </row>
    <row r="159" spans="2:16" ht="13.9" customHeight="1" outlineLevel="1" x14ac:dyDescent="0.25">
      <c r="B159" s="149"/>
      <c r="C159" s="150" t="s">
        <v>35</v>
      </c>
      <c r="D159" s="85">
        <v>0</v>
      </c>
      <c r="E159" s="86">
        <v>0</v>
      </c>
      <c r="F159" s="142">
        <f t="shared" si="15"/>
        <v>0</v>
      </c>
      <c r="G159" s="113">
        <v>0</v>
      </c>
      <c r="H159" s="86">
        <v>0</v>
      </c>
      <c r="I159" s="113">
        <v>0</v>
      </c>
      <c r="J159" s="114">
        <f t="shared" si="16"/>
        <v>0</v>
      </c>
      <c r="K159" s="113">
        <f t="shared" si="17"/>
        <v>0</v>
      </c>
      <c r="L159" s="113">
        <v>0</v>
      </c>
      <c r="M159" s="113">
        <v>0</v>
      </c>
      <c r="N159" s="113">
        <v>0</v>
      </c>
      <c r="O159" s="113">
        <v>0</v>
      </c>
      <c r="P159" s="113">
        <v>0</v>
      </c>
    </row>
    <row r="160" spans="2:16" ht="13.9" customHeight="1" outlineLevel="1" x14ac:dyDescent="0.25">
      <c r="B160" s="149"/>
      <c r="C160" s="150" t="s">
        <v>36</v>
      </c>
      <c r="D160" s="85">
        <v>0</v>
      </c>
      <c r="E160" s="86">
        <v>0</v>
      </c>
      <c r="F160" s="142">
        <f t="shared" si="15"/>
        <v>0</v>
      </c>
      <c r="G160" s="113">
        <v>0</v>
      </c>
      <c r="H160" s="86">
        <v>0</v>
      </c>
      <c r="I160" s="113">
        <v>0</v>
      </c>
      <c r="J160" s="114">
        <f t="shared" si="16"/>
        <v>0</v>
      </c>
      <c r="K160" s="113">
        <f t="shared" si="17"/>
        <v>0</v>
      </c>
      <c r="L160" s="113">
        <v>0</v>
      </c>
      <c r="M160" s="113">
        <v>0</v>
      </c>
      <c r="N160" s="113">
        <v>0</v>
      </c>
      <c r="O160" s="113">
        <v>0</v>
      </c>
      <c r="P160" s="113">
        <v>0</v>
      </c>
    </row>
    <row r="161" spans="2:16" ht="13.9" customHeight="1" outlineLevel="1" x14ac:dyDescent="0.25">
      <c r="B161" s="149"/>
      <c r="C161" s="150" t="s">
        <v>37</v>
      </c>
      <c r="D161" s="85">
        <v>0</v>
      </c>
      <c r="E161" s="86">
        <v>0</v>
      </c>
      <c r="F161" s="142">
        <f t="shared" si="15"/>
        <v>0</v>
      </c>
      <c r="G161" s="113">
        <v>0</v>
      </c>
      <c r="H161" s="86">
        <v>0</v>
      </c>
      <c r="I161" s="113">
        <v>0</v>
      </c>
      <c r="J161" s="114">
        <f t="shared" si="16"/>
        <v>0</v>
      </c>
      <c r="K161" s="113">
        <f t="shared" si="17"/>
        <v>0</v>
      </c>
      <c r="L161" s="113">
        <v>0</v>
      </c>
      <c r="M161" s="113">
        <v>0</v>
      </c>
      <c r="N161" s="113">
        <v>0</v>
      </c>
      <c r="O161" s="113">
        <v>0</v>
      </c>
      <c r="P161" s="113">
        <v>0</v>
      </c>
    </row>
    <row r="162" spans="2:16" ht="13.9" customHeight="1" outlineLevel="1" x14ac:dyDescent="0.25">
      <c r="B162" s="149"/>
      <c r="C162" s="150" t="s">
        <v>38</v>
      </c>
      <c r="D162" s="85">
        <v>0</v>
      </c>
      <c r="E162" s="86">
        <v>0</v>
      </c>
      <c r="F162" s="142">
        <f t="shared" si="15"/>
        <v>0</v>
      </c>
      <c r="G162" s="113">
        <v>0</v>
      </c>
      <c r="H162" s="86">
        <v>0</v>
      </c>
      <c r="I162" s="113">
        <v>0</v>
      </c>
      <c r="J162" s="114">
        <f t="shared" si="16"/>
        <v>0</v>
      </c>
      <c r="K162" s="113">
        <f t="shared" si="17"/>
        <v>0</v>
      </c>
      <c r="L162" s="113">
        <v>0</v>
      </c>
      <c r="M162" s="113">
        <v>0</v>
      </c>
      <c r="N162" s="113">
        <v>0</v>
      </c>
      <c r="O162" s="113">
        <v>0</v>
      </c>
      <c r="P162" s="113">
        <v>0</v>
      </c>
    </row>
    <row r="163" spans="2:16" ht="13.9" customHeight="1" outlineLevel="1" x14ac:dyDescent="0.25">
      <c r="B163" s="149"/>
      <c r="C163" s="150" t="s">
        <v>39</v>
      </c>
      <c r="D163" s="85">
        <v>0</v>
      </c>
      <c r="E163" s="86">
        <v>0</v>
      </c>
      <c r="F163" s="142">
        <f t="shared" si="15"/>
        <v>0</v>
      </c>
      <c r="G163" s="113">
        <v>0</v>
      </c>
      <c r="H163" s="86">
        <v>0</v>
      </c>
      <c r="I163" s="113">
        <v>0</v>
      </c>
      <c r="J163" s="114">
        <f t="shared" si="16"/>
        <v>0</v>
      </c>
      <c r="K163" s="113">
        <f t="shared" si="17"/>
        <v>0</v>
      </c>
      <c r="L163" s="113">
        <v>0</v>
      </c>
      <c r="M163" s="113">
        <v>0</v>
      </c>
      <c r="N163" s="113">
        <v>0</v>
      </c>
      <c r="O163" s="113">
        <v>0</v>
      </c>
      <c r="P163" s="113">
        <v>0</v>
      </c>
    </row>
    <row r="164" spans="2:16" ht="13.9" customHeight="1" outlineLevel="1" x14ac:dyDescent="0.25">
      <c r="B164" s="149"/>
      <c r="C164" s="150" t="s">
        <v>40</v>
      </c>
      <c r="D164" s="85">
        <v>9</v>
      </c>
      <c r="E164" s="86">
        <v>231782940</v>
      </c>
      <c r="F164" s="142">
        <f t="shared" si="15"/>
        <v>79825386</v>
      </c>
      <c r="G164" s="113">
        <v>46355588</v>
      </c>
      <c r="H164" s="86">
        <v>185427352</v>
      </c>
      <c r="I164" s="113">
        <v>33469798</v>
      </c>
      <c r="J164" s="114">
        <f t="shared" si="16"/>
        <v>151957554</v>
      </c>
      <c r="K164" s="113">
        <f t="shared" si="17"/>
        <v>33468798</v>
      </c>
      <c r="L164" s="113">
        <v>118488756</v>
      </c>
      <c r="M164" s="113">
        <v>0</v>
      </c>
      <c r="N164" s="113">
        <v>0</v>
      </c>
      <c r="O164" s="113">
        <v>0</v>
      </c>
      <c r="P164" s="113">
        <v>0</v>
      </c>
    </row>
    <row r="165" spans="2:16" ht="13.9" customHeight="1" outlineLevel="1" x14ac:dyDescent="0.25">
      <c r="B165" s="149"/>
      <c r="C165" s="150" t="s">
        <v>41</v>
      </c>
      <c r="D165" s="85">
        <v>0</v>
      </c>
      <c r="E165" s="86">
        <v>0</v>
      </c>
      <c r="F165" s="142">
        <f t="shared" si="15"/>
        <v>0</v>
      </c>
      <c r="G165" s="113">
        <v>0</v>
      </c>
      <c r="H165" s="86">
        <v>0</v>
      </c>
      <c r="I165" s="113">
        <v>0</v>
      </c>
      <c r="J165" s="114">
        <f t="shared" si="16"/>
        <v>0</v>
      </c>
      <c r="K165" s="113">
        <f t="shared" si="17"/>
        <v>0</v>
      </c>
      <c r="L165" s="113">
        <v>0</v>
      </c>
      <c r="M165" s="113">
        <v>0</v>
      </c>
      <c r="N165" s="113">
        <v>0</v>
      </c>
      <c r="O165" s="113">
        <v>0</v>
      </c>
      <c r="P165" s="113">
        <v>0</v>
      </c>
    </row>
    <row r="166" spans="2:16" ht="13.9" customHeight="1" outlineLevel="1" x14ac:dyDescent="0.25">
      <c r="B166" s="149"/>
      <c r="C166" s="150" t="s">
        <v>42</v>
      </c>
      <c r="D166" s="85">
        <v>0</v>
      </c>
      <c r="E166" s="86">
        <v>0</v>
      </c>
      <c r="F166" s="142">
        <f t="shared" si="15"/>
        <v>0</v>
      </c>
      <c r="G166" s="113">
        <v>0</v>
      </c>
      <c r="H166" s="86">
        <v>0</v>
      </c>
      <c r="I166" s="113">
        <v>0</v>
      </c>
      <c r="J166" s="114">
        <f t="shared" si="16"/>
        <v>0</v>
      </c>
      <c r="K166" s="113">
        <f t="shared" si="17"/>
        <v>0</v>
      </c>
      <c r="L166" s="113">
        <v>0</v>
      </c>
      <c r="M166" s="113">
        <v>0</v>
      </c>
      <c r="N166" s="113">
        <v>0</v>
      </c>
      <c r="O166" s="113">
        <v>0</v>
      </c>
      <c r="P166" s="113">
        <v>0</v>
      </c>
    </row>
    <row r="167" spans="2:16" ht="13.9" customHeight="1" outlineLevel="1" x14ac:dyDescent="0.25">
      <c r="B167" s="149"/>
      <c r="C167" s="150" t="s">
        <v>43</v>
      </c>
      <c r="D167" s="85">
        <v>0</v>
      </c>
      <c r="E167" s="86">
        <v>0</v>
      </c>
      <c r="F167" s="142">
        <f t="shared" si="15"/>
        <v>0</v>
      </c>
      <c r="G167" s="113">
        <v>0</v>
      </c>
      <c r="H167" s="86">
        <v>0</v>
      </c>
      <c r="I167" s="113">
        <v>0</v>
      </c>
      <c r="J167" s="114">
        <f t="shared" si="16"/>
        <v>0</v>
      </c>
      <c r="K167" s="113">
        <f t="shared" si="17"/>
        <v>0</v>
      </c>
      <c r="L167" s="113">
        <v>0</v>
      </c>
      <c r="M167" s="113">
        <v>0</v>
      </c>
      <c r="N167" s="113">
        <v>0</v>
      </c>
      <c r="O167" s="113">
        <v>0</v>
      </c>
      <c r="P167" s="113">
        <v>0</v>
      </c>
    </row>
    <row r="168" spans="2:16" ht="13.9" customHeight="1" outlineLevel="1" x14ac:dyDescent="0.25">
      <c r="B168" s="149"/>
      <c r="C168" s="150" t="s">
        <v>44</v>
      </c>
      <c r="D168" s="85">
        <v>1</v>
      </c>
      <c r="E168" s="86">
        <v>7941688</v>
      </c>
      <c r="F168" s="142">
        <f t="shared" si="15"/>
        <v>1588337.6</v>
      </c>
      <c r="G168" s="113">
        <v>1588337</v>
      </c>
      <c r="H168" s="86">
        <v>6353351</v>
      </c>
      <c r="I168" s="113">
        <v>0.6</v>
      </c>
      <c r="J168" s="114">
        <f t="shared" si="16"/>
        <v>6353350.4000000004</v>
      </c>
      <c r="K168" s="113">
        <f t="shared" si="17"/>
        <v>794168.80000000075</v>
      </c>
      <c r="L168" s="113">
        <v>1588337.6</v>
      </c>
      <c r="M168" s="113">
        <v>3970844</v>
      </c>
      <c r="N168" s="113">
        <v>0</v>
      </c>
      <c r="O168" s="113">
        <v>0</v>
      </c>
      <c r="P168" s="113">
        <v>0</v>
      </c>
    </row>
    <row r="169" spans="2:16" ht="13.9" customHeight="1" outlineLevel="1" x14ac:dyDescent="0.25">
      <c r="B169" s="149"/>
      <c r="C169" s="150" t="s">
        <v>45</v>
      </c>
      <c r="D169" s="85">
        <v>2</v>
      </c>
      <c r="E169" s="86">
        <v>4907843.8</v>
      </c>
      <c r="F169" s="142">
        <f t="shared" si="15"/>
        <v>981568.76</v>
      </c>
      <c r="G169" s="113">
        <v>978752.21</v>
      </c>
      <c r="H169" s="86">
        <v>3929091.59</v>
      </c>
      <c r="I169" s="113">
        <v>2816.55</v>
      </c>
      <c r="J169" s="114">
        <f t="shared" si="16"/>
        <v>3926275.04</v>
      </c>
      <c r="K169" s="113">
        <f t="shared" si="17"/>
        <v>490784.37999999989</v>
      </c>
      <c r="L169" s="113">
        <v>490784.38</v>
      </c>
      <c r="M169" s="113">
        <v>981568.76</v>
      </c>
      <c r="N169" s="113">
        <v>1963137.52</v>
      </c>
      <c r="O169" s="113">
        <v>0</v>
      </c>
      <c r="P169" s="113">
        <v>0</v>
      </c>
    </row>
    <row r="170" spans="2:16" ht="13.9" customHeight="1" outlineLevel="1" x14ac:dyDescent="0.25">
      <c r="B170" s="149"/>
      <c r="C170" s="150" t="s">
        <v>46</v>
      </c>
      <c r="D170" s="85">
        <v>0</v>
      </c>
      <c r="E170" s="86">
        <v>0</v>
      </c>
      <c r="F170" s="142">
        <f t="shared" si="15"/>
        <v>0</v>
      </c>
      <c r="G170" s="113">
        <v>0</v>
      </c>
      <c r="H170" s="86">
        <v>0</v>
      </c>
      <c r="I170" s="113">
        <v>0</v>
      </c>
      <c r="J170" s="114">
        <f t="shared" si="16"/>
        <v>0</v>
      </c>
      <c r="K170" s="113">
        <f t="shared" si="17"/>
        <v>0</v>
      </c>
      <c r="L170" s="113">
        <v>0</v>
      </c>
      <c r="M170" s="113">
        <v>0</v>
      </c>
      <c r="N170" s="113">
        <v>0</v>
      </c>
      <c r="O170" s="113">
        <v>0</v>
      </c>
      <c r="P170" s="113">
        <v>0</v>
      </c>
    </row>
    <row r="171" spans="2:16" ht="13.9" customHeight="1" outlineLevel="1" x14ac:dyDescent="0.25">
      <c r="B171" s="149"/>
      <c r="C171" s="150" t="s">
        <v>47</v>
      </c>
      <c r="D171" s="85">
        <v>0</v>
      </c>
      <c r="E171" s="86">
        <v>0</v>
      </c>
      <c r="F171" s="142">
        <f t="shared" si="15"/>
        <v>0</v>
      </c>
      <c r="G171" s="113">
        <v>0</v>
      </c>
      <c r="H171" s="86">
        <v>0</v>
      </c>
      <c r="I171" s="113">
        <v>0</v>
      </c>
      <c r="J171" s="114">
        <f t="shared" si="16"/>
        <v>0</v>
      </c>
      <c r="K171" s="113">
        <f t="shared" si="17"/>
        <v>0</v>
      </c>
      <c r="L171" s="113">
        <v>0</v>
      </c>
      <c r="M171" s="113">
        <v>0</v>
      </c>
      <c r="N171" s="113">
        <v>0</v>
      </c>
      <c r="O171" s="113">
        <v>0</v>
      </c>
      <c r="P171" s="113">
        <v>0</v>
      </c>
    </row>
    <row r="172" spans="2:16" ht="13.9" customHeight="1" outlineLevel="1" x14ac:dyDescent="0.25">
      <c r="B172" s="149"/>
      <c r="C172" s="150" t="s">
        <v>48</v>
      </c>
      <c r="D172" s="85">
        <v>2</v>
      </c>
      <c r="E172" s="86">
        <v>33799200</v>
      </c>
      <c r="F172" s="142">
        <f t="shared" si="15"/>
        <v>7097832</v>
      </c>
      <c r="G172" s="113">
        <v>3502117</v>
      </c>
      <c r="H172" s="86">
        <v>30297083</v>
      </c>
      <c r="I172" s="113">
        <v>3595715</v>
      </c>
      <c r="J172" s="114">
        <f t="shared" si="16"/>
        <v>26701368</v>
      </c>
      <c r="K172" s="113">
        <f t="shared" si="17"/>
        <v>5407872</v>
      </c>
      <c r="L172" s="113">
        <v>21293496</v>
      </c>
      <c r="M172" s="113">
        <v>0</v>
      </c>
      <c r="N172" s="113">
        <v>0</v>
      </c>
      <c r="O172" s="113">
        <v>0</v>
      </c>
      <c r="P172" s="113">
        <v>0</v>
      </c>
    </row>
    <row r="173" spans="2:16" ht="13.9" customHeight="1" outlineLevel="1" x14ac:dyDescent="0.25">
      <c r="B173" s="149"/>
      <c r="C173" s="150" t="s">
        <v>49</v>
      </c>
      <c r="D173" s="85">
        <v>0</v>
      </c>
      <c r="E173" s="86">
        <v>0</v>
      </c>
      <c r="F173" s="142">
        <f t="shared" si="15"/>
        <v>0</v>
      </c>
      <c r="G173" s="113">
        <v>0</v>
      </c>
      <c r="H173" s="86">
        <v>0</v>
      </c>
      <c r="I173" s="113">
        <v>0</v>
      </c>
      <c r="J173" s="114">
        <f t="shared" si="16"/>
        <v>0</v>
      </c>
      <c r="K173" s="113">
        <f t="shared" si="17"/>
        <v>0</v>
      </c>
      <c r="L173" s="113">
        <v>0</v>
      </c>
      <c r="M173" s="113">
        <v>0</v>
      </c>
      <c r="N173" s="113">
        <v>0</v>
      </c>
      <c r="O173" s="113">
        <v>0</v>
      </c>
      <c r="P173" s="113">
        <v>0</v>
      </c>
    </row>
    <row r="174" spans="2:16" ht="13.9" customHeight="1" outlineLevel="1" x14ac:dyDescent="0.25">
      <c r="B174" s="149"/>
      <c r="C174" s="150" t="s">
        <v>50</v>
      </c>
      <c r="D174" s="85">
        <v>0</v>
      </c>
      <c r="E174" s="86">
        <v>0</v>
      </c>
      <c r="F174" s="142">
        <f t="shared" si="15"/>
        <v>0</v>
      </c>
      <c r="G174" s="113">
        <v>0</v>
      </c>
      <c r="H174" s="86">
        <v>0</v>
      </c>
      <c r="I174" s="113">
        <v>0</v>
      </c>
      <c r="J174" s="114">
        <f t="shared" si="16"/>
        <v>0</v>
      </c>
      <c r="K174" s="113">
        <f t="shared" si="17"/>
        <v>0</v>
      </c>
      <c r="L174" s="113">
        <v>0</v>
      </c>
      <c r="M174" s="113">
        <v>0</v>
      </c>
      <c r="N174" s="113">
        <v>0</v>
      </c>
      <c r="O174" s="113">
        <v>0</v>
      </c>
      <c r="P174" s="113">
        <v>0</v>
      </c>
    </row>
    <row r="175" spans="2:16" ht="13.9" customHeight="1" outlineLevel="1" x14ac:dyDescent="0.25">
      <c r="B175" s="149"/>
      <c r="C175" s="150" t="s">
        <v>51</v>
      </c>
      <c r="D175" s="85">
        <v>0</v>
      </c>
      <c r="E175" s="86">
        <v>0</v>
      </c>
      <c r="F175" s="142">
        <f t="shared" si="15"/>
        <v>0</v>
      </c>
      <c r="G175" s="113">
        <v>0</v>
      </c>
      <c r="H175" s="86">
        <v>0</v>
      </c>
      <c r="I175" s="113">
        <v>0</v>
      </c>
      <c r="J175" s="114">
        <f t="shared" si="16"/>
        <v>0</v>
      </c>
      <c r="K175" s="113">
        <f t="shared" si="17"/>
        <v>0</v>
      </c>
      <c r="L175" s="113">
        <v>0</v>
      </c>
      <c r="M175" s="113">
        <v>0</v>
      </c>
      <c r="N175" s="113">
        <v>0</v>
      </c>
      <c r="O175" s="113">
        <v>0</v>
      </c>
      <c r="P175" s="113">
        <v>0</v>
      </c>
    </row>
    <row r="176" spans="2:16" ht="13.9" customHeight="1" outlineLevel="1" x14ac:dyDescent="0.25">
      <c r="B176" s="149"/>
      <c r="C176" s="150" t="s">
        <v>52</v>
      </c>
      <c r="D176" s="85">
        <v>0</v>
      </c>
      <c r="E176" s="86">
        <v>0</v>
      </c>
      <c r="F176" s="142">
        <f t="shared" si="15"/>
        <v>0</v>
      </c>
      <c r="G176" s="113">
        <v>0</v>
      </c>
      <c r="H176" s="86">
        <v>0</v>
      </c>
      <c r="I176" s="113">
        <v>0</v>
      </c>
      <c r="J176" s="114">
        <f t="shared" si="16"/>
        <v>0</v>
      </c>
      <c r="K176" s="113">
        <f t="shared" si="17"/>
        <v>0</v>
      </c>
      <c r="L176" s="113">
        <v>0</v>
      </c>
      <c r="M176" s="113">
        <v>0</v>
      </c>
      <c r="N176" s="113">
        <v>0</v>
      </c>
      <c r="O176" s="113">
        <v>0</v>
      </c>
      <c r="P176" s="113">
        <v>0</v>
      </c>
    </row>
    <row r="177" spans="2:16" ht="13.9" customHeight="1" outlineLevel="1" x14ac:dyDescent="0.25">
      <c r="B177" s="149"/>
      <c r="C177" s="150" t="s">
        <v>53</v>
      </c>
      <c r="D177" s="85">
        <v>0</v>
      </c>
      <c r="E177" s="86">
        <v>0</v>
      </c>
      <c r="F177" s="142">
        <f t="shared" si="15"/>
        <v>0</v>
      </c>
      <c r="G177" s="113">
        <v>0</v>
      </c>
      <c r="H177" s="86">
        <v>0</v>
      </c>
      <c r="I177" s="113">
        <v>0</v>
      </c>
      <c r="J177" s="114">
        <f t="shared" si="16"/>
        <v>0</v>
      </c>
      <c r="K177" s="113">
        <f t="shared" si="17"/>
        <v>0</v>
      </c>
      <c r="L177" s="113">
        <v>0</v>
      </c>
      <c r="M177" s="113">
        <v>0</v>
      </c>
      <c r="N177" s="113">
        <v>0</v>
      </c>
      <c r="O177" s="113">
        <v>0</v>
      </c>
      <c r="P177" s="113">
        <v>0</v>
      </c>
    </row>
    <row r="178" spans="2:16" ht="13.9" customHeight="1" outlineLevel="1" x14ac:dyDescent="0.25">
      <c r="B178" s="149"/>
      <c r="C178" s="150" t="s">
        <v>54</v>
      </c>
      <c r="D178" s="85">
        <v>0</v>
      </c>
      <c r="E178" s="86">
        <v>0</v>
      </c>
      <c r="F178" s="142">
        <f t="shared" si="15"/>
        <v>0</v>
      </c>
      <c r="G178" s="113">
        <v>0</v>
      </c>
      <c r="H178" s="86">
        <v>0</v>
      </c>
      <c r="I178" s="113">
        <v>0</v>
      </c>
      <c r="J178" s="114">
        <f t="shared" si="16"/>
        <v>0</v>
      </c>
      <c r="K178" s="113">
        <f t="shared" si="17"/>
        <v>0</v>
      </c>
      <c r="L178" s="113">
        <v>0</v>
      </c>
      <c r="M178" s="113">
        <v>0</v>
      </c>
      <c r="N178" s="113">
        <v>0</v>
      </c>
      <c r="O178" s="113">
        <v>0</v>
      </c>
      <c r="P178" s="113">
        <v>0</v>
      </c>
    </row>
    <row r="179" spans="2:16" ht="13.9" customHeight="1" outlineLevel="1" x14ac:dyDescent="0.25">
      <c r="B179" s="149"/>
      <c r="C179" s="150" t="s">
        <v>55</v>
      </c>
      <c r="D179" s="85">
        <v>0</v>
      </c>
      <c r="E179" s="86">
        <v>0</v>
      </c>
      <c r="F179" s="142">
        <f t="shared" si="15"/>
        <v>0</v>
      </c>
      <c r="G179" s="113">
        <v>0</v>
      </c>
      <c r="H179" s="86">
        <v>0</v>
      </c>
      <c r="I179" s="113">
        <v>0</v>
      </c>
      <c r="J179" s="114">
        <f t="shared" si="16"/>
        <v>0</v>
      </c>
      <c r="K179" s="113">
        <f t="shared" si="17"/>
        <v>0</v>
      </c>
      <c r="L179" s="113">
        <v>0</v>
      </c>
      <c r="M179" s="113">
        <v>0</v>
      </c>
      <c r="N179" s="113">
        <v>0</v>
      </c>
      <c r="O179" s="113">
        <v>0</v>
      </c>
      <c r="P179" s="113">
        <v>0</v>
      </c>
    </row>
    <row r="180" spans="2:16" ht="13.9" customHeight="1" outlineLevel="1" x14ac:dyDescent="0.25">
      <c r="B180" s="149"/>
      <c r="C180" s="150" t="s">
        <v>56</v>
      </c>
      <c r="D180" s="85">
        <v>0</v>
      </c>
      <c r="E180" s="86">
        <v>0</v>
      </c>
      <c r="F180" s="142">
        <f t="shared" si="15"/>
        <v>0</v>
      </c>
      <c r="G180" s="113">
        <v>0</v>
      </c>
      <c r="H180" s="86">
        <v>0</v>
      </c>
      <c r="I180" s="113">
        <v>0</v>
      </c>
      <c r="J180" s="114">
        <f t="shared" si="16"/>
        <v>0</v>
      </c>
      <c r="K180" s="113">
        <f t="shared" si="17"/>
        <v>0</v>
      </c>
      <c r="L180" s="113">
        <v>0</v>
      </c>
      <c r="M180" s="113">
        <v>0</v>
      </c>
      <c r="N180" s="113">
        <v>0</v>
      </c>
      <c r="O180" s="113">
        <v>0</v>
      </c>
      <c r="P180" s="113">
        <v>0</v>
      </c>
    </row>
    <row r="181" spans="2:16" ht="13.9" customHeight="1" outlineLevel="1" x14ac:dyDescent="0.25">
      <c r="B181" s="149"/>
      <c r="C181" s="150" t="s">
        <v>57</v>
      </c>
      <c r="D181" s="85">
        <v>0</v>
      </c>
      <c r="E181" s="86">
        <v>0</v>
      </c>
      <c r="F181" s="142">
        <f t="shared" si="15"/>
        <v>0</v>
      </c>
      <c r="G181" s="113">
        <v>0</v>
      </c>
      <c r="H181" s="86">
        <v>0</v>
      </c>
      <c r="I181" s="113">
        <v>0</v>
      </c>
      <c r="J181" s="114">
        <f t="shared" si="16"/>
        <v>0</v>
      </c>
      <c r="K181" s="113">
        <f t="shared" si="17"/>
        <v>0</v>
      </c>
      <c r="L181" s="113">
        <v>0</v>
      </c>
      <c r="M181" s="113">
        <v>0</v>
      </c>
      <c r="N181" s="113">
        <v>0</v>
      </c>
      <c r="O181" s="113">
        <v>0</v>
      </c>
      <c r="P181" s="113">
        <v>0</v>
      </c>
    </row>
    <row r="182" spans="2:16" ht="13.9" customHeight="1" outlineLevel="1" x14ac:dyDescent="0.25">
      <c r="B182" s="149"/>
      <c r="C182" s="150" t="s">
        <v>58</v>
      </c>
      <c r="D182" s="85">
        <v>0</v>
      </c>
      <c r="E182" s="86">
        <v>0</v>
      </c>
      <c r="F182" s="142">
        <f t="shared" si="15"/>
        <v>0</v>
      </c>
      <c r="G182" s="113">
        <v>0</v>
      </c>
      <c r="H182" s="86">
        <v>0</v>
      </c>
      <c r="I182" s="113">
        <v>0</v>
      </c>
      <c r="J182" s="114">
        <f t="shared" si="16"/>
        <v>0</v>
      </c>
      <c r="K182" s="113">
        <f t="shared" si="17"/>
        <v>0</v>
      </c>
      <c r="L182" s="113">
        <v>0</v>
      </c>
      <c r="M182" s="113">
        <v>0</v>
      </c>
      <c r="N182" s="113">
        <v>0</v>
      </c>
      <c r="O182" s="113">
        <v>0</v>
      </c>
      <c r="P182" s="113">
        <v>0</v>
      </c>
    </row>
    <row r="183" spans="2:16" ht="13.9" customHeight="1" outlineLevel="1" x14ac:dyDescent="0.25">
      <c r="B183" s="149"/>
      <c r="C183" s="150" t="s">
        <v>59</v>
      </c>
      <c r="D183" s="85">
        <v>0</v>
      </c>
      <c r="E183" s="86">
        <v>0</v>
      </c>
      <c r="F183" s="142">
        <f t="shared" si="15"/>
        <v>0</v>
      </c>
      <c r="G183" s="113">
        <v>0</v>
      </c>
      <c r="H183" s="86">
        <v>0</v>
      </c>
      <c r="I183" s="113">
        <v>0</v>
      </c>
      <c r="J183" s="114">
        <f t="shared" si="16"/>
        <v>0</v>
      </c>
      <c r="K183" s="113">
        <f t="shared" si="17"/>
        <v>0</v>
      </c>
      <c r="L183" s="113">
        <v>0</v>
      </c>
      <c r="M183" s="113">
        <v>0</v>
      </c>
      <c r="N183" s="113">
        <v>0</v>
      </c>
      <c r="O183" s="113">
        <v>0</v>
      </c>
      <c r="P183" s="113">
        <v>0</v>
      </c>
    </row>
    <row r="184" spans="2:16" ht="13.9" customHeight="1" outlineLevel="1" x14ac:dyDescent="0.25">
      <c r="B184" s="149"/>
      <c r="C184" s="150" t="s">
        <v>60</v>
      </c>
      <c r="D184" s="85">
        <v>0</v>
      </c>
      <c r="E184" s="86">
        <v>0</v>
      </c>
      <c r="F184" s="142">
        <f t="shared" si="15"/>
        <v>0</v>
      </c>
      <c r="G184" s="113">
        <v>0</v>
      </c>
      <c r="H184" s="86">
        <v>0</v>
      </c>
      <c r="I184" s="113">
        <v>0</v>
      </c>
      <c r="J184" s="114">
        <f t="shared" si="16"/>
        <v>0</v>
      </c>
      <c r="K184" s="113">
        <f t="shared" si="17"/>
        <v>0</v>
      </c>
      <c r="L184" s="113">
        <v>0</v>
      </c>
      <c r="M184" s="113">
        <v>0</v>
      </c>
      <c r="N184" s="113">
        <v>0</v>
      </c>
      <c r="O184" s="113">
        <v>0</v>
      </c>
      <c r="P184" s="113">
        <v>0</v>
      </c>
    </row>
    <row r="185" spans="2:16" ht="13.9" customHeight="1" outlineLevel="1" x14ac:dyDescent="0.25">
      <c r="B185" s="149"/>
      <c r="C185" s="150" t="s">
        <v>61</v>
      </c>
      <c r="D185" s="85">
        <v>0</v>
      </c>
      <c r="E185" s="86">
        <v>0</v>
      </c>
      <c r="F185" s="142">
        <f t="shared" si="15"/>
        <v>0</v>
      </c>
      <c r="G185" s="113">
        <v>0</v>
      </c>
      <c r="H185" s="86">
        <v>0</v>
      </c>
      <c r="I185" s="113">
        <v>0</v>
      </c>
      <c r="J185" s="114">
        <f t="shared" si="16"/>
        <v>0</v>
      </c>
      <c r="K185" s="113">
        <f t="shared" si="17"/>
        <v>0</v>
      </c>
      <c r="L185" s="113">
        <v>0</v>
      </c>
      <c r="M185" s="113">
        <v>0</v>
      </c>
      <c r="N185" s="113">
        <v>0</v>
      </c>
      <c r="O185" s="113">
        <v>0</v>
      </c>
      <c r="P185" s="113">
        <v>0</v>
      </c>
    </row>
    <row r="186" spans="2:16" ht="13.9" customHeight="1" outlineLevel="1" x14ac:dyDescent="0.25">
      <c r="B186" s="149"/>
      <c r="C186" s="150" t="s">
        <v>62</v>
      </c>
      <c r="D186" s="85">
        <v>0</v>
      </c>
      <c r="E186" s="86">
        <v>0</v>
      </c>
      <c r="F186" s="142">
        <f t="shared" si="15"/>
        <v>0</v>
      </c>
      <c r="G186" s="113">
        <v>0</v>
      </c>
      <c r="H186" s="86">
        <v>0</v>
      </c>
      <c r="I186" s="113">
        <v>0</v>
      </c>
      <c r="J186" s="114">
        <f t="shared" si="16"/>
        <v>0</v>
      </c>
      <c r="K186" s="113">
        <f t="shared" si="17"/>
        <v>0</v>
      </c>
      <c r="L186" s="113">
        <v>0</v>
      </c>
      <c r="M186" s="113">
        <v>0</v>
      </c>
      <c r="N186" s="113">
        <v>0</v>
      </c>
      <c r="O186" s="113">
        <v>0</v>
      </c>
      <c r="P186" s="113">
        <v>0</v>
      </c>
    </row>
    <row r="187" spans="2:16" ht="13.9" customHeight="1" outlineLevel="1" x14ac:dyDescent="0.25">
      <c r="B187" s="149"/>
      <c r="C187" s="150" t="s">
        <v>63</v>
      </c>
      <c r="D187" s="85">
        <v>0</v>
      </c>
      <c r="E187" s="86">
        <v>0</v>
      </c>
      <c r="F187" s="142">
        <f t="shared" si="15"/>
        <v>0</v>
      </c>
      <c r="G187" s="113">
        <v>0</v>
      </c>
      <c r="H187" s="86">
        <v>0</v>
      </c>
      <c r="I187" s="113">
        <v>0</v>
      </c>
      <c r="J187" s="114">
        <f t="shared" si="16"/>
        <v>0</v>
      </c>
      <c r="K187" s="113">
        <f t="shared" si="17"/>
        <v>0</v>
      </c>
      <c r="L187" s="113">
        <v>0</v>
      </c>
      <c r="M187" s="113">
        <v>0</v>
      </c>
      <c r="N187" s="113">
        <v>0</v>
      </c>
      <c r="O187" s="113">
        <v>0</v>
      </c>
      <c r="P187" s="113">
        <v>0</v>
      </c>
    </row>
    <row r="188" spans="2:16" ht="13.9" customHeight="1" outlineLevel="1" x14ac:dyDescent="0.25">
      <c r="B188" s="149"/>
      <c r="C188" s="150" t="s">
        <v>64</v>
      </c>
      <c r="D188" s="85">
        <v>0</v>
      </c>
      <c r="E188" s="86">
        <v>0</v>
      </c>
      <c r="F188" s="142">
        <f t="shared" si="15"/>
        <v>0</v>
      </c>
      <c r="G188" s="113">
        <v>0</v>
      </c>
      <c r="H188" s="86">
        <v>0</v>
      </c>
      <c r="I188" s="113">
        <v>0</v>
      </c>
      <c r="J188" s="114">
        <f t="shared" si="16"/>
        <v>0</v>
      </c>
      <c r="K188" s="113">
        <f t="shared" si="17"/>
        <v>0</v>
      </c>
      <c r="L188" s="113">
        <v>0</v>
      </c>
      <c r="M188" s="113">
        <v>0</v>
      </c>
      <c r="N188" s="113">
        <v>0</v>
      </c>
      <c r="O188" s="113">
        <v>0</v>
      </c>
      <c r="P188" s="113">
        <v>0</v>
      </c>
    </row>
    <row r="189" spans="2:16" ht="13.9" customHeight="1" outlineLevel="1" x14ac:dyDescent="0.25">
      <c r="B189" s="149"/>
      <c r="C189" s="150" t="s">
        <v>65</v>
      </c>
      <c r="D189" s="85">
        <v>0</v>
      </c>
      <c r="E189" s="86">
        <v>0</v>
      </c>
      <c r="F189" s="142">
        <f t="shared" si="15"/>
        <v>0</v>
      </c>
      <c r="G189" s="113">
        <v>0</v>
      </c>
      <c r="H189" s="86">
        <v>0</v>
      </c>
      <c r="I189" s="113">
        <v>0</v>
      </c>
      <c r="J189" s="114">
        <f t="shared" si="16"/>
        <v>0</v>
      </c>
      <c r="K189" s="113">
        <f t="shared" si="17"/>
        <v>0</v>
      </c>
      <c r="L189" s="113">
        <v>0</v>
      </c>
      <c r="M189" s="113">
        <v>0</v>
      </c>
      <c r="N189" s="113">
        <v>0</v>
      </c>
      <c r="O189" s="113">
        <v>0</v>
      </c>
      <c r="P189" s="113">
        <v>0</v>
      </c>
    </row>
    <row r="190" spans="2:16" ht="13.9" customHeight="1" outlineLevel="1" x14ac:dyDescent="0.25">
      <c r="B190" s="149"/>
      <c r="C190" s="150" t="s">
        <v>66</v>
      </c>
      <c r="D190" s="85">
        <v>0</v>
      </c>
      <c r="E190" s="86">
        <v>0</v>
      </c>
      <c r="F190" s="142">
        <f t="shared" si="15"/>
        <v>0</v>
      </c>
      <c r="G190" s="113">
        <v>0</v>
      </c>
      <c r="H190" s="86">
        <v>0</v>
      </c>
      <c r="I190" s="113">
        <v>0</v>
      </c>
      <c r="J190" s="114">
        <f t="shared" si="16"/>
        <v>0</v>
      </c>
      <c r="K190" s="113">
        <f t="shared" si="17"/>
        <v>0</v>
      </c>
      <c r="L190" s="113">
        <v>0</v>
      </c>
      <c r="M190" s="113">
        <v>0</v>
      </c>
      <c r="N190" s="113">
        <v>0</v>
      </c>
      <c r="O190" s="113">
        <v>0</v>
      </c>
      <c r="P190" s="113">
        <v>0</v>
      </c>
    </row>
    <row r="191" spans="2:16" ht="13.9" customHeight="1" outlineLevel="1" x14ac:dyDescent="0.25">
      <c r="B191" s="149"/>
      <c r="C191" s="150" t="s">
        <v>67</v>
      </c>
      <c r="D191" s="85">
        <v>0</v>
      </c>
      <c r="E191" s="86">
        <v>0</v>
      </c>
      <c r="F191" s="142">
        <f t="shared" si="15"/>
        <v>0</v>
      </c>
      <c r="G191" s="113">
        <v>0</v>
      </c>
      <c r="H191" s="86">
        <v>0</v>
      </c>
      <c r="I191" s="113">
        <v>0</v>
      </c>
      <c r="J191" s="114">
        <f t="shared" si="16"/>
        <v>0</v>
      </c>
      <c r="K191" s="113">
        <f t="shared" si="17"/>
        <v>0</v>
      </c>
      <c r="L191" s="113">
        <v>0</v>
      </c>
      <c r="M191" s="113">
        <v>0</v>
      </c>
      <c r="N191" s="113">
        <v>0</v>
      </c>
      <c r="O191" s="113">
        <v>0</v>
      </c>
      <c r="P191" s="113">
        <v>0</v>
      </c>
    </row>
    <row r="192" spans="2:16" ht="13.9" customHeight="1" x14ac:dyDescent="0.25">
      <c r="B192" s="149"/>
      <c r="C192" s="148" t="s">
        <v>103</v>
      </c>
      <c r="D192" s="90">
        <f>SUM(D155:D191)</f>
        <v>14</v>
      </c>
      <c r="E192" s="91">
        <f t="shared" ref="E192:P192" si="18">SUM(E155:E191)</f>
        <v>278431671.80000001</v>
      </c>
      <c r="F192" s="92">
        <f t="shared" si="18"/>
        <v>89493124.359999999</v>
      </c>
      <c r="G192" s="93">
        <f t="shared" si="18"/>
        <v>52424794.210000001</v>
      </c>
      <c r="H192" s="90">
        <f t="shared" si="18"/>
        <v>226006877.59</v>
      </c>
      <c r="I192" s="91">
        <f t="shared" si="18"/>
        <v>37068330.150000006</v>
      </c>
      <c r="J192" s="92">
        <f t="shared" si="18"/>
        <v>188938547.44</v>
      </c>
      <c r="K192" s="93">
        <f t="shared" si="18"/>
        <v>40161623.18</v>
      </c>
      <c r="L192" s="90">
        <f t="shared" si="18"/>
        <v>141861373.97999999</v>
      </c>
      <c r="M192" s="91">
        <f t="shared" si="18"/>
        <v>4952412.76</v>
      </c>
      <c r="N192" s="90">
        <f t="shared" si="18"/>
        <v>1963137.52</v>
      </c>
      <c r="O192" s="91">
        <f t="shared" si="18"/>
        <v>0</v>
      </c>
      <c r="P192" s="91">
        <f t="shared" si="18"/>
        <v>0</v>
      </c>
    </row>
    <row r="193" spans="2:16" ht="13.9" customHeight="1" outlineLevel="1" x14ac:dyDescent="0.25">
      <c r="B193" s="149" t="s">
        <v>83</v>
      </c>
      <c r="C193" s="150" t="s">
        <v>70</v>
      </c>
      <c r="D193" s="85">
        <v>15</v>
      </c>
      <c r="E193" s="86">
        <v>64318074.490000017</v>
      </c>
      <c r="F193" s="142">
        <f t="shared" si="15"/>
        <v>12863614.84</v>
      </c>
      <c r="G193" s="113">
        <v>12863611.779999999</v>
      </c>
      <c r="H193" s="86">
        <v>51454462.710000016</v>
      </c>
      <c r="I193" s="113">
        <v>3.0600000000000005</v>
      </c>
      <c r="J193" s="114">
        <f t="shared" si="16"/>
        <v>51454459.650000013</v>
      </c>
      <c r="K193" s="113">
        <f t="shared" si="17"/>
        <v>6431807.5300000235</v>
      </c>
      <c r="L193" s="113">
        <v>6431807.4199999981</v>
      </c>
      <c r="M193" s="113">
        <v>9120278.4299999997</v>
      </c>
      <c r="N193" s="113">
        <v>29470566.269999996</v>
      </c>
      <c r="O193" s="113">
        <v>0</v>
      </c>
      <c r="P193" s="113">
        <v>0</v>
      </c>
    </row>
    <row r="194" spans="2:16" ht="13.9" customHeight="1" outlineLevel="1" x14ac:dyDescent="0.25">
      <c r="B194" s="149"/>
      <c r="C194" s="150" t="s">
        <v>71</v>
      </c>
      <c r="D194" s="85">
        <v>0</v>
      </c>
      <c r="E194" s="86">
        <v>0</v>
      </c>
      <c r="F194" s="142">
        <f t="shared" si="15"/>
        <v>0</v>
      </c>
      <c r="G194" s="113">
        <v>0</v>
      </c>
      <c r="H194" s="86">
        <v>0</v>
      </c>
      <c r="I194" s="113">
        <v>0</v>
      </c>
      <c r="J194" s="114">
        <f t="shared" si="16"/>
        <v>0</v>
      </c>
      <c r="K194" s="113">
        <f t="shared" si="17"/>
        <v>0</v>
      </c>
      <c r="L194" s="113">
        <v>0</v>
      </c>
      <c r="M194" s="113">
        <v>0</v>
      </c>
      <c r="N194" s="113">
        <v>0</v>
      </c>
      <c r="O194" s="113">
        <v>0</v>
      </c>
      <c r="P194" s="113">
        <v>0</v>
      </c>
    </row>
    <row r="195" spans="2:16" ht="13.9" customHeight="1" outlineLevel="1" x14ac:dyDescent="0.25">
      <c r="B195" s="149"/>
      <c r="C195" s="150" t="s">
        <v>72</v>
      </c>
      <c r="D195" s="85">
        <v>0</v>
      </c>
      <c r="E195" s="86">
        <v>0</v>
      </c>
      <c r="F195" s="142">
        <f t="shared" si="15"/>
        <v>0</v>
      </c>
      <c r="G195" s="113">
        <v>0</v>
      </c>
      <c r="H195" s="86">
        <v>0</v>
      </c>
      <c r="I195" s="113">
        <v>0</v>
      </c>
      <c r="J195" s="114">
        <f t="shared" si="16"/>
        <v>0</v>
      </c>
      <c r="K195" s="113">
        <f t="shared" si="17"/>
        <v>0</v>
      </c>
      <c r="L195" s="113">
        <v>0</v>
      </c>
      <c r="M195" s="113">
        <v>0</v>
      </c>
      <c r="N195" s="113">
        <v>0</v>
      </c>
      <c r="O195" s="113">
        <v>0</v>
      </c>
      <c r="P195" s="113">
        <v>0</v>
      </c>
    </row>
    <row r="196" spans="2:16" ht="13.9" customHeight="1" x14ac:dyDescent="0.25">
      <c r="B196" s="149"/>
      <c r="C196" s="148" t="s">
        <v>104</v>
      </c>
      <c r="D196" s="90">
        <f>SUM(D193:D195)</f>
        <v>15</v>
      </c>
      <c r="E196" s="91">
        <f t="shared" ref="E196:P196" si="19">SUM(E193:E195)</f>
        <v>64318074.490000017</v>
      </c>
      <c r="F196" s="92">
        <f t="shared" si="19"/>
        <v>12863614.84</v>
      </c>
      <c r="G196" s="93">
        <f t="shared" si="19"/>
        <v>12863611.779999999</v>
      </c>
      <c r="H196" s="90">
        <f t="shared" si="19"/>
        <v>51454462.710000016</v>
      </c>
      <c r="I196" s="91">
        <f t="shared" si="19"/>
        <v>3.0600000000000005</v>
      </c>
      <c r="J196" s="92">
        <f t="shared" si="19"/>
        <v>51454459.650000013</v>
      </c>
      <c r="K196" s="93">
        <f t="shared" si="19"/>
        <v>6431807.5300000235</v>
      </c>
      <c r="L196" s="90">
        <f t="shared" si="19"/>
        <v>6431807.4199999981</v>
      </c>
      <c r="M196" s="91">
        <f t="shared" si="19"/>
        <v>9120278.4299999997</v>
      </c>
      <c r="N196" s="90">
        <f t="shared" si="19"/>
        <v>29470566.269999996</v>
      </c>
      <c r="O196" s="91">
        <f t="shared" si="19"/>
        <v>0</v>
      </c>
      <c r="P196" s="91">
        <f t="shared" si="19"/>
        <v>0</v>
      </c>
    </row>
    <row r="197" spans="2:16" ht="13.9" customHeight="1" outlineLevel="1" x14ac:dyDescent="0.25">
      <c r="B197" s="149" t="s">
        <v>105</v>
      </c>
      <c r="C197" s="150" t="s">
        <v>75</v>
      </c>
      <c r="D197" s="85">
        <v>0</v>
      </c>
      <c r="E197" s="86">
        <v>0</v>
      </c>
      <c r="F197" s="142">
        <f t="shared" si="15"/>
        <v>0</v>
      </c>
      <c r="G197" s="113">
        <v>0</v>
      </c>
      <c r="H197" s="86">
        <v>0</v>
      </c>
      <c r="I197" s="113">
        <v>0</v>
      </c>
      <c r="J197" s="114">
        <f t="shared" si="16"/>
        <v>0</v>
      </c>
      <c r="K197" s="113">
        <f t="shared" si="17"/>
        <v>0</v>
      </c>
      <c r="L197" s="113">
        <v>0</v>
      </c>
      <c r="M197" s="113">
        <v>0</v>
      </c>
      <c r="N197" s="113">
        <v>0</v>
      </c>
      <c r="O197" s="113">
        <v>0</v>
      </c>
      <c r="P197" s="113">
        <v>0</v>
      </c>
    </row>
    <row r="198" spans="2:16" ht="13.9" customHeight="1" outlineLevel="1" x14ac:dyDescent="0.25">
      <c r="B198" s="149"/>
      <c r="C198" s="150" t="s">
        <v>76</v>
      </c>
      <c r="D198" s="85">
        <v>0</v>
      </c>
      <c r="E198" s="86">
        <v>0</v>
      </c>
      <c r="F198" s="142">
        <f t="shared" si="15"/>
        <v>0</v>
      </c>
      <c r="G198" s="113">
        <v>0</v>
      </c>
      <c r="H198" s="86">
        <v>0</v>
      </c>
      <c r="I198" s="113">
        <v>0</v>
      </c>
      <c r="J198" s="114">
        <f t="shared" si="16"/>
        <v>0</v>
      </c>
      <c r="K198" s="113">
        <f t="shared" si="17"/>
        <v>0</v>
      </c>
      <c r="L198" s="113">
        <v>0</v>
      </c>
      <c r="M198" s="113">
        <v>0</v>
      </c>
      <c r="N198" s="113">
        <v>0</v>
      </c>
      <c r="O198" s="113">
        <v>0</v>
      </c>
      <c r="P198" s="113">
        <v>0</v>
      </c>
    </row>
    <row r="199" spans="2:16" ht="13.9" customHeight="1" x14ac:dyDescent="0.25">
      <c r="B199" s="149"/>
      <c r="C199" s="148" t="s">
        <v>106</v>
      </c>
      <c r="D199" s="90">
        <f>SUM(D197:D198)</f>
        <v>0</v>
      </c>
      <c r="E199" s="91">
        <f t="shared" ref="E199:P199" si="20">SUM(E197:E198)</f>
        <v>0</v>
      </c>
      <c r="F199" s="92">
        <f t="shared" si="20"/>
        <v>0</v>
      </c>
      <c r="G199" s="93">
        <f t="shared" si="20"/>
        <v>0</v>
      </c>
      <c r="H199" s="90">
        <f t="shared" si="20"/>
        <v>0</v>
      </c>
      <c r="I199" s="91">
        <f t="shared" si="20"/>
        <v>0</v>
      </c>
      <c r="J199" s="92">
        <f t="shared" si="20"/>
        <v>0</v>
      </c>
      <c r="K199" s="93">
        <f t="shared" si="20"/>
        <v>0</v>
      </c>
      <c r="L199" s="90">
        <f t="shared" si="20"/>
        <v>0</v>
      </c>
      <c r="M199" s="91">
        <f t="shared" si="20"/>
        <v>0</v>
      </c>
      <c r="N199" s="90">
        <f t="shared" si="20"/>
        <v>0</v>
      </c>
      <c r="O199" s="91">
        <f t="shared" si="20"/>
        <v>0</v>
      </c>
      <c r="P199" s="91">
        <f t="shared" si="20"/>
        <v>0</v>
      </c>
    </row>
    <row r="200" spans="2:16" ht="13.9" customHeight="1" x14ac:dyDescent="0.25">
      <c r="B200" s="155" t="s">
        <v>78</v>
      </c>
      <c r="C200" s="155"/>
      <c r="D200" s="90">
        <f>D192+D196+D199</f>
        <v>29</v>
      </c>
      <c r="E200" s="91">
        <f t="shared" ref="E200:P200" si="21">E192+E196+E199</f>
        <v>342749746.29000002</v>
      </c>
      <c r="F200" s="92">
        <f t="shared" si="21"/>
        <v>102356739.2</v>
      </c>
      <c r="G200" s="93">
        <f t="shared" si="21"/>
        <v>65288405.990000002</v>
      </c>
      <c r="H200" s="90">
        <f t="shared" si="21"/>
        <v>277461340.30000001</v>
      </c>
      <c r="I200" s="91">
        <f t="shared" si="21"/>
        <v>37068333.210000008</v>
      </c>
      <c r="J200" s="92">
        <f t="shared" si="21"/>
        <v>240393007.09</v>
      </c>
      <c r="K200" s="93">
        <f t="shared" si="21"/>
        <v>46593430.710000023</v>
      </c>
      <c r="L200" s="90">
        <f t="shared" si="21"/>
        <v>148293181.39999998</v>
      </c>
      <c r="M200" s="91">
        <f t="shared" si="21"/>
        <v>14072691.189999999</v>
      </c>
      <c r="N200" s="90">
        <f t="shared" si="21"/>
        <v>31433703.789999995</v>
      </c>
      <c r="O200" s="91">
        <f t="shared" si="21"/>
        <v>0</v>
      </c>
      <c r="P200" s="91">
        <f t="shared" si="21"/>
        <v>0</v>
      </c>
    </row>
    <row r="201" spans="2:16" ht="13.9" customHeight="1" x14ac:dyDescent="0.25"/>
    <row r="202" spans="2:16" ht="13.9" customHeight="1" x14ac:dyDescent="0.25"/>
    <row r="203" spans="2:16" ht="13.9" customHeight="1" x14ac:dyDescent="0.25">
      <c r="B203" s="107" t="s">
        <v>89</v>
      </c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</row>
    <row r="204" spans="2:16" ht="13.9" customHeight="1" x14ac:dyDescent="0.25">
      <c r="B204" s="154" t="s">
        <v>26</v>
      </c>
      <c r="C204" s="148" t="s">
        <v>27</v>
      </c>
      <c r="D204" s="109" t="s">
        <v>28</v>
      </c>
      <c r="E204" s="110" t="s">
        <v>29</v>
      </c>
      <c r="F204" s="111" t="s">
        <v>85</v>
      </c>
      <c r="G204" s="112" t="s">
        <v>81</v>
      </c>
      <c r="H204" s="110" t="s">
        <v>82</v>
      </c>
      <c r="I204" s="112" t="s">
        <v>86</v>
      </c>
      <c r="J204" s="110" t="s">
        <v>87</v>
      </c>
      <c r="K204" s="112">
        <v>2026</v>
      </c>
      <c r="L204" s="112">
        <v>2027</v>
      </c>
      <c r="M204" s="110">
        <v>2028</v>
      </c>
      <c r="N204" s="112">
        <v>2029</v>
      </c>
      <c r="O204" s="110">
        <v>2030</v>
      </c>
      <c r="P204" s="112">
        <v>2031</v>
      </c>
    </row>
    <row r="205" spans="2:16" ht="13.9" customHeight="1" outlineLevel="1" x14ac:dyDescent="0.25">
      <c r="B205" s="149" t="s">
        <v>30</v>
      </c>
      <c r="C205" s="150" t="s">
        <v>31</v>
      </c>
      <c r="D205" s="85">
        <v>0</v>
      </c>
      <c r="E205" s="86">
        <v>0</v>
      </c>
      <c r="F205" s="142">
        <f>G205+I205</f>
        <v>0</v>
      </c>
      <c r="G205" s="113">
        <v>0</v>
      </c>
      <c r="H205" s="86">
        <v>0</v>
      </c>
      <c r="I205" s="113">
        <v>0</v>
      </c>
      <c r="J205" s="114">
        <f t="shared" ref="J205:J248" si="22">H205-I205</f>
        <v>0</v>
      </c>
      <c r="K205" s="113">
        <f t="shared" ref="K205:K248" si="23">MAX(J205-SUM(L205:P205),0)</f>
        <v>0</v>
      </c>
      <c r="L205" s="113">
        <v>0</v>
      </c>
      <c r="M205" s="113">
        <v>0</v>
      </c>
      <c r="N205" s="113">
        <v>0</v>
      </c>
      <c r="O205" s="113">
        <v>0</v>
      </c>
      <c r="P205" s="113">
        <v>0</v>
      </c>
    </row>
    <row r="206" spans="2:16" ht="13.9" customHeight="1" outlineLevel="1" x14ac:dyDescent="0.25">
      <c r="B206" s="149"/>
      <c r="C206" s="150" t="s">
        <v>32</v>
      </c>
      <c r="D206" s="85">
        <v>0</v>
      </c>
      <c r="E206" s="86">
        <v>0</v>
      </c>
      <c r="F206" s="142">
        <f t="shared" ref="F206:F241" si="24">G206+I206</f>
        <v>0</v>
      </c>
      <c r="G206" s="113">
        <v>0</v>
      </c>
      <c r="H206" s="86">
        <v>0</v>
      </c>
      <c r="I206" s="113">
        <v>0</v>
      </c>
      <c r="J206" s="114">
        <f t="shared" si="22"/>
        <v>0</v>
      </c>
      <c r="K206" s="113">
        <f t="shared" si="23"/>
        <v>0</v>
      </c>
      <c r="L206" s="113">
        <v>0</v>
      </c>
      <c r="M206" s="113">
        <v>0</v>
      </c>
      <c r="N206" s="113">
        <v>0</v>
      </c>
      <c r="O206" s="113">
        <v>0</v>
      </c>
      <c r="P206" s="113">
        <v>0</v>
      </c>
    </row>
    <row r="207" spans="2:16" ht="13.9" customHeight="1" outlineLevel="1" x14ac:dyDescent="0.25">
      <c r="B207" s="149"/>
      <c r="C207" s="150" t="s">
        <v>33</v>
      </c>
      <c r="D207" s="85">
        <v>0</v>
      </c>
      <c r="E207" s="86">
        <v>0</v>
      </c>
      <c r="F207" s="142">
        <f t="shared" si="24"/>
        <v>0</v>
      </c>
      <c r="G207" s="113">
        <v>0</v>
      </c>
      <c r="H207" s="86">
        <v>0</v>
      </c>
      <c r="I207" s="113">
        <v>0</v>
      </c>
      <c r="J207" s="114">
        <f t="shared" si="22"/>
        <v>0</v>
      </c>
      <c r="K207" s="113">
        <f t="shared" si="23"/>
        <v>0</v>
      </c>
      <c r="L207" s="113">
        <v>0</v>
      </c>
      <c r="M207" s="113">
        <v>0</v>
      </c>
      <c r="N207" s="113">
        <v>0</v>
      </c>
      <c r="O207" s="113">
        <v>0</v>
      </c>
      <c r="P207" s="113">
        <v>0</v>
      </c>
    </row>
    <row r="208" spans="2:16" ht="13.9" customHeight="1" outlineLevel="1" x14ac:dyDescent="0.25">
      <c r="B208" s="149"/>
      <c r="C208" s="150" t="s">
        <v>34</v>
      </c>
      <c r="D208" s="85">
        <v>0</v>
      </c>
      <c r="E208" s="86">
        <v>0</v>
      </c>
      <c r="F208" s="142">
        <f t="shared" si="24"/>
        <v>0</v>
      </c>
      <c r="G208" s="113">
        <v>0</v>
      </c>
      <c r="H208" s="86">
        <v>0</v>
      </c>
      <c r="I208" s="113">
        <v>0</v>
      </c>
      <c r="J208" s="114">
        <f t="shared" si="22"/>
        <v>0</v>
      </c>
      <c r="K208" s="113">
        <f t="shared" si="23"/>
        <v>0</v>
      </c>
      <c r="L208" s="113">
        <v>0</v>
      </c>
      <c r="M208" s="113">
        <v>0</v>
      </c>
      <c r="N208" s="113">
        <v>0</v>
      </c>
      <c r="O208" s="113">
        <v>0</v>
      </c>
      <c r="P208" s="113">
        <v>0</v>
      </c>
    </row>
    <row r="209" spans="2:16" ht="13.9" customHeight="1" outlineLevel="1" x14ac:dyDescent="0.25">
      <c r="B209" s="149"/>
      <c r="C209" s="150" t="s">
        <v>35</v>
      </c>
      <c r="D209" s="85">
        <v>0</v>
      </c>
      <c r="E209" s="86">
        <v>0</v>
      </c>
      <c r="F209" s="142">
        <f t="shared" si="24"/>
        <v>0</v>
      </c>
      <c r="G209" s="113">
        <v>0</v>
      </c>
      <c r="H209" s="86">
        <v>0</v>
      </c>
      <c r="I209" s="113">
        <v>0</v>
      </c>
      <c r="J209" s="114">
        <f t="shared" si="22"/>
        <v>0</v>
      </c>
      <c r="K209" s="113">
        <f t="shared" si="23"/>
        <v>0</v>
      </c>
      <c r="L209" s="113">
        <v>0</v>
      </c>
      <c r="M209" s="113">
        <v>0</v>
      </c>
      <c r="N209" s="113">
        <v>0</v>
      </c>
      <c r="O209" s="113">
        <v>0</v>
      </c>
      <c r="P209" s="113">
        <v>0</v>
      </c>
    </row>
    <row r="210" spans="2:16" ht="13.9" customHeight="1" outlineLevel="1" x14ac:dyDescent="0.25">
      <c r="B210" s="149"/>
      <c r="C210" s="150" t="s">
        <v>36</v>
      </c>
      <c r="D210" s="85">
        <v>0</v>
      </c>
      <c r="E210" s="86">
        <v>0</v>
      </c>
      <c r="F210" s="142">
        <f t="shared" si="24"/>
        <v>0</v>
      </c>
      <c r="G210" s="113">
        <v>0</v>
      </c>
      <c r="H210" s="86">
        <v>0</v>
      </c>
      <c r="I210" s="113">
        <v>0</v>
      </c>
      <c r="J210" s="114">
        <f t="shared" si="22"/>
        <v>0</v>
      </c>
      <c r="K210" s="113">
        <f t="shared" si="23"/>
        <v>0</v>
      </c>
      <c r="L210" s="113">
        <v>0</v>
      </c>
      <c r="M210" s="113">
        <v>0</v>
      </c>
      <c r="N210" s="113">
        <v>0</v>
      </c>
      <c r="O210" s="113">
        <v>0</v>
      </c>
      <c r="P210" s="113">
        <v>0</v>
      </c>
    </row>
    <row r="211" spans="2:16" ht="13.9" customHeight="1" outlineLevel="1" x14ac:dyDescent="0.25">
      <c r="B211" s="149"/>
      <c r="C211" s="150" t="s">
        <v>37</v>
      </c>
      <c r="D211" s="85">
        <v>0</v>
      </c>
      <c r="E211" s="86">
        <v>0</v>
      </c>
      <c r="F211" s="142">
        <f t="shared" si="24"/>
        <v>0</v>
      </c>
      <c r="G211" s="113">
        <v>0</v>
      </c>
      <c r="H211" s="86">
        <v>0</v>
      </c>
      <c r="I211" s="113">
        <v>0</v>
      </c>
      <c r="J211" s="114">
        <f t="shared" si="22"/>
        <v>0</v>
      </c>
      <c r="K211" s="113">
        <f t="shared" si="23"/>
        <v>0</v>
      </c>
      <c r="L211" s="113">
        <v>0</v>
      </c>
      <c r="M211" s="113">
        <v>0</v>
      </c>
      <c r="N211" s="113">
        <v>0</v>
      </c>
      <c r="O211" s="113">
        <v>0</v>
      </c>
      <c r="P211" s="113">
        <v>0</v>
      </c>
    </row>
    <row r="212" spans="2:16" ht="13.9" customHeight="1" outlineLevel="1" x14ac:dyDescent="0.25">
      <c r="B212" s="149"/>
      <c r="C212" s="150" t="s">
        <v>38</v>
      </c>
      <c r="D212" s="85">
        <v>0</v>
      </c>
      <c r="E212" s="86">
        <v>0</v>
      </c>
      <c r="F212" s="142">
        <f t="shared" si="24"/>
        <v>0</v>
      </c>
      <c r="G212" s="113">
        <v>0</v>
      </c>
      <c r="H212" s="86">
        <v>0</v>
      </c>
      <c r="I212" s="113">
        <v>0</v>
      </c>
      <c r="J212" s="114">
        <f t="shared" si="22"/>
        <v>0</v>
      </c>
      <c r="K212" s="113">
        <f t="shared" si="23"/>
        <v>0</v>
      </c>
      <c r="L212" s="113">
        <v>0</v>
      </c>
      <c r="M212" s="113">
        <v>0</v>
      </c>
      <c r="N212" s="113">
        <v>0</v>
      </c>
      <c r="O212" s="113">
        <v>0</v>
      </c>
      <c r="P212" s="113">
        <v>0</v>
      </c>
    </row>
    <row r="213" spans="2:16" ht="13.9" customHeight="1" outlineLevel="1" x14ac:dyDescent="0.25">
      <c r="B213" s="149"/>
      <c r="C213" s="150" t="s">
        <v>39</v>
      </c>
      <c r="D213" s="85">
        <v>0</v>
      </c>
      <c r="E213" s="86">
        <v>0</v>
      </c>
      <c r="F213" s="142">
        <f t="shared" si="24"/>
        <v>0</v>
      </c>
      <c r="G213" s="113">
        <v>0</v>
      </c>
      <c r="H213" s="86">
        <v>0</v>
      </c>
      <c r="I213" s="113">
        <v>0</v>
      </c>
      <c r="J213" s="114">
        <f t="shared" si="22"/>
        <v>0</v>
      </c>
      <c r="K213" s="113">
        <f t="shared" si="23"/>
        <v>0</v>
      </c>
      <c r="L213" s="113">
        <v>0</v>
      </c>
      <c r="M213" s="113">
        <v>0</v>
      </c>
      <c r="N213" s="113">
        <v>0</v>
      </c>
      <c r="O213" s="113">
        <v>0</v>
      </c>
      <c r="P213" s="113">
        <v>0</v>
      </c>
    </row>
    <row r="214" spans="2:16" ht="13.9" customHeight="1" outlineLevel="1" x14ac:dyDescent="0.25">
      <c r="B214" s="149"/>
      <c r="C214" s="150" t="s">
        <v>40</v>
      </c>
      <c r="D214" s="85">
        <v>1</v>
      </c>
      <c r="E214" s="86">
        <v>25706160</v>
      </c>
      <c r="F214" s="142">
        <f t="shared" si="24"/>
        <v>10282464</v>
      </c>
      <c r="G214" s="113">
        <v>5142232</v>
      </c>
      <c r="H214" s="86">
        <v>20563928</v>
      </c>
      <c r="I214" s="113">
        <v>5140232</v>
      </c>
      <c r="J214" s="114">
        <f t="shared" si="22"/>
        <v>15423696</v>
      </c>
      <c r="K214" s="113">
        <f t="shared" si="23"/>
        <v>5141232</v>
      </c>
      <c r="L214" s="113">
        <v>10282464</v>
      </c>
      <c r="M214" s="113">
        <v>0</v>
      </c>
      <c r="N214" s="113">
        <v>0</v>
      </c>
      <c r="O214" s="113">
        <v>0</v>
      </c>
      <c r="P214" s="113">
        <v>0</v>
      </c>
    </row>
    <row r="215" spans="2:16" ht="13.9" customHeight="1" outlineLevel="1" x14ac:dyDescent="0.25">
      <c r="B215" s="149"/>
      <c r="C215" s="150" t="s">
        <v>41</v>
      </c>
      <c r="D215" s="85">
        <v>0</v>
      </c>
      <c r="E215" s="86">
        <v>0</v>
      </c>
      <c r="F215" s="142">
        <f t="shared" si="24"/>
        <v>0</v>
      </c>
      <c r="G215" s="113">
        <v>0</v>
      </c>
      <c r="H215" s="86">
        <v>0</v>
      </c>
      <c r="I215" s="113">
        <v>0</v>
      </c>
      <c r="J215" s="114">
        <f t="shared" si="22"/>
        <v>0</v>
      </c>
      <c r="K215" s="113">
        <f t="shared" si="23"/>
        <v>0</v>
      </c>
      <c r="L215" s="113">
        <v>0</v>
      </c>
      <c r="M215" s="113">
        <v>0</v>
      </c>
      <c r="N215" s="113">
        <v>0</v>
      </c>
      <c r="O215" s="113">
        <v>0</v>
      </c>
      <c r="P215" s="113">
        <v>0</v>
      </c>
    </row>
    <row r="216" spans="2:16" ht="13.9" customHeight="1" outlineLevel="1" x14ac:dyDescent="0.25">
      <c r="B216" s="149"/>
      <c r="C216" s="150" t="s">
        <v>42</v>
      </c>
      <c r="D216" s="85">
        <v>0</v>
      </c>
      <c r="E216" s="86">
        <v>0</v>
      </c>
      <c r="F216" s="142">
        <f t="shared" si="24"/>
        <v>0</v>
      </c>
      <c r="G216" s="113">
        <v>0</v>
      </c>
      <c r="H216" s="86">
        <v>0</v>
      </c>
      <c r="I216" s="113">
        <v>0</v>
      </c>
      <c r="J216" s="114">
        <f t="shared" si="22"/>
        <v>0</v>
      </c>
      <c r="K216" s="113">
        <f t="shared" si="23"/>
        <v>0</v>
      </c>
      <c r="L216" s="113">
        <v>0</v>
      </c>
      <c r="M216" s="113">
        <v>0</v>
      </c>
      <c r="N216" s="113">
        <v>0</v>
      </c>
      <c r="O216" s="113">
        <v>0</v>
      </c>
      <c r="P216" s="113">
        <v>0</v>
      </c>
    </row>
    <row r="217" spans="2:16" ht="13.9" customHeight="1" outlineLevel="1" x14ac:dyDescent="0.25">
      <c r="B217" s="149"/>
      <c r="C217" s="150" t="s">
        <v>43</v>
      </c>
      <c r="D217" s="85">
        <v>3</v>
      </c>
      <c r="E217" s="86">
        <v>72074200</v>
      </c>
      <c r="F217" s="142">
        <f t="shared" si="24"/>
        <v>22704651</v>
      </c>
      <c r="G217" s="113">
        <v>16072443</v>
      </c>
      <c r="H217" s="86">
        <v>56001757</v>
      </c>
      <c r="I217" s="113">
        <v>6632208</v>
      </c>
      <c r="J217" s="114">
        <f t="shared" si="22"/>
        <v>49369549</v>
      </c>
      <c r="K217" s="113">
        <f t="shared" si="23"/>
        <v>23747738</v>
      </c>
      <c r="L217" s="113">
        <v>25621811</v>
      </c>
      <c r="M217" s="113">
        <v>0</v>
      </c>
      <c r="N217" s="113">
        <v>0</v>
      </c>
      <c r="O217" s="113">
        <v>0</v>
      </c>
      <c r="P217" s="113">
        <v>0</v>
      </c>
    </row>
    <row r="218" spans="2:16" ht="13.9" customHeight="1" outlineLevel="1" x14ac:dyDescent="0.25">
      <c r="B218" s="149"/>
      <c r="C218" s="150" t="s">
        <v>44</v>
      </c>
      <c r="D218" s="85">
        <v>1</v>
      </c>
      <c r="E218" s="86">
        <v>7941688</v>
      </c>
      <c r="F218" s="142">
        <f t="shared" si="24"/>
        <v>1588338.6</v>
      </c>
      <c r="G218" s="113">
        <v>1588338.6</v>
      </c>
      <c r="H218" s="86">
        <v>6353349.4000000004</v>
      </c>
      <c r="I218" s="113">
        <v>0</v>
      </c>
      <c r="J218" s="114">
        <f t="shared" si="22"/>
        <v>6353349.4000000004</v>
      </c>
      <c r="K218" s="113">
        <f t="shared" si="23"/>
        <v>794167.80000000075</v>
      </c>
      <c r="L218" s="113">
        <v>1588337.6</v>
      </c>
      <c r="M218" s="113">
        <v>3970844</v>
      </c>
      <c r="N218" s="113">
        <v>0</v>
      </c>
      <c r="O218" s="113">
        <v>0</v>
      </c>
      <c r="P218" s="113">
        <v>0</v>
      </c>
    </row>
    <row r="219" spans="2:16" ht="13.9" customHeight="1" outlineLevel="1" x14ac:dyDescent="0.25">
      <c r="B219" s="149"/>
      <c r="C219" s="150" t="s">
        <v>45</v>
      </c>
      <c r="D219" s="85">
        <v>1</v>
      </c>
      <c r="E219" s="86">
        <v>3208873.2</v>
      </c>
      <c r="F219" s="142">
        <f t="shared" si="24"/>
        <v>641887.36</v>
      </c>
      <c r="G219" s="113">
        <v>641887.36</v>
      </c>
      <c r="H219" s="86">
        <v>2566985.8400000003</v>
      </c>
      <c r="I219" s="113">
        <v>0</v>
      </c>
      <c r="J219" s="114">
        <f t="shared" si="22"/>
        <v>2566985.8400000003</v>
      </c>
      <c r="K219" s="113">
        <f t="shared" si="23"/>
        <v>320774.60000000009</v>
      </c>
      <c r="L219" s="113">
        <v>320887.32</v>
      </c>
      <c r="M219" s="113">
        <v>641774.64</v>
      </c>
      <c r="N219" s="113">
        <v>1283549.28</v>
      </c>
      <c r="O219" s="113">
        <v>0</v>
      </c>
      <c r="P219" s="113">
        <v>0</v>
      </c>
    </row>
    <row r="220" spans="2:16" ht="13.9" customHeight="1" outlineLevel="1" x14ac:dyDescent="0.25">
      <c r="B220" s="149"/>
      <c r="C220" s="150" t="s">
        <v>46</v>
      </c>
      <c r="D220" s="85">
        <v>0</v>
      </c>
      <c r="E220" s="86">
        <v>0</v>
      </c>
      <c r="F220" s="142">
        <f t="shared" si="24"/>
        <v>0</v>
      </c>
      <c r="G220" s="113">
        <v>0</v>
      </c>
      <c r="H220" s="86">
        <v>0</v>
      </c>
      <c r="I220" s="113">
        <v>0</v>
      </c>
      <c r="J220" s="114">
        <f t="shared" si="22"/>
        <v>0</v>
      </c>
      <c r="K220" s="113">
        <f t="shared" si="23"/>
        <v>0</v>
      </c>
      <c r="L220" s="113">
        <v>0</v>
      </c>
      <c r="M220" s="113">
        <v>0</v>
      </c>
      <c r="N220" s="113">
        <v>0</v>
      </c>
      <c r="O220" s="113">
        <v>0</v>
      </c>
      <c r="P220" s="113">
        <v>0</v>
      </c>
    </row>
    <row r="221" spans="2:16" ht="13.9" customHeight="1" outlineLevel="1" x14ac:dyDescent="0.25">
      <c r="B221" s="149"/>
      <c r="C221" s="150" t="s">
        <v>47</v>
      </c>
      <c r="D221" s="85">
        <v>0</v>
      </c>
      <c r="E221" s="86">
        <v>0</v>
      </c>
      <c r="F221" s="142">
        <f t="shared" si="24"/>
        <v>0</v>
      </c>
      <c r="G221" s="113">
        <v>0</v>
      </c>
      <c r="H221" s="86">
        <v>0</v>
      </c>
      <c r="I221" s="113">
        <v>0</v>
      </c>
      <c r="J221" s="114">
        <f t="shared" si="22"/>
        <v>0</v>
      </c>
      <c r="K221" s="113">
        <f t="shared" si="23"/>
        <v>0</v>
      </c>
      <c r="L221" s="113">
        <v>0</v>
      </c>
      <c r="M221" s="113">
        <v>0</v>
      </c>
      <c r="N221" s="113">
        <v>0</v>
      </c>
      <c r="O221" s="113">
        <v>0</v>
      </c>
      <c r="P221" s="113">
        <v>0</v>
      </c>
    </row>
    <row r="222" spans="2:16" ht="13.9" customHeight="1" outlineLevel="1" x14ac:dyDescent="0.25">
      <c r="B222" s="149"/>
      <c r="C222" s="150" t="s">
        <v>48</v>
      </c>
      <c r="D222" s="85">
        <v>0</v>
      </c>
      <c r="E222" s="86">
        <v>0</v>
      </c>
      <c r="F222" s="142">
        <f t="shared" si="24"/>
        <v>0</v>
      </c>
      <c r="G222" s="113">
        <v>0</v>
      </c>
      <c r="H222" s="86">
        <v>0</v>
      </c>
      <c r="I222" s="113">
        <v>0</v>
      </c>
      <c r="J222" s="114">
        <f t="shared" si="22"/>
        <v>0</v>
      </c>
      <c r="K222" s="113">
        <f t="shared" si="23"/>
        <v>0</v>
      </c>
      <c r="L222" s="113">
        <v>0</v>
      </c>
      <c r="M222" s="113">
        <v>0</v>
      </c>
      <c r="N222" s="113">
        <v>0</v>
      </c>
      <c r="O222" s="113">
        <v>0</v>
      </c>
      <c r="P222" s="113">
        <v>0</v>
      </c>
    </row>
    <row r="223" spans="2:16" ht="13.9" customHeight="1" outlineLevel="1" x14ac:dyDescent="0.25">
      <c r="B223" s="149"/>
      <c r="C223" s="150" t="s">
        <v>49</v>
      </c>
      <c r="D223" s="85">
        <v>0</v>
      </c>
      <c r="E223" s="86">
        <v>0</v>
      </c>
      <c r="F223" s="142">
        <f t="shared" si="24"/>
        <v>0</v>
      </c>
      <c r="G223" s="113">
        <v>0</v>
      </c>
      <c r="H223" s="86">
        <v>0</v>
      </c>
      <c r="I223" s="113">
        <v>0</v>
      </c>
      <c r="J223" s="114">
        <f t="shared" si="22"/>
        <v>0</v>
      </c>
      <c r="K223" s="113">
        <f t="shared" si="23"/>
        <v>0</v>
      </c>
      <c r="L223" s="113">
        <v>0</v>
      </c>
      <c r="M223" s="113">
        <v>0</v>
      </c>
      <c r="N223" s="113">
        <v>0</v>
      </c>
      <c r="O223" s="113">
        <v>0</v>
      </c>
      <c r="P223" s="113">
        <v>0</v>
      </c>
    </row>
    <row r="224" spans="2:16" ht="13.9" customHeight="1" outlineLevel="1" x14ac:dyDescent="0.25">
      <c r="B224" s="149"/>
      <c r="C224" s="150" t="s">
        <v>50</v>
      </c>
      <c r="D224" s="85">
        <v>0</v>
      </c>
      <c r="E224" s="86">
        <v>0</v>
      </c>
      <c r="F224" s="142">
        <f t="shared" si="24"/>
        <v>0</v>
      </c>
      <c r="G224" s="113">
        <v>0</v>
      </c>
      <c r="H224" s="86">
        <v>0</v>
      </c>
      <c r="I224" s="113">
        <v>0</v>
      </c>
      <c r="J224" s="114">
        <f t="shared" si="22"/>
        <v>0</v>
      </c>
      <c r="K224" s="113">
        <f t="shared" si="23"/>
        <v>0</v>
      </c>
      <c r="L224" s="113">
        <v>0</v>
      </c>
      <c r="M224" s="113">
        <v>0</v>
      </c>
      <c r="N224" s="113">
        <v>0</v>
      </c>
      <c r="O224" s="113">
        <v>0</v>
      </c>
      <c r="P224" s="113">
        <v>0</v>
      </c>
    </row>
    <row r="225" spans="2:16" ht="13.9" customHeight="1" outlineLevel="1" x14ac:dyDescent="0.25">
      <c r="B225" s="149"/>
      <c r="C225" s="150" t="s">
        <v>51</v>
      </c>
      <c r="D225" s="85">
        <v>1</v>
      </c>
      <c r="E225" s="86">
        <v>1095831.8999999999</v>
      </c>
      <c r="F225" s="142">
        <f t="shared" si="24"/>
        <v>328749.57</v>
      </c>
      <c r="G225" s="113">
        <v>328749</v>
      </c>
      <c r="H225" s="86">
        <v>767082.89999999991</v>
      </c>
      <c r="I225" s="113">
        <v>0.56999999999999995</v>
      </c>
      <c r="J225" s="114">
        <f t="shared" si="22"/>
        <v>767082.33</v>
      </c>
      <c r="K225" s="113">
        <f t="shared" si="23"/>
        <v>109583.18999999994</v>
      </c>
      <c r="L225" s="113">
        <v>657499.14</v>
      </c>
      <c r="M225" s="113">
        <v>0</v>
      </c>
      <c r="N225" s="113">
        <v>0</v>
      </c>
      <c r="O225" s="113">
        <v>0</v>
      </c>
      <c r="P225" s="113">
        <v>0</v>
      </c>
    </row>
    <row r="226" spans="2:16" ht="13.9" customHeight="1" outlineLevel="1" x14ac:dyDescent="0.25">
      <c r="B226" s="149"/>
      <c r="C226" s="150" t="s">
        <v>52</v>
      </c>
      <c r="D226" s="85">
        <v>0</v>
      </c>
      <c r="E226" s="86">
        <v>0</v>
      </c>
      <c r="F226" s="142">
        <f t="shared" si="24"/>
        <v>0</v>
      </c>
      <c r="G226" s="113">
        <v>0</v>
      </c>
      <c r="H226" s="86">
        <v>0</v>
      </c>
      <c r="I226" s="113">
        <v>0</v>
      </c>
      <c r="J226" s="114">
        <f t="shared" si="22"/>
        <v>0</v>
      </c>
      <c r="K226" s="113">
        <f t="shared" si="23"/>
        <v>0</v>
      </c>
      <c r="L226" s="113">
        <v>0</v>
      </c>
      <c r="M226" s="113">
        <v>0</v>
      </c>
      <c r="N226" s="113">
        <v>0</v>
      </c>
      <c r="O226" s="113">
        <v>0</v>
      </c>
      <c r="P226" s="113">
        <v>0</v>
      </c>
    </row>
    <row r="227" spans="2:16" ht="13.9" customHeight="1" outlineLevel="1" x14ac:dyDescent="0.25">
      <c r="B227" s="149"/>
      <c r="C227" s="150" t="s">
        <v>53</v>
      </c>
      <c r="D227" s="85">
        <v>1</v>
      </c>
      <c r="E227" s="86">
        <v>3071727.45</v>
      </c>
      <c r="F227" s="142">
        <f t="shared" si="24"/>
        <v>614346.75</v>
      </c>
      <c r="G227" s="113">
        <v>614346.75</v>
      </c>
      <c r="H227" s="86">
        <v>2457380.7000000002</v>
      </c>
      <c r="I227" s="113">
        <v>0</v>
      </c>
      <c r="J227" s="114">
        <f t="shared" si="22"/>
        <v>2457380.7000000002</v>
      </c>
      <c r="K227" s="113">
        <f t="shared" si="23"/>
        <v>614344.2200000002</v>
      </c>
      <c r="L227" s="113">
        <v>614345.5</v>
      </c>
      <c r="M227" s="113">
        <v>1228690.98</v>
      </c>
      <c r="N227" s="113">
        <v>0</v>
      </c>
      <c r="O227" s="113">
        <v>0</v>
      </c>
      <c r="P227" s="113">
        <v>0</v>
      </c>
    </row>
    <row r="228" spans="2:16" ht="13.9" customHeight="1" outlineLevel="1" x14ac:dyDescent="0.25">
      <c r="B228" s="149"/>
      <c r="C228" s="150" t="s">
        <v>54</v>
      </c>
      <c r="D228" s="85">
        <v>0</v>
      </c>
      <c r="E228" s="86">
        <v>0</v>
      </c>
      <c r="F228" s="142">
        <f t="shared" si="24"/>
        <v>0</v>
      </c>
      <c r="G228" s="113">
        <v>0</v>
      </c>
      <c r="H228" s="86">
        <v>0</v>
      </c>
      <c r="I228" s="113">
        <v>0</v>
      </c>
      <c r="J228" s="114">
        <f t="shared" si="22"/>
        <v>0</v>
      </c>
      <c r="K228" s="113">
        <f t="shared" si="23"/>
        <v>0</v>
      </c>
      <c r="L228" s="113">
        <v>0</v>
      </c>
      <c r="M228" s="113">
        <v>0</v>
      </c>
      <c r="N228" s="113">
        <v>0</v>
      </c>
      <c r="O228" s="113">
        <v>0</v>
      </c>
      <c r="P228" s="113">
        <v>0</v>
      </c>
    </row>
    <row r="229" spans="2:16" ht="13.9" customHeight="1" outlineLevel="1" x14ac:dyDescent="0.25">
      <c r="B229" s="149"/>
      <c r="C229" s="150" t="s">
        <v>55</v>
      </c>
      <c r="D229" s="85">
        <v>0</v>
      </c>
      <c r="E229" s="86">
        <v>0</v>
      </c>
      <c r="F229" s="142">
        <f t="shared" si="24"/>
        <v>0</v>
      </c>
      <c r="G229" s="113">
        <v>0</v>
      </c>
      <c r="H229" s="86">
        <v>0</v>
      </c>
      <c r="I229" s="113">
        <v>0</v>
      </c>
      <c r="J229" s="114">
        <f t="shared" si="22"/>
        <v>0</v>
      </c>
      <c r="K229" s="113">
        <f t="shared" si="23"/>
        <v>0</v>
      </c>
      <c r="L229" s="113">
        <v>0</v>
      </c>
      <c r="M229" s="113">
        <v>0</v>
      </c>
      <c r="N229" s="113">
        <v>0</v>
      </c>
      <c r="O229" s="113">
        <v>0</v>
      </c>
      <c r="P229" s="113">
        <v>0</v>
      </c>
    </row>
    <row r="230" spans="2:16" ht="13.9" customHeight="1" outlineLevel="1" x14ac:dyDescent="0.25">
      <c r="B230" s="149"/>
      <c r="C230" s="150" t="s">
        <v>56</v>
      </c>
      <c r="D230" s="85">
        <v>0</v>
      </c>
      <c r="E230" s="86">
        <v>0</v>
      </c>
      <c r="F230" s="142">
        <f t="shared" si="24"/>
        <v>0</v>
      </c>
      <c r="G230" s="113">
        <v>0</v>
      </c>
      <c r="H230" s="86">
        <v>0</v>
      </c>
      <c r="I230" s="113">
        <v>0</v>
      </c>
      <c r="J230" s="114">
        <f t="shared" si="22"/>
        <v>0</v>
      </c>
      <c r="K230" s="113">
        <f t="shared" si="23"/>
        <v>0</v>
      </c>
      <c r="L230" s="113">
        <v>0</v>
      </c>
      <c r="M230" s="113">
        <v>0</v>
      </c>
      <c r="N230" s="113">
        <v>0</v>
      </c>
      <c r="O230" s="113">
        <v>0</v>
      </c>
      <c r="P230" s="113">
        <v>0</v>
      </c>
    </row>
    <row r="231" spans="2:16" ht="13.9" customHeight="1" outlineLevel="1" x14ac:dyDescent="0.25">
      <c r="B231" s="149"/>
      <c r="C231" s="150" t="s">
        <v>57</v>
      </c>
      <c r="D231" s="85">
        <v>0</v>
      </c>
      <c r="E231" s="86">
        <v>0</v>
      </c>
      <c r="F231" s="142">
        <f t="shared" si="24"/>
        <v>0</v>
      </c>
      <c r="G231" s="113">
        <v>0</v>
      </c>
      <c r="H231" s="86">
        <v>0</v>
      </c>
      <c r="I231" s="113">
        <v>0</v>
      </c>
      <c r="J231" s="114">
        <f t="shared" si="22"/>
        <v>0</v>
      </c>
      <c r="K231" s="113">
        <f t="shared" si="23"/>
        <v>0</v>
      </c>
      <c r="L231" s="113">
        <v>0</v>
      </c>
      <c r="M231" s="113">
        <v>0</v>
      </c>
      <c r="N231" s="113">
        <v>0</v>
      </c>
      <c r="O231" s="113">
        <v>0</v>
      </c>
      <c r="P231" s="113">
        <v>0</v>
      </c>
    </row>
    <row r="232" spans="2:16" ht="13.9" customHeight="1" outlineLevel="1" x14ac:dyDescent="0.25">
      <c r="B232" s="149"/>
      <c r="C232" s="150" t="s">
        <v>58</v>
      </c>
      <c r="D232" s="85">
        <v>0</v>
      </c>
      <c r="E232" s="86">
        <v>0</v>
      </c>
      <c r="F232" s="142">
        <f t="shared" si="24"/>
        <v>0</v>
      </c>
      <c r="G232" s="113">
        <v>0</v>
      </c>
      <c r="H232" s="86">
        <v>0</v>
      </c>
      <c r="I232" s="113">
        <v>0</v>
      </c>
      <c r="J232" s="114">
        <f t="shared" si="22"/>
        <v>0</v>
      </c>
      <c r="K232" s="113">
        <f t="shared" si="23"/>
        <v>0</v>
      </c>
      <c r="L232" s="113">
        <v>0</v>
      </c>
      <c r="M232" s="113">
        <v>0</v>
      </c>
      <c r="N232" s="113">
        <v>0</v>
      </c>
      <c r="O232" s="113">
        <v>0</v>
      </c>
      <c r="P232" s="113">
        <v>0</v>
      </c>
    </row>
    <row r="233" spans="2:16" ht="13.9" customHeight="1" outlineLevel="1" x14ac:dyDescent="0.25">
      <c r="B233" s="149"/>
      <c r="C233" s="150" t="s">
        <v>59</v>
      </c>
      <c r="D233" s="85">
        <v>0</v>
      </c>
      <c r="E233" s="86">
        <v>0</v>
      </c>
      <c r="F233" s="142">
        <f t="shared" si="24"/>
        <v>0</v>
      </c>
      <c r="G233" s="113">
        <v>0</v>
      </c>
      <c r="H233" s="86">
        <v>0</v>
      </c>
      <c r="I233" s="113">
        <v>0</v>
      </c>
      <c r="J233" s="114">
        <f t="shared" si="22"/>
        <v>0</v>
      </c>
      <c r="K233" s="113">
        <f t="shared" si="23"/>
        <v>0</v>
      </c>
      <c r="L233" s="113">
        <v>0</v>
      </c>
      <c r="M233" s="113">
        <v>0</v>
      </c>
      <c r="N233" s="113">
        <v>0</v>
      </c>
      <c r="O233" s="113">
        <v>0</v>
      </c>
      <c r="P233" s="113">
        <v>0</v>
      </c>
    </row>
    <row r="234" spans="2:16" ht="13.9" customHeight="1" outlineLevel="1" x14ac:dyDescent="0.25">
      <c r="B234" s="149"/>
      <c r="C234" s="150" t="s">
        <v>60</v>
      </c>
      <c r="D234" s="85">
        <v>0</v>
      </c>
      <c r="E234" s="86">
        <v>0</v>
      </c>
      <c r="F234" s="142">
        <f t="shared" si="24"/>
        <v>0</v>
      </c>
      <c r="G234" s="113">
        <v>0</v>
      </c>
      <c r="H234" s="86">
        <v>0</v>
      </c>
      <c r="I234" s="113">
        <v>0</v>
      </c>
      <c r="J234" s="114">
        <f t="shared" si="22"/>
        <v>0</v>
      </c>
      <c r="K234" s="113">
        <f t="shared" si="23"/>
        <v>0</v>
      </c>
      <c r="L234" s="113">
        <v>0</v>
      </c>
      <c r="M234" s="113">
        <v>0</v>
      </c>
      <c r="N234" s="113">
        <v>0</v>
      </c>
      <c r="O234" s="113">
        <v>0</v>
      </c>
      <c r="P234" s="113">
        <v>0</v>
      </c>
    </row>
    <row r="235" spans="2:16" ht="13.9" customHeight="1" outlineLevel="1" x14ac:dyDescent="0.25">
      <c r="B235" s="149"/>
      <c r="C235" s="150" t="s">
        <v>61</v>
      </c>
      <c r="D235" s="85">
        <v>1</v>
      </c>
      <c r="E235" s="86">
        <v>5658858</v>
      </c>
      <c r="F235" s="142">
        <f t="shared" si="24"/>
        <v>1131772</v>
      </c>
      <c r="G235" s="113">
        <v>1131772</v>
      </c>
      <c r="H235" s="86">
        <v>4527086</v>
      </c>
      <c r="I235" s="113">
        <v>0</v>
      </c>
      <c r="J235" s="114">
        <f t="shared" si="22"/>
        <v>4527086</v>
      </c>
      <c r="K235" s="113">
        <f t="shared" si="23"/>
        <v>565885.39999999944</v>
      </c>
      <c r="L235" s="113">
        <v>565885.80000000005</v>
      </c>
      <c r="M235" s="113">
        <v>1131771.6000000001</v>
      </c>
      <c r="N235" s="113">
        <v>2263543.2000000002</v>
      </c>
      <c r="O235" s="113">
        <v>0</v>
      </c>
      <c r="P235" s="113">
        <v>0</v>
      </c>
    </row>
    <row r="236" spans="2:16" ht="13.9" customHeight="1" outlineLevel="1" x14ac:dyDescent="0.25">
      <c r="B236" s="149"/>
      <c r="C236" s="150" t="s">
        <v>62</v>
      </c>
      <c r="D236" s="85">
        <v>0</v>
      </c>
      <c r="E236" s="86">
        <v>0</v>
      </c>
      <c r="F236" s="142">
        <f t="shared" si="24"/>
        <v>0</v>
      </c>
      <c r="G236" s="113">
        <v>0</v>
      </c>
      <c r="H236" s="86">
        <v>0</v>
      </c>
      <c r="I236" s="113">
        <v>0</v>
      </c>
      <c r="J236" s="114">
        <f t="shared" si="22"/>
        <v>0</v>
      </c>
      <c r="K236" s="113">
        <f t="shared" si="23"/>
        <v>0</v>
      </c>
      <c r="L236" s="113">
        <v>0</v>
      </c>
      <c r="M236" s="113">
        <v>0</v>
      </c>
      <c r="N236" s="113">
        <v>0</v>
      </c>
      <c r="O236" s="113">
        <v>0</v>
      </c>
      <c r="P236" s="113">
        <v>0</v>
      </c>
    </row>
    <row r="237" spans="2:16" ht="13.9" customHeight="1" outlineLevel="1" x14ac:dyDescent="0.25">
      <c r="B237" s="149"/>
      <c r="C237" s="150" t="s">
        <v>63</v>
      </c>
      <c r="D237" s="85">
        <v>0</v>
      </c>
      <c r="E237" s="86">
        <v>0</v>
      </c>
      <c r="F237" s="142">
        <f t="shared" si="24"/>
        <v>0</v>
      </c>
      <c r="G237" s="113">
        <v>0</v>
      </c>
      <c r="H237" s="86">
        <v>0</v>
      </c>
      <c r="I237" s="113">
        <v>0</v>
      </c>
      <c r="J237" s="114">
        <f t="shared" si="22"/>
        <v>0</v>
      </c>
      <c r="K237" s="113">
        <f t="shared" si="23"/>
        <v>0</v>
      </c>
      <c r="L237" s="113">
        <v>0</v>
      </c>
      <c r="M237" s="113">
        <v>0</v>
      </c>
      <c r="N237" s="113">
        <v>0</v>
      </c>
      <c r="O237" s="113">
        <v>0</v>
      </c>
      <c r="P237" s="113">
        <v>0</v>
      </c>
    </row>
    <row r="238" spans="2:16" ht="13.9" customHeight="1" outlineLevel="1" x14ac:dyDescent="0.25">
      <c r="B238" s="149"/>
      <c r="C238" s="150" t="s">
        <v>64</v>
      </c>
      <c r="D238" s="85">
        <v>0</v>
      </c>
      <c r="E238" s="86">
        <v>0</v>
      </c>
      <c r="F238" s="142">
        <f t="shared" si="24"/>
        <v>0</v>
      </c>
      <c r="G238" s="113">
        <v>0</v>
      </c>
      <c r="H238" s="86">
        <v>0</v>
      </c>
      <c r="I238" s="113">
        <v>0</v>
      </c>
      <c r="J238" s="114">
        <f t="shared" si="22"/>
        <v>0</v>
      </c>
      <c r="K238" s="113">
        <f t="shared" si="23"/>
        <v>0</v>
      </c>
      <c r="L238" s="113">
        <v>0</v>
      </c>
      <c r="M238" s="113">
        <v>0</v>
      </c>
      <c r="N238" s="113">
        <v>0</v>
      </c>
      <c r="O238" s="113">
        <v>0</v>
      </c>
      <c r="P238" s="113">
        <v>0</v>
      </c>
    </row>
    <row r="239" spans="2:16" ht="13.9" customHeight="1" outlineLevel="1" x14ac:dyDescent="0.25">
      <c r="B239" s="149"/>
      <c r="C239" s="150" t="s">
        <v>65</v>
      </c>
      <c r="D239" s="85">
        <v>0</v>
      </c>
      <c r="E239" s="86">
        <v>0</v>
      </c>
      <c r="F239" s="142">
        <f t="shared" si="24"/>
        <v>0</v>
      </c>
      <c r="G239" s="113">
        <v>0</v>
      </c>
      <c r="H239" s="86">
        <v>0</v>
      </c>
      <c r="I239" s="113">
        <v>0</v>
      </c>
      <c r="J239" s="114">
        <f t="shared" si="22"/>
        <v>0</v>
      </c>
      <c r="K239" s="113">
        <f t="shared" si="23"/>
        <v>0</v>
      </c>
      <c r="L239" s="113">
        <v>0</v>
      </c>
      <c r="M239" s="113">
        <v>0</v>
      </c>
      <c r="N239" s="113">
        <v>0</v>
      </c>
      <c r="O239" s="113">
        <v>0</v>
      </c>
      <c r="P239" s="113">
        <v>0</v>
      </c>
    </row>
    <row r="240" spans="2:16" ht="13.9" customHeight="1" outlineLevel="1" x14ac:dyDescent="0.25">
      <c r="B240" s="149"/>
      <c r="C240" s="150" t="s">
        <v>66</v>
      </c>
      <c r="D240" s="85">
        <v>0</v>
      </c>
      <c r="E240" s="86">
        <v>0</v>
      </c>
      <c r="F240" s="142">
        <f t="shared" si="24"/>
        <v>0</v>
      </c>
      <c r="G240" s="113">
        <v>0</v>
      </c>
      <c r="H240" s="86">
        <v>0</v>
      </c>
      <c r="I240" s="113">
        <v>0</v>
      </c>
      <c r="J240" s="114">
        <f t="shared" si="22"/>
        <v>0</v>
      </c>
      <c r="K240" s="113">
        <f t="shared" si="23"/>
        <v>0</v>
      </c>
      <c r="L240" s="113">
        <v>0</v>
      </c>
      <c r="M240" s="113">
        <v>0</v>
      </c>
      <c r="N240" s="113">
        <v>0</v>
      </c>
      <c r="O240" s="113">
        <v>0</v>
      </c>
      <c r="P240" s="113">
        <v>0</v>
      </c>
    </row>
    <row r="241" spans="2:16" ht="13.9" customHeight="1" outlineLevel="1" x14ac:dyDescent="0.25">
      <c r="B241" s="149"/>
      <c r="C241" s="150" t="s">
        <v>67</v>
      </c>
      <c r="D241" s="85">
        <v>0</v>
      </c>
      <c r="E241" s="86">
        <v>0</v>
      </c>
      <c r="F241" s="142">
        <f t="shared" si="24"/>
        <v>0</v>
      </c>
      <c r="G241" s="113">
        <v>0</v>
      </c>
      <c r="H241" s="86">
        <v>0</v>
      </c>
      <c r="I241" s="113">
        <v>0</v>
      </c>
      <c r="J241" s="114">
        <f t="shared" si="22"/>
        <v>0</v>
      </c>
      <c r="K241" s="113">
        <f t="shared" si="23"/>
        <v>0</v>
      </c>
      <c r="L241" s="113">
        <v>0</v>
      </c>
      <c r="M241" s="113">
        <v>0</v>
      </c>
      <c r="N241" s="113">
        <v>0</v>
      </c>
      <c r="O241" s="113">
        <v>0</v>
      </c>
      <c r="P241" s="113">
        <v>0</v>
      </c>
    </row>
    <row r="242" spans="2:16" ht="13.9" customHeight="1" x14ac:dyDescent="0.25">
      <c r="B242" s="149"/>
      <c r="C242" s="148" t="s">
        <v>103</v>
      </c>
      <c r="D242" s="90">
        <f>SUM(D205:D241)</f>
        <v>9</v>
      </c>
      <c r="E242" s="91">
        <f t="shared" ref="E242:P242" si="25">SUM(E205:E241)</f>
        <v>118757338.55000001</v>
      </c>
      <c r="F242" s="92">
        <f t="shared" si="25"/>
        <v>37292209.280000001</v>
      </c>
      <c r="G242" s="93">
        <f t="shared" si="25"/>
        <v>25519768.710000001</v>
      </c>
      <c r="H242" s="90">
        <f t="shared" si="25"/>
        <v>93237569.840000018</v>
      </c>
      <c r="I242" s="91">
        <f t="shared" si="25"/>
        <v>11772440.57</v>
      </c>
      <c r="J242" s="92">
        <f t="shared" si="25"/>
        <v>81465129.270000011</v>
      </c>
      <c r="K242" s="93">
        <f t="shared" si="25"/>
        <v>31293725.210000001</v>
      </c>
      <c r="L242" s="90">
        <f t="shared" si="25"/>
        <v>39651230.359999999</v>
      </c>
      <c r="M242" s="91">
        <f t="shared" si="25"/>
        <v>6973081.2199999988</v>
      </c>
      <c r="N242" s="90">
        <f t="shared" si="25"/>
        <v>3547092.4800000004</v>
      </c>
      <c r="O242" s="91">
        <f t="shared" si="25"/>
        <v>0</v>
      </c>
      <c r="P242" s="91">
        <f t="shared" si="25"/>
        <v>0</v>
      </c>
    </row>
    <row r="243" spans="2:16" ht="13.9" customHeight="1" outlineLevel="1" x14ac:dyDescent="0.25">
      <c r="B243" s="149" t="s">
        <v>83</v>
      </c>
      <c r="C243" s="150" t="s">
        <v>70</v>
      </c>
      <c r="D243" s="85">
        <v>22</v>
      </c>
      <c r="E243" s="86">
        <v>88134766.579999983</v>
      </c>
      <c r="F243" s="142">
        <f>G243+I243</f>
        <v>20547504.030000001</v>
      </c>
      <c r="G243" s="113">
        <v>17684987.640000001</v>
      </c>
      <c r="H243" s="86">
        <v>70449778.939999998</v>
      </c>
      <c r="I243" s="113">
        <v>2862516.39</v>
      </c>
      <c r="J243" s="114">
        <f t="shared" si="22"/>
        <v>67587262.549999997</v>
      </c>
      <c r="K243" s="113">
        <f t="shared" si="23"/>
        <v>9152670.8799999952</v>
      </c>
      <c r="L243" s="113">
        <v>5553731.71</v>
      </c>
      <c r="M243" s="113">
        <v>22853185.329999998</v>
      </c>
      <c r="N243" s="113">
        <v>30027674.630000003</v>
      </c>
      <c r="O243" s="113">
        <v>0</v>
      </c>
      <c r="P243" s="113">
        <v>0</v>
      </c>
    </row>
    <row r="244" spans="2:16" ht="13.9" customHeight="1" outlineLevel="1" x14ac:dyDescent="0.25">
      <c r="B244" s="149"/>
      <c r="C244" s="150" t="s">
        <v>71</v>
      </c>
      <c r="D244" s="85">
        <v>1</v>
      </c>
      <c r="E244" s="86">
        <v>18118935.02</v>
      </c>
      <c r="F244" s="142">
        <f>G244+I244</f>
        <v>3623793.5</v>
      </c>
      <c r="G244" s="113">
        <v>3623793.5</v>
      </c>
      <c r="H244" s="86">
        <v>14495141.52</v>
      </c>
      <c r="I244" s="113">
        <v>0</v>
      </c>
      <c r="J244" s="114">
        <f t="shared" si="22"/>
        <v>14495141.52</v>
      </c>
      <c r="K244" s="113">
        <f t="shared" si="23"/>
        <v>3623780.51</v>
      </c>
      <c r="L244" s="113">
        <v>0</v>
      </c>
      <c r="M244" s="113">
        <v>10871361.01</v>
      </c>
      <c r="N244" s="113">
        <v>0</v>
      </c>
      <c r="O244" s="113">
        <v>0</v>
      </c>
      <c r="P244" s="113">
        <v>0</v>
      </c>
    </row>
    <row r="245" spans="2:16" ht="13.9" customHeight="1" outlineLevel="1" x14ac:dyDescent="0.25">
      <c r="B245" s="149"/>
      <c r="C245" s="150" t="s">
        <v>72</v>
      </c>
      <c r="D245" s="85">
        <v>0</v>
      </c>
      <c r="E245" s="86">
        <v>0</v>
      </c>
      <c r="F245" s="142">
        <f>G245+I245</f>
        <v>0</v>
      </c>
      <c r="G245" s="113">
        <v>0</v>
      </c>
      <c r="H245" s="86">
        <v>0</v>
      </c>
      <c r="I245" s="113">
        <v>0</v>
      </c>
      <c r="J245" s="114">
        <f t="shared" si="22"/>
        <v>0</v>
      </c>
      <c r="K245" s="113">
        <f t="shared" si="23"/>
        <v>0</v>
      </c>
      <c r="L245" s="113">
        <v>0</v>
      </c>
      <c r="M245" s="113">
        <v>0</v>
      </c>
      <c r="N245" s="113">
        <v>0</v>
      </c>
      <c r="O245" s="113">
        <v>0</v>
      </c>
      <c r="P245" s="113">
        <v>0</v>
      </c>
    </row>
    <row r="246" spans="2:16" ht="13.9" customHeight="1" x14ac:dyDescent="0.25">
      <c r="B246" s="149"/>
      <c r="C246" s="148" t="s">
        <v>104</v>
      </c>
      <c r="D246" s="90">
        <f>SUM(D243:D245)</f>
        <v>23</v>
      </c>
      <c r="E246" s="91">
        <f t="shared" ref="E246:P246" si="26">SUM(E243:E245)</f>
        <v>106253701.59999998</v>
      </c>
      <c r="F246" s="92">
        <f t="shared" si="26"/>
        <v>24171297.530000001</v>
      </c>
      <c r="G246" s="93">
        <f t="shared" si="26"/>
        <v>21308781.140000001</v>
      </c>
      <c r="H246" s="90">
        <f t="shared" si="26"/>
        <v>84944920.459999993</v>
      </c>
      <c r="I246" s="91">
        <f t="shared" si="26"/>
        <v>2862516.39</v>
      </c>
      <c r="J246" s="92">
        <f t="shared" si="26"/>
        <v>82082404.069999993</v>
      </c>
      <c r="K246" s="93">
        <f t="shared" si="26"/>
        <v>12776451.389999995</v>
      </c>
      <c r="L246" s="90">
        <f t="shared" si="26"/>
        <v>5553731.71</v>
      </c>
      <c r="M246" s="91">
        <f t="shared" si="26"/>
        <v>33724546.339999996</v>
      </c>
      <c r="N246" s="90">
        <f t="shared" si="26"/>
        <v>30027674.630000003</v>
      </c>
      <c r="O246" s="91">
        <f t="shared" si="26"/>
        <v>0</v>
      </c>
      <c r="P246" s="91">
        <f t="shared" si="26"/>
        <v>0</v>
      </c>
    </row>
    <row r="247" spans="2:16" ht="13.9" customHeight="1" outlineLevel="1" x14ac:dyDescent="0.25">
      <c r="B247" s="149" t="s">
        <v>105</v>
      </c>
      <c r="C247" s="150" t="s">
        <v>75</v>
      </c>
      <c r="D247" s="85">
        <v>0</v>
      </c>
      <c r="E247" s="86">
        <v>0</v>
      </c>
      <c r="F247" s="142">
        <f>G247+I247</f>
        <v>0</v>
      </c>
      <c r="G247" s="113">
        <v>0</v>
      </c>
      <c r="H247" s="86">
        <v>0</v>
      </c>
      <c r="I247" s="113">
        <v>0</v>
      </c>
      <c r="J247" s="114">
        <f t="shared" si="22"/>
        <v>0</v>
      </c>
      <c r="K247" s="113">
        <f t="shared" si="23"/>
        <v>0</v>
      </c>
      <c r="L247" s="113">
        <v>0</v>
      </c>
      <c r="M247" s="113">
        <v>0</v>
      </c>
      <c r="N247" s="113">
        <v>0</v>
      </c>
      <c r="O247" s="113">
        <v>0</v>
      </c>
      <c r="P247" s="113">
        <v>0</v>
      </c>
    </row>
    <row r="248" spans="2:16" ht="13.9" customHeight="1" outlineLevel="1" x14ac:dyDescent="0.25">
      <c r="B248" s="149"/>
      <c r="C248" s="150" t="s">
        <v>76</v>
      </c>
      <c r="D248" s="85">
        <v>0</v>
      </c>
      <c r="E248" s="86">
        <v>0</v>
      </c>
      <c r="F248" s="142">
        <f>G248+I248</f>
        <v>0</v>
      </c>
      <c r="G248" s="113">
        <v>0</v>
      </c>
      <c r="H248" s="86">
        <v>0</v>
      </c>
      <c r="I248" s="113">
        <v>0</v>
      </c>
      <c r="J248" s="114">
        <f t="shared" si="22"/>
        <v>0</v>
      </c>
      <c r="K248" s="113">
        <f t="shared" si="23"/>
        <v>0</v>
      </c>
      <c r="L248" s="113">
        <v>0</v>
      </c>
      <c r="M248" s="113">
        <v>0</v>
      </c>
      <c r="N248" s="113">
        <v>0</v>
      </c>
      <c r="O248" s="113">
        <v>0</v>
      </c>
      <c r="P248" s="113">
        <v>0</v>
      </c>
    </row>
    <row r="249" spans="2:16" ht="13.9" customHeight="1" x14ac:dyDescent="0.25">
      <c r="B249" s="149"/>
      <c r="C249" s="148" t="s">
        <v>106</v>
      </c>
      <c r="D249" s="90">
        <f>SUM(D247:D248)</f>
        <v>0</v>
      </c>
      <c r="E249" s="91">
        <f t="shared" ref="E249:P249" si="27">SUM(E247:E248)</f>
        <v>0</v>
      </c>
      <c r="F249" s="92">
        <f t="shared" si="27"/>
        <v>0</v>
      </c>
      <c r="G249" s="93">
        <f t="shared" si="27"/>
        <v>0</v>
      </c>
      <c r="H249" s="90">
        <f t="shared" si="27"/>
        <v>0</v>
      </c>
      <c r="I249" s="91">
        <f t="shared" si="27"/>
        <v>0</v>
      </c>
      <c r="J249" s="92">
        <f t="shared" si="27"/>
        <v>0</v>
      </c>
      <c r="K249" s="93">
        <f t="shared" si="27"/>
        <v>0</v>
      </c>
      <c r="L249" s="90">
        <f t="shared" si="27"/>
        <v>0</v>
      </c>
      <c r="M249" s="91">
        <f t="shared" si="27"/>
        <v>0</v>
      </c>
      <c r="N249" s="90">
        <f t="shared" si="27"/>
        <v>0</v>
      </c>
      <c r="O249" s="91">
        <f t="shared" si="27"/>
        <v>0</v>
      </c>
      <c r="P249" s="91">
        <f t="shared" si="27"/>
        <v>0</v>
      </c>
    </row>
    <row r="250" spans="2:16" ht="13.9" customHeight="1" x14ac:dyDescent="0.25">
      <c r="B250" s="155" t="s">
        <v>78</v>
      </c>
      <c r="C250" s="155"/>
      <c r="D250" s="90">
        <f>D242+D246+D249</f>
        <v>32</v>
      </c>
      <c r="E250" s="91">
        <f t="shared" ref="E250:P250" si="28">E242+E246+E249</f>
        <v>225011040.14999998</v>
      </c>
      <c r="F250" s="92">
        <f t="shared" si="28"/>
        <v>61463506.810000002</v>
      </c>
      <c r="G250" s="93">
        <f t="shared" si="28"/>
        <v>46828549.850000001</v>
      </c>
      <c r="H250" s="90">
        <f t="shared" si="28"/>
        <v>178182490.30000001</v>
      </c>
      <c r="I250" s="91">
        <f t="shared" si="28"/>
        <v>14634956.960000001</v>
      </c>
      <c r="J250" s="92">
        <f t="shared" si="28"/>
        <v>163547533.34</v>
      </c>
      <c r="K250" s="93">
        <f t="shared" si="28"/>
        <v>44070176.599999994</v>
      </c>
      <c r="L250" s="90">
        <f t="shared" si="28"/>
        <v>45204962.07</v>
      </c>
      <c r="M250" s="91">
        <f t="shared" si="28"/>
        <v>40697627.559999995</v>
      </c>
      <c r="N250" s="90">
        <f t="shared" si="28"/>
        <v>33574767.109999999</v>
      </c>
      <c r="O250" s="91">
        <f t="shared" si="28"/>
        <v>0</v>
      </c>
      <c r="P250" s="91">
        <f t="shared" si="28"/>
        <v>0</v>
      </c>
    </row>
    <row r="251" spans="2:16" ht="13.9" customHeight="1" x14ac:dyDescent="0.25"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</row>
    <row r="252" spans="2:16" ht="13.9" customHeight="1" x14ac:dyDescent="0.25">
      <c r="B252" s="107" t="s">
        <v>90</v>
      </c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</row>
    <row r="253" spans="2:16" ht="13.9" customHeight="1" x14ac:dyDescent="0.25">
      <c r="B253" s="154" t="s">
        <v>26</v>
      </c>
      <c r="C253" s="148" t="s">
        <v>27</v>
      </c>
      <c r="D253" s="109" t="s">
        <v>28</v>
      </c>
      <c r="E253" s="110" t="s">
        <v>29</v>
      </c>
      <c r="F253" s="111" t="s">
        <v>85</v>
      </c>
      <c r="G253" s="112" t="s">
        <v>81</v>
      </c>
      <c r="H253" s="110" t="s">
        <v>82</v>
      </c>
      <c r="I253" s="112" t="s">
        <v>86</v>
      </c>
      <c r="J253" s="110" t="s">
        <v>87</v>
      </c>
      <c r="K253" s="112">
        <v>2026</v>
      </c>
      <c r="L253" s="112">
        <v>2027</v>
      </c>
      <c r="M253" s="110">
        <v>2028</v>
      </c>
      <c r="N253" s="112">
        <v>2029</v>
      </c>
      <c r="O253" s="110">
        <v>2030</v>
      </c>
      <c r="P253" s="112">
        <v>2031</v>
      </c>
    </row>
    <row r="254" spans="2:16" ht="13.9" customHeight="1" outlineLevel="1" x14ac:dyDescent="0.25">
      <c r="B254" s="149" t="s">
        <v>30</v>
      </c>
      <c r="C254" s="150" t="s">
        <v>31</v>
      </c>
      <c r="D254" s="85">
        <v>0</v>
      </c>
      <c r="E254" s="86">
        <v>0</v>
      </c>
      <c r="F254" s="142">
        <f t="shared" ref="F254:F297" si="29">G254+I254</f>
        <v>0</v>
      </c>
      <c r="G254" s="113">
        <v>0</v>
      </c>
      <c r="H254" s="86">
        <v>0</v>
      </c>
      <c r="I254" s="113">
        <v>0</v>
      </c>
      <c r="J254" s="114">
        <f t="shared" ref="J254:J297" si="30">H254-I254</f>
        <v>0</v>
      </c>
      <c r="K254" s="113">
        <f t="shared" ref="K254:K297" si="31">MAX(J254-SUM(L254:P254),0)</f>
        <v>0</v>
      </c>
      <c r="L254" s="113">
        <v>0</v>
      </c>
      <c r="M254" s="113">
        <v>0</v>
      </c>
      <c r="N254" s="113">
        <v>0</v>
      </c>
      <c r="O254" s="113">
        <v>0</v>
      </c>
      <c r="P254" s="113">
        <v>0</v>
      </c>
    </row>
    <row r="255" spans="2:16" ht="13.9" customHeight="1" outlineLevel="1" x14ac:dyDescent="0.25">
      <c r="B255" s="149"/>
      <c r="C255" s="150" t="s">
        <v>32</v>
      </c>
      <c r="D255" s="85">
        <v>0</v>
      </c>
      <c r="E255" s="86">
        <v>0</v>
      </c>
      <c r="F255" s="142">
        <f t="shared" si="29"/>
        <v>0</v>
      </c>
      <c r="G255" s="113">
        <v>0</v>
      </c>
      <c r="H255" s="86">
        <v>0</v>
      </c>
      <c r="I255" s="113">
        <v>0</v>
      </c>
      <c r="J255" s="114">
        <f t="shared" si="30"/>
        <v>0</v>
      </c>
      <c r="K255" s="113">
        <f t="shared" si="31"/>
        <v>0</v>
      </c>
      <c r="L255" s="113">
        <v>0</v>
      </c>
      <c r="M255" s="113">
        <v>0</v>
      </c>
      <c r="N255" s="113">
        <v>0</v>
      </c>
      <c r="O255" s="113">
        <v>0</v>
      </c>
      <c r="P255" s="113">
        <v>0</v>
      </c>
    </row>
    <row r="256" spans="2:16" ht="13.9" customHeight="1" outlineLevel="1" x14ac:dyDescent="0.25">
      <c r="B256" s="149"/>
      <c r="C256" s="150" t="s">
        <v>33</v>
      </c>
      <c r="D256" s="85">
        <v>0</v>
      </c>
      <c r="E256" s="86">
        <v>0</v>
      </c>
      <c r="F256" s="142">
        <f t="shared" si="29"/>
        <v>0</v>
      </c>
      <c r="G256" s="113">
        <v>0</v>
      </c>
      <c r="H256" s="86">
        <v>0</v>
      </c>
      <c r="I256" s="113">
        <v>0</v>
      </c>
      <c r="J256" s="114">
        <f t="shared" si="30"/>
        <v>0</v>
      </c>
      <c r="K256" s="113">
        <f t="shared" si="31"/>
        <v>0</v>
      </c>
      <c r="L256" s="113">
        <v>0</v>
      </c>
      <c r="M256" s="113">
        <v>0</v>
      </c>
      <c r="N256" s="113">
        <v>0</v>
      </c>
      <c r="O256" s="113">
        <v>0</v>
      </c>
      <c r="P256" s="113">
        <v>0</v>
      </c>
    </row>
    <row r="257" spans="2:16" ht="13.9" customHeight="1" outlineLevel="1" x14ac:dyDescent="0.25">
      <c r="B257" s="149"/>
      <c r="C257" s="150" t="s">
        <v>34</v>
      </c>
      <c r="D257" s="85">
        <v>0</v>
      </c>
      <c r="E257" s="86">
        <v>0</v>
      </c>
      <c r="F257" s="142">
        <f t="shared" si="29"/>
        <v>0</v>
      </c>
      <c r="G257" s="113">
        <v>0</v>
      </c>
      <c r="H257" s="86">
        <v>0</v>
      </c>
      <c r="I257" s="113">
        <v>0</v>
      </c>
      <c r="J257" s="114">
        <f t="shared" si="30"/>
        <v>0</v>
      </c>
      <c r="K257" s="113">
        <f t="shared" si="31"/>
        <v>0</v>
      </c>
      <c r="L257" s="113">
        <v>0</v>
      </c>
      <c r="M257" s="113">
        <v>0</v>
      </c>
      <c r="N257" s="113">
        <v>0</v>
      </c>
      <c r="O257" s="113">
        <v>0</v>
      </c>
      <c r="P257" s="113">
        <v>0</v>
      </c>
    </row>
    <row r="258" spans="2:16" ht="13.9" customHeight="1" outlineLevel="1" x14ac:dyDescent="0.25">
      <c r="B258" s="149"/>
      <c r="C258" s="150" t="s">
        <v>35</v>
      </c>
      <c r="D258" s="85">
        <v>0</v>
      </c>
      <c r="E258" s="86">
        <v>0</v>
      </c>
      <c r="F258" s="142">
        <f t="shared" si="29"/>
        <v>0</v>
      </c>
      <c r="G258" s="113">
        <v>0</v>
      </c>
      <c r="H258" s="86">
        <v>0</v>
      </c>
      <c r="I258" s="113">
        <v>0</v>
      </c>
      <c r="J258" s="114">
        <f t="shared" si="30"/>
        <v>0</v>
      </c>
      <c r="K258" s="113">
        <f t="shared" si="31"/>
        <v>0</v>
      </c>
      <c r="L258" s="113">
        <v>0</v>
      </c>
      <c r="M258" s="113">
        <v>0</v>
      </c>
      <c r="N258" s="113">
        <v>0</v>
      </c>
      <c r="O258" s="113">
        <v>0</v>
      </c>
      <c r="P258" s="113">
        <v>0</v>
      </c>
    </row>
    <row r="259" spans="2:16" ht="13.9" customHeight="1" outlineLevel="1" x14ac:dyDescent="0.25">
      <c r="B259" s="149"/>
      <c r="C259" s="150" t="s">
        <v>36</v>
      </c>
      <c r="D259" s="85">
        <v>0</v>
      </c>
      <c r="E259" s="86">
        <v>0</v>
      </c>
      <c r="F259" s="142">
        <f t="shared" si="29"/>
        <v>0</v>
      </c>
      <c r="G259" s="113">
        <v>0</v>
      </c>
      <c r="H259" s="86">
        <v>0</v>
      </c>
      <c r="I259" s="113">
        <v>0</v>
      </c>
      <c r="J259" s="114">
        <f t="shared" si="30"/>
        <v>0</v>
      </c>
      <c r="K259" s="113">
        <f t="shared" si="31"/>
        <v>0</v>
      </c>
      <c r="L259" s="113">
        <v>0</v>
      </c>
      <c r="M259" s="113">
        <v>0</v>
      </c>
      <c r="N259" s="113">
        <v>0</v>
      </c>
      <c r="O259" s="113">
        <v>0</v>
      </c>
      <c r="P259" s="113">
        <v>0</v>
      </c>
    </row>
    <row r="260" spans="2:16" ht="13.9" customHeight="1" outlineLevel="1" x14ac:dyDescent="0.25">
      <c r="B260" s="149"/>
      <c r="C260" s="150" t="s">
        <v>37</v>
      </c>
      <c r="D260" s="85">
        <v>0</v>
      </c>
      <c r="E260" s="86">
        <v>0</v>
      </c>
      <c r="F260" s="142">
        <f t="shared" si="29"/>
        <v>0</v>
      </c>
      <c r="G260" s="113">
        <v>0</v>
      </c>
      <c r="H260" s="86">
        <v>0</v>
      </c>
      <c r="I260" s="113">
        <v>0</v>
      </c>
      <c r="J260" s="114">
        <f t="shared" si="30"/>
        <v>0</v>
      </c>
      <c r="K260" s="113">
        <f t="shared" si="31"/>
        <v>0</v>
      </c>
      <c r="L260" s="113">
        <v>0</v>
      </c>
      <c r="M260" s="113">
        <v>0</v>
      </c>
      <c r="N260" s="113">
        <v>0</v>
      </c>
      <c r="O260" s="113">
        <v>0</v>
      </c>
      <c r="P260" s="113">
        <v>0</v>
      </c>
    </row>
    <row r="261" spans="2:16" ht="13.9" customHeight="1" outlineLevel="1" x14ac:dyDescent="0.25">
      <c r="B261" s="149"/>
      <c r="C261" s="150" t="s">
        <v>38</v>
      </c>
      <c r="D261" s="85">
        <v>0</v>
      </c>
      <c r="E261" s="86">
        <v>0</v>
      </c>
      <c r="F261" s="142">
        <f t="shared" si="29"/>
        <v>0</v>
      </c>
      <c r="G261" s="113">
        <v>0</v>
      </c>
      <c r="H261" s="86">
        <v>0</v>
      </c>
      <c r="I261" s="113">
        <v>0</v>
      </c>
      <c r="J261" s="114">
        <f t="shared" si="30"/>
        <v>0</v>
      </c>
      <c r="K261" s="113">
        <f t="shared" si="31"/>
        <v>0</v>
      </c>
      <c r="L261" s="113">
        <v>0</v>
      </c>
      <c r="M261" s="113">
        <v>0</v>
      </c>
      <c r="N261" s="113">
        <v>0</v>
      </c>
      <c r="O261" s="113">
        <v>0</v>
      </c>
      <c r="P261" s="113">
        <v>0</v>
      </c>
    </row>
    <row r="262" spans="2:16" ht="13.9" customHeight="1" outlineLevel="1" x14ac:dyDescent="0.25">
      <c r="B262" s="149"/>
      <c r="C262" s="150" t="s">
        <v>39</v>
      </c>
      <c r="D262" s="85">
        <v>0</v>
      </c>
      <c r="E262" s="86">
        <v>0</v>
      </c>
      <c r="F262" s="142">
        <f t="shared" si="29"/>
        <v>0</v>
      </c>
      <c r="G262" s="113">
        <v>0</v>
      </c>
      <c r="H262" s="86">
        <v>0</v>
      </c>
      <c r="I262" s="113">
        <v>0</v>
      </c>
      <c r="J262" s="114">
        <f t="shared" si="30"/>
        <v>0</v>
      </c>
      <c r="K262" s="113">
        <f t="shared" si="31"/>
        <v>0</v>
      </c>
      <c r="L262" s="113">
        <v>0</v>
      </c>
      <c r="M262" s="113">
        <v>0</v>
      </c>
      <c r="N262" s="113">
        <v>0</v>
      </c>
      <c r="O262" s="113">
        <v>0</v>
      </c>
      <c r="P262" s="113">
        <v>0</v>
      </c>
    </row>
    <row r="263" spans="2:16" ht="13.9" customHeight="1" outlineLevel="1" x14ac:dyDescent="0.25">
      <c r="B263" s="149"/>
      <c r="C263" s="150" t="s">
        <v>40</v>
      </c>
      <c r="D263" s="85">
        <v>0</v>
      </c>
      <c r="E263" s="86">
        <v>0</v>
      </c>
      <c r="F263" s="142">
        <f t="shared" si="29"/>
        <v>0</v>
      </c>
      <c r="G263" s="113">
        <v>0</v>
      </c>
      <c r="H263" s="86">
        <v>0</v>
      </c>
      <c r="I263" s="113">
        <v>0</v>
      </c>
      <c r="J263" s="114">
        <f t="shared" si="30"/>
        <v>0</v>
      </c>
      <c r="K263" s="113">
        <f t="shared" si="31"/>
        <v>0</v>
      </c>
      <c r="L263" s="113">
        <v>0</v>
      </c>
      <c r="M263" s="113">
        <v>0</v>
      </c>
      <c r="N263" s="113">
        <v>0</v>
      </c>
      <c r="O263" s="113">
        <v>0</v>
      </c>
      <c r="P263" s="113">
        <v>0</v>
      </c>
    </row>
    <row r="264" spans="2:16" ht="13.9" customHeight="1" outlineLevel="1" x14ac:dyDescent="0.25">
      <c r="B264" s="149"/>
      <c r="C264" s="150" t="s">
        <v>41</v>
      </c>
      <c r="D264" s="85">
        <v>0</v>
      </c>
      <c r="E264" s="86">
        <v>0</v>
      </c>
      <c r="F264" s="142">
        <f t="shared" si="29"/>
        <v>0</v>
      </c>
      <c r="G264" s="113">
        <v>0</v>
      </c>
      <c r="H264" s="86">
        <v>0</v>
      </c>
      <c r="I264" s="113">
        <v>0</v>
      </c>
      <c r="J264" s="114">
        <f t="shared" si="30"/>
        <v>0</v>
      </c>
      <c r="K264" s="113">
        <f t="shared" si="31"/>
        <v>0</v>
      </c>
      <c r="L264" s="113">
        <v>0</v>
      </c>
      <c r="M264" s="113">
        <v>0</v>
      </c>
      <c r="N264" s="113">
        <v>0</v>
      </c>
      <c r="O264" s="113">
        <v>0</v>
      </c>
      <c r="P264" s="113">
        <v>0</v>
      </c>
    </row>
    <row r="265" spans="2:16" ht="13.9" customHeight="1" outlineLevel="1" x14ac:dyDescent="0.25">
      <c r="B265" s="149"/>
      <c r="C265" s="150" t="s">
        <v>42</v>
      </c>
      <c r="D265" s="85">
        <v>0</v>
      </c>
      <c r="E265" s="86">
        <v>0</v>
      </c>
      <c r="F265" s="142">
        <f t="shared" si="29"/>
        <v>0</v>
      </c>
      <c r="G265" s="113">
        <v>0</v>
      </c>
      <c r="H265" s="86">
        <v>0</v>
      </c>
      <c r="I265" s="113">
        <v>0</v>
      </c>
      <c r="J265" s="114">
        <f t="shared" si="30"/>
        <v>0</v>
      </c>
      <c r="K265" s="113">
        <f t="shared" si="31"/>
        <v>0</v>
      </c>
      <c r="L265" s="113">
        <v>0</v>
      </c>
      <c r="M265" s="113">
        <v>0</v>
      </c>
      <c r="N265" s="113">
        <v>0</v>
      </c>
      <c r="O265" s="113">
        <v>0</v>
      </c>
      <c r="P265" s="113">
        <v>0</v>
      </c>
    </row>
    <row r="266" spans="2:16" ht="13.9" customHeight="1" outlineLevel="1" x14ac:dyDescent="0.25">
      <c r="B266" s="149"/>
      <c r="C266" s="150" t="s">
        <v>43</v>
      </c>
      <c r="D266" s="85">
        <v>0</v>
      </c>
      <c r="E266" s="86">
        <v>0</v>
      </c>
      <c r="F266" s="142">
        <f t="shared" si="29"/>
        <v>0</v>
      </c>
      <c r="G266" s="113">
        <v>0</v>
      </c>
      <c r="H266" s="86">
        <v>0</v>
      </c>
      <c r="I266" s="113">
        <v>0</v>
      </c>
      <c r="J266" s="114">
        <f t="shared" si="30"/>
        <v>0</v>
      </c>
      <c r="K266" s="113">
        <f t="shared" si="31"/>
        <v>0</v>
      </c>
      <c r="L266" s="113">
        <v>0</v>
      </c>
      <c r="M266" s="113">
        <v>0</v>
      </c>
      <c r="N266" s="113">
        <v>0</v>
      </c>
      <c r="O266" s="113">
        <v>0</v>
      </c>
      <c r="P266" s="113">
        <v>0</v>
      </c>
    </row>
    <row r="267" spans="2:16" ht="13.9" customHeight="1" outlineLevel="1" x14ac:dyDescent="0.25">
      <c r="B267" s="149"/>
      <c r="C267" s="150" t="s">
        <v>44</v>
      </c>
      <c r="D267" s="85">
        <v>0</v>
      </c>
      <c r="E267" s="86">
        <v>0</v>
      </c>
      <c r="F267" s="142">
        <f t="shared" si="29"/>
        <v>0</v>
      </c>
      <c r="G267" s="113">
        <v>0</v>
      </c>
      <c r="H267" s="86">
        <v>0</v>
      </c>
      <c r="I267" s="113">
        <v>0</v>
      </c>
      <c r="J267" s="114">
        <f t="shared" si="30"/>
        <v>0</v>
      </c>
      <c r="K267" s="113">
        <f t="shared" si="31"/>
        <v>0</v>
      </c>
      <c r="L267" s="113">
        <v>0</v>
      </c>
      <c r="M267" s="113">
        <v>0</v>
      </c>
      <c r="N267" s="113">
        <v>0</v>
      </c>
      <c r="O267" s="113">
        <v>0</v>
      </c>
      <c r="P267" s="113">
        <v>0</v>
      </c>
    </row>
    <row r="268" spans="2:16" ht="13.9" customHeight="1" outlineLevel="1" x14ac:dyDescent="0.25">
      <c r="B268" s="149"/>
      <c r="C268" s="150" t="s">
        <v>45</v>
      </c>
      <c r="D268" s="85">
        <v>0</v>
      </c>
      <c r="E268" s="86">
        <v>0</v>
      </c>
      <c r="F268" s="142">
        <f t="shared" si="29"/>
        <v>0</v>
      </c>
      <c r="G268" s="113">
        <v>0</v>
      </c>
      <c r="H268" s="86">
        <v>0</v>
      </c>
      <c r="I268" s="113">
        <v>0</v>
      </c>
      <c r="J268" s="114">
        <f t="shared" si="30"/>
        <v>0</v>
      </c>
      <c r="K268" s="113">
        <f t="shared" si="31"/>
        <v>0</v>
      </c>
      <c r="L268" s="113">
        <v>0</v>
      </c>
      <c r="M268" s="113">
        <v>0</v>
      </c>
      <c r="N268" s="113">
        <v>0</v>
      </c>
      <c r="O268" s="113">
        <v>0</v>
      </c>
      <c r="P268" s="113">
        <v>0</v>
      </c>
    </row>
    <row r="269" spans="2:16" ht="13.9" customHeight="1" outlineLevel="1" x14ac:dyDescent="0.25">
      <c r="B269" s="149"/>
      <c r="C269" s="150" t="s">
        <v>46</v>
      </c>
      <c r="D269" s="85">
        <v>0</v>
      </c>
      <c r="E269" s="86">
        <v>0</v>
      </c>
      <c r="F269" s="142">
        <f t="shared" si="29"/>
        <v>0</v>
      </c>
      <c r="G269" s="113">
        <v>0</v>
      </c>
      <c r="H269" s="86">
        <v>0</v>
      </c>
      <c r="I269" s="113">
        <v>0</v>
      </c>
      <c r="J269" s="114">
        <f t="shared" si="30"/>
        <v>0</v>
      </c>
      <c r="K269" s="113">
        <f t="shared" si="31"/>
        <v>0</v>
      </c>
      <c r="L269" s="113">
        <v>0</v>
      </c>
      <c r="M269" s="113">
        <v>0</v>
      </c>
      <c r="N269" s="113">
        <v>0</v>
      </c>
      <c r="O269" s="113">
        <v>0</v>
      </c>
      <c r="P269" s="113">
        <v>0</v>
      </c>
    </row>
    <row r="270" spans="2:16" ht="13.9" customHeight="1" outlineLevel="1" x14ac:dyDescent="0.25">
      <c r="B270" s="149"/>
      <c r="C270" s="150" t="s">
        <v>47</v>
      </c>
      <c r="D270" s="85">
        <v>30</v>
      </c>
      <c r="E270" s="86">
        <v>147439234.04999998</v>
      </c>
      <c r="F270" s="142">
        <f t="shared" si="29"/>
        <v>58975693.869999982</v>
      </c>
      <c r="G270" s="113">
        <v>58975689.929999985</v>
      </c>
      <c r="H270" s="86">
        <v>88463544.11999996</v>
      </c>
      <c r="I270" s="113">
        <v>3.94</v>
      </c>
      <c r="J270" s="114">
        <f t="shared" si="30"/>
        <v>88463540.179999962</v>
      </c>
      <c r="K270" s="113">
        <f t="shared" si="31"/>
        <v>88463540.179999962</v>
      </c>
      <c r="L270" s="113">
        <v>0</v>
      </c>
      <c r="M270" s="113">
        <v>0</v>
      </c>
      <c r="N270" s="113">
        <v>0</v>
      </c>
      <c r="O270" s="113">
        <v>0</v>
      </c>
      <c r="P270" s="113">
        <v>0</v>
      </c>
    </row>
    <row r="271" spans="2:16" ht="13.9" customHeight="1" outlineLevel="1" x14ac:dyDescent="0.25">
      <c r="B271" s="149"/>
      <c r="C271" s="150" t="s">
        <v>48</v>
      </c>
      <c r="D271" s="85">
        <v>0</v>
      </c>
      <c r="E271" s="86">
        <v>0</v>
      </c>
      <c r="F271" s="142">
        <f t="shared" si="29"/>
        <v>0</v>
      </c>
      <c r="G271" s="113">
        <v>0</v>
      </c>
      <c r="H271" s="86">
        <v>0</v>
      </c>
      <c r="I271" s="113">
        <v>0</v>
      </c>
      <c r="J271" s="114">
        <f t="shared" si="30"/>
        <v>0</v>
      </c>
      <c r="K271" s="113">
        <f t="shared" si="31"/>
        <v>0</v>
      </c>
      <c r="L271" s="113">
        <v>0</v>
      </c>
      <c r="M271" s="113">
        <v>0</v>
      </c>
      <c r="N271" s="113">
        <v>0</v>
      </c>
      <c r="O271" s="113">
        <v>0</v>
      </c>
      <c r="P271" s="113">
        <v>0</v>
      </c>
    </row>
    <row r="272" spans="2:16" ht="13.9" customHeight="1" outlineLevel="1" x14ac:dyDescent="0.25">
      <c r="B272" s="149"/>
      <c r="C272" s="150" t="s">
        <v>49</v>
      </c>
      <c r="D272" s="85">
        <v>0</v>
      </c>
      <c r="E272" s="86">
        <v>0</v>
      </c>
      <c r="F272" s="142">
        <f t="shared" si="29"/>
        <v>0</v>
      </c>
      <c r="G272" s="113">
        <v>0</v>
      </c>
      <c r="H272" s="86">
        <v>0</v>
      </c>
      <c r="I272" s="113">
        <v>0</v>
      </c>
      <c r="J272" s="114">
        <f t="shared" si="30"/>
        <v>0</v>
      </c>
      <c r="K272" s="113">
        <f t="shared" si="31"/>
        <v>0</v>
      </c>
      <c r="L272" s="113">
        <v>0</v>
      </c>
      <c r="M272" s="113">
        <v>0</v>
      </c>
      <c r="N272" s="113">
        <v>0</v>
      </c>
      <c r="O272" s="113">
        <v>0</v>
      </c>
      <c r="P272" s="113">
        <v>0</v>
      </c>
    </row>
    <row r="273" spans="2:16" ht="13.9" customHeight="1" outlineLevel="1" x14ac:dyDescent="0.25">
      <c r="B273" s="149"/>
      <c r="C273" s="150" t="s">
        <v>50</v>
      </c>
      <c r="D273" s="85">
        <v>0</v>
      </c>
      <c r="E273" s="86">
        <v>0</v>
      </c>
      <c r="F273" s="142">
        <f t="shared" si="29"/>
        <v>0</v>
      </c>
      <c r="G273" s="113">
        <v>0</v>
      </c>
      <c r="H273" s="86">
        <v>0</v>
      </c>
      <c r="I273" s="113">
        <v>0</v>
      </c>
      <c r="J273" s="114">
        <f t="shared" si="30"/>
        <v>0</v>
      </c>
      <c r="K273" s="113">
        <f t="shared" si="31"/>
        <v>0</v>
      </c>
      <c r="L273" s="113">
        <v>0</v>
      </c>
      <c r="M273" s="113">
        <v>0</v>
      </c>
      <c r="N273" s="113">
        <v>0</v>
      </c>
      <c r="O273" s="113">
        <v>0</v>
      </c>
      <c r="P273" s="113">
        <v>0</v>
      </c>
    </row>
    <row r="274" spans="2:16" ht="13.9" customHeight="1" outlineLevel="1" x14ac:dyDescent="0.25">
      <c r="B274" s="149"/>
      <c r="C274" s="150" t="s">
        <v>51</v>
      </c>
      <c r="D274" s="85">
        <v>3</v>
      </c>
      <c r="E274" s="86">
        <v>3285767.1</v>
      </c>
      <c r="F274" s="142">
        <f t="shared" si="29"/>
        <v>985731.9</v>
      </c>
      <c r="G274" s="113">
        <v>985731.9</v>
      </c>
      <c r="H274" s="86">
        <v>2300035.2000000002</v>
      </c>
      <c r="I274" s="113">
        <v>0</v>
      </c>
      <c r="J274" s="114">
        <f t="shared" si="30"/>
        <v>2300035.2000000002</v>
      </c>
      <c r="K274" s="113">
        <f t="shared" si="31"/>
        <v>328574.93999999994</v>
      </c>
      <c r="L274" s="113">
        <v>1971460.2600000002</v>
      </c>
      <c r="M274" s="113">
        <v>0</v>
      </c>
      <c r="N274" s="113">
        <v>0</v>
      </c>
      <c r="O274" s="113">
        <v>0</v>
      </c>
      <c r="P274" s="113">
        <v>0</v>
      </c>
    </row>
    <row r="275" spans="2:16" ht="13.9" customHeight="1" outlineLevel="1" x14ac:dyDescent="0.25">
      <c r="B275" s="149"/>
      <c r="C275" s="150" t="s">
        <v>52</v>
      </c>
      <c r="D275" s="85">
        <v>0</v>
      </c>
      <c r="E275" s="86">
        <v>0</v>
      </c>
      <c r="F275" s="142">
        <f t="shared" si="29"/>
        <v>0</v>
      </c>
      <c r="G275" s="113">
        <v>0</v>
      </c>
      <c r="H275" s="86">
        <v>0</v>
      </c>
      <c r="I275" s="113">
        <v>0</v>
      </c>
      <c r="J275" s="114">
        <f t="shared" si="30"/>
        <v>0</v>
      </c>
      <c r="K275" s="113">
        <f t="shared" si="31"/>
        <v>0</v>
      </c>
      <c r="L275" s="113">
        <v>0</v>
      </c>
      <c r="M275" s="113">
        <v>0</v>
      </c>
      <c r="N275" s="113">
        <v>0</v>
      </c>
      <c r="O275" s="113">
        <v>0</v>
      </c>
      <c r="P275" s="113">
        <v>0</v>
      </c>
    </row>
    <row r="276" spans="2:16" ht="13.9" customHeight="1" outlineLevel="1" x14ac:dyDescent="0.25">
      <c r="B276" s="149"/>
      <c r="C276" s="150" t="s">
        <v>53</v>
      </c>
      <c r="D276" s="85">
        <v>0</v>
      </c>
      <c r="E276" s="86">
        <v>0</v>
      </c>
      <c r="F276" s="142">
        <f t="shared" si="29"/>
        <v>0</v>
      </c>
      <c r="G276" s="113">
        <v>0</v>
      </c>
      <c r="H276" s="86">
        <v>0</v>
      </c>
      <c r="I276" s="113">
        <v>0</v>
      </c>
      <c r="J276" s="114">
        <f t="shared" si="30"/>
        <v>0</v>
      </c>
      <c r="K276" s="113">
        <f t="shared" si="31"/>
        <v>0</v>
      </c>
      <c r="L276" s="113">
        <v>0</v>
      </c>
      <c r="M276" s="113">
        <v>0</v>
      </c>
      <c r="N276" s="113">
        <v>0</v>
      </c>
      <c r="O276" s="113">
        <v>0</v>
      </c>
      <c r="P276" s="113">
        <v>0</v>
      </c>
    </row>
    <row r="277" spans="2:16" ht="13.9" customHeight="1" outlineLevel="1" x14ac:dyDescent="0.25">
      <c r="B277" s="149"/>
      <c r="C277" s="150" t="s">
        <v>54</v>
      </c>
      <c r="D277" s="85">
        <v>0</v>
      </c>
      <c r="E277" s="86">
        <v>0</v>
      </c>
      <c r="F277" s="142">
        <f t="shared" si="29"/>
        <v>0</v>
      </c>
      <c r="G277" s="113">
        <v>0</v>
      </c>
      <c r="H277" s="86">
        <v>0</v>
      </c>
      <c r="I277" s="113">
        <v>0</v>
      </c>
      <c r="J277" s="114">
        <f t="shared" si="30"/>
        <v>0</v>
      </c>
      <c r="K277" s="113">
        <f t="shared" si="31"/>
        <v>0</v>
      </c>
      <c r="L277" s="113">
        <v>0</v>
      </c>
      <c r="M277" s="113">
        <v>0</v>
      </c>
      <c r="N277" s="113">
        <v>0</v>
      </c>
      <c r="O277" s="113">
        <v>0</v>
      </c>
      <c r="P277" s="113">
        <v>0</v>
      </c>
    </row>
    <row r="278" spans="2:16" ht="13.9" customHeight="1" outlineLevel="1" x14ac:dyDescent="0.25">
      <c r="B278" s="149"/>
      <c r="C278" s="150" t="s">
        <v>55</v>
      </c>
      <c r="D278" s="85">
        <v>0</v>
      </c>
      <c r="E278" s="86">
        <v>0</v>
      </c>
      <c r="F278" s="142">
        <f t="shared" si="29"/>
        <v>0</v>
      </c>
      <c r="G278" s="113">
        <v>0</v>
      </c>
      <c r="H278" s="86">
        <v>0</v>
      </c>
      <c r="I278" s="113">
        <v>0</v>
      </c>
      <c r="J278" s="114">
        <f t="shared" si="30"/>
        <v>0</v>
      </c>
      <c r="K278" s="113">
        <f t="shared" si="31"/>
        <v>0</v>
      </c>
      <c r="L278" s="113">
        <v>0</v>
      </c>
      <c r="M278" s="113">
        <v>0</v>
      </c>
      <c r="N278" s="113">
        <v>0</v>
      </c>
      <c r="O278" s="113">
        <v>0</v>
      </c>
      <c r="P278" s="113">
        <v>0</v>
      </c>
    </row>
    <row r="279" spans="2:16" ht="13.9" customHeight="1" outlineLevel="1" x14ac:dyDescent="0.25">
      <c r="B279" s="149"/>
      <c r="C279" s="150" t="s">
        <v>56</v>
      </c>
      <c r="D279" s="85">
        <v>0</v>
      </c>
      <c r="E279" s="86">
        <v>0</v>
      </c>
      <c r="F279" s="142">
        <f t="shared" si="29"/>
        <v>0</v>
      </c>
      <c r="G279" s="113">
        <v>0</v>
      </c>
      <c r="H279" s="86">
        <v>0</v>
      </c>
      <c r="I279" s="113">
        <v>0</v>
      </c>
      <c r="J279" s="114">
        <f t="shared" si="30"/>
        <v>0</v>
      </c>
      <c r="K279" s="113">
        <f t="shared" si="31"/>
        <v>0</v>
      </c>
      <c r="L279" s="113">
        <v>0</v>
      </c>
      <c r="M279" s="113">
        <v>0</v>
      </c>
      <c r="N279" s="113">
        <v>0</v>
      </c>
      <c r="O279" s="113">
        <v>0</v>
      </c>
      <c r="P279" s="113">
        <v>0</v>
      </c>
    </row>
    <row r="280" spans="2:16" ht="13.9" customHeight="1" outlineLevel="1" x14ac:dyDescent="0.25">
      <c r="B280" s="149"/>
      <c r="C280" s="150" t="s">
        <v>57</v>
      </c>
      <c r="D280" s="85">
        <v>0</v>
      </c>
      <c r="E280" s="86">
        <v>0</v>
      </c>
      <c r="F280" s="142">
        <f t="shared" si="29"/>
        <v>0</v>
      </c>
      <c r="G280" s="113">
        <v>0</v>
      </c>
      <c r="H280" s="86">
        <v>0</v>
      </c>
      <c r="I280" s="113">
        <v>0</v>
      </c>
      <c r="J280" s="114">
        <f t="shared" si="30"/>
        <v>0</v>
      </c>
      <c r="K280" s="113">
        <f t="shared" si="31"/>
        <v>0</v>
      </c>
      <c r="L280" s="113">
        <v>0</v>
      </c>
      <c r="M280" s="113">
        <v>0</v>
      </c>
      <c r="N280" s="113">
        <v>0</v>
      </c>
      <c r="O280" s="113">
        <v>0</v>
      </c>
      <c r="P280" s="113">
        <v>0</v>
      </c>
    </row>
    <row r="281" spans="2:16" ht="13.9" customHeight="1" outlineLevel="1" x14ac:dyDescent="0.25">
      <c r="B281" s="149"/>
      <c r="C281" s="150" t="s">
        <v>58</v>
      </c>
      <c r="D281" s="85">
        <v>0</v>
      </c>
      <c r="E281" s="86">
        <v>0</v>
      </c>
      <c r="F281" s="142">
        <f t="shared" si="29"/>
        <v>0</v>
      </c>
      <c r="G281" s="113">
        <v>0</v>
      </c>
      <c r="H281" s="86">
        <v>0</v>
      </c>
      <c r="I281" s="113">
        <v>0</v>
      </c>
      <c r="J281" s="114">
        <f t="shared" si="30"/>
        <v>0</v>
      </c>
      <c r="K281" s="113">
        <f t="shared" si="31"/>
        <v>0</v>
      </c>
      <c r="L281" s="113">
        <v>0</v>
      </c>
      <c r="M281" s="113">
        <v>0</v>
      </c>
      <c r="N281" s="113">
        <v>0</v>
      </c>
      <c r="O281" s="113">
        <v>0</v>
      </c>
      <c r="P281" s="113">
        <v>0</v>
      </c>
    </row>
    <row r="282" spans="2:16" ht="13.9" customHeight="1" outlineLevel="1" x14ac:dyDescent="0.25">
      <c r="B282" s="149"/>
      <c r="C282" s="150" t="s">
        <v>59</v>
      </c>
      <c r="D282" s="85">
        <v>0</v>
      </c>
      <c r="E282" s="86">
        <v>0</v>
      </c>
      <c r="F282" s="142">
        <f t="shared" si="29"/>
        <v>0</v>
      </c>
      <c r="G282" s="113">
        <v>0</v>
      </c>
      <c r="H282" s="86">
        <v>0</v>
      </c>
      <c r="I282" s="113">
        <v>0</v>
      </c>
      <c r="J282" s="114">
        <f t="shared" si="30"/>
        <v>0</v>
      </c>
      <c r="K282" s="113">
        <f t="shared" si="31"/>
        <v>0</v>
      </c>
      <c r="L282" s="113">
        <v>0</v>
      </c>
      <c r="M282" s="113">
        <v>0</v>
      </c>
      <c r="N282" s="113">
        <v>0</v>
      </c>
      <c r="O282" s="113">
        <v>0</v>
      </c>
      <c r="P282" s="113">
        <v>0</v>
      </c>
    </row>
    <row r="283" spans="2:16" ht="13.9" customHeight="1" outlineLevel="1" x14ac:dyDescent="0.25">
      <c r="B283" s="149"/>
      <c r="C283" s="150" t="s">
        <v>60</v>
      </c>
      <c r="D283" s="85">
        <v>0</v>
      </c>
      <c r="E283" s="86">
        <v>0</v>
      </c>
      <c r="F283" s="142">
        <f t="shared" si="29"/>
        <v>0</v>
      </c>
      <c r="G283" s="113">
        <v>0</v>
      </c>
      <c r="H283" s="86">
        <v>0</v>
      </c>
      <c r="I283" s="113">
        <v>0</v>
      </c>
      <c r="J283" s="114">
        <f t="shared" si="30"/>
        <v>0</v>
      </c>
      <c r="K283" s="113">
        <f t="shared" si="31"/>
        <v>0</v>
      </c>
      <c r="L283" s="113">
        <v>0</v>
      </c>
      <c r="M283" s="113">
        <v>0</v>
      </c>
      <c r="N283" s="113">
        <v>0</v>
      </c>
      <c r="O283" s="113">
        <v>0</v>
      </c>
      <c r="P283" s="113">
        <v>0</v>
      </c>
    </row>
    <row r="284" spans="2:16" ht="13.9" customHeight="1" outlineLevel="1" x14ac:dyDescent="0.25">
      <c r="B284" s="149"/>
      <c r="C284" s="150" t="s">
        <v>61</v>
      </c>
      <c r="D284" s="85">
        <v>0</v>
      </c>
      <c r="E284" s="86">
        <v>0</v>
      </c>
      <c r="F284" s="142">
        <f t="shared" si="29"/>
        <v>0</v>
      </c>
      <c r="G284" s="113">
        <v>0</v>
      </c>
      <c r="H284" s="86">
        <v>0</v>
      </c>
      <c r="I284" s="113">
        <v>0</v>
      </c>
      <c r="J284" s="114">
        <f t="shared" si="30"/>
        <v>0</v>
      </c>
      <c r="K284" s="113">
        <f t="shared" si="31"/>
        <v>0</v>
      </c>
      <c r="L284" s="113">
        <v>0</v>
      </c>
      <c r="M284" s="113">
        <v>0</v>
      </c>
      <c r="N284" s="113">
        <v>0</v>
      </c>
      <c r="O284" s="113">
        <v>0</v>
      </c>
      <c r="P284" s="113">
        <v>0</v>
      </c>
    </row>
    <row r="285" spans="2:16" ht="13.9" customHeight="1" outlineLevel="1" x14ac:dyDescent="0.25">
      <c r="B285" s="149"/>
      <c r="C285" s="150" t="s">
        <v>62</v>
      </c>
      <c r="D285" s="85">
        <v>0</v>
      </c>
      <c r="E285" s="86">
        <v>0</v>
      </c>
      <c r="F285" s="142">
        <f t="shared" si="29"/>
        <v>0</v>
      </c>
      <c r="G285" s="113">
        <v>0</v>
      </c>
      <c r="H285" s="86">
        <v>0</v>
      </c>
      <c r="I285" s="113">
        <v>0</v>
      </c>
      <c r="J285" s="114">
        <f t="shared" si="30"/>
        <v>0</v>
      </c>
      <c r="K285" s="113">
        <f t="shared" si="31"/>
        <v>0</v>
      </c>
      <c r="L285" s="113">
        <v>0</v>
      </c>
      <c r="M285" s="113">
        <v>0</v>
      </c>
      <c r="N285" s="113">
        <v>0</v>
      </c>
      <c r="O285" s="113">
        <v>0</v>
      </c>
      <c r="P285" s="113">
        <v>0</v>
      </c>
    </row>
    <row r="286" spans="2:16" ht="13.9" customHeight="1" outlineLevel="1" x14ac:dyDescent="0.25">
      <c r="B286" s="149"/>
      <c r="C286" s="150" t="s">
        <v>63</v>
      </c>
      <c r="D286" s="85">
        <v>0</v>
      </c>
      <c r="E286" s="86">
        <v>0</v>
      </c>
      <c r="F286" s="142">
        <f t="shared" si="29"/>
        <v>0</v>
      </c>
      <c r="G286" s="113">
        <v>0</v>
      </c>
      <c r="H286" s="86">
        <v>0</v>
      </c>
      <c r="I286" s="113">
        <v>0</v>
      </c>
      <c r="J286" s="114">
        <f t="shared" si="30"/>
        <v>0</v>
      </c>
      <c r="K286" s="113">
        <f t="shared" si="31"/>
        <v>0</v>
      </c>
      <c r="L286" s="113">
        <v>0</v>
      </c>
      <c r="M286" s="113">
        <v>0</v>
      </c>
      <c r="N286" s="113">
        <v>0</v>
      </c>
      <c r="O286" s="113">
        <v>0</v>
      </c>
      <c r="P286" s="113">
        <v>0</v>
      </c>
    </row>
    <row r="287" spans="2:16" ht="13.9" customHeight="1" outlineLevel="1" x14ac:dyDescent="0.25">
      <c r="B287" s="149"/>
      <c r="C287" s="150" t="s">
        <v>64</v>
      </c>
      <c r="D287" s="85">
        <v>0</v>
      </c>
      <c r="E287" s="86">
        <v>0</v>
      </c>
      <c r="F287" s="142">
        <f t="shared" si="29"/>
        <v>0</v>
      </c>
      <c r="G287" s="113">
        <v>0</v>
      </c>
      <c r="H287" s="86">
        <v>0</v>
      </c>
      <c r="I287" s="113">
        <v>0</v>
      </c>
      <c r="J287" s="114">
        <f t="shared" si="30"/>
        <v>0</v>
      </c>
      <c r="K287" s="113">
        <f t="shared" si="31"/>
        <v>0</v>
      </c>
      <c r="L287" s="113">
        <v>0</v>
      </c>
      <c r="M287" s="113">
        <v>0</v>
      </c>
      <c r="N287" s="113">
        <v>0</v>
      </c>
      <c r="O287" s="113">
        <v>0</v>
      </c>
      <c r="P287" s="113">
        <v>0</v>
      </c>
    </row>
    <row r="288" spans="2:16" ht="13.9" customHeight="1" outlineLevel="1" x14ac:dyDescent="0.25">
      <c r="B288" s="149"/>
      <c r="C288" s="150" t="s">
        <v>65</v>
      </c>
      <c r="D288" s="85">
        <v>0</v>
      </c>
      <c r="E288" s="86">
        <v>0</v>
      </c>
      <c r="F288" s="142">
        <f t="shared" si="29"/>
        <v>0</v>
      </c>
      <c r="G288" s="113">
        <v>0</v>
      </c>
      <c r="H288" s="86">
        <v>0</v>
      </c>
      <c r="I288" s="113">
        <v>0</v>
      </c>
      <c r="J288" s="114">
        <f t="shared" si="30"/>
        <v>0</v>
      </c>
      <c r="K288" s="113">
        <f t="shared" si="31"/>
        <v>0</v>
      </c>
      <c r="L288" s="113">
        <v>0</v>
      </c>
      <c r="M288" s="113">
        <v>0</v>
      </c>
      <c r="N288" s="113">
        <v>0</v>
      </c>
      <c r="O288" s="113">
        <v>0</v>
      </c>
      <c r="P288" s="113">
        <v>0</v>
      </c>
    </row>
    <row r="289" spans="2:16" ht="13.9" customHeight="1" outlineLevel="1" x14ac:dyDescent="0.25">
      <c r="B289" s="149"/>
      <c r="C289" s="150" t="s">
        <v>66</v>
      </c>
      <c r="D289" s="85">
        <v>0</v>
      </c>
      <c r="E289" s="86">
        <v>0</v>
      </c>
      <c r="F289" s="142">
        <f t="shared" si="29"/>
        <v>0</v>
      </c>
      <c r="G289" s="113">
        <v>0</v>
      </c>
      <c r="H289" s="86">
        <v>0</v>
      </c>
      <c r="I289" s="113">
        <v>0</v>
      </c>
      <c r="J289" s="114">
        <f t="shared" si="30"/>
        <v>0</v>
      </c>
      <c r="K289" s="113">
        <f t="shared" si="31"/>
        <v>0</v>
      </c>
      <c r="L289" s="113">
        <v>0</v>
      </c>
      <c r="M289" s="113">
        <v>0</v>
      </c>
      <c r="N289" s="113">
        <v>0</v>
      </c>
      <c r="O289" s="113">
        <v>0</v>
      </c>
      <c r="P289" s="113">
        <v>0</v>
      </c>
    </row>
    <row r="290" spans="2:16" ht="13.9" customHeight="1" outlineLevel="1" x14ac:dyDescent="0.25">
      <c r="B290" s="149"/>
      <c r="C290" s="150" t="s">
        <v>67</v>
      </c>
      <c r="D290" s="85">
        <v>0</v>
      </c>
      <c r="E290" s="86">
        <v>0</v>
      </c>
      <c r="F290" s="142">
        <f t="shared" si="29"/>
        <v>0</v>
      </c>
      <c r="G290" s="113">
        <v>0</v>
      </c>
      <c r="H290" s="86">
        <v>0</v>
      </c>
      <c r="I290" s="113">
        <v>0</v>
      </c>
      <c r="J290" s="114">
        <f t="shared" si="30"/>
        <v>0</v>
      </c>
      <c r="K290" s="113">
        <f t="shared" si="31"/>
        <v>0</v>
      </c>
      <c r="L290" s="113">
        <v>0</v>
      </c>
      <c r="M290" s="113">
        <v>0</v>
      </c>
      <c r="N290" s="113">
        <v>0</v>
      </c>
      <c r="O290" s="113">
        <v>0</v>
      </c>
      <c r="P290" s="113">
        <v>0</v>
      </c>
    </row>
    <row r="291" spans="2:16" ht="13.9" customHeight="1" x14ac:dyDescent="0.25">
      <c r="B291" s="149"/>
      <c r="C291" s="148" t="s">
        <v>103</v>
      </c>
      <c r="D291" s="90">
        <f>SUM(D254:D290)</f>
        <v>33</v>
      </c>
      <c r="E291" s="91">
        <f t="shared" ref="E291:P291" si="32">SUM(E254:E290)</f>
        <v>150725001.14999998</v>
      </c>
      <c r="F291" s="92">
        <f t="shared" si="32"/>
        <v>59961425.769999981</v>
      </c>
      <c r="G291" s="93">
        <f t="shared" si="32"/>
        <v>59961421.829999983</v>
      </c>
      <c r="H291" s="90">
        <f t="shared" si="32"/>
        <v>90763579.319999963</v>
      </c>
      <c r="I291" s="91">
        <f t="shared" si="32"/>
        <v>3.94</v>
      </c>
      <c r="J291" s="92">
        <f t="shared" si="32"/>
        <v>90763575.379999965</v>
      </c>
      <c r="K291" s="93">
        <f t="shared" si="32"/>
        <v>88792115.11999996</v>
      </c>
      <c r="L291" s="90">
        <f t="shared" si="32"/>
        <v>1971460.2600000002</v>
      </c>
      <c r="M291" s="91">
        <f t="shared" si="32"/>
        <v>0</v>
      </c>
      <c r="N291" s="90">
        <f t="shared" si="32"/>
        <v>0</v>
      </c>
      <c r="O291" s="91">
        <f t="shared" si="32"/>
        <v>0</v>
      </c>
      <c r="P291" s="91">
        <f t="shared" si="32"/>
        <v>0</v>
      </c>
    </row>
    <row r="292" spans="2:16" ht="13.9" customHeight="1" outlineLevel="1" x14ac:dyDescent="0.25">
      <c r="B292" s="149" t="s">
        <v>83</v>
      </c>
      <c r="C292" s="150" t="s">
        <v>70</v>
      </c>
      <c r="D292" s="85">
        <v>1</v>
      </c>
      <c r="E292" s="86">
        <v>4175195.56</v>
      </c>
      <c r="F292" s="142">
        <f t="shared" si="29"/>
        <v>1252565</v>
      </c>
      <c r="G292" s="113">
        <v>1252565</v>
      </c>
      <c r="H292" s="86">
        <v>2922630.56</v>
      </c>
      <c r="I292" s="113">
        <v>0</v>
      </c>
      <c r="J292" s="114">
        <f t="shared" si="30"/>
        <v>2922630.56</v>
      </c>
      <c r="K292" s="113">
        <f t="shared" si="31"/>
        <v>417513.2200000002</v>
      </c>
      <c r="L292" s="113">
        <v>417519.56</v>
      </c>
      <c r="M292" s="113">
        <v>417519.56</v>
      </c>
      <c r="N292" s="113">
        <v>1670078.22</v>
      </c>
      <c r="O292" s="113">
        <v>0</v>
      </c>
      <c r="P292" s="113">
        <v>0</v>
      </c>
    </row>
    <row r="293" spans="2:16" ht="13.9" customHeight="1" outlineLevel="1" x14ac:dyDescent="0.25">
      <c r="B293" s="149"/>
      <c r="C293" s="150" t="s">
        <v>71</v>
      </c>
      <c r="D293" s="85">
        <v>0</v>
      </c>
      <c r="E293" s="86">
        <v>0</v>
      </c>
      <c r="F293" s="142">
        <f t="shared" si="29"/>
        <v>0</v>
      </c>
      <c r="G293" s="113">
        <v>0</v>
      </c>
      <c r="H293" s="86">
        <v>0</v>
      </c>
      <c r="I293" s="113">
        <v>0</v>
      </c>
      <c r="J293" s="114">
        <f t="shared" si="30"/>
        <v>0</v>
      </c>
      <c r="K293" s="113">
        <f t="shared" si="31"/>
        <v>0</v>
      </c>
      <c r="L293" s="113">
        <v>0</v>
      </c>
      <c r="M293" s="113">
        <v>0</v>
      </c>
      <c r="N293" s="113">
        <v>0</v>
      </c>
      <c r="O293" s="113">
        <v>0</v>
      </c>
      <c r="P293" s="113">
        <v>0</v>
      </c>
    </row>
    <row r="294" spans="2:16" ht="13.9" customHeight="1" outlineLevel="1" x14ac:dyDescent="0.25">
      <c r="B294" s="149"/>
      <c r="C294" s="150" t="s">
        <v>72</v>
      </c>
      <c r="D294" s="85">
        <v>0</v>
      </c>
      <c r="E294" s="86">
        <v>0</v>
      </c>
      <c r="F294" s="142">
        <f t="shared" si="29"/>
        <v>0</v>
      </c>
      <c r="G294" s="113">
        <v>0</v>
      </c>
      <c r="H294" s="86">
        <v>0</v>
      </c>
      <c r="I294" s="113">
        <v>0</v>
      </c>
      <c r="J294" s="114">
        <f t="shared" si="30"/>
        <v>0</v>
      </c>
      <c r="K294" s="113">
        <f t="shared" si="31"/>
        <v>0</v>
      </c>
      <c r="L294" s="113">
        <v>0</v>
      </c>
      <c r="M294" s="113">
        <v>0</v>
      </c>
      <c r="N294" s="113">
        <v>0</v>
      </c>
      <c r="O294" s="113">
        <v>0</v>
      </c>
      <c r="P294" s="113">
        <v>0</v>
      </c>
    </row>
    <row r="295" spans="2:16" ht="13.9" customHeight="1" x14ac:dyDescent="0.25">
      <c r="B295" s="149"/>
      <c r="C295" s="148" t="s">
        <v>104</v>
      </c>
      <c r="D295" s="90">
        <f>SUM(D292:D294)</f>
        <v>1</v>
      </c>
      <c r="E295" s="91">
        <f t="shared" ref="E295:P295" si="33">SUM(E292:E294)</f>
        <v>4175195.56</v>
      </c>
      <c r="F295" s="92">
        <f t="shared" si="33"/>
        <v>1252565</v>
      </c>
      <c r="G295" s="93">
        <f t="shared" si="33"/>
        <v>1252565</v>
      </c>
      <c r="H295" s="90">
        <f t="shared" si="33"/>
        <v>2922630.56</v>
      </c>
      <c r="I295" s="91">
        <f t="shared" si="33"/>
        <v>0</v>
      </c>
      <c r="J295" s="92">
        <f t="shared" si="33"/>
        <v>2922630.56</v>
      </c>
      <c r="K295" s="93">
        <f t="shared" si="33"/>
        <v>417513.2200000002</v>
      </c>
      <c r="L295" s="90">
        <f t="shared" si="33"/>
        <v>417519.56</v>
      </c>
      <c r="M295" s="91">
        <f t="shared" si="33"/>
        <v>417519.56</v>
      </c>
      <c r="N295" s="90">
        <f t="shared" si="33"/>
        <v>1670078.22</v>
      </c>
      <c r="O295" s="91">
        <f t="shared" si="33"/>
        <v>0</v>
      </c>
      <c r="P295" s="91">
        <f t="shared" si="33"/>
        <v>0</v>
      </c>
    </row>
    <row r="296" spans="2:16" ht="13.9" customHeight="1" outlineLevel="1" x14ac:dyDescent="0.25">
      <c r="B296" s="149" t="s">
        <v>105</v>
      </c>
      <c r="C296" s="150" t="s">
        <v>75</v>
      </c>
      <c r="D296" s="85">
        <v>0</v>
      </c>
      <c r="E296" s="86">
        <v>0</v>
      </c>
      <c r="F296" s="142">
        <f t="shared" si="29"/>
        <v>0</v>
      </c>
      <c r="G296" s="113">
        <v>0</v>
      </c>
      <c r="H296" s="86">
        <v>0</v>
      </c>
      <c r="I296" s="113">
        <v>0</v>
      </c>
      <c r="J296" s="114">
        <f t="shared" si="30"/>
        <v>0</v>
      </c>
      <c r="K296" s="113">
        <f t="shared" si="31"/>
        <v>0</v>
      </c>
      <c r="L296" s="113">
        <v>0</v>
      </c>
      <c r="M296" s="113">
        <v>0</v>
      </c>
      <c r="N296" s="113">
        <v>0</v>
      </c>
      <c r="O296" s="113">
        <v>0</v>
      </c>
      <c r="P296" s="113">
        <v>0</v>
      </c>
    </row>
    <row r="297" spans="2:16" ht="13.9" customHeight="1" outlineLevel="1" x14ac:dyDescent="0.25">
      <c r="B297" s="149"/>
      <c r="C297" s="150" t="s">
        <v>76</v>
      </c>
      <c r="D297" s="85">
        <v>0</v>
      </c>
      <c r="E297" s="86">
        <v>0</v>
      </c>
      <c r="F297" s="142">
        <f t="shared" si="29"/>
        <v>0</v>
      </c>
      <c r="G297" s="113">
        <v>0</v>
      </c>
      <c r="H297" s="86">
        <v>0</v>
      </c>
      <c r="I297" s="113">
        <v>0</v>
      </c>
      <c r="J297" s="114">
        <f t="shared" si="30"/>
        <v>0</v>
      </c>
      <c r="K297" s="113">
        <f t="shared" si="31"/>
        <v>0</v>
      </c>
      <c r="L297" s="113">
        <v>0</v>
      </c>
      <c r="M297" s="113">
        <v>0</v>
      </c>
      <c r="N297" s="113">
        <v>0</v>
      </c>
      <c r="O297" s="113">
        <v>0</v>
      </c>
      <c r="P297" s="113">
        <v>0</v>
      </c>
    </row>
    <row r="298" spans="2:16" ht="13.9" customHeight="1" x14ac:dyDescent="0.25">
      <c r="B298" s="149"/>
      <c r="C298" s="148" t="s">
        <v>106</v>
      </c>
      <c r="D298" s="90">
        <f>SUM(D296:D297)</f>
        <v>0</v>
      </c>
      <c r="E298" s="91">
        <f t="shared" ref="E298:P298" si="34">SUM(E296:E297)</f>
        <v>0</v>
      </c>
      <c r="F298" s="92">
        <f t="shared" si="34"/>
        <v>0</v>
      </c>
      <c r="G298" s="93">
        <f t="shared" si="34"/>
        <v>0</v>
      </c>
      <c r="H298" s="90">
        <f t="shared" si="34"/>
        <v>0</v>
      </c>
      <c r="I298" s="91">
        <f t="shared" si="34"/>
        <v>0</v>
      </c>
      <c r="J298" s="92">
        <f t="shared" si="34"/>
        <v>0</v>
      </c>
      <c r="K298" s="93">
        <f t="shared" si="34"/>
        <v>0</v>
      </c>
      <c r="L298" s="90">
        <f t="shared" si="34"/>
        <v>0</v>
      </c>
      <c r="M298" s="91">
        <f t="shared" si="34"/>
        <v>0</v>
      </c>
      <c r="N298" s="90">
        <f t="shared" si="34"/>
        <v>0</v>
      </c>
      <c r="O298" s="91">
        <f t="shared" si="34"/>
        <v>0</v>
      </c>
      <c r="P298" s="91">
        <f t="shared" si="34"/>
        <v>0</v>
      </c>
    </row>
    <row r="299" spans="2:16" ht="13.9" customHeight="1" x14ac:dyDescent="0.25">
      <c r="B299" s="155" t="s">
        <v>78</v>
      </c>
      <c r="C299" s="155"/>
      <c r="D299" s="90">
        <f>D291+D295+D298</f>
        <v>34</v>
      </c>
      <c r="E299" s="91">
        <f t="shared" ref="E299:P299" si="35">E291+E295+E298</f>
        <v>154900196.70999998</v>
      </c>
      <c r="F299" s="92">
        <f t="shared" si="35"/>
        <v>61213990.769999981</v>
      </c>
      <c r="G299" s="93">
        <f t="shared" si="35"/>
        <v>61213986.829999983</v>
      </c>
      <c r="H299" s="90">
        <f t="shared" si="35"/>
        <v>93686209.879999965</v>
      </c>
      <c r="I299" s="91">
        <f t="shared" si="35"/>
        <v>3.94</v>
      </c>
      <c r="J299" s="92">
        <f t="shared" si="35"/>
        <v>93686205.939999968</v>
      </c>
      <c r="K299" s="93">
        <f t="shared" si="35"/>
        <v>89209628.339999959</v>
      </c>
      <c r="L299" s="90">
        <f t="shared" si="35"/>
        <v>2388979.8200000003</v>
      </c>
      <c r="M299" s="91">
        <f t="shared" si="35"/>
        <v>417519.56</v>
      </c>
      <c r="N299" s="90">
        <f t="shared" si="35"/>
        <v>1670078.22</v>
      </c>
      <c r="O299" s="91">
        <f t="shared" si="35"/>
        <v>0</v>
      </c>
      <c r="P299" s="91">
        <f t="shared" si="35"/>
        <v>0</v>
      </c>
    </row>
    <row r="300" spans="2:16" ht="13.9" customHeight="1" x14ac:dyDescent="0.25"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</row>
    <row r="301" spans="2:16" ht="13.9" customHeight="1" x14ac:dyDescent="0.25">
      <c r="B301" s="107" t="s">
        <v>91</v>
      </c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</row>
    <row r="302" spans="2:16" ht="13.9" customHeight="1" x14ac:dyDescent="0.25">
      <c r="B302" s="154" t="s">
        <v>26</v>
      </c>
      <c r="C302" s="148" t="s">
        <v>27</v>
      </c>
      <c r="D302" s="109" t="s">
        <v>28</v>
      </c>
      <c r="E302" s="110" t="s">
        <v>29</v>
      </c>
      <c r="F302" s="111" t="s">
        <v>85</v>
      </c>
      <c r="G302" s="112" t="s">
        <v>81</v>
      </c>
      <c r="H302" s="110" t="s">
        <v>82</v>
      </c>
      <c r="I302" s="112" t="s">
        <v>86</v>
      </c>
      <c r="J302" s="110" t="s">
        <v>87</v>
      </c>
      <c r="K302" s="112">
        <v>2026</v>
      </c>
      <c r="L302" s="112">
        <v>2027</v>
      </c>
      <c r="M302" s="110">
        <v>2028</v>
      </c>
      <c r="N302" s="112">
        <v>2029</v>
      </c>
      <c r="O302" s="110">
        <v>2030</v>
      </c>
      <c r="P302" s="112">
        <v>2031</v>
      </c>
    </row>
    <row r="303" spans="2:16" ht="13.9" customHeight="1" outlineLevel="1" x14ac:dyDescent="0.25">
      <c r="B303" s="149" t="s">
        <v>30</v>
      </c>
      <c r="C303" s="150" t="s">
        <v>31</v>
      </c>
      <c r="D303" s="85">
        <v>0</v>
      </c>
      <c r="E303" s="86">
        <v>0</v>
      </c>
      <c r="F303" s="142">
        <f t="shared" ref="F303:F346" si="36">G303+I303</f>
        <v>0</v>
      </c>
      <c r="G303" s="113">
        <v>0</v>
      </c>
      <c r="H303" s="86">
        <v>0</v>
      </c>
      <c r="I303" s="113">
        <v>0</v>
      </c>
      <c r="J303" s="114">
        <f t="shared" ref="J303:J346" si="37">H303-I303</f>
        <v>0</v>
      </c>
      <c r="K303" s="113">
        <f t="shared" ref="K303:K346" si="38">MAX(J303-SUM(L303:P303),0)</f>
        <v>0</v>
      </c>
      <c r="L303" s="113">
        <v>0</v>
      </c>
      <c r="M303" s="113">
        <v>0</v>
      </c>
      <c r="N303" s="113">
        <v>0</v>
      </c>
      <c r="O303" s="113">
        <v>0</v>
      </c>
      <c r="P303" s="113">
        <v>0</v>
      </c>
    </row>
    <row r="304" spans="2:16" ht="13.9" customHeight="1" outlineLevel="1" x14ac:dyDescent="0.25">
      <c r="B304" s="149"/>
      <c r="C304" s="150" t="s">
        <v>32</v>
      </c>
      <c r="D304" s="85">
        <v>0</v>
      </c>
      <c r="E304" s="86">
        <v>0</v>
      </c>
      <c r="F304" s="142">
        <f t="shared" si="36"/>
        <v>0</v>
      </c>
      <c r="G304" s="113">
        <v>0</v>
      </c>
      <c r="H304" s="86">
        <v>0</v>
      </c>
      <c r="I304" s="113">
        <v>0</v>
      </c>
      <c r="J304" s="114">
        <f t="shared" si="37"/>
        <v>0</v>
      </c>
      <c r="K304" s="113">
        <f t="shared" si="38"/>
        <v>0</v>
      </c>
      <c r="L304" s="113">
        <v>0</v>
      </c>
      <c r="M304" s="113">
        <v>0</v>
      </c>
      <c r="N304" s="113">
        <v>0</v>
      </c>
      <c r="O304" s="113">
        <v>0</v>
      </c>
      <c r="P304" s="113">
        <v>0</v>
      </c>
    </row>
    <row r="305" spans="2:16" ht="13.9" customHeight="1" outlineLevel="1" x14ac:dyDescent="0.25">
      <c r="B305" s="149"/>
      <c r="C305" s="150" t="s">
        <v>33</v>
      </c>
      <c r="D305" s="85">
        <v>0</v>
      </c>
      <c r="E305" s="86">
        <v>0</v>
      </c>
      <c r="F305" s="142">
        <f t="shared" si="36"/>
        <v>0</v>
      </c>
      <c r="G305" s="113">
        <v>0</v>
      </c>
      <c r="H305" s="86">
        <v>0</v>
      </c>
      <c r="I305" s="113">
        <v>0</v>
      </c>
      <c r="J305" s="114">
        <f t="shared" si="37"/>
        <v>0</v>
      </c>
      <c r="K305" s="113">
        <f t="shared" si="38"/>
        <v>0</v>
      </c>
      <c r="L305" s="113">
        <v>0</v>
      </c>
      <c r="M305" s="113">
        <v>0</v>
      </c>
      <c r="N305" s="113">
        <v>0</v>
      </c>
      <c r="O305" s="113">
        <v>0</v>
      </c>
      <c r="P305" s="113">
        <v>0</v>
      </c>
    </row>
    <row r="306" spans="2:16" ht="13.9" customHeight="1" outlineLevel="1" x14ac:dyDescent="0.25">
      <c r="B306" s="149"/>
      <c r="C306" s="150" t="s">
        <v>34</v>
      </c>
      <c r="D306" s="85">
        <v>27</v>
      </c>
      <c r="E306" s="86">
        <v>75119767.5</v>
      </c>
      <c r="F306" s="142">
        <f t="shared" si="36"/>
        <v>45071860.659999996</v>
      </c>
      <c r="G306" s="113">
        <v>44786638.369999997</v>
      </c>
      <c r="H306" s="86">
        <v>30333129.129999999</v>
      </c>
      <c r="I306" s="113">
        <v>285222.29000000004</v>
      </c>
      <c r="J306" s="114">
        <f t="shared" si="37"/>
        <v>30047906.84</v>
      </c>
      <c r="K306" s="113">
        <f t="shared" si="38"/>
        <v>7511976.4999999925</v>
      </c>
      <c r="L306" s="113">
        <v>15023953.560000004</v>
      </c>
      <c r="M306" s="113">
        <v>7511976.7800000021</v>
      </c>
      <c r="N306" s="113">
        <v>0</v>
      </c>
      <c r="O306" s="113">
        <v>0</v>
      </c>
      <c r="P306" s="113">
        <v>0</v>
      </c>
    </row>
    <row r="307" spans="2:16" ht="13.9" customHeight="1" outlineLevel="1" x14ac:dyDescent="0.25">
      <c r="B307" s="149"/>
      <c r="C307" s="150" t="s">
        <v>35</v>
      </c>
      <c r="D307" s="85">
        <v>0</v>
      </c>
      <c r="E307" s="86">
        <v>0</v>
      </c>
      <c r="F307" s="142">
        <f t="shared" si="36"/>
        <v>0</v>
      </c>
      <c r="G307" s="113">
        <v>0</v>
      </c>
      <c r="H307" s="86">
        <v>0</v>
      </c>
      <c r="I307" s="113">
        <v>0</v>
      </c>
      <c r="J307" s="114">
        <f t="shared" si="37"/>
        <v>0</v>
      </c>
      <c r="K307" s="113">
        <f t="shared" si="38"/>
        <v>0</v>
      </c>
      <c r="L307" s="113">
        <v>0</v>
      </c>
      <c r="M307" s="113">
        <v>0</v>
      </c>
      <c r="N307" s="113">
        <v>0</v>
      </c>
      <c r="O307" s="113">
        <v>0</v>
      </c>
      <c r="P307" s="113">
        <v>0</v>
      </c>
    </row>
    <row r="308" spans="2:16" ht="13.9" customHeight="1" outlineLevel="1" x14ac:dyDescent="0.25">
      <c r="B308" s="149"/>
      <c r="C308" s="150" t="s">
        <v>36</v>
      </c>
      <c r="D308" s="85">
        <v>2</v>
      </c>
      <c r="E308" s="86">
        <v>20949840</v>
      </c>
      <c r="F308" s="142">
        <f t="shared" si="36"/>
        <v>10181547.300000001</v>
      </c>
      <c r="G308" s="113">
        <v>10181547.300000001</v>
      </c>
      <c r="H308" s="86">
        <v>10768292.699999999</v>
      </c>
      <c r="I308" s="113">
        <v>0</v>
      </c>
      <c r="J308" s="114">
        <f t="shared" si="37"/>
        <v>10768292.699999999</v>
      </c>
      <c r="K308" s="113">
        <f t="shared" si="38"/>
        <v>923983.69999999925</v>
      </c>
      <c r="L308" s="113">
        <v>4024909</v>
      </c>
      <c r="M308" s="113">
        <v>5819400</v>
      </c>
      <c r="N308" s="113">
        <v>0</v>
      </c>
      <c r="O308" s="113">
        <v>0</v>
      </c>
      <c r="P308" s="113">
        <v>0</v>
      </c>
    </row>
    <row r="309" spans="2:16" ht="13.9" customHeight="1" outlineLevel="1" x14ac:dyDescent="0.25">
      <c r="B309" s="149"/>
      <c r="C309" s="150" t="s">
        <v>37</v>
      </c>
      <c r="D309" s="85">
        <v>0</v>
      </c>
      <c r="E309" s="86">
        <v>0</v>
      </c>
      <c r="F309" s="142">
        <f t="shared" si="36"/>
        <v>0</v>
      </c>
      <c r="G309" s="113">
        <v>0</v>
      </c>
      <c r="H309" s="86">
        <v>0</v>
      </c>
      <c r="I309" s="113">
        <v>0</v>
      </c>
      <c r="J309" s="114">
        <f t="shared" si="37"/>
        <v>0</v>
      </c>
      <c r="K309" s="113">
        <f t="shared" si="38"/>
        <v>0</v>
      </c>
      <c r="L309" s="113">
        <v>0</v>
      </c>
      <c r="M309" s="113">
        <v>0</v>
      </c>
      <c r="N309" s="113">
        <v>0</v>
      </c>
      <c r="O309" s="113">
        <v>0</v>
      </c>
      <c r="P309" s="113">
        <v>0</v>
      </c>
    </row>
    <row r="310" spans="2:16" ht="13.9" customHeight="1" outlineLevel="1" x14ac:dyDescent="0.25">
      <c r="B310" s="149"/>
      <c r="C310" s="150" t="s">
        <v>38</v>
      </c>
      <c r="D310" s="85">
        <v>0</v>
      </c>
      <c r="E310" s="86">
        <v>0</v>
      </c>
      <c r="F310" s="142">
        <f t="shared" si="36"/>
        <v>0</v>
      </c>
      <c r="G310" s="113">
        <v>0</v>
      </c>
      <c r="H310" s="86">
        <v>0</v>
      </c>
      <c r="I310" s="113">
        <v>0</v>
      </c>
      <c r="J310" s="114">
        <f t="shared" si="37"/>
        <v>0</v>
      </c>
      <c r="K310" s="113">
        <f t="shared" si="38"/>
        <v>0</v>
      </c>
      <c r="L310" s="113">
        <v>0</v>
      </c>
      <c r="M310" s="113">
        <v>0</v>
      </c>
      <c r="N310" s="113">
        <v>0</v>
      </c>
      <c r="O310" s="113">
        <v>0</v>
      </c>
      <c r="P310" s="113">
        <v>0</v>
      </c>
    </row>
    <row r="311" spans="2:16" ht="13.9" customHeight="1" outlineLevel="1" x14ac:dyDescent="0.25">
      <c r="B311" s="149"/>
      <c r="C311" s="150" t="s">
        <v>39</v>
      </c>
      <c r="D311" s="85">
        <v>0</v>
      </c>
      <c r="E311" s="86">
        <v>0</v>
      </c>
      <c r="F311" s="142">
        <f t="shared" si="36"/>
        <v>0</v>
      </c>
      <c r="G311" s="113">
        <v>0</v>
      </c>
      <c r="H311" s="86">
        <v>0</v>
      </c>
      <c r="I311" s="113">
        <v>0</v>
      </c>
      <c r="J311" s="114">
        <f t="shared" si="37"/>
        <v>0</v>
      </c>
      <c r="K311" s="113">
        <f t="shared" si="38"/>
        <v>0</v>
      </c>
      <c r="L311" s="113">
        <v>0</v>
      </c>
      <c r="M311" s="113">
        <v>0</v>
      </c>
      <c r="N311" s="113">
        <v>0</v>
      </c>
      <c r="O311" s="113">
        <v>0</v>
      </c>
      <c r="P311" s="113">
        <v>0</v>
      </c>
    </row>
    <row r="312" spans="2:16" ht="13.9" customHeight="1" outlineLevel="1" x14ac:dyDescent="0.25">
      <c r="B312" s="149"/>
      <c r="C312" s="150" t="s">
        <v>40</v>
      </c>
      <c r="D312" s="85">
        <v>3</v>
      </c>
      <c r="E312" s="86">
        <v>118772806.5</v>
      </c>
      <c r="F312" s="142">
        <f t="shared" si="36"/>
        <v>54191795.899999999</v>
      </c>
      <c r="G312" s="113">
        <v>54191795.899999999</v>
      </c>
      <c r="H312" s="86">
        <v>64581010.600000001</v>
      </c>
      <c r="I312" s="113">
        <v>0</v>
      </c>
      <c r="J312" s="114">
        <f t="shared" si="37"/>
        <v>64581010.600000001</v>
      </c>
      <c r="K312" s="113">
        <f t="shared" si="38"/>
        <v>43472803</v>
      </c>
      <c r="L312" s="113">
        <v>21108207.600000001</v>
      </c>
      <c r="M312" s="113">
        <v>0</v>
      </c>
      <c r="N312" s="113">
        <v>0</v>
      </c>
      <c r="O312" s="113">
        <v>0</v>
      </c>
      <c r="P312" s="113">
        <v>0</v>
      </c>
    </row>
    <row r="313" spans="2:16" ht="13.9" customHeight="1" outlineLevel="1" x14ac:dyDescent="0.25">
      <c r="B313" s="149"/>
      <c r="C313" s="150" t="s">
        <v>41</v>
      </c>
      <c r="D313" s="85">
        <v>0</v>
      </c>
      <c r="E313" s="86">
        <v>0</v>
      </c>
      <c r="F313" s="142">
        <f t="shared" si="36"/>
        <v>0</v>
      </c>
      <c r="G313" s="113">
        <v>0</v>
      </c>
      <c r="H313" s="86">
        <v>0</v>
      </c>
      <c r="I313" s="113">
        <v>0</v>
      </c>
      <c r="J313" s="114">
        <f t="shared" si="37"/>
        <v>0</v>
      </c>
      <c r="K313" s="113">
        <f t="shared" si="38"/>
        <v>0</v>
      </c>
      <c r="L313" s="113">
        <v>0</v>
      </c>
      <c r="M313" s="113">
        <v>0</v>
      </c>
      <c r="N313" s="113">
        <v>0</v>
      </c>
      <c r="O313" s="113">
        <v>0</v>
      </c>
      <c r="P313" s="113">
        <v>0</v>
      </c>
    </row>
    <row r="314" spans="2:16" ht="13.9" customHeight="1" outlineLevel="1" x14ac:dyDescent="0.25">
      <c r="B314" s="149"/>
      <c r="C314" s="150" t="s">
        <v>42</v>
      </c>
      <c r="D314" s="85">
        <v>0</v>
      </c>
      <c r="E314" s="86">
        <v>0</v>
      </c>
      <c r="F314" s="142">
        <f t="shared" si="36"/>
        <v>0</v>
      </c>
      <c r="G314" s="113">
        <v>0</v>
      </c>
      <c r="H314" s="86">
        <v>0</v>
      </c>
      <c r="I314" s="113">
        <v>0</v>
      </c>
      <c r="J314" s="114">
        <f t="shared" si="37"/>
        <v>0</v>
      </c>
      <c r="K314" s="113">
        <f t="shared" si="38"/>
        <v>0</v>
      </c>
      <c r="L314" s="113">
        <v>0</v>
      </c>
      <c r="M314" s="113">
        <v>0</v>
      </c>
      <c r="N314" s="113">
        <v>0</v>
      </c>
      <c r="O314" s="113">
        <v>0</v>
      </c>
      <c r="P314" s="113">
        <v>0</v>
      </c>
    </row>
    <row r="315" spans="2:16" ht="13.9" customHeight="1" outlineLevel="1" x14ac:dyDescent="0.25">
      <c r="B315" s="149"/>
      <c r="C315" s="150" t="s">
        <v>43</v>
      </c>
      <c r="D315" s="85">
        <v>10</v>
      </c>
      <c r="E315" s="86">
        <v>71916380</v>
      </c>
      <c r="F315" s="142">
        <f t="shared" si="36"/>
        <v>48742397.74000001</v>
      </c>
      <c r="G315" s="113">
        <v>42351622.74000001</v>
      </c>
      <c r="H315" s="86">
        <v>29564757.259999994</v>
      </c>
      <c r="I315" s="113">
        <v>6390775</v>
      </c>
      <c r="J315" s="114">
        <f t="shared" si="37"/>
        <v>23173982.259999994</v>
      </c>
      <c r="K315" s="113">
        <f t="shared" si="38"/>
        <v>7186440.6599999927</v>
      </c>
      <c r="L315" s="113">
        <v>15987541.600000001</v>
      </c>
      <c r="M315" s="113">
        <v>0</v>
      </c>
      <c r="N315" s="113">
        <v>0</v>
      </c>
      <c r="O315" s="113">
        <v>0</v>
      </c>
      <c r="P315" s="113">
        <v>0</v>
      </c>
    </row>
    <row r="316" spans="2:16" ht="13.9" customHeight="1" outlineLevel="1" x14ac:dyDescent="0.25">
      <c r="B316" s="149"/>
      <c r="C316" s="150" t="s">
        <v>44</v>
      </c>
      <c r="D316" s="85">
        <v>0</v>
      </c>
      <c r="E316" s="86">
        <v>0</v>
      </c>
      <c r="F316" s="142">
        <f t="shared" si="36"/>
        <v>0</v>
      </c>
      <c r="G316" s="113">
        <v>0</v>
      </c>
      <c r="H316" s="86">
        <v>0</v>
      </c>
      <c r="I316" s="113">
        <v>0</v>
      </c>
      <c r="J316" s="114">
        <f t="shared" si="37"/>
        <v>0</v>
      </c>
      <c r="K316" s="113">
        <f t="shared" si="38"/>
        <v>0</v>
      </c>
      <c r="L316" s="113">
        <v>0</v>
      </c>
      <c r="M316" s="113">
        <v>0</v>
      </c>
      <c r="N316" s="113">
        <v>0</v>
      </c>
      <c r="O316" s="113">
        <v>0</v>
      </c>
      <c r="P316" s="113">
        <v>0</v>
      </c>
    </row>
    <row r="317" spans="2:16" ht="13.9" customHeight="1" outlineLevel="1" x14ac:dyDescent="0.25">
      <c r="B317" s="149"/>
      <c r="C317" s="150" t="s">
        <v>45</v>
      </c>
      <c r="D317" s="85">
        <v>0</v>
      </c>
      <c r="E317" s="86">
        <v>0</v>
      </c>
      <c r="F317" s="142">
        <f t="shared" si="36"/>
        <v>0</v>
      </c>
      <c r="G317" s="113">
        <v>0</v>
      </c>
      <c r="H317" s="86">
        <v>0</v>
      </c>
      <c r="I317" s="113">
        <v>0</v>
      </c>
      <c r="J317" s="114">
        <f t="shared" si="37"/>
        <v>0</v>
      </c>
      <c r="K317" s="113">
        <f t="shared" si="38"/>
        <v>0</v>
      </c>
      <c r="L317" s="113">
        <v>0</v>
      </c>
      <c r="M317" s="113">
        <v>0</v>
      </c>
      <c r="N317" s="113">
        <v>0</v>
      </c>
      <c r="O317" s="113">
        <v>0</v>
      </c>
      <c r="P317" s="113">
        <v>0</v>
      </c>
    </row>
    <row r="318" spans="2:16" ht="13.9" customHeight="1" outlineLevel="1" x14ac:dyDescent="0.25">
      <c r="B318" s="149"/>
      <c r="C318" s="150" t="s">
        <v>46</v>
      </c>
      <c r="D318" s="85">
        <v>0</v>
      </c>
      <c r="E318" s="86">
        <v>0</v>
      </c>
      <c r="F318" s="142">
        <f t="shared" si="36"/>
        <v>0</v>
      </c>
      <c r="G318" s="113">
        <v>0</v>
      </c>
      <c r="H318" s="86">
        <v>0</v>
      </c>
      <c r="I318" s="113">
        <v>0</v>
      </c>
      <c r="J318" s="114">
        <f t="shared" si="37"/>
        <v>0</v>
      </c>
      <c r="K318" s="113">
        <f t="shared" si="38"/>
        <v>0</v>
      </c>
      <c r="L318" s="113">
        <v>0</v>
      </c>
      <c r="M318" s="113">
        <v>0</v>
      </c>
      <c r="N318" s="113">
        <v>0</v>
      </c>
      <c r="O318" s="113">
        <v>0</v>
      </c>
      <c r="P318" s="113">
        <v>0</v>
      </c>
    </row>
    <row r="319" spans="2:16" ht="13.9" customHeight="1" outlineLevel="1" x14ac:dyDescent="0.25">
      <c r="B319" s="149"/>
      <c r="C319" s="150" t="s">
        <v>47</v>
      </c>
      <c r="D319" s="85">
        <v>3</v>
      </c>
      <c r="E319" s="86">
        <v>12026582.050000001</v>
      </c>
      <c r="F319" s="142">
        <f t="shared" si="36"/>
        <v>7215949.25</v>
      </c>
      <c r="G319" s="113">
        <v>7207129.4100000001</v>
      </c>
      <c r="H319" s="86">
        <v>4819452.6399999997</v>
      </c>
      <c r="I319" s="113">
        <v>8819.84</v>
      </c>
      <c r="J319" s="114">
        <f t="shared" si="37"/>
        <v>4810632.8</v>
      </c>
      <c r="K319" s="113">
        <f t="shared" si="38"/>
        <v>4810632.8</v>
      </c>
      <c r="L319" s="113">
        <v>0</v>
      </c>
      <c r="M319" s="113">
        <v>0</v>
      </c>
      <c r="N319" s="113">
        <v>0</v>
      </c>
      <c r="O319" s="113">
        <v>0</v>
      </c>
      <c r="P319" s="113">
        <v>0</v>
      </c>
    </row>
    <row r="320" spans="2:16" ht="13.9" customHeight="1" outlineLevel="1" x14ac:dyDescent="0.25">
      <c r="B320" s="149"/>
      <c r="C320" s="150" t="s">
        <v>48</v>
      </c>
      <c r="D320" s="85">
        <v>0</v>
      </c>
      <c r="E320" s="86">
        <v>0</v>
      </c>
      <c r="F320" s="142">
        <f t="shared" si="36"/>
        <v>0</v>
      </c>
      <c r="G320" s="113">
        <v>0</v>
      </c>
      <c r="H320" s="86">
        <v>0</v>
      </c>
      <c r="I320" s="113">
        <v>0</v>
      </c>
      <c r="J320" s="114">
        <f t="shared" si="37"/>
        <v>0</v>
      </c>
      <c r="K320" s="113">
        <f t="shared" si="38"/>
        <v>0</v>
      </c>
      <c r="L320" s="113">
        <v>0</v>
      </c>
      <c r="M320" s="113">
        <v>0</v>
      </c>
      <c r="N320" s="113">
        <v>0</v>
      </c>
      <c r="O320" s="113">
        <v>0</v>
      </c>
      <c r="P320" s="113">
        <v>0</v>
      </c>
    </row>
    <row r="321" spans="2:16" ht="13.9" customHeight="1" outlineLevel="1" x14ac:dyDescent="0.25">
      <c r="B321" s="149"/>
      <c r="C321" s="150" t="s">
        <v>49</v>
      </c>
      <c r="D321" s="85">
        <v>1</v>
      </c>
      <c r="E321" s="86">
        <v>12166050.369999999</v>
      </c>
      <c r="F321" s="142">
        <f t="shared" si="36"/>
        <v>7299630.2400000002</v>
      </c>
      <c r="G321" s="113">
        <v>7295329.9000000004</v>
      </c>
      <c r="H321" s="86">
        <v>4870720.4699999988</v>
      </c>
      <c r="I321" s="113">
        <v>4300.34</v>
      </c>
      <c r="J321" s="114">
        <f t="shared" si="37"/>
        <v>4866420.129999999</v>
      </c>
      <c r="K321" s="113">
        <f t="shared" si="38"/>
        <v>4866420.129999999</v>
      </c>
      <c r="L321" s="113">
        <v>0</v>
      </c>
      <c r="M321" s="113">
        <v>0</v>
      </c>
      <c r="N321" s="113">
        <v>0</v>
      </c>
      <c r="O321" s="113">
        <v>0</v>
      </c>
      <c r="P321" s="113">
        <v>0</v>
      </c>
    </row>
    <row r="322" spans="2:16" ht="13.9" customHeight="1" outlineLevel="1" x14ac:dyDescent="0.25">
      <c r="B322" s="149"/>
      <c r="C322" s="150" t="s">
        <v>50</v>
      </c>
      <c r="D322" s="85">
        <v>0</v>
      </c>
      <c r="E322" s="86">
        <v>0</v>
      </c>
      <c r="F322" s="142">
        <f t="shared" si="36"/>
        <v>0</v>
      </c>
      <c r="G322" s="113">
        <v>0</v>
      </c>
      <c r="H322" s="86">
        <v>0</v>
      </c>
      <c r="I322" s="113">
        <v>0</v>
      </c>
      <c r="J322" s="114">
        <f t="shared" si="37"/>
        <v>0</v>
      </c>
      <c r="K322" s="113">
        <f t="shared" si="38"/>
        <v>0</v>
      </c>
      <c r="L322" s="113">
        <v>0</v>
      </c>
      <c r="M322" s="113">
        <v>0</v>
      </c>
      <c r="N322" s="113">
        <v>0</v>
      </c>
      <c r="O322" s="113">
        <v>0</v>
      </c>
      <c r="P322" s="113">
        <v>0</v>
      </c>
    </row>
    <row r="323" spans="2:16" ht="13.9" customHeight="1" outlineLevel="1" x14ac:dyDescent="0.25">
      <c r="B323" s="149"/>
      <c r="C323" s="150" t="s">
        <v>51</v>
      </c>
      <c r="D323" s="85">
        <v>0</v>
      </c>
      <c r="E323" s="86">
        <v>0</v>
      </c>
      <c r="F323" s="142">
        <f t="shared" si="36"/>
        <v>0</v>
      </c>
      <c r="G323" s="113">
        <v>0</v>
      </c>
      <c r="H323" s="86">
        <v>0</v>
      </c>
      <c r="I323" s="113">
        <v>0</v>
      </c>
      <c r="J323" s="114">
        <f t="shared" si="37"/>
        <v>0</v>
      </c>
      <c r="K323" s="113">
        <f t="shared" si="38"/>
        <v>0</v>
      </c>
      <c r="L323" s="113">
        <v>0</v>
      </c>
      <c r="M323" s="113">
        <v>0</v>
      </c>
      <c r="N323" s="113">
        <v>0</v>
      </c>
      <c r="O323" s="113">
        <v>0</v>
      </c>
      <c r="P323" s="113">
        <v>0</v>
      </c>
    </row>
    <row r="324" spans="2:16" ht="13.9" customHeight="1" outlineLevel="1" x14ac:dyDescent="0.25">
      <c r="B324" s="149"/>
      <c r="C324" s="150" t="s">
        <v>52</v>
      </c>
      <c r="D324" s="85">
        <v>0</v>
      </c>
      <c r="E324" s="86">
        <v>0</v>
      </c>
      <c r="F324" s="142">
        <f t="shared" si="36"/>
        <v>0</v>
      </c>
      <c r="G324" s="113">
        <v>0</v>
      </c>
      <c r="H324" s="86">
        <v>0</v>
      </c>
      <c r="I324" s="113">
        <v>0</v>
      </c>
      <c r="J324" s="114">
        <f t="shared" si="37"/>
        <v>0</v>
      </c>
      <c r="K324" s="113">
        <f t="shared" si="38"/>
        <v>0</v>
      </c>
      <c r="L324" s="113">
        <v>0</v>
      </c>
      <c r="M324" s="113">
        <v>0</v>
      </c>
      <c r="N324" s="113">
        <v>0</v>
      </c>
      <c r="O324" s="113">
        <v>0</v>
      </c>
      <c r="P324" s="113">
        <v>0</v>
      </c>
    </row>
    <row r="325" spans="2:16" ht="13.9" customHeight="1" outlineLevel="1" x14ac:dyDescent="0.25">
      <c r="B325" s="149"/>
      <c r="C325" s="150" t="s">
        <v>53</v>
      </c>
      <c r="D325" s="85">
        <v>0</v>
      </c>
      <c r="E325" s="86">
        <v>0</v>
      </c>
      <c r="F325" s="142">
        <f t="shared" si="36"/>
        <v>0</v>
      </c>
      <c r="G325" s="113">
        <v>0</v>
      </c>
      <c r="H325" s="86">
        <v>0</v>
      </c>
      <c r="I325" s="113">
        <v>0</v>
      </c>
      <c r="J325" s="114">
        <f t="shared" si="37"/>
        <v>0</v>
      </c>
      <c r="K325" s="113">
        <f t="shared" si="38"/>
        <v>0</v>
      </c>
      <c r="L325" s="113">
        <v>0</v>
      </c>
      <c r="M325" s="113">
        <v>0</v>
      </c>
      <c r="N325" s="113">
        <v>0</v>
      </c>
      <c r="O325" s="113">
        <v>0</v>
      </c>
      <c r="P325" s="113">
        <v>0</v>
      </c>
    </row>
    <row r="326" spans="2:16" ht="13.9" customHeight="1" outlineLevel="1" x14ac:dyDescent="0.25">
      <c r="B326" s="149"/>
      <c r="C326" s="150" t="s">
        <v>54</v>
      </c>
      <c r="D326" s="85">
        <v>0</v>
      </c>
      <c r="E326" s="86">
        <v>0</v>
      </c>
      <c r="F326" s="142">
        <f t="shared" si="36"/>
        <v>0</v>
      </c>
      <c r="G326" s="113">
        <v>0</v>
      </c>
      <c r="H326" s="86">
        <v>0</v>
      </c>
      <c r="I326" s="113">
        <v>0</v>
      </c>
      <c r="J326" s="114">
        <f t="shared" si="37"/>
        <v>0</v>
      </c>
      <c r="K326" s="113">
        <f t="shared" si="38"/>
        <v>0</v>
      </c>
      <c r="L326" s="113">
        <v>0</v>
      </c>
      <c r="M326" s="113">
        <v>0</v>
      </c>
      <c r="N326" s="113">
        <v>0</v>
      </c>
      <c r="O326" s="113">
        <v>0</v>
      </c>
      <c r="P326" s="113">
        <v>0</v>
      </c>
    </row>
    <row r="327" spans="2:16" ht="13.9" customHeight="1" outlineLevel="1" x14ac:dyDescent="0.25">
      <c r="B327" s="149"/>
      <c r="C327" s="150" t="s">
        <v>55</v>
      </c>
      <c r="D327" s="85">
        <v>0</v>
      </c>
      <c r="E327" s="86">
        <v>0</v>
      </c>
      <c r="F327" s="142">
        <f t="shared" si="36"/>
        <v>0</v>
      </c>
      <c r="G327" s="113">
        <v>0</v>
      </c>
      <c r="H327" s="86">
        <v>0</v>
      </c>
      <c r="I327" s="113">
        <v>0</v>
      </c>
      <c r="J327" s="114">
        <f t="shared" si="37"/>
        <v>0</v>
      </c>
      <c r="K327" s="113">
        <f t="shared" si="38"/>
        <v>0</v>
      </c>
      <c r="L327" s="113">
        <v>0</v>
      </c>
      <c r="M327" s="113">
        <v>0</v>
      </c>
      <c r="N327" s="113">
        <v>0</v>
      </c>
      <c r="O327" s="113">
        <v>0</v>
      </c>
      <c r="P327" s="113">
        <v>0</v>
      </c>
    </row>
    <row r="328" spans="2:16" ht="13.9" customHeight="1" outlineLevel="1" x14ac:dyDescent="0.25">
      <c r="B328" s="149"/>
      <c r="C328" s="150" t="s">
        <v>56</v>
      </c>
      <c r="D328" s="85">
        <v>0</v>
      </c>
      <c r="E328" s="86">
        <v>0</v>
      </c>
      <c r="F328" s="142">
        <f t="shared" si="36"/>
        <v>0</v>
      </c>
      <c r="G328" s="113">
        <v>0</v>
      </c>
      <c r="H328" s="86">
        <v>0</v>
      </c>
      <c r="I328" s="113">
        <v>0</v>
      </c>
      <c r="J328" s="114">
        <f t="shared" si="37"/>
        <v>0</v>
      </c>
      <c r="K328" s="113">
        <f t="shared" si="38"/>
        <v>0</v>
      </c>
      <c r="L328" s="113">
        <v>0</v>
      </c>
      <c r="M328" s="113">
        <v>0</v>
      </c>
      <c r="N328" s="113">
        <v>0</v>
      </c>
      <c r="O328" s="113">
        <v>0</v>
      </c>
      <c r="P328" s="113">
        <v>0</v>
      </c>
    </row>
    <row r="329" spans="2:16" ht="13.9" customHeight="1" outlineLevel="1" x14ac:dyDescent="0.25">
      <c r="B329" s="149"/>
      <c r="C329" s="150" t="s">
        <v>57</v>
      </c>
      <c r="D329" s="85">
        <v>0</v>
      </c>
      <c r="E329" s="86">
        <v>0</v>
      </c>
      <c r="F329" s="142">
        <f t="shared" si="36"/>
        <v>0</v>
      </c>
      <c r="G329" s="113">
        <v>0</v>
      </c>
      <c r="H329" s="86">
        <v>0</v>
      </c>
      <c r="I329" s="113">
        <v>0</v>
      </c>
      <c r="J329" s="114">
        <f t="shared" si="37"/>
        <v>0</v>
      </c>
      <c r="K329" s="113">
        <f t="shared" si="38"/>
        <v>0</v>
      </c>
      <c r="L329" s="113">
        <v>0</v>
      </c>
      <c r="M329" s="113">
        <v>0</v>
      </c>
      <c r="N329" s="113">
        <v>0</v>
      </c>
      <c r="O329" s="113">
        <v>0</v>
      </c>
      <c r="P329" s="113">
        <v>0</v>
      </c>
    </row>
    <row r="330" spans="2:16" ht="13.9" customHeight="1" outlineLevel="1" x14ac:dyDescent="0.25">
      <c r="B330" s="149"/>
      <c r="C330" s="150" t="s">
        <v>58</v>
      </c>
      <c r="D330" s="85">
        <v>0</v>
      </c>
      <c r="E330" s="86">
        <v>0</v>
      </c>
      <c r="F330" s="142">
        <f t="shared" si="36"/>
        <v>0</v>
      </c>
      <c r="G330" s="113">
        <v>0</v>
      </c>
      <c r="H330" s="86">
        <v>0</v>
      </c>
      <c r="I330" s="113">
        <v>0</v>
      </c>
      <c r="J330" s="114">
        <f t="shared" si="37"/>
        <v>0</v>
      </c>
      <c r="K330" s="113">
        <f t="shared" si="38"/>
        <v>0</v>
      </c>
      <c r="L330" s="113">
        <v>0</v>
      </c>
      <c r="M330" s="113">
        <v>0</v>
      </c>
      <c r="N330" s="113">
        <v>0</v>
      </c>
      <c r="O330" s="113">
        <v>0</v>
      </c>
      <c r="P330" s="113">
        <v>0</v>
      </c>
    </row>
    <row r="331" spans="2:16" ht="13.9" customHeight="1" outlineLevel="1" x14ac:dyDescent="0.25">
      <c r="B331" s="149"/>
      <c r="C331" s="150" t="s">
        <v>59</v>
      </c>
      <c r="D331" s="85">
        <v>0</v>
      </c>
      <c r="E331" s="86">
        <v>0</v>
      </c>
      <c r="F331" s="142">
        <f t="shared" si="36"/>
        <v>0</v>
      </c>
      <c r="G331" s="113">
        <v>0</v>
      </c>
      <c r="H331" s="86">
        <v>0</v>
      </c>
      <c r="I331" s="113">
        <v>0</v>
      </c>
      <c r="J331" s="114">
        <f t="shared" si="37"/>
        <v>0</v>
      </c>
      <c r="K331" s="113">
        <f t="shared" si="38"/>
        <v>0</v>
      </c>
      <c r="L331" s="113">
        <v>0</v>
      </c>
      <c r="M331" s="113">
        <v>0</v>
      </c>
      <c r="N331" s="113">
        <v>0</v>
      </c>
      <c r="O331" s="113">
        <v>0</v>
      </c>
      <c r="P331" s="113">
        <v>0</v>
      </c>
    </row>
    <row r="332" spans="2:16" ht="13.9" customHeight="1" outlineLevel="1" x14ac:dyDescent="0.25">
      <c r="B332" s="149"/>
      <c r="C332" s="150" t="s">
        <v>60</v>
      </c>
      <c r="D332" s="85">
        <v>0</v>
      </c>
      <c r="E332" s="86">
        <v>0</v>
      </c>
      <c r="F332" s="142">
        <f t="shared" si="36"/>
        <v>0</v>
      </c>
      <c r="G332" s="113">
        <v>0</v>
      </c>
      <c r="H332" s="86">
        <v>0</v>
      </c>
      <c r="I332" s="113">
        <v>0</v>
      </c>
      <c r="J332" s="114">
        <f t="shared" si="37"/>
        <v>0</v>
      </c>
      <c r="K332" s="113">
        <f t="shared" si="38"/>
        <v>0</v>
      </c>
      <c r="L332" s="113">
        <v>0</v>
      </c>
      <c r="M332" s="113">
        <v>0</v>
      </c>
      <c r="N332" s="113">
        <v>0</v>
      </c>
      <c r="O332" s="113">
        <v>0</v>
      </c>
      <c r="P332" s="113">
        <v>0</v>
      </c>
    </row>
    <row r="333" spans="2:16" ht="13.9" customHeight="1" outlineLevel="1" x14ac:dyDescent="0.25">
      <c r="B333" s="149"/>
      <c r="C333" s="150" t="s">
        <v>61</v>
      </c>
      <c r="D333" s="85">
        <v>0</v>
      </c>
      <c r="E333" s="86">
        <v>0</v>
      </c>
      <c r="F333" s="142">
        <f t="shared" si="36"/>
        <v>0</v>
      </c>
      <c r="G333" s="113">
        <v>0</v>
      </c>
      <c r="H333" s="86">
        <v>0</v>
      </c>
      <c r="I333" s="113">
        <v>0</v>
      </c>
      <c r="J333" s="114">
        <f t="shared" si="37"/>
        <v>0</v>
      </c>
      <c r="K333" s="113">
        <f t="shared" si="38"/>
        <v>0</v>
      </c>
      <c r="L333" s="113">
        <v>0</v>
      </c>
      <c r="M333" s="113">
        <v>0</v>
      </c>
      <c r="N333" s="113">
        <v>0</v>
      </c>
      <c r="O333" s="113">
        <v>0</v>
      </c>
      <c r="P333" s="113">
        <v>0</v>
      </c>
    </row>
    <row r="334" spans="2:16" ht="13.9" customHeight="1" outlineLevel="1" x14ac:dyDescent="0.25">
      <c r="B334" s="149"/>
      <c r="C334" s="150" t="s">
        <v>62</v>
      </c>
      <c r="D334" s="85">
        <v>0</v>
      </c>
      <c r="E334" s="86">
        <v>0</v>
      </c>
      <c r="F334" s="142">
        <f t="shared" si="36"/>
        <v>0</v>
      </c>
      <c r="G334" s="113">
        <v>0</v>
      </c>
      <c r="H334" s="86">
        <v>0</v>
      </c>
      <c r="I334" s="113">
        <v>0</v>
      </c>
      <c r="J334" s="114">
        <f t="shared" si="37"/>
        <v>0</v>
      </c>
      <c r="K334" s="113">
        <f t="shared" si="38"/>
        <v>0</v>
      </c>
      <c r="L334" s="113">
        <v>0</v>
      </c>
      <c r="M334" s="113">
        <v>0</v>
      </c>
      <c r="N334" s="113">
        <v>0</v>
      </c>
      <c r="O334" s="113">
        <v>0</v>
      </c>
      <c r="P334" s="113">
        <v>0</v>
      </c>
    </row>
    <row r="335" spans="2:16" ht="13.9" customHeight="1" outlineLevel="1" x14ac:dyDescent="0.25">
      <c r="B335" s="149"/>
      <c r="C335" s="150" t="s">
        <v>63</v>
      </c>
      <c r="D335" s="85">
        <v>0</v>
      </c>
      <c r="E335" s="86">
        <v>0</v>
      </c>
      <c r="F335" s="142">
        <f t="shared" si="36"/>
        <v>0</v>
      </c>
      <c r="G335" s="113">
        <v>0</v>
      </c>
      <c r="H335" s="86">
        <v>0</v>
      </c>
      <c r="I335" s="113">
        <v>0</v>
      </c>
      <c r="J335" s="114">
        <f t="shared" si="37"/>
        <v>0</v>
      </c>
      <c r="K335" s="113">
        <f t="shared" si="38"/>
        <v>0</v>
      </c>
      <c r="L335" s="113">
        <v>0</v>
      </c>
      <c r="M335" s="113">
        <v>0</v>
      </c>
      <c r="N335" s="113">
        <v>0</v>
      </c>
      <c r="O335" s="113">
        <v>0</v>
      </c>
      <c r="P335" s="113">
        <v>0</v>
      </c>
    </row>
    <row r="336" spans="2:16" ht="13.9" customHeight="1" outlineLevel="1" x14ac:dyDescent="0.25">
      <c r="B336" s="149"/>
      <c r="C336" s="150" t="s">
        <v>64</v>
      </c>
      <c r="D336" s="85">
        <v>0</v>
      </c>
      <c r="E336" s="86">
        <v>0</v>
      </c>
      <c r="F336" s="142">
        <f t="shared" si="36"/>
        <v>0</v>
      </c>
      <c r="G336" s="113">
        <v>0</v>
      </c>
      <c r="H336" s="86">
        <v>0</v>
      </c>
      <c r="I336" s="113">
        <v>0</v>
      </c>
      <c r="J336" s="114">
        <f t="shared" si="37"/>
        <v>0</v>
      </c>
      <c r="K336" s="113">
        <f t="shared" si="38"/>
        <v>0</v>
      </c>
      <c r="L336" s="113">
        <v>0</v>
      </c>
      <c r="M336" s="113">
        <v>0</v>
      </c>
      <c r="N336" s="113">
        <v>0</v>
      </c>
      <c r="O336" s="113">
        <v>0</v>
      </c>
      <c r="P336" s="113">
        <v>0</v>
      </c>
    </row>
    <row r="337" spans="2:16" ht="13.9" customHeight="1" outlineLevel="1" x14ac:dyDescent="0.25">
      <c r="B337" s="149"/>
      <c r="C337" s="150" t="s">
        <v>65</v>
      </c>
      <c r="D337" s="85">
        <v>0</v>
      </c>
      <c r="E337" s="86">
        <v>0</v>
      </c>
      <c r="F337" s="142">
        <f t="shared" si="36"/>
        <v>0</v>
      </c>
      <c r="G337" s="113">
        <v>0</v>
      </c>
      <c r="H337" s="86">
        <v>0</v>
      </c>
      <c r="I337" s="113">
        <v>0</v>
      </c>
      <c r="J337" s="114">
        <f t="shared" si="37"/>
        <v>0</v>
      </c>
      <c r="K337" s="113">
        <f t="shared" si="38"/>
        <v>0</v>
      </c>
      <c r="L337" s="113">
        <v>0</v>
      </c>
      <c r="M337" s="113">
        <v>0</v>
      </c>
      <c r="N337" s="113">
        <v>0</v>
      </c>
      <c r="O337" s="113">
        <v>0</v>
      </c>
      <c r="P337" s="113">
        <v>0</v>
      </c>
    </row>
    <row r="338" spans="2:16" ht="13.9" customHeight="1" outlineLevel="1" x14ac:dyDescent="0.25">
      <c r="B338" s="149"/>
      <c r="C338" s="150" t="s">
        <v>66</v>
      </c>
      <c r="D338" s="85">
        <v>0</v>
      </c>
      <c r="E338" s="86">
        <v>0</v>
      </c>
      <c r="F338" s="142">
        <f t="shared" si="36"/>
        <v>0</v>
      </c>
      <c r="G338" s="113">
        <v>0</v>
      </c>
      <c r="H338" s="86">
        <v>0</v>
      </c>
      <c r="I338" s="113">
        <v>0</v>
      </c>
      <c r="J338" s="114">
        <f t="shared" si="37"/>
        <v>0</v>
      </c>
      <c r="K338" s="113">
        <f t="shared" si="38"/>
        <v>0</v>
      </c>
      <c r="L338" s="113">
        <v>0</v>
      </c>
      <c r="M338" s="113">
        <v>0</v>
      </c>
      <c r="N338" s="113">
        <v>0</v>
      </c>
      <c r="O338" s="113">
        <v>0</v>
      </c>
      <c r="P338" s="113">
        <v>0</v>
      </c>
    </row>
    <row r="339" spans="2:16" ht="13.9" customHeight="1" outlineLevel="1" x14ac:dyDescent="0.25">
      <c r="B339" s="149"/>
      <c r="C339" s="150" t="s">
        <v>67</v>
      </c>
      <c r="D339" s="85">
        <v>0</v>
      </c>
      <c r="E339" s="86">
        <v>0</v>
      </c>
      <c r="F339" s="142">
        <f t="shared" si="36"/>
        <v>0</v>
      </c>
      <c r="G339" s="113">
        <v>0</v>
      </c>
      <c r="H339" s="86">
        <v>0</v>
      </c>
      <c r="I339" s="113">
        <v>0</v>
      </c>
      <c r="J339" s="114">
        <f t="shared" si="37"/>
        <v>0</v>
      </c>
      <c r="K339" s="113">
        <f t="shared" si="38"/>
        <v>0</v>
      </c>
      <c r="L339" s="113">
        <v>0</v>
      </c>
      <c r="M339" s="113">
        <v>0</v>
      </c>
      <c r="N339" s="113">
        <v>0</v>
      </c>
      <c r="O339" s="113">
        <v>0</v>
      </c>
      <c r="P339" s="113">
        <v>0</v>
      </c>
    </row>
    <row r="340" spans="2:16" ht="13.9" customHeight="1" x14ac:dyDescent="0.25">
      <c r="B340" s="149"/>
      <c r="C340" s="148" t="s">
        <v>103</v>
      </c>
      <c r="D340" s="90">
        <f>SUM(D303:D339)</f>
        <v>46</v>
      </c>
      <c r="E340" s="91">
        <f t="shared" ref="E340:P340" si="39">SUM(E303:E339)</f>
        <v>310951426.42000002</v>
      </c>
      <c r="F340" s="92">
        <f t="shared" si="39"/>
        <v>172703181.09</v>
      </c>
      <c r="G340" s="93">
        <f t="shared" si="39"/>
        <v>166014063.62</v>
      </c>
      <c r="H340" s="90">
        <f t="shared" si="39"/>
        <v>144937362.79999998</v>
      </c>
      <c r="I340" s="91">
        <f t="shared" si="39"/>
        <v>6689117.4699999997</v>
      </c>
      <c r="J340" s="92">
        <f t="shared" si="39"/>
        <v>138248245.32999998</v>
      </c>
      <c r="K340" s="93">
        <f t="shared" si="39"/>
        <v>68772256.789999977</v>
      </c>
      <c r="L340" s="90">
        <f t="shared" si="39"/>
        <v>56144611.760000005</v>
      </c>
      <c r="M340" s="91">
        <f t="shared" si="39"/>
        <v>13331376.780000001</v>
      </c>
      <c r="N340" s="90">
        <f t="shared" si="39"/>
        <v>0</v>
      </c>
      <c r="O340" s="91">
        <f t="shared" si="39"/>
        <v>0</v>
      </c>
      <c r="P340" s="91">
        <f t="shared" si="39"/>
        <v>0</v>
      </c>
    </row>
    <row r="341" spans="2:16" ht="13.9" customHeight="1" outlineLevel="1" x14ac:dyDescent="0.25">
      <c r="B341" s="149" t="s">
        <v>83</v>
      </c>
      <c r="C341" s="150" t="s">
        <v>70</v>
      </c>
      <c r="D341" s="85">
        <v>0</v>
      </c>
      <c r="E341" s="86">
        <v>0</v>
      </c>
      <c r="F341" s="142">
        <f t="shared" si="36"/>
        <v>0</v>
      </c>
      <c r="G341" s="113">
        <v>0</v>
      </c>
      <c r="H341" s="86">
        <v>0</v>
      </c>
      <c r="I341" s="113">
        <v>0</v>
      </c>
      <c r="J341" s="114">
        <f t="shared" si="37"/>
        <v>0</v>
      </c>
      <c r="K341" s="113">
        <f t="shared" si="38"/>
        <v>0</v>
      </c>
      <c r="L341" s="113">
        <v>0</v>
      </c>
      <c r="M341" s="113">
        <v>0</v>
      </c>
      <c r="N341" s="113">
        <v>0</v>
      </c>
      <c r="O341" s="113">
        <v>0</v>
      </c>
      <c r="P341" s="113">
        <v>0</v>
      </c>
    </row>
    <row r="342" spans="2:16" ht="13.9" customHeight="1" outlineLevel="1" x14ac:dyDescent="0.25">
      <c r="B342" s="149"/>
      <c r="C342" s="150" t="s">
        <v>71</v>
      </c>
      <c r="D342" s="85">
        <v>0</v>
      </c>
      <c r="E342" s="86">
        <v>0</v>
      </c>
      <c r="F342" s="142">
        <f t="shared" si="36"/>
        <v>0</v>
      </c>
      <c r="G342" s="113">
        <v>0</v>
      </c>
      <c r="H342" s="86">
        <v>0</v>
      </c>
      <c r="I342" s="113">
        <v>0</v>
      </c>
      <c r="J342" s="114">
        <f t="shared" si="37"/>
        <v>0</v>
      </c>
      <c r="K342" s="113">
        <f t="shared" si="38"/>
        <v>0</v>
      </c>
      <c r="L342" s="113">
        <v>0</v>
      </c>
      <c r="M342" s="113">
        <v>0</v>
      </c>
      <c r="N342" s="113">
        <v>0</v>
      </c>
      <c r="O342" s="113">
        <v>0</v>
      </c>
      <c r="P342" s="113">
        <v>0</v>
      </c>
    </row>
    <row r="343" spans="2:16" ht="13.9" customHeight="1" outlineLevel="1" x14ac:dyDescent="0.25">
      <c r="B343" s="149"/>
      <c r="C343" s="150" t="s">
        <v>72</v>
      </c>
      <c r="D343" s="85">
        <v>0</v>
      </c>
      <c r="E343" s="86">
        <v>0</v>
      </c>
      <c r="F343" s="142">
        <f t="shared" si="36"/>
        <v>0</v>
      </c>
      <c r="G343" s="113">
        <v>0</v>
      </c>
      <c r="H343" s="86">
        <v>0</v>
      </c>
      <c r="I343" s="113">
        <v>0</v>
      </c>
      <c r="J343" s="114">
        <f t="shared" si="37"/>
        <v>0</v>
      </c>
      <c r="K343" s="113">
        <f t="shared" si="38"/>
        <v>0</v>
      </c>
      <c r="L343" s="113">
        <v>0</v>
      </c>
      <c r="M343" s="113">
        <v>0</v>
      </c>
      <c r="N343" s="113">
        <v>0</v>
      </c>
      <c r="O343" s="113">
        <v>0</v>
      </c>
      <c r="P343" s="113">
        <v>0</v>
      </c>
    </row>
    <row r="344" spans="2:16" ht="13.9" customHeight="1" x14ac:dyDescent="0.25">
      <c r="B344" s="149"/>
      <c r="C344" s="148" t="s">
        <v>104</v>
      </c>
      <c r="D344" s="90">
        <f>SUM(D341:D343)</f>
        <v>0</v>
      </c>
      <c r="E344" s="91">
        <f t="shared" ref="E344:P344" si="40">SUM(E341:E343)</f>
        <v>0</v>
      </c>
      <c r="F344" s="92">
        <f t="shared" si="40"/>
        <v>0</v>
      </c>
      <c r="G344" s="93">
        <f t="shared" si="40"/>
        <v>0</v>
      </c>
      <c r="H344" s="90">
        <f t="shared" si="40"/>
        <v>0</v>
      </c>
      <c r="I344" s="91">
        <f t="shared" si="40"/>
        <v>0</v>
      </c>
      <c r="J344" s="92">
        <f t="shared" si="40"/>
        <v>0</v>
      </c>
      <c r="K344" s="93">
        <f t="shared" si="40"/>
        <v>0</v>
      </c>
      <c r="L344" s="90">
        <f t="shared" si="40"/>
        <v>0</v>
      </c>
      <c r="M344" s="91">
        <f t="shared" si="40"/>
        <v>0</v>
      </c>
      <c r="N344" s="90">
        <f t="shared" si="40"/>
        <v>0</v>
      </c>
      <c r="O344" s="91">
        <f t="shared" si="40"/>
        <v>0</v>
      </c>
      <c r="P344" s="91">
        <f t="shared" si="40"/>
        <v>0</v>
      </c>
    </row>
    <row r="345" spans="2:16" ht="13.9" customHeight="1" outlineLevel="1" x14ac:dyDescent="0.25">
      <c r="B345" s="149" t="s">
        <v>105</v>
      </c>
      <c r="C345" s="150" t="s">
        <v>75</v>
      </c>
      <c r="D345" s="85">
        <v>0</v>
      </c>
      <c r="E345" s="86">
        <v>0</v>
      </c>
      <c r="F345" s="142">
        <f t="shared" si="36"/>
        <v>0</v>
      </c>
      <c r="G345" s="113">
        <v>0</v>
      </c>
      <c r="H345" s="86">
        <v>0</v>
      </c>
      <c r="I345" s="113">
        <v>0</v>
      </c>
      <c r="J345" s="114">
        <f t="shared" si="37"/>
        <v>0</v>
      </c>
      <c r="K345" s="113">
        <f t="shared" si="38"/>
        <v>0</v>
      </c>
      <c r="L345" s="113">
        <v>0</v>
      </c>
      <c r="M345" s="113">
        <v>0</v>
      </c>
      <c r="N345" s="113">
        <v>0</v>
      </c>
      <c r="O345" s="113">
        <v>0</v>
      </c>
      <c r="P345" s="113">
        <v>0</v>
      </c>
    </row>
    <row r="346" spans="2:16" ht="13.9" customHeight="1" outlineLevel="1" x14ac:dyDescent="0.25">
      <c r="B346" s="149"/>
      <c r="C346" s="150" t="s">
        <v>76</v>
      </c>
      <c r="D346" s="85">
        <v>0</v>
      </c>
      <c r="E346" s="86">
        <v>0</v>
      </c>
      <c r="F346" s="142">
        <f t="shared" si="36"/>
        <v>0</v>
      </c>
      <c r="G346" s="113">
        <v>0</v>
      </c>
      <c r="H346" s="86">
        <v>0</v>
      </c>
      <c r="I346" s="113">
        <v>0</v>
      </c>
      <c r="J346" s="114">
        <f t="shared" si="37"/>
        <v>0</v>
      </c>
      <c r="K346" s="113">
        <f t="shared" si="38"/>
        <v>0</v>
      </c>
      <c r="L346" s="113">
        <v>0</v>
      </c>
      <c r="M346" s="113">
        <v>0</v>
      </c>
      <c r="N346" s="113">
        <v>0</v>
      </c>
      <c r="O346" s="113">
        <v>0</v>
      </c>
      <c r="P346" s="113">
        <v>0</v>
      </c>
    </row>
    <row r="347" spans="2:16" ht="13.9" customHeight="1" x14ac:dyDescent="0.25">
      <c r="B347" s="149"/>
      <c r="C347" s="148" t="s">
        <v>106</v>
      </c>
      <c r="D347" s="90">
        <f>SUM(D345:D346)</f>
        <v>0</v>
      </c>
      <c r="E347" s="91">
        <f t="shared" ref="E347:P347" si="41">SUM(E345:E346)</f>
        <v>0</v>
      </c>
      <c r="F347" s="92">
        <f t="shared" si="41"/>
        <v>0</v>
      </c>
      <c r="G347" s="93">
        <f t="shared" si="41"/>
        <v>0</v>
      </c>
      <c r="H347" s="90">
        <f t="shared" si="41"/>
        <v>0</v>
      </c>
      <c r="I347" s="91">
        <f t="shared" si="41"/>
        <v>0</v>
      </c>
      <c r="J347" s="92">
        <f t="shared" si="41"/>
        <v>0</v>
      </c>
      <c r="K347" s="93">
        <f t="shared" si="41"/>
        <v>0</v>
      </c>
      <c r="L347" s="90">
        <f t="shared" si="41"/>
        <v>0</v>
      </c>
      <c r="M347" s="91">
        <f t="shared" si="41"/>
        <v>0</v>
      </c>
      <c r="N347" s="90">
        <f t="shared" si="41"/>
        <v>0</v>
      </c>
      <c r="O347" s="91">
        <f t="shared" si="41"/>
        <v>0</v>
      </c>
      <c r="P347" s="91">
        <f t="shared" si="41"/>
        <v>0</v>
      </c>
    </row>
    <row r="348" spans="2:16" ht="13.9" customHeight="1" x14ac:dyDescent="0.25">
      <c r="B348" s="155" t="s">
        <v>78</v>
      </c>
      <c r="C348" s="155"/>
      <c r="D348" s="90">
        <f>D340+D344+D347</f>
        <v>46</v>
      </c>
      <c r="E348" s="91">
        <f t="shared" ref="E348:P348" si="42">E340+E344+E347</f>
        <v>310951426.42000002</v>
      </c>
      <c r="F348" s="92">
        <f t="shared" si="42"/>
        <v>172703181.09</v>
      </c>
      <c r="G348" s="93">
        <f t="shared" si="42"/>
        <v>166014063.62</v>
      </c>
      <c r="H348" s="90">
        <f t="shared" si="42"/>
        <v>144937362.79999998</v>
      </c>
      <c r="I348" s="91">
        <f t="shared" si="42"/>
        <v>6689117.4699999997</v>
      </c>
      <c r="J348" s="92">
        <f t="shared" si="42"/>
        <v>138248245.32999998</v>
      </c>
      <c r="K348" s="93">
        <f t="shared" si="42"/>
        <v>68772256.789999977</v>
      </c>
      <c r="L348" s="90">
        <f t="shared" si="42"/>
        <v>56144611.760000005</v>
      </c>
      <c r="M348" s="91">
        <f t="shared" si="42"/>
        <v>13331376.780000001</v>
      </c>
      <c r="N348" s="90">
        <f t="shared" si="42"/>
        <v>0</v>
      </c>
      <c r="O348" s="91">
        <f t="shared" si="42"/>
        <v>0</v>
      </c>
      <c r="P348" s="91">
        <f t="shared" si="42"/>
        <v>0</v>
      </c>
    </row>
    <row r="349" spans="2:16" ht="13.9" customHeight="1" x14ac:dyDescent="0.25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</row>
    <row r="350" spans="2:16" ht="13.9" customHeight="1" x14ac:dyDescent="0.25">
      <c r="B350" s="107" t="s">
        <v>92</v>
      </c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</row>
    <row r="351" spans="2:16" ht="13.9" customHeight="1" x14ac:dyDescent="0.25">
      <c r="B351" s="154" t="s">
        <v>26</v>
      </c>
      <c r="C351" s="148" t="s">
        <v>27</v>
      </c>
      <c r="D351" s="109" t="s">
        <v>28</v>
      </c>
      <c r="E351" s="110" t="s">
        <v>29</v>
      </c>
      <c r="F351" s="111" t="s">
        <v>85</v>
      </c>
      <c r="G351" s="112" t="s">
        <v>81</v>
      </c>
      <c r="H351" s="110" t="s">
        <v>82</v>
      </c>
      <c r="I351" s="112" t="s">
        <v>86</v>
      </c>
      <c r="J351" s="110" t="s">
        <v>87</v>
      </c>
      <c r="K351" s="112">
        <v>2026</v>
      </c>
      <c r="L351" s="112">
        <v>2027</v>
      </c>
      <c r="M351" s="110">
        <v>2028</v>
      </c>
      <c r="N351" s="112">
        <v>2029</v>
      </c>
      <c r="O351" s="110">
        <v>2030</v>
      </c>
      <c r="P351" s="112">
        <v>2031</v>
      </c>
    </row>
    <row r="352" spans="2:16" ht="13.9" customHeight="1" outlineLevel="1" x14ac:dyDescent="0.25">
      <c r="B352" s="149" t="s">
        <v>30</v>
      </c>
      <c r="C352" s="150" t="s">
        <v>31</v>
      </c>
      <c r="D352" s="85">
        <v>12</v>
      </c>
      <c r="E352" s="86">
        <v>26067379.440000005</v>
      </c>
      <c r="F352" s="142">
        <f t="shared" ref="F352:F395" si="43">G352+I352</f>
        <v>26092137.409999996</v>
      </c>
      <c r="G352" s="113">
        <v>26092137.409999996</v>
      </c>
      <c r="H352" s="86">
        <v>631.26000000000931</v>
      </c>
      <c r="I352" s="113">
        <v>0</v>
      </c>
      <c r="J352" s="114">
        <f t="shared" ref="J352:J395" si="44">MAX(0,H352-I352)</f>
        <v>631.26000000000931</v>
      </c>
      <c r="K352" s="113">
        <f t="shared" ref="K352:K395" si="45">MAX(J352-SUM(L352:P352),0)</f>
        <v>631.26000000000931</v>
      </c>
      <c r="L352" s="113">
        <v>0</v>
      </c>
      <c r="M352" s="113">
        <v>0</v>
      </c>
      <c r="N352" s="113">
        <v>0</v>
      </c>
      <c r="O352" s="113">
        <v>0</v>
      </c>
      <c r="P352" s="113">
        <v>0</v>
      </c>
    </row>
    <row r="353" spans="2:16" ht="13.9" customHeight="1" outlineLevel="1" x14ac:dyDescent="0.25">
      <c r="B353" s="149"/>
      <c r="C353" s="150" t="s">
        <v>32</v>
      </c>
      <c r="D353" s="85">
        <v>0</v>
      </c>
      <c r="E353" s="86">
        <v>0</v>
      </c>
      <c r="F353" s="142">
        <f t="shared" si="43"/>
        <v>0</v>
      </c>
      <c r="G353" s="113">
        <v>0</v>
      </c>
      <c r="H353" s="86">
        <v>0</v>
      </c>
      <c r="I353" s="113">
        <v>0</v>
      </c>
      <c r="J353" s="114">
        <f t="shared" si="44"/>
        <v>0</v>
      </c>
      <c r="K353" s="113">
        <f t="shared" si="45"/>
        <v>0</v>
      </c>
      <c r="L353" s="113">
        <v>0</v>
      </c>
      <c r="M353" s="113">
        <v>0</v>
      </c>
      <c r="N353" s="113">
        <v>0</v>
      </c>
      <c r="O353" s="113">
        <v>0</v>
      </c>
      <c r="P353" s="113">
        <v>0</v>
      </c>
    </row>
    <row r="354" spans="2:16" ht="13.9" customHeight="1" outlineLevel="1" x14ac:dyDescent="0.25">
      <c r="B354" s="149"/>
      <c r="C354" s="150" t="s">
        <v>33</v>
      </c>
      <c r="D354" s="85">
        <v>1</v>
      </c>
      <c r="E354" s="86">
        <v>2629030.25</v>
      </c>
      <c r="F354" s="142">
        <f t="shared" si="43"/>
        <v>2629029.9700000002</v>
      </c>
      <c r="G354" s="113">
        <v>2629029.9700000002</v>
      </c>
      <c r="H354" s="86">
        <v>0.27999999979510903</v>
      </c>
      <c r="I354" s="113">
        <v>0</v>
      </c>
      <c r="J354" s="114">
        <f t="shared" si="44"/>
        <v>0.27999999979510903</v>
      </c>
      <c r="K354" s="113">
        <f t="shared" si="45"/>
        <v>0</v>
      </c>
      <c r="L354" s="113">
        <v>0.33</v>
      </c>
      <c r="M354" s="113">
        <v>0</v>
      </c>
      <c r="N354" s="113">
        <v>0</v>
      </c>
      <c r="O354" s="113">
        <v>0</v>
      </c>
      <c r="P354" s="113">
        <v>0</v>
      </c>
    </row>
    <row r="355" spans="2:16" ht="13.9" customHeight="1" outlineLevel="1" x14ac:dyDescent="0.25">
      <c r="B355" s="149"/>
      <c r="C355" s="150" t="s">
        <v>34</v>
      </c>
      <c r="D355" s="85">
        <v>10</v>
      </c>
      <c r="E355" s="86">
        <v>21093278.75</v>
      </c>
      <c r="F355" s="142">
        <f t="shared" si="43"/>
        <v>13247817.639999999</v>
      </c>
      <c r="G355" s="113">
        <v>13247817.639999999</v>
      </c>
      <c r="H355" s="86">
        <v>7845461.1100000013</v>
      </c>
      <c r="I355" s="113">
        <v>0</v>
      </c>
      <c r="J355" s="114">
        <f t="shared" si="44"/>
        <v>7845461.1100000013</v>
      </c>
      <c r="K355" s="113">
        <f t="shared" si="45"/>
        <v>1517478.3400000017</v>
      </c>
      <c r="L355" s="113">
        <v>4218654.8899999997</v>
      </c>
      <c r="M355" s="113">
        <v>2109327.88</v>
      </c>
      <c r="N355" s="113">
        <v>0</v>
      </c>
      <c r="O355" s="113">
        <v>0</v>
      </c>
      <c r="P355" s="113">
        <v>0</v>
      </c>
    </row>
    <row r="356" spans="2:16" ht="13.9" customHeight="1" outlineLevel="1" x14ac:dyDescent="0.25">
      <c r="B356" s="149"/>
      <c r="C356" s="150" t="s">
        <v>35</v>
      </c>
      <c r="D356" s="85">
        <v>5</v>
      </c>
      <c r="E356" s="86">
        <v>5348817.1000000006</v>
      </c>
      <c r="F356" s="142">
        <f t="shared" si="43"/>
        <v>5350228</v>
      </c>
      <c r="G356" s="113">
        <v>5350228</v>
      </c>
      <c r="H356" s="86">
        <v>0</v>
      </c>
      <c r="I356" s="113">
        <v>0</v>
      </c>
      <c r="J356" s="114">
        <f t="shared" si="44"/>
        <v>0</v>
      </c>
      <c r="K356" s="113">
        <f t="shared" si="45"/>
        <v>0</v>
      </c>
      <c r="L356" s="113">
        <v>0</v>
      </c>
      <c r="M356" s="113">
        <v>0</v>
      </c>
      <c r="N356" s="113">
        <v>0</v>
      </c>
      <c r="O356" s="113">
        <v>0</v>
      </c>
      <c r="P356" s="113">
        <v>0</v>
      </c>
    </row>
    <row r="357" spans="2:16" ht="13.9" customHeight="1" outlineLevel="1" x14ac:dyDescent="0.25">
      <c r="B357" s="149"/>
      <c r="C357" s="150" t="s">
        <v>36</v>
      </c>
      <c r="D357" s="85">
        <v>0</v>
      </c>
      <c r="E357" s="86">
        <v>0</v>
      </c>
      <c r="F357" s="142">
        <f t="shared" si="43"/>
        <v>0</v>
      </c>
      <c r="G357" s="113">
        <v>0</v>
      </c>
      <c r="H357" s="86">
        <v>0</v>
      </c>
      <c r="I357" s="113">
        <v>0</v>
      </c>
      <c r="J357" s="114">
        <f t="shared" si="44"/>
        <v>0</v>
      </c>
      <c r="K357" s="113">
        <f t="shared" si="45"/>
        <v>0</v>
      </c>
      <c r="L357" s="113">
        <v>0</v>
      </c>
      <c r="M357" s="113">
        <v>0</v>
      </c>
      <c r="N357" s="113">
        <v>0</v>
      </c>
      <c r="O357" s="113">
        <v>0</v>
      </c>
      <c r="P357" s="113">
        <v>0</v>
      </c>
    </row>
    <row r="358" spans="2:16" ht="13.9" customHeight="1" outlineLevel="1" x14ac:dyDescent="0.25">
      <c r="B358" s="149"/>
      <c r="C358" s="150" t="s">
        <v>37</v>
      </c>
      <c r="D358" s="85">
        <v>1</v>
      </c>
      <c r="E358" s="86">
        <v>2042784.8</v>
      </c>
      <c r="F358" s="142">
        <f t="shared" si="43"/>
        <v>2047783.9</v>
      </c>
      <c r="G358" s="113">
        <v>2047783.9</v>
      </c>
      <c r="H358" s="86">
        <v>0</v>
      </c>
      <c r="I358" s="113">
        <v>0</v>
      </c>
      <c r="J358" s="114">
        <f t="shared" si="44"/>
        <v>0</v>
      </c>
      <c r="K358" s="113">
        <f t="shared" si="45"/>
        <v>0</v>
      </c>
      <c r="L358" s="113">
        <v>0</v>
      </c>
      <c r="M358" s="113">
        <v>0</v>
      </c>
      <c r="N358" s="113">
        <v>0</v>
      </c>
      <c r="O358" s="113">
        <v>0</v>
      </c>
      <c r="P358" s="113">
        <v>0</v>
      </c>
    </row>
    <row r="359" spans="2:16" ht="13.9" customHeight="1" outlineLevel="1" x14ac:dyDescent="0.25">
      <c r="B359" s="149"/>
      <c r="C359" s="150" t="s">
        <v>38</v>
      </c>
      <c r="D359" s="85">
        <v>0</v>
      </c>
      <c r="E359" s="86">
        <v>0</v>
      </c>
      <c r="F359" s="142">
        <f t="shared" si="43"/>
        <v>0</v>
      </c>
      <c r="G359" s="113">
        <v>0</v>
      </c>
      <c r="H359" s="86">
        <v>0</v>
      </c>
      <c r="I359" s="113">
        <v>0</v>
      </c>
      <c r="J359" s="114">
        <f t="shared" si="44"/>
        <v>0</v>
      </c>
      <c r="K359" s="113">
        <f t="shared" si="45"/>
        <v>0</v>
      </c>
      <c r="L359" s="113">
        <v>0</v>
      </c>
      <c r="M359" s="113">
        <v>0</v>
      </c>
      <c r="N359" s="113">
        <v>0</v>
      </c>
      <c r="O359" s="113">
        <v>0</v>
      </c>
      <c r="P359" s="113">
        <v>0</v>
      </c>
    </row>
    <row r="360" spans="2:16" ht="13.9" customHeight="1" outlineLevel="1" x14ac:dyDescent="0.25">
      <c r="B360" s="149"/>
      <c r="C360" s="150" t="s">
        <v>39</v>
      </c>
      <c r="D360" s="85">
        <v>0</v>
      </c>
      <c r="E360" s="86">
        <v>0</v>
      </c>
      <c r="F360" s="142">
        <f t="shared" si="43"/>
        <v>0</v>
      </c>
      <c r="G360" s="113">
        <v>0</v>
      </c>
      <c r="H360" s="86">
        <v>0</v>
      </c>
      <c r="I360" s="113">
        <v>0</v>
      </c>
      <c r="J360" s="114">
        <f t="shared" si="44"/>
        <v>0</v>
      </c>
      <c r="K360" s="113">
        <f t="shared" si="45"/>
        <v>0</v>
      </c>
      <c r="L360" s="113">
        <v>0</v>
      </c>
      <c r="M360" s="113">
        <v>0</v>
      </c>
      <c r="N360" s="113">
        <v>0</v>
      </c>
      <c r="O360" s="113">
        <v>0</v>
      </c>
      <c r="P360" s="113">
        <v>0</v>
      </c>
    </row>
    <row r="361" spans="2:16" ht="13.9" customHeight="1" outlineLevel="1" x14ac:dyDescent="0.25">
      <c r="B361" s="149"/>
      <c r="C361" s="150" t="s">
        <v>40</v>
      </c>
      <c r="D361" s="85">
        <v>2</v>
      </c>
      <c r="E361" s="86">
        <v>87527872</v>
      </c>
      <c r="F361" s="142">
        <f t="shared" si="43"/>
        <v>74910288</v>
      </c>
      <c r="G361" s="113">
        <v>74910288</v>
      </c>
      <c r="H361" s="86">
        <v>12617584</v>
      </c>
      <c r="I361" s="113">
        <v>0</v>
      </c>
      <c r="J361" s="114">
        <f t="shared" si="44"/>
        <v>12617584</v>
      </c>
      <c r="K361" s="113">
        <f t="shared" si="45"/>
        <v>12617584</v>
      </c>
      <c r="L361" s="113">
        <v>0</v>
      </c>
      <c r="M361" s="113">
        <v>0</v>
      </c>
      <c r="N361" s="113">
        <v>0</v>
      </c>
      <c r="O361" s="113">
        <v>0</v>
      </c>
      <c r="P361" s="113">
        <v>0</v>
      </c>
    </row>
    <row r="362" spans="2:16" ht="13.9" customHeight="1" outlineLevel="1" x14ac:dyDescent="0.25">
      <c r="B362" s="149"/>
      <c r="C362" s="150" t="s">
        <v>41</v>
      </c>
      <c r="D362" s="85">
        <v>0</v>
      </c>
      <c r="E362" s="86">
        <v>0</v>
      </c>
      <c r="F362" s="142">
        <f t="shared" si="43"/>
        <v>0</v>
      </c>
      <c r="G362" s="113">
        <v>0</v>
      </c>
      <c r="H362" s="86">
        <v>0</v>
      </c>
      <c r="I362" s="113">
        <v>0</v>
      </c>
      <c r="J362" s="114">
        <f t="shared" si="44"/>
        <v>0</v>
      </c>
      <c r="K362" s="113">
        <f t="shared" si="45"/>
        <v>0</v>
      </c>
      <c r="L362" s="113">
        <v>0</v>
      </c>
      <c r="M362" s="113">
        <v>0</v>
      </c>
      <c r="N362" s="113">
        <v>0</v>
      </c>
      <c r="O362" s="113">
        <v>0</v>
      </c>
      <c r="P362" s="113">
        <v>0</v>
      </c>
    </row>
    <row r="363" spans="2:16" ht="13.9" customHeight="1" outlineLevel="1" x14ac:dyDescent="0.25">
      <c r="B363" s="149"/>
      <c r="C363" s="150" t="s">
        <v>42</v>
      </c>
      <c r="D363" s="85">
        <v>11</v>
      </c>
      <c r="E363" s="86">
        <v>29450848.950000003</v>
      </c>
      <c r="F363" s="142">
        <f t="shared" si="43"/>
        <v>20643609.129999999</v>
      </c>
      <c r="G363" s="113">
        <v>19569517.91</v>
      </c>
      <c r="H363" s="86">
        <v>9881331.040000001</v>
      </c>
      <c r="I363" s="113">
        <v>1074091.2200000002</v>
      </c>
      <c r="J363" s="114">
        <f t="shared" si="44"/>
        <v>8807239.8200000003</v>
      </c>
      <c r="K363" s="113">
        <f t="shared" si="45"/>
        <v>2917070.0300000012</v>
      </c>
      <c r="L363" s="113">
        <v>5890169.7899999991</v>
      </c>
      <c r="M363" s="113">
        <v>0</v>
      </c>
      <c r="N363" s="113">
        <v>0</v>
      </c>
      <c r="O363" s="113">
        <v>0</v>
      </c>
      <c r="P363" s="113">
        <v>0</v>
      </c>
    </row>
    <row r="364" spans="2:16" ht="13.9" customHeight="1" outlineLevel="1" x14ac:dyDescent="0.25">
      <c r="B364" s="149"/>
      <c r="C364" s="150" t="s">
        <v>43</v>
      </c>
      <c r="D364" s="85">
        <v>14</v>
      </c>
      <c r="E364" s="86">
        <v>200007733</v>
      </c>
      <c r="F364" s="142">
        <f t="shared" si="43"/>
        <v>135918895.66</v>
      </c>
      <c r="G364" s="113">
        <v>133841437.85999998</v>
      </c>
      <c r="H364" s="86">
        <v>66166295.139999993</v>
      </c>
      <c r="I364" s="113">
        <v>2077457.8</v>
      </c>
      <c r="J364" s="114">
        <f t="shared" si="44"/>
        <v>64088837.339999996</v>
      </c>
      <c r="K364" s="113">
        <f t="shared" si="45"/>
        <v>55794250.339999996</v>
      </c>
      <c r="L364" s="113">
        <v>8294587</v>
      </c>
      <c r="M364" s="113">
        <v>0</v>
      </c>
      <c r="N364" s="113">
        <v>0</v>
      </c>
      <c r="O364" s="113">
        <v>0</v>
      </c>
      <c r="P364" s="113">
        <v>0</v>
      </c>
    </row>
    <row r="365" spans="2:16" ht="13.9" customHeight="1" outlineLevel="1" x14ac:dyDescent="0.25">
      <c r="B365" s="149"/>
      <c r="C365" s="150" t="s">
        <v>44</v>
      </c>
      <c r="D365" s="85">
        <v>0</v>
      </c>
      <c r="E365" s="86">
        <v>0</v>
      </c>
      <c r="F365" s="142">
        <f t="shared" si="43"/>
        <v>0</v>
      </c>
      <c r="G365" s="113">
        <v>0</v>
      </c>
      <c r="H365" s="86">
        <v>0</v>
      </c>
      <c r="I365" s="113">
        <v>0</v>
      </c>
      <c r="J365" s="114">
        <f t="shared" si="44"/>
        <v>0</v>
      </c>
      <c r="K365" s="113">
        <f t="shared" si="45"/>
        <v>0</v>
      </c>
      <c r="L365" s="113">
        <v>0</v>
      </c>
      <c r="M365" s="113">
        <v>0</v>
      </c>
      <c r="N365" s="113">
        <v>0</v>
      </c>
      <c r="O365" s="113">
        <v>0</v>
      </c>
      <c r="P365" s="113">
        <v>0</v>
      </c>
    </row>
    <row r="366" spans="2:16" ht="13.9" customHeight="1" outlineLevel="1" x14ac:dyDescent="0.25">
      <c r="B366" s="149"/>
      <c r="C366" s="150" t="s">
        <v>45</v>
      </c>
      <c r="D366" s="85">
        <v>0</v>
      </c>
      <c r="E366" s="86">
        <v>0</v>
      </c>
      <c r="F366" s="142">
        <f t="shared" si="43"/>
        <v>0</v>
      </c>
      <c r="G366" s="113">
        <v>0</v>
      </c>
      <c r="H366" s="86">
        <v>0</v>
      </c>
      <c r="I366" s="113">
        <v>0</v>
      </c>
      <c r="J366" s="114">
        <f t="shared" si="44"/>
        <v>0</v>
      </c>
      <c r="K366" s="113">
        <f t="shared" si="45"/>
        <v>0</v>
      </c>
      <c r="L366" s="113">
        <v>0</v>
      </c>
      <c r="M366" s="113">
        <v>0</v>
      </c>
      <c r="N366" s="113">
        <v>0</v>
      </c>
      <c r="O366" s="113">
        <v>0</v>
      </c>
      <c r="P366" s="113">
        <v>0</v>
      </c>
    </row>
    <row r="367" spans="2:16" ht="13.9" customHeight="1" outlineLevel="1" x14ac:dyDescent="0.25">
      <c r="B367" s="149"/>
      <c r="C367" s="150" t="s">
        <v>46</v>
      </c>
      <c r="D367" s="85">
        <v>0</v>
      </c>
      <c r="E367" s="86">
        <v>0</v>
      </c>
      <c r="F367" s="142">
        <f t="shared" si="43"/>
        <v>0</v>
      </c>
      <c r="G367" s="113">
        <v>0</v>
      </c>
      <c r="H367" s="86">
        <v>0</v>
      </c>
      <c r="I367" s="113">
        <v>0</v>
      </c>
      <c r="J367" s="114">
        <f t="shared" si="44"/>
        <v>0</v>
      </c>
      <c r="K367" s="113">
        <f t="shared" si="45"/>
        <v>0</v>
      </c>
      <c r="L367" s="113">
        <v>0</v>
      </c>
      <c r="M367" s="113">
        <v>0</v>
      </c>
      <c r="N367" s="113">
        <v>0</v>
      </c>
      <c r="O367" s="113">
        <v>0</v>
      </c>
      <c r="P367" s="113">
        <v>0</v>
      </c>
    </row>
    <row r="368" spans="2:16" ht="13.9" customHeight="1" outlineLevel="1" x14ac:dyDescent="0.25">
      <c r="B368" s="149"/>
      <c r="C368" s="150" t="s">
        <v>47</v>
      </c>
      <c r="D368" s="85">
        <v>10</v>
      </c>
      <c r="E368" s="86">
        <v>30756177.300000001</v>
      </c>
      <c r="F368" s="142">
        <f t="shared" si="43"/>
        <v>18524831.899999999</v>
      </c>
      <c r="G368" s="113">
        <v>18524831.899999999</v>
      </c>
      <c r="H368" s="86">
        <v>12231345.400000002</v>
      </c>
      <c r="I368" s="113">
        <v>0</v>
      </c>
      <c r="J368" s="114">
        <f t="shared" si="44"/>
        <v>12231345.400000002</v>
      </c>
      <c r="K368" s="113">
        <f t="shared" si="45"/>
        <v>12231345.400000002</v>
      </c>
      <c r="L368" s="113">
        <v>0</v>
      </c>
      <c r="M368" s="113">
        <v>0</v>
      </c>
      <c r="N368" s="113">
        <v>0</v>
      </c>
      <c r="O368" s="113">
        <v>0</v>
      </c>
      <c r="P368" s="113">
        <v>0</v>
      </c>
    </row>
    <row r="369" spans="2:16" ht="13.9" customHeight="1" outlineLevel="1" x14ac:dyDescent="0.25">
      <c r="B369" s="149"/>
      <c r="C369" s="150" t="s">
        <v>48</v>
      </c>
      <c r="D369" s="85">
        <v>0</v>
      </c>
      <c r="E369" s="86">
        <v>0</v>
      </c>
      <c r="F369" s="142">
        <f t="shared" si="43"/>
        <v>0</v>
      </c>
      <c r="G369" s="113">
        <v>0</v>
      </c>
      <c r="H369" s="86">
        <v>0</v>
      </c>
      <c r="I369" s="113">
        <v>0</v>
      </c>
      <c r="J369" s="114">
        <f t="shared" si="44"/>
        <v>0</v>
      </c>
      <c r="K369" s="113">
        <f t="shared" si="45"/>
        <v>0</v>
      </c>
      <c r="L369" s="113">
        <v>0</v>
      </c>
      <c r="M369" s="113">
        <v>0</v>
      </c>
      <c r="N369" s="113">
        <v>0</v>
      </c>
      <c r="O369" s="113">
        <v>0</v>
      </c>
      <c r="P369" s="113">
        <v>0</v>
      </c>
    </row>
    <row r="370" spans="2:16" ht="13.9" customHeight="1" outlineLevel="1" x14ac:dyDescent="0.25">
      <c r="B370" s="149"/>
      <c r="C370" s="150" t="s">
        <v>49</v>
      </c>
      <c r="D370" s="85">
        <v>6</v>
      </c>
      <c r="E370" s="86">
        <v>54713424.800000004</v>
      </c>
      <c r="F370" s="142">
        <f t="shared" si="43"/>
        <v>43770739.909999996</v>
      </c>
      <c r="G370" s="113">
        <v>41919582</v>
      </c>
      <c r="H370" s="86">
        <v>12793842.799999999</v>
      </c>
      <c r="I370" s="113">
        <v>1851157.9100000001</v>
      </c>
      <c r="J370" s="114">
        <f t="shared" si="44"/>
        <v>10942684.889999999</v>
      </c>
      <c r="K370" s="113">
        <f t="shared" si="45"/>
        <v>8994905.3199999984</v>
      </c>
      <c r="L370" s="113">
        <v>1947779.57</v>
      </c>
      <c r="M370" s="113">
        <v>0</v>
      </c>
      <c r="N370" s="113">
        <v>0</v>
      </c>
      <c r="O370" s="113">
        <v>0</v>
      </c>
      <c r="P370" s="113">
        <v>0</v>
      </c>
    </row>
    <row r="371" spans="2:16" ht="13.9" customHeight="1" outlineLevel="1" x14ac:dyDescent="0.25">
      <c r="B371" s="149"/>
      <c r="C371" s="150" t="s">
        <v>50</v>
      </c>
      <c r="D371" s="85">
        <v>0</v>
      </c>
      <c r="E371" s="86">
        <v>0</v>
      </c>
      <c r="F371" s="142">
        <f t="shared" si="43"/>
        <v>0</v>
      </c>
      <c r="G371" s="113">
        <v>0</v>
      </c>
      <c r="H371" s="86">
        <v>0</v>
      </c>
      <c r="I371" s="113">
        <v>0</v>
      </c>
      <c r="J371" s="114">
        <f t="shared" si="44"/>
        <v>0</v>
      </c>
      <c r="K371" s="113">
        <f t="shared" si="45"/>
        <v>0</v>
      </c>
      <c r="L371" s="113">
        <v>0</v>
      </c>
      <c r="M371" s="113">
        <v>0</v>
      </c>
      <c r="N371" s="113">
        <v>0</v>
      </c>
      <c r="O371" s="113">
        <v>0</v>
      </c>
      <c r="P371" s="113">
        <v>0</v>
      </c>
    </row>
    <row r="372" spans="2:16" ht="13.9" customHeight="1" outlineLevel="1" x14ac:dyDescent="0.25">
      <c r="B372" s="149"/>
      <c r="C372" s="150" t="s">
        <v>51</v>
      </c>
      <c r="D372" s="85">
        <v>0</v>
      </c>
      <c r="E372" s="86">
        <v>0</v>
      </c>
      <c r="F372" s="142">
        <f t="shared" si="43"/>
        <v>0</v>
      </c>
      <c r="G372" s="113">
        <v>0</v>
      </c>
      <c r="H372" s="86">
        <v>0</v>
      </c>
      <c r="I372" s="113">
        <v>0</v>
      </c>
      <c r="J372" s="114">
        <f t="shared" si="44"/>
        <v>0</v>
      </c>
      <c r="K372" s="113">
        <f t="shared" si="45"/>
        <v>0</v>
      </c>
      <c r="L372" s="113">
        <v>0</v>
      </c>
      <c r="M372" s="113">
        <v>0</v>
      </c>
      <c r="N372" s="113">
        <v>0</v>
      </c>
      <c r="O372" s="113">
        <v>0</v>
      </c>
      <c r="P372" s="113">
        <v>0</v>
      </c>
    </row>
    <row r="373" spans="2:16" ht="13.9" customHeight="1" outlineLevel="1" x14ac:dyDescent="0.25">
      <c r="B373" s="149"/>
      <c r="C373" s="150" t="s">
        <v>52</v>
      </c>
      <c r="D373" s="85">
        <v>0</v>
      </c>
      <c r="E373" s="86">
        <v>0</v>
      </c>
      <c r="F373" s="142">
        <f t="shared" si="43"/>
        <v>0</v>
      </c>
      <c r="G373" s="113">
        <v>0</v>
      </c>
      <c r="H373" s="86">
        <v>0</v>
      </c>
      <c r="I373" s="113">
        <v>0</v>
      </c>
      <c r="J373" s="114">
        <f t="shared" si="44"/>
        <v>0</v>
      </c>
      <c r="K373" s="113">
        <f t="shared" si="45"/>
        <v>0</v>
      </c>
      <c r="L373" s="113">
        <v>0</v>
      </c>
      <c r="M373" s="113">
        <v>0</v>
      </c>
      <c r="N373" s="113">
        <v>0</v>
      </c>
      <c r="O373" s="113">
        <v>0</v>
      </c>
      <c r="P373" s="113">
        <v>0</v>
      </c>
    </row>
    <row r="374" spans="2:16" ht="13.9" customHeight="1" outlineLevel="1" x14ac:dyDescent="0.25">
      <c r="B374" s="149"/>
      <c r="C374" s="150" t="s">
        <v>53</v>
      </c>
      <c r="D374" s="85">
        <v>0</v>
      </c>
      <c r="E374" s="86">
        <v>0</v>
      </c>
      <c r="F374" s="142">
        <f t="shared" si="43"/>
        <v>0</v>
      </c>
      <c r="G374" s="113">
        <v>0</v>
      </c>
      <c r="H374" s="86">
        <v>0</v>
      </c>
      <c r="I374" s="113">
        <v>0</v>
      </c>
      <c r="J374" s="114">
        <f t="shared" si="44"/>
        <v>0</v>
      </c>
      <c r="K374" s="113">
        <f t="shared" si="45"/>
        <v>0</v>
      </c>
      <c r="L374" s="113">
        <v>0</v>
      </c>
      <c r="M374" s="113">
        <v>0</v>
      </c>
      <c r="N374" s="113">
        <v>0</v>
      </c>
      <c r="O374" s="113">
        <v>0</v>
      </c>
      <c r="P374" s="113">
        <v>0</v>
      </c>
    </row>
    <row r="375" spans="2:16" ht="13.9" customHeight="1" outlineLevel="1" x14ac:dyDescent="0.25">
      <c r="B375" s="149"/>
      <c r="C375" s="150" t="s">
        <v>54</v>
      </c>
      <c r="D375" s="85">
        <v>0</v>
      </c>
      <c r="E375" s="86">
        <v>0</v>
      </c>
      <c r="F375" s="142">
        <f t="shared" si="43"/>
        <v>0</v>
      </c>
      <c r="G375" s="113">
        <v>0</v>
      </c>
      <c r="H375" s="86">
        <v>0</v>
      </c>
      <c r="I375" s="113">
        <v>0</v>
      </c>
      <c r="J375" s="114">
        <f t="shared" si="44"/>
        <v>0</v>
      </c>
      <c r="K375" s="113">
        <f t="shared" si="45"/>
        <v>0</v>
      </c>
      <c r="L375" s="113">
        <v>0</v>
      </c>
      <c r="M375" s="113">
        <v>0</v>
      </c>
      <c r="N375" s="113">
        <v>0</v>
      </c>
      <c r="O375" s="113">
        <v>0</v>
      </c>
      <c r="P375" s="113">
        <v>0</v>
      </c>
    </row>
    <row r="376" spans="2:16" ht="13.9" customHeight="1" outlineLevel="1" x14ac:dyDescent="0.25">
      <c r="B376" s="149"/>
      <c r="C376" s="150" t="s">
        <v>55</v>
      </c>
      <c r="D376" s="85">
        <v>0</v>
      </c>
      <c r="E376" s="86">
        <v>0</v>
      </c>
      <c r="F376" s="142">
        <f t="shared" si="43"/>
        <v>0</v>
      </c>
      <c r="G376" s="113">
        <v>0</v>
      </c>
      <c r="H376" s="86">
        <v>0</v>
      </c>
      <c r="I376" s="113">
        <v>0</v>
      </c>
      <c r="J376" s="114">
        <f t="shared" si="44"/>
        <v>0</v>
      </c>
      <c r="K376" s="113">
        <f t="shared" si="45"/>
        <v>0</v>
      </c>
      <c r="L376" s="113">
        <v>0</v>
      </c>
      <c r="M376" s="113">
        <v>0</v>
      </c>
      <c r="N376" s="113">
        <v>0</v>
      </c>
      <c r="O376" s="113">
        <v>0</v>
      </c>
      <c r="P376" s="113">
        <v>0</v>
      </c>
    </row>
    <row r="377" spans="2:16" ht="13.9" customHeight="1" outlineLevel="1" x14ac:dyDescent="0.25">
      <c r="B377" s="149"/>
      <c r="C377" s="150" t="s">
        <v>56</v>
      </c>
      <c r="D377" s="85">
        <v>0</v>
      </c>
      <c r="E377" s="86">
        <v>0</v>
      </c>
      <c r="F377" s="142">
        <f t="shared" si="43"/>
        <v>0</v>
      </c>
      <c r="G377" s="113">
        <v>0</v>
      </c>
      <c r="H377" s="86">
        <v>0</v>
      </c>
      <c r="I377" s="113">
        <v>0</v>
      </c>
      <c r="J377" s="114">
        <f t="shared" si="44"/>
        <v>0</v>
      </c>
      <c r="K377" s="113">
        <f t="shared" si="45"/>
        <v>0</v>
      </c>
      <c r="L377" s="113">
        <v>0</v>
      </c>
      <c r="M377" s="113">
        <v>0</v>
      </c>
      <c r="N377" s="113">
        <v>0</v>
      </c>
      <c r="O377" s="113">
        <v>0</v>
      </c>
      <c r="P377" s="113">
        <v>0</v>
      </c>
    </row>
    <row r="378" spans="2:16" ht="13.9" customHeight="1" outlineLevel="1" x14ac:dyDescent="0.25">
      <c r="B378" s="149"/>
      <c r="C378" s="150" t="s">
        <v>57</v>
      </c>
      <c r="D378" s="85">
        <v>11</v>
      </c>
      <c r="E378" s="86">
        <v>175247286</v>
      </c>
      <c r="F378" s="142">
        <f t="shared" si="43"/>
        <v>176047939.64000002</v>
      </c>
      <c r="G378" s="113">
        <v>176047939.44000003</v>
      </c>
      <c r="H378" s="86">
        <v>0.19999999925494194</v>
      </c>
      <c r="I378" s="113">
        <v>0.2</v>
      </c>
      <c r="J378" s="114">
        <f t="shared" si="44"/>
        <v>0</v>
      </c>
      <c r="K378" s="113">
        <f t="shared" si="45"/>
        <v>0</v>
      </c>
      <c r="L378" s="113">
        <v>0</v>
      </c>
      <c r="M378" s="113">
        <v>0</v>
      </c>
      <c r="N378" s="113">
        <v>0</v>
      </c>
      <c r="O378" s="113">
        <v>0</v>
      </c>
      <c r="P378" s="113">
        <v>0</v>
      </c>
    </row>
    <row r="379" spans="2:16" ht="13.9" customHeight="1" outlineLevel="1" x14ac:dyDescent="0.25">
      <c r="B379" s="149"/>
      <c r="C379" s="150" t="s">
        <v>58</v>
      </c>
      <c r="D379" s="85">
        <v>0</v>
      </c>
      <c r="E379" s="86">
        <v>0</v>
      </c>
      <c r="F379" s="142">
        <f t="shared" si="43"/>
        <v>0</v>
      </c>
      <c r="G379" s="113">
        <v>0</v>
      </c>
      <c r="H379" s="86">
        <v>0</v>
      </c>
      <c r="I379" s="113">
        <v>0</v>
      </c>
      <c r="J379" s="114">
        <f t="shared" si="44"/>
        <v>0</v>
      </c>
      <c r="K379" s="113">
        <f t="shared" si="45"/>
        <v>0</v>
      </c>
      <c r="L379" s="113">
        <v>0</v>
      </c>
      <c r="M379" s="113">
        <v>0</v>
      </c>
      <c r="N379" s="113">
        <v>0</v>
      </c>
      <c r="O379" s="113">
        <v>0</v>
      </c>
      <c r="P379" s="113">
        <v>0</v>
      </c>
    </row>
    <row r="380" spans="2:16" ht="13.9" customHeight="1" outlineLevel="1" x14ac:dyDescent="0.25">
      <c r="B380" s="149"/>
      <c r="C380" s="150" t="s">
        <v>59</v>
      </c>
      <c r="D380" s="85">
        <v>0</v>
      </c>
      <c r="E380" s="86">
        <v>0</v>
      </c>
      <c r="F380" s="142">
        <f t="shared" si="43"/>
        <v>0</v>
      </c>
      <c r="G380" s="113">
        <v>0</v>
      </c>
      <c r="H380" s="86">
        <v>0</v>
      </c>
      <c r="I380" s="113">
        <v>0</v>
      </c>
      <c r="J380" s="114">
        <f t="shared" si="44"/>
        <v>0</v>
      </c>
      <c r="K380" s="113">
        <f t="shared" si="45"/>
        <v>0</v>
      </c>
      <c r="L380" s="113">
        <v>0</v>
      </c>
      <c r="M380" s="113">
        <v>0</v>
      </c>
      <c r="N380" s="113">
        <v>0</v>
      </c>
      <c r="O380" s="113">
        <v>0</v>
      </c>
      <c r="P380" s="113">
        <v>0</v>
      </c>
    </row>
    <row r="381" spans="2:16" ht="13.9" customHeight="1" outlineLevel="1" x14ac:dyDescent="0.25">
      <c r="B381" s="149"/>
      <c r="C381" s="150" t="s">
        <v>60</v>
      </c>
      <c r="D381" s="85">
        <v>0</v>
      </c>
      <c r="E381" s="86">
        <v>0</v>
      </c>
      <c r="F381" s="142">
        <f t="shared" si="43"/>
        <v>0</v>
      </c>
      <c r="G381" s="113">
        <v>0</v>
      </c>
      <c r="H381" s="86">
        <v>0</v>
      </c>
      <c r="I381" s="113">
        <v>0</v>
      </c>
      <c r="J381" s="114">
        <f t="shared" si="44"/>
        <v>0</v>
      </c>
      <c r="K381" s="113">
        <f t="shared" si="45"/>
        <v>0</v>
      </c>
      <c r="L381" s="113">
        <v>0</v>
      </c>
      <c r="M381" s="113">
        <v>0</v>
      </c>
      <c r="N381" s="113">
        <v>0</v>
      </c>
      <c r="O381" s="113">
        <v>0</v>
      </c>
      <c r="P381" s="113">
        <v>0</v>
      </c>
    </row>
    <row r="382" spans="2:16" ht="13.9" customHeight="1" outlineLevel="1" x14ac:dyDescent="0.25">
      <c r="B382" s="149"/>
      <c r="C382" s="150" t="s">
        <v>61</v>
      </c>
      <c r="D382" s="85">
        <v>0</v>
      </c>
      <c r="E382" s="86">
        <v>0</v>
      </c>
      <c r="F382" s="142">
        <f t="shared" si="43"/>
        <v>0</v>
      </c>
      <c r="G382" s="113">
        <v>0</v>
      </c>
      <c r="H382" s="86">
        <v>0</v>
      </c>
      <c r="I382" s="113">
        <v>0</v>
      </c>
      <c r="J382" s="114">
        <f t="shared" si="44"/>
        <v>0</v>
      </c>
      <c r="K382" s="113">
        <f t="shared" si="45"/>
        <v>0</v>
      </c>
      <c r="L382" s="113">
        <v>0</v>
      </c>
      <c r="M382" s="113">
        <v>0</v>
      </c>
      <c r="N382" s="113">
        <v>0</v>
      </c>
      <c r="O382" s="113">
        <v>0</v>
      </c>
      <c r="P382" s="113">
        <v>0</v>
      </c>
    </row>
    <row r="383" spans="2:16" ht="13.9" customHeight="1" outlineLevel="1" x14ac:dyDescent="0.25">
      <c r="B383" s="149"/>
      <c r="C383" s="150" t="s">
        <v>62</v>
      </c>
      <c r="D383" s="85">
        <v>0</v>
      </c>
      <c r="E383" s="86">
        <v>0</v>
      </c>
      <c r="F383" s="142">
        <f t="shared" si="43"/>
        <v>0</v>
      </c>
      <c r="G383" s="113">
        <v>0</v>
      </c>
      <c r="H383" s="86">
        <v>0</v>
      </c>
      <c r="I383" s="113">
        <v>0</v>
      </c>
      <c r="J383" s="114">
        <f t="shared" si="44"/>
        <v>0</v>
      </c>
      <c r="K383" s="113">
        <f t="shared" si="45"/>
        <v>0</v>
      </c>
      <c r="L383" s="113">
        <v>0</v>
      </c>
      <c r="M383" s="113">
        <v>0</v>
      </c>
      <c r="N383" s="113">
        <v>0</v>
      </c>
      <c r="O383" s="113">
        <v>0</v>
      </c>
      <c r="P383" s="113">
        <v>0</v>
      </c>
    </row>
    <row r="384" spans="2:16" ht="13.9" customHeight="1" outlineLevel="1" x14ac:dyDescent="0.25">
      <c r="B384" s="149"/>
      <c r="C384" s="150" t="s">
        <v>63</v>
      </c>
      <c r="D384" s="85">
        <v>0</v>
      </c>
      <c r="E384" s="86">
        <v>0</v>
      </c>
      <c r="F384" s="142">
        <f t="shared" si="43"/>
        <v>0</v>
      </c>
      <c r="G384" s="113">
        <v>0</v>
      </c>
      <c r="H384" s="86">
        <v>0</v>
      </c>
      <c r="I384" s="113">
        <v>0</v>
      </c>
      <c r="J384" s="114">
        <f t="shared" si="44"/>
        <v>0</v>
      </c>
      <c r="K384" s="113">
        <f t="shared" si="45"/>
        <v>0</v>
      </c>
      <c r="L384" s="113">
        <v>0</v>
      </c>
      <c r="M384" s="113">
        <v>0</v>
      </c>
      <c r="N384" s="113">
        <v>0</v>
      </c>
      <c r="O384" s="113">
        <v>0</v>
      </c>
      <c r="P384" s="113">
        <v>0</v>
      </c>
    </row>
    <row r="385" spans="2:16" ht="13.9" customHeight="1" outlineLevel="1" x14ac:dyDescent="0.25">
      <c r="B385" s="149"/>
      <c r="C385" s="150" t="s">
        <v>64</v>
      </c>
      <c r="D385" s="85">
        <v>11</v>
      </c>
      <c r="E385" s="86">
        <v>37032196.600000001</v>
      </c>
      <c r="F385" s="142">
        <f t="shared" si="43"/>
        <v>25922537.57</v>
      </c>
      <c r="G385" s="113">
        <v>22364994</v>
      </c>
      <c r="H385" s="86">
        <v>14667202.600000001</v>
      </c>
      <c r="I385" s="113">
        <v>3557543.57</v>
      </c>
      <c r="J385" s="114">
        <f t="shared" si="44"/>
        <v>11109659.030000001</v>
      </c>
      <c r="K385" s="113">
        <f t="shared" si="45"/>
        <v>11109659.030000001</v>
      </c>
      <c r="L385" s="113">
        <v>0</v>
      </c>
      <c r="M385" s="113">
        <v>0</v>
      </c>
      <c r="N385" s="113">
        <v>0</v>
      </c>
      <c r="O385" s="113">
        <v>0</v>
      </c>
      <c r="P385" s="113">
        <v>0</v>
      </c>
    </row>
    <row r="386" spans="2:16" ht="13.9" customHeight="1" outlineLevel="1" x14ac:dyDescent="0.25">
      <c r="B386" s="149"/>
      <c r="C386" s="150" t="s">
        <v>65</v>
      </c>
      <c r="D386" s="85">
        <v>2</v>
      </c>
      <c r="E386" s="86">
        <v>3525000.01</v>
      </c>
      <c r="F386" s="142">
        <f t="shared" si="43"/>
        <v>3530000</v>
      </c>
      <c r="G386" s="113">
        <v>3529999.93</v>
      </c>
      <c r="H386" s="86">
        <v>7.9999999608844519E-2</v>
      </c>
      <c r="I386" s="113">
        <v>7.0000000000000007E-2</v>
      </c>
      <c r="J386" s="114">
        <f t="shared" si="44"/>
        <v>9.999999608844512E-3</v>
      </c>
      <c r="K386" s="113">
        <f t="shared" si="45"/>
        <v>9.999999608844512E-3</v>
      </c>
      <c r="L386" s="113">
        <v>0</v>
      </c>
      <c r="M386" s="113">
        <v>0</v>
      </c>
      <c r="N386" s="113">
        <v>0</v>
      </c>
      <c r="O386" s="113">
        <v>0</v>
      </c>
      <c r="P386" s="113">
        <v>0</v>
      </c>
    </row>
    <row r="387" spans="2:16" ht="13.9" customHeight="1" outlineLevel="1" x14ac:dyDescent="0.25">
      <c r="B387" s="149"/>
      <c r="C387" s="150" t="s">
        <v>66</v>
      </c>
      <c r="D387" s="85">
        <v>0</v>
      </c>
      <c r="E387" s="86">
        <v>0</v>
      </c>
      <c r="F387" s="142">
        <f t="shared" si="43"/>
        <v>0</v>
      </c>
      <c r="G387" s="113">
        <v>0</v>
      </c>
      <c r="H387" s="86">
        <v>0</v>
      </c>
      <c r="I387" s="113">
        <v>0</v>
      </c>
      <c r="J387" s="114">
        <f t="shared" si="44"/>
        <v>0</v>
      </c>
      <c r="K387" s="113">
        <f t="shared" si="45"/>
        <v>0</v>
      </c>
      <c r="L387" s="113">
        <v>0</v>
      </c>
      <c r="M387" s="113">
        <v>0</v>
      </c>
      <c r="N387" s="113">
        <v>0</v>
      </c>
      <c r="O387" s="113">
        <v>0</v>
      </c>
      <c r="P387" s="113">
        <v>0</v>
      </c>
    </row>
    <row r="388" spans="2:16" ht="13.9" customHeight="1" outlineLevel="1" x14ac:dyDescent="0.25">
      <c r="B388" s="149"/>
      <c r="C388" s="150" t="s">
        <v>67</v>
      </c>
      <c r="D388" s="85">
        <v>0</v>
      </c>
      <c r="E388" s="86">
        <v>0</v>
      </c>
      <c r="F388" s="142">
        <f t="shared" si="43"/>
        <v>0</v>
      </c>
      <c r="G388" s="113">
        <v>0</v>
      </c>
      <c r="H388" s="86">
        <v>0</v>
      </c>
      <c r="I388" s="113">
        <v>0</v>
      </c>
      <c r="J388" s="114">
        <f t="shared" si="44"/>
        <v>0</v>
      </c>
      <c r="K388" s="113">
        <f t="shared" si="45"/>
        <v>0</v>
      </c>
      <c r="L388" s="113">
        <v>0</v>
      </c>
      <c r="M388" s="113">
        <v>0</v>
      </c>
      <c r="N388" s="113">
        <v>0</v>
      </c>
      <c r="O388" s="113">
        <v>0</v>
      </c>
      <c r="P388" s="113">
        <v>0</v>
      </c>
    </row>
    <row r="389" spans="2:16" ht="13.9" customHeight="1" x14ac:dyDescent="0.25">
      <c r="B389" s="149"/>
      <c r="C389" s="148" t="s">
        <v>103</v>
      </c>
      <c r="D389" s="90">
        <f>SUM(D352:D388)</f>
        <v>96</v>
      </c>
      <c r="E389" s="91">
        <f t="shared" ref="E389:P389" si="46">SUM(E352:E388)</f>
        <v>675441829.00000012</v>
      </c>
      <c r="F389" s="92">
        <f t="shared" si="46"/>
        <v>548635838.73000002</v>
      </c>
      <c r="G389" s="93">
        <f t="shared" si="46"/>
        <v>540075587.95999992</v>
      </c>
      <c r="H389" s="90">
        <f t="shared" si="46"/>
        <v>136203693.91000003</v>
      </c>
      <c r="I389" s="91">
        <f t="shared" si="46"/>
        <v>8560250.7700000014</v>
      </c>
      <c r="J389" s="92">
        <f t="shared" si="46"/>
        <v>127643443.14000002</v>
      </c>
      <c r="K389" s="93">
        <f t="shared" si="46"/>
        <v>105182923.73</v>
      </c>
      <c r="L389" s="90">
        <f t="shared" si="46"/>
        <v>20351191.579999998</v>
      </c>
      <c r="M389" s="91">
        <f t="shared" si="46"/>
        <v>2109327.88</v>
      </c>
      <c r="N389" s="90">
        <f t="shared" si="46"/>
        <v>0</v>
      </c>
      <c r="O389" s="91">
        <f t="shared" si="46"/>
        <v>0</v>
      </c>
      <c r="P389" s="91">
        <f t="shared" si="46"/>
        <v>0</v>
      </c>
    </row>
    <row r="390" spans="2:16" ht="13.9" customHeight="1" outlineLevel="1" x14ac:dyDescent="0.25">
      <c r="B390" s="149" t="s">
        <v>83</v>
      </c>
      <c r="C390" s="150" t="s">
        <v>70</v>
      </c>
      <c r="D390" s="85">
        <v>0</v>
      </c>
      <c r="E390" s="86">
        <v>0</v>
      </c>
      <c r="F390" s="142">
        <f t="shared" si="43"/>
        <v>0</v>
      </c>
      <c r="G390" s="113">
        <v>0</v>
      </c>
      <c r="H390" s="86">
        <v>0</v>
      </c>
      <c r="I390" s="113">
        <v>0</v>
      </c>
      <c r="J390" s="114">
        <f t="shared" si="44"/>
        <v>0</v>
      </c>
      <c r="K390" s="113">
        <f t="shared" si="45"/>
        <v>0</v>
      </c>
      <c r="L390" s="113">
        <v>0</v>
      </c>
      <c r="M390" s="113">
        <v>0</v>
      </c>
      <c r="N390" s="113">
        <v>0</v>
      </c>
      <c r="O390" s="113">
        <v>0</v>
      </c>
      <c r="P390" s="113">
        <v>0</v>
      </c>
    </row>
    <row r="391" spans="2:16" ht="13.9" customHeight="1" outlineLevel="1" x14ac:dyDescent="0.25">
      <c r="B391" s="149"/>
      <c r="C391" s="150" t="s">
        <v>71</v>
      </c>
      <c r="D391" s="85">
        <v>0</v>
      </c>
      <c r="E391" s="86">
        <v>0</v>
      </c>
      <c r="F391" s="142">
        <f t="shared" si="43"/>
        <v>0</v>
      </c>
      <c r="G391" s="113">
        <v>0</v>
      </c>
      <c r="H391" s="86">
        <v>0</v>
      </c>
      <c r="I391" s="113">
        <v>0</v>
      </c>
      <c r="J391" s="114">
        <f t="shared" si="44"/>
        <v>0</v>
      </c>
      <c r="K391" s="113">
        <f t="shared" si="45"/>
        <v>0</v>
      </c>
      <c r="L391" s="113">
        <v>0</v>
      </c>
      <c r="M391" s="113">
        <v>0</v>
      </c>
      <c r="N391" s="113">
        <v>0</v>
      </c>
      <c r="O391" s="113">
        <v>0</v>
      </c>
      <c r="P391" s="113">
        <v>0</v>
      </c>
    </row>
    <row r="392" spans="2:16" ht="13.9" customHeight="1" outlineLevel="1" x14ac:dyDescent="0.25">
      <c r="B392" s="149"/>
      <c r="C392" s="150" t="s">
        <v>72</v>
      </c>
      <c r="D392" s="85">
        <v>0</v>
      </c>
      <c r="E392" s="86">
        <v>0</v>
      </c>
      <c r="F392" s="142">
        <f t="shared" si="43"/>
        <v>0</v>
      </c>
      <c r="G392" s="113">
        <v>0</v>
      </c>
      <c r="H392" s="86">
        <v>0</v>
      </c>
      <c r="I392" s="113">
        <v>0</v>
      </c>
      <c r="J392" s="114">
        <f t="shared" si="44"/>
        <v>0</v>
      </c>
      <c r="K392" s="113">
        <f t="shared" si="45"/>
        <v>0</v>
      </c>
      <c r="L392" s="113">
        <v>0</v>
      </c>
      <c r="M392" s="113">
        <v>0</v>
      </c>
      <c r="N392" s="113">
        <v>0</v>
      </c>
      <c r="O392" s="113">
        <v>0</v>
      </c>
      <c r="P392" s="113">
        <v>0</v>
      </c>
    </row>
    <row r="393" spans="2:16" ht="13.9" customHeight="1" x14ac:dyDescent="0.25">
      <c r="B393" s="149"/>
      <c r="C393" s="148" t="s">
        <v>104</v>
      </c>
      <c r="D393" s="90">
        <f>SUM(D390:D392)</f>
        <v>0</v>
      </c>
      <c r="E393" s="91">
        <f t="shared" ref="E393:P393" si="47">SUM(E390:E392)</f>
        <v>0</v>
      </c>
      <c r="F393" s="92">
        <f t="shared" si="47"/>
        <v>0</v>
      </c>
      <c r="G393" s="93">
        <f t="shared" si="47"/>
        <v>0</v>
      </c>
      <c r="H393" s="90">
        <f t="shared" si="47"/>
        <v>0</v>
      </c>
      <c r="I393" s="91">
        <f t="shared" si="47"/>
        <v>0</v>
      </c>
      <c r="J393" s="92">
        <f t="shared" si="47"/>
        <v>0</v>
      </c>
      <c r="K393" s="93">
        <f t="shared" si="47"/>
        <v>0</v>
      </c>
      <c r="L393" s="90">
        <f t="shared" si="47"/>
        <v>0</v>
      </c>
      <c r="M393" s="91">
        <f t="shared" si="47"/>
        <v>0</v>
      </c>
      <c r="N393" s="90">
        <f t="shared" si="47"/>
        <v>0</v>
      </c>
      <c r="O393" s="91">
        <f t="shared" si="47"/>
        <v>0</v>
      </c>
      <c r="P393" s="91">
        <f t="shared" si="47"/>
        <v>0</v>
      </c>
    </row>
    <row r="394" spans="2:16" ht="13.9" customHeight="1" outlineLevel="1" x14ac:dyDescent="0.25">
      <c r="B394" s="149" t="s">
        <v>105</v>
      </c>
      <c r="C394" s="150" t="s">
        <v>75</v>
      </c>
      <c r="D394" s="85">
        <v>0</v>
      </c>
      <c r="E394" s="86">
        <v>0</v>
      </c>
      <c r="F394" s="142">
        <f t="shared" si="43"/>
        <v>0</v>
      </c>
      <c r="G394" s="113">
        <v>0</v>
      </c>
      <c r="H394" s="86">
        <v>0</v>
      </c>
      <c r="I394" s="113">
        <v>0</v>
      </c>
      <c r="J394" s="114">
        <f t="shared" si="44"/>
        <v>0</v>
      </c>
      <c r="K394" s="113">
        <f t="shared" si="45"/>
        <v>0</v>
      </c>
      <c r="L394" s="113">
        <v>0</v>
      </c>
      <c r="M394" s="113">
        <v>0</v>
      </c>
      <c r="N394" s="113">
        <v>0</v>
      </c>
      <c r="O394" s="113">
        <v>0</v>
      </c>
      <c r="P394" s="113">
        <v>0</v>
      </c>
    </row>
    <row r="395" spans="2:16" ht="13.9" customHeight="1" outlineLevel="1" x14ac:dyDescent="0.25">
      <c r="B395" s="149"/>
      <c r="C395" s="150" t="s">
        <v>76</v>
      </c>
      <c r="D395" s="85">
        <v>0</v>
      </c>
      <c r="E395" s="86">
        <v>0</v>
      </c>
      <c r="F395" s="142">
        <f t="shared" si="43"/>
        <v>0</v>
      </c>
      <c r="G395" s="113">
        <v>0</v>
      </c>
      <c r="H395" s="86">
        <v>0</v>
      </c>
      <c r="I395" s="113">
        <v>0</v>
      </c>
      <c r="J395" s="114">
        <f t="shared" si="44"/>
        <v>0</v>
      </c>
      <c r="K395" s="113">
        <f t="shared" si="45"/>
        <v>0</v>
      </c>
      <c r="L395" s="113">
        <v>0</v>
      </c>
      <c r="M395" s="113">
        <v>0</v>
      </c>
      <c r="N395" s="113">
        <v>0</v>
      </c>
      <c r="O395" s="113">
        <v>0</v>
      </c>
      <c r="P395" s="113">
        <v>0</v>
      </c>
    </row>
    <row r="396" spans="2:16" ht="13.9" customHeight="1" x14ac:dyDescent="0.25">
      <c r="B396" s="149"/>
      <c r="C396" s="148" t="s">
        <v>106</v>
      </c>
      <c r="D396" s="90">
        <f>SUM(D394:D395)</f>
        <v>0</v>
      </c>
      <c r="E396" s="91">
        <f t="shared" ref="E396:P396" si="48">SUM(E394:E395)</f>
        <v>0</v>
      </c>
      <c r="F396" s="92">
        <f t="shared" si="48"/>
        <v>0</v>
      </c>
      <c r="G396" s="93">
        <f t="shared" si="48"/>
        <v>0</v>
      </c>
      <c r="H396" s="90">
        <f t="shared" si="48"/>
        <v>0</v>
      </c>
      <c r="I396" s="91">
        <f t="shared" si="48"/>
        <v>0</v>
      </c>
      <c r="J396" s="92">
        <f t="shared" si="48"/>
        <v>0</v>
      </c>
      <c r="K396" s="93">
        <f t="shared" si="48"/>
        <v>0</v>
      </c>
      <c r="L396" s="90">
        <f t="shared" si="48"/>
        <v>0</v>
      </c>
      <c r="M396" s="91">
        <f t="shared" si="48"/>
        <v>0</v>
      </c>
      <c r="N396" s="90">
        <f t="shared" si="48"/>
        <v>0</v>
      </c>
      <c r="O396" s="91">
        <f t="shared" si="48"/>
        <v>0</v>
      </c>
      <c r="P396" s="91">
        <f t="shared" si="48"/>
        <v>0</v>
      </c>
    </row>
    <row r="397" spans="2:16" ht="13.9" customHeight="1" x14ac:dyDescent="0.25">
      <c r="B397" s="155" t="s">
        <v>78</v>
      </c>
      <c r="C397" s="155"/>
      <c r="D397" s="90">
        <f>+D389+D393+D396</f>
        <v>96</v>
      </c>
      <c r="E397" s="91">
        <f t="shared" ref="E397:P397" si="49">+E389+E393+E396</f>
        <v>675441829.00000012</v>
      </c>
      <c r="F397" s="92">
        <f t="shared" si="49"/>
        <v>548635838.73000002</v>
      </c>
      <c r="G397" s="93">
        <f t="shared" si="49"/>
        <v>540075587.95999992</v>
      </c>
      <c r="H397" s="90">
        <f t="shared" si="49"/>
        <v>136203693.91000003</v>
      </c>
      <c r="I397" s="91">
        <f t="shared" si="49"/>
        <v>8560250.7700000014</v>
      </c>
      <c r="J397" s="92">
        <f t="shared" si="49"/>
        <v>127643443.14000002</v>
      </c>
      <c r="K397" s="93">
        <f t="shared" si="49"/>
        <v>105182923.73</v>
      </c>
      <c r="L397" s="90">
        <f t="shared" si="49"/>
        <v>20351191.579999998</v>
      </c>
      <c r="M397" s="91">
        <f t="shared" si="49"/>
        <v>2109327.88</v>
      </c>
      <c r="N397" s="90">
        <f t="shared" si="49"/>
        <v>0</v>
      </c>
      <c r="O397" s="91">
        <f t="shared" si="49"/>
        <v>0</v>
      </c>
      <c r="P397" s="91">
        <f t="shared" si="49"/>
        <v>0</v>
      </c>
    </row>
    <row r="398" spans="2:16" ht="13.9" customHeight="1" x14ac:dyDescent="0.25"/>
    <row r="399" spans="2:16" x14ac:dyDescent="0.25"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</row>
    <row r="400" spans="2:16" x14ac:dyDescent="0.25"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</row>
    <row r="401" spans="2:18" x14ac:dyDescent="0.25">
      <c r="H401" s="71"/>
      <c r="J401" s="71"/>
      <c r="K401" s="71"/>
      <c r="L401" s="71"/>
      <c r="M401" s="71"/>
      <c r="N401" s="71"/>
      <c r="O401" s="71"/>
      <c r="P401" s="71"/>
    </row>
    <row r="402" spans="2:18" x14ac:dyDescent="0.25">
      <c r="B402" s="14"/>
      <c r="C402" s="14"/>
      <c r="D402" s="14"/>
      <c r="E402" s="14"/>
      <c r="F402" s="14"/>
      <c r="G402" s="14"/>
      <c r="H402" s="95"/>
      <c r="I402" s="14"/>
      <c r="J402" s="95"/>
      <c r="K402" s="95"/>
      <c r="L402" s="95"/>
      <c r="M402" s="95"/>
      <c r="N402" s="95"/>
      <c r="O402" s="95"/>
      <c r="P402" s="95"/>
    </row>
    <row r="403" spans="2:18" x14ac:dyDescent="0.25">
      <c r="B403" s="14"/>
      <c r="C403" s="14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</row>
    <row r="404" spans="2:18" x14ac:dyDescent="0.25">
      <c r="B404" s="14"/>
      <c r="C404" s="14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</row>
    <row r="405" spans="2:18" x14ac:dyDescent="0.25">
      <c r="B405" s="14"/>
      <c r="C405" s="14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</row>
    <row r="406" spans="2:18" x14ac:dyDescent="0.25">
      <c r="B406" s="14"/>
      <c r="C406" s="14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</row>
    <row r="407" spans="2:18" x14ac:dyDescent="0.25">
      <c r="B407" s="14"/>
      <c r="C407" s="14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</row>
    <row r="408" spans="2:18" x14ac:dyDescent="0.25">
      <c r="B408" s="14"/>
      <c r="C408" s="14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</row>
    <row r="409" spans="2:18" x14ac:dyDescent="0.25">
      <c r="B409" s="14"/>
      <c r="C409" s="14"/>
      <c r="D409" s="9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2:18" x14ac:dyDescent="0.25"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2:18" x14ac:dyDescent="0.25"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2:18" x14ac:dyDescent="0.25"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2:18" x14ac:dyDescent="0.25"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spans="2:18" x14ac:dyDescent="0.25"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spans="2:18" x14ac:dyDescent="0.25"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x14ac:dyDescent="0.25"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</sheetData>
  <mergeCells count="48">
    <mergeCell ref="B345:B347"/>
    <mergeCell ref="B348:C348"/>
    <mergeCell ref="B352:B389"/>
    <mergeCell ref="B390:B393"/>
    <mergeCell ref="B394:B396"/>
    <mergeCell ref="B397:C397"/>
    <mergeCell ref="B254:B291"/>
    <mergeCell ref="B292:B295"/>
    <mergeCell ref="B296:B298"/>
    <mergeCell ref="B299:C299"/>
    <mergeCell ref="B303:B340"/>
    <mergeCell ref="B341:B344"/>
    <mergeCell ref="B197:B199"/>
    <mergeCell ref="B200:C200"/>
    <mergeCell ref="B205:B242"/>
    <mergeCell ref="B243:B246"/>
    <mergeCell ref="B247:B249"/>
    <mergeCell ref="B250:C250"/>
    <mergeCell ref="B106:B143"/>
    <mergeCell ref="B144:B147"/>
    <mergeCell ref="B148:B150"/>
    <mergeCell ref="B151:C151"/>
    <mergeCell ref="B155:B192"/>
    <mergeCell ref="B193:B196"/>
    <mergeCell ref="L55:M55"/>
    <mergeCell ref="N55:O55"/>
    <mergeCell ref="B57:B94"/>
    <mergeCell ref="B95:B98"/>
    <mergeCell ref="B99:B101"/>
    <mergeCell ref="B102:C102"/>
    <mergeCell ref="B52:C52"/>
    <mergeCell ref="B55:B56"/>
    <mergeCell ref="D55:E55"/>
    <mergeCell ref="F55:G55"/>
    <mergeCell ref="H55:I55"/>
    <mergeCell ref="J55:K55"/>
    <mergeCell ref="N3:O3"/>
    <mergeCell ref="B5:B42"/>
    <mergeCell ref="B43:B46"/>
    <mergeCell ref="B47:B49"/>
    <mergeCell ref="B50:C50"/>
    <mergeCell ref="B51:C51"/>
    <mergeCell ref="B3:B4"/>
    <mergeCell ref="D3:E3"/>
    <mergeCell ref="F3:G3"/>
    <mergeCell ref="H3:I3"/>
    <mergeCell ref="J3:K3"/>
    <mergeCell ref="L3:M3"/>
  </mergeCells>
  <conditionalFormatting sqref="B3">
    <cfRule type="cellIs" dxfId="12" priority="9" operator="lessThan">
      <formula>0</formula>
    </cfRule>
  </conditionalFormatting>
  <conditionalFormatting sqref="B151">
    <cfRule type="cellIs" dxfId="11" priority="10" operator="lessThan">
      <formula>0</formula>
    </cfRule>
  </conditionalFormatting>
  <conditionalFormatting sqref="B200">
    <cfRule type="cellIs" dxfId="10" priority="8" operator="lessThan">
      <formula>0</formula>
    </cfRule>
  </conditionalFormatting>
  <conditionalFormatting sqref="B250">
    <cfRule type="cellIs" dxfId="9" priority="7" operator="lessThan">
      <formula>0</formula>
    </cfRule>
  </conditionalFormatting>
  <conditionalFormatting sqref="B299">
    <cfRule type="cellIs" dxfId="8" priority="6" operator="lessThan">
      <formula>0</formula>
    </cfRule>
  </conditionalFormatting>
  <conditionalFormatting sqref="B348">
    <cfRule type="cellIs" dxfId="7" priority="5" operator="lessThan">
      <formula>0</formula>
    </cfRule>
  </conditionalFormatting>
  <conditionalFormatting sqref="B397">
    <cfRule type="cellIs" dxfId="6" priority="4" operator="lessThan">
      <formula>0</formula>
    </cfRule>
  </conditionalFormatting>
  <conditionalFormatting sqref="C3:C49 B50:B52 C53:C101 B102 C105:C150 B153 C154:C199 B203 C204:C249 C251 B252 C253:C298 B301 C302:C347 B350 C351:C396">
    <cfRule type="cellIs" dxfId="5" priority="11" operator="lessThan">
      <formula>0</formula>
    </cfRule>
  </conditionalFormatting>
  <conditionalFormatting sqref="C401">
    <cfRule type="cellIs" dxfId="4" priority="14" operator="lessThan">
      <formula>0</formula>
    </cfRule>
  </conditionalFormatting>
  <conditionalFormatting sqref="C403:C455">
    <cfRule type="duplicateValues" dxfId="3" priority="15"/>
  </conditionalFormatting>
  <conditionalFormatting sqref="C1:Q2 D3:Q104 D105:P200 D203:P397">
    <cfRule type="cellIs" dxfId="2" priority="12" operator="lessThan">
      <formula>0</formula>
    </cfRule>
  </conditionalFormatting>
  <conditionalFormatting sqref="D399:P402">
    <cfRule type="cellIs" dxfId="1" priority="3" operator="lessThan">
      <formula>0</formula>
    </cfRule>
  </conditionalFormatting>
  <conditionalFormatting sqref="R1:R23">
    <cfRule type="cellIs" dxfId="0" priority="13" operator="lessThan">
      <formula>0</formula>
    </cfRule>
  </conditionalFormatting>
  <pageMargins left="0.90551181102362199" right="0.511811023622047" top="0.94488188976377996" bottom="0.74803149606299202" header="0.31496062992126" footer="0.31496062992126"/>
  <pageSetup paperSize="8" scale="47" fitToHeight="2" orientation="landscape" r:id="rId1"/>
  <headerFooter alignWithMargins="0">
    <oddHeader>&amp;LSOBHA LLC&amp;C&amp;12
&amp;18Bulk buyers_100mn+ investment_Paid% category VS Balance collectibles YOY breakup&amp;R&amp;D</oddHeader>
    <oddFooter>&amp;LCOLLECTIONS&amp;R&amp;P/&amp;N</oddFooter>
  </headerFooter>
  <rowBreaks count="3" manualBreakCount="3">
    <brk id="102" min="1" max="15" man="1"/>
    <brk id="202" min="1" max="15" man="1"/>
    <brk id="301" min="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Index</vt:lpstr>
      <vt:lpstr>projectwise_total</vt:lpstr>
      <vt:lpstr>investment_total</vt:lpstr>
      <vt:lpstr>less than 5mil</vt:lpstr>
      <vt:lpstr>10mil to 15mil</vt:lpstr>
      <vt:lpstr>5mil to 10mil</vt:lpstr>
      <vt:lpstr>15mil to 30mil</vt:lpstr>
      <vt:lpstr>30mil to 60mil</vt:lpstr>
      <vt:lpstr>60mil to 100mil</vt:lpstr>
      <vt:lpstr>100mil+</vt:lpstr>
      <vt:lpstr>'100mil+'!Print_Area</vt:lpstr>
      <vt:lpstr>'10mil to 15mil'!Print_Area</vt:lpstr>
      <vt:lpstr>'15mil to 30mil'!Print_Area</vt:lpstr>
      <vt:lpstr>'30mil to 60mil'!Print_Area</vt:lpstr>
      <vt:lpstr>'5mil to 10mil'!Print_Area</vt:lpstr>
      <vt:lpstr>'60mil to 100mil'!Print_Area</vt:lpstr>
      <vt:lpstr>investment_total!Print_Area</vt:lpstr>
      <vt:lpstr>'less than 5mil'!Print_Area</vt:lpstr>
      <vt:lpstr>projectwise_total!Print_Area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Vinjam Hemachalam</dc:creator>
  <cp:lastModifiedBy>Vinjam Hemachalam</cp:lastModifiedBy>
  <dcterms:created xsi:type="dcterms:W3CDTF">2026-04-13T12:22:43Z</dcterms:created>
  <dcterms:modified xsi:type="dcterms:W3CDTF">2026-04-13T12:30:35Z</dcterms:modified>
</cp:coreProperties>
</file>