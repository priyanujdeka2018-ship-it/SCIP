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bha-my.sharepoint.com/personal/rajesh_sharma_sobharealty_com/Documents/Rajesh_OneDrive/Daily/Daily EOD Report/202605/"/>
    </mc:Choice>
  </mc:AlternateContent>
  <xr:revisionPtr revIDLastSave="0" documentId="8_{115A8B84-780F-4726-8CF6-962740370ACB}" xr6:coauthVersionLast="47" xr6:coauthVersionMax="47" xr10:uidLastSave="{00000000-0000-0000-0000-000000000000}"/>
  <bookViews>
    <workbookView xWindow="-108" yWindow="-108" windowWidth="23256" windowHeight="12456" xr2:uid="{385CF020-CB8E-4024-827F-D3D496DA5321}"/>
  </bookViews>
  <sheets>
    <sheet name="MDO Dynamic" sheetId="1" r:id="rId1"/>
    <sheet name="Monthwise MDO" sheetId="2" r:id="rId2"/>
    <sheet name="Siniya Units Sales" sheetId="3" r:id="rId3"/>
    <sheet name="Dowtown Units Sales" sheetId="4" r:id="rId4"/>
    <sheet name="daily" sheetId="5" r:id="rId5"/>
    <sheet name="daily (2)" sheetId="6" r:id="rId6"/>
    <sheet name="daily (3)" sheetId="7" r:id="rId7"/>
    <sheet name="daily (4)" sheetId="8" r:id="rId8"/>
    <sheet name="daily (5)" sheetId="9" r:id="rId9"/>
  </sheets>
  <definedNames>
    <definedName name="_xlnm._FilterDatabase" localSheetId="4" hidden="1">daily!#REF!</definedName>
    <definedName name="_xlnm._FilterDatabase" localSheetId="5" hidden="1">'daily (2)'!#REF!</definedName>
    <definedName name="_xlnm._FilterDatabase" localSheetId="6" hidden="1">'daily (3)'!#REF!</definedName>
    <definedName name="_xlnm._FilterDatabase" localSheetId="7" hidden="1">'daily (4)'!#REF!</definedName>
    <definedName name="_xlnm._FilterDatabase" localSheetId="8" hidden="1">'daily (5)'!#REF!</definedName>
    <definedName name="_xlcn.WorksheetConnection_Sheet19A1E16961" localSheetId="0" hidden="1">#REF!</definedName>
    <definedName name="_xlcn.WorksheetConnection_Sheet19A1E16961" localSheetId="1" hidden="1">#REF!</definedName>
    <definedName name="_xlcn.WorksheetConnection_Sheet19A1E16961" hidden="1">#REF!</definedName>
    <definedName name="Ak" localSheetId="0">#REF!</definedName>
    <definedName name="Ak" localSheetId="1">#REF!</definedName>
    <definedName name="Ak">#REF!</definedName>
    <definedName name="NOB" localSheetId="0">#REF!</definedName>
    <definedName name="NOB" localSheetId="1">#REF!</definedName>
    <definedName name="NOB">#REF!</definedName>
    <definedName name="_xlnm.Print_Area" localSheetId="4">daily!$B$2:$F$47</definedName>
    <definedName name="_xlnm.Print_Area" localSheetId="5">'daily (2)'!$B$2:$F$47</definedName>
    <definedName name="_xlnm.Print_Area" localSheetId="6">'daily (3)'!$B$2:$F$47</definedName>
    <definedName name="_xlnm.Print_Area" localSheetId="7">'daily (4)'!$B$2:$F$47</definedName>
    <definedName name="_xlnm.Print_Area" localSheetId="8">'daily (5)'!$B$2:$F$47</definedName>
    <definedName name="_xlnm.Print_Area" localSheetId="3">'Dowtown Units Sales'!$B$2:$I$32</definedName>
    <definedName name="_xlnm.Print_Area" localSheetId="0">'MDO Dynamic'!$B$2:$S$73</definedName>
    <definedName name="_xlnm.Print_Area" localSheetId="1">'Monthwise MDO'!$B$2:$S$64</definedName>
    <definedName name="_xlnm.Print_Area" localSheetId="2">'Siniya Units Sales'!$B$2:$I$161</definedName>
    <definedName name="Source" localSheetId="0">#REF!</definedName>
    <definedName name="Source" localSheetId="1">#REF!</definedName>
    <definedName name="Source">#REF!</definedName>
    <definedName name="SRCE" localSheetId="0">#REF!</definedName>
    <definedName name="SRCE" localSheetId="1">#REF!</definedName>
    <definedName name="SRCE">#REF!</definedName>
    <definedName name="Style" localSheetId="0">#REF!</definedName>
    <definedName name="Style" localSheetId="1">#REF!</definedName>
    <definedName name="Style">#REF!</definedName>
    <definedName name="TOS" localSheetId="0">#REF!</definedName>
    <definedName name="TOS" localSheetId="1">#REF!</definedName>
    <definedName name="TOS">#REF!</definedName>
    <definedName name="Type" localSheetId="0">#REF!</definedName>
    <definedName name="Type" localSheetId="1">#REF!</definedName>
    <definedName name="Type">#REF!</definedName>
    <definedName name="VLOOKUP" localSheetId="0">#REF!</definedName>
    <definedName name="VLOOKUP" localSheetId="1">#REF!</definedName>
    <definedName name="VLOOKUP">#REF!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7" i="9" l="1"/>
  <c r="E46" i="9"/>
  <c r="E45" i="9"/>
  <c r="D45" i="9"/>
  <c r="C45" i="9"/>
  <c r="E44" i="9"/>
  <c r="D44" i="9"/>
  <c r="C44" i="9"/>
  <c r="AF40" i="9"/>
  <c r="F40" i="9"/>
  <c r="E40" i="9"/>
  <c r="D40" i="9"/>
  <c r="C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L26" i="9"/>
  <c r="K26" i="9"/>
  <c r="D26" i="9"/>
  <c r="V25" i="9"/>
  <c r="L25" i="9"/>
  <c r="K25" i="9"/>
  <c r="D25" i="9"/>
  <c r="L24" i="9"/>
  <c r="K24" i="9"/>
  <c r="D24" i="9"/>
  <c r="L23" i="9"/>
  <c r="K23" i="9"/>
  <c r="D23" i="9"/>
  <c r="L22" i="9"/>
  <c r="K22" i="9"/>
  <c r="D22" i="9"/>
  <c r="L21" i="9"/>
  <c r="K21" i="9"/>
  <c r="D21" i="9"/>
  <c r="L20" i="9"/>
  <c r="K20" i="9"/>
  <c r="D20" i="9"/>
  <c r="L19" i="9"/>
  <c r="K19" i="9"/>
  <c r="D19" i="9"/>
  <c r="L18" i="9"/>
  <c r="K18" i="9"/>
  <c r="D18" i="9"/>
  <c r="L17" i="9"/>
  <c r="K17" i="9"/>
  <c r="D17" i="9"/>
  <c r="L16" i="9"/>
  <c r="K16" i="9"/>
  <c r="D16" i="9"/>
  <c r="L15" i="9"/>
  <c r="K15" i="9"/>
  <c r="D15" i="9"/>
  <c r="L14" i="9"/>
  <c r="K14" i="9"/>
  <c r="D14" i="9"/>
  <c r="L13" i="9"/>
  <c r="K13" i="9"/>
  <c r="D13" i="9"/>
  <c r="L12" i="9"/>
  <c r="K12" i="9"/>
  <c r="D12" i="9"/>
  <c r="L11" i="9"/>
  <c r="K11" i="9"/>
  <c r="D11" i="9"/>
  <c r="L10" i="9"/>
  <c r="K10" i="9"/>
  <c r="D10" i="9"/>
  <c r="L9" i="9"/>
  <c r="K9" i="9"/>
  <c r="D9" i="9"/>
  <c r="E6" i="9"/>
  <c r="E5" i="9"/>
  <c r="B2" i="9"/>
  <c r="E47" i="8"/>
  <c r="E46" i="8"/>
  <c r="E45" i="8"/>
  <c r="D45" i="8"/>
  <c r="C45" i="8"/>
  <c r="E44" i="8"/>
  <c r="D44" i="8"/>
  <c r="C44" i="8"/>
  <c r="AF40" i="8"/>
  <c r="F40" i="8"/>
  <c r="E40" i="8"/>
  <c r="D40" i="8"/>
  <c r="C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L26" i="8"/>
  <c r="K26" i="8"/>
  <c r="D26" i="8"/>
  <c r="V25" i="8"/>
  <c r="L25" i="8"/>
  <c r="K25" i="8"/>
  <c r="D25" i="8"/>
  <c r="L24" i="8"/>
  <c r="K24" i="8"/>
  <c r="D24" i="8"/>
  <c r="L23" i="8"/>
  <c r="K23" i="8"/>
  <c r="D23" i="8"/>
  <c r="L22" i="8"/>
  <c r="K22" i="8"/>
  <c r="D22" i="8"/>
  <c r="L21" i="8"/>
  <c r="K21" i="8"/>
  <c r="D21" i="8"/>
  <c r="L20" i="8"/>
  <c r="K20" i="8"/>
  <c r="D20" i="8"/>
  <c r="L19" i="8"/>
  <c r="K19" i="8"/>
  <c r="D19" i="8"/>
  <c r="L18" i="8"/>
  <c r="K18" i="8"/>
  <c r="D18" i="8"/>
  <c r="L17" i="8"/>
  <c r="K17" i="8"/>
  <c r="D17" i="8"/>
  <c r="L16" i="8"/>
  <c r="K16" i="8"/>
  <c r="D16" i="8"/>
  <c r="L15" i="8"/>
  <c r="K15" i="8"/>
  <c r="D15" i="8"/>
  <c r="L14" i="8"/>
  <c r="K14" i="8"/>
  <c r="D14" i="8"/>
  <c r="L13" i="8"/>
  <c r="K13" i="8"/>
  <c r="D13" i="8"/>
  <c r="L12" i="8"/>
  <c r="K12" i="8"/>
  <c r="D12" i="8"/>
  <c r="L11" i="8"/>
  <c r="K11" i="8"/>
  <c r="D11" i="8"/>
  <c r="L10" i="8"/>
  <c r="K10" i="8"/>
  <c r="D10" i="8"/>
  <c r="L9" i="8"/>
  <c r="K9" i="8"/>
  <c r="D9" i="8"/>
  <c r="E6" i="8"/>
  <c r="E5" i="8"/>
  <c r="F3" i="8"/>
  <c r="B2" i="8"/>
  <c r="E47" i="7"/>
  <c r="E46" i="7"/>
  <c r="E45" i="7"/>
  <c r="D45" i="7"/>
  <c r="C45" i="7"/>
  <c r="E44" i="7"/>
  <c r="D44" i="7"/>
  <c r="C44" i="7"/>
  <c r="AF40" i="7"/>
  <c r="F40" i="7"/>
  <c r="E40" i="7"/>
  <c r="D40" i="7"/>
  <c r="C40" i="7"/>
  <c r="D39" i="7"/>
  <c r="D38" i="7"/>
  <c r="L37" i="7"/>
  <c r="K37" i="7"/>
  <c r="D37" i="7"/>
  <c r="L36" i="7"/>
  <c r="K36" i="7"/>
  <c r="D36" i="7"/>
  <c r="L35" i="7"/>
  <c r="K35" i="7"/>
  <c r="D35" i="7"/>
  <c r="D34" i="7"/>
  <c r="D33" i="7"/>
  <c r="D32" i="7"/>
  <c r="D31" i="7"/>
  <c r="D30" i="7"/>
  <c r="D29" i="7"/>
  <c r="D28" i="7"/>
  <c r="D27" i="7"/>
  <c r="L26" i="7"/>
  <c r="K26" i="7"/>
  <c r="D26" i="7"/>
  <c r="V25" i="7"/>
  <c r="L25" i="7"/>
  <c r="K25" i="7"/>
  <c r="D25" i="7"/>
  <c r="L24" i="7"/>
  <c r="K24" i="7"/>
  <c r="D24" i="7"/>
  <c r="L23" i="7"/>
  <c r="K23" i="7"/>
  <c r="D23" i="7"/>
  <c r="L22" i="7"/>
  <c r="K22" i="7"/>
  <c r="D22" i="7"/>
  <c r="L21" i="7"/>
  <c r="K21" i="7"/>
  <c r="D21" i="7"/>
  <c r="L20" i="7"/>
  <c r="K20" i="7"/>
  <c r="D20" i="7"/>
  <c r="L19" i="7"/>
  <c r="K19" i="7"/>
  <c r="D19" i="7"/>
  <c r="L18" i="7"/>
  <c r="K18" i="7"/>
  <c r="D18" i="7"/>
  <c r="L17" i="7"/>
  <c r="K17" i="7"/>
  <c r="D17" i="7"/>
  <c r="L16" i="7"/>
  <c r="K16" i="7"/>
  <c r="D16" i="7"/>
  <c r="L15" i="7"/>
  <c r="K15" i="7"/>
  <c r="D15" i="7"/>
  <c r="L14" i="7"/>
  <c r="K14" i="7"/>
  <c r="D14" i="7"/>
  <c r="L13" i="7"/>
  <c r="K13" i="7"/>
  <c r="D13" i="7"/>
  <c r="L12" i="7"/>
  <c r="K12" i="7"/>
  <c r="D12" i="7"/>
  <c r="L11" i="7"/>
  <c r="K11" i="7"/>
  <c r="D11" i="7"/>
  <c r="L10" i="7"/>
  <c r="K10" i="7"/>
  <c r="D10" i="7"/>
  <c r="L9" i="7"/>
  <c r="K9" i="7"/>
  <c r="D9" i="7"/>
  <c r="E6" i="7"/>
  <c r="E5" i="7"/>
  <c r="F3" i="7"/>
  <c r="B2" i="7"/>
  <c r="E47" i="6"/>
  <c r="E46" i="6"/>
  <c r="E45" i="6"/>
  <c r="D45" i="6"/>
  <c r="C45" i="6"/>
  <c r="E44" i="6"/>
  <c r="D44" i="6"/>
  <c r="C44" i="6"/>
  <c r="AF40" i="6"/>
  <c r="F40" i="6"/>
  <c r="E40" i="6"/>
  <c r="D40" i="6"/>
  <c r="C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L26" i="6"/>
  <c r="K26" i="6"/>
  <c r="D26" i="6"/>
  <c r="V25" i="6"/>
  <c r="L25" i="6"/>
  <c r="K25" i="6"/>
  <c r="D25" i="6"/>
  <c r="L24" i="6"/>
  <c r="K24" i="6"/>
  <c r="D24" i="6"/>
  <c r="L23" i="6"/>
  <c r="K23" i="6"/>
  <c r="D23" i="6"/>
  <c r="L22" i="6"/>
  <c r="K22" i="6"/>
  <c r="D22" i="6"/>
  <c r="L21" i="6"/>
  <c r="K21" i="6"/>
  <c r="D21" i="6"/>
  <c r="L20" i="6"/>
  <c r="K20" i="6"/>
  <c r="D20" i="6"/>
  <c r="L19" i="6"/>
  <c r="K19" i="6"/>
  <c r="D19" i="6"/>
  <c r="L18" i="6"/>
  <c r="K18" i="6"/>
  <c r="D18" i="6"/>
  <c r="L17" i="6"/>
  <c r="K17" i="6"/>
  <c r="D17" i="6"/>
  <c r="L16" i="6"/>
  <c r="K16" i="6"/>
  <c r="D16" i="6"/>
  <c r="L15" i="6"/>
  <c r="K15" i="6"/>
  <c r="D15" i="6"/>
  <c r="L14" i="6"/>
  <c r="K14" i="6"/>
  <c r="D14" i="6"/>
  <c r="L13" i="6"/>
  <c r="K13" i="6"/>
  <c r="D13" i="6"/>
  <c r="L12" i="6"/>
  <c r="K12" i="6"/>
  <c r="D12" i="6"/>
  <c r="L11" i="6"/>
  <c r="K11" i="6"/>
  <c r="D11" i="6"/>
  <c r="L10" i="6"/>
  <c r="K10" i="6"/>
  <c r="D10" i="6"/>
  <c r="L9" i="6"/>
  <c r="K9" i="6"/>
  <c r="D9" i="6"/>
  <c r="E6" i="6"/>
  <c r="E5" i="6"/>
  <c r="F3" i="6"/>
  <c r="B2" i="6"/>
  <c r="E47" i="5"/>
  <c r="E46" i="5"/>
  <c r="E45" i="5"/>
  <c r="D45" i="5"/>
  <c r="C45" i="5"/>
  <c r="E44" i="5"/>
  <c r="D44" i="5"/>
  <c r="C44" i="5"/>
  <c r="AF40" i="5"/>
  <c r="AE40" i="5"/>
  <c r="F40" i="5"/>
  <c r="E40" i="5"/>
  <c r="D40" i="5"/>
  <c r="C40" i="5"/>
  <c r="D39" i="5"/>
  <c r="AK38" i="5"/>
  <c r="AJ38" i="5"/>
  <c r="D38" i="5"/>
  <c r="AK37" i="5"/>
  <c r="AJ37" i="5"/>
  <c r="L37" i="5"/>
  <c r="K37" i="5"/>
  <c r="D37" i="5"/>
  <c r="AK36" i="5"/>
  <c r="AJ36" i="5"/>
  <c r="L36" i="5"/>
  <c r="K36" i="5"/>
  <c r="D36" i="5"/>
  <c r="AK35" i="5"/>
  <c r="AJ35" i="5"/>
  <c r="L35" i="5"/>
  <c r="K35" i="5"/>
  <c r="D35" i="5"/>
  <c r="AK34" i="5"/>
  <c r="AJ34" i="5"/>
  <c r="L34" i="5"/>
  <c r="K34" i="5"/>
  <c r="D34" i="5"/>
  <c r="AK33" i="5"/>
  <c r="AJ33" i="5"/>
  <c r="L33" i="5"/>
  <c r="K33" i="5"/>
  <c r="D33" i="5"/>
  <c r="AK32" i="5"/>
  <c r="AJ32" i="5"/>
  <c r="L32" i="5"/>
  <c r="K32" i="5"/>
  <c r="D32" i="5"/>
  <c r="AK31" i="5"/>
  <c r="AJ31" i="5"/>
  <c r="L31" i="5"/>
  <c r="K31" i="5"/>
  <c r="D31" i="5"/>
  <c r="AK30" i="5"/>
  <c r="AJ30" i="5"/>
  <c r="L30" i="5"/>
  <c r="K30" i="5"/>
  <c r="D30" i="5"/>
  <c r="AK29" i="5"/>
  <c r="AJ29" i="5"/>
  <c r="L29" i="5"/>
  <c r="K29" i="5"/>
  <c r="D29" i="5"/>
  <c r="AK28" i="5"/>
  <c r="AJ28" i="5"/>
  <c r="L28" i="5"/>
  <c r="K28" i="5"/>
  <c r="D28" i="5"/>
  <c r="AK27" i="5"/>
  <c r="AJ27" i="5"/>
  <c r="D27" i="5"/>
  <c r="AK26" i="5"/>
  <c r="AJ26" i="5"/>
  <c r="D26" i="5"/>
  <c r="AK25" i="5"/>
  <c r="AJ25" i="5"/>
  <c r="V25" i="5"/>
  <c r="L25" i="5"/>
  <c r="K25" i="5"/>
  <c r="D25" i="5"/>
  <c r="AK24" i="5"/>
  <c r="AJ24" i="5"/>
  <c r="L24" i="5"/>
  <c r="K24" i="5"/>
  <c r="D24" i="5"/>
  <c r="AK23" i="5"/>
  <c r="AJ23" i="5"/>
  <c r="L23" i="5"/>
  <c r="K23" i="5"/>
  <c r="D23" i="5"/>
  <c r="AK22" i="5"/>
  <c r="AJ22" i="5"/>
  <c r="L22" i="5"/>
  <c r="K22" i="5"/>
  <c r="G22" i="5"/>
  <c r="D22" i="5"/>
  <c r="AK21" i="5"/>
  <c r="AJ21" i="5"/>
  <c r="L21" i="5"/>
  <c r="K21" i="5"/>
  <c r="G21" i="5"/>
  <c r="D21" i="5"/>
  <c r="AK20" i="5"/>
  <c r="AJ20" i="5"/>
  <c r="L20" i="5"/>
  <c r="K20" i="5"/>
  <c r="D20" i="5"/>
  <c r="AK19" i="5"/>
  <c r="AJ19" i="5"/>
  <c r="L19" i="5"/>
  <c r="K19" i="5"/>
  <c r="D19" i="5"/>
  <c r="AK18" i="5"/>
  <c r="AJ18" i="5"/>
  <c r="L18" i="5"/>
  <c r="K18" i="5"/>
  <c r="D18" i="5"/>
  <c r="AK17" i="5"/>
  <c r="AJ17" i="5"/>
  <c r="D17" i="5"/>
  <c r="AK16" i="5"/>
  <c r="AJ16" i="5"/>
  <c r="D16" i="5"/>
  <c r="AK15" i="5"/>
  <c r="AJ15" i="5"/>
  <c r="D15" i="5"/>
  <c r="AK14" i="5"/>
  <c r="AJ14" i="5"/>
  <c r="D14" i="5"/>
  <c r="AK13" i="5"/>
  <c r="AJ13" i="5"/>
  <c r="D13" i="5"/>
  <c r="AK12" i="5"/>
  <c r="AJ12" i="5"/>
  <c r="D12" i="5"/>
  <c r="AK11" i="5"/>
  <c r="AJ11" i="5"/>
  <c r="D11" i="5"/>
  <c r="AK10" i="5"/>
  <c r="AJ10" i="5"/>
  <c r="AE10" i="5"/>
  <c r="D10" i="5"/>
  <c r="AK9" i="5"/>
  <c r="AJ9" i="5"/>
  <c r="D9" i="5"/>
  <c r="E6" i="5"/>
  <c r="E5" i="5"/>
  <c r="B2" i="5"/>
  <c r="H31" i="4"/>
  <c r="G31" i="4"/>
  <c r="F31" i="4"/>
  <c r="E31" i="4"/>
  <c r="D31" i="4"/>
  <c r="C31" i="4"/>
  <c r="H30" i="4"/>
  <c r="G30" i="4"/>
  <c r="H29" i="4"/>
  <c r="G29" i="4"/>
  <c r="B27" i="4"/>
  <c r="H25" i="4"/>
  <c r="G25" i="4"/>
  <c r="F25" i="4"/>
  <c r="E25" i="4"/>
  <c r="D25" i="4"/>
  <c r="C25" i="4"/>
  <c r="H24" i="4"/>
  <c r="G24" i="4"/>
  <c r="H23" i="4"/>
  <c r="G23" i="4"/>
  <c r="B21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B15" i="4"/>
  <c r="H13" i="4"/>
  <c r="G13" i="4"/>
  <c r="F13" i="4"/>
  <c r="E13" i="4"/>
  <c r="D13" i="4"/>
  <c r="C13" i="4"/>
  <c r="H12" i="4"/>
  <c r="G12" i="4"/>
  <c r="H11" i="4"/>
  <c r="G11" i="4"/>
  <c r="A10" i="4"/>
  <c r="B9" i="4"/>
  <c r="H7" i="4"/>
  <c r="G7" i="4"/>
  <c r="F7" i="4"/>
  <c r="E7" i="4"/>
  <c r="D7" i="4"/>
  <c r="C7" i="4"/>
  <c r="H6" i="4"/>
  <c r="G6" i="4"/>
  <c r="H5" i="4"/>
  <c r="G5" i="4"/>
  <c r="B3" i="4"/>
  <c r="H159" i="3"/>
  <c r="G159" i="3"/>
  <c r="F159" i="3"/>
  <c r="E159" i="3"/>
  <c r="D159" i="3"/>
  <c r="C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F151" i="3"/>
  <c r="E151" i="3"/>
  <c r="D151" i="3"/>
  <c r="C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F142" i="3"/>
  <c r="E142" i="3"/>
  <c r="D142" i="3"/>
  <c r="C142" i="3"/>
  <c r="H141" i="3"/>
  <c r="G141" i="3"/>
  <c r="H140" i="3"/>
  <c r="G140" i="3"/>
  <c r="H139" i="3"/>
  <c r="G139" i="3"/>
  <c r="H138" i="3"/>
  <c r="G138" i="3"/>
  <c r="H137" i="3"/>
  <c r="G137" i="3"/>
  <c r="F137" i="3"/>
  <c r="E137" i="3"/>
  <c r="D137" i="3"/>
  <c r="C137" i="3"/>
  <c r="B135" i="3"/>
  <c r="H133" i="3"/>
  <c r="G133" i="3"/>
  <c r="F133" i="3"/>
  <c r="E133" i="3"/>
  <c r="D133" i="3"/>
  <c r="C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F125" i="3"/>
  <c r="E125" i="3"/>
  <c r="D125" i="3"/>
  <c r="C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F116" i="3"/>
  <c r="E116" i="3"/>
  <c r="D116" i="3"/>
  <c r="C116" i="3"/>
  <c r="H115" i="3"/>
  <c r="G115" i="3"/>
  <c r="H114" i="3"/>
  <c r="G114" i="3"/>
  <c r="H113" i="3"/>
  <c r="G113" i="3"/>
  <c r="H112" i="3"/>
  <c r="G112" i="3"/>
  <c r="H111" i="3"/>
  <c r="G111" i="3"/>
  <c r="F111" i="3"/>
  <c r="E111" i="3"/>
  <c r="D111" i="3"/>
  <c r="C111" i="3"/>
  <c r="B109" i="3"/>
  <c r="H107" i="3"/>
  <c r="G107" i="3"/>
  <c r="F107" i="3"/>
  <c r="E107" i="3"/>
  <c r="D107" i="3"/>
  <c r="C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F99" i="3"/>
  <c r="E99" i="3"/>
  <c r="D99" i="3"/>
  <c r="C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F90" i="3"/>
  <c r="E90" i="3"/>
  <c r="D90" i="3"/>
  <c r="C90" i="3"/>
  <c r="H89" i="3"/>
  <c r="G89" i="3"/>
  <c r="H88" i="3"/>
  <c r="G88" i="3"/>
  <c r="H87" i="3"/>
  <c r="G87" i="3"/>
  <c r="H86" i="3"/>
  <c r="G86" i="3"/>
  <c r="H85" i="3"/>
  <c r="G85" i="3"/>
  <c r="F85" i="3"/>
  <c r="E85" i="3"/>
  <c r="D85" i="3"/>
  <c r="C85" i="3"/>
  <c r="B83" i="3"/>
  <c r="H80" i="3"/>
  <c r="G80" i="3"/>
  <c r="F80" i="3"/>
  <c r="E80" i="3"/>
  <c r="D80" i="3"/>
  <c r="C80" i="3"/>
  <c r="H79" i="3"/>
  <c r="G79" i="3"/>
  <c r="F79" i="3"/>
  <c r="E79" i="3"/>
  <c r="D79" i="3"/>
  <c r="C79" i="3"/>
  <c r="H78" i="3"/>
  <c r="G78" i="3"/>
  <c r="F78" i="3"/>
  <c r="E78" i="3"/>
  <c r="D78" i="3"/>
  <c r="C78" i="3"/>
  <c r="H77" i="3"/>
  <c r="G77" i="3"/>
  <c r="F77" i="3"/>
  <c r="E77" i="3"/>
  <c r="D77" i="3"/>
  <c r="C77" i="3"/>
  <c r="H76" i="3"/>
  <c r="G76" i="3"/>
  <c r="F76" i="3"/>
  <c r="E76" i="3"/>
  <c r="D76" i="3"/>
  <c r="C76" i="3"/>
  <c r="H75" i="3"/>
  <c r="G75" i="3"/>
  <c r="F75" i="3"/>
  <c r="E75" i="3"/>
  <c r="D75" i="3"/>
  <c r="C75" i="3"/>
  <c r="H74" i="3"/>
  <c r="G74" i="3"/>
  <c r="F74" i="3"/>
  <c r="E74" i="3"/>
  <c r="D74" i="3"/>
  <c r="C74" i="3"/>
  <c r="H73" i="3"/>
  <c r="G73" i="3"/>
  <c r="F73" i="3"/>
  <c r="E73" i="3"/>
  <c r="D73" i="3"/>
  <c r="C73" i="3"/>
  <c r="H72" i="3"/>
  <c r="G72" i="3"/>
  <c r="F72" i="3"/>
  <c r="E72" i="3"/>
  <c r="D72" i="3"/>
  <c r="C72" i="3"/>
  <c r="H71" i="3"/>
  <c r="G71" i="3"/>
  <c r="F71" i="3"/>
  <c r="E71" i="3"/>
  <c r="D71" i="3"/>
  <c r="C71" i="3"/>
  <c r="H70" i="3"/>
  <c r="G70" i="3"/>
  <c r="F70" i="3"/>
  <c r="E70" i="3"/>
  <c r="D70" i="3"/>
  <c r="C70" i="3"/>
  <c r="H69" i="3"/>
  <c r="G69" i="3"/>
  <c r="F69" i="3"/>
  <c r="E69" i="3"/>
  <c r="D69" i="3"/>
  <c r="C69" i="3"/>
  <c r="H68" i="3"/>
  <c r="G68" i="3"/>
  <c r="F68" i="3"/>
  <c r="E68" i="3"/>
  <c r="D68" i="3"/>
  <c r="C68" i="3"/>
  <c r="H67" i="3"/>
  <c r="G67" i="3"/>
  <c r="F67" i="3"/>
  <c r="E67" i="3"/>
  <c r="D67" i="3"/>
  <c r="C67" i="3"/>
  <c r="H66" i="3"/>
  <c r="G66" i="3"/>
  <c r="F66" i="3"/>
  <c r="E66" i="3"/>
  <c r="D66" i="3"/>
  <c r="C66" i="3"/>
  <c r="H65" i="3"/>
  <c r="G65" i="3"/>
  <c r="F65" i="3"/>
  <c r="E65" i="3"/>
  <c r="D65" i="3"/>
  <c r="C65" i="3"/>
  <c r="H64" i="3"/>
  <c r="G64" i="3"/>
  <c r="F64" i="3"/>
  <c r="E64" i="3"/>
  <c r="D64" i="3"/>
  <c r="C64" i="3"/>
  <c r="H63" i="3"/>
  <c r="G63" i="3"/>
  <c r="F63" i="3"/>
  <c r="E63" i="3"/>
  <c r="D63" i="3"/>
  <c r="C63" i="3"/>
  <c r="H62" i="3"/>
  <c r="G62" i="3"/>
  <c r="F62" i="3"/>
  <c r="E62" i="3"/>
  <c r="D62" i="3"/>
  <c r="C62" i="3"/>
  <c r="H61" i="3"/>
  <c r="G61" i="3"/>
  <c r="F61" i="3"/>
  <c r="E61" i="3"/>
  <c r="D61" i="3"/>
  <c r="C61" i="3"/>
  <c r="H60" i="3"/>
  <c r="G60" i="3"/>
  <c r="F60" i="3"/>
  <c r="E60" i="3"/>
  <c r="D60" i="3"/>
  <c r="C60" i="3"/>
  <c r="H59" i="3"/>
  <c r="G59" i="3"/>
  <c r="F59" i="3"/>
  <c r="E59" i="3"/>
  <c r="D59" i="3"/>
  <c r="C59" i="3"/>
  <c r="H58" i="3"/>
  <c r="G58" i="3"/>
  <c r="F58" i="3"/>
  <c r="E58" i="3"/>
  <c r="D58" i="3"/>
  <c r="C58" i="3"/>
  <c r="B56" i="3"/>
  <c r="H54" i="3"/>
  <c r="G54" i="3"/>
  <c r="F54" i="3"/>
  <c r="E54" i="3"/>
  <c r="D54" i="3"/>
  <c r="C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F46" i="3"/>
  <c r="E46" i="3"/>
  <c r="D46" i="3"/>
  <c r="C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F37" i="3"/>
  <c r="E37" i="3"/>
  <c r="D37" i="3"/>
  <c r="C37" i="3"/>
  <c r="H36" i="3"/>
  <c r="G36" i="3"/>
  <c r="H35" i="3"/>
  <c r="G35" i="3"/>
  <c r="H34" i="3"/>
  <c r="G34" i="3"/>
  <c r="H33" i="3"/>
  <c r="G33" i="3"/>
  <c r="H32" i="3"/>
  <c r="G32" i="3"/>
  <c r="F32" i="3"/>
  <c r="E32" i="3"/>
  <c r="D32" i="3"/>
  <c r="C32" i="3"/>
  <c r="B30" i="3"/>
  <c r="H28" i="3"/>
  <c r="G28" i="3"/>
  <c r="F28" i="3"/>
  <c r="E28" i="3"/>
  <c r="D28" i="3"/>
  <c r="C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F20" i="3"/>
  <c r="E20" i="3"/>
  <c r="D20" i="3"/>
  <c r="C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F10" i="3"/>
  <c r="E10" i="3"/>
  <c r="D10" i="3"/>
  <c r="C10" i="3"/>
  <c r="H9" i="3"/>
  <c r="G9" i="3"/>
  <c r="H8" i="3"/>
  <c r="G8" i="3"/>
  <c r="H7" i="3"/>
  <c r="G7" i="3"/>
  <c r="H6" i="3"/>
  <c r="G6" i="3"/>
  <c r="H5" i="3"/>
  <c r="G5" i="3"/>
  <c r="F5" i="3"/>
  <c r="E5" i="3"/>
  <c r="D5" i="3"/>
  <c r="C5" i="3"/>
  <c r="B3" i="3"/>
  <c r="A3" i="3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S61" i="2"/>
  <c r="O61" i="2"/>
  <c r="K61" i="2"/>
  <c r="J61" i="2"/>
  <c r="F61" i="2"/>
  <c r="S60" i="2"/>
  <c r="O60" i="2"/>
  <c r="K60" i="2"/>
  <c r="J60" i="2"/>
  <c r="F60" i="2"/>
  <c r="S59" i="2"/>
  <c r="O59" i="2"/>
  <c r="K59" i="2"/>
  <c r="J59" i="2"/>
  <c r="F59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S52" i="2"/>
  <c r="O52" i="2"/>
  <c r="K52" i="2"/>
  <c r="J52" i="2"/>
  <c r="F52" i="2"/>
  <c r="S51" i="2"/>
  <c r="O51" i="2"/>
  <c r="K51" i="2"/>
  <c r="J51" i="2"/>
  <c r="F51" i="2"/>
  <c r="S50" i="2"/>
  <c r="O50" i="2"/>
  <c r="K50" i="2"/>
  <c r="J50" i="2"/>
  <c r="F50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S48" i="2"/>
  <c r="O48" i="2"/>
  <c r="K48" i="2"/>
  <c r="J48" i="2"/>
  <c r="F48" i="2"/>
  <c r="S47" i="2"/>
  <c r="O47" i="2"/>
  <c r="K47" i="2"/>
  <c r="J47" i="2"/>
  <c r="F47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S45" i="2"/>
  <c r="O45" i="2"/>
  <c r="K45" i="2"/>
  <c r="J45" i="2"/>
  <c r="F45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S26" i="2"/>
  <c r="O26" i="2"/>
  <c r="K26" i="2"/>
  <c r="J26" i="2"/>
  <c r="F26" i="2"/>
  <c r="S25" i="2"/>
  <c r="O25" i="2"/>
  <c r="K25" i="2"/>
  <c r="J25" i="2"/>
  <c r="F25" i="2"/>
  <c r="S24" i="2"/>
  <c r="O24" i="2"/>
  <c r="K24" i="2"/>
  <c r="J24" i="2"/>
  <c r="F24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S22" i="2"/>
  <c r="O22" i="2"/>
  <c r="K22" i="2"/>
  <c r="J22" i="2"/>
  <c r="F22" i="2"/>
  <c r="S21" i="2"/>
  <c r="O21" i="2"/>
  <c r="K21" i="2"/>
  <c r="J21" i="2"/>
  <c r="F21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S19" i="2"/>
  <c r="O19" i="2"/>
  <c r="K19" i="2"/>
  <c r="J19" i="2"/>
  <c r="F19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S13" i="2"/>
  <c r="O13" i="2"/>
  <c r="K13" i="2"/>
  <c r="J13" i="2"/>
  <c r="F13" i="2"/>
  <c r="S12" i="2"/>
  <c r="O12" i="2"/>
  <c r="K12" i="2"/>
  <c r="J12" i="2"/>
  <c r="F12" i="2"/>
  <c r="S11" i="2"/>
  <c r="O11" i="2"/>
  <c r="K11" i="2"/>
  <c r="J11" i="2"/>
  <c r="F11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S9" i="2"/>
  <c r="O9" i="2"/>
  <c r="K9" i="2"/>
  <c r="J9" i="2"/>
  <c r="F9" i="2"/>
  <c r="S8" i="2"/>
  <c r="O8" i="2"/>
  <c r="K8" i="2"/>
  <c r="J8" i="2"/>
  <c r="F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S6" i="2"/>
  <c r="O6" i="2"/>
  <c r="K6" i="2"/>
  <c r="J6" i="2"/>
  <c r="F6" i="2"/>
  <c r="H79" i="1"/>
  <c r="H78" i="1"/>
  <c r="H77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S68" i="1"/>
  <c r="O68" i="1"/>
  <c r="K68" i="1"/>
  <c r="J68" i="1"/>
  <c r="F68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S64" i="1"/>
  <c r="O64" i="1"/>
  <c r="K64" i="1"/>
  <c r="J64" i="1"/>
  <c r="F64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S62" i="1"/>
  <c r="O62" i="1"/>
  <c r="K62" i="1"/>
  <c r="J62" i="1"/>
  <c r="F62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W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W55" i="1"/>
  <c r="S55" i="1"/>
  <c r="O55" i="1"/>
  <c r="K55" i="1"/>
  <c r="J55" i="1"/>
  <c r="F55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W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S52" i="1"/>
  <c r="O52" i="1"/>
  <c r="K52" i="1"/>
  <c r="J52" i="1"/>
  <c r="F52" i="1"/>
  <c r="U51" i="1"/>
  <c r="T51" i="1"/>
  <c r="S51" i="1"/>
  <c r="O51" i="1"/>
  <c r="K51" i="1"/>
  <c r="J51" i="1"/>
  <c r="F51" i="1"/>
  <c r="W50" i="1"/>
  <c r="S50" i="1"/>
  <c r="O50" i="1"/>
  <c r="K50" i="1"/>
  <c r="J50" i="1"/>
  <c r="F50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W48" i="1"/>
  <c r="S48" i="1"/>
  <c r="O48" i="1"/>
  <c r="K48" i="1"/>
  <c r="J48" i="1"/>
  <c r="F48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W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W41" i="1"/>
  <c r="S41" i="1"/>
  <c r="O41" i="1"/>
  <c r="K41" i="1"/>
  <c r="J41" i="1"/>
  <c r="F41" i="1"/>
  <c r="E41" i="1"/>
  <c r="D41" i="1"/>
  <c r="C41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W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W36" i="1"/>
  <c r="S36" i="1"/>
  <c r="O36" i="1"/>
  <c r="K36" i="1"/>
  <c r="J36" i="1"/>
  <c r="F36" i="1"/>
  <c r="E36" i="1"/>
  <c r="D36" i="1"/>
  <c r="C36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W34" i="1"/>
  <c r="S34" i="1"/>
  <c r="O34" i="1"/>
  <c r="K34" i="1"/>
  <c r="J34" i="1"/>
  <c r="F34" i="1"/>
  <c r="E34" i="1"/>
  <c r="D34" i="1"/>
  <c r="C34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W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W27" i="1"/>
  <c r="S27" i="1"/>
  <c r="O27" i="1"/>
  <c r="K27" i="1"/>
  <c r="J27" i="1"/>
  <c r="F27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W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S24" i="1"/>
  <c r="O24" i="1"/>
  <c r="K24" i="1"/>
  <c r="J24" i="1"/>
  <c r="F24" i="1"/>
  <c r="U23" i="1"/>
  <c r="T23" i="1"/>
  <c r="S23" i="1"/>
  <c r="O23" i="1"/>
  <c r="K23" i="1"/>
  <c r="J23" i="1"/>
  <c r="F23" i="1"/>
  <c r="W22" i="1"/>
  <c r="S22" i="1"/>
  <c r="O22" i="1"/>
  <c r="K22" i="1"/>
  <c r="J22" i="1"/>
  <c r="F22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W20" i="1"/>
  <c r="S20" i="1"/>
  <c r="O20" i="1"/>
  <c r="K20" i="1"/>
  <c r="J20" i="1"/>
  <c r="F20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W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W13" i="1"/>
  <c r="S13" i="1"/>
  <c r="O13" i="1"/>
  <c r="K13" i="1"/>
  <c r="J13" i="1"/>
  <c r="F13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W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S10" i="1"/>
  <c r="O10" i="1"/>
  <c r="K10" i="1"/>
  <c r="J10" i="1"/>
  <c r="F10" i="1"/>
  <c r="U9" i="1"/>
  <c r="T9" i="1"/>
  <c r="S9" i="1"/>
  <c r="O9" i="1"/>
  <c r="K9" i="1"/>
  <c r="J9" i="1"/>
  <c r="F9" i="1"/>
  <c r="W8" i="1"/>
  <c r="S8" i="1"/>
  <c r="O8" i="1"/>
  <c r="K8" i="1"/>
  <c r="J8" i="1"/>
  <c r="F8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W6" i="1"/>
  <c r="S6" i="1"/>
  <c r="O6" i="1"/>
  <c r="K6" i="1"/>
  <c r="J6" i="1"/>
  <c r="F6" i="1"/>
</calcChain>
</file>

<file path=xl/sharedStrings.xml><?xml version="1.0" encoding="utf-8"?>
<sst xmlns="http://schemas.openxmlformats.org/spreadsheetml/2006/main" count="638" uniqueCount="91">
  <si>
    <t>MONTHLY COLLECTIONS SNAPSHOT 2026 - MDO Dynamic</t>
  </si>
  <si>
    <t>Total Collections</t>
  </si>
  <si>
    <t>Jan</t>
  </si>
  <si>
    <t>Feb</t>
  </si>
  <si>
    <t>March</t>
  </si>
  <si>
    <t>Q1</t>
  </si>
  <si>
    <t>Apr</t>
  </si>
  <si>
    <t>May</t>
  </si>
  <si>
    <t>Jun</t>
  </si>
  <si>
    <t>Q2</t>
  </si>
  <si>
    <t>H1</t>
  </si>
  <si>
    <t>July</t>
  </si>
  <si>
    <t>Aug</t>
  </si>
  <si>
    <t>Sept</t>
  </si>
  <si>
    <t>Q3</t>
  </si>
  <si>
    <t>Oct</t>
  </si>
  <si>
    <t>Nov</t>
  </si>
  <si>
    <t>Dec</t>
  </si>
  <si>
    <t>Total</t>
  </si>
  <si>
    <t>Dues Target</t>
  </si>
  <si>
    <t>Dues</t>
  </si>
  <si>
    <t>Advance Target</t>
  </si>
  <si>
    <t>Current Year Advance</t>
  </si>
  <si>
    <t>Future Year Advance</t>
  </si>
  <si>
    <t>Dues+ Advance Target</t>
  </si>
  <si>
    <t>Dues+ Advance</t>
  </si>
  <si>
    <t>New Sales Target</t>
  </si>
  <si>
    <t>New Sales</t>
  </si>
  <si>
    <t>Total Collections Target</t>
  </si>
  <si>
    <t>MTD Total Collections</t>
  </si>
  <si>
    <t>Siniya Total Collections</t>
  </si>
  <si>
    <t>Sobha Total Collections</t>
  </si>
  <si>
    <t>Downtown UAQ Total Collections</t>
  </si>
  <si>
    <t>Sobha AUH Total Collections</t>
  </si>
  <si>
    <t>Advance</t>
  </si>
  <si>
    <t>*Note:- Q1 months have been adjusted against actual collection figures. The values are subject to reconciliation based on clearing of unidentifieds.</t>
  </si>
  <si>
    <t>k</t>
  </si>
  <si>
    <t>MONTHLY COLLECTIONS SNAPSHOT 2026</t>
  </si>
  <si>
    <t>Project</t>
  </si>
  <si>
    <t>Not qualified</t>
  </si>
  <si>
    <t>Sale Value (Unqualified)</t>
  </si>
  <si>
    <t>Qualified Units</t>
  </si>
  <si>
    <t>Sale Value (Qualified Units)</t>
  </si>
  <si>
    <t>Total units</t>
  </si>
  <si>
    <t>Sale value total</t>
  </si>
  <si>
    <t>Siniya Island-Villas &amp; Mansion</t>
  </si>
  <si>
    <t>Siniya Island</t>
  </si>
  <si>
    <t>Siniya Island-Villas Phase II</t>
  </si>
  <si>
    <t>Siniya Island-Villas Phase IV</t>
  </si>
  <si>
    <t>Siniya Island Mansions</t>
  </si>
  <si>
    <t>Siniya Beach Residences</t>
  </si>
  <si>
    <t>Selene Beach Residences</t>
  </si>
  <si>
    <t>Delphine Beach Residences</t>
  </si>
  <si>
    <t>Coraline Beach Residences</t>
  </si>
  <si>
    <t>Aquamarine Beach Residences</t>
  </si>
  <si>
    <t>Florine Beach Residences</t>
  </si>
  <si>
    <t>Coastline Beach Residences</t>
  </si>
  <si>
    <t>Starline Beach Residences</t>
  </si>
  <si>
    <t>Pristine Beach Residences</t>
  </si>
  <si>
    <t>Siniya Marina Residences</t>
  </si>
  <si>
    <t>Bayside Marina Residences</t>
  </si>
  <si>
    <t>Pierside Marina Residences</t>
  </si>
  <si>
    <t>Yachtside Marina Residences</t>
  </si>
  <si>
    <t>Bayfront Marina Residences</t>
  </si>
  <si>
    <t>Canalside Marina Residences</t>
  </si>
  <si>
    <t>Capeside Marina Residences</t>
  </si>
  <si>
    <t>Pearlside Marina Residences</t>
  </si>
  <si>
    <t>Not Qualified</t>
  </si>
  <si>
    <t>Total Units</t>
  </si>
  <si>
    <t>Sale Value Total</t>
  </si>
  <si>
    <t>Sobha Aquamont</t>
  </si>
  <si>
    <t>Sobha Aquacrest</t>
  </si>
  <si>
    <t>As on</t>
  </si>
  <si>
    <t>"=MAX(gcdump!X:X)"</t>
  </si>
  <si>
    <t>Collection Due</t>
  </si>
  <si>
    <t>New sales</t>
  </si>
  <si>
    <t>Target</t>
  </si>
  <si>
    <t>MTD Pro-rata Target</t>
  </si>
  <si>
    <t>Sno.</t>
  </si>
  <si>
    <t>Day &amp; Date</t>
  </si>
  <si>
    <t>DLD/Oqood</t>
  </si>
  <si>
    <t>Total MTD</t>
  </si>
  <si>
    <t>YTD Collection</t>
  </si>
  <si>
    <t>Particulars</t>
  </si>
  <si>
    <t>YTD Collection Opening for the Month</t>
  </si>
  <si>
    <t>Collection for the Month</t>
  </si>
  <si>
    <t>YTD Pro-rata target</t>
  </si>
  <si>
    <t>Total YTD Collection</t>
  </si>
  <si>
    <t>dues</t>
  </si>
  <si>
    <t>NS</t>
  </si>
  <si>
    <t>AR Tracker Rows -1873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</si>
</sst>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409]d\-mmm\-yy;@"/>
    <numFmt numFmtId="167" formatCode="_(* #,##0_);_(* \(#,##0\);_(* &quot;-&quot;??_);_(@_)"/>
    <numFmt numFmtId="168" formatCode="[$-409]d\-mmm;@"/>
    <numFmt numFmtId="169" formatCode="[$-10000]dddd\,\ mmmm\ d\,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sz val="13"/>
      <color theme="1"/>
      <name val="Calibri"/>
      <family val="2"/>
      <scheme val="minor"/>
    </font>
    <font>
      <b/>
      <sz val="13"/>
      <color theme="1"/>
      <name val="Tahoma"/>
      <family val="2"/>
    </font>
    <font>
      <sz val="13"/>
      <color theme="1"/>
      <name val="Tahoma"/>
      <family val="2"/>
    </font>
    <font>
      <sz val="13"/>
      <name val="Tahoma"/>
      <family val="2"/>
    </font>
    <font>
      <b/>
      <sz val="13"/>
      <name val="Tahoma"/>
      <family val="2"/>
    </font>
    <font>
      <i/>
      <sz val="10"/>
      <color theme="1"/>
      <name val="Tahoma"/>
      <family val="2"/>
    </font>
    <font>
      <i/>
      <sz val="10.5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0.5"/>
      <color theme="1"/>
      <name val="Tahoma"/>
      <family val="2"/>
    </font>
    <font>
      <sz val="10.5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theme="0"/>
      <name val="Tahoma"/>
      <family val="2"/>
    </font>
    <font>
      <sz val="10.5"/>
      <color theme="0"/>
      <name val="Tahoma"/>
      <family val="2"/>
    </font>
    <font>
      <b/>
      <sz val="11"/>
      <color rgb="FFFFFF00"/>
      <name val="Calibri"/>
      <family val="2"/>
      <scheme val="minor"/>
    </font>
    <font>
      <sz val="12"/>
      <color rgb="FFFF0000"/>
      <name val="Tahoma"/>
      <family val="2"/>
    </font>
    <font>
      <b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6F8FC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F0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8FD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F7F8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rgb="FFC9D2DD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rgb="FFC9D2DD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rgb="FFC9D2DD"/>
      </bottom>
      <diagonal/>
    </border>
    <border>
      <left/>
      <right style="hair">
        <color indexed="64"/>
      </right>
      <top style="hair">
        <color indexed="64"/>
      </top>
      <bottom style="thin">
        <color rgb="FFC9D2DD"/>
      </bottom>
      <diagonal/>
    </border>
    <border>
      <left style="medium">
        <color indexed="64"/>
      </left>
      <right/>
      <top style="thin">
        <color rgb="FFC9D2DD"/>
      </top>
      <bottom style="thin">
        <color rgb="FFC9D2DD"/>
      </bottom>
      <diagonal/>
    </border>
    <border>
      <left/>
      <right style="hair">
        <color indexed="64"/>
      </right>
      <top style="thin">
        <color rgb="FFC9D2DD"/>
      </top>
      <bottom style="thin">
        <color rgb="FFC9D2DD"/>
      </bottom>
      <diagonal/>
    </border>
    <border>
      <left style="medium">
        <color indexed="64"/>
      </left>
      <right/>
      <top style="thin">
        <color rgb="FFC9D2DD"/>
      </top>
      <bottom style="thin">
        <color indexed="64"/>
      </bottom>
      <diagonal/>
    </border>
    <border>
      <left/>
      <right style="hair">
        <color indexed="64"/>
      </right>
      <top style="thin">
        <color rgb="FFC9D2DD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rgb="FFC9D2DD"/>
      </bottom>
      <diagonal/>
    </border>
    <border>
      <left style="thin">
        <color indexed="64"/>
      </left>
      <right/>
      <top style="thin">
        <color rgb="FFC9D2DD"/>
      </top>
      <bottom style="thin">
        <color rgb="FFC9D2DD"/>
      </bottom>
      <diagonal/>
    </border>
    <border>
      <left style="thin">
        <color indexed="64"/>
      </left>
      <right/>
      <top style="thin">
        <color rgb="FFC9D2DD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2">
    <xf numFmtId="0" fontId="0" fillId="0" borderId="0" xfId="0"/>
    <xf numFmtId="0" fontId="3" fillId="2" borderId="0" xfId="0" applyFont="1" applyFill="1" applyAlignment="1">
      <alignment horizontal="center" vertical="center"/>
    </xf>
    <xf numFmtId="165" fontId="0" fillId="0" borderId="0" xfId="1" applyNumberFormat="1" applyFont="1"/>
    <xf numFmtId="0" fontId="4" fillId="0" borderId="0" xfId="0" applyFont="1"/>
    <xf numFmtId="165" fontId="4" fillId="0" borderId="0" xfId="0" applyNumberFormat="1" applyFont="1"/>
    <xf numFmtId="14" fontId="4" fillId="0" borderId="0" xfId="0" applyNumberFormat="1" applyFont="1"/>
    <xf numFmtId="166" fontId="4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0" borderId="4" xfId="2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5" fontId="5" fillId="0" borderId="5" xfId="2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65" fontId="6" fillId="0" borderId="7" xfId="2" applyNumberFormat="1" applyFont="1" applyFill="1" applyBorder="1" applyAlignment="1">
      <alignment vertical="center"/>
    </xf>
    <xf numFmtId="165" fontId="6" fillId="3" borderId="7" xfId="2" applyNumberFormat="1" applyFont="1" applyFill="1" applyBorder="1" applyAlignment="1">
      <alignment vertical="center"/>
    </xf>
    <xf numFmtId="165" fontId="7" fillId="0" borderId="7" xfId="2" applyNumberFormat="1" applyFont="1" applyFill="1" applyBorder="1" applyAlignment="1">
      <alignment vertical="center"/>
    </xf>
    <xf numFmtId="165" fontId="6" fillId="3" borderId="7" xfId="2" applyNumberFormat="1" applyFont="1" applyFill="1" applyBorder="1" applyAlignment="1">
      <alignment horizontal="right" vertical="center"/>
    </xf>
    <xf numFmtId="165" fontId="5" fillId="4" borderId="8" xfId="2" applyNumberFormat="1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65" fontId="6" fillId="5" borderId="7" xfId="2" applyNumberFormat="1" applyFont="1" applyFill="1" applyBorder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0" fontId="5" fillId="0" borderId="6" xfId="0" applyFont="1" applyBorder="1" applyAlignment="1">
      <alignment horizontal="left" vertical="center"/>
    </xf>
    <xf numFmtId="165" fontId="5" fillId="0" borderId="7" xfId="2" applyNumberFormat="1" applyFont="1" applyFill="1" applyBorder="1" applyAlignment="1">
      <alignment vertical="center"/>
    </xf>
    <xf numFmtId="0" fontId="6" fillId="6" borderId="6" xfId="0" applyFont="1" applyFill="1" applyBorder="1" applyAlignment="1">
      <alignment horizontal="left" vertical="center"/>
    </xf>
    <xf numFmtId="165" fontId="6" fillId="6" borderId="7" xfId="2" applyNumberFormat="1" applyFont="1" applyFill="1" applyBorder="1" applyAlignment="1">
      <alignment vertical="center"/>
    </xf>
    <xf numFmtId="165" fontId="8" fillId="0" borderId="7" xfId="2" applyNumberFormat="1" applyFont="1" applyFill="1" applyBorder="1" applyAlignment="1">
      <alignment vertical="center"/>
    </xf>
    <xf numFmtId="0" fontId="6" fillId="6" borderId="9" xfId="0" applyFont="1" applyFill="1" applyBorder="1" applyAlignment="1">
      <alignment horizontal="left" vertical="center"/>
    </xf>
    <xf numFmtId="165" fontId="6" fillId="6" borderId="10" xfId="2" applyNumberFormat="1" applyFont="1" applyFill="1" applyBorder="1" applyAlignment="1">
      <alignment vertical="center"/>
    </xf>
    <xf numFmtId="165" fontId="6" fillId="3" borderId="10" xfId="2" applyNumberFormat="1" applyFont="1" applyFill="1" applyBorder="1" applyAlignment="1">
      <alignment vertical="center"/>
    </xf>
    <xf numFmtId="165" fontId="6" fillId="3" borderId="10" xfId="2" applyNumberFormat="1" applyFont="1" applyFill="1" applyBorder="1" applyAlignment="1">
      <alignment horizontal="right" vertical="center"/>
    </xf>
    <xf numFmtId="165" fontId="5" fillId="4" borderId="11" xfId="2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165" fontId="5" fillId="8" borderId="3" xfId="2" applyNumberFormat="1" applyFont="1" applyFill="1" applyBorder="1" applyAlignment="1">
      <alignment vertical="center"/>
    </xf>
    <xf numFmtId="165" fontId="6" fillId="3" borderId="12" xfId="2" applyNumberFormat="1" applyFont="1" applyFill="1" applyBorder="1" applyAlignment="1">
      <alignment vertical="center"/>
    </xf>
    <xf numFmtId="165" fontId="6" fillId="3" borderId="12" xfId="2" applyNumberFormat="1" applyFont="1" applyFill="1" applyBorder="1" applyAlignment="1">
      <alignment horizontal="right" vertical="center"/>
    </xf>
    <xf numFmtId="165" fontId="5" fillId="4" borderId="13" xfId="2" applyNumberFormat="1" applyFont="1" applyFill="1" applyBorder="1" applyAlignment="1">
      <alignment horizontal="left" vertical="center"/>
    </xf>
    <xf numFmtId="0" fontId="6" fillId="7" borderId="14" xfId="0" applyFont="1" applyFill="1" applyBorder="1" applyAlignment="1">
      <alignment horizontal="left" vertical="center"/>
    </xf>
    <xf numFmtId="167" fontId="5" fillId="0" borderId="15" xfId="2" applyNumberFormat="1" applyFont="1" applyBorder="1" applyAlignment="1">
      <alignment vertical="center"/>
    </xf>
    <xf numFmtId="165" fontId="6" fillId="3" borderId="15" xfId="2" applyNumberFormat="1" applyFont="1" applyFill="1" applyBorder="1" applyAlignment="1">
      <alignment vertical="center"/>
    </xf>
    <xf numFmtId="165" fontId="6" fillId="3" borderId="15" xfId="2" applyNumberFormat="1" applyFont="1" applyFill="1" applyBorder="1" applyAlignment="1">
      <alignment horizontal="right" vertical="center"/>
    </xf>
    <xf numFmtId="165" fontId="5" fillId="4" borderId="16" xfId="2" applyNumberFormat="1" applyFont="1" applyFill="1" applyBorder="1" applyAlignment="1">
      <alignment horizontal="left" vertical="center"/>
    </xf>
    <xf numFmtId="167" fontId="0" fillId="0" borderId="0" xfId="0" applyNumberFormat="1"/>
    <xf numFmtId="165" fontId="0" fillId="0" borderId="0" xfId="0" applyNumberFormat="1"/>
    <xf numFmtId="0" fontId="5" fillId="9" borderId="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5" fontId="5" fillId="0" borderId="18" xfId="2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5" fontId="5" fillId="10" borderId="8" xfId="2" applyNumberFormat="1" applyFont="1" applyFill="1" applyBorder="1" applyAlignment="1">
      <alignment horizontal="left" vertical="center"/>
    </xf>
    <xf numFmtId="0" fontId="6" fillId="5" borderId="6" xfId="0" applyFont="1" applyFill="1" applyBorder="1" applyAlignment="1">
      <alignment vertical="center"/>
    </xf>
    <xf numFmtId="165" fontId="6" fillId="5" borderId="7" xfId="2" applyNumberFormat="1" applyFont="1" applyFill="1" applyBorder="1" applyAlignment="1">
      <alignment horizontal="right" vertical="center"/>
    </xf>
    <xf numFmtId="165" fontId="5" fillId="0" borderId="19" xfId="2" applyNumberFormat="1" applyFont="1" applyFill="1" applyBorder="1" applyAlignment="1">
      <alignment horizontal="right" vertical="center"/>
    </xf>
    <xf numFmtId="165" fontId="5" fillId="0" borderId="7" xfId="2" applyNumberFormat="1" applyFont="1" applyFill="1" applyBorder="1" applyAlignment="1">
      <alignment horizontal="right" vertical="center"/>
    </xf>
    <xf numFmtId="0" fontId="6" fillId="6" borderId="6" xfId="0" applyFont="1" applyFill="1" applyBorder="1" applyAlignment="1">
      <alignment vertical="center"/>
    </xf>
    <xf numFmtId="165" fontId="6" fillId="6" borderId="7" xfId="2" applyNumberFormat="1" applyFont="1" applyFill="1" applyBorder="1" applyAlignment="1">
      <alignment horizontal="right" vertical="center"/>
    </xf>
    <xf numFmtId="165" fontId="8" fillId="0" borderId="7" xfId="2" applyNumberFormat="1" applyFont="1" applyFill="1" applyBorder="1" applyAlignment="1">
      <alignment horizontal="right" vertical="center"/>
    </xf>
    <xf numFmtId="0" fontId="6" fillId="6" borderId="9" xfId="0" applyFont="1" applyFill="1" applyBorder="1" applyAlignment="1">
      <alignment vertical="center"/>
    </xf>
    <xf numFmtId="165" fontId="5" fillId="10" borderId="11" xfId="2" applyNumberFormat="1" applyFont="1" applyFill="1" applyBorder="1" applyAlignment="1">
      <alignment horizontal="left" vertical="center"/>
    </xf>
    <xf numFmtId="165" fontId="5" fillId="10" borderId="13" xfId="2" applyNumberFormat="1" applyFont="1" applyFill="1" applyBorder="1" applyAlignment="1">
      <alignment horizontal="left" vertical="center"/>
    </xf>
    <xf numFmtId="0" fontId="6" fillId="11" borderId="14" xfId="0" applyFont="1" applyFill="1" applyBorder="1" applyAlignment="1">
      <alignment vertical="center"/>
    </xf>
    <xf numFmtId="167" fontId="5" fillId="0" borderId="15" xfId="2" applyNumberFormat="1" applyFont="1" applyFill="1" applyBorder="1" applyAlignment="1">
      <alignment vertical="center"/>
    </xf>
    <xf numFmtId="165" fontId="5" fillId="10" borderId="16" xfId="2" applyNumberFormat="1" applyFont="1" applyFill="1" applyBorder="1" applyAlignment="1">
      <alignment horizontal="left" vertical="center"/>
    </xf>
    <xf numFmtId="165" fontId="6" fillId="0" borderId="19" xfId="2" applyNumberFormat="1" applyFont="1" applyFill="1" applyBorder="1" applyAlignment="1">
      <alignment horizontal="right" vertical="center"/>
    </xf>
    <xf numFmtId="165" fontId="6" fillId="0" borderId="20" xfId="2" applyNumberFormat="1" applyFont="1" applyFill="1" applyBorder="1" applyAlignment="1">
      <alignment horizontal="right" vertical="center"/>
    </xf>
    <xf numFmtId="165" fontId="6" fillId="3" borderId="20" xfId="2" applyNumberFormat="1" applyFont="1" applyFill="1" applyBorder="1" applyAlignment="1">
      <alignment horizontal="right" vertical="center"/>
    </xf>
    <xf numFmtId="165" fontId="7" fillId="0" borderId="20" xfId="2" applyNumberFormat="1" applyFont="1" applyFill="1" applyBorder="1" applyAlignment="1">
      <alignment horizontal="right" vertical="center"/>
    </xf>
    <xf numFmtId="165" fontId="6" fillId="5" borderId="19" xfId="2" applyNumberFormat="1" applyFont="1" applyFill="1" applyBorder="1" applyAlignment="1">
      <alignment horizontal="right" vertical="center"/>
    </xf>
    <xf numFmtId="165" fontId="6" fillId="5" borderId="20" xfId="2" applyNumberFormat="1" applyFont="1" applyFill="1" applyBorder="1" applyAlignment="1">
      <alignment horizontal="right" vertical="center"/>
    </xf>
    <xf numFmtId="165" fontId="5" fillId="0" borderId="20" xfId="2" applyNumberFormat="1" applyFont="1" applyFill="1" applyBorder="1" applyAlignment="1">
      <alignment horizontal="right" vertical="center"/>
    </xf>
    <xf numFmtId="165" fontId="6" fillId="6" borderId="19" xfId="2" applyNumberFormat="1" applyFont="1" applyFill="1" applyBorder="1" applyAlignment="1">
      <alignment horizontal="right" vertical="center"/>
    </xf>
    <xf numFmtId="165" fontId="6" fillId="6" borderId="20" xfId="2" applyNumberFormat="1" applyFont="1" applyFill="1" applyBorder="1" applyAlignment="1">
      <alignment horizontal="right" vertical="center"/>
    </xf>
    <xf numFmtId="165" fontId="8" fillId="0" borderId="20" xfId="2" applyNumberFormat="1" applyFont="1" applyFill="1" applyBorder="1" applyAlignment="1">
      <alignment horizontal="right" vertical="center"/>
    </xf>
    <xf numFmtId="165" fontId="6" fillId="6" borderId="21" xfId="2" applyNumberFormat="1" applyFont="1" applyFill="1" applyBorder="1" applyAlignment="1">
      <alignment vertical="center"/>
    </xf>
    <xf numFmtId="165" fontId="6" fillId="6" borderId="22" xfId="2" applyNumberFormat="1" applyFont="1" applyFill="1" applyBorder="1" applyAlignment="1">
      <alignment vertical="center"/>
    </xf>
    <xf numFmtId="165" fontId="6" fillId="3" borderId="22" xfId="2" applyNumberFormat="1" applyFont="1" applyFill="1" applyBorder="1" applyAlignment="1">
      <alignment horizontal="right" vertical="center"/>
    </xf>
    <xf numFmtId="165" fontId="5" fillId="8" borderId="23" xfId="2" applyNumberFormat="1" applyFont="1" applyFill="1" applyBorder="1" applyAlignment="1">
      <alignment vertical="center"/>
    </xf>
    <xf numFmtId="165" fontId="5" fillId="8" borderId="18" xfId="2" applyNumberFormat="1" applyFont="1" applyFill="1" applyBorder="1" applyAlignment="1">
      <alignment vertical="center"/>
    </xf>
    <xf numFmtId="165" fontId="6" fillId="3" borderId="18" xfId="2" applyNumberFormat="1" applyFont="1" applyFill="1" applyBorder="1" applyAlignment="1">
      <alignment horizontal="right" vertical="center"/>
    </xf>
    <xf numFmtId="165" fontId="5" fillId="0" borderId="15" xfId="2" applyNumberFormat="1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vertical="center"/>
    </xf>
    <xf numFmtId="165" fontId="5" fillId="0" borderId="0" xfId="2" applyNumberFormat="1" applyFont="1" applyFill="1" applyBorder="1" applyAlignment="1">
      <alignment vertical="center"/>
    </xf>
    <xf numFmtId="165" fontId="6" fillId="0" borderId="0" xfId="2" applyNumberFormat="1" applyFont="1" applyFill="1" applyBorder="1" applyAlignment="1">
      <alignment horizontal="right" vertical="center"/>
    </xf>
    <xf numFmtId="165" fontId="5" fillId="0" borderId="24" xfId="2" applyNumberFormat="1" applyFont="1" applyFill="1" applyBorder="1" applyAlignment="1">
      <alignment horizontal="left" vertical="center"/>
    </xf>
    <xf numFmtId="165" fontId="5" fillId="0" borderId="0" xfId="2" applyNumberFormat="1" applyFont="1" applyFill="1" applyBorder="1" applyAlignment="1">
      <alignment horizontal="left" vertical="center"/>
    </xf>
    <xf numFmtId="15" fontId="0" fillId="0" borderId="0" xfId="0" applyNumberFormat="1"/>
    <xf numFmtId="0" fontId="10" fillId="0" borderId="0" xfId="0" applyFont="1"/>
    <xf numFmtId="165" fontId="0" fillId="0" borderId="0" xfId="0" applyNumberFormat="1" applyAlignment="1">
      <alignment vertical="center"/>
    </xf>
    <xf numFmtId="0" fontId="6" fillId="7" borderId="14" xfId="0" applyFont="1" applyFill="1" applyBorder="1" applyAlignment="1">
      <alignment vertical="center"/>
    </xf>
    <xf numFmtId="167" fontId="5" fillId="0" borderId="0" xfId="2" applyNumberFormat="1" applyFont="1" applyFill="1" applyBorder="1" applyAlignment="1">
      <alignment vertical="center"/>
    </xf>
    <xf numFmtId="165" fontId="6" fillId="0" borderId="0" xfId="2" applyNumberFormat="1" applyFont="1" applyFill="1" applyBorder="1" applyAlignment="1">
      <alignment vertical="center"/>
    </xf>
    <xf numFmtId="14" fontId="0" fillId="0" borderId="0" xfId="0" applyNumberFormat="1"/>
    <xf numFmtId="15" fontId="0" fillId="0" borderId="25" xfId="0" applyNumberFormat="1" applyBorder="1"/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2" fillId="11" borderId="29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30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/>
    </xf>
    <xf numFmtId="165" fontId="13" fillId="0" borderId="32" xfId="1" applyNumberFormat="1" applyFont="1" applyFill="1" applyBorder="1" applyAlignment="1">
      <alignment horizontal="right" vertical="center" wrapText="1"/>
    </xf>
    <xf numFmtId="165" fontId="13" fillId="8" borderId="32" xfId="1" applyNumberFormat="1" applyFont="1" applyFill="1" applyBorder="1" applyAlignment="1">
      <alignment horizontal="right" vertical="center" wrapText="1"/>
    </xf>
    <xf numFmtId="165" fontId="13" fillId="8" borderId="33" xfId="1" applyNumberFormat="1" applyFont="1" applyFill="1" applyBorder="1" applyAlignment="1">
      <alignment horizontal="right" vertical="center" wrapText="1"/>
    </xf>
    <xf numFmtId="165" fontId="14" fillId="0" borderId="34" xfId="0" applyNumberFormat="1" applyFont="1" applyBorder="1" applyAlignment="1">
      <alignment horizontal="right" vertical="center"/>
    </xf>
    <xf numFmtId="165" fontId="14" fillId="0" borderId="6" xfId="1" applyNumberFormat="1" applyFont="1" applyBorder="1" applyAlignment="1">
      <alignment vertical="center"/>
    </xf>
    <xf numFmtId="165" fontId="14" fillId="8" borderId="6" xfId="1" applyNumberFormat="1" applyFont="1" applyFill="1" applyBorder="1" applyAlignment="1">
      <alignment vertical="center"/>
    </xf>
    <xf numFmtId="165" fontId="14" fillId="8" borderId="35" xfId="1" applyNumberFormat="1" applyFont="1" applyFill="1" applyBorder="1" applyAlignment="1">
      <alignment vertical="center"/>
    </xf>
    <xf numFmtId="165" fontId="12" fillId="0" borderId="34" xfId="0" applyNumberFormat="1" applyFont="1" applyBorder="1" applyAlignment="1">
      <alignment horizontal="left" vertical="center"/>
    </xf>
    <xf numFmtId="165" fontId="13" fillId="0" borderId="6" xfId="1" applyNumberFormat="1" applyFont="1" applyFill="1" applyBorder="1" applyAlignment="1">
      <alignment horizontal="right" vertical="center" wrapText="1"/>
    </xf>
    <xf numFmtId="165" fontId="13" fillId="8" borderId="6" xfId="1" applyNumberFormat="1" applyFont="1" applyFill="1" applyBorder="1" applyAlignment="1">
      <alignment horizontal="right" vertical="center" wrapText="1"/>
    </xf>
    <xf numFmtId="165" fontId="13" fillId="8" borderId="35" xfId="1" applyNumberFormat="1" applyFont="1" applyFill="1" applyBorder="1" applyAlignment="1">
      <alignment horizontal="right" vertical="center" wrapText="1"/>
    </xf>
    <xf numFmtId="165" fontId="14" fillId="9" borderId="6" xfId="1" applyNumberFormat="1" applyFont="1" applyFill="1" applyBorder="1" applyAlignment="1">
      <alignment vertical="center"/>
    </xf>
    <xf numFmtId="165" fontId="14" fillId="9" borderId="35" xfId="1" applyNumberFormat="1" applyFont="1" applyFill="1" applyBorder="1" applyAlignment="1">
      <alignment vertical="center"/>
    </xf>
    <xf numFmtId="165" fontId="12" fillId="8" borderId="36" xfId="0" applyNumberFormat="1" applyFont="1" applyFill="1" applyBorder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5" fontId="12" fillId="12" borderId="37" xfId="0" applyNumberFormat="1" applyFont="1" applyFill="1" applyBorder="1" applyAlignment="1">
      <alignment vertical="center"/>
    </xf>
    <xf numFmtId="165" fontId="12" fillId="12" borderId="38" xfId="0" applyNumberFormat="1" applyFont="1" applyFill="1" applyBorder="1" applyAlignment="1">
      <alignment vertical="center"/>
    </xf>
    <xf numFmtId="165" fontId="15" fillId="0" borderId="0" xfId="0" applyNumberFormat="1" applyFont="1" applyAlignment="1">
      <alignment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165" fontId="12" fillId="8" borderId="39" xfId="0" applyNumberFormat="1" applyFont="1" applyFill="1" applyBorder="1" applyAlignment="1">
      <alignment vertical="center"/>
    </xf>
    <xf numFmtId="165" fontId="12" fillId="8" borderId="14" xfId="0" applyNumberFormat="1" applyFont="1" applyFill="1" applyBorder="1" applyAlignment="1">
      <alignment vertical="center"/>
    </xf>
    <xf numFmtId="165" fontId="12" fillId="12" borderId="14" xfId="0" applyNumberFormat="1" applyFont="1" applyFill="1" applyBorder="1" applyAlignment="1">
      <alignment vertical="center"/>
    </xf>
    <xf numFmtId="165" fontId="12" fillId="12" borderId="40" xfId="0" applyNumberFormat="1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41" xfId="0" applyBorder="1"/>
    <xf numFmtId="0" fontId="11" fillId="2" borderId="2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165" fontId="12" fillId="0" borderId="0" xfId="0" applyNumberFormat="1" applyFont="1" applyAlignment="1">
      <alignment vertical="center"/>
    </xf>
    <xf numFmtId="0" fontId="11" fillId="6" borderId="26" xfId="0" applyFont="1" applyFill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0" fillId="0" borderId="31" xfId="0" applyBorder="1"/>
    <xf numFmtId="0" fontId="11" fillId="6" borderId="29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30" xfId="0" applyFont="1" applyFill="1" applyBorder="1" applyAlignment="1">
      <alignment horizontal="center" vertical="center"/>
    </xf>
    <xf numFmtId="165" fontId="13" fillId="0" borderId="17" xfId="1" applyNumberFormat="1" applyFont="1" applyFill="1" applyBorder="1" applyAlignment="1">
      <alignment horizontal="right" vertical="center" wrapText="1"/>
    </xf>
    <xf numFmtId="165" fontId="13" fillId="0" borderId="18" xfId="1" applyNumberFormat="1" applyFont="1" applyFill="1" applyBorder="1" applyAlignment="1">
      <alignment horizontal="right" vertical="center" wrapText="1"/>
    </xf>
    <xf numFmtId="165" fontId="13" fillId="8" borderId="18" xfId="1" applyNumberFormat="1" applyFont="1" applyFill="1" applyBorder="1" applyAlignment="1">
      <alignment horizontal="right" vertical="center" wrapText="1"/>
    </xf>
    <xf numFmtId="165" fontId="13" fillId="8" borderId="42" xfId="1" applyNumberFormat="1" applyFont="1" applyFill="1" applyBorder="1" applyAlignment="1">
      <alignment horizontal="right" vertical="center" wrapText="1"/>
    </xf>
    <xf numFmtId="165" fontId="13" fillId="0" borderId="43" xfId="1" applyNumberFormat="1" applyFont="1" applyFill="1" applyBorder="1" applyAlignment="1">
      <alignment horizontal="right" vertical="center" wrapText="1"/>
    </xf>
    <xf numFmtId="165" fontId="13" fillId="0" borderId="20" xfId="1" applyNumberFormat="1" applyFont="1" applyFill="1" applyBorder="1" applyAlignment="1">
      <alignment horizontal="right" vertical="center" wrapText="1"/>
    </xf>
    <xf numFmtId="165" fontId="13" fillId="8" borderId="20" xfId="1" applyNumberFormat="1" applyFont="1" applyFill="1" applyBorder="1" applyAlignment="1">
      <alignment horizontal="right" vertical="center" wrapText="1"/>
    </xf>
    <xf numFmtId="165" fontId="13" fillId="8" borderId="44" xfId="1" applyNumberFormat="1" applyFont="1" applyFill="1" applyBorder="1" applyAlignment="1">
      <alignment horizontal="right" vertical="center" wrapText="1"/>
    </xf>
    <xf numFmtId="165" fontId="12" fillId="8" borderId="45" xfId="0" applyNumberFormat="1" applyFont="1" applyFill="1" applyBorder="1" applyAlignment="1">
      <alignment vertical="center"/>
    </xf>
    <xf numFmtId="165" fontId="12" fillId="8" borderId="46" xfId="0" applyNumberFormat="1" applyFont="1" applyFill="1" applyBorder="1" applyAlignment="1">
      <alignment vertical="center"/>
    </xf>
    <xf numFmtId="165" fontId="12" fillId="12" borderId="46" xfId="0" applyNumberFormat="1" applyFont="1" applyFill="1" applyBorder="1" applyAlignment="1">
      <alignment vertical="center"/>
    </xf>
    <xf numFmtId="165" fontId="12" fillId="12" borderId="47" xfId="0" applyNumberFormat="1" applyFont="1" applyFill="1" applyBorder="1" applyAlignment="1">
      <alignment vertical="center"/>
    </xf>
    <xf numFmtId="165" fontId="12" fillId="8" borderId="48" xfId="0" applyNumberFormat="1" applyFont="1" applyFill="1" applyBorder="1" applyAlignment="1">
      <alignment vertical="center"/>
    </xf>
    <xf numFmtId="165" fontId="12" fillId="8" borderId="49" xfId="0" applyNumberFormat="1" applyFont="1" applyFill="1" applyBorder="1" applyAlignment="1">
      <alignment vertical="center"/>
    </xf>
    <xf numFmtId="165" fontId="12" fillId="12" borderId="49" xfId="0" applyNumberFormat="1" applyFont="1" applyFill="1" applyBorder="1" applyAlignment="1">
      <alignment vertical="center"/>
    </xf>
    <xf numFmtId="165" fontId="12" fillId="12" borderId="50" xfId="0" applyNumberFormat="1" applyFont="1" applyFill="1" applyBorder="1" applyAlignment="1">
      <alignment vertical="center"/>
    </xf>
    <xf numFmtId="0" fontId="16" fillId="0" borderId="0" xfId="0" applyFont="1"/>
    <xf numFmtId="165" fontId="16" fillId="0" borderId="0" xfId="0" applyNumberFormat="1" applyFont="1"/>
    <xf numFmtId="9" fontId="16" fillId="0" borderId="0" xfId="0" applyNumberFormat="1" applyFont="1"/>
    <xf numFmtId="43" fontId="16" fillId="0" borderId="0" xfId="0" applyNumberFormat="1" applyFont="1"/>
    <xf numFmtId="0" fontId="12" fillId="0" borderId="0" xfId="0" applyFont="1" applyAlignment="1">
      <alignment horizontal="center" vertical="center"/>
    </xf>
    <xf numFmtId="167" fontId="0" fillId="0" borderId="0" xfId="2" applyNumberFormat="1" applyFont="1"/>
    <xf numFmtId="0" fontId="12" fillId="0" borderId="0" xfId="0" applyFont="1" applyAlignment="1">
      <alignment horizontal="center" vertical="center"/>
    </xf>
    <xf numFmtId="167" fontId="17" fillId="0" borderId="0" xfId="2" applyNumberFormat="1" applyFont="1"/>
    <xf numFmtId="0" fontId="0" fillId="0" borderId="51" xfId="0" applyBorder="1"/>
    <xf numFmtId="0" fontId="12" fillId="5" borderId="52" xfId="0" applyFont="1" applyFill="1" applyBorder="1" applyAlignment="1">
      <alignment horizontal="center" vertical="center"/>
    </xf>
    <xf numFmtId="0" fontId="12" fillId="5" borderId="53" xfId="0" applyFont="1" applyFill="1" applyBorder="1" applyAlignment="1">
      <alignment horizontal="center" vertical="center"/>
    </xf>
    <xf numFmtId="166" fontId="13" fillId="0" borderId="0" xfId="0" applyNumberFormat="1" applyFont="1" applyAlignment="1">
      <alignment horizontal="left" vertical="center" wrapText="1"/>
    </xf>
    <xf numFmtId="22" fontId="0" fillId="0" borderId="0" xfId="0" applyNumberFormat="1"/>
    <xf numFmtId="167" fontId="13" fillId="0" borderId="0" xfId="2" applyNumberFormat="1" applyFont="1" applyBorder="1" applyAlignment="1">
      <alignment horizontal="right" vertical="center"/>
    </xf>
    <xf numFmtId="166" fontId="13" fillId="0" borderId="41" xfId="0" applyNumberFormat="1" applyFont="1" applyBorder="1" applyAlignment="1">
      <alignment horizontal="left" vertical="center" wrapText="1"/>
    </xf>
    <xf numFmtId="166" fontId="13" fillId="0" borderId="0" xfId="0" applyNumberFormat="1" applyFont="1" applyAlignment="1">
      <alignment horizontal="left" vertical="center"/>
    </xf>
    <xf numFmtId="0" fontId="17" fillId="0" borderId="0" xfId="0" applyFont="1"/>
    <xf numFmtId="0" fontId="12" fillId="13" borderId="54" xfId="0" applyFont="1" applyFill="1" applyBorder="1" applyAlignment="1">
      <alignment horizontal="center"/>
    </xf>
    <xf numFmtId="0" fontId="12" fillId="13" borderId="12" xfId="0" applyFont="1" applyFill="1" applyBorder="1" applyAlignment="1">
      <alignment horizontal="center"/>
    </xf>
    <xf numFmtId="0" fontId="12" fillId="13" borderId="18" xfId="0" applyFont="1" applyFill="1" applyBorder="1" applyAlignment="1">
      <alignment horizontal="center"/>
    </xf>
    <xf numFmtId="14" fontId="12" fillId="13" borderId="18" xfId="0" applyNumberFormat="1" applyFont="1" applyFill="1" applyBorder="1" applyAlignment="1">
      <alignment horizontal="center"/>
    </xf>
    <xf numFmtId="0" fontId="12" fillId="13" borderId="42" xfId="0" applyFont="1" applyFill="1" applyBorder="1" applyAlignment="1">
      <alignment horizontal="center"/>
    </xf>
    <xf numFmtId="0" fontId="18" fillId="14" borderId="31" xfId="0" applyFont="1" applyFill="1" applyBorder="1" applyAlignment="1">
      <alignment horizontal="center"/>
    </xf>
    <xf numFmtId="0" fontId="18" fillId="14" borderId="55" xfId="0" applyFont="1" applyFill="1" applyBorder="1" applyAlignment="1">
      <alignment horizontal="center"/>
    </xf>
    <xf numFmtId="167" fontId="18" fillId="15" borderId="49" xfId="2" applyNumberFormat="1" applyFont="1" applyFill="1" applyBorder="1"/>
    <xf numFmtId="167" fontId="19" fillId="15" borderId="50" xfId="2" applyNumberFormat="1" applyFont="1" applyFill="1" applyBorder="1"/>
    <xf numFmtId="0" fontId="12" fillId="13" borderId="31" xfId="0" applyFont="1" applyFill="1" applyBorder="1" applyAlignment="1">
      <alignment horizontal="center" vertical="center"/>
    </xf>
    <xf numFmtId="0" fontId="12" fillId="13" borderId="55" xfId="0" applyFont="1" applyFill="1" applyBorder="1" applyAlignment="1">
      <alignment horizontal="center" vertical="center"/>
    </xf>
    <xf numFmtId="167" fontId="12" fillId="11" borderId="22" xfId="2" applyNumberFormat="1" applyFont="1" applyFill="1" applyBorder="1"/>
    <xf numFmtId="167" fontId="12" fillId="11" borderId="56" xfId="2" applyNumberFormat="1" applyFont="1" applyFill="1" applyBorder="1"/>
    <xf numFmtId="0" fontId="0" fillId="0" borderId="31" xfId="0" applyBorder="1" applyAlignment="1">
      <alignment horizontal="center" vertical="center"/>
    </xf>
    <xf numFmtId="168" fontId="13" fillId="0" borderId="57" xfId="2" applyNumberFormat="1" applyFont="1" applyBorder="1" applyAlignment="1">
      <alignment horizontal="center" vertical="center"/>
    </xf>
    <xf numFmtId="167" fontId="13" fillId="0" borderId="58" xfId="2" applyNumberFormat="1" applyFont="1" applyBorder="1"/>
    <xf numFmtId="167" fontId="13" fillId="8" borderId="58" xfId="2" applyNumberFormat="1" applyFont="1" applyFill="1" applyBorder="1"/>
    <xf numFmtId="167" fontId="13" fillId="0" borderId="59" xfId="2" applyNumberFormat="1" applyFont="1" applyBorder="1"/>
    <xf numFmtId="1" fontId="12" fillId="13" borderId="60" xfId="0" applyNumberFormat="1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167" fontId="17" fillId="0" borderId="0" xfId="0" applyNumberFormat="1" applyFont="1"/>
    <xf numFmtId="0" fontId="20" fillId="16" borderId="0" xfId="0" applyFont="1" applyFill="1" applyAlignment="1">
      <alignment horizontal="left"/>
    </xf>
    <xf numFmtId="1" fontId="14" fillId="0" borderId="61" xfId="2" applyNumberFormat="1" applyFont="1" applyBorder="1"/>
    <xf numFmtId="169" fontId="14" fillId="0" borderId="57" xfId="2" applyNumberFormat="1" applyFont="1" applyBorder="1"/>
    <xf numFmtId="167" fontId="14" fillId="0" borderId="58" xfId="2" applyNumberFormat="1" applyFont="1" applyBorder="1"/>
    <xf numFmtId="167" fontId="14" fillId="8" borderId="58" xfId="2" applyNumberFormat="1" applyFont="1" applyFill="1" applyBorder="1"/>
    <xf numFmtId="167" fontId="14" fillId="0" borderId="59" xfId="2" applyNumberFormat="1" applyFont="1" applyBorder="1"/>
    <xf numFmtId="14" fontId="17" fillId="0" borderId="0" xfId="0" applyNumberFormat="1" applyFont="1"/>
    <xf numFmtId="167" fontId="14" fillId="0" borderId="62" xfId="2" applyNumberFormat="1" applyFont="1" applyBorder="1"/>
    <xf numFmtId="167" fontId="17" fillId="0" borderId="1" xfId="2" applyNumberFormat="1" applyFont="1" applyBorder="1"/>
    <xf numFmtId="167" fontId="14" fillId="0" borderId="63" xfId="2" applyNumberFormat="1" applyFont="1" applyBorder="1"/>
    <xf numFmtId="1" fontId="17" fillId="0" borderId="0" xfId="0" applyNumberFormat="1" applyFont="1"/>
    <xf numFmtId="3" fontId="17" fillId="0" borderId="0" xfId="0" applyNumberFormat="1" applyFont="1"/>
    <xf numFmtId="164" fontId="17" fillId="0" borderId="0" xfId="0" applyNumberFormat="1" applyFont="1"/>
    <xf numFmtId="167" fontId="17" fillId="0" borderId="0" xfId="2" applyNumberFormat="1" applyFont="1" applyBorder="1"/>
    <xf numFmtId="1" fontId="14" fillId="0" borderId="64" xfId="2" applyNumberFormat="1" applyFont="1" applyBorder="1"/>
    <xf numFmtId="169" fontId="14" fillId="0" borderId="65" xfId="2" applyNumberFormat="1" applyFont="1" applyBorder="1"/>
    <xf numFmtId="167" fontId="15" fillId="17" borderId="29" xfId="2" applyNumberFormat="1" applyFont="1" applyFill="1" applyBorder="1" applyAlignment="1">
      <alignment horizontal="center" vertical="center"/>
    </xf>
    <xf numFmtId="167" fontId="15" fillId="17" borderId="1" xfId="2" applyNumberFormat="1" applyFont="1" applyFill="1" applyBorder="1" applyAlignment="1">
      <alignment horizontal="center" vertical="center"/>
    </xf>
    <xf numFmtId="167" fontId="15" fillId="17" borderId="66" xfId="2" applyNumberFormat="1" applyFont="1" applyFill="1" applyBorder="1" applyAlignment="1">
      <alignment horizontal="center" vertical="center"/>
    </xf>
    <xf numFmtId="167" fontId="15" fillId="17" borderId="67" xfId="2" applyNumberFormat="1" applyFont="1" applyFill="1" applyBorder="1" applyAlignment="1">
      <alignment horizontal="center" vertical="center"/>
    </xf>
    <xf numFmtId="167" fontId="15" fillId="17" borderId="68" xfId="2" applyNumberFormat="1" applyFont="1" applyFill="1" applyBorder="1" applyAlignment="1">
      <alignment horizontal="center" vertical="center"/>
    </xf>
    <xf numFmtId="167" fontId="15" fillId="17" borderId="69" xfId="2" applyNumberFormat="1" applyFont="1" applyFill="1" applyBorder="1" applyAlignment="1">
      <alignment horizontal="center" vertical="center"/>
    </xf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167" fontId="12" fillId="17" borderId="29" xfId="2" applyNumberFormat="1" applyFont="1" applyFill="1" applyBorder="1" applyAlignment="1">
      <alignment horizontal="center"/>
    </xf>
    <xf numFmtId="167" fontId="12" fillId="17" borderId="1" xfId="2" applyNumberFormat="1" applyFont="1" applyFill="1" applyBorder="1" applyAlignment="1">
      <alignment horizontal="center"/>
    </xf>
    <xf numFmtId="167" fontId="12" fillId="17" borderId="30" xfId="2" applyNumberFormat="1" applyFont="1" applyFill="1" applyBorder="1" applyAlignment="1">
      <alignment horizontal="center"/>
    </xf>
    <xf numFmtId="0" fontId="12" fillId="13" borderId="58" xfId="0" applyFont="1" applyFill="1" applyBorder="1" applyAlignment="1">
      <alignment horizontal="center"/>
    </xf>
    <xf numFmtId="167" fontId="12" fillId="17" borderId="73" xfId="2" applyNumberFormat="1" applyFont="1" applyFill="1" applyBorder="1" applyAlignment="1">
      <alignment horizontal="center" vertical="center"/>
    </xf>
    <xf numFmtId="168" fontId="13" fillId="0" borderId="74" xfId="2" applyNumberFormat="1" applyFont="1" applyBorder="1" applyAlignment="1">
      <alignment horizontal="center"/>
    </xf>
    <xf numFmtId="168" fontId="13" fillId="0" borderId="75" xfId="2" applyNumberFormat="1" applyFont="1" applyBorder="1" applyAlignment="1">
      <alignment horizontal="center"/>
    </xf>
    <xf numFmtId="167" fontId="21" fillId="0" borderId="0" xfId="0" applyNumberFormat="1" applyFont="1"/>
    <xf numFmtId="168" fontId="13" fillId="0" borderId="76" xfId="2" applyNumberFormat="1" applyFont="1" applyBorder="1" applyAlignment="1">
      <alignment horizontal="center"/>
    </xf>
    <xf numFmtId="168" fontId="13" fillId="0" borderId="77" xfId="2" applyNumberFormat="1" applyFont="1" applyBorder="1" applyAlignment="1">
      <alignment horizontal="center"/>
    </xf>
    <xf numFmtId="167" fontId="21" fillId="0" borderId="0" xfId="2" applyNumberFormat="1" applyFont="1"/>
    <xf numFmtId="168" fontId="12" fillId="0" borderId="78" xfId="2" applyNumberFormat="1" applyFont="1" applyBorder="1" applyAlignment="1">
      <alignment horizontal="center"/>
    </xf>
    <xf numFmtId="168" fontId="12" fillId="0" borderId="79" xfId="2" applyNumberFormat="1" applyFont="1" applyBorder="1" applyAlignment="1">
      <alignment horizontal="center"/>
    </xf>
    <xf numFmtId="167" fontId="12" fillId="0" borderId="58" xfId="2" applyNumberFormat="1" applyFont="1" applyBorder="1"/>
    <xf numFmtId="167" fontId="12" fillId="8" borderId="58" xfId="2" applyNumberFormat="1" applyFont="1" applyFill="1" applyBorder="1"/>
    <xf numFmtId="167" fontId="12" fillId="17" borderId="80" xfId="2" applyNumberFormat="1" applyFont="1" applyFill="1" applyBorder="1" applyAlignment="1">
      <alignment horizontal="center"/>
    </xf>
    <xf numFmtId="167" fontId="12" fillId="17" borderId="81" xfId="2" applyNumberFormat="1" applyFont="1" applyFill="1" applyBorder="1" applyAlignment="1">
      <alignment horizontal="center"/>
    </xf>
    <xf numFmtId="167" fontId="12" fillId="17" borderId="82" xfId="2" applyNumberFormat="1" applyFont="1" applyFill="1" applyBorder="1"/>
    <xf numFmtId="167" fontId="12" fillId="17" borderId="83" xfId="2" applyNumberFormat="1" applyFont="1" applyFill="1" applyBorder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2" fillId="5" borderId="0" xfId="0" applyFont="1" applyFill="1" applyAlignment="1">
      <alignment horizontal="center" vertical="center"/>
    </xf>
    <xf numFmtId="167" fontId="13" fillId="0" borderId="0" xfId="2" applyNumberFormat="1" applyFont="1" applyAlignment="1">
      <alignment horizontal="right" vertical="center"/>
    </xf>
    <xf numFmtId="0" fontId="12" fillId="13" borderId="84" xfId="0" applyFont="1" applyFill="1" applyBorder="1" applyAlignment="1">
      <alignment horizontal="center"/>
    </xf>
    <xf numFmtId="0" fontId="12" fillId="13" borderId="13" xfId="0" applyFont="1" applyFill="1" applyBorder="1" applyAlignment="1">
      <alignment horizontal="center"/>
    </xf>
    <xf numFmtId="0" fontId="18" fillId="14" borderId="85" xfId="0" applyFont="1" applyFill="1" applyBorder="1" applyAlignment="1">
      <alignment horizontal="center"/>
    </xf>
    <xf numFmtId="167" fontId="19" fillId="15" borderId="16" xfId="2" applyNumberFormat="1" applyFont="1" applyFill="1" applyBorder="1"/>
    <xf numFmtId="0" fontId="12" fillId="13" borderId="85" xfId="0" applyFont="1" applyFill="1" applyBorder="1" applyAlignment="1">
      <alignment horizontal="center" vertical="center"/>
    </xf>
    <xf numFmtId="167" fontId="12" fillId="11" borderId="11" xfId="2" applyNumberFormat="1" applyFont="1" applyFill="1" applyBorder="1"/>
    <xf numFmtId="0" fontId="0" fillId="0" borderId="85" xfId="0" applyBorder="1" applyAlignment="1">
      <alignment horizontal="center" vertical="center"/>
    </xf>
    <xf numFmtId="167" fontId="13" fillId="0" borderId="62" xfId="2" applyNumberFormat="1" applyFont="1" applyBorder="1"/>
    <xf numFmtId="1" fontId="12" fillId="13" borderId="17" xfId="0" applyNumberFormat="1" applyFont="1" applyFill="1" applyBorder="1" applyAlignment="1">
      <alignment horizontal="center" vertical="center"/>
    </xf>
    <xf numFmtId="1" fontId="14" fillId="0" borderId="57" xfId="2" applyNumberFormat="1" applyFont="1" applyBorder="1"/>
    <xf numFmtId="167" fontId="14" fillId="0" borderId="86" xfId="2" applyNumberFormat="1" applyFont="1" applyBorder="1"/>
    <xf numFmtId="167" fontId="14" fillId="0" borderId="0" xfId="2" applyNumberFormat="1" applyFont="1" applyBorder="1"/>
    <xf numFmtId="167" fontId="22" fillId="0" borderId="0" xfId="0" applyNumberFormat="1" applyFont="1"/>
    <xf numFmtId="1" fontId="14" fillId="0" borderId="65" xfId="2" applyNumberFormat="1" applyFont="1" applyBorder="1"/>
    <xf numFmtId="167" fontId="15" fillId="17" borderId="87" xfId="2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88" xfId="0" applyBorder="1" applyAlignment="1">
      <alignment horizontal="center"/>
    </xf>
    <xf numFmtId="167" fontId="0" fillId="0" borderId="0" xfId="2" applyNumberFormat="1" applyFont="1" applyBorder="1"/>
    <xf numFmtId="167" fontId="12" fillId="17" borderId="89" xfId="2" applyNumberFormat="1" applyFont="1" applyFill="1" applyBorder="1" applyAlignment="1">
      <alignment horizontal="center" vertical="center"/>
    </xf>
    <xf numFmtId="167" fontId="2" fillId="0" borderId="0" xfId="0" applyNumberFormat="1" applyFont="1"/>
    <xf numFmtId="168" fontId="13" fillId="0" borderId="90" xfId="2" applyNumberFormat="1" applyFont="1" applyBorder="1" applyAlignment="1">
      <alignment horizontal="center"/>
    </xf>
    <xf numFmtId="167" fontId="20" fillId="0" borderId="0" xfId="0" applyNumberFormat="1" applyFont="1"/>
    <xf numFmtId="168" fontId="13" fillId="0" borderId="91" xfId="2" applyNumberFormat="1" applyFont="1" applyBorder="1" applyAlignment="1">
      <alignment horizontal="center"/>
    </xf>
    <xf numFmtId="168" fontId="12" fillId="0" borderId="92" xfId="2" applyNumberFormat="1" applyFont="1" applyBorder="1" applyAlignment="1">
      <alignment horizontal="center"/>
    </xf>
    <xf numFmtId="167" fontId="12" fillId="17" borderId="25" xfId="2" applyNumberFormat="1" applyFont="1" applyFill="1" applyBorder="1" applyAlignment="1">
      <alignment horizontal="center"/>
    </xf>
    <xf numFmtId="167" fontId="12" fillId="17" borderId="66" xfId="2" applyNumberFormat="1" applyFont="1" applyFill="1" applyBorder="1" applyAlignment="1">
      <alignment horizontal="center"/>
    </xf>
    <xf numFmtId="167" fontId="12" fillId="17" borderId="67" xfId="2" applyNumberFormat="1" applyFont="1" applyFill="1" applyBorder="1"/>
    <xf numFmtId="167" fontId="12" fillId="17" borderId="93" xfId="2" applyNumberFormat="1" applyFont="1" applyFill="1" applyBorder="1" applyAlignment="1">
      <alignment horizontal="center" vertical="center"/>
    </xf>
    <xf numFmtId="4" fontId="2" fillId="0" borderId="0" xfId="0" applyNumberFormat="1" applyFont="1"/>
  </cellXfs>
  <cellStyles count="3">
    <cellStyle name="Comma" xfId="1" builtinId="3"/>
    <cellStyle name="Comma 3 25" xfId="2" xr:uid="{B7D94633-DE62-4707-A78B-D19DFA537A3C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3C86-39AE-4A9E-9894-DA38E5CF0D83}">
  <sheetPr>
    <tabColor theme="8" tint="0.79998168889431442"/>
    <pageSetUpPr fitToPage="1"/>
  </sheetPr>
  <dimension ref="B2:AF207"/>
  <sheetViews>
    <sheetView tabSelected="1" view="pageBreakPreview" zoomScale="70" zoomScaleNormal="46" zoomScaleSheetLayoutView="70" zoomScalePageLayoutView="70" workbookViewId="0">
      <selection activeCell="E77" sqref="E77"/>
    </sheetView>
  </sheetViews>
  <sheetFormatPr defaultRowHeight="14.4" outlineLevelCol="7" x14ac:dyDescent="0.3"/>
  <cols>
    <col min="2" max="2" width="37.44140625" bestFit="1" customWidth="1"/>
    <col min="3" max="5" width="22" bestFit="1" customWidth="1"/>
    <col min="6" max="6" width="22.44140625" customWidth="1"/>
    <col min="7" max="8" width="22" customWidth="1"/>
    <col min="9" max="9" width="24.44140625" customWidth="1"/>
    <col min="10" max="10" width="22.44140625" customWidth="1" collapsed="1"/>
    <col min="11" max="11" width="19.44140625" bestFit="1" customWidth="1"/>
    <col min="12" max="14" width="24.44140625" customWidth="1" outlineLevel="1"/>
    <col min="15" max="15" width="22.44140625" customWidth="1" outlineLevel="1" collapsed="1"/>
    <col min="16" max="18" width="24.44140625" customWidth="1" outlineLevel="7"/>
    <col min="19" max="19" width="25.109375" customWidth="1"/>
    <col min="20" max="20" width="19" style="2" bestFit="1" customWidth="1"/>
    <col min="21" max="21" width="15.109375" style="2" bestFit="1" customWidth="1"/>
    <col min="22" max="22" width="22.109375" style="2" bestFit="1" customWidth="1"/>
    <col min="23" max="23" width="18.44140625" style="2" bestFit="1" customWidth="1"/>
  </cols>
  <sheetData>
    <row r="2" spans="2:23" ht="25.35" customHeight="1" x14ac:dyDescent="0.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23" ht="17.399999999999999" x14ac:dyDescent="0.35">
      <c r="B3" s="3"/>
      <c r="C3" s="3"/>
      <c r="D3" s="4"/>
      <c r="E3" s="3"/>
      <c r="F3" s="5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>
        <v>46148</v>
      </c>
    </row>
    <row r="4" spans="2:23" ht="35.1" customHeight="1" x14ac:dyDescent="0.3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2:23" ht="35.1" customHeight="1" x14ac:dyDescent="0.3">
      <c r="B5" s="8">
        <v>2026</v>
      </c>
      <c r="C5" s="9" t="s">
        <v>2</v>
      </c>
      <c r="D5" s="10" t="s">
        <v>3</v>
      </c>
      <c r="E5" s="11" t="s">
        <v>4</v>
      </c>
      <c r="F5" s="12" t="s">
        <v>5</v>
      </c>
      <c r="G5" s="11" t="s">
        <v>6</v>
      </c>
      <c r="H5" s="10" t="s">
        <v>7</v>
      </c>
      <c r="I5" s="10" t="s">
        <v>8</v>
      </c>
      <c r="J5" s="12" t="s">
        <v>9</v>
      </c>
      <c r="K5" s="12" t="s">
        <v>10</v>
      </c>
      <c r="L5" s="10" t="s">
        <v>11</v>
      </c>
      <c r="M5" s="10" t="s">
        <v>12</v>
      </c>
      <c r="N5" s="10" t="s">
        <v>13</v>
      </c>
      <c r="O5" s="12" t="s">
        <v>14</v>
      </c>
      <c r="P5" s="10" t="s">
        <v>15</v>
      </c>
      <c r="Q5" s="10" t="s">
        <v>16</v>
      </c>
      <c r="R5" s="10" t="s">
        <v>17</v>
      </c>
      <c r="S5" s="13" t="s">
        <v>18</v>
      </c>
    </row>
    <row r="6" spans="2:23" ht="35.1" customHeight="1" x14ac:dyDescent="0.3">
      <c r="B6" s="14" t="s">
        <v>19</v>
      </c>
      <c r="C6" s="15">
        <v>799629504.71435714</v>
      </c>
      <c r="D6" s="15">
        <v>687832158.16746283</v>
      </c>
      <c r="E6" s="15">
        <v>628725169.09039998</v>
      </c>
      <c r="F6" s="16">
        <f ca="1">SUM(C6:E6)</f>
        <v>2116186831.9722199</v>
      </c>
      <c r="G6" s="17">
        <v>677569197.23770869</v>
      </c>
      <c r="H6" s="15">
        <v>639116739.08147609</v>
      </c>
      <c r="I6" s="15">
        <v>743974595.82844007</v>
      </c>
      <c r="J6" s="16">
        <f ca="1">SUM(G6:I6)</f>
        <v>2060660532.147625</v>
      </c>
      <c r="K6" s="18">
        <f ca="1">F6+J6</f>
        <v>4176847364.1198449</v>
      </c>
      <c r="L6" s="15">
        <v>763293714.83185613</v>
      </c>
      <c r="M6" s="15">
        <v>796160317.85820293</v>
      </c>
      <c r="N6" s="15">
        <v>1167187928.8584399</v>
      </c>
      <c r="O6" s="16">
        <f ca="1">SUM(L6:N6)</f>
        <v>2726641961.5484991</v>
      </c>
      <c r="P6" s="15">
        <v>1151572209.3746169</v>
      </c>
      <c r="Q6" s="15">
        <v>1122719946.528801</v>
      </c>
      <c r="R6" s="15">
        <v>1157079429.2358694</v>
      </c>
      <c r="S6" s="19">
        <f ca="1">SUM(K6,O6:R6)</f>
        <v>10334860910.807632</v>
      </c>
      <c r="W6" s="2">
        <f ca="1">S6-V6</f>
        <v>10334860910.807632</v>
      </c>
    </row>
    <row r="7" spans="2:23" s="23" customFormat="1" ht="35.1" customHeight="1" x14ac:dyDescent="0.3">
      <c r="B7" s="20" t="s">
        <v>20</v>
      </c>
      <c r="C7" s="21">
        <f ca="1">'Monthwise MDO'!C7</f>
        <v>799629504.71435714</v>
      </c>
      <c r="D7" s="21">
        <f ca="1">'Monthwise MDO'!D7</f>
        <v>687832158.16746283</v>
      </c>
      <c r="E7" s="21">
        <f ca="1">'Monthwise MDO'!E7</f>
        <v>628725169.09039998</v>
      </c>
      <c r="F7" s="16">
        <f t="shared" ref="F7:F16" ca="1" si="0">SUM(C7:E7)</f>
        <v>2116186831.9722199</v>
      </c>
      <c r="G7" s="21">
        <f ca="1">'Monthwise MDO'!G7</f>
        <v>783883276.06999993</v>
      </c>
      <c r="H7" s="21">
        <f ca="1">'Monthwise MDO'!H7</f>
        <v>175397320.31999999</v>
      </c>
      <c r="I7" s="21">
        <f ca="1">'Monthwise MDO'!I7</f>
        <v>0</v>
      </c>
      <c r="J7" s="16">
        <f t="shared" ref="J7:J16" ca="1" si="1">SUM(G7:I7)</f>
        <v>959280596.38999987</v>
      </c>
      <c r="K7" s="18">
        <f t="shared" ref="K7:K16" ca="1" si="2">F7+J7</f>
        <v>3075467428.3622198</v>
      </c>
      <c r="L7" s="21">
        <f ca="1">'Monthwise MDO'!L7</f>
        <v>0</v>
      </c>
      <c r="M7" s="21">
        <f ca="1">'Monthwise MDO'!M7</f>
        <v>0</v>
      </c>
      <c r="N7" s="21">
        <f ca="1">'Monthwise MDO'!N7</f>
        <v>0</v>
      </c>
      <c r="O7" s="16">
        <f t="shared" ref="O7:O16" ca="1" si="3">SUM(L7:N7)</f>
        <v>0</v>
      </c>
      <c r="P7" s="21">
        <f ca="1">'Monthwise MDO'!P7</f>
        <v>0</v>
      </c>
      <c r="Q7" s="21">
        <f ca="1">'Monthwise MDO'!Q7</f>
        <v>0</v>
      </c>
      <c r="R7" s="21">
        <f ca="1">'Monthwise MDO'!R7</f>
        <v>0</v>
      </c>
      <c r="S7" s="19">
        <f t="shared" ref="S7:S16" ca="1" si="4">SUM(K7,O7:R7)</f>
        <v>3075467428.3622198</v>
      </c>
      <c r="T7" s="2">
        <f ca="1">'Monthwise MDO'!S7</f>
        <v>3075467428.3622198</v>
      </c>
      <c r="U7" s="2">
        <f t="shared" ref="U7:U58" ca="1" si="5">S7-T7</f>
        <v>0</v>
      </c>
      <c r="V7" s="22"/>
      <c r="W7" s="22"/>
    </row>
    <row r="8" spans="2:23" s="23" customFormat="1" ht="35.1" customHeight="1" x14ac:dyDescent="0.3">
      <c r="B8" s="24" t="s">
        <v>21</v>
      </c>
      <c r="C8" s="15">
        <v>305798418.67397094</v>
      </c>
      <c r="D8" s="15">
        <v>316483321.19526762</v>
      </c>
      <c r="E8" s="15">
        <v>192445551.90960008</v>
      </c>
      <c r="F8" s="16">
        <f t="shared" ca="1" si="0"/>
        <v>814727291.77883863</v>
      </c>
      <c r="G8" s="17">
        <v>216273365.16448888</v>
      </c>
      <c r="H8" s="15">
        <v>216273365.16448888</v>
      </c>
      <c r="I8" s="15">
        <v>216273365.16448888</v>
      </c>
      <c r="J8" s="16">
        <f t="shared" ca="1" si="1"/>
        <v>648820095.49346662</v>
      </c>
      <c r="K8" s="18">
        <f t="shared" ca="1" si="2"/>
        <v>1463547387.2723053</v>
      </c>
      <c r="L8" s="15">
        <v>216273365.16448888</v>
      </c>
      <c r="M8" s="15">
        <v>216273365.16448888</v>
      </c>
      <c r="N8" s="15">
        <v>216273365.16448888</v>
      </c>
      <c r="O8" s="16">
        <f t="shared" ca="1" si="3"/>
        <v>648820095.49346662</v>
      </c>
      <c r="P8" s="15">
        <v>216273365.16448888</v>
      </c>
      <c r="Q8" s="15">
        <v>216273365.16448888</v>
      </c>
      <c r="R8" s="15">
        <v>216273365.16448888</v>
      </c>
      <c r="S8" s="19">
        <f t="shared" ca="1" si="4"/>
        <v>2761187578.2592382</v>
      </c>
      <c r="T8" s="2"/>
      <c r="U8" s="2"/>
      <c r="V8" s="2"/>
      <c r="W8" s="2">
        <f ca="1">S8-V8</f>
        <v>2761187578.2592382</v>
      </c>
    </row>
    <row r="9" spans="2:23" s="23" customFormat="1" ht="35.1" customHeight="1" x14ac:dyDescent="0.3">
      <c r="B9" s="20" t="s">
        <v>22</v>
      </c>
      <c r="C9" s="21">
        <v>227446024.11100665</v>
      </c>
      <c r="D9" s="21">
        <v>234383468.89368156</v>
      </c>
      <c r="E9" s="21">
        <v>146423731.87473923</v>
      </c>
      <c r="F9" s="16">
        <f t="shared" ca="1" si="0"/>
        <v>608253224.87942743</v>
      </c>
      <c r="G9" s="21">
        <v>202312773.39999992</v>
      </c>
      <c r="H9" s="21">
        <v>40997469.236000009</v>
      </c>
      <c r="I9" s="21">
        <v>0</v>
      </c>
      <c r="J9" s="16">
        <f t="shared" ca="1" si="1"/>
        <v>243310242.63599992</v>
      </c>
      <c r="K9" s="18">
        <f t="shared" ca="1" si="2"/>
        <v>851563467.51542735</v>
      </c>
      <c r="L9" s="21">
        <v>0</v>
      </c>
      <c r="M9" s="21">
        <v>0</v>
      </c>
      <c r="N9" s="21">
        <v>0</v>
      </c>
      <c r="O9" s="16">
        <f t="shared" ca="1" si="3"/>
        <v>0</v>
      </c>
      <c r="P9" s="21">
        <v>0</v>
      </c>
      <c r="Q9" s="21">
        <v>0</v>
      </c>
      <c r="R9" s="21">
        <v>0</v>
      </c>
      <c r="S9" s="19">
        <f t="shared" ca="1" si="4"/>
        <v>851563467.51542735</v>
      </c>
      <c r="T9" s="2">
        <f ca="1">'Monthwise MDO'!S9</f>
        <v>1134075951.1288385</v>
      </c>
      <c r="U9" s="2">
        <f ca="1">S9+S10-T9</f>
        <v>22790730.440000057</v>
      </c>
      <c r="V9" s="22"/>
      <c r="W9" s="22"/>
    </row>
    <row r="10" spans="2:23" s="23" customFormat="1" ht="35.1" customHeight="1" x14ac:dyDescent="0.3">
      <c r="B10" s="20" t="s">
        <v>23</v>
      </c>
      <c r="C10" s="21">
        <v>78352394.562964275</v>
      </c>
      <c r="D10" s="21">
        <v>82099852.301586092</v>
      </c>
      <c r="E10" s="21">
        <v>46021820.034860842</v>
      </c>
      <c r="F10" s="16">
        <f t="shared" ca="1" si="0"/>
        <v>206474066.8994112</v>
      </c>
      <c r="G10" s="21">
        <v>86537796.160000041</v>
      </c>
      <c r="H10" s="21">
        <v>12291350.994000003</v>
      </c>
      <c r="I10" s="21">
        <v>0</v>
      </c>
      <c r="J10" s="16">
        <f t="shared" ca="1" si="1"/>
        <v>98829147.154000044</v>
      </c>
      <c r="K10" s="18">
        <f t="shared" ca="1" si="2"/>
        <v>305303214.05341125</v>
      </c>
      <c r="L10" s="21">
        <v>0</v>
      </c>
      <c r="M10" s="21">
        <v>0</v>
      </c>
      <c r="N10" s="21">
        <v>0</v>
      </c>
      <c r="O10" s="16">
        <f t="shared" ca="1" si="3"/>
        <v>0</v>
      </c>
      <c r="P10" s="21">
        <v>0</v>
      </c>
      <c r="Q10" s="21">
        <v>0</v>
      </c>
      <c r="R10" s="21">
        <v>0</v>
      </c>
      <c r="S10" s="19">
        <f t="shared" ca="1" si="4"/>
        <v>305303214.05341125</v>
      </c>
      <c r="T10" s="2"/>
      <c r="U10" s="2"/>
      <c r="V10" s="22"/>
      <c r="W10" s="22"/>
    </row>
    <row r="11" spans="2:23" s="23" customFormat="1" ht="35.1" customHeight="1" x14ac:dyDescent="0.3">
      <c r="B11" s="24" t="s">
        <v>24</v>
      </c>
      <c r="C11" s="25">
        <f t="shared" ref="C11:E11" ca="1" si="6">SUM(C6,C8)</f>
        <v>1105427923.3883281</v>
      </c>
      <c r="D11" s="25">
        <f t="shared" ca="1" si="6"/>
        <v>1004315479.3627305</v>
      </c>
      <c r="E11" s="25">
        <f t="shared" ca="1" si="6"/>
        <v>821170721</v>
      </c>
      <c r="F11" s="16">
        <f ca="1">SUM(C11:E11)</f>
        <v>2930914123.7510586</v>
      </c>
      <c r="G11" s="25">
        <f t="shared" ref="G11:I11" ca="1" si="7">SUM(G6,G8)</f>
        <v>893842562.4021976</v>
      </c>
      <c r="H11" s="25">
        <f t="shared" ca="1" si="7"/>
        <v>855390104.245965</v>
      </c>
      <c r="I11" s="25">
        <f t="shared" ca="1" si="7"/>
        <v>960247960.99292898</v>
      </c>
      <c r="J11" s="16">
        <f ca="1">SUM(G11:I11)</f>
        <v>2709480627.6410913</v>
      </c>
      <c r="K11" s="18">
        <f t="shared" ca="1" si="2"/>
        <v>5640394751.3921499</v>
      </c>
      <c r="L11" s="25">
        <f ca="1">SUM(L6,L8)</f>
        <v>979567079.99634504</v>
      </c>
      <c r="M11" s="25">
        <f ca="1">SUM(M6,M8)</f>
        <v>1012433683.0226918</v>
      </c>
      <c r="N11" s="25">
        <f ca="1">SUM(N6,N8)</f>
        <v>1383461294.0229287</v>
      </c>
      <c r="O11" s="16">
        <f t="shared" ca="1" si="3"/>
        <v>3375462057.0419655</v>
      </c>
      <c r="P11" s="25">
        <f t="shared" ref="P11:R11" ca="1" si="8">SUM(P6,P8)</f>
        <v>1367845574.5391057</v>
      </c>
      <c r="Q11" s="25">
        <f t="shared" ca="1" si="8"/>
        <v>1338993311.6932898</v>
      </c>
      <c r="R11" s="25">
        <f t="shared" ca="1" si="8"/>
        <v>1373352794.4003582</v>
      </c>
      <c r="S11" s="19">
        <f t="shared" ca="1" si="4"/>
        <v>13096048489.06687</v>
      </c>
      <c r="T11" s="2"/>
      <c r="U11" s="2"/>
      <c r="V11" s="2"/>
      <c r="W11" s="2">
        <f ca="1">S11-V11</f>
        <v>13096048489.06687</v>
      </c>
    </row>
    <row r="12" spans="2:23" s="23" customFormat="1" ht="35.1" customHeight="1" x14ac:dyDescent="0.3">
      <c r="B12" s="26" t="s">
        <v>25</v>
      </c>
      <c r="C12" s="27">
        <f ca="1">'Monthwise MDO'!C11</f>
        <v>1105427923.3883281</v>
      </c>
      <c r="D12" s="27">
        <f ca="1">'Monthwise MDO'!D11</f>
        <v>1004315479.3627305</v>
      </c>
      <c r="E12" s="27">
        <f ca="1">'Monthwise MDO'!E11</f>
        <v>821170721</v>
      </c>
      <c r="F12" s="16">
        <f t="shared" ca="1" si="0"/>
        <v>2930914123.7510586</v>
      </c>
      <c r="G12" s="27">
        <f ca="1">'Monthwise MDO'!G11</f>
        <v>1049943115.1899999</v>
      </c>
      <c r="H12" s="27">
        <f ca="1">'Monthwise MDO'!H11</f>
        <v>228686140.55000001</v>
      </c>
      <c r="I12" s="27">
        <f ca="1">'Monthwise MDO'!I11</f>
        <v>0</v>
      </c>
      <c r="J12" s="16">
        <f t="shared" ca="1" si="1"/>
        <v>1278629255.74</v>
      </c>
      <c r="K12" s="18">
        <f t="shared" ca="1" si="2"/>
        <v>4209543379.4910583</v>
      </c>
      <c r="L12" s="27">
        <f ca="1">'Monthwise MDO'!L11</f>
        <v>0</v>
      </c>
      <c r="M12" s="27">
        <f ca="1">'Monthwise MDO'!M11</f>
        <v>0</v>
      </c>
      <c r="N12" s="27">
        <f ca="1">'Monthwise MDO'!N11</f>
        <v>0</v>
      </c>
      <c r="O12" s="16">
        <f t="shared" ca="1" si="3"/>
        <v>0</v>
      </c>
      <c r="P12" s="27">
        <f ca="1">'Monthwise MDO'!P11</f>
        <v>0</v>
      </c>
      <c r="Q12" s="27">
        <f ca="1">'Monthwise MDO'!Q11</f>
        <v>0</v>
      </c>
      <c r="R12" s="27">
        <f ca="1">'Monthwise MDO'!R11</f>
        <v>0</v>
      </c>
      <c r="S12" s="19">
        <f t="shared" ca="1" si="4"/>
        <v>4209543379.4910583</v>
      </c>
      <c r="T12" s="2">
        <f ca="1">'Monthwise MDO'!S11</f>
        <v>4209543379.4910583</v>
      </c>
      <c r="U12" s="2">
        <f t="shared" ca="1" si="5"/>
        <v>0</v>
      </c>
      <c r="V12" s="22"/>
      <c r="W12" s="22"/>
    </row>
    <row r="13" spans="2:23" s="23" customFormat="1" ht="35.1" customHeight="1" x14ac:dyDescent="0.3">
      <c r="B13" s="24" t="s">
        <v>26</v>
      </c>
      <c r="C13" s="25">
        <v>233124946.61007047</v>
      </c>
      <c r="D13" s="25">
        <v>258853598.5323036</v>
      </c>
      <c r="E13" s="25">
        <v>82601425</v>
      </c>
      <c r="F13" s="16">
        <f t="shared" ca="1" si="0"/>
        <v>574579970.14237404</v>
      </c>
      <c r="G13" s="28">
        <v>150000000</v>
      </c>
      <c r="H13" s="25">
        <v>150000000</v>
      </c>
      <c r="I13" s="25">
        <v>150000000</v>
      </c>
      <c r="J13" s="16">
        <f t="shared" ca="1" si="1"/>
        <v>450000000</v>
      </c>
      <c r="K13" s="18">
        <f t="shared" ca="1" si="2"/>
        <v>1024579970.142374</v>
      </c>
      <c r="L13" s="25">
        <v>150000000</v>
      </c>
      <c r="M13" s="25">
        <v>150000000</v>
      </c>
      <c r="N13" s="25">
        <v>150000000</v>
      </c>
      <c r="O13" s="16">
        <f t="shared" ca="1" si="3"/>
        <v>450000000</v>
      </c>
      <c r="P13" s="25">
        <v>165000000.00000003</v>
      </c>
      <c r="Q13" s="25">
        <v>165000000.00000003</v>
      </c>
      <c r="R13" s="25">
        <v>165000000.00000003</v>
      </c>
      <c r="S13" s="19">
        <f t="shared" ca="1" si="4"/>
        <v>1969579970.142374</v>
      </c>
      <c r="T13" s="2"/>
      <c r="U13" s="2"/>
      <c r="V13" s="2"/>
      <c r="W13" s="2">
        <f ca="1">S13-V13</f>
        <v>1969579970.142374</v>
      </c>
    </row>
    <row r="14" spans="2:23" s="23" customFormat="1" ht="35.1" customHeight="1" x14ac:dyDescent="0.3">
      <c r="B14" s="29" t="s">
        <v>27</v>
      </c>
      <c r="C14" s="30">
        <f ca="1">'Monthwise MDO'!C13</f>
        <v>233124946.61007047</v>
      </c>
      <c r="D14" s="30">
        <f ca="1">'Monthwise MDO'!D13</f>
        <v>258853598.5323036</v>
      </c>
      <c r="E14" s="30">
        <f ca="1">'Monthwise MDO'!E13</f>
        <v>82601425</v>
      </c>
      <c r="F14" s="31">
        <f t="shared" ca="1" si="0"/>
        <v>574579970.14237404</v>
      </c>
      <c r="G14" s="30">
        <f ca="1">'Monthwise MDO'!G13</f>
        <v>149798890.74000001</v>
      </c>
      <c r="H14" s="30">
        <f ca="1">'Monthwise MDO'!H13</f>
        <v>43613059.130000018</v>
      </c>
      <c r="I14" s="30">
        <f ca="1">'Monthwise MDO'!I13</f>
        <v>0</v>
      </c>
      <c r="J14" s="31">
        <f t="shared" ca="1" si="1"/>
        <v>193411949.87000003</v>
      </c>
      <c r="K14" s="32">
        <f t="shared" ca="1" si="2"/>
        <v>767991920.01237404</v>
      </c>
      <c r="L14" s="30">
        <f ca="1">'Monthwise MDO'!L13</f>
        <v>0</v>
      </c>
      <c r="M14" s="30">
        <f ca="1">'Monthwise MDO'!M13</f>
        <v>0</v>
      </c>
      <c r="N14" s="30">
        <f ca="1">'Monthwise MDO'!N13</f>
        <v>0</v>
      </c>
      <c r="O14" s="31">
        <f t="shared" ca="1" si="3"/>
        <v>0</v>
      </c>
      <c r="P14" s="30">
        <f ca="1">'Monthwise MDO'!P13</f>
        <v>0</v>
      </c>
      <c r="Q14" s="30">
        <f ca="1">'Monthwise MDO'!Q13</f>
        <v>0</v>
      </c>
      <c r="R14" s="30">
        <f ca="1">'Monthwise MDO'!R13</f>
        <v>0</v>
      </c>
      <c r="S14" s="33">
        <f t="shared" ca="1" si="4"/>
        <v>767991920.01237404</v>
      </c>
      <c r="T14" s="2">
        <f ca="1">'Monthwise MDO'!S13</f>
        <v>767991920.01237404</v>
      </c>
      <c r="U14" s="2">
        <f t="shared" ca="1" si="5"/>
        <v>0</v>
      </c>
      <c r="V14" s="22"/>
      <c r="W14" s="22"/>
    </row>
    <row r="15" spans="2:23" s="23" customFormat="1" ht="35.1" customHeight="1" x14ac:dyDescent="0.3">
      <c r="B15" s="34" t="s">
        <v>28</v>
      </c>
      <c r="C15" s="35">
        <f ca="1">C13+C11</f>
        <v>1338552869.9983985</v>
      </c>
      <c r="D15" s="35">
        <f ca="1">D13+D11</f>
        <v>1263169077.8950341</v>
      </c>
      <c r="E15" s="35">
        <f ca="1">E13+E11</f>
        <v>903772146</v>
      </c>
      <c r="F15" s="36">
        <f t="shared" ca="1" si="0"/>
        <v>3505494093.8934326</v>
      </c>
      <c r="G15" s="35">
        <f ca="1">G13+G11</f>
        <v>1043842562.4021976</v>
      </c>
      <c r="H15" s="35">
        <f ca="1">H13+H11</f>
        <v>1005390104.245965</v>
      </c>
      <c r="I15" s="35">
        <f ca="1">I13+I11</f>
        <v>1110247960.992929</v>
      </c>
      <c r="J15" s="36">
        <f t="shared" ca="1" si="1"/>
        <v>3159480627.6410913</v>
      </c>
      <c r="K15" s="37">
        <f t="shared" ca="1" si="2"/>
        <v>6664974721.534524</v>
      </c>
      <c r="L15" s="35">
        <f ca="1">L13+L11</f>
        <v>1129567079.996345</v>
      </c>
      <c r="M15" s="35">
        <f ca="1">M13+M11</f>
        <v>1162433683.0226917</v>
      </c>
      <c r="N15" s="35">
        <f ca="1">N13+N11</f>
        <v>1533461294.0229287</v>
      </c>
      <c r="O15" s="36">
        <f t="shared" ca="1" si="3"/>
        <v>3825462057.0419655</v>
      </c>
      <c r="P15" s="35">
        <f ca="1">P13+P11</f>
        <v>1532845574.5391057</v>
      </c>
      <c r="Q15" s="35">
        <f ca="1">Q13+Q11</f>
        <v>1503993311.6932898</v>
      </c>
      <c r="R15" s="35">
        <f ca="1">R13+R11</f>
        <v>1538352794.4003582</v>
      </c>
      <c r="S15" s="38">
        <f t="shared" ca="1" si="4"/>
        <v>15065628459.209242</v>
      </c>
      <c r="T15" s="2"/>
      <c r="U15" s="2"/>
      <c r="V15" s="2"/>
      <c r="W15" s="2">
        <f ca="1">S15-V15</f>
        <v>15065628459.209242</v>
      </c>
    </row>
    <row r="16" spans="2:23" s="23" customFormat="1" ht="35.1" customHeight="1" x14ac:dyDescent="0.3">
      <c r="B16" s="39" t="s">
        <v>29</v>
      </c>
      <c r="C16" s="40">
        <f ca="1">C12+C14</f>
        <v>1338552869.9983985</v>
      </c>
      <c r="D16" s="40">
        <f ca="1">D12+D14</f>
        <v>1263169077.8950341</v>
      </c>
      <c r="E16" s="40">
        <f ca="1">E12+E14</f>
        <v>903772146</v>
      </c>
      <c r="F16" s="41">
        <f t="shared" ca="1" si="0"/>
        <v>3505494093.8934326</v>
      </c>
      <c r="G16" s="40">
        <f ca="1">G12+G14</f>
        <v>1199742005.9299998</v>
      </c>
      <c r="H16" s="40">
        <f ca="1">H12+H14</f>
        <v>272299199.68000001</v>
      </c>
      <c r="I16" s="40">
        <f ca="1">I12+I14</f>
        <v>0</v>
      </c>
      <c r="J16" s="41">
        <f t="shared" ca="1" si="1"/>
        <v>1472041205.6099999</v>
      </c>
      <c r="K16" s="42">
        <f t="shared" ca="1" si="2"/>
        <v>4977535299.5034323</v>
      </c>
      <c r="L16" s="40">
        <f ca="1">L12+L14</f>
        <v>0</v>
      </c>
      <c r="M16" s="40">
        <f ca="1">M12+M14</f>
        <v>0</v>
      </c>
      <c r="N16" s="40">
        <f ca="1">N12+N14</f>
        <v>0</v>
      </c>
      <c r="O16" s="41">
        <f t="shared" ca="1" si="3"/>
        <v>0</v>
      </c>
      <c r="P16" s="40">
        <f ca="1">P12+P14</f>
        <v>0</v>
      </c>
      <c r="Q16" s="40">
        <f ca="1">Q12+Q14</f>
        <v>0</v>
      </c>
      <c r="R16" s="40">
        <f ca="1">R12+R14</f>
        <v>0</v>
      </c>
      <c r="S16" s="43">
        <f t="shared" ca="1" si="4"/>
        <v>4977535299.5034323</v>
      </c>
      <c r="T16" s="2">
        <f ca="1">'Monthwise MDO'!S15</f>
        <v>4977535299.5034323</v>
      </c>
      <c r="U16" s="2">
        <f t="shared" ca="1" si="5"/>
        <v>0</v>
      </c>
      <c r="V16" s="22"/>
      <c r="W16" s="22"/>
    </row>
    <row r="17" spans="2:23" ht="30" customHeight="1" x14ac:dyDescent="0.3">
      <c r="H17" s="44"/>
      <c r="I17" s="44"/>
      <c r="L17" s="45"/>
      <c r="M17" s="45"/>
      <c r="N17" s="45"/>
    </row>
    <row r="18" spans="2:23" ht="30" customHeight="1" x14ac:dyDescent="0.3">
      <c r="B18" s="46" t="s">
        <v>30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 spans="2:23" ht="30" customHeight="1" x14ac:dyDescent="0.3">
      <c r="B19" s="8">
        <v>2026</v>
      </c>
      <c r="C19" s="47" t="s">
        <v>2</v>
      </c>
      <c r="D19" s="48" t="s">
        <v>3</v>
      </c>
      <c r="E19" s="49" t="s">
        <v>4</v>
      </c>
      <c r="F19" s="12" t="s">
        <v>5</v>
      </c>
      <c r="G19" s="11" t="s">
        <v>6</v>
      </c>
      <c r="H19" s="10" t="s">
        <v>7</v>
      </c>
      <c r="I19" s="10" t="s">
        <v>8</v>
      </c>
      <c r="J19" s="12" t="s">
        <v>9</v>
      </c>
      <c r="K19" s="12" t="s">
        <v>10</v>
      </c>
      <c r="L19" s="10" t="s">
        <v>11</v>
      </c>
      <c r="M19" s="10" t="s">
        <v>12</v>
      </c>
      <c r="N19" s="10" t="s">
        <v>13</v>
      </c>
      <c r="O19" s="12" t="s">
        <v>14</v>
      </c>
      <c r="P19" s="10" t="s">
        <v>15</v>
      </c>
      <c r="Q19" s="10" t="s">
        <v>16</v>
      </c>
      <c r="R19" s="10" t="s">
        <v>17</v>
      </c>
      <c r="S19" s="13" t="s">
        <v>18</v>
      </c>
    </row>
    <row r="20" spans="2:23" ht="30" customHeight="1" x14ac:dyDescent="0.3">
      <c r="B20" s="14" t="s">
        <v>19</v>
      </c>
      <c r="C20" s="15">
        <v>130213218.32999998</v>
      </c>
      <c r="D20" s="15">
        <v>126625599.39715716</v>
      </c>
      <c r="E20" s="15">
        <v>104982641.27309844</v>
      </c>
      <c r="F20" s="16">
        <f ca="1">SUM(C20:E20)</f>
        <v>361821459.00025558</v>
      </c>
      <c r="G20" s="17">
        <v>125620739.25344005</v>
      </c>
      <c r="H20" s="15">
        <v>113431680.1179401</v>
      </c>
      <c r="I20" s="15">
        <v>140216357.34494004</v>
      </c>
      <c r="J20" s="16">
        <f ca="1">SUM(G20:I20)</f>
        <v>379268776.71632016</v>
      </c>
      <c r="K20" s="18">
        <f ca="1">F20+J20</f>
        <v>741090235.71657574</v>
      </c>
      <c r="L20" s="15">
        <v>174183910.58294007</v>
      </c>
      <c r="M20" s="15">
        <v>140400374.07094005</v>
      </c>
      <c r="N20" s="15">
        <v>150819964.70344001</v>
      </c>
      <c r="O20" s="16">
        <f ca="1">SUM(L20:N20)</f>
        <v>465404249.35732013</v>
      </c>
      <c r="P20" s="15">
        <v>150326901.16444007</v>
      </c>
      <c r="Q20" s="15">
        <v>140812557.87794</v>
      </c>
      <c r="R20" s="15">
        <v>133956195.36894</v>
      </c>
      <c r="S20" s="50">
        <f ca="1">SUM(K20,O20:R20)</f>
        <v>1631590139.4852161</v>
      </c>
      <c r="W20" s="2">
        <f ca="1">S20-V20</f>
        <v>1631590139.4852161</v>
      </c>
    </row>
    <row r="21" spans="2:23" s="23" customFormat="1" ht="30" customHeight="1" x14ac:dyDescent="0.3">
      <c r="B21" s="51" t="s">
        <v>20</v>
      </c>
      <c r="C21" s="21">
        <f ca="1">'Monthwise MDO'!C20</f>
        <v>130213218.32999998</v>
      </c>
      <c r="D21" s="21">
        <f ca="1">'Monthwise MDO'!D20</f>
        <v>126625599.39715716</v>
      </c>
      <c r="E21" s="21">
        <f ca="1">'Monthwise MDO'!E20</f>
        <v>104982641.27309844</v>
      </c>
      <c r="F21" s="16">
        <f t="shared" ref="F21:F29" ca="1" si="9">SUM(C21:E21)</f>
        <v>361821459.00025558</v>
      </c>
      <c r="G21" s="21">
        <f ca="1">'Monthwise MDO'!G20</f>
        <v>122844111.23999998</v>
      </c>
      <c r="H21" s="21">
        <f ca="1">'Monthwise MDO'!H20</f>
        <v>30099655.600000001</v>
      </c>
      <c r="I21" s="21">
        <f ca="1">'Monthwise MDO'!I20</f>
        <v>0</v>
      </c>
      <c r="J21" s="16">
        <f t="shared" ref="J21:J30" ca="1" si="10">SUM(G21:I21)</f>
        <v>152943766.83999997</v>
      </c>
      <c r="K21" s="18">
        <f t="shared" ref="K21:K30" ca="1" si="11">F21+J21</f>
        <v>514765225.84025556</v>
      </c>
      <c r="L21" s="52">
        <f ca="1">'Monthwise MDO'!L20</f>
        <v>0</v>
      </c>
      <c r="M21" s="21">
        <f ca="1">'Monthwise MDO'!M20</f>
        <v>0</v>
      </c>
      <c r="N21" s="21">
        <f ca="1">'Monthwise MDO'!N20</f>
        <v>0</v>
      </c>
      <c r="O21" s="16">
        <f t="shared" ref="O21:O30" ca="1" si="12">SUM(L21:N21)</f>
        <v>0</v>
      </c>
      <c r="P21" s="21">
        <f ca="1">'Monthwise MDO'!P20</f>
        <v>0</v>
      </c>
      <c r="Q21" s="21">
        <f ca="1">Q26-Q23</f>
        <v>0</v>
      </c>
      <c r="R21" s="21">
        <f ca="1">R26-R23</f>
        <v>0</v>
      </c>
      <c r="S21" s="50">
        <f t="shared" ref="S21:S30" ca="1" si="13">SUM(K21,O21:R21)</f>
        <v>514765225.84025556</v>
      </c>
      <c r="T21" s="2">
        <f ca="1">'Monthwise MDO'!S20</f>
        <v>514765225.84025556</v>
      </c>
      <c r="U21" s="2">
        <f t="shared" ca="1" si="5"/>
        <v>0</v>
      </c>
      <c r="V21" s="22"/>
      <c r="W21" s="22"/>
    </row>
    <row r="22" spans="2:23" s="23" customFormat="1" ht="30" customHeight="1" x14ac:dyDescent="0.3">
      <c r="B22" s="14" t="s">
        <v>21</v>
      </c>
      <c r="C22" s="15">
        <v>33012252.670000017</v>
      </c>
      <c r="D22" s="15">
        <v>39134249.164449126</v>
      </c>
      <c r="E22" s="15">
        <v>18539713.519600168</v>
      </c>
      <c r="F22" s="16">
        <f t="shared" ca="1" si="9"/>
        <v>90686215.35404931</v>
      </c>
      <c r="G22" s="17">
        <v>31273365.164488871</v>
      </c>
      <c r="H22" s="15">
        <v>31273365.164488871</v>
      </c>
      <c r="I22" s="15">
        <v>31273365.164488871</v>
      </c>
      <c r="J22" s="16">
        <f t="shared" ca="1" si="10"/>
        <v>93820095.493466616</v>
      </c>
      <c r="K22" s="18">
        <f t="shared" ca="1" si="11"/>
        <v>184506310.84751594</v>
      </c>
      <c r="L22" s="15">
        <v>31273365.164488871</v>
      </c>
      <c r="M22" s="15">
        <v>31273365.164488871</v>
      </c>
      <c r="N22" s="15">
        <v>31273365.164488871</v>
      </c>
      <c r="O22" s="16">
        <f t="shared" ca="1" si="12"/>
        <v>93820095.493466616</v>
      </c>
      <c r="P22" s="15">
        <v>31273365.164488871</v>
      </c>
      <c r="Q22" s="15">
        <v>31273365.164488871</v>
      </c>
      <c r="R22" s="15">
        <v>31273365.164488871</v>
      </c>
      <c r="S22" s="50">
        <f t="shared" ca="1" si="13"/>
        <v>372146501.83444911</v>
      </c>
      <c r="T22" s="2"/>
      <c r="U22" s="2"/>
      <c r="V22" s="2"/>
      <c r="W22" s="2">
        <f ca="1">S22-V22</f>
        <v>372146501.83444911</v>
      </c>
    </row>
    <row r="23" spans="2:23" s="23" customFormat="1" ht="30" customHeight="1" x14ac:dyDescent="0.3">
      <c r="B23" s="20" t="s">
        <v>22</v>
      </c>
      <c r="C23" s="52">
        <v>24172122.874234121</v>
      </c>
      <c r="D23" s="52">
        <v>26102884.91650999</v>
      </c>
      <c r="E23" s="52">
        <v>12451064.515714819</v>
      </c>
      <c r="F23" s="16">
        <f t="shared" ca="1" si="9"/>
        <v>62726072.306458928</v>
      </c>
      <c r="G23" s="52">
        <v>22073632.830399998</v>
      </c>
      <c r="H23" s="52">
        <v>3804997.3779999996</v>
      </c>
      <c r="I23" s="52">
        <v>0</v>
      </c>
      <c r="J23" s="16">
        <f t="shared" ca="1" si="10"/>
        <v>25878630.208399996</v>
      </c>
      <c r="K23" s="18">
        <f t="shared" ca="1" si="11"/>
        <v>88604702.514858931</v>
      </c>
      <c r="L23" s="52">
        <v>0</v>
      </c>
      <c r="M23" s="52">
        <v>0</v>
      </c>
      <c r="N23" s="52">
        <v>0</v>
      </c>
      <c r="O23" s="16">
        <f t="shared" ca="1" si="12"/>
        <v>0</v>
      </c>
      <c r="P23" s="52">
        <v>0</v>
      </c>
      <c r="Q23" s="52">
        <v>0</v>
      </c>
      <c r="R23" s="52">
        <v>0</v>
      </c>
      <c r="S23" s="50">
        <f t="shared" ca="1" si="13"/>
        <v>88604702.514858931</v>
      </c>
      <c r="T23" s="2">
        <f ca="1">'Monthwise MDO'!S22</f>
        <v>135003221.86404932</v>
      </c>
      <c r="U23" s="2">
        <f ca="1">S23+S24-T23</f>
        <v>0</v>
      </c>
      <c r="V23" s="22"/>
      <c r="W23" s="22"/>
    </row>
    <row r="24" spans="2:23" s="23" customFormat="1" ht="30" customHeight="1" x14ac:dyDescent="0.3">
      <c r="B24" s="20" t="s">
        <v>23</v>
      </c>
      <c r="C24" s="52">
        <v>8840129.7957658973</v>
      </c>
      <c r="D24" s="52">
        <v>13031364.24793914</v>
      </c>
      <c r="E24" s="52">
        <v>6088649.0038853511</v>
      </c>
      <c r="F24" s="16">
        <f t="shared" ca="1" si="9"/>
        <v>27960143.04759039</v>
      </c>
      <c r="G24" s="52">
        <v>17525177.6796</v>
      </c>
      <c r="H24" s="52">
        <v>913198.62199999997</v>
      </c>
      <c r="I24" s="52">
        <v>0</v>
      </c>
      <c r="J24" s="16">
        <f t="shared" ca="1" si="10"/>
        <v>18438376.301600002</v>
      </c>
      <c r="K24" s="18">
        <f t="shared" ca="1" si="11"/>
        <v>46398519.349190392</v>
      </c>
      <c r="L24" s="52">
        <v>0</v>
      </c>
      <c r="M24" s="52">
        <v>0</v>
      </c>
      <c r="N24" s="52">
        <v>0</v>
      </c>
      <c r="O24" s="16">
        <f t="shared" ca="1" si="12"/>
        <v>0</v>
      </c>
      <c r="P24" s="52">
        <v>0</v>
      </c>
      <c r="Q24" s="52">
        <v>0</v>
      </c>
      <c r="R24" s="52">
        <v>0</v>
      </c>
      <c r="S24" s="50">
        <f t="shared" ca="1" si="13"/>
        <v>46398519.349190392</v>
      </c>
      <c r="T24" s="2"/>
      <c r="U24" s="2"/>
      <c r="V24" s="22"/>
      <c r="W24" s="22"/>
    </row>
    <row r="25" spans="2:23" s="23" customFormat="1" ht="30" customHeight="1" x14ac:dyDescent="0.3">
      <c r="B25" s="14" t="s">
        <v>24</v>
      </c>
      <c r="C25" s="53">
        <f ca="1">C20+C22</f>
        <v>163225471</v>
      </c>
      <c r="D25" s="53">
        <f t="shared" ref="D25:E25" ca="1" si="14">D20+D22</f>
        <v>165759848.56160629</v>
      </c>
      <c r="E25" s="53">
        <f t="shared" ca="1" si="14"/>
        <v>123522354.79269861</v>
      </c>
      <c r="F25" s="16">
        <f t="shared" ca="1" si="9"/>
        <v>452507674.35430491</v>
      </c>
      <c r="G25" s="53">
        <f ca="1">G20+G22</f>
        <v>156894104.41792893</v>
      </c>
      <c r="H25" s="53">
        <f t="shared" ref="H25:I25" ca="1" si="15">H20+H22</f>
        <v>144705045.28242898</v>
      </c>
      <c r="I25" s="53">
        <f t="shared" ca="1" si="15"/>
        <v>171489722.50942892</v>
      </c>
      <c r="J25" s="16">
        <f t="shared" ca="1" si="10"/>
        <v>473088872.20978683</v>
      </c>
      <c r="K25" s="18">
        <f t="shared" ca="1" si="11"/>
        <v>925596546.56409168</v>
      </c>
      <c r="L25" s="54">
        <f ca="1">SUM(L20,L22)</f>
        <v>205457275.74742895</v>
      </c>
      <c r="M25" s="54">
        <f ca="1">SUM(M20,M22)</f>
        <v>171673739.23542893</v>
      </c>
      <c r="N25" s="54">
        <f ca="1">SUM(N20,N22)</f>
        <v>182093329.86792889</v>
      </c>
      <c r="O25" s="16">
        <f t="shared" ca="1" si="12"/>
        <v>559224344.85078681</v>
      </c>
      <c r="P25" s="54">
        <f t="shared" ref="P25:R25" ca="1" si="16">SUM(P20,P22)</f>
        <v>181600266.32892895</v>
      </c>
      <c r="Q25" s="54">
        <f t="shared" ca="1" si="16"/>
        <v>172085923.04242888</v>
      </c>
      <c r="R25" s="54">
        <f t="shared" ca="1" si="16"/>
        <v>165229560.53342888</v>
      </c>
      <c r="S25" s="50">
        <f t="shared" ca="1" si="13"/>
        <v>2003736641.3196652</v>
      </c>
      <c r="T25" s="2"/>
      <c r="U25" s="2"/>
      <c r="V25" s="2"/>
      <c r="W25" s="2">
        <f ca="1">S25-V25</f>
        <v>2003736641.3196652</v>
      </c>
    </row>
    <row r="26" spans="2:23" s="23" customFormat="1" ht="30" customHeight="1" x14ac:dyDescent="0.3">
      <c r="B26" s="55" t="s">
        <v>25</v>
      </c>
      <c r="C26" s="56">
        <f ca="1">'Monthwise MDO'!C24</f>
        <v>163225471</v>
      </c>
      <c r="D26" s="56">
        <f ca="1">'Monthwise MDO'!D24</f>
        <v>165759848.56160629</v>
      </c>
      <c r="E26" s="56">
        <f ca="1">'Monthwise MDO'!E24</f>
        <v>123522354.79269861</v>
      </c>
      <c r="F26" s="16">
        <f t="shared" ca="1" si="9"/>
        <v>452507674.35430491</v>
      </c>
      <c r="G26" s="56">
        <f ca="1">'Monthwise MDO'!G24</f>
        <v>162442921.74999997</v>
      </c>
      <c r="H26" s="56">
        <f ca="1">'Monthwise MDO'!H24</f>
        <v>34817851.600000001</v>
      </c>
      <c r="I26" s="56">
        <f ca="1">'Monthwise MDO'!I24</f>
        <v>0</v>
      </c>
      <c r="J26" s="16">
        <f t="shared" ca="1" si="10"/>
        <v>197260773.34999996</v>
      </c>
      <c r="K26" s="18">
        <f t="shared" ca="1" si="11"/>
        <v>649768447.70430493</v>
      </c>
      <c r="L26" s="56">
        <f ca="1">'Monthwise MDO'!L24</f>
        <v>0</v>
      </c>
      <c r="M26" s="56">
        <f ca="1">'Monthwise MDO'!M24</f>
        <v>0</v>
      </c>
      <c r="N26" s="56">
        <f ca="1">'Monthwise MDO'!N24</f>
        <v>0</v>
      </c>
      <c r="O26" s="16">
        <f t="shared" ca="1" si="12"/>
        <v>0</v>
      </c>
      <c r="P26" s="56">
        <f ca="1">'Monthwise MDO'!P24</f>
        <v>0</v>
      </c>
      <c r="Q26" s="56">
        <f ca="1">'Monthwise MDO'!Q24</f>
        <v>0</v>
      </c>
      <c r="R26" s="56">
        <f ca="1">'Monthwise MDO'!R24</f>
        <v>0</v>
      </c>
      <c r="S26" s="50">
        <f t="shared" ca="1" si="13"/>
        <v>649768447.70430493</v>
      </c>
      <c r="T26" s="2">
        <f ca="1">'Monthwise MDO'!S24</f>
        <v>649768447.70430493</v>
      </c>
      <c r="U26" s="2">
        <f t="shared" ca="1" si="5"/>
        <v>0</v>
      </c>
      <c r="V26" s="22"/>
      <c r="W26" s="22"/>
    </row>
    <row r="27" spans="2:23" s="23" customFormat="1" ht="30" customHeight="1" x14ac:dyDescent="0.3">
      <c r="B27" s="14" t="s">
        <v>26</v>
      </c>
      <c r="C27" s="54">
        <v>30463929</v>
      </c>
      <c r="D27" s="54">
        <v>29508593.96723441</v>
      </c>
      <c r="E27" s="54">
        <v>11304706.524239207</v>
      </c>
      <c r="F27" s="16">
        <f t="shared" ca="1" si="9"/>
        <v>71277229.491473615</v>
      </c>
      <c r="G27" s="57">
        <v>12500000</v>
      </c>
      <c r="H27" s="54">
        <v>12500000</v>
      </c>
      <c r="I27" s="54">
        <v>12500000</v>
      </c>
      <c r="J27" s="16">
        <f t="shared" ca="1" si="10"/>
        <v>37500000</v>
      </c>
      <c r="K27" s="18">
        <f t="shared" ca="1" si="11"/>
        <v>108777229.49147362</v>
      </c>
      <c r="L27" s="54">
        <v>12500000</v>
      </c>
      <c r="M27" s="54">
        <v>12500000</v>
      </c>
      <c r="N27" s="54">
        <v>12500000</v>
      </c>
      <c r="O27" s="16">
        <f t="shared" ca="1" si="12"/>
        <v>37500000</v>
      </c>
      <c r="P27" s="54">
        <v>13750000</v>
      </c>
      <c r="Q27" s="54">
        <v>13750000</v>
      </c>
      <c r="R27" s="54">
        <v>13750000</v>
      </c>
      <c r="S27" s="50">
        <f ca="1">SUM(K27,O27:R27)</f>
        <v>187527229.49147362</v>
      </c>
      <c r="T27" s="2"/>
      <c r="U27" s="2"/>
      <c r="V27" s="2"/>
      <c r="W27" s="2">
        <f ca="1">S27-V27</f>
        <v>187527229.49147362</v>
      </c>
    </row>
    <row r="28" spans="2:23" s="23" customFormat="1" ht="30" customHeight="1" x14ac:dyDescent="0.3">
      <c r="B28" s="58" t="s">
        <v>27</v>
      </c>
      <c r="C28" s="30">
        <f ca="1">'Monthwise MDO'!C26</f>
        <v>30463929</v>
      </c>
      <c r="D28" s="30">
        <f ca="1">'Monthwise MDO'!D26</f>
        <v>29508593.96723441</v>
      </c>
      <c r="E28" s="30">
        <f ca="1">'Monthwise MDO'!E26</f>
        <v>11304706.524239207</v>
      </c>
      <c r="F28" s="31">
        <f t="shared" ca="1" si="9"/>
        <v>71277229.491473615</v>
      </c>
      <c r="G28" s="30">
        <f ca="1">'Monthwise MDO'!G26</f>
        <v>318807.83000001498</v>
      </c>
      <c r="H28" s="30">
        <f ca="1">'Monthwise MDO'!H26</f>
        <v>92.999999999068677</v>
      </c>
      <c r="I28" s="56">
        <f ca="1">'Monthwise MDO'!I26</f>
        <v>0</v>
      </c>
      <c r="J28" s="31">
        <f t="shared" ca="1" si="10"/>
        <v>318900.83000001404</v>
      </c>
      <c r="K28" s="32">
        <f t="shared" ca="1" si="11"/>
        <v>71596130.321473628</v>
      </c>
      <c r="L28" s="30">
        <f ca="1">'Monthwise MDO'!L26</f>
        <v>0</v>
      </c>
      <c r="M28" s="30">
        <f ca="1">'Monthwise MDO'!M26</f>
        <v>0</v>
      </c>
      <c r="N28" s="30">
        <f ca="1">'Monthwise MDO'!N26</f>
        <v>0</v>
      </c>
      <c r="O28" s="31">
        <f t="shared" ca="1" si="12"/>
        <v>0</v>
      </c>
      <c r="P28" s="30">
        <f ca="1">'Monthwise MDO'!P26</f>
        <v>0</v>
      </c>
      <c r="Q28" s="30">
        <f ca="1">'Monthwise MDO'!Q26</f>
        <v>0</v>
      </c>
      <c r="R28" s="30">
        <f ca="1">'Monthwise MDO'!R26</f>
        <v>0</v>
      </c>
      <c r="S28" s="59">
        <f t="shared" ca="1" si="13"/>
        <v>71596130.321473628</v>
      </c>
      <c r="T28" s="2">
        <f ca="1">'Monthwise MDO'!S26</f>
        <v>71596130.321473628</v>
      </c>
      <c r="U28" s="2">
        <f t="shared" ca="1" si="5"/>
        <v>0</v>
      </c>
      <c r="V28" s="22"/>
      <c r="W28" s="22"/>
    </row>
    <row r="29" spans="2:23" s="23" customFormat="1" ht="30" customHeight="1" x14ac:dyDescent="0.3">
      <c r="B29" s="34" t="s">
        <v>28</v>
      </c>
      <c r="C29" s="35">
        <f t="shared" ref="C29:E30" ca="1" si="17">C25+C27</f>
        <v>193689400</v>
      </c>
      <c r="D29" s="35">
        <f t="shared" ca="1" si="17"/>
        <v>195268442.52884069</v>
      </c>
      <c r="E29" s="35">
        <f t="shared" ca="1" si="17"/>
        <v>134827061.3169378</v>
      </c>
      <c r="F29" s="36">
        <f t="shared" ca="1" si="9"/>
        <v>523784903.84577847</v>
      </c>
      <c r="G29" s="35">
        <f t="shared" ref="G29:I30" ca="1" si="18">G25+G27</f>
        <v>169394104.41792893</v>
      </c>
      <c r="H29" s="35">
        <f ca="1">H25+H27</f>
        <v>157205045.28242898</v>
      </c>
      <c r="I29" s="35">
        <f ca="1">I25+I27</f>
        <v>183989722.50942892</v>
      </c>
      <c r="J29" s="36">
        <f t="shared" ca="1" si="10"/>
        <v>510588872.20978683</v>
      </c>
      <c r="K29" s="37">
        <f t="shared" ca="1" si="11"/>
        <v>1034373776.0555654</v>
      </c>
      <c r="L29" s="35">
        <f ca="1">L25+L27</f>
        <v>217957275.74742895</v>
      </c>
      <c r="M29" s="35">
        <f ca="1">M25+M27</f>
        <v>184173739.23542893</v>
      </c>
      <c r="N29" s="35">
        <f ca="1">N25+N27</f>
        <v>194593329.86792889</v>
      </c>
      <c r="O29" s="36">
        <f t="shared" ca="1" si="12"/>
        <v>596724344.85078681</v>
      </c>
      <c r="P29" s="35">
        <f ca="1">P25+P27</f>
        <v>195350266.32892895</v>
      </c>
      <c r="Q29" s="35">
        <f ca="1">Q25+Q27</f>
        <v>185835923.04242888</v>
      </c>
      <c r="R29" s="35">
        <f ca="1">R25+R27</f>
        <v>178979560.53342888</v>
      </c>
      <c r="S29" s="60">
        <f t="shared" ca="1" si="13"/>
        <v>2191263870.8111386</v>
      </c>
      <c r="T29" s="2"/>
      <c r="U29" s="2"/>
      <c r="V29" s="2"/>
      <c r="W29" s="2">
        <f ca="1">S29-V29</f>
        <v>2191263870.8111386</v>
      </c>
    </row>
    <row r="30" spans="2:23" s="23" customFormat="1" ht="30" customHeight="1" x14ac:dyDescent="0.3">
      <c r="B30" s="61" t="s">
        <v>29</v>
      </c>
      <c r="C30" s="62">
        <f t="shared" ca="1" si="17"/>
        <v>193689400</v>
      </c>
      <c r="D30" s="62">
        <f t="shared" ca="1" si="17"/>
        <v>195268442.52884069</v>
      </c>
      <c r="E30" s="62">
        <f t="shared" ca="1" si="17"/>
        <v>134827061.3169378</v>
      </c>
      <c r="F30" s="41">
        <f ca="1">SUM(C30:E30)</f>
        <v>523784903.84577847</v>
      </c>
      <c r="G30" s="62">
        <f t="shared" ca="1" si="18"/>
        <v>162761729.57999998</v>
      </c>
      <c r="H30" s="62">
        <f t="shared" ca="1" si="18"/>
        <v>34817944.600000001</v>
      </c>
      <c r="I30" s="62">
        <f t="shared" ca="1" si="18"/>
        <v>0</v>
      </c>
      <c r="J30" s="41">
        <f t="shared" ca="1" si="10"/>
        <v>197579674.17999998</v>
      </c>
      <c r="K30" s="42">
        <f t="shared" ca="1" si="11"/>
        <v>721364578.02577841</v>
      </c>
      <c r="L30" s="62">
        <f t="shared" ref="L30:N30" ca="1" si="19">L26+L28</f>
        <v>0</v>
      </c>
      <c r="M30" s="62">
        <f t="shared" ca="1" si="19"/>
        <v>0</v>
      </c>
      <c r="N30" s="62">
        <f t="shared" ca="1" si="19"/>
        <v>0</v>
      </c>
      <c r="O30" s="41">
        <f t="shared" ca="1" si="12"/>
        <v>0</v>
      </c>
      <c r="P30" s="62">
        <f t="shared" ref="P30:R30" ca="1" si="20">P26+P28</f>
        <v>0</v>
      </c>
      <c r="Q30" s="62">
        <f t="shared" ca="1" si="20"/>
        <v>0</v>
      </c>
      <c r="R30" s="62">
        <f t="shared" ca="1" si="20"/>
        <v>0</v>
      </c>
      <c r="S30" s="63">
        <f t="shared" ca="1" si="13"/>
        <v>721364578.02577841</v>
      </c>
      <c r="T30" s="2">
        <f ca="1">'Monthwise MDO'!S28</f>
        <v>721364578.02577841</v>
      </c>
      <c r="U30" s="2">
        <f t="shared" ca="1" si="5"/>
        <v>0</v>
      </c>
      <c r="V30" s="22"/>
      <c r="W30" s="22"/>
    </row>
    <row r="32" spans="2:23" ht="30" customHeight="1" x14ac:dyDescent="0.3">
      <c r="B32" s="46" t="s">
        <v>31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</row>
    <row r="33" spans="2:23" ht="30" customHeight="1" x14ac:dyDescent="0.3">
      <c r="B33" s="8">
        <v>2026</v>
      </c>
      <c r="C33" s="47" t="s">
        <v>2</v>
      </c>
      <c r="D33" s="48" t="s">
        <v>3</v>
      </c>
      <c r="E33" s="49" t="s">
        <v>4</v>
      </c>
      <c r="F33" s="12" t="s">
        <v>5</v>
      </c>
      <c r="G33" s="11" t="s">
        <v>6</v>
      </c>
      <c r="H33" s="10" t="s">
        <v>7</v>
      </c>
      <c r="I33" s="10" t="s">
        <v>8</v>
      </c>
      <c r="J33" s="12" t="s">
        <v>9</v>
      </c>
      <c r="K33" s="12" t="s">
        <v>10</v>
      </c>
      <c r="L33" s="10" t="s">
        <v>11</v>
      </c>
      <c r="M33" s="10" t="s">
        <v>12</v>
      </c>
      <c r="N33" s="10" t="s">
        <v>13</v>
      </c>
      <c r="O33" s="12" t="s">
        <v>14</v>
      </c>
      <c r="P33" s="10" t="s">
        <v>15</v>
      </c>
      <c r="Q33" s="10" t="s">
        <v>16</v>
      </c>
      <c r="R33" s="10" t="s">
        <v>17</v>
      </c>
      <c r="S33" s="13" t="s">
        <v>18</v>
      </c>
    </row>
    <row r="34" spans="2:23" ht="30" customHeight="1" x14ac:dyDescent="0.3">
      <c r="B34" s="14" t="s">
        <v>19</v>
      </c>
      <c r="C34" s="64">
        <f ca="1">C6-C20-C48</f>
        <v>656599465.80435717</v>
      </c>
      <c r="D34" s="65">
        <f t="shared" ref="D34:E34" ca="1" si="21">D6-D20-D48</f>
        <v>551595686.23030567</v>
      </c>
      <c r="E34" s="65">
        <f t="shared" ca="1" si="21"/>
        <v>517139698.2073015</v>
      </c>
      <c r="F34" s="66">
        <f ca="1">SUM(C34:E34)</f>
        <v>1725334850.2419643</v>
      </c>
      <c r="G34" s="67">
        <v>543842638.05626869</v>
      </c>
      <c r="H34" s="65">
        <v>510924511.24703598</v>
      </c>
      <c r="I34" s="65">
        <v>585000000</v>
      </c>
      <c r="J34" s="66">
        <f ca="1">SUM(G34:I34)</f>
        <v>1639767149.3033047</v>
      </c>
      <c r="K34" s="66">
        <f ca="1">F34+J34</f>
        <v>3365101999.545269</v>
      </c>
      <c r="L34" s="65">
        <v>577077458.45341599</v>
      </c>
      <c r="M34" s="65">
        <v>644627243.82926297</v>
      </c>
      <c r="N34" s="65">
        <v>1007808193.1845</v>
      </c>
      <c r="O34" s="66">
        <f ca="1">SUM(L34:N34)</f>
        <v>2229512895.4671793</v>
      </c>
      <c r="P34" s="65">
        <v>975175367.76117694</v>
      </c>
      <c r="Q34" s="65">
        <v>960603123.74186099</v>
      </c>
      <c r="R34" s="65">
        <v>1006039809.5264293</v>
      </c>
      <c r="S34" s="50">
        <f ca="1">SUM(K34,O34:R34)</f>
        <v>8536433196.0419159</v>
      </c>
      <c r="W34" s="2">
        <f ca="1">S34-V34</f>
        <v>8536433196.0419159</v>
      </c>
    </row>
    <row r="35" spans="2:23" s="23" customFormat="1" ht="30" customHeight="1" x14ac:dyDescent="0.3">
      <c r="B35" s="51" t="s">
        <v>20</v>
      </c>
      <c r="C35" s="68">
        <f ca="1">'Monthwise MDO'!C33</f>
        <v>656599465.80435717</v>
      </c>
      <c r="D35" s="69">
        <f ca="1">'Monthwise MDO'!D33</f>
        <v>551595686.23030567</v>
      </c>
      <c r="E35" s="69">
        <f ca="1">'Monthwise MDO'!E33</f>
        <v>517139698.2073015</v>
      </c>
      <c r="F35" s="66">
        <f ca="1">SUM(C35:E35)</f>
        <v>1725334850.2419643</v>
      </c>
      <c r="G35" s="69">
        <f ca="1">'Monthwise MDO'!G33</f>
        <v>644022536.68999994</v>
      </c>
      <c r="H35" s="69">
        <f ca="1">'Monthwise MDO'!H33</f>
        <v>139826281.06</v>
      </c>
      <c r="I35" s="69">
        <f ca="1">'Monthwise MDO'!I33</f>
        <v>0</v>
      </c>
      <c r="J35" s="66">
        <f t="shared" ref="J35:J44" ca="1" si="22">SUM(G35:I35)</f>
        <v>783848817.75</v>
      </c>
      <c r="K35" s="66">
        <f t="shared" ref="K35:K44" ca="1" si="23">F35+J35</f>
        <v>2509183667.9919643</v>
      </c>
      <c r="L35" s="69">
        <f ca="1">'Monthwise MDO'!L33</f>
        <v>0</v>
      </c>
      <c r="M35" s="69">
        <f ca="1">'Monthwise MDO'!M33</f>
        <v>0</v>
      </c>
      <c r="N35" s="69">
        <f ca="1">'Monthwise MDO'!N33</f>
        <v>0</v>
      </c>
      <c r="O35" s="66">
        <f ca="1">SUM(L35:N35)</f>
        <v>0</v>
      </c>
      <c r="P35" s="69">
        <f ca="1">'Monthwise MDO'!P33</f>
        <v>0</v>
      </c>
      <c r="Q35" s="69">
        <f ca="1">'Monthwise MDO'!Q33</f>
        <v>0</v>
      </c>
      <c r="R35" s="69">
        <f ca="1">'Monthwise MDO'!R33</f>
        <v>0</v>
      </c>
      <c r="S35" s="50">
        <f t="shared" ref="S35:S44" ca="1" si="24">SUM(K35,O35:R35)</f>
        <v>2509183667.9919643</v>
      </c>
      <c r="T35" s="2">
        <f ca="1">'Monthwise MDO'!S33</f>
        <v>2509183667.9919643</v>
      </c>
      <c r="U35" s="2">
        <f t="shared" ca="1" si="5"/>
        <v>0</v>
      </c>
      <c r="V35" s="22"/>
      <c r="W35" s="22"/>
    </row>
    <row r="36" spans="2:23" s="23" customFormat="1" ht="30" customHeight="1" x14ac:dyDescent="0.3">
      <c r="B36" s="14" t="s">
        <v>21</v>
      </c>
      <c r="C36" s="64">
        <f t="shared" ref="C36:E38" ca="1" si="25">C8-C22-C50</f>
        <v>270303916.5839709</v>
      </c>
      <c r="D36" s="65">
        <f t="shared" ca="1" si="25"/>
        <v>270134206.57081848</v>
      </c>
      <c r="E36" s="65">
        <f t="shared" ca="1" si="25"/>
        <v>170478768.99999994</v>
      </c>
      <c r="F36" s="66">
        <f t="shared" ref="F36:F44" ca="1" si="26">SUM(C36:E36)</f>
        <v>710916892.15478945</v>
      </c>
      <c r="G36" s="67">
        <v>180000000</v>
      </c>
      <c r="H36" s="65">
        <v>180000000</v>
      </c>
      <c r="I36" s="65">
        <v>180000000</v>
      </c>
      <c r="J36" s="66">
        <f t="shared" ca="1" si="22"/>
        <v>540000000</v>
      </c>
      <c r="K36" s="66">
        <f t="shared" ca="1" si="23"/>
        <v>1250916892.1547894</v>
      </c>
      <c r="L36" s="65">
        <v>180000000</v>
      </c>
      <c r="M36" s="65">
        <v>180000000</v>
      </c>
      <c r="N36" s="65">
        <v>180000000</v>
      </c>
      <c r="O36" s="66">
        <f t="shared" ref="O36:O44" ca="1" si="27">SUM(L36:N36)</f>
        <v>540000000</v>
      </c>
      <c r="P36" s="65">
        <v>180000000</v>
      </c>
      <c r="Q36" s="65">
        <v>180000000</v>
      </c>
      <c r="R36" s="65">
        <v>180000000</v>
      </c>
      <c r="S36" s="50">
        <f t="shared" ca="1" si="24"/>
        <v>2330916892.1547894</v>
      </c>
      <c r="T36" s="2"/>
      <c r="U36" s="2"/>
      <c r="V36" s="2"/>
      <c r="W36" s="2">
        <f ca="1">S36-V36</f>
        <v>2330916892.1547894</v>
      </c>
    </row>
    <row r="37" spans="2:23" s="23" customFormat="1" ht="30" customHeight="1" x14ac:dyDescent="0.3">
      <c r="B37" s="20" t="s">
        <v>22</v>
      </c>
      <c r="C37" s="68">
        <f ca="1">C9-C23-C51</f>
        <v>201190612.13150778</v>
      </c>
      <c r="D37" s="69">
        <f t="shared" ca="1" si="25"/>
        <v>204792013.82196626</v>
      </c>
      <c r="E37" s="69">
        <f t="shared" ca="1" si="25"/>
        <v>131263283.48060142</v>
      </c>
      <c r="F37" s="66">
        <f t="shared" ca="1" si="26"/>
        <v>537245909.43407547</v>
      </c>
      <c r="G37" s="69">
        <f ca="1">G9-G23-G51</f>
        <v>177666385.43959993</v>
      </c>
      <c r="H37" s="69">
        <f ca="1">H9-H23-H51-H78</f>
        <v>35699156.576000012</v>
      </c>
      <c r="I37" s="69">
        <f t="shared" ref="I37:J38" ca="1" si="28">I9-I23-I51</f>
        <v>0</v>
      </c>
      <c r="J37" s="66">
        <f t="shared" ca="1" si="22"/>
        <v>214344654.81559995</v>
      </c>
      <c r="K37" s="66">
        <f t="shared" ca="1" si="23"/>
        <v>751590564.24967539</v>
      </c>
      <c r="L37" s="69">
        <f t="shared" ref="L37:N38" ca="1" si="29">L9-L23-L51</f>
        <v>0</v>
      </c>
      <c r="M37" s="69">
        <f t="shared" ca="1" si="29"/>
        <v>0</v>
      </c>
      <c r="N37" s="69">
        <f t="shared" ca="1" si="29"/>
        <v>0</v>
      </c>
      <c r="O37" s="66">
        <f t="shared" ca="1" si="27"/>
        <v>0</v>
      </c>
      <c r="P37" s="69">
        <f t="shared" ref="P37:R38" ca="1" si="30">P9-P23-P51</f>
        <v>0</v>
      </c>
      <c r="Q37" s="69">
        <f t="shared" ca="1" si="30"/>
        <v>0</v>
      </c>
      <c r="R37" s="69">
        <f t="shared" ca="1" si="30"/>
        <v>0</v>
      </c>
      <c r="S37" s="50">
        <f t="shared" ca="1" si="24"/>
        <v>751590564.24967539</v>
      </c>
      <c r="T37" s="2">
        <f ca="1">'Monthwise MDO'!S35</f>
        <v>979399531.69478941</v>
      </c>
      <c r="U37" s="2">
        <f ca="1">S37+S38-T37</f>
        <v>23800214.959999919</v>
      </c>
      <c r="V37" s="22"/>
      <c r="W37" s="22"/>
    </row>
    <row r="38" spans="2:23" s="23" customFormat="1" ht="30" customHeight="1" x14ac:dyDescent="0.3">
      <c r="B38" s="20" t="s">
        <v>23</v>
      </c>
      <c r="C38" s="68">
        <f ca="1">C10-C24-C52</f>
        <v>69113304.45246315</v>
      </c>
      <c r="D38" s="69">
        <f t="shared" ca="1" si="25"/>
        <v>65342192.748852268</v>
      </c>
      <c r="E38" s="69">
        <f t="shared" ca="1" si="25"/>
        <v>39215485.519398488</v>
      </c>
      <c r="F38" s="66">
        <f t="shared" ca="1" si="26"/>
        <v>173670982.72071388</v>
      </c>
      <c r="G38" s="69">
        <f ca="1">G10-G24-G52</f>
        <v>66677090.830400042</v>
      </c>
      <c r="H38" s="69">
        <f ca="1">H10-H24-H52-H79</f>
        <v>11016330.654000005</v>
      </c>
      <c r="I38" s="69">
        <f t="shared" ca="1" si="28"/>
        <v>0</v>
      </c>
      <c r="J38" s="66">
        <f t="shared" ca="1" si="22"/>
        <v>77938199.684400052</v>
      </c>
      <c r="K38" s="66">
        <f t="shared" ca="1" si="23"/>
        <v>251609182.40511394</v>
      </c>
      <c r="L38" s="69">
        <f t="shared" ca="1" si="29"/>
        <v>0</v>
      </c>
      <c r="M38" s="69">
        <f t="shared" ca="1" si="29"/>
        <v>0</v>
      </c>
      <c r="N38" s="69">
        <f t="shared" ca="1" si="29"/>
        <v>0</v>
      </c>
      <c r="O38" s="66">
        <f t="shared" ca="1" si="27"/>
        <v>0</v>
      </c>
      <c r="P38" s="69">
        <f t="shared" ca="1" si="30"/>
        <v>0</v>
      </c>
      <c r="Q38" s="69">
        <f t="shared" ca="1" si="30"/>
        <v>0</v>
      </c>
      <c r="R38" s="69">
        <f t="shared" ca="1" si="30"/>
        <v>0</v>
      </c>
      <c r="S38" s="50">
        <f t="shared" ca="1" si="24"/>
        <v>251609182.40511394</v>
      </c>
      <c r="T38" s="2"/>
      <c r="U38" s="2"/>
      <c r="V38" s="22"/>
      <c r="W38" s="22"/>
    </row>
    <row r="39" spans="2:23" s="23" customFormat="1" ht="30" customHeight="1" x14ac:dyDescent="0.3">
      <c r="B39" s="14" t="s">
        <v>24</v>
      </c>
      <c r="C39" s="53">
        <f ca="1">C34+C36</f>
        <v>926903382.38832808</v>
      </c>
      <c r="D39" s="70">
        <f t="shared" ref="D39:E39" ca="1" si="31">D34+D36</f>
        <v>821729892.8011241</v>
      </c>
      <c r="E39" s="70">
        <f t="shared" ca="1" si="31"/>
        <v>687618467.20730138</v>
      </c>
      <c r="F39" s="66">
        <f t="shared" ca="1" si="26"/>
        <v>2436251742.3967533</v>
      </c>
      <c r="G39" s="70">
        <f t="shared" ref="G39" ca="1" si="32">G34+G36</f>
        <v>723842638.05626869</v>
      </c>
      <c r="H39" s="70">
        <f ca="1">H34+H36</f>
        <v>690924511.24703598</v>
      </c>
      <c r="I39" s="70">
        <f ca="1">I34+I36</f>
        <v>765000000</v>
      </c>
      <c r="J39" s="66">
        <f t="shared" ca="1" si="22"/>
        <v>2179767149.3033047</v>
      </c>
      <c r="K39" s="66">
        <f t="shared" ca="1" si="23"/>
        <v>4616018891.700058</v>
      </c>
      <c r="L39" s="70">
        <f t="shared" ref="L39:N39" ca="1" si="33">SUM(L34,L36)</f>
        <v>757077458.45341599</v>
      </c>
      <c r="M39" s="54">
        <f t="shared" ca="1" si="33"/>
        <v>824627243.82926297</v>
      </c>
      <c r="N39" s="54">
        <f t="shared" ca="1" si="33"/>
        <v>1187808193.1845</v>
      </c>
      <c r="O39" s="66">
        <f t="shared" ca="1" si="27"/>
        <v>2769512895.4671793</v>
      </c>
      <c r="P39" s="54">
        <f t="shared" ref="P39:R39" ca="1" si="34">SUM(P34,P36)</f>
        <v>1155175367.7611771</v>
      </c>
      <c r="Q39" s="54">
        <f t="shared" ca="1" si="34"/>
        <v>1140603123.7418609</v>
      </c>
      <c r="R39" s="54">
        <f t="shared" ca="1" si="34"/>
        <v>1186039809.5264292</v>
      </c>
      <c r="S39" s="50">
        <f t="shared" ca="1" si="24"/>
        <v>10867350088.196705</v>
      </c>
      <c r="T39" s="2"/>
      <c r="U39" s="2"/>
      <c r="V39" s="2"/>
      <c r="W39" s="2">
        <f ca="1">S39-V39</f>
        <v>10867350088.196705</v>
      </c>
    </row>
    <row r="40" spans="2:23" s="23" customFormat="1" ht="30" customHeight="1" x14ac:dyDescent="0.3">
      <c r="B40" s="55" t="s">
        <v>25</v>
      </c>
      <c r="C40" s="71">
        <f ca="1">'Monthwise MDO'!C37</f>
        <v>926903382.38832808</v>
      </c>
      <c r="D40" s="72">
        <f ca="1">'Monthwise MDO'!D37</f>
        <v>821729892.80112422</v>
      </c>
      <c r="E40" s="72">
        <f ca="1">'Monthwise MDO'!E37</f>
        <v>687618467.20730138</v>
      </c>
      <c r="F40" s="66">
        <f t="shared" ca="1" si="26"/>
        <v>2436251742.3967533</v>
      </c>
      <c r="G40" s="72">
        <f ca="1">'Monthwise MDO'!G37</f>
        <v>865789688.99999988</v>
      </c>
      <c r="H40" s="72">
        <f ca="1">'Monthwise MDO'!H37</f>
        <v>186541768.29000002</v>
      </c>
      <c r="I40" s="72">
        <f ca="1">'Monthwise MDO'!I37</f>
        <v>0</v>
      </c>
      <c r="J40" s="66">
        <f t="shared" ca="1" si="22"/>
        <v>1052331457.29</v>
      </c>
      <c r="K40" s="66">
        <f t="shared" ca="1" si="23"/>
        <v>3488583199.6867533</v>
      </c>
      <c r="L40" s="72">
        <f ca="1">'Monthwise MDO'!L37</f>
        <v>0</v>
      </c>
      <c r="M40" s="72">
        <f ca="1">'Monthwise MDO'!M37</f>
        <v>0</v>
      </c>
      <c r="N40" s="72">
        <f ca="1">'Monthwise MDO'!N37</f>
        <v>0</v>
      </c>
      <c r="O40" s="66">
        <f t="shared" ca="1" si="27"/>
        <v>0</v>
      </c>
      <c r="P40" s="72">
        <f ca="1">'Monthwise MDO'!P37</f>
        <v>0</v>
      </c>
      <c r="Q40" s="72">
        <f ca="1">'Monthwise MDO'!Q37</f>
        <v>0</v>
      </c>
      <c r="R40" s="72">
        <f ca="1">'Monthwise MDO'!R37</f>
        <v>0</v>
      </c>
      <c r="S40" s="50">
        <f t="shared" ca="1" si="24"/>
        <v>3488583199.6867533</v>
      </c>
      <c r="T40" s="2">
        <f ca="1">'Monthwise MDO'!S37</f>
        <v>3488583199.6867533</v>
      </c>
      <c r="U40" s="2">
        <f t="shared" ca="1" si="5"/>
        <v>0</v>
      </c>
      <c r="V40" s="22"/>
      <c r="W40" s="22"/>
    </row>
    <row r="41" spans="2:23" s="23" customFormat="1" ht="30" customHeight="1" x14ac:dyDescent="0.3">
      <c r="B41" s="14" t="s">
        <v>26</v>
      </c>
      <c r="C41" s="53">
        <f ca="1">C13-C27-C55</f>
        <v>195469219.61007047</v>
      </c>
      <c r="D41" s="70">
        <f t="shared" ref="D41:E41" ca="1" si="35">D13-D27-D55</f>
        <v>221977762.5650692</v>
      </c>
      <c r="E41" s="70">
        <f t="shared" ca="1" si="35"/>
        <v>68950536.475760788</v>
      </c>
      <c r="F41" s="66">
        <f t="shared" ca="1" si="26"/>
        <v>486397518.65090048</v>
      </c>
      <c r="G41" s="73">
        <v>125000000</v>
      </c>
      <c r="H41" s="70">
        <v>125000000</v>
      </c>
      <c r="I41" s="70">
        <v>125000000</v>
      </c>
      <c r="J41" s="66">
        <f t="shared" ca="1" si="22"/>
        <v>375000000</v>
      </c>
      <c r="K41" s="66">
        <f t="shared" ca="1" si="23"/>
        <v>861397518.65090048</v>
      </c>
      <c r="L41" s="70">
        <v>125000000</v>
      </c>
      <c r="M41" s="70">
        <v>125000000</v>
      </c>
      <c r="N41" s="70">
        <v>125000000</v>
      </c>
      <c r="O41" s="66">
        <f t="shared" ca="1" si="27"/>
        <v>375000000</v>
      </c>
      <c r="P41" s="70">
        <v>137500000.00000003</v>
      </c>
      <c r="Q41" s="70">
        <v>137500000.00000003</v>
      </c>
      <c r="R41" s="70">
        <v>137500000.00000003</v>
      </c>
      <c r="S41" s="50">
        <f t="shared" ca="1" si="24"/>
        <v>1648897518.6509004</v>
      </c>
      <c r="T41" s="2"/>
      <c r="U41" s="2"/>
      <c r="V41" s="2"/>
      <c r="W41" s="2">
        <f ca="1">S41-V41</f>
        <v>1648897518.6509004</v>
      </c>
    </row>
    <row r="42" spans="2:23" s="23" customFormat="1" ht="30" customHeight="1" x14ac:dyDescent="0.3">
      <c r="B42" s="58" t="s">
        <v>27</v>
      </c>
      <c r="C42" s="74">
        <f ca="1">'Monthwise MDO'!C39</f>
        <v>195469219.61007047</v>
      </c>
      <c r="D42" s="75">
        <f ca="1">'Monthwise MDO'!D39</f>
        <v>221977762.5650692</v>
      </c>
      <c r="E42" s="75">
        <f ca="1">'Monthwise MDO'!E39</f>
        <v>68950536.475760788</v>
      </c>
      <c r="F42" s="76">
        <f t="shared" ca="1" si="26"/>
        <v>486397518.65090048</v>
      </c>
      <c r="G42" s="75">
        <f ca="1">'Monthwise MDO'!G39</f>
        <v>96743359.540000007</v>
      </c>
      <c r="H42" s="75">
        <f ca="1">'Monthwise MDO'!H39</f>
        <v>26212146.000000019</v>
      </c>
      <c r="I42" s="75">
        <f ca="1">'Monthwise MDO'!I39</f>
        <v>0</v>
      </c>
      <c r="J42" s="76">
        <f t="shared" ca="1" si="22"/>
        <v>122955505.54000002</v>
      </c>
      <c r="K42" s="76">
        <f t="shared" ca="1" si="23"/>
        <v>609353024.19090056</v>
      </c>
      <c r="L42" s="75">
        <f ca="1">'Monthwise MDO'!L39</f>
        <v>0</v>
      </c>
      <c r="M42" s="75">
        <f ca="1">'Monthwise MDO'!M39</f>
        <v>0</v>
      </c>
      <c r="N42" s="75">
        <f ca="1">'Monthwise MDO'!N39</f>
        <v>0</v>
      </c>
      <c r="O42" s="76">
        <f t="shared" ca="1" si="27"/>
        <v>0</v>
      </c>
      <c r="P42" s="75">
        <f ca="1">'Monthwise MDO'!P39</f>
        <v>0</v>
      </c>
      <c r="Q42" s="75">
        <f ca="1">'Monthwise MDO'!Q39</f>
        <v>0</v>
      </c>
      <c r="R42" s="75">
        <f ca="1">'Monthwise MDO'!R39</f>
        <v>0</v>
      </c>
      <c r="S42" s="59">
        <f t="shared" ca="1" si="24"/>
        <v>609353024.19090056</v>
      </c>
      <c r="T42" s="2">
        <f ca="1">'Monthwise MDO'!S39</f>
        <v>609353024.19090056</v>
      </c>
      <c r="U42" s="2">
        <f t="shared" ca="1" si="5"/>
        <v>0</v>
      </c>
      <c r="V42" s="22"/>
      <c r="W42" s="22"/>
    </row>
    <row r="43" spans="2:23" s="23" customFormat="1" ht="30" customHeight="1" x14ac:dyDescent="0.3">
      <c r="B43" s="34" t="s">
        <v>28</v>
      </c>
      <c r="C43" s="77">
        <f ca="1">C39+C41</f>
        <v>1122372601.9983985</v>
      </c>
      <c r="D43" s="78">
        <f t="shared" ref="D43:E44" ca="1" si="36">D39+D41</f>
        <v>1043707655.3661933</v>
      </c>
      <c r="E43" s="78">
        <f t="shared" ca="1" si="36"/>
        <v>756569003.6830622</v>
      </c>
      <c r="F43" s="79">
        <f t="shared" ca="1" si="26"/>
        <v>2922649261.0476537</v>
      </c>
      <c r="G43" s="78">
        <f t="shared" ref="G43:I44" ca="1" si="37">G39+G41</f>
        <v>848842638.05626869</v>
      </c>
      <c r="H43" s="78">
        <f t="shared" ca="1" si="37"/>
        <v>815924511.24703598</v>
      </c>
      <c r="I43" s="78">
        <f ca="1">I39+I41</f>
        <v>890000000</v>
      </c>
      <c r="J43" s="79">
        <f t="shared" ca="1" si="22"/>
        <v>2554767149.3033047</v>
      </c>
      <c r="K43" s="79">
        <f t="shared" ca="1" si="23"/>
        <v>5477416410.3509579</v>
      </c>
      <c r="L43" s="78">
        <f t="shared" ref="L43:N44" ca="1" si="38">L39+L41</f>
        <v>882077458.45341599</v>
      </c>
      <c r="M43" s="78">
        <f t="shared" ca="1" si="38"/>
        <v>949627243.82926297</v>
      </c>
      <c r="N43" s="78">
        <f t="shared" ca="1" si="38"/>
        <v>1312808193.1845</v>
      </c>
      <c r="O43" s="79">
        <f t="shared" ca="1" si="27"/>
        <v>3144512895.4671793</v>
      </c>
      <c r="P43" s="78">
        <f t="shared" ref="P43:R44" ca="1" si="39">P39+P41</f>
        <v>1292675367.7611771</v>
      </c>
      <c r="Q43" s="78">
        <f t="shared" ca="1" si="39"/>
        <v>1278103123.7418609</v>
      </c>
      <c r="R43" s="78">
        <f t="shared" ca="1" si="39"/>
        <v>1323539809.5264292</v>
      </c>
      <c r="S43" s="60">
        <f t="shared" ca="1" si="24"/>
        <v>12516247606.847607</v>
      </c>
      <c r="T43" s="2"/>
      <c r="U43" s="2"/>
      <c r="V43" s="2"/>
      <c r="W43" s="2">
        <f ca="1">S43-V43</f>
        <v>12516247606.847607</v>
      </c>
    </row>
    <row r="44" spans="2:23" s="23" customFormat="1" ht="30" customHeight="1" x14ac:dyDescent="0.3">
      <c r="B44" s="61" t="s">
        <v>29</v>
      </c>
      <c r="C44" s="80">
        <f t="shared" ref="C44" ca="1" si="40">C40+C42</f>
        <v>1122372601.9983985</v>
      </c>
      <c r="D44" s="80">
        <f t="shared" ca="1" si="36"/>
        <v>1043707655.3661934</v>
      </c>
      <c r="E44" s="80">
        <f t="shared" ca="1" si="36"/>
        <v>756569003.6830622</v>
      </c>
      <c r="F44" s="42">
        <f t="shared" ca="1" si="26"/>
        <v>2922649261.0476542</v>
      </c>
      <c r="G44" s="80">
        <f t="shared" ca="1" si="37"/>
        <v>962533048.53999984</v>
      </c>
      <c r="H44" s="80">
        <f t="shared" ca="1" si="37"/>
        <v>212753914.29000005</v>
      </c>
      <c r="I44" s="80">
        <f t="shared" ca="1" si="37"/>
        <v>0</v>
      </c>
      <c r="J44" s="42">
        <f t="shared" ca="1" si="22"/>
        <v>1175286962.8299999</v>
      </c>
      <c r="K44" s="42">
        <f t="shared" ca="1" si="23"/>
        <v>4097936223.8776541</v>
      </c>
      <c r="L44" s="80">
        <f t="shared" ca="1" si="38"/>
        <v>0</v>
      </c>
      <c r="M44" s="80">
        <f t="shared" ca="1" si="38"/>
        <v>0</v>
      </c>
      <c r="N44" s="80">
        <f t="shared" ca="1" si="38"/>
        <v>0</v>
      </c>
      <c r="O44" s="42">
        <f t="shared" ca="1" si="27"/>
        <v>0</v>
      </c>
      <c r="P44" s="80">
        <f t="shared" ca="1" si="39"/>
        <v>0</v>
      </c>
      <c r="Q44" s="80">
        <f t="shared" ca="1" si="39"/>
        <v>0</v>
      </c>
      <c r="R44" s="80">
        <f t="shared" ca="1" si="39"/>
        <v>0</v>
      </c>
      <c r="S44" s="63">
        <f t="shared" ca="1" si="24"/>
        <v>4097936223.8776541</v>
      </c>
      <c r="T44" s="2">
        <f ca="1">'Monthwise MDO'!S41</f>
        <v>4097936223.8776541</v>
      </c>
      <c r="U44" s="2">
        <f t="shared" ca="1" si="5"/>
        <v>0</v>
      </c>
      <c r="V44" s="22"/>
      <c r="W44" s="22"/>
    </row>
    <row r="45" spans="2:23" x14ac:dyDescent="0.3">
      <c r="B45" s="81"/>
    </row>
    <row r="46" spans="2:23" ht="30" customHeight="1" x14ac:dyDescent="0.3">
      <c r="B46" s="46" t="s">
        <v>32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 spans="2:23" ht="30" customHeight="1" x14ac:dyDescent="0.3">
      <c r="B47" s="8">
        <v>2026</v>
      </c>
      <c r="C47" s="47" t="s">
        <v>2</v>
      </c>
      <c r="D47" s="48" t="s">
        <v>3</v>
      </c>
      <c r="E47" s="49" t="s">
        <v>4</v>
      </c>
      <c r="F47" s="12" t="s">
        <v>5</v>
      </c>
      <c r="G47" s="11" t="s">
        <v>6</v>
      </c>
      <c r="H47" s="10" t="s">
        <v>7</v>
      </c>
      <c r="I47" s="10" t="s">
        <v>8</v>
      </c>
      <c r="J47" s="12" t="s">
        <v>9</v>
      </c>
      <c r="K47" s="12" t="s">
        <v>10</v>
      </c>
      <c r="L47" s="10" t="s">
        <v>11</v>
      </c>
      <c r="M47" s="10" t="s">
        <v>12</v>
      </c>
      <c r="N47" s="10" t="s">
        <v>13</v>
      </c>
      <c r="O47" s="12" t="s">
        <v>14</v>
      </c>
      <c r="P47" s="10" t="s">
        <v>15</v>
      </c>
      <c r="Q47" s="10" t="s">
        <v>16</v>
      </c>
      <c r="R47" s="10" t="s">
        <v>17</v>
      </c>
      <c r="S47" s="13" t="s">
        <v>18</v>
      </c>
    </row>
    <row r="48" spans="2:23" ht="30" customHeight="1" x14ac:dyDescent="0.3">
      <c r="B48" s="14" t="s">
        <v>19</v>
      </c>
      <c r="C48" s="64">
        <v>12816820.579999998</v>
      </c>
      <c r="D48" s="65">
        <v>9610872.540000001</v>
      </c>
      <c r="E48" s="65">
        <v>6602829.6100000022</v>
      </c>
      <c r="F48" s="66">
        <f ca="1">SUM(C48:E48)</f>
        <v>29030522.73</v>
      </c>
      <c r="G48" s="67">
        <v>8105819.9279999975</v>
      </c>
      <c r="H48" s="65">
        <v>14760547.716499999</v>
      </c>
      <c r="I48" s="65">
        <v>18758238.4835</v>
      </c>
      <c r="J48" s="66">
        <f ca="1">SUM(G48:I48)</f>
        <v>41624606.127999991</v>
      </c>
      <c r="K48" s="66">
        <f ca="1">F48+J48</f>
        <v>70655128.857999995</v>
      </c>
      <c r="L48" s="65">
        <v>12032345.795499999</v>
      </c>
      <c r="M48" s="65">
        <v>11132699.958000004</v>
      </c>
      <c r="N48" s="65">
        <v>8559770.9704999998</v>
      </c>
      <c r="O48" s="66">
        <f ca="1">SUM(L48:N48)</f>
        <v>31724816.724000003</v>
      </c>
      <c r="P48" s="65">
        <v>26069940.448999997</v>
      </c>
      <c r="Q48" s="65">
        <v>21304264.908999994</v>
      </c>
      <c r="R48" s="65">
        <v>17083424.340499997</v>
      </c>
      <c r="S48" s="50">
        <f ca="1">SUM(K48,O48:R48)</f>
        <v>166837575.28049999</v>
      </c>
      <c r="W48" s="2">
        <f ca="1">S48-V48</f>
        <v>166837575.28049999</v>
      </c>
    </row>
    <row r="49" spans="2:23" s="23" customFormat="1" ht="30" customHeight="1" x14ac:dyDescent="0.3">
      <c r="B49" s="51" t="s">
        <v>20</v>
      </c>
      <c r="C49" s="68">
        <f ca="1">'Monthwise MDO'!C46</f>
        <v>12816820.579999998</v>
      </c>
      <c r="D49" s="69">
        <f ca="1">'Monthwise MDO'!D46</f>
        <v>9610872.540000001</v>
      </c>
      <c r="E49" s="69">
        <f ca="1">'Monthwise MDO'!E46</f>
        <v>6602829.6100000022</v>
      </c>
      <c r="F49" s="66">
        <f ca="1">SUM(C49:E49)</f>
        <v>29030522.73</v>
      </c>
      <c r="G49" s="69">
        <f ca="1">'Monthwise MDO'!G46</f>
        <v>16622907.309999999</v>
      </c>
      <c r="H49" s="69">
        <f ca="1">'Monthwise MDO'!H46</f>
        <v>5471383.6600000001</v>
      </c>
      <c r="I49" s="69">
        <f ca="1">'Monthwise MDO'!I46</f>
        <v>0</v>
      </c>
      <c r="J49" s="66">
        <f t="shared" ref="J49:J58" ca="1" si="41">SUM(G49:I49)</f>
        <v>22094290.969999999</v>
      </c>
      <c r="K49" s="66">
        <f t="shared" ref="K49:K58" ca="1" si="42">F49+J49</f>
        <v>51124813.700000003</v>
      </c>
      <c r="L49" s="69">
        <f ca="1">'Monthwise MDO'!L46</f>
        <v>0</v>
      </c>
      <c r="M49" s="69">
        <f ca="1">'Monthwise MDO'!M46</f>
        <v>0</v>
      </c>
      <c r="N49" s="69">
        <f ca="1">'Monthwise MDO'!N46</f>
        <v>0</v>
      </c>
      <c r="O49" s="66">
        <f ca="1">SUM(L49:N49)</f>
        <v>0</v>
      </c>
      <c r="P49" s="69">
        <f ca="1">'Monthwise MDO'!P46</f>
        <v>0</v>
      </c>
      <c r="Q49" s="69">
        <f ca="1">'Monthwise MDO'!Q46</f>
        <v>0</v>
      </c>
      <c r="R49" s="69">
        <f ca="1">'Monthwise MDO'!R46</f>
        <v>0</v>
      </c>
      <c r="S49" s="50">
        <f t="shared" ref="S49:S57" ca="1" si="43">SUM(K49,O49:R49)</f>
        <v>51124813.700000003</v>
      </c>
      <c r="T49" s="2">
        <f ca="1">'Monthwise MDO'!S46</f>
        <v>51124813.700000003</v>
      </c>
      <c r="U49" s="2">
        <f t="shared" ca="1" si="5"/>
        <v>0</v>
      </c>
      <c r="V49" s="22"/>
      <c r="W49" s="22"/>
    </row>
    <row r="50" spans="2:23" s="23" customFormat="1" ht="30" customHeight="1" x14ac:dyDescent="0.3">
      <c r="B50" s="14" t="s">
        <v>21</v>
      </c>
      <c r="C50" s="64">
        <v>2482249.4200000018</v>
      </c>
      <c r="D50" s="65">
        <v>7214865.459999999</v>
      </c>
      <c r="E50" s="65">
        <v>3427069.3899999978</v>
      </c>
      <c r="F50" s="66">
        <f t="shared" ref="F50:F58" ca="1" si="44">SUM(C50:E50)</f>
        <v>13124184.27</v>
      </c>
      <c r="G50" s="67">
        <v>5000000</v>
      </c>
      <c r="H50" s="65">
        <v>5000000</v>
      </c>
      <c r="I50" s="65">
        <v>5000000</v>
      </c>
      <c r="J50" s="66">
        <f t="shared" ca="1" si="41"/>
        <v>15000000</v>
      </c>
      <c r="K50" s="66">
        <f t="shared" ca="1" si="42"/>
        <v>28124184.27</v>
      </c>
      <c r="L50" s="65">
        <v>5000000</v>
      </c>
      <c r="M50" s="65">
        <v>5000000</v>
      </c>
      <c r="N50" s="65">
        <v>5000000</v>
      </c>
      <c r="O50" s="66">
        <f t="shared" ref="O50:O58" ca="1" si="45">SUM(L50:N50)</f>
        <v>15000000</v>
      </c>
      <c r="P50" s="65">
        <v>5000000</v>
      </c>
      <c r="Q50" s="65">
        <v>5000000</v>
      </c>
      <c r="R50" s="65">
        <v>5000000</v>
      </c>
      <c r="S50" s="50">
        <f t="shared" ca="1" si="43"/>
        <v>58124184.269999996</v>
      </c>
      <c r="T50" s="22"/>
      <c r="U50" s="2"/>
      <c r="V50" s="2"/>
      <c r="W50" s="2">
        <f ca="1">S50-V50</f>
        <v>58124184.269999996</v>
      </c>
    </row>
    <row r="51" spans="2:23" s="23" customFormat="1" ht="30" customHeight="1" x14ac:dyDescent="0.3">
      <c r="B51" s="20" t="s">
        <v>22</v>
      </c>
      <c r="C51" s="68">
        <v>2083289.1052647633</v>
      </c>
      <c r="D51" s="69">
        <v>3488570.1552053127</v>
      </c>
      <c r="E51" s="69">
        <v>2709383.8784229951</v>
      </c>
      <c r="F51" s="66">
        <f ca="1">SUM(C51:E51)</f>
        <v>8281243.1388930706</v>
      </c>
      <c r="G51" s="69">
        <v>2572755.1300000004</v>
      </c>
      <c r="H51" s="69">
        <v>514202.48200000008</v>
      </c>
      <c r="I51" s="69">
        <v>0</v>
      </c>
      <c r="J51" s="66">
        <f t="shared" ca="1" si="41"/>
        <v>3086957.6120000007</v>
      </c>
      <c r="K51" s="66">
        <f t="shared" ca="1" si="42"/>
        <v>11368200.750893071</v>
      </c>
      <c r="L51" s="69">
        <v>0</v>
      </c>
      <c r="M51" s="69">
        <v>0</v>
      </c>
      <c r="N51" s="69">
        <v>0</v>
      </c>
      <c r="O51" s="66">
        <f t="shared" ca="1" si="45"/>
        <v>0</v>
      </c>
      <c r="P51" s="69">
        <v>0</v>
      </c>
      <c r="Q51" s="69">
        <v>0</v>
      </c>
      <c r="R51" s="69">
        <v>0</v>
      </c>
      <c r="S51" s="50">
        <f t="shared" ca="1" si="43"/>
        <v>11368200.750893071</v>
      </c>
      <c r="T51" s="2">
        <f ca="1">'Monthwise MDO'!S48</f>
        <v>18449306.57</v>
      </c>
      <c r="U51" s="2">
        <f ca="1">S51+S52-T51</f>
        <v>214406.47999999672</v>
      </c>
      <c r="V51" s="22"/>
      <c r="W51" s="22"/>
    </row>
    <row r="52" spans="2:23" s="23" customFormat="1" ht="30" customHeight="1" x14ac:dyDescent="0.3">
      <c r="B52" s="20" t="s">
        <v>23</v>
      </c>
      <c r="C52" s="68">
        <v>398960.31473523832</v>
      </c>
      <c r="D52" s="69">
        <v>3726295.3047946859</v>
      </c>
      <c r="E52" s="69">
        <v>717685.51157700282</v>
      </c>
      <c r="F52" s="66">
        <f t="shared" ref="F52" ca="1" si="46">SUM(C52:E52)</f>
        <v>4842941.1311069271</v>
      </c>
      <c r="G52" s="69">
        <v>2335527.65</v>
      </c>
      <c r="H52" s="69">
        <v>117043.51800000003</v>
      </c>
      <c r="I52" s="69">
        <v>0</v>
      </c>
      <c r="J52" s="66">
        <f t="shared" ca="1" si="41"/>
        <v>2452571.1680000001</v>
      </c>
      <c r="K52" s="66">
        <f t="shared" ca="1" si="42"/>
        <v>7295512.2991069276</v>
      </c>
      <c r="L52" s="69">
        <v>0</v>
      </c>
      <c r="M52" s="69">
        <v>0</v>
      </c>
      <c r="N52" s="69">
        <v>0</v>
      </c>
      <c r="O52" s="66">
        <f t="shared" ca="1" si="45"/>
        <v>0</v>
      </c>
      <c r="P52" s="69">
        <v>0</v>
      </c>
      <c r="Q52" s="69">
        <v>0</v>
      </c>
      <c r="R52" s="69">
        <v>0</v>
      </c>
      <c r="S52" s="50">
        <f t="shared" ca="1" si="43"/>
        <v>7295512.2991069276</v>
      </c>
      <c r="T52" s="2"/>
      <c r="U52" s="2"/>
      <c r="V52" s="22"/>
      <c r="W52" s="22"/>
    </row>
    <row r="53" spans="2:23" s="23" customFormat="1" ht="30" customHeight="1" x14ac:dyDescent="0.3">
      <c r="B53" s="14" t="s">
        <v>24</v>
      </c>
      <c r="C53" s="53">
        <f t="shared" ref="C53:I53" ca="1" si="47">C48+C50</f>
        <v>15299070</v>
      </c>
      <c r="D53" s="70">
        <f t="shared" ca="1" si="47"/>
        <v>16825738</v>
      </c>
      <c r="E53" s="70">
        <f t="shared" ca="1" si="47"/>
        <v>10029899</v>
      </c>
      <c r="F53" s="66">
        <f t="shared" ca="1" si="44"/>
        <v>42154707</v>
      </c>
      <c r="G53" s="70">
        <f t="shared" ca="1" si="47"/>
        <v>13105819.927999998</v>
      </c>
      <c r="H53" s="70">
        <f t="shared" ca="1" si="47"/>
        <v>19760547.716499999</v>
      </c>
      <c r="I53" s="70">
        <f t="shared" ca="1" si="47"/>
        <v>23758238.4835</v>
      </c>
      <c r="J53" s="66">
        <f t="shared" ca="1" si="41"/>
        <v>56624606.127999991</v>
      </c>
      <c r="K53" s="66">
        <f t="shared" ca="1" si="42"/>
        <v>98779313.127999991</v>
      </c>
      <c r="L53" s="70">
        <f t="shared" ref="L53:N53" ca="1" si="48">L48+L50</f>
        <v>17032345.795499999</v>
      </c>
      <c r="M53" s="54">
        <f t="shared" ca="1" si="48"/>
        <v>16132699.958000004</v>
      </c>
      <c r="N53" s="54">
        <f t="shared" ca="1" si="48"/>
        <v>13559770.9705</v>
      </c>
      <c r="O53" s="66">
        <f t="shared" ca="1" si="45"/>
        <v>46724816.724000007</v>
      </c>
      <c r="P53" s="54">
        <f t="shared" ref="P53:R53" ca="1" si="49">P48+P50</f>
        <v>31069940.448999997</v>
      </c>
      <c r="Q53" s="54">
        <f t="shared" ca="1" si="49"/>
        <v>26304264.908999994</v>
      </c>
      <c r="R53" s="54">
        <f t="shared" ca="1" si="49"/>
        <v>22083424.340499997</v>
      </c>
      <c r="S53" s="50">
        <f t="shared" ca="1" si="43"/>
        <v>224961759.55049998</v>
      </c>
      <c r="T53" s="22"/>
      <c r="U53" s="2"/>
      <c r="V53" s="2"/>
      <c r="W53" s="2">
        <f ca="1">S53-V53</f>
        <v>224961759.55049998</v>
      </c>
    </row>
    <row r="54" spans="2:23" s="23" customFormat="1" ht="30" customHeight="1" x14ac:dyDescent="0.3">
      <c r="B54" s="55" t="s">
        <v>25</v>
      </c>
      <c r="C54" s="71">
        <f ca="1">'Monthwise MDO'!C50</f>
        <v>15299070</v>
      </c>
      <c r="D54" s="72">
        <f ca="1">'Monthwise MDO'!D50</f>
        <v>16825738</v>
      </c>
      <c r="E54" s="72">
        <f ca="1">'Monthwise MDO'!E50</f>
        <v>10029899</v>
      </c>
      <c r="F54" s="66">
        <f t="shared" ca="1" si="44"/>
        <v>42154707</v>
      </c>
      <c r="G54" s="72">
        <f ca="1">'Monthwise MDO'!G50</f>
        <v>21316783.609999999</v>
      </c>
      <c r="H54" s="72">
        <f ca="1">'Monthwise MDO'!H50</f>
        <v>6102629.6600000001</v>
      </c>
      <c r="I54" s="72">
        <f ca="1">'Monthwise MDO'!I50</f>
        <v>0</v>
      </c>
      <c r="J54" s="66">
        <f t="shared" ca="1" si="41"/>
        <v>27419413.27</v>
      </c>
      <c r="K54" s="66">
        <f t="shared" ca="1" si="42"/>
        <v>69574120.269999996</v>
      </c>
      <c r="L54" s="72">
        <f ca="1">'Monthwise MDO'!L50</f>
        <v>0</v>
      </c>
      <c r="M54" s="72">
        <f ca="1">'Monthwise MDO'!M50</f>
        <v>0</v>
      </c>
      <c r="N54" s="72">
        <f ca="1">'Monthwise MDO'!N50</f>
        <v>0</v>
      </c>
      <c r="O54" s="66">
        <f t="shared" ca="1" si="45"/>
        <v>0</v>
      </c>
      <c r="P54" s="72">
        <f ca="1">'Monthwise MDO'!P50</f>
        <v>0</v>
      </c>
      <c r="Q54" s="72">
        <f ca="1">'Monthwise MDO'!Q50</f>
        <v>0</v>
      </c>
      <c r="R54" s="72">
        <f ca="1">'Monthwise MDO'!R50</f>
        <v>0</v>
      </c>
      <c r="S54" s="50">
        <f t="shared" ca="1" si="43"/>
        <v>69574120.269999996</v>
      </c>
      <c r="T54" s="2">
        <f ca="1">'Monthwise MDO'!S50</f>
        <v>69574120.269999996</v>
      </c>
      <c r="U54" s="2">
        <f t="shared" ca="1" si="5"/>
        <v>0</v>
      </c>
      <c r="V54" s="22"/>
      <c r="W54" s="22"/>
    </row>
    <row r="55" spans="2:23" s="23" customFormat="1" ht="30" customHeight="1" x14ac:dyDescent="0.3">
      <c r="B55" s="14" t="s">
        <v>26</v>
      </c>
      <c r="C55" s="53">
        <v>7191798</v>
      </c>
      <c r="D55" s="70">
        <v>7367242</v>
      </c>
      <c r="E55" s="70">
        <v>2346182</v>
      </c>
      <c r="F55" s="66">
        <f t="shared" ca="1" si="44"/>
        <v>16905222</v>
      </c>
      <c r="G55" s="73">
        <v>12500000</v>
      </c>
      <c r="H55" s="70">
        <v>12500000</v>
      </c>
      <c r="I55" s="70">
        <v>12500000</v>
      </c>
      <c r="J55" s="66">
        <f t="shared" ca="1" si="41"/>
        <v>37500000</v>
      </c>
      <c r="K55" s="66">
        <f t="shared" ca="1" si="42"/>
        <v>54405222</v>
      </c>
      <c r="L55" s="70">
        <v>12500000</v>
      </c>
      <c r="M55" s="70">
        <v>12500000</v>
      </c>
      <c r="N55" s="70">
        <v>12500000</v>
      </c>
      <c r="O55" s="66">
        <f t="shared" ca="1" si="45"/>
        <v>37500000</v>
      </c>
      <c r="P55" s="70">
        <v>13750000</v>
      </c>
      <c r="Q55" s="70">
        <v>13750000</v>
      </c>
      <c r="R55" s="70">
        <v>13750000</v>
      </c>
      <c r="S55" s="50">
        <f t="shared" ca="1" si="43"/>
        <v>133155222</v>
      </c>
      <c r="T55" s="22"/>
      <c r="U55" s="2"/>
      <c r="V55" s="2"/>
      <c r="W55" s="2">
        <f ca="1">S55-V55</f>
        <v>133155222</v>
      </c>
    </row>
    <row r="56" spans="2:23" s="23" customFormat="1" ht="30" customHeight="1" x14ac:dyDescent="0.3">
      <c r="B56" s="58" t="s">
        <v>27</v>
      </c>
      <c r="C56" s="74">
        <f ca="1">'Monthwise MDO'!C52</f>
        <v>7191798</v>
      </c>
      <c r="D56" s="75">
        <f ca="1">'Monthwise MDO'!D52</f>
        <v>7367242</v>
      </c>
      <c r="E56" s="75">
        <f ca="1">'Monthwise MDO'!E52</f>
        <v>2346182</v>
      </c>
      <c r="F56" s="76">
        <f t="shared" ca="1" si="44"/>
        <v>16905222</v>
      </c>
      <c r="G56" s="75">
        <f ca="1">'Monthwise MDO'!G52</f>
        <v>259378.44000000018</v>
      </c>
      <c r="H56" s="75">
        <f ca="1">'Monthwise MDO'!H52</f>
        <v>1455390.5400000007</v>
      </c>
      <c r="I56" s="75">
        <f ca="1">'Monthwise MDO'!I52</f>
        <v>0</v>
      </c>
      <c r="J56" s="76">
        <f t="shared" ca="1" si="41"/>
        <v>1714768.9800000009</v>
      </c>
      <c r="K56" s="76">
        <f t="shared" ca="1" si="42"/>
        <v>18619990.98</v>
      </c>
      <c r="L56" s="75">
        <f ca="1">'Monthwise MDO'!L52</f>
        <v>0</v>
      </c>
      <c r="M56" s="75">
        <f ca="1">'Monthwise MDO'!M52</f>
        <v>0</v>
      </c>
      <c r="N56" s="75">
        <f ca="1">'Monthwise MDO'!N52</f>
        <v>0</v>
      </c>
      <c r="O56" s="76">
        <f t="shared" ca="1" si="45"/>
        <v>0</v>
      </c>
      <c r="P56" s="75">
        <f ca="1">'Monthwise MDO'!P52</f>
        <v>0</v>
      </c>
      <c r="Q56" s="75">
        <f ca="1">'Monthwise MDO'!Q52</f>
        <v>0</v>
      </c>
      <c r="R56" s="75">
        <f ca="1">'Monthwise MDO'!R52</f>
        <v>0</v>
      </c>
      <c r="S56" s="59">
        <f t="shared" ca="1" si="43"/>
        <v>18619990.98</v>
      </c>
      <c r="T56" s="2">
        <f ca="1">'Monthwise MDO'!S52</f>
        <v>18619990.98</v>
      </c>
      <c r="U56" s="2">
        <f t="shared" ca="1" si="5"/>
        <v>0</v>
      </c>
      <c r="V56" s="22"/>
      <c r="W56" s="22"/>
    </row>
    <row r="57" spans="2:23" s="23" customFormat="1" ht="30" customHeight="1" x14ac:dyDescent="0.3">
      <c r="B57" s="34" t="s">
        <v>28</v>
      </c>
      <c r="C57" s="77">
        <f t="shared" ref="C57:E58" ca="1" si="50">C53+C55</f>
        <v>22490868</v>
      </c>
      <c r="D57" s="78">
        <f t="shared" ca="1" si="50"/>
        <v>24192980</v>
      </c>
      <c r="E57" s="78">
        <f t="shared" ca="1" si="50"/>
        <v>12376081</v>
      </c>
      <c r="F57" s="79">
        <f t="shared" ca="1" si="44"/>
        <v>59059929</v>
      </c>
      <c r="G57" s="78">
        <f t="shared" ref="G57:I58" ca="1" si="51">G53+G55</f>
        <v>25605819.927999996</v>
      </c>
      <c r="H57" s="78">
        <f t="shared" ca="1" si="51"/>
        <v>32260547.716499999</v>
      </c>
      <c r="I57" s="78">
        <f t="shared" ca="1" si="51"/>
        <v>36258238.483500004</v>
      </c>
      <c r="J57" s="79">
        <f t="shared" ca="1" si="41"/>
        <v>94124606.127999991</v>
      </c>
      <c r="K57" s="79">
        <f t="shared" ca="1" si="42"/>
        <v>153184535.12799999</v>
      </c>
      <c r="L57" s="78">
        <f t="shared" ref="L57:N58" ca="1" si="52">L53+L55</f>
        <v>29532345.795499999</v>
      </c>
      <c r="M57" s="78">
        <f t="shared" ca="1" si="52"/>
        <v>28632699.958000004</v>
      </c>
      <c r="N57" s="78">
        <f t="shared" ca="1" si="52"/>
        <v>26059770.9705</v>
      </c>
      <c r="O57" s="79">
        <f t="shared" ca="1" si="45"/>
        <v>84224816.724000007</v>
      </c>
      <c r="P57" s="78">
        <f t="shared" ref="P57:R58" ca="1" si="53">P53+P55</f>
        <v>44819940.449000001</v>
      </c>
      <c r="Q57" s="78">
        <f t="shared" ca="1" si="53"/>
        <v>40054264.908999994</v>
      </c>
      <c r="R57" s="78">
        <f t="shared" ca="1" si="53"/>
        <v>35833424.340499997</v>
      </c>
      <c r="S57" s="60">
        <f t="shared" ca="1" si="43"/>
        <v>358116981.55049998</v>
      </c>
      <c r="T57" s="22"/>
      <c r="U57" s="2"/>
      <c r="V57" s="2"/>
      <c r="W57" s="2">
        <f ca="1">S57-V57</f>
        <v>358116981.55049998</v>
      </c>
    </row>
    <row r="58" spans="2:23" s="23" customFormat="1" ht="30" customHeight="1" x14ac:dyDescent="0.3">
      <c r="B58" s="61" t="s">
        <v>29</v>
      </c>
      <c r="C58" s="80">
        <f t="shared" ca="1" si="50"/>
        <v>22490868</v>
      </c>
      <c r="D58" s="80">
        <f t="shared" ca="1" si="50"/>
        <v>24192980</v>
      </c>
      <c r="E58" s="80">
        <f t="shared" ca="1" si="50"/>
        <v>12376081</v>
      </c>
      <c r="F58" s="42">
        <f t="shared" ca="1" si="44"/>
        <v>59059929</v>
      </c>
      <c r="G58" s="80">
        <f t="shared" ca="1" si="51"/>
        <v>21576162.050000001</v>
      </c>
      <c r="H58" s="80">
        <f t="shared" ca="1" si="51"/>
        <v>7558020.2000000011</v>
      </c>
      <c r="I58" s="80">
        <f t="shared" ca="1" si="51"/>
        <v>0</v>
      </c>
      <c r="J58" s="42">
        <f t="shared" ca="1" si="41"/>
        <v>29134182.25</v>
      </c>
      <c r="K58" s="42">
        <f t="shared" ca="1" si="42"/>
        <v>88194111.25</v>
      </c>
      <c r="L58" s="80">
        <f t="shared" ca="1" si="52"/>
        <v>0</v>
      </c>
      <c r="M58" s="80">
        <f t="shared" ca="1" si="52"/>
        <v>0</v>
      </c>
      <c r="N58" s="80">
        <f t="shared" ca="1" si="52"/>
        <v>0</v>
      </c>
      <c r="O58" s="42">
        <f t="shared" ca="1" si="45"/>
        <v>0</v>
      </c>
      <c r="P58" s="80">
        <f t="shared" ca="1" si="53"/>
        <v>0</v>
      </c>
      <c r="Q58" s="80">
        <f t="shared" ca="1" si="53"/>
        <v>0</v>
      </c>
      <c r="R58" s="80">
        <f t="shared" ca="1" si="53"/>
        <v>0</v>
      </c>
      <c r="S58" s="63">
        <f ca="1">SUM(K58,O58:R58)</f>
        <v>88194111.25</v>
      </c>
      <c r="T58" s="2">
        <f ca="1">'Monthwise MDO'!S54</f>
        <v>88194111.25</v>
      </c>
      <c r="U58" s="2">
        <f t="shared" ca="1" si="5"/>
        <v>0</v>
      </c>
      <c r="V58" s="22"/>
      <c r="W58" s="22"/>
    </row>
    <row r="59" spans="2:23" s="23" customFormat="1" ht="30" customHeight="1" x14ac:dyDescent="0.3">
      <c r="B59" s="82"/>
      <c r="C59" s="83"/>
      <c r="D59" s="83"/>
      <c r="E59" s="83"/>
      <c r="F59" s="84"/>
      <c r="G59" s="83"/>
      <c r="H59" s="83"/>
      <c r="I59" s="83"/>
      <c r="J59" s="84"/>
      <c r="K59" s="84"/>
      <c r="L59" s="83"/>
      <c r="M59" s="83"/>
      <c r="N59" s="83"/>
      <c r="O59" s="84"/>
      <c r="P59" s="83"/>
      <c r="Q59" s="83"/>
      <c r="R59" s="83"/>
      <c r="S59" s="85"/>
    </row>
    <row r="60" spans="2:23" ht="30" customHeight="1" x14ac:dyDescent="0.3">
      <c r="B60" s="46" t="s">
        <v>33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/>
      <c r="U60"/>
      <c r="V60"/>
      <c r="W60"/>
    </row>
    <row r="61" spans="2:23" ht="30" customHeight="1" x14ac:dyDescent="0.3">
      <c r="B61" s="8">
        <v>2026</v>
      </c>
      <c r="C61" s="47" t="s">
        <v>2</v>
      </c>
      <c r="D61" s="48" t="s">
        <v>3</v>
      </c>
      <c r="E61" s="49" t="s">
        <v>4</v>
      </c>
      <c r="F61" s="12" t="s">
        <v>5</v>
      </c>
      <c r="G61" s="11" t="s">
        <v>6</v>
      </c>
      <c r="H61" s="10" t="s">
        <v>7</v>
      </c>
      <c r="I61" s="10" t="s">
        <v>8</v>
      </c>
      <c r="J61" s="12" t="s">
        <v>9</v>
      </c>
      <c r="K61" s="12" t="s">
        <v>10</v>
      </c>
      <c r="L61" s="10" t="s">
        <v>11</v>
      </c>
      <c r="M61" s="10" t="s">
        <v>12</v>
      </c>
      <c r="N61" s="10" t="s">
        <v>13</v>
      </c>
      <c r="O61" s="12" t="s">
        <v>14</v>
      </c>
      <c r="P61" s="10" t="s">
        <v>15</v>
      </c>
      <c r="Q61" s="10" t="s">
        <v>16</v>
      </c>
      <c r="R61" s="10" t="s">
        <v>17</v>
      </c>
      <c r="S61" s="13" t="s">
        <v>18</v>
      </c>
      <c r="T61"/>
      <c r="U61"/>
      <c r="V61"/>
      <c r="W61"/>
    </row>
    <row r="62" spans="2:23" ht="30" customHeight="1" x14ac:dyDescent="0.3">
      <c r="B62" s="14" t="s">
        <v>19</v>
      </c>
      <c r="C62" s="64">
        <v>0</v>
      </c>
      <c r="D62" s="65">
        <v>0</v>
      </c>
      <c r="E62" s="65">
        <v>0</v>
      </c>
      <c r="F62" s="66">
        <f ca="1">SUM(C62:E62)</f>
        <v>0</v>
      </c>
      <c r="G62" s="65">
        <v>0</v>
      </c>
      <c r="H62" s="65">
        <v>0</v>
      </c>
      <c r="I62" s="65">
        <v>0</v>
      </c>
      <c r="J62" s="66">
        <f ca="1">SUM(G62:I62)</f>
        <v>0</v>
      </c>
      <c r="K62" s="66">
        <f ca="1">F62+J62</f>
        <v>0</v>
      </c>
      <c r="L62" s="65"/>
      <c r="M62" s="65"/>
      <c r="N62" s="65"/>
      <c r="O62" s="66">
        <f ca="1">SUM(L62:N62)</f>
        <v>0</v>
      </c>
      <c r="P62" s="65"/>
      <c r="Q62" s="65"/>
      <c r="R62" s="65"/>
      <c r="S62" s="50">
        <f ca="1">SUM(K62,O62:R62)</f>
        <v>0</v>
      </c>
      <c r="T62"/>
      <c r="U62"/>
      <c r="V62"/>
      <c r="W62"/>
    </row>
    <row r="63" spans="2:23" s="23" customFormat="1" ht="30" customHeight="1" x14ac:dyDescent="0.3">
      <c r="B63" s="51" t="s">
        <v>20</v>
      </c>
      <c r="C63" s="21">
        <f ca="1">C67-C65</f>
        <v>0</v>
      </c>
      <c r="D63" s="21">
        <f t="shared" ref="D63:E63" ca="1" si="54">D67-D65</f>
        <v>0</v>
      </c>
      <c r="E63" s="21">
        <f t="shared" ca="1" si="54"/>
        <v>0</v>
      </c>
      <c r="F63" s="16">
        <f ca="1">SUM(C63:E63)</f>
        <v>0</v>
      </c>
      <c r="G63" s="21">
        <f ca="1">G67-G65</f>
        <v>393720.83</v>
      </c>
      <c r="H63" s="21">
        <f ca="1">H67-H65</f>
        <v>0</v>
      </c>
      <c r="I63" s="21">
        <f ca="1">I67-I65</f>
        <v>0</v>
      </c>
      <c r="J63" s="16">
        <f ca="1">SUM(G63:I63)</f>
        <v>393720.83</v>
      </c>
      <c r="K63" s="18">
        <f t="shared" ref="K63:K71" ca="1" si="55">F63+J63</f>
        <v>393720.83</v>
      </c>
      <c r="L63" s="21">
        <f t="shared" ref="L63:N63" ca="1" si="56">L67-L65</f>
        <v>0</v>
      </c>
      <c r="M63" s="21">
        <f t="shared" ca="1" si="56"/>
        <v>0</v>
      </c>
      <c r="N63" s="21">
        <f t="shared" ca="1" si="56"/>
        <v>0</v>
      </c>
      <c r="O63" s="16">
        <f t="shared" ref="O63:O71" ca="1" si="57">SUM(L63:N63)</f>
        <v>0</v>
      </c>
      <c r="P63" s="21">
        <f t="shared" ref="P63:R63" ca="1" si="58">P67-P65</f>
        <v>0</v>
      </c>
      <c r="Q63" s="21">
        <f t="shared" ca="1" si="58"/>
        <v>0</v>
      </c>
      <c r="R63" s="21">
        <f t="shared" ca="1" si="58"/>
        <v>0</v>
      </c>
      <c r="S63" s="50">
        <f t="shared" ref="S63:S71" ca="1" si="59">SUM(K63,O63:R63)</f>
        <v>393720.83</v>
      </c>
    </row>
    <row r="64" spans="2:23" s="23" customFormat="1" ht="30" customHeight="1" x14ac:dyDescent="0.3">
      <c r="B64" s="14" t="s">
        <v>21</v>
      </c>
      <c r="C64" s="64">
        <v>0</v>
      </c>
      <c r="D64" s="65">
        <v>0</v>
      </c>
      <c r="E64" s="65">
        <v>0</v>
      </c>
      <c r="F64" s="66">
        <f t="shared" ref="F64:F70" ca="1" si="60">SUM(C64:E64)</f>
        <v>0</v>
      </c>
      <c r="G64" s="65">
        <v>0</v>
      </c>
      <c r="H64" s="65">
        <v>0</v>
      </c>
      <c r="I64" s="65">
        <v>0</v>
      </c>
      <c r="J64" s="66">
        <f t="shared" ref="J64:J72" ca="1" si="61">SUM(G64:I64)</f>
        <v>0</v>
      </c>
      <c r="K64" s="66">
        <f ca="1">F64+J64</f>
        <v>0</v>
      </c>
      <c r="L64" s="65"/>
      <c r="M64" s="65"/>
      <c r="N64" s="65"/>
      <c r="O64" s="66">
        <f t="shared" ca="1" si="57"/>
        <v>0</v>
      </c>
      <c r="P64" s="65"/>
      <c r="Q64" s="65"/>
      <c r="R64" s="65"/>
      <c r="S64" s="50">
        <f t="shared" ca="1" si="59"/>
        <v>0</v>
      </c>
    </row>
    <row r="65" spans="2:23" s="23" customFormat="1" ht="30" customHeight="1" x14ac:dyDescent="0.3">
      <c r="B65" s="51" t="s">
        <v>34</v>
      </c>
      <c r="C65" s="52">
        <f ca="1">'Monthwise MDO'!C59</f>
        <v>0</v>
      </c>
      <c r="D65" s="52">
        <f ca="1">'Monthwise MDO'!D59</f>
        <v>0</v>
      </c>
      <c r="E65" s="52">
        <f ca="1">'Monthwise MDO'!E59</f>
        <v>0</v>
      </c>
      <c r="F65" s="16">
        <f t="shared" ca="1" si="60"/>
        <v>0</v>
      </c>
      <c r="G65" s="52">
        <f ca="1">'Monthwise MDO'!G59</f>
        <v>0</v>
      </c>
      <c r="H65" s="52">
        <f ca="1">'Monthwise MDO'!H59</f>
        <v>1223891</v>
      </c>
      <c r="I65" s="52">
        <f ca="1">'Monthwise MDO'!I59</f>
        <v>0</v>
      </c>
      <c r="J65" s="16">
        <f ca="1">SUM(G65:I65)</f>
        <v>1223891</v>
      </c>
      <c r="K65" s="18">
        <f ca="1">F65+J65</f>
        <v>1223891</v>
      </c>
      <c r="L65" s="52">
        <f ca="1">'Monthwise MDO'!L59</f>
        <v>0</v>
      </c>
      <c r="M65" s="52">
        <f ca="1">'Monthwise MDO'!M59</f>
        <v>0</v>
      </c>
      <c r="N65" s="52">
        <f ca="1">'Monthwise MDO'!N59</f>
        <v>0</v>
      </c>
      <c r="O65" s="16">
        <f t="shared" ca="1" si="57"/>
        <v>0</v>
      </c>
      <c r="P65" s="52">
        <f ca="1">'Monthwise MDO'!P59</f>
        <v>0</v>
      </c>
      <c r="Q65" s="52">
        <f ca="1">'Monthwise MDO'!Q59</f>
        <v>0</v>
      </c>
      <c r="R65" s="52">
        <f ca="1">'Monthwise MDO'!R59</f>
        <v>0</v>
      </c>
      <c r="S65" s="50">
        <f t="shared" ca="1" si="59"/>
        <v>1223891</v>
      </c>
    </row>
    <row r="66" spans="2:23" s="23" customFormat="1" ht="30" customHeight="1" x14ac:dyDescent="0.3">
      <c r="B66" s="14" t="s">
        <v>24</v>
      </c>
      <c r="C66" s="53">
        <f t="shared" ref="C66:D66" ca="1" si="62">C62+C64</f>
        <v>0</v>
      </c>
      <c r="D66" s="70">
        <f t="shared" ca="1" si="62"/>
        <v>0</v>
      </c>
      <c r="E66" s="70">
        <f ca="1">E62+E64</f>
        <v>0</v>
      </c>
      <c r="F66" s="66">
        <f t="shared" ca="1" si="60"/>
        <v>0</v>
      </c>
      <c r="G66" s="70">
        <f t="shared" ref="G66:I66" ca="1" si="63">G62+G64</f>
        <v>0</v>
      </c>
      <c r="H66" s="70">
        <f t="shared" ca="1" si="63"/>
        <v>0</v>
      </c>
      <c r="I66" s="70">
        <f t="shared" ca="1" si="63"/>
        <v>0</v>
      </c>
      <c r="J66" s="66">
        <f t="shared" ca="1" si="61"/>
        <v>0</v>
      </c>
      <c r="K66" s="66">
        <f t="shared" ca="1" si="55"/>
        <v>0</v>
      </c>
      <c r="L66" s="70">
        <f t="shared" ref="L66:N66" ca="1" si="64">L62+L64</f>
        <v>0</v>
      </c>
      <c r="M66" s="70">
        <f t="shared" ca="1" si="64"/>
        <v>0</v>
      </c>
      <c r="N66" s="70">
        <f t="shared" ca="1" si="64"/>
        <v>0</v>
      </c>
      <c r="O66" s="66">
        <f t="shared" ca="1" si="57"/>
        <v>0</v>
      </c>
      <c r="P66" s="70">
        <f t="shared" ref="P66:R66" ca="1" si="65">P62+P64</f>
        <v>0</v>
      </c>
      <c r="Q66" s="70">
        <f t="shared" ca="1" si="65"/>
        <v>0</v>
      </c>
      <c r="R66" s="70">
        <f t="shared" ca="1" si="65"/>
        <v>0</v>
      </c>
      <c r="S66" s="50">
        <f t="shared" ca="1" si="59"/>
        <v>0</v>
      </c>
    </row>
    <row r="67" spans="2:23" s="23" customFormat="1" ht="30" customHeight="1" x14ac:dyDescent="0.3">
      <c r="B67" s="55" t="s">
        <v>25</v>
      </c>
      <c r="C67" s="56">
        <f ca="1">'Monthwise MDO'!C60</f>
        <v>0</v>
      </c>
      <c r="D67" s="56">
        <f ca="1">'Monthwise MDO'!D60</f>
        <v>0</v>
      </c>
      <c r="E67" s="56">
        <f ca="1">'Monthwise MDO'!E60</f>
        <v>0</v>
      </c>
      <c r="F67" s="16">
        <f t="shared" ca="1" si="60"/>
        <v>0</v>
      </c>
      <c r="G67" s="56">
        <f ca="1">'Monthwise MDO'!G60</f>
        <v>393720.83</v>
      </c>
      <c r="H67" s="56">
        <f ca="1">'Monthwise MDO'!H60</f>
        <v>1223891</v>
      </c>
      <c r="I67" s="56">
        <f ca="1">'Monthwise MDO'!I60</f>
        <v>0</v>
      </c>
      <c r="J67" s="16">
        <f t="shared" ca="1" si="61"/>
        <v>1617611.83</v>
      </c>
      <c r="K67" s="18">
        <f t="shared" ca="1" si="55"/>
        <v>1617611.83</v>
      </c>
      <c r="L67" s="56">
        <f ca="1">'Monthwise MDO'!L60</f>
        <v>0</v>
      </c>
      <c r="M67" s="56">
        <f ca="1">'Monthwise MDO'!M60</f>
        <v>0</v>
      </c>
      <c r="N67" s="56">
        <f ca="1">'Monthwise MDO'!N60</f>
        <v>0</v>
      </c>
      <c r="O67" s="16">
        <f t="shared" ca="1" si="57"/>
        <v>0</v>
      </c>
      <c r="P67" s="56">
        <f ca="1">'Monthwise MDO'!P60</f>
        <v>0</v>
      </c>
      <c r="Q67" s="56">
        <f ca="1">'Monthwise MDO'!Q60</f>
        <v>0</v>
      </c>
      <c r="R67" s="56">
        <f ca="1">'Monthwise MDO'!R60</f>
        <v>0</v>
      </c>
      <c r="S67" s="50">
        <f t="shared" ca="1" si="59"/>
        <v>1617611.83</v>
      </c>
    </row>
    <row r="68" spans="2:23" s="23" customFormat="1" ht="30" customHeight="1" x14ac:dyDescent="0.3">
      <c r="B68" s="14" t="s">
        <v>26</v>
      </c>
      <c r="C68" s="53">
        <v>0</v>
      </c>
      <c r="D68" s="70">
        <v>0</v>
      </c>
      <c r="E68" s="70">
        <v>0</v>
      </c>
      <c r="F68" s="66">
        <f t="shared" ca="1" si="60"/>
        <v>0</v>
      </c>
      <c r="G68" s="70">
        <v>0</v>
      </c>
      <c r="H68" s="70">
        <v>0</v>
      </c>
      <c r="I68" s="70">
        <v>0</v>
      </c>
      <c r="J68" s="66">
        <f t="shared" ca="1" si="61"/>
        <v>0</v>
      </c>
      <c r="K68" s="66">
        <f t="shared" ca="1" si="55"/>
        <v>0</v>
      </c>
      <c r="L68" s="70">
        <v>0</v>
      </c>
      <c r="M68" s="70">
        <v>0</v>
      </c>
      <c r="N68" s="70">
        <v>0</v>
      </c>
      <c r="O68" s="66">
        <f t="shared" ca="1" si="57"/>
        <v>0</v>
      </c>
      <c r="P68" s="70">
        <v>0</v>
      </c>
      <c r="Q68" s="70">
        <v>0</v>
      </c>
      <c r="R68" s="70">
        <v>0</v>
      </c>
      <c r="S68" s="50">
        <f t="shared" ca="1" si="59"/>
        <v>0</v>
      </c>
    </row>
    <row r="69" spans="2:23" s="23" customFormat="1" ht="30" customHeight="1" x14ac:dyDescent="0.3">
      <c r="B69" s="58" t="s">
        <v>27</v>
      </c>
      <c r="C69" s="30">
        <f ca="1">'Monthwise MDO'!C61</f>
        <v>0</v>
      </c>
      <c r="D69" s="30">
        <f ca="1">'Monthwise MDO'!D61</f>
        <v>0</v>
      </c>
      <c r="E69" s="30">
        <f ca="1">'Monthwise MDO'!E61</f>
        <v>0</v>
      </c>
      <c r="F69" s="31">
        <f t="shared" ca="1" si="60"/>
        <v>0</v>
      </c>
      <c r="G69" s="30">
        <f ca="1">'Monthwise MDO'!G61</f>
        <v>52477344.929999992</v>
      </c>
      <c r="H69" s="30">
        <f ca="1">'Monthwise MDO'!H61</f>
        <v>15945429.59</v>
      </c>
      <c r="I69" s="30">
        <f ca="1">'Monthwise MDO'!I61</f>
        <v>0</v>
      </c>
      <c r="J69" s="31">
        <f t="shared" ca="1" si="61"/>
        <v>68422774.519999996</v>
      </c>
      <c r="K69" s="32">
        <f t="shared" ca="1" si="55"/>
        <v>68422774.519999996</v>
      </c>
      <c r="L69" s="56">
        <f ca="1">'Monthwise MDO'!L61</f>
        <v>0</v>
      </c>
      <c r="M69" s="56">
        <f ca="1">'Monthwise MDO'!M61</f>
        <v>0</v>
      </c>
      <c r="N69" s="56">
        <f ca="1">'Monthwise MDO'!N61</f>
        <v>0</v>
      </c>
      <c r="O69" s="31">
        <f t="shared" ca="1" si="57"/>
        <v>0</v>
      </c>
      <c r="P69" s="56">
        <f ca="1">'Monthwise MDO'!P61</f>
        <v>0</v>
      </c>
      <c r="Q69" s="56">
        <f ca="1">'Monthwise MDO'!Q61</f>
        <v>0</v>
      </c>
      <c r="R69" s="56">
        <f ca="1">'Monthwise MDO'!R61</f>
        <v>0</v>
      </c>
      <c r="S69" s="59">
        <f t="shared" ca="1" si="59"/>
        <v>68422774.519999996</v>
      </c>
    </row>
    <row r="70" spans="2:23" s="23" customFormat="1" ht="30" customHeight="1" x14ac:dyDescent="0.3">
      <c r="B70" s="34" t="s">
        <v>28</v>
      </c>
      <c r="C70" s="77">
        <f t="shared" ref="C70:E70" ca="1" si="66">C66+C68</f>
        <v>0</v>
      </c>
      <c r="D70" s="78">
        <f t="shared" ca="1" si="66"/>
        <v>0</v>
      </c>
      <c r="E70" s="78">
        <f t="shared" ca="1" si="66"/>
        <v>0</v>
      </c>
      <c r="F70" s="79">
        <f t="shared" ca="1" si="60"/>
        <v>0</v>
      </c>
      <c r="G70" s="78">
        <f t="shared" ref="G70:I70" ca="1" si="67">G66+G68</f>
        <v>0</v>
      </c>
      <c r="H70" s="78">
        <f t="shared" ca="1" si="67"/>
        <v>0</v>
      </c>
      <c r="I70" s="78">
        <f t="shared" ca="1" si="67"/>
        <v>0</v>
      </c>
      <c r="J70" s="79">
        <f t="shared" ca="1" si="61"/>
        <v>0</v>
      </c>
      <c r="K70" s="79">
        <f t="shared" ca="1" si="55"/>
        <v>0</v>
      </c>
      <c r="L70" s="78">
        <f t="shared" ref="L70" ca="1" si="68">L66+L68</f>
        <v>0</v>
      </c>
      <c r="M70" s="78">
        <f ca="1">M66+M68</f>
        <v>0</v>
      </c>
      <c r="N70" s="78">
        <f t="shared" ref="N70" ca="1" si="69">N66+N68</f>
        <v>0</v>
      </c>
      <c r="O70" s="79">
        <f t="shared" ca="1" si="57"/>
        <v>0</v>
      </c>
      <c r="P70" s="78">
        <f t="shared" ref="P70:R70" ca="1" si="70">P66+P68</f>
        <v>0</v>
      </c>
      <c r="Q70" s="78">
        <f t="shared" ca="1" si="70"/>
        <v>0</v>
      </c>
      <c r="R70" s="78">
        <f t="shared" ca="1" si="70"/>
        <v>0</v>
      </c>
      <c r="S70" s="60">
        <f t="shared" ca="1" si="59"/>
        <v>0</v>
      </c>
    </row>
    <row r="71" spans="2:23" s="23" customFormat="1" ht="30" customHeight="1" x14ac:dyDescent="0.3">
      <c r="B71" s="61" t="s">
        <v>29</v>
      </c>
      <c r="C71" s="62">
        <f ca="1">C67+C69</f>
        <v>0</v>
      </c>
      <c r="D71" s="62">
        <f ca="1">D67+D69</f>
        <v>0</v>
      </c>
      <c r="E71" s="62">
        <f ca="1">E67+E69</f>
        <v>0</v>
      </c>
      <c r="F71" s="41">
        <f ca="1">SUM(C71:E71)</f>
        <v>0</v>
      </c>
      <c r="G71" s="62">
        <f ca="1">G67+G69</f>
        <v>52871065.75999999</v>
      </c>
      <c r="H71" s="62">
        <f ca="1">H67+H69</f>
        <v>17169320.59</v>
      </c>
      <c r="I71" s="62">
        <f ca="1">I67+I69</f>
        <v>0</v>
      </c>
      <c r="J71" s="41">
        <f t="shared" ca="1" si="61"/>
        <v>70040386.349999994</v>
      </c>
      <c r="K71" s="42">
        <f t="shared" ca="1" si="55"/>
        <v>70040386.349999994</v>
      </c>
      <c r="L71" s="62">
        <f ca="1">L67+L69</f>
        <v>0</v>
      </c>
      <c r="M71" s="62">
        <f ca="1">M67+M69</f>
        <v>0</v>
      </c>
      <c r="N71" s="62">
        <f ca="1">N67+N69</f>
        <v>0</v>
      </c>
      <c r="O71" s="41">
        <f t="shared" ca="1" si="57"/>
        <v>0</v>
      </c>
      <c r="P71" s="62">
        <f ca="1">P67+P69</f>
        <v>0</v>
      </c>
      <c r="Q71" s="62">
        <f ca="1">Q67+Q69</f>
        <v>0</v>
      </c>
      <c r="R71" s="62">
        <f ca="1">R67+R69</f>
        <v>0</v>
      </c>
      <c r="S71" s="63">
        <f t="shared" ca="1" si="59"/>
        <v>70040386.349999994</v>
      </c>
    </row>
    <row r="72" spans="2:23" s="23" customFormat="1" ht="30" customHeight="1" x14ac:dyDescent="0.3">
      <c r="B72" s="82"/>
      <c r="C72" s="83"/>
      <c r="D72" s="83"/>
      <c r="E72" s="83"/>
      <c r="F72" s="84"/>
      <c r="G72" s="83"/>
      <c r="H72" s="83"/>
      <c r="I72" s="83"/>
      <c r="J72" s="84"/>
      <c r="K72" s="84"/>
      <c r="L72" s="83"/>
      <c r="M72" s="83"/>
      <c r="N72" s="83"/>
      <c r="O72" s="84"/>
      <c r="P72" s="83"/>
      <c r="Q72" s="83"/>
      <c r="R72" s="83"/>
      <c r="S72" s="86"/>
      <c r="T72" s="22"/>
      <c r="U72" s="22"/>
      <c r="V72" s="22"/>
      <c r="W72" s="22"/>
    </row>
    <row r="73" spans="2:23" x14ac:dyDescent="0.3">
      <c r="B73" s="81" t="s">
        <v>35</v>
      </c>
      <c r="C73" s="87"/>
      <c r="D73" s="87"/>
      <c r="E73" s="87"/>
      <c r="G73" s="87"/>
      <c r="H73" s="87"/>
      <c r="I73" s="87"/>
      <c r="J73" s="87"/>
      <c r="L73" s="87"/>
      <c r="M73" s="87"/>
      <c r="N73" s="87"/>
      <c r="P73" s="87"/>
      <c r="Q73" s="87"/>
      <c r="R73" s="87"/>
      <c r="S73" s="87"/>
    </row>
    <row r="75" spans="2:23" x14ac:dyDescent="0.3">
      <c r="B75" s="88"/>
      <c r="L75" s="44"/>
      <c r="M75" s="44"/>
      <c r="N75" s="44"/>
      <c r="O75" s="44"/>
      <c r="P75" s="44"/>
    </row>
    <row r="76" spans="2:23" x14ac:dyDescent="0.3">
      <c r="L76" s="44"/>
      <c r="M76" s="44"/>
      <c r="N76" s="44"/>
      <c r="O76" s="44"/>
      <c r="P76" s="44"/>
    </row>
    <row r="77" spans="2:23" x14ac:dyDescent="0.3">
      <c r="G77" s="156"/>
      <c r="H77" s="157">
        <f ca="1">H65</f>
        <v>1223891</v>
      </c>
      <c r="L77" s="44"/>
      <c r="M77" s="44"/>
      <c r="N77" s="44"/>
      <c r="O77" s="44"/>
      <c r="P77" s="44"/>
    </row>
    <row r="78" spans="2:23" x14ac:dyDescent="0.3">
      <c r="G78" s="158">
        <v>0.8</v>
      </c>
      <c r="H78" s="159">
        <f ca="1">$H$77*G78</f>
        <v>979112.8</v>
      </c>
    </row>
    <row r="79" spans="2:23" x14ac:dyDescent="0.3">
      <c r="G79" s="158">
        <v>0.2</v>
      </c>
      <c r="H79" s="159">
        <f ca="1">$H$77*G79</f>
        <v>244778.2</v>
      </c>
      <c r="L79" s="44"/>
      <c r="M79" s="44"/>
      <c r="N79" s="44"/>
      <c r="O79" s="44"/>
      <c r="P79" s="44"/>
    </row>
    <row r="80" spans="2:23" x14ac:dyDescent="0.3">
      <c r="G80" s="156"/>
      <c r="H80" s="156"/>
      <c r="L80" s="44"/>
      <c r="M80" s="44"/>
      <c r="N80" s="44"/>
      <c r="O80" s="44"/>
      <c r="P80" s="44"/>
    </row>
    <row r="81" spans="12:32" x14ac:dyDescent="0.3">
      <c r="L81" s="44"/>
      <c r="M81" s="44"/>
      <c r="N81" s="44"/>
      <c r="O81" s="44"/>
      <c r="P81" s="44"/>
    </row>
    <row r="88" spans="12:32" x14ac:dyDescent="0.3">
      <c r="AF88" t="s">
        <v>36</v>
      </c>
    </row>
    <row r="206" spans="12:12" hidden="1" x14ac:dyDescent="0.3"/>
    <row r="207" spans="12:12" x14ac:dyDescent="0.3">
      <c r="L207">
        <v>0</v>
      </c>
    </row>
  </sheetData>
  <mergeCells count="6">
    <mergeCell ref="B2:S2"/>
    <mergeCell ref="B4:S4"/>
    <mergeCell ref="B18:S18"/>
    <mergeCell ref="B32:S32"/>
    <mergeCell ref="B46:S46"/>
    <mergeCell ref="B60:S60"/>
  </mergeCells>
  <pageMargins left="2.1259842519685042" right="2.1259842519685042" top="0.74803149606299213" bottom="0.74803149606299213" header="0.31496062992125984" footer="0.31496062992125984"/>
  <pageSetup paperSize="8" scale="33" orientation="landscape" r:id="rId1"/>
  <headerFooter alignWithMargins="0">
    <oddHeader>&amp;LSOBHA LLC&amp;R&amp;D</oddHeader>
    <oddFooter>&amp;LCOLLECTIONS&amp;R&amp;P/&amp;N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1A63-09DB-45A1-9EB4-BA14DA4B1FED}">
  <sheetPr>
    <tabColor theme="7" tint="0.79998168889431442"/>
    <pageSetUpPr fitToPage="1"/>
  </sheetPr>
  <dimension ref="B2:AF199"/>
  <sheetViews>
    <sheetView view="pageBreakPreview" topLeftCell="B6" zoomScale="70" zoomScaleNormal="46" zoomScaleSheetLayoutView="70" zoomScalePageLayoutView="70" workbookViewId="0">
      <selection activeCell="H14" sqref="H14"/>
    </sheetView>
  </sheetViews>
  <sheetFormatPr defaultRowHeight="14.4" outlineLevelCol="7" x14ac:dyDescent="0.3"/>
  <cols>
    <col min="2" max="2" width="37.44140625" bestFit="1" customWidth="1"/>
    <col min="3" max="5" width="22" bestFit="1" customWidth="1"/>
    <col min="6" max="6" width="22.44140625" customWidth="1"/>
    <col min="7" max="8" width="22" customWidth="1"/>
    <col min="9" max="9" width="24.44140625" customWidth="1"/>
    <col min="10" max="10" width="22.44140625" customWidth="1" collapsed="1"/>
    <col min="11" max="11" width="19.44140625" bestFit="1" customWidth="1"/>
    <col min="12" max="14" width="24.44140625" customWidth="1" outlineLevel="1"/>
    <col min="15" max="15" width="22.44140625" customWidth="1" outlineLevel="1" collapsed="1"/>
    <col min="16" max="18" width="24.44140625" customWidth="1" outlineLevel="7"/>
    <col min="19" max="19" width="25" customWidth="1"/>
    <col min="20" max="21" width="13.44140625" bestFit="1" customWidth="1"/>
    <col min="22" max="22" width="15" bestFit="1" customWidth="1"/>
  </cols>
  <sheetData>
    <row r="2" spans="2:21" ht="25.35" customHeight="1" x14ac:dyDescent="0.3">
      <c r="B2" s="1" t="s">
        <v>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21" ht="17.399999999999999" x14ac:dyDescent="0.35">
      <c r="B3" s="3"/>
      <c r="C3" s="3"/>
      <c r="D3" s="4"/>
      <c r="E3" s="3"/>
      <c r="F3" s="5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>
        <v>46148</v>
      </c>
    </row>
    <row r="4" spans="2:21" ht="35.1" customHeight="1" x14ac:dyDescent="0.3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2:21" ht="35.1" customHeight="1" x14ac:dyDescent="0.3">
      <c r="B5" s="8">
        <v>2026</v>
      </c>
      <c r="C5" s="9" t="s">
        <v>2</v>
      </c>
      <c r="D5" s="10" t="s">
        <v>3</v>
      </c>
      <c r="E5" s="11" t="s">
        <v>4</v>
      </c>
      <c r="F5" s="12" t="s">
        <v>5</v>
      </c>
      <c r="G5" s="11" t="s">
        <v>6</v>
      </c>
      <c r="H5" s="10" t="s">
        <v>7</v>
      </c>
      <c r="I5" s="10" t="s">
        <v>8</v>
      </c>
      <c r="J5" s="12" t="s">
        <v>9</v>
      </c>
      <c r="K5" s="12" t="s">
        <v>10</v>
      </c>
      <c r="L5" s="10" t="s">
        <v>11</v>
      </c>
      <c r="M5" s="10" t="s">
        <v>12</v>
      </c>
      <c r="N5" s="10" t="s">
        <v>13</v>
      </c>
      <c r="O5" s="12" t="s">
        <v>14</v>
      </c>
      <c r="P5" s="10" t="s">
        <v>15</v>
      </c>
      <c r="Q5" s="10" t="s">
        <v>16</v>
      </c>
      <c r="R5" s="10" t="s">
        <v>17</v>
      </c>
      <c r="S5" s="13" t="s">
        <v>18</v>
      </c>
    </row>
    <row r="6" spans="2:21" ht="35.1" customHeight="1" x14ac:dyDescent="0.3">
      <c r="B6" s="14" t="s">
        <v>19</v>
      </c>
      <c r="C6" s="15">
        <v>799629504.71435714</v>
      </c>
      <c r="D6" s="15">
        <v>687832158.16746283</v>
      </c>
      <c r="E6" s="15">
        <v>628725169.09039998</v>
      </c>
      <c r="F6" s="16">
        <f ca="1">SUM(C6:E6)</f>
        <v>2116186831.9722199</v>
      </c>
      <c r="G6" s="15">
        <v>677569197.23770869</v>
      </c>
      <c r="H6" s="15">
        <v>639116739.08147609</v>
      </c>
      <c r="I6" s="15">
        <v>743974595.82844007</v>
      </c>
      <c r="J6" s="16">
        <f ca="1">SUM(G6:I6)</f>
        <v>2060660532.147625</v>
      </c>
      <c r="K6" s="18">
        <f ca="1">F6+J6</f>
        <v>4176847364.1198449</v>
      </c>
      <c r="L6" s="15">
        <v>763293714.83185613</v>
      </c>
      <c r="M6" s="15">
        <v>796160317.85820293</v>
      </c>
      <c r="N6" s="15">
        <v>1167187928.8584399</v>
      </c>
      <c r="O6" s="16">
        <f ca="1">SUM(L6:N6)</f>
        <v>2726641961.5484991</v>
      </c>
      <c r="P6" s="15">
        <v>1151572209.3746169</v>
      </c>
      <c r="Q6" s="15">
        <v>1122719946.528801</v>
      </c>
      <c r="R6" s="15">
        <v>1157079429.2358694</v>
      </c>
      <c r="S6" s="19">
        <f ca="1">SUM(K6,O6:R6)</f>
        <v>10334860910.807632</v>
      </c>
    </row>
    <row r="7" spans="2:21" s="23" customFormat="1" ht="35.1" customHeight="1" x14ac:dyDescent="0.3">
      <c r="B7" s="20" t="s">
        <v>20</v>
      </c>
      <c r="C7" s="21">
        <f t="shared" ref="C7:E7" ca="1" si="0">C11-C9</f>
        <v>799629504.71435714</v>
      </c>
      <c r="D7" s="21">
        <f t="shared" ca="1" si="0"/>
        <v>687832158.16746283</v>
      </c>
      <c r="E7" s="21">
        <f t="shared" ca="1" si="0"/>
        <v>628725169.09039998</v>
      </c>
      <c r="F7" s="16">
        <f t="shared" ref="F7:F15" ca="1" si="1">SUM(C7:E7)</f>
        <v>2116186831.9722199</v>
      </c>
      <c r="G7" s="21">
        <f t="shared" ref="G7:I7" ca="1" si="2">G11-G9</f>
        <v>783883276.06999993</v>
      </c>
      <c r="H7" s="21">
        <f t="shared" ca="1" si="2"/>
        <v>175397320.31999999</v>
      </c>
      <c r="I7" s="21">
        <f t="shared" ca="1" si="2"/>
        <v>0</v>
      </c>
      <c r="J7" s="16">
        <f t="shared" ref="J7:J15" ca="1" si="3">SUM(G7:I7)</f>
        <v>959280596.38999987</v>
      </c>
      <c r="K7" s="18">
        <f t="shared" ref="K7:K15" ca="1" si="4">F7+J7</f>
        <v>3075467428.3622198</v>
      </c>
      <c r="L7" s="21">
        <f ca="1">L11-L9</f>
        <v>0</v>
      </c>
      <c r="M7" s="21">
        <f ca="1">M11-M9</f>
        <v>0</v>
      </c>
      <c r="N7" s="21">
        <f ca="1">N11-N9</f>
        <v>0</v>
      </c>
      <c r="O7" s="16">
        <f t="shared" ref="O7:O15" ca="1" si="5">SUM(L7:N7)</f>
        <v>0</v>
      </c>
      <c r="P7" s="21">
        <f ca="1">P11-P9</f>
        <v>0</v>
      </c>
      <c r="Q7" s="21">
        <f ca="1">Q11-Q9</f>
        <v>0</v>
      </c>
      <c r="R7" s="21">
        <f ca="1">R11-R9</f>
        <v>0</v>
      </c>
      <c r="S7" s="19">
        <f t="shared" ref="S7:S15" ca="1" si="6">SUM(K7,O7:R7)</f>
        <v>3075467428.3622198</v>
      </c>
    </row>
    <row r="8" spans="2:21" s="23" customFormat="1" ht="35.1" customHeight="1" x14ac:dyDescent="0.3">
      <c r="B8" s="24" t="s">
        <v>21</v>
      </c>
      <c r="C8" s="15">
        <v>319999999.99999994</v>
      </c>
      <c r="D8" s="15">
        <v>319999999.99999994</v>
      </c>
      <c r="E8" s="15">
        <v>192445551.90960008</v>
      </c>
      <c r="F8" s="16">
        <f t="shared" ca="1" si="1"/>
        <v>832445551.90960002</v>
      </c>
      <c r="G8" s="15">
        <v>216273365.16448888</v>
      </c>
      <c r="H8" s="15">
        <v>216273365.16448888</v>
      </c>
      <c r="I8" s="15">
        <v>216273365.16448888</v>
      </c>
      <c r="J8" s="16">
        <f t="shared" ca="1" si="3"/>
        <v>648820095.49346662</v>
      </c>
      <c r="K8" s="18">
        <f t="shared" ca="1" si="4"/>
        <v>1481265647.4030666</v>
      </c>
      <c r="L8" s="15">
        <v>216273365.16448888</v>
      </c>
      <c r="M8" s="15">
        <v>216273365.16448888</v>
      </c>
      <c r="N8" s="15">
        <v>216273365.16448888</v>
      </c>
      <c r="O8" s="16">
        <f t="shared" ca="1" si="5"/>
        <v>648820095.49346662</v>
      </c>
      <c r="P8" s="15">
        <v>216273365.16448888</v>
      </c>
      <c r="Q8" s="15">
        <v>216273365.16448888</v>
      </c>
      <c r="R8" s="15">
        <v>216273365.16448888</v>
      </c>
      <c r="S8" s="19">
        <f t="shared" ca="1" si="6"/>
        <v>2778905838.3899999</v>
      </c>
    </row>
    <row r="9" spans="2:21" s="23" customFormat="1" ht="35.1" customHeight="1" x14ac:dyDescent="0.3">
      <c r="B9" s="20" t="s">
        <v>34</v>
      </c>
      <c r="C9" s="21">
        <v>305798418.67397094</v>
      </c>
      <c r="D9" s="21">
        <v>316483321.19526762</v>
      </c>
      <c r="E9" s="21">
        <v>192445551.90960008</v>
      </c>
      <c r="F9" s="16">
        <f t="shared" ca="1" si="1"/>
        <v>814727291.77883863</v>
      </c>
      <c r="G9" s="21">
        <v>266059839.12</v>
      </c>
      <c r="H9" s="21">
        <v>53288820.230000004</v>
      </c>
      <c r="I9" s="21">
        <v>0</v>
      </c>
      <c r="J9" s="16">
        <f t="shared" ca="1" si="3"/>
        <v>319348659.35000002</v>
      </c>
      <c r="K9" s="18">
        <f t="shared" ca="1" si="4"/>
        <v>1134075951.1288385</v>
      </c>
      <c r="L9" s="21">
        <v>0</v>
      </c>
      <c r="M9" s="21">
        <v>0</v>
      </c>
      <c r="N9" s="21">
        <v>0</v>
      </c>
      <c r="O9" s="16">
        <f t="shared" ca="1" si="5"/>
        <v>0</v>
      </c>
      <c r="P9" s="21">
        <v>0</v>
      </c>
      <c r="Q9" s="21">
        <v>0</v>
      </c>
      <c r="R9" s="21">
        <v>0</v>
      </c>
      <c r="S9" s="19">
        <f t="shared" ca="1" si="6"/>
        <v>1134075951.1288385</v>
      </c>
      <c r="T9" s="89"/>
    </row>
    <row r="10" spans="2:21" s="23" customFormat="1" ht="35.1" customHeight="1" x14ac:dyDescent="0.3">
      <c r="B10" s="24" t="s">
        <v>24</v>
      </c>
      <c r="C10" s="25">
        <f ca="1">C8+C6</f>
        <v>1119629504.7143571</v>
      </c>
      <c r="D10" s="25">
        <f ca="1">D8+D6</f>
        <v>1007832158.1674628</v>
      </c>
      <c r="E10" s="25">
        <f ca="1">E8+E6</f>
        <v>821170721</v>
      </c>
      <c r="F10" s="16">
        <f ca="1">SUM(C10:E10)</f>
        <v>2948632383.8818197</v>
      </c>
      <c r="G10" s="25">
        <f ca="1">G8+G6</f>
        <v>893842562.4021976</v>
      </c>
      <c r="H10" s="25">
        <f ca="1">H8+H6</f>
        <v>855390104.245965</v>
      </c>
      <c r="I10" s="25">
        <f ca="1">I8+I6</f>
        <v>960247960.99292898</v>
      </c>
      <c r="J10" s="16">
        <f ca="1">SUM(G10:I10)</f>
        <v>2709480627.6410913</v>
      </c>
      <c r="K10" s="18">
        <f t="shared" ca="1" si="4"/>
        <v>5658113011.5229111</v>
      </c>
      <c r="L10" s="25">
        <f ca="1">L8+L6</f>
        <v>979567079.99634504</v>
      </c>
      <c r="M10" s="25">
        <f ca="1">M8+M6</f>
        <v>1012433683.0226918</v>
      </c>
      <c r="N10" s="25">
        <f ca="1">N8+N6</f>
        <v>1383461294.0229287</v>
      </c>
      <c r="O10" s="16">
        <f t="shared" ca="1" si="5"/>
        <v>3375462057.0419655</v>
      </c>
      <c r="P10" s="25">
        <f ca="1">P8+P6</f>
        <v>1367845574.5391057</v>
      </c>
      <c r="Q10" s="25">
        <f ca="1">Q8+Q6</f>
        <v>1338993311.6932898</v>
      </c>
      <c r="R10" s="25">
        <f ca="1">R8+R6</f>
        <v>1373352794.4003582</v>
      </c>
      <c r="S10" s="19">
        <f t="shared" ca="1" si="6"/>
        <v>13113766749.19763</v>
      </c>
      <c r="T10" s="89"/>
    </row>
    <row r="11" spans="2:21" s="23" customFormat="1" ht="35.1" customHeight="1" x14ac:dyDescent="0.3">
      <c r="B11" s="26" t="s">
        <v>25</v>
      </c>
      <c r="C11" s="27">
        <v>1105427923.3883281</v>
      </c>
      <c r="D11" s="27">
        <v>1004315479.3627305</v>
      </c>
      <c r="E11" s="27">
        <v>821170721</v>
      </c>
      <c r="F11" s="16">
        <f t="shared" ca="1" si="1"/>
        <v>2930914123.7510586</v>
      </c>
      <c r="G11" s="27">
        <v>1049943115.1899999</v>
      </c>
      <c r="H11" s="27">
        <v>228686140.55000001</v>
      </c>
      <c r="I11" s="27">
        <v>0</v>
      </c>
      <c r="J11" s="16">
        <f t="shared" ca="1" si="3"/>
        <v>1278629255.74</v>
      </c>
      <c r="K11" s="18">
        <f t="shared" ca="1" si="4"/>
        <v>4209543379.4910583</v>
      </c>
      <c r="L11" s="27">
        <v>0</v>
      </c>
      <c r="M11" s="27">
        <v>0</v>
      </c>
      <c r="N11" s="27">
        <v>0</v>
      </c>
      <c r="O11" s="16">
        <f t="shared" ca="1" si="5"/>
        <v>0</v>
      </c>
      <c r="P11" s="27">
        <v>0</v>
      </c>
      <c r="Q11" s="27">
        <v>0</v>
      </c>
      <c r="R11" s="27">
        <v>0</v>
      </c>
      <c r="S11" s="19">
        <f t="shared" ca="1" si="6"/>
        <v>4209543379.4910583</v>
      </c>
    </row>
    <row r="12" spans="2:21" s="23" customFormat="1" ht="35.1" customHeight="1" x14ac:dyDescent="0.3">
      <c r="B12" s="24" t="s">
        <v>26</v>
      </c>
      <c r="C12" s="25">
        <v>507262500</v>
      </c>
      <c r="D12" s="25">
        <v>507262500</v>
      </c>
      <c r="E12" s="25">
        <v>82601425</v>
      </c>
      <c r="F12" s="16">
        <f t="shared" ca="1" si="1"/>
        <v>1097126425</v>
      </c>
      <c r="G12" s="25">
        <v>150000000</v>
      </c>
      <c r="H12" s="25">
        <v>150000000</v>
      </c>
      <c r="I12" s="25">
        <v>150000000</v>
      </c>
      <c r="J12" s="16">
        <f t="shared" ca="1" si="3"/>
        <v>450000000</v>
      </c>
      <c r="K12" s="18">
        <f t="shared" ca="1" si="4"/>
        <v>1547126425</v>
      </c>
      <c r="L12" s="25">
        <v>150000000</v>
      </c>
      <c r="M12" s="25">
        <v>150000000</v>
      </c>
      <c r="N12" s="25">
        <v>150000000</v>
      </c>
      <c r="O12" s="16">
        <f t="shared" ca="1" si="5"/>
        <v>450000000</v>
      </c>
      <c r="P12" s="25">
        <v>165000000.00000003</v>
      </c>
      <c r="Q12" s="25">
        <v>165000000.00000003</v>
      </c>
      <c r="R12" s="25">
        <v>165000000.00000003</v>
      </c>
      <c r="S12" s="19">
        <f t="shared" ca="1" si="6"/>
        <v>2492126425</v>
      </c>
    </row>
    <row r="13" spans="2:21" s="23" customFormat="1" ht="35.1" customHeight="1" x14ac:dyDescent="0.3">
      <c r="B13" s="29" t="s">
        <v>27</v>
      </c>
      <c r="C13" s="30">
        <v>233124946.61007047</v>
      </c>
      <c r="D13" s="30">
        <v>258853598.5323036</v>
      </c>
      <c r="E13" s="30">
        <v>82601425</v>
      </c>
      <c r="F13" s="31">
        <f t="shared" ca="1" si="1"/>
        <v>574579970.14237404</v>
      </c>
      <c r="G13" s="30">
        <v>149798890.74000001</v>
      </c>
      <c r="H13" s="30">
        <v>43613059.130000018</v>
      </c>
      <c r="I13" s="30">
        <v>0</v>
      </c>
      <c r="J13" s="31">
        <f t="shared" ca="1" si="3"/>
        <v>193411949.87000003</v>
      </c>
      <c r="K13" s="32">
        <f t="shared" ca="1" si="4"/>
        <v>767991920.01237404</v>
      </c>
      <c r="L13" s="30">
        <v>0</v>
      </c>
      <c r="M13" s="30">
        <v>0</v>
      </c>
      <c r="N13" s="30">
        <v>0</v>
      </c>
      <c r="O13" s="31">
        <f t="shared" ca="1" si="5"/>
        <v>0</v>
      </c>
      <c r="P13" s="30">
        <v>0</v>
      </c>
      <c r="Q13" s="30">
        <v>0</v>
      </c>
      <c r="R13" s="30">
        <v>0</v>
      </c>
      <c r="S13" s="33">
        <f t="shared" ca="1" si="6"/>
        <v>767991920.01237404</v>
      </c>
      <c r="T13" s="89"/>
    </row>
    <row r="14" spans="2:21" s="23" customFormat="1" ht="35.1" customHeight="1" x14ac:dyDescent="0.3">
      <c r="B14" s="34" t="s">
        <v>28</v>
      </c>
      <c r="C14" s="35">
        <f ca="1">C12+C10</f>
        <v>1626892004.7143571</v>
      </c>
      <c r="D14" s="35">
        <f ca="1">D12+D10</f>
        <v>1515094658.1674628</v>
      </c>
      <c r="E14" s="35">
        <f ca="1">E12+E10</f>
        <v>903772146</v>
      </c>
      <c r="F14" s="36">
        <f t="shared" ca="1" si="1"/>
        <v>4045758808.8818197</v>
      </c>
      <c r="G14" s="35">
        <f ca="1">G12+G10</f>
        <v>1043842562.4021976</v>
      </c>
      <c r="H14" s="35">
        <f ca="1">H12+H10</f>
        <v>1005390104.245965</v>
      </c>
      <c r="I14" s="35">
        <f ca="1">I12+I10</f>
        <v>1110247960.992929</v>
      </c>
      <c r="J14" s="36">
        <f t="shared" ca="1" si="3"/>
        <v>3159480627.6410913</v>
      </c>
      <c r="K14" s="37">
        <f t="shared" ca="1" si="4"/>
        <v>7205239436.5229111</v>
      </c>
      <c r="L14" s="35">
        <f ca="1">L12+L10</f>
        <v>1129567079.996345</v>
      </c>
      <c r="M14" s="35">
        <f ca="1">M12+M10</f>
        <v>1162433683.0226917</v>
      </c>
      <c r="N14" s="35">
        <f ca="1">N12+N10</f>
        <v>1533461294.0229287</v>
      </c>
      <c r="O14" s="36">
        <f t="shared" ca="1" si="5"/>
        <v>3825462057.0419655</v>
      </c>
      <c r="P14" s="35">
        <f ca="1">P12+P10</f>
        <v>1532845574.5391057</v>
      </c>
      <c r="Q14" s="35">
        <f ca="1">Q12+Q10</f>
        <v>1503993311.6932898</v>
      </c>
      <c r="R14" s="35">
        <f ca="1">R12+R10</f>
        <v>1538352794.4003582</v>
      </c>
      <c r="S14" s="38">
        <f t="shared" ca="1" si="6"/>
        <v>15605893174.19763</v>
      </c>
      <c r="T14" s="89"/>
    </row>
    <row r="15" spans="2:21" s="23" customFormat="1" ht="35.1" customHeight="1" x14ac:dyDescent="0.3">
      <c r="B15" s="39" t="s">
        <v>29</v>
      </c>
      <c r="C15" s="40">
        <f ca="1">C11+C13</f>
        <v>1338552869.9983985</v>
      </c>
      <c r="D15" s="40">
        <f ca="1">D11+D13</f>
        <v>1263169077.8950341</v>
      </c>
      <c r="E15" s="40">
        <f ca="1">E11+E13</f>
        <v>903772146</v>
      </c>
      <c r="F15" s="41">
        <f t="shared" ca="1" si="1"/>
        <v>3505494093.8934326</v>
      </c>
      <c r="G15" s="40">
        <f ca="1">G11+G13</f>
        <v>1199742005.9299998</v>
      </c>
      <c r="H15" s="40">
        <f ca="1">H11+H13</f>
        <v>272299199.68000001</v>
      </c>
      <c r="I15" s="40">
        <f ca="1">I11+I13</f>
        <v>0</v>
      </c>
      <c r="J15" s="41">
        <f t="shared" ca="1" si="3"/>
        <v>1472041205.6099999</v>
      </c>
      <c r="K15" s="42">
        <f t="shared" ca="1" si="4"/>
        <v>4977535299.5034323</v>
      </c>
      <c r="L15" s="40">
        <f ca="1">L11+L13</f>
        <v>0</v>
      </c>
      <c r="M15" s="40">
        <f ca="1">M11+M13</f>
        <v>0</v>
      </c>
      <c r="N15" s="40">
        <f ca="1">N11+N13</f>
        <v>0</v>
      </c>
      <c r="O15" s="41">
        <f t="shared" ca="1" si="5"/>
        <v>0</v>
      </c>
      <c r="P15" s="40">
        <f ca="1">P11+P13</f>
        <v>0</v>
      </c>
      <c r="Q15" s="40">
        <f ca="1">Q11+Q13</f>
        <v>0</v>
      </c>
      <c r="R15" s="40">
        <f ca="1">R11+R13</f>
        <v>0</v>
      </c>
      <c r="S15" s="43">
        <f t="shared" ca="1" si="6"/>
        <v>4977535299.5034323</v>
      </c>
      <c r="U15" s="89"/>
    </row>
    <row r="16" spans="2:21" ht="30" customHeight="1" x14ac:dyDescent="0.3">
      <c r="L16" s="45"/>
      <c r="M16" s="45"/>
      <c r="N16" s="45"/>
    </row>
    <row r="17" spans="2:19" ht="30" customHeight="1" x14ac:dyDescent="0.3">
      <c r="B17" s="46" t="s">
        <v>30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</row>
    <row r="18" spans="2:19" ht="30" customHeight="1" x14ac:dyDescent="0.3">
      <c r="B18" s="8">
        <v>2026</v>
      </c>
      <c r="C18" s="47" t="s">
        <v>2</v>
      </c>
      <c r="D18" s="48" t="s">
        <v>3</v>
      </c>
      <c r="E18" s="49" t="s">
        <v>4</v>
      </c>
      <c r="F18" s="12" t="s">
        <v>5</v>
      </c>
      <c r="G18" s="11" t="s">
        <v>6</v>
      </c>
      <c r="H18" s="10" t="s">
        <v>7</v>
      </c>
      <c r="I18" s="10" t="s">
        <v>8</v>
      </c>
      <c r="J18" s="12" t="s">
        <v>9</v>
      </c>
      <c r="K18" s="12" t="s">
        <v>10</v>
      </c>
      <c r="L18" s="10" t="s">
        <v>11</v>
      </c>
      <c r="M18" s="10" t="s">
        <v>12</v>
      </c>
      <c r="N18" s="10" t="s">
        <v>13</v>
      </c>
      <c r="O18" s="12" t="s">
        <v>14</v>
      </c>
      <c r="P18" s="10" t="s">
        <v>15</v>
      </c>
      <c r="Q18" s="10" t="s">
        <v>16</v>
      </c>
      <c r="R18" s="10" t="s">
        <v>17</v>
      </c>
      <c r="S18" s="13" t="s">
        <v>18</v>
      </c>
    </row>
    <row r="19" spans="2:19" ht="30" customHeight="1" x14ac:dyDescent="0.3">
      <c r="B19" s="14" t="s">
        <v>19</v>
      </c>
      <c r="C19" s="15">
        <v>104843224.93999997</v>
      </c>
      <c r="D19" s="15">
        <v>108494645.91999999</v>
      </c>
      <c r="E19" s="15">
        <v>104982641.27309844</v>
      </c>
      <c r="F19" s="16">
        <f ca="1">SUM(C19:E19)</f>
        <v>318320512.13309836</v>
      </c>
      <c r="G19" s="15">
        <v>125620739.25344005</v>
      </c>
      <c r="H19" s="15">
        <v>113431680.1179401</v>
      </c>
      <c r="I19" s="15">
        <v>140216357.34494004</v>
      </c>
      <c r="J19" s="16">
        <f ca="1">SUM(G19:I19)</f>
        <v>379268776.71632016</v>
      </c>
      <c r="K19" s="18">
        <f ca="1">F19+J19</f>
        <v>697589288.84941852</v>
      </c>
      <c r="L19" s="15">
        <v>174183910.58294007</v>
      </c>
      <c r="M19" s="15">
        <v>140400374.07094005</v>
      </c>
      <c r="N19" s="15">
        <v>150819964.70344001</v>
      </c>
      <c r="O19" s="16">
        <f ca="1">SUM(L19:N19)</f>
        <v>465404249.35732013</v>
      </c>
      <c r="P19" s="15">
        <v>150326901.16444007</v>
      </c>
      <c r="Q19" s="15">
        <v>140812557.87794</v>
      </c>
      <c r="R19" s="15">
        <v>133956195.36894</v>
      </c>
      <c r="S19" s="50">
        <f ca="1">SUM(K19,O19:R19)</f>
        <v>1588089192.6180587</v>
      </c>
    </row>
    <row r="20" spans="2:19" s="23" customFormat="1" ht="30" customHeight="1" x14ac:dyDescent="0.3">
      <c r="B20" s="51" t="s">
        <v>20</v>
      </c>
      <c r="C20" s="21">
        <f t="shared" ref="C20:E20" ca="1" si="7">C24-C22</f>
        <v>130213218.32999998</v>
      </c>
      <c r="D20" s="21">
        <f t="shared" ca="1" si="7"/>
        <v>126625599.39715716</v>
      </c>
      <c r="E20" s="21">
        <f t="shared" ca="1" si="7"/>
        <v>104982641.27309844</v>
      </c>
      <c r="F20" s="16">
        <f t="shared" ref="F20:F27" ca="1" si="8">SUM(C20:E20)</f>
        <v>361821459.00025558</v>
      </c>
      <c r="G20" s="21">
        <f t="shared" ref="G20:I20" ca="1" si="9">G24-G22</f>
        <v>122844111.23999998</v>
      </c>
      <c r="H20" s="21">
        <f t="shared" ca="1" si="9"/>
        <v>30099655.600000001</v>
      </c>
      <c r="I20" s="21">
        <f t="shared" ca="1" si="9"/>
        <v>0</v>
      </c>
      <c r="J20" s="16">
        <f t="shared" ref="J20:J28" ca="1" si="10">SUM(G20:I20)</f>
        <v>152943766.83999997</v>
      </c>
      <c r="K20" s="18">
        <f t="shared" ref="K20:K28" ca="1" si="11">F20+J20</f>
        <v>514765225.84025556</v>
      </c>
      <c r="L20" s="21">
        <f t="shared" ref="L20:N20" ca="1" si="12">L24-L22</f>
        <v>0</v>
      </c>
      <c r="M20" s="21">
        <f t="shared" ca="1" si="12"/>
        <v>0</v>
      </c>
      <c r="N20" s="21">
        <f t="shared" ca="1" si="12"/>
        <v>0</v>
      </c>
      <c r="O20" s="16">
        <f t="shared" ref="O20:O28" ca="1" si="13">SUM(L20:N20)</f>
        <v>0</v>
      </c>
      <c r="P20" s="21">
        <f ca="1">P24-P22</f>
        <v>0</v>
      </c>
      <c r="Q20" s="21">
        <f ca="1">Q24-Q22</f>
        <v>0</v>
      </c>
      <c r="R20" s="21">
        <f ca="1">R24-R22</f>
        <v>0</v>
      </c>
      <c r="S20" s="50">
        <f t="shared" ref="S20:S28" ca="1" si="14">SUM(K20,O20:R20)</f>
        <v>514765225.84025556</v>
      </c>
    </row>
    <row r="21" spans="2:19" s="23" customFormat="1" ht="30" customHeight="1" x14ac:dyDescent="0.3">
      <c r="B21" s="14" t="s">
        <v>21</v>
      </c>
      <c r="C21" s="15">
        <v>50000000</v>
      </c>
      <c r="D21" s="15">
        <v>50000000</v>
      </c>
      <c r="E21" s="15">
        <v>18539713.519600168</v>
      </c>
      <c r="F21" s="16">
        <f t="shared" ca="1" si="8"/>
        <v>118539713.51960017</v>
      </c>
      <c r="G21" s="15">
        <v>31273365.164488871</v>
      </c>
      <c r="H21" s="15">
        <v>31273365.164488871</v>
      </c>
      <c r="I21" s="15">
        <v>31273365.164488871</v>
      </c>
      <c r="J21" s="16">
        <f t="shared" ca="1" si="10"/>
        <v>93820095.493466616</v>
      </c>
      <c r="K21" s="18">
        <f t="shared" ca="1" si="11"/>
        <v>212359809.01306677</v>
      </c>
      <c r="L21" s="15">
        <v>31273365.164488871</v>
      </c>
      <c r="M21" s="15">
        <v>31273365.164488871</v>
      </c>
      <c r="N21" s="15">
        <v>31273365.164488871</v>
      </c>
      <c r="O21" s="16">
        <f t="shared" ca="1" si="13"/>
        <v>93820095.493466616</v>
      </c>
      <c r="P21" s="15">
        <v>31273365.164488871</v>
      </c>
      <c r="Q21" s="15">
        <v>31273365.164488871</v>
      </c>
      <c r="R21" s="15">
        <v>31273365.164488871</v>
      </c>
      <c r="S21" s="50">
        <f t="shared" ca="1" si="14"/>
        <v>399999999.99999994</v>
      </c>
    </row>
    <row r="22" spans="2:19" s="23" customFormat="1" ht="30" customHeight="1" x14ac:dyDescent="0.3">
      <c r="B22" s="51" t="s">
        <v>34</v>
      </c>
      <c r="C22" s="52">
        <v>33012252.670000017</v>
      </c>
      <c r="D22" s="52">
        <v>39134249.164449126</v>
      </c>
      <c r="E22" s="52">
        <v>18539713.519600168</v>
      </c>
      <c r="F22" s="16">
        <f t="shared" ca="1" si="8"/>
        <v>90686215.35404931</v>
      </c>
      <c r="G22" s="52">
        <v>39598810.509999998</v>
      </c>
      <c r="H22" s="52">
        <v>4718196</v>
      </c>
      <c r="I22" s="52">
        <v>0</v>
      </c>
      <c r="J22" s="16">
        <f t="shared" ca="1" si="10"/>
        <v>44317006.509999998</v>
      </c>
      <c r="K22" s="18">
        <f t="shared" ca="1" si="11"/>
        <v>135003221.86404932</v>
      </c>
      <c r="L22" s="52">
        <v>0</v>
      </c>
      <c r="M22" s="52">
        <v>0</v>
      </c>
      <c r="N22" s="52">
        <v>0</v>
      </c>
      <c r="O22" s="16">
        <f t="shared" ca="1" si="13"/>
        <v>0</v>
      </c>
      <c r="P22" s="52">
        <v>0</v>
      </c>
      <c r="Q22" s="52">
        <v>0</v>
      </c>
      <c r="R22" s="52">
        <v>0</v>
      </c>
      <c r="S22" s="50">
        <f t="shared" ca="1" si="14"/>
        <v>135003221.86404932</v>
      </c>
    </row>
    <row r="23" spans="2:19" s="23" customFormat="1" ht="30" customHeight="1" x14ac:dyDescent="0.3">
      <c r="B23" s="14" t="s">
        <v>24</v>
      </c>
      <c r="C23" s="54">
        <f ca="1">C19+C21</f>
        <v>154843224.93999997</v>
      </c>
      <c r="D23" s="54">
        <f ca="1">D19+D21</f>
        <v>158494645.91999999</v>
      </c>
      <c r="E23" s="54">
        <f ca="1">E19+E21</f>
        <v>123522354.79269861</v>
      </c>
      <c r="F23" s="16">
        <f t="shared" ca="1" si="8"/>
        <v>436860225.65269858</v>
      </c>
      <c r="G23" s="54">
        <f ca="1">G19+G21</f>
        <v>156894104.41792893</v>
      </c>
      <c r="H23" s="54">
        <f ca="1">H19+H21</f>
        <v>144705045.28242898</v>
      </c>
      <c r="I23" s="54">
        <f ca="1">I19+I21</f>
        <v>171489722.50942892</v>
      </c>
      <c r="J23" s="16">
        <f t="shared" ca="1" si="10"/>
        <v>473088872.20978683</v>
      </c>
      <c r="K23" s="18">
        <f t="shared" ca="1" si="11"/>
        <v>909949097.86248541</v>
      </c>
      <c r="L23" s="54">
        <f ca="1">L19+L21</f>
        <v>205457275.74742895</v>
      </c>
      <c r="M23" s="54">
        <f ca="1">M19+M21</f>
        <v>171673739.23542893</v>
      </c>
      <c r="N23" s="54">
        <f ca="1">N19+N21</f>
        <v>182093329.86792889</v>
      </c>
      <c r="O23" s="16">
        <f t="shared" ca="1" si="13"/>
        <v>559224344.85078681</v>
      </c>
      <c r="P23" s="54">
        <f ca="1">P19+P21</f>
        <v>181600266.32892895</v>
      </c>
      <c r="Q23" s="54">
        <f ca="1">Q19+Q21</f>
        <v>172085923.04242888</v>
      </c>
      <c r="R23" s="54">
        <f ca="1">R19+R21</f>
        <v>165229560.53342888</v>
      </c>
      <c r="S23" s="50">
        <f t="shared" ca="1" si="14"/>
        <v>1988089192.6180589</v>
      </c>
    </row>
    <row r="24" spans="2:19" s="23" customFormat="1" ht="30" customHeight="1" x14ac:dyDescent="0.3">
      <c r="B24" s="55" t="s">
        <v>25</v>
      </c>
      <c r="C24" s="56">
        <v>163225471</v>
      </c>
      <c r="D24" s="56">
        <v>165759848.56160629</v>
      </c>
      <c r="E24" s="56">
        <v>123522354.79269861</v>
      </c>
      <c r="F24" s="16">
        <f t="shared" ca="1" si="8"/>
        <v>452507674.35430491</v>
      </c>
      <c r="G24" s="56">
        <v>162442921.74999997</v>
      </c>
      <c r="H24" s="56">
        <v>34817851.600000001</v>
      </c>
      <c r="I24" s="56">
        <v>0</v>
      </c>
      <c r="J24" s="16">
        <f t="shared" ca="1" si="10"/>
        <v>197260773.34999996</v>
      </c>
      <c r="K24" s="18">
        <f t="shared" ca="1" si="11"/>
        <v>649768447.70430493</v>
      </c>
      <c r="L24" s="56">
        <v>0</v>
      </c>
      <c r="M24" s="56">
        <v>0</v>
      </c>
      <c r="N24" s="56">
        <v>0</v>
      </c>
      <c r="O24" s="16">
        <f t="shared" ca="1" si="13"/>
        <v>0</v>
      </c>
      <c r="P24" s="56">
        <v>0</v>
      </c>
      <c r="Q24" s="56">
        <v>0</v>
      </c>
      <c r="R24" s="56">
        <v>0</v>
      </c>
      <c r="S24" s="50">
        <f t="shared" ca="1" si="14"/>
        <v>649768447.70430493</v>
      </c>
    </row>
    <row r="25" spans="2:19" s="23" customFormat="1" ht="30" customHeight="1" x14ac:dyDescent="0.3">
      <c r="B25" s="14" t="s">
        <v>26</v>
      </c>
      <c r="C25" s="54">
        <v>57262500</v>
      </c>
      <c r="D25" s="54">
        <v>57262500</v>
      </c>
      <c r="E25" s="54">
        <v>11304706.524239207</v>
      </c>
      <c r="F25" s="16">
        <f t="shared" ca="1" si="8"/>
        <v>125829706.52423921</v>
      </c>
      <c r="G25" s="54">
        <v>12500000</v>
      </c>
      <c r="H25" s="54">
        <v>12500000</v>
      </c>
      <c r="I25" s="54">
        <v>12500000</v>
      </c>
      <c r="J25" s="16">
        <f t="shared" ca="1" si="10"/>
        <v>37500000</v>
      </c>
      <c r="K25" s="18">
        <f t="shared" ca="1" si="11"/>
        <v>163329706.52423921</v>
      </c>
      <c r="L25" s="54">
        <v>12500000</v>
      </c>
      <c r="M25" s="54">
        <v>12500000</v>
      </c>
      <c r="N25" s="54">
        <v>12500000</v>
      </c>
      <c r="O25" s="16">
        <f t="shared" ca="1" si="13"/>
        <v>37500000</v>
      </c>
      <c r="P25" s="54">
        <v>13750000</v>
      </c>
      <c r="Q25" s="54">
        <v>13750000</v>
      </c>
      <c r="R25" s="54">
        <v>13750000</v>
      </c>
      <c r="S25" s="50">
        <f ca="1">SUM(K25,O25:R25)</f>
        <v>242079706.52423921</v>
      </c>
    </row>
    <row r="26" spans="2:19" s="23" customFormat="1" ht="30" customHeight="1" x14ac:dyDescent="0.3">
      <c r="B26" s="58" t="s">
        <v>27</v>
      </c>
      <c r="C26" s="30">
        <v>30463929</v>
      </c>
      <c r="D26" s="30">
        <v>29508593.96723441</v>
      </c>
      <c r="E26" s="30">
        <v>11304706.524239207</v>
      </c>
      <c r="F26" s="31">
        <f t="shared" ca="1" si="8"/>
        <v>71277229.491473615</v>
      </c>
      <c r="G26" s="30">
        <v>318807.83000001498</v>
      </c>
      <c r="H26" s="30">
        <v>92.999999999068677</v>
      </c>
      <c r="I26" s="30">
        <v>0</v>
      </c>
      <c r="J26" s="31">
        <f t="shared" ca="1" si="10"/>
        <v>318900.83000001404</v>
      </c>
      <c r="K26" s="32">
        <f t="shared" ca="1" si="11"/>
        <v>71596130.321473628</v>
      </c>
      <c r="L26" s="56">
        <v>0</v>
      </c>
      <c r="M26" s="56">
        <v>0</v>
      </c>
      <c r="N26" s="56">
        <v>0</v>
      </c>
      <c r="O26" s="31">
        <f t="shared" ca="1" si="13"/>
        <v>0</v>
      </c>
      <c r="P26" s="56">
        <v>0</v>
      </c>
      <c r="Q26" s="56">
        <v>0</v>
      </c>
      <c r="R26" s="56">
        <v>0</v>
      </c>
      <c r="S26" s="59">
        <f t="shared" ca="1" si="14"/>
        <v>71596130.321473628</v>
      </c>
    </row>
    <row r="27" spans="2:19" s="23" customFormat="1" ht="30" customHeight="1" x14ac:dyDescent="0.3">
      <c r="B27" s="34" t="s">
        <v>28</v>
      </c>
      <c r="C27" s="35">
        <f t="shared" ref="C27:E28" ca="1" si="15">C23+C25</f>
        <v>212105724.93999997</v>
      </c>
      <c r="D27" s="35">
        <f t="shared" ca="1" si="15"/>
        <v>215757145.91999999</v>
      </c>
      <c r="E27" s="35">
        <f t="shared" ca="1" si="15"/>
        <v>134827061.3169378</v>
      </c>
      <c r="F27" s="36">
        <f t="shared" ca="1" si="8"/>
        <v>562689932.17693782</v>
      </c>
      <c r="G27" s="35">
        <f t="shared" ref="G27:I28" ca="1" si="16">G23+G25</f>
        <v>169394104.41792893</v>
      </c>
      <c r="H27" s="35">
        <f t="shared" ca="1" si="16"/>
        <v>157205045.28242898</v>
      </c>
      <c r="I27" s="35">
        <f t="shared" ca="1" si="16"/>
        <v>183989722.50942892</v>
      </c>
      <c r="J27" s="36">
        <f t="shared" ca="1" si="10"/>
        <v>510588872.20978683</v>
      </c>
      <c r="K27" s="37">
        <f t="shared" ca="1" si="11"/>
        <v>1073278804.3867247</v>
      </c>
      <c r="L27" s="35">
        <f t="shared" ref="L27:N28" ca="1" si="17">L23+L25</f>
        <v>217957275.74742895</v>
      </c>
      <c r="M27" s="35">
        <f t="shared" ca="1" si="17"/>
        <v>184173739.23542893</v>
      </c>
      <c r="N27" s="35">
        <f t="shared" ca="1" si="17"/>
        <v>194593329.86792889</v>
      </c>
      <c r="O27" s="36">
        <f t="shared" ca="1" si="13"/>
        <v>596724344.85078681</v>
      </c>
      <c r="P27" s="35">
        <f t="shared" ref="P27:R28" ca="1" si="18">P23+P25</f>
        <v>195350266.32892895</v>
      </c>
      <c r="Q27" s="35">
        <f t="shared" ca="1" si="18"/>
        <v>185835923.04242888</v>
      </c>
      <c r="R27" s="35">
        <f t="shared" ca="1" si="18"/>
        <v>178979560.53342888</v>
      </c>
      <c r="S27" s="60">
        <f t="shared" ca="1" si="14"/>
        <v>2230168899.1422982</v>
      </c>
    </row>
    <row r="28" spans="2:19" s="23" customFormat="1" ht="30" customHeight="1" x14ac:dyDescent="0.3">
      <c r="B28" s="61" t="s">
        <v>29</v>
      </c>
      <c r="C28" s="62">
        <f t="shared" ca="1" si="15"/>
        <v>193689400</v>
      </c>
      <c r="D28" s="62">
        <f t="shared" ca="1" si="15"/>
        <v>195268442.52884069</v>
      </c>
      <c r="E28" s="62">
        <f t="shared" ca="1" si="15"/>
        <v>134827061.3169378</v>
      </c>
      <c r="F28" s="41">
        <f ca="1">SUM(C28:E28)</f>
        <v>523784903.84577847</v>
      </c>
      <c r="G28" s="62">
        <f t="shared" ca="1" si="16"/>
        <v>162761729.57999998</v>
      </c>
      <c r="H28" s="62">
        <f t="shared" ca="1" si="16"/>
        <v>34817944.600000001</v>
      </c>
      <c r="I28" s="62">
        <f t="shared" ca="1" si="16"/>
        <v>0</v>
      </c>
      <c r="J28" s="41">
        <f t="shared" ca="1" si="10"/>
        <v>197579674.17999998</v>
      </c>
      <c r="K28" s="42">
        <f t="shared" ca="1" si="11"/>
        <v>721364578.02577841</v>
      </c>
      <c r="L28" s="62">
        <f t="shared" ca="1" si="17"/>
        <v>0</v>
      </c>
      <c r="M28" s="62">
        <f t="shared" ca="1" si="17"/>
        <v>0</v>
      </c>
      <c r="N28" s="62">
        <f t="shared" ca="1" si="17"/>
        <v>0</v>
      </c>
      <c r="O28" s="41">
        <f t="shared" ca="1" si="13"/>
        <v>0</v>
      </c>
      <c r="P28" s="62">
        <f t="shared" ca="1" si="18"/>
        <v>0</v>
      </c>
      <c r="Q28" s="62">
        <f t="shared" ca="1" si="18"/>
        <v>0</v>
      </c>
      <c r="R28" s="62">
        <f t="shared" ca="1" si="18"/>
        <v>0</v>
      </c>
      <c r="S28" s="63">
        <f t="shared" ca="1" si="14"/>
        <v>721364578.02577841</v>
      </c>
    </row>
    <row r="30" spans="2:19" ht="30" customHeight="1" x14ac:dyDescent="0.3">
      <c r="B30" s="46" t="s">
        <v>31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</row>
    <row r="31" spans="2:19" ht="30" customHeight="1" x14ac:dyDescent="0.3">
      <c r="B31" s="8">
        <v>2026</v>
      </c>
      <c r="C31" s="47" t="s">
        <v>2</v>
      </c>
      <c r="D31" s="48" t="s">
        <v>3</v>
      </c>
      <c r="E31" s="49" t="s">
        <v>4</v>
      </c>
      <c r="F31" s="12" t="s">
        <v>5</v>
      </c>
      <c r="G31" s="11" t="s">
        <v>6</v>
      </c>
      <c r="H31" s="10" t="s">
        <v>7</v>
      </c>
      <c r="I31" s="10" t="s">
        <v>8</v>
      </c>
      <c r="J31" s="12" t="s">
        <v>9</v>
      </c>
      <c r="K31" s="12" t="s">
        <v>10</v>
      </c>
      <c r="L31" s="10" t="s">
        <v>11</v>
      </c>
      <c r="M31" s="10" t="s">
        <v>12</v>
      </c>
      <c r="N31" s="10" t="s">
        <v>13</v>
      </c>
      <c r="O31" s="12" t="s">
        <v>14</v>
      </c>
      <c r="P31" s="10" t="s">
        <v>15</v>
      </c>
      <c r="Q31" s="10" t="s">
        <v>16</v>
      </c>
      <c r="R31" s="10" t="s">
        <v>17</v>
      </c>
      <c r="S31" s="13" t="s">
        <v>18</v>
      </c>
    </row>
    <row r="32" spans="2:19" ht="30" customHeight="1" x14ac:dyDescent="0.3">
      <c r="B32" s="14" t="s">
        <v>19</v>
      </c>
      <c r="C32" s="64">
        <f ca="1">C6-C19-C45</f>
        <v>687922830.87769055</v>
      </c>
      <c r="D32" s="65">
        <f t="shared" ref="D32:E32" ca="1" si="19">D6-D19-D45</f>
        <v>573625758.90079618</v>
      </c>
      <c r="E32" s="65">
        <f t="shared" ca="1" si="19"/>
        <v>517139698.2073015</v>
      </c>
      <c r="F32" s="66">
        <f ca="1">SUM(C32:E32)</f>
        <v>1778688287.9857883</v>
      </c>
      <c r="G32" s="65">
        <f t="shared" ref="G32:I32" ca="1" si="20">G6-G19-G45</f>
        <v>543842638.05626869</v>
      </c>
      <c r="H32" s="65">
        <f t="shared" ca="1" si="20"/>
        <v>510924511.24703604</v>
      </c>
      <c r="I32" s="65">
        <f t="shared" ca="1" si="20"/>
        <v>585000000</v>
      </c>
      <c r="J32" s="66">
        <f ca="1">SUM(G32:I32)</f>
        <v>1639767149.3033047</v>
      </c>
      <c r="K32" s="66">
        <f ca="1">F32+J32</f>
        <v>3418455437.289093</v>
      </c>
      <c r="L32" s="65">
        <f t="shared" ref="L32:N32" ca="1" si="21">L6-L19-L45</f>
        <v>577077458.45341599</v>
      </c>
      <c r="M32" s="65">
        <f t="shared" ca="1" si="21"/>
        <v>644627243.82926297</v>
      </c>
      <c r="N32" s="65">
        <f t="shared" ca="1" si="21"/>
        <v>1007808193.1845</v>
      </c>
      <c r="O32" s="66">
        <f ca="1">SUM(L32:N32)</f>
        <v>2229512895.4671793</v>
      </c>
      <c r="P32" s="65">
        <f t="shared" ref="P32:R32" ca="1" si="22">P6-P19-P45</f>
        <v>975175367.76117682</v>
      </c>
      <c r="Q32" s="65">
        <f t="shared" ca="1" si="22"/>
        <v>960603123.74186099</v>
      </c>
      <c r="R32" s="65">
        <f t="shared" ca="1" si="22"/>
        <v>1006039809.5264294</v>
      </c>
      <c r="S32" s="50">
        <f ca="1">SUM(K32,O32:R32)</f>
        <v>8589786633.7857399</v>
      </c>
    </row>
    <row r="33" spans="2:19" s="23" customFormat="1" ht="30" customHeight="1" x14ac:dyDescent="0.3">
      <c r="B33" s="51" t="s">
        <v>20</v>
      </c>
      <c r="C33" s="68">
        <f ca="1">C7-C20-C46-C58</f>
        <v>656599465.80435717</v>
      </c>
      <c r="D33" s="69">
        <f t="shared" ref="D33:E33" ca="1" si="23">D7-D20-D46-D58</f>
        <v>551595686.23030567</v>
      </c>
      <c r="E33" s="69">
        <f t="shared" ca="1" si="23"/>
        <v>517139698.2073015</v>
      </c>
      <c r="F33" s="66">
        <f ca="1">SUM(C33:E33)</f>
        <v>1725334850.2419643</v>
      </c>
      <c r="G33" s="69">
        <f t="shared" ref="G33:I33" ca="1" si="24">G7-G20-G46-G58</f>
        <v>644022536.68999994</v>
      </c>
      <c r="H33" s="69">
        <f t="shared" ca="1" si="24"/>
        <v>139826281.06</v>
      </c>
      <c r="I33" s="69">
        <f t="shared" ca="1" si="24"/>
        <v>0</v>
      </c>
      <c r="J33" s="66">
        <f t="shared" ref="J33:J41" ca="1" si="25">SUM(G33:I33)</f>
        <v>783848817.75</v>
      </c>
      <c r="K33" s="66">
        <f t="shared" ref="K33:K41" ca="1" si="26">F33+J33</f>
        <v>2509183667.9919643</v>
      </c>
      <c r="L33" s="69">
        <f t="shared" ref="L33:R33" ca="1" si="27">L7-L20-L46-L58</f>
        <v>0</v>
      </c>
      <c r="M33" s="69">
        <f t="shared" ca="1" si="27"/>
        <v>0</v>
      </c>
      <c r="N33" s="69">
        <f t="shared" ca="1" si="27"/>
        <v>0</v>
      </c>
      <c r="O33" s="66">
        <f ca="1">SUM(L33:N33)</f>
        <v>0</v>
      </c>
      <c r="P33" s="69">
        <f t="shared" ca="1" si="27"/>
        <v>0</v>
      </c>
      <c r="Q33" s="69">
        <f t="shared" ca="1" si="27"/>
        <v>0</v>
      </c>
      <c r="R33" s="69">
        <f t="shared" ca="1" si="27"/>
        <v>0</v>
      </c>
      <c r="S33" s="50">
        <f t="shared" ref="S33:S41" ca="1" si="28">SUM(K33,O33:R33)</f>
        <v>2509183667.9919643</v>
      </c>
    </row>
    <row r="34" spans="2:19" s="23" customFormat="1" ht="30" customHeight="1" x14ac:dyDescent="0.3">
      <c r="B34" s="14" t="s">
        <v>21</v>
      </c>
      <c r="C34" s="64">
        <f ca="1">C8-C21-C47</f>
        <v>266666666.6666666</v>
      </c>
      <c r="D34" s="65">
        <f t="shared" ref="D34:E34" ca="1" si="29">D8-D21-D47</f>
        <v>266666666.6666666</v>
      </c>
      <c r="E34" s="65">
        <f t="shared" ca="1" si="29"/>
        <v>170478768.99999994</v>
      </c>
      <c r="F34" s="66">
        <f t="shared" ref="F34:F41" ca="1" si="30">SUM(C34:E34)</f>
        <v>703812102.33333313</v>
      </c>
      <c r="G34" s="65">
        <f t="shared" ref="G34:I34" ca="1" si="31">G8-G21-G47</f>
        <v>180000000</v>
      </c>
      <c r="H34" s="65">
        <f t="shared" ca="1" si="31"/>
        <v>180000000</v>
      </c>
      <c r="I34" s="65">
        <f t="shared" ca="1" si="31"/>
        <v>180000000</v>
      </c>
      <c r="J34" s="66">
        <f t="shared" ca="1" si="25"/>
        <v>540000000</v>
      </c>
      <c r="K34" s="66">
        <f t="shared" ca="1" si="26"/>
        <v>1243812102.333333</v>
      </c>
      <c r="L34" s="65">
        <f t="shared" ref="L34:N34" ca="1" si="32">L8-L21-L47</f>
        <v>180000000</v>
      </c>
      <c r="M34" s="65">
        <f t="shared" ca="1" si="32"/>
        <v>180000000</v>
      </c>
      <c r="N34" s="65">
        <f t="shared" ca="1" si="32"/>
        <v>180000000</v>
      </c>
      <c r="O34" s="66">
        <f t="shared" ref="O34:O41" ca="1" si="33">SUM(L34:N34)</f>
        <v>540000000</v>
      </c>
      <c r="P34" s="65">
        <f t="shared" ref="P34:R34" ca="1" si="34">P8-P21-P47</f>
        <v>180000000</v>
      </c>
      <c r="Q34" s="65">
        <f t="shared" ca="1" si="34"/>
        <v>180000000</v>
      </c>
      <c r="R34" s="65">
        <f t="shared" ca="1" si="34"/>
        <v>180000000</v>
      </c>
      <c r="S34" s="50">
        <f t="shared" ca="1" si="28"/>
        <v>2323812102.333333</v>
      </c>
    </row>
    <row r="35" spans="2:19" s="23" customFormat="1" ht="30" customHeight="1" x14ac:dyDescent="0.3">
      <c r="B35" s="51" t="s">
        <v>34</v>
      </c>
      <c r="C35" s="68">
        <f ca="1">C9-C22-C48-C59</f>
        <v>270303916.5839709</v>
      </c>
      <c r="D35" s="69">
        <f t="shared" ref="D35:I35" ca="1" si="35">D9-D22-D48-D59</f>
        <v>270134206.57081848</v>
      </c>
      <c r="E35" s="69">
        <f t="shared" ca="1" si="35"/>
        <v>170478768.99999994</v>
      </c>
      <c r="F35" s="66">
        <f t="shared" ca="1" si="30"/>
        <v>710916892.15478945</v>
      </c>
      <c r="G35" s="69">
        <f t="shared" ca="1" si="35"/>
        <v>221767152.31</v>
      </c>
      <c r="H35" s="69">
        <f ca="1">H9-H22-H48-H59</f>
        <v>46715487.230000004</v>
      </c>
      <c r="I35" s="69">
        <f t="shared" ca="1" si="35"/>
        <v>0</v>
      </c>
      <c r="J35" s="66">
        <f t="shared" ca="1" si="25"/>
        <v>268482639.54000002</v>
      </c>
      <c r="K35" s="66">
        <f t="shared" ca="1" si="26"/>
        <v>979399531.69478941</v>
      </c>
      <c r="L35" s="69">
        <f t="shared" ref="L35:R35" ca="1" si="36">L9-L22-L48-L59</f>
        <v>0</v>
      </c>
      <c r="M35" s="69">
        <f t="shared" ca="1" si="36"/>
        <v>0</v>
      </c>
      <c r="N35" s="69">
        <f t="shared" ca="1" si="36"/>
        <v>0</v>
      </c>
      <c r="O35" s="66">
        <f t="shared" ca="1" si="33"/>
        <v>0</v>
      </c>
      <c r="P35" s="69">
        <f t="shared" ca="1" si="36"/>
        <v>0</v>
      </c>
      <c r="Q35" s="69">
        <f t="shared" ca="1" si="36"/>
        <v>0</v>
      </c>
      <c r="R35" s="69">
        <f t="shared" ca="1" si="36"/>
        <v>0</v>
      </c>
      <c r="S35" s="50">
        <f t="shared" ca="1" si="28"/>
        <v>979399531.69478941</v>
      </c>
    </row>
    <row r="36" spans="2:19" s="23" customFormat="1" ht="30" customHeight="1" x14ac:dyDescent="0.3">
      <c r="B36" s="14" t="s">
        <v>24</v>
      </c>
      <c r="C36" s="53">
        <f ca="1">C32+C34</f>
        <v>954589497.54435718</v>
      </c>
      <c r="D36" s="70">
        <f t="shared" ref="D36:E36" ca="1" si="37">D32+D34</f>
        <v>840292425.5674628</v>
      </c>
      <c r="E36" s="70">
        <f t="shared" ca="1" si="37"/>
        <v>687618467.20730138</v>
      </c>
      <c r="F36" s="66">
        <f t="shared" ca="1" si="30"/>
        <v>2482500390.3191214</v>
      </c>
      <c r="G36" s="70">
        <f t="shared" ref="G36:I36" ca="1" si="38">G32+G34</f>
        <v>723842638.05626869</v>
      </c>
      <c r="H36" s="70">
        <f t="shared" ca="1" si="38"/>
        <v>690924511.24703598</v>
      </c>
      <c r="I36" s="70">
        <f t="shared" ca="1" si="38"/>
        <v>765000000</v>
      </c>
      <c r="J36" s="66">
        <f t="shared" ca="1" si="25"/>
        <v>2179767149.3033047</v>
      </c>
      <c r="K36" s="66">
        <f t="shared" ca="1" si="26"/>
        <v>4662267539.622426</v>
      </c>
      <c r="L36" s="70">
        <f t="shared" ref="L36:N36" ca="1" si="39">L32+L34</f>
        <v>757077458.45341599</v>
      </c>
      <c r="M36" s="70">
        <f t="shared" ca="1" si="39"/>
        <v>824627243.82926297</v>
      </c>
      <c r="N36" s="70">
        <f t="shared" ca="1" si="39"/>
        <v>1187808193.1845</v>
      </c>
      <c r="O36" s="66">
        <f t="shared" ca="1" si="33"/>
        <v>2769512895.4671793</v>
      </c>
      <c r="P36" s="70">
        <f t="shared" ref="P36:R36" ca="1" si="40">P32+P34</f>
        <v>1155175367.7611768</v>
      </c>
      <c r="Q36" s="70">
        <f t="shared" ca="1" si="40"/>
        <v>1140603123.7418609</v>
      </c>
      <c r="R36" s="70">
        <f t="shared" ca="1" si="40"/>
        <v>1186039809.5264294</v>
      </c>
      <c r="S36" s="50">
        <f t="shared" ca="1" si="28"/>
        <v>10913598736.119074</v>
      </c>
    </row>
    <row r="37" spans="2:19" s="23" customFormat="1" ht="30" customHeight="1" x14ac:dyDescent="0.3">
      <c r="B37" s="55" t="s">
        <v>25</v>
      </c>
      <c r="C37" s="71">
        <f ca="1">C11-C24-C50-C60</f>
        <v>926903382.38832808</v>
      </c>
      <c r="D37" s="72">
        <f t="shared" ref="D37:E37" ca="1" si="41">D11-D24-D50-D60</f>
        <v>821729892.80112422</v>
      </c>
      <c r="E37" s="72">
        <f t="shared" ca="1" si="41"/>
        <v>687618467.20730138</v>
      </c>
      <c r="F37" s="66">
        <f t="shared" ca="1" si="30"/>
        <v>2436251742.3967533</v>
      </c>
      <c r="G37" s="72">
        <f t="shared" ref="G37:I37" ca="1" si="42">G11-G24-G50-G60</f>
        <v>865789688.99999988</v>
      </c>
      <c r="H37" s="72">
        <f t="shared" ca="1" si="42"/>
        <v>186541768.29000002</v>
      </c>
      <c r="I37" s="72">
        <f t="shared" ca="1" si="42"/>
        <v>0</v>
      </c>
      <c r="J37" s="66">
        <f t="shared" ca="1" si="25"/>
        <v>1052331457.29</v>
      </c>
      <c r="K37" s="66">
        <f t="shared" ca="1" si="26"/>
        <v>3488583199.6867533</v>
      </c>
      <c r="L37" s="72">
        <f t="shared" ref="L37:R37" ca="1" si="43">L11-L24-L50-L60</f>
        <v>0</v>
      </c>
      <c r="M37" s="72">
        <f t="shared" ca="1" si="43"/>
        <v>0</v>
      </c>
      <c r="N37" s="72">
        <f t="shared" ca="1" si="43"/>
        <v>0</v>
      </c>
      <c r="O37" s="66">
        <f t="shared" ca="1" si="33"/>
        <v>0</v>
      </c>
      <c r="P37" s="72">
        <f t="shared" ca="1" si="43"/>
        <v>0</v>
      </c>
      <c r="Q37" s="72">
        <f t="shared" ca="1" si="43"/>
        <v>0</v>
      </c>
      <c r="R37" s="72">
        <f t="shared" ca="1" si="43"/>
        <v>0</v>
      </c>
      <c r="S37" s="50">
        <f t="shared" ca="1" si="28"/>
        <v>3488583199.6867533</v>
      </c>
    </row>
    <row r="38" spans="2:19" s="23" customFormat="1" ht="30" customHeight="1" x14ac:dyDescent="0.3">
      <c r="B38" s="14" t="s">
        <v>26</v>
      </c>
      <c r="C38" s="53">
        <f ca="1">C12-C25-C51</f>
        <v>393750000</v>
      </c>
      <c r="D38" s="70">
        <f t="shared" ref="D38:E38" ca="1" si="44">D12-D25-D51</f>
        <v>393750000</v>
      </c>
      <c r="E38" s="70">
        <f t="shared" ca="1" si="44"/>
        <v>68950536.475760788</v>
      </c>
      <c r="F38" s="66">
        <f t="shared" ca="1" si="30"/>
        <v>856450536.47576082</v>
      </c>
      <c r="G38" s="70">
        <f t="shared" ref="G38:I38" ca="1" si="45">G12-G25-G51</f>
        <v>125000000</v>
      </c>
      <c r="H38" s="70">
        <f t="shared" ca="1" si="45"/>
        <v>125000000</v>
      </c>
      <c r="I38" s="70">
        <f t="shared" ca="1" si="45"/>
        <v>125000000</v>
      </c>
      <c r="J38" s="66">
        <f t="shared" ca="1" si="25"/>
        <v>375000000</v>
      </c>
      <c r="K38" s="66">
        <f t="shared" ca="1" si="26"/>
        <v>1231450536.4757609</v>
      </c>
      <c r="L38" s="70">
        <f t="shared" ref="L38:N38" ca="1" si="46">L12-L25-L51</f>
        <v>125000000</v>
      </c>
      <c r="M38" s="70">
        <f t="shared" ca="1" si="46"/>
        <v>125000000</v>
      </c>
      <c r="N38" s="70">
        <f t="shared" ca="1" si="46"/>
        <v>125000000</v>
      </c>
      <c r="O38" s="66">
        <f t="shared" ca="1" si="33"/>
        <v>375000000</v>
      </c>
      <c r="P38" s="70">
        <f t="shared" ref="P38:R38" ca="1" si="47">P12-P25-P51</f>
        <v>137500000.00000003</v>
      </c>
      <c r="Q38" s="70">
        <f t="shared" ca="1" si="47"/>
        <v>137500000.00000003</v>
      </c>
      <c r="R38" s="70">
        <f t="shared" ca="1" si="47"/>
        <v>137500000.00000003</v>
      </c>
      <c r="S38" s="50">
        <f t="shared" ca="1" si="28"/>
        <v>2018950536.4757609</v>
      </c>
    </row>
    <row r="39" spans="2:19" s="23" customFormat="1" ht="30" customHeight="1" x14ac:dyDescent="0.3">
      <c r="B39" s="58" t="s">
        <v>27</v>
      </c>
      <c r="C39" s="74">
        <f ca="1">C13-C26-C52-C61</f>
        <v>195469219.61007047</v>
      </c>
      <c r="D39" s="75">
        <f t="shared" ref="D39:I39" ca="1" si="48">D13-D26-D52-D61</f>
        <v>221977762.5650692</v>
      </c>
      <c r="E39" s="75">
        <f t="shared" ca="1" si="48"/>
        <v>68950536.475760788</v>
      </c>
      <c r="F39" s="76">
        <f t="shared" ca="1" si="30"/>
        <v>486397518.65090048</v>
      </c>
      <c r="G39" s="75">
        <f t="shared" ca="1" si="48"/>
        <v>96743359.540000007</v>
      </c>
      <c r="H39" s="75">
        <f t="shared" ca="1" si="48"/>
        <v>26212146.000000019</v>
      </c>
      <c r="I39" s="75">
        <f t="shared" ca="1" si="48"/>
        <v>0</v>
      </c>
      <c r="J39" s="76">
        <f t="shared" ca="1" si="25"/>
        <v>122955505.54000002</v>
      </c>
      <c r="K39" s="76">
        <f t="shared" ca="1" si="26"/>
        <v>609353024.19090056</v>
      </c>
      <c r="L39" s="75">
        <f t="shared" ref="L39:N39" ca="1" si="49">L13-L26-L52-L61</f>
        <v>0</v>
      </c>
      <c r="M39" s="75">
        <f t="shared" ca="1" si="49"/>
        <v>0</v>
      </c>
      <c r="N39" s="75">
        <f t="shared" ca="1" si="49"/>
        <v>0</v>
      </c>
      <c r="O39" s="76">
        <f t="shared" ca="1" si="33"/>
        <v>0</v>
      </c>
      <c r="P39" s="75">
        <f t="shared" ref="P39:R39" ca="1" si="50">P13-P26-P52-P61</f>
        <v>0</v>
      </c>
      <c r="Q39" s="75">
        <f t="shared" ca="1" si="50"/>
        <v>0</v>
      </c>
      <c r="R39" s="75">
        <f t="shared" ca="1" si="50"/>
        <v>0</v>
      </c>
      <c r="S39" s="59">
        <f t="shared" ca="1" si="28"/>
        <v>609353024.19090056</v>
      </c>
    </row>
    <row r="40" spans="2:19" s="23" customFormat="1" ht="30" customHeight="1" x14ac:dyDescent="0.3">
      <c r="B40" s="34" t="s">
        <v>28</v>
      </c>
      <c r="C40" s="77">
        <f t="shared" ref="C40:E41" ca="1" si="51">C36+C38</f>
        <v>1348339497.5443573</v>
      </c>
      <c r="D40" s="78">
        <f t="shared" ca="1" si="51"/>
        <v>1234042425.5674629</v>
      </c>
      <c r="E40" s="78">
        <f t="shared" ca="1" si="51"/>
        <v>756569003.6830622</v>
      </c>
      <c r="F40" s="79">
        <f t="shared" ca="1" si="30"/>
        <v>3338950926.7948823</v>
      </c>
      <c r="G40" s="78">
        <f t="shared" ref="G40:I41" ca="1" si="52">G36+G38</f>
        <v>848842638.05626869</v>
      </c>
      <c r="H40" s="78">
        <f t="shared" ca="1" si="52"/>
        <v>815924511.24703598</v>
      </c>
      <c r="I40" s="78">
        <f t="shared" ca="1" si="52"/>
        <v>890000000</v>
      </c>
      <c r="J40" s="79">
        <f t="shared" ca="1" si="25"/>
        <v>2554767149.3033047</v>
      </c>
      <c r="K40" s="79">
        <f t="shared" ca="1" si="26"/>
        <v>5893718076.0981865</v>
      </c>
      <c r="L40" s="78">
        <f t="shared" ref="L40:N41" ca="1" si="53">L36+L38</f>
        <v>882077458.45341599</v>
      </c>
      <c r="M40" s="78">
        <f t="shared" ca="1" si="53"/>
        <v>949627243.82926297</v>
      </c>
      <c r="N40" s="78">
        <f t="shared" ca="1" si="53"/>
        <v>1312808193.1845</v>
      </c>
      <c r="O40" s="79">
        <f t="shared" ca="1" si="33"/>
        <v>3144512895.4671793</v>
      </c>
      <c r="P40" s="78">
        <f t="shared" ref="P40:R41" ca="1" si="54">P36+P38</f>
        <v>1292675367.7611768</v>
      </c>
      <c r="Q40" s="78">
        <f t="shared" ca="1" si="54"/>
        <v>1278103123.7418609</v>
      </c>
      <c r="R40" s="78">
        <f t="shared" ca="1" si="54"/>
        <v>1323539809.5264294</v>
      </c>
      <c r="S40" s="60">
        <f t="shared" ca="1" si="28"/>
        <v>12932549272.594833</v>
      </c>
    </row>
    <row r="41" spans="2:19" s="23" customFormat="1" ht="30" customHeight="1" x14ac:dyDescent="0.3">
      <c r="B41" s="90" t="s">
        <v>29</v>
      </c>
      <c r="C41" s="80">
        <f ca="1">C37+C39</f>
        <v>1122372601.9983985</v>
      </c>
      <c r="D41" s="80">
        <f t="shared" ca="1" si="51"/>
        <v>1043707655.3661934</v>
      </c>
      <c r="E41" s="80">
        <f t="shared" ca="1" si="51"/>
        <v>756569003.6830622</v>
      </c>
      <c r="F41" s="42">
        <f t="shared" ca="1" si="30"/>
        <v>2922649261.0476542</v>
      </c>
      <c r="G41" s="80">
        <f t="shared" ca="1" si="52"/>
        <v>962533048.53999984</v>
      </c>
      <c r="H41" s="80">
        <f t="shared" ca="1" si="52"/>
        <v>212753914.29000005</v>
      </c>
      <c r="I41" s="80">
        <f ca="1">I37+I39</f>
        <v>0</v>
      </c>
      <c r="J41" s="42">
        <f t="shared" ca="1" si="25"/>
        <v>1175286962.8299999</v>
      </c>
      <c r="K41" s="42">
        <f t="shared" ca="1" si="26"/>
        <v>4097936223.8776541</v>
      </c>
      <c r="L41" s="80">
        <f t="shared" ca="1" si="53"/>
        <v>0</v>
      </c>
      <c r="M41" s="80">
        <f t="shared" ca="1" si="53"/>
        <v>0</v>
      </c>
      <c r="N41" s="80">
        <f t="shared" ca="1" si="53"/>
        <v>0</v>
      </c>
      <c r="O41" s="42">
        <f t="shared" ca="1" si="33"/>
        <v>0</v>
      </c>
      <c r="P41" s="80">
        <f t="shared" ca="1" si="54"/>
        <v>0</v>
      </c>
      <c r="Q41" s="80">
        <f t="shared" ca="1" si="54"/>
        <v>0</v>
      </c>
      <c r="R41" s="80">
        <f ca="1">R37+R39</f>
        <v>0</v>
      </c>
      <c r="S41" s="63">
        <f t="shared" ca="1" si="28"/>
        <v>4097936223.8776541</v>
      </c>
    </row>
    <row r="42" spans="2:19" s="23" customFormat="1" ht="30" customHeight="1" x14ac:dyDescent="0.3">
      <c r="B42" s="82"/>
      <c r="C42" s="83"/>
      <c r="D42" s="83"/>
      <c r="E42" s="83"/>
      <c r="F42" s="84"/>
      <c r="G42" s="83"/>
      <c r="H42" s="83"/>
      <c r="I42" s="83"/>
      <c r="J42" s="84"/>
      <c r="K42" s="84"/>
      <c r="L42" s="83"/>
      <c r="M42" s="83"/>
      <c r="N42" s="83"/>
      <c r="O42" s="84"/>
      <c r="P42" s="83"/>
      <c r="Q42" s="83"/>
      <c r="R42" s="83"/>
      <c r="S42" s="85"/>
    </row>
    <row r="43" spans="2:19" ht="30" customHeight="1" x14ac:dyDescent="0.3">
      <c r="B43" s="46" t="s">
        <v>32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</row>
    <row r="44" spans="2:19" ht="30" customHeight="1" x14ac:dyDescent="0.3">
      <c r="B44" s="8">
        <v>2026</v>
      </c>
      <c r="C44" s="47" t="s">
        <v>2</v>
      </c>
      <c r="D44" s="48" t="s">
        <v>3</v>
      </c>
      <c r="E44" s="49" t="s">
        <v>4</v>
      </c>
      <c r="F44" s="12" t="s">
        <v>5</v>
      </c>
      <c r="G44" s="11" t="s">
        <v>6</v>
      </c>
      <c r="H44" s="10" t="s">
        <v>7</v>
      </c>
      <c r="I44" s="10" t="s">
        <v>8</v>
      </c>
      <c r="J44" s="12" t="s">
        <v>9</v>
      </c>
      <c r="K44" s="12" t="s">
        <v>10</v>
      </c>
      <c r="L44" s="10" t="s">
        <v>11</v>
      </c>
      <c r="M44" s="10" t="s">
        <v>12</v>
      </c>
      <c r="N44" s="10" t="s">
        <v>13</v>
      </c>
      <c r="O44" s="12" t="s">
        <v>14</v>
      </c>
      <c r="P44" s="10" t="s">
        <v>15</v>
      </c>
      <c r="Q44" s="10" t="s">
        <v>16</v>
      </c>
      <c r="R44" s="10" t="s">
        <v>17</v>
      </c>
      <c r="S44" s="13" t="s">
        <v>18</v>
      </c>
    </row>
    <row r="45" spans="2:19" ht="30" customHeight="1" x14ac:dyDescent="0.3">
      <c r="B45" s="14" t="s">
        <v>19</v>
      </c>
      <c r="C45" s="64">
        <v>6863448.8966666646</v>
      </c>
      <c r="D45" s="65">
        <v>5711753.3466666676</v>
      </c>
      <c r="E45" s="65">
        <v>6602829.6100000022</v>
      </c>
      <c r="F45" s="66">
        <f ca="1">SUM(C45:E45)</f>
        <v>19178031.853333335</v>
      </c>
      <c r="G45" s="65">
        <v>8105819.9279999975</v>
      </c>
      <c r="H45" s="65">
        <v>14760547.716499999</v>
      </c>
      <c r="I45" s="65">
        <v>18758238.4835</v>
      </c>
      <c r="J45" s="66">
        <f ca="1">SUM(G45:I45)</f>
        <v>41624606.127999991</v>
      </c>
      <c r="K45" s="66">
        <f ca="1">F45+J45</f>
        <v>60802637.98133333</v>
      </c>
      <c r="L45" s="65">
        <v>12032345.795499999</v>
      </c>
      <c r="M45" s="65">
        <v>11132699.958000004</v>
      </c>
      <c r="N45" s="65">
        <v>8559770.9704999998</v>
      </c>
      <c r="O45" s="66">
        <f ca="1">SUM(L45:N45)</f>
        <v>31724816.724000003</v>
      </c>
      <c r="P45" s="65">
        <v>26069940.448999997</v>
      </c>
      <c r="Q45" s="65">
        <v>21304264.908999994</v>
      </c>
      <c r="R45" s="65">
        <v>17083424.340499997</v>
      </c>
      <c r="S45" s="50">
        <f ca="1">SUM(K45,O45:R45)</f>
        <v>156985084.40383333</v>
      </c>
    </row>
    <row r="46" spans="2:19" s="23" customFormat="1" ht="30" customHeight="1" x14ac:dyDescent="0.3">
      <c r="B46" s="51" t="s">
        <v>20</v>
      </c>
      <c r="C46" s="21">
        <f ca="1">C50-C48</f>
        <v>12816820.579999998</v>
      </c>
      <c r="D46" s="21">
        <f t="shared" ref="D46:E46" ca="1" si="55">D50-D48</f>
        <v>9610872.540000001</v>
      </c>
      <c r="E46" s="21">
        <f t="shared" ca="1" si="55"/>
        <v>6602829.6100000022</v>
      </c>
      <c r="F46" s="16">
        <f t="shared" ref="F46:F53" ca="1" si="56">SUM(C46:E46)</f>
        <v>29030522.73</v>
      </c>
      <c r="G46" s="21">
        <f t="shared" ref="G46" ca="1" si="57">G50-G48</f>
        <v>16622907.309999999</v>
      </c>
      <c r="H46" s="21">
        <f ca="1">H50-H48</f>
        <v>5471383.6600000001</v>
      </c>
      <c r="I46" s="21">
        <f ca="1">I50-I48</f>
        <v>0</v>
      </c>
      <c r="J46" s="16">
        <f t="shared" ref="J46:J54" ca="1" si="58">SUM(G46:I46)</f>
        <v>22094290.969999999</v>
      </c>
      <c r="K46" s="18">
        <f t="shared" ref="K46:K54" ca="1" si="59">F46+J46</f>
        <v>51124813.700000003</v>
      </c>
      <c r="L46" s="21">
        <f t="shared" ref="L46:N46" ca="1" si="60">L50-L48</f>
        <v>0</v>
      </c>
      <c r="M46" s="21">
        <f t="shared" ca="1" si="60"/>
        <v>0</v>
      </c>
      <c r="N46" s="21">
        <f t="shared" ca="1" si="60"/>
        <v>0</v>
      </c>
      <c r="O46" s="16">
        <f t="shared" ref="O46:O54" ca="1" si="61">SUM(L46:N46)</f>
        <v>0</v>
      </c>
      <c r="P46" s="21">
        <f t="shared" ref="P46:R46" ca="1" si="62">P50-P48</f>
        <v>0</v>
      </c>
      <c r="Q46" s="21">
        <f t="shared" ca="1" si="62"/>
        <v>0</v>
      </c>
      <c r="R46" s="21">
        <f t="shared" ca="1" si="62"/>
        <v>0</v>
      </c>
      <c r="S46" s="50">
        <f t="shared" ref="S46:S54" ca="1" si="63">SUM(K46,O46:R46)</f>
        <v>51124813.700000003</v>
      </c>
    </row>
    <row r="47" spans="2:19" s="23" customFormat="1" ht="30" customHeight="1" x14ac:dyDescent="0.3">
      <c r="B47" s="14" t="s">
        <v>21</v>
      </c>
      <c r="C47" s="64">
        <v>3333333.3333333335</v>
      </c>
      <c r="D47" s="65">
        <v>3333333.3333333335</v>
      </c>
      <c r="E47" s="65">
        <v>3427069.3899999978</v>
      </c>
      <c r="F47" s="66">
        <f t="shared" ca="1" si="56"/>
        <v>10093736.056666665</v>
      </c>
      <c r="G47" s="65">
        <v>5000000</v>
      </c>
      <c r="H47" s="65">
        <v>5000000</v>
      </c>
      <c r="I47" s="65">
        <v>5000000</v>
      </c>
      <c r="J47" s="66">
        <f t="shared" ca="1" si="58"/>
        <v>15000000</v>
      </c>
      <c r="K47" s="66">
        <f t="shared" ca="1" si="59"/>
        <v>25093736.056666665</v>
      </c>
      <c r="L47" s="65">
        <v>5000000</v>
      </c>
      <c r="M47" s="65">
        <v>5000000</v>
      </c>
      <c r="N47" s="65">
        <v>5000000</v>
      </c>
      <c r="O47" s="66">
        <f t="shared" ca="1" si="61"/>
        <v>15000000</v>
      </c>
      <c r="P47" s="65">
        <v>5000000</v>
      </c>
      <c r="Q47" s="65">
        <v>5000000</v>
      </c>
      <c r="R47" s="65">
        <v>5000000</v>
      </c>
      <c r="S47" s="50">
        <f t="shared" ca="1" si="63"/>
        <v>55093736.056666665</v>
      </c>
    </row>
    <row r="48" spans="2:19" s="23" customFormat="1" ht="30" customHeight="1" x14ac:dyDescent="0.3">
      <c r="B48" s="51" t="s">
        <v>34</v>
      </c>
      <c r="C48" s="52">
        <v>2482249.4200000018</v>
      </c>
      <c r="D48" s="52">
        <v>7214865.459999999</v>
      </c>
      <c r="E48" s="52">
        <v>3427069.3899999978</v>
      </c>
      <c r="F48" s="16">
        <f t="shared" ca="1" si="56"/>
        <v>13124184.27</v>
      </c>
      <c r="G48" s="52">
        <v>4693876.3</v>
      </c>
      <c r="H48" s="52">
        <v>631246</v>
      </c>
      <c r="I48" s="52">
        <v>0</v>
      </c>
      <c r="J48" s="16">
        <f t="shared" ca="1" si="58"/>
        <v>5325122.3</v>
      </c>
      <c r="K48" s="18">
        <f t="shared" ca="1" si="59"/>
        <v>18449306.57</v>
      </c>
      <c r="L48" s="52">
        <v>0</v>
      </c>
      <c r="M48" s="52">
        <v>0</v>
      </c>
      <c r="N48" s="52">
        <v>0</v>
      </c>
      <c r="O48" s="16">
        <f t="shared" ca="1" si="61"/>
        <v>0</v>
      </c>
      <c r="P48" s="52">
        <v>0</v>
      </c>
      <c r="Q48" s="52">
        <v>0</v>
      </c>
      <c r="R48" s="52">
        <v>0</v>
      </c>
      <c r="S48" s="50">
        <f t="shared" ca="1" si="63"/>
        <v>18449306.57</v>
      </c>
    </row>
    <row r="49" spans="2:19" s="23" customFormat="1" ht="30" customHeight="1" x14ac:dyDescent="0.3">
      <c r="B49" s="14" t="s">
        <v>24</v>
      </c>
      <c r="C49" s="53">
        <f t="shared" ref="C49:I49" ca="1" si="64">C45+C47</f>
        <v>10196782.229999999</v>
      </c>
      <c r="D49" s="70">
        <f t="shared" ca="1" si="64"/>
        <v>9045086.6800000016</v>
      </c>
      <c r="E49" s="70">
        <f ca="1">E45+E47</f>
        <v>10029899</v>
      </c>
      <c r="F49" s="66">
        <f t="shared" ca="1" si="56"/>
        <v>29271767.91</v>
      </c>
      <c r="G49" s="70">
        <f t="shared" ca="1" si="64"/>
        <v>13105819.927999998</v>
      </c>
      <c r="H49" s="70">
        <f t="shared" ca="1" si="64"/>
        <v>19760547.716499999</v>
      </c>
      <c r="I49" s="70">
        <f t="shared" ca="1" si="64"/>
        <v>23758238.4835</v>
      </c>
      <c r="J49" s="66">
        <f t="shared" ca="1" si="58"/>
        <v>56624606.127999991</v>
      </c>
      <c r="K49" s="66">
        <f t="shared" ca="1" si="59"/>
        <v>85896374.037999988</v>
      </c>
      <c r="L49" s="70">
        <f t="shared" ref="L49:N49" ca="1" si="65">L45+L47</f>
        <v>17032345.795499999</v>
      </c>
      <c r="M49" s="70">
        <f t="shared" ca="1" si="65"/>
        <v>16132699.958000004</v>
      </c>
      <c r="N49" s="70">
        <f t="shared" ca="1" si="65"/>
        <v>13559770.9705</v>
      </c>
      <c r="O49" s="66">
        <f t="shared" ca="1" si="61"/>
        <v>46724816.724000007</v>
      </c>
      <c r="P49" s="70">
        <f t="shared" ref="P49:R49" ca="1" si="66">P45+P47</f>
        <v>31069940.448999997</v>
      </c>
      <c r="Q49" s="70">
        <f t="shared" ca="1" si="66"/>
        <v>26304264.908999994</v>
      </c>
      <c r="R49" s="70">
        <f t="shared" ca="1" si="66"/>
        <v>22083424.340499997</v>
      </c>
      <c r="S49" s="50">
        <f t="shared" ca="1" si="63"/>
        <v>212078820.4605</v>
      </c>
    </row>
    <row r="50" spans="2:19" s="23" customFormat="1" ht="30" customHeight="1" x14ac:dyDescent="0.3">
      <c r="B50" s="55" t="s">
        <v>25</v>
      </c>
      <c r="C50" s="56">
        <v>15299070</v>
      </c>
      <c r="D50" s="56">
        <v>16825738</v>
      </c>
      <c r="E50" s="56">
        <v>10029899</v>
      </c>
      <c r="F50" s="16">
        <f t="shared" ca="1" si="56"/>
        <v>42154707</v>
      </c>
      <c r="G50" s="56">
        <v>21316783.609999999</v>
      </c>
      <c r="H50" s="56">
        <v>6102629.6600000001</v>
      </c>
      <c r="I50" s="56">
        <v>0</v>
      </c>
      <c r="J50" s="16">
        <f t="shared" ca="1" si="58"/>
        <v>27419413.27</v>
      </c>
      <c r="K50" s="18">
        <f t="shared" ca="1" si="59"/>
        <v>69574120.269999996</v>
      </c>
      <c r="L50" s="56">
        <v>0</v>
      </c>
      <c r="M50" s="56">
        <v>0</v>
      </c>
      <c r="N50" s="56">
        <v>0</v>
      </c>
      <c r="O50" s="16">
        <f t="shared" ca="1" si="61"/>
        <v>0</v>
      </c>
      <c r="P50" s="56">
        <v>0</v>
      </c>
      <c r="Q50" s="56">
        <v>0</v>
      </c>
      <c r="R50" s="56">
        <v>0</v>
      </c>
      <c r="S50" s="50">
        <f t="shared" ca="1" si="63"/>
        <v>69574120.269999996</v>
      </c>
    </row>
    <row r="51" spans="2:19" s="23" customFormat="1" ht="30" customHeight="1" x14ac:dyDescent="0.3">
      <c r="B51" s="14" t="s">
        <v>26</v>
      </c>
      <c r="C51" s="53">
        <v>56250000</v>
      </c>
      <c r="D51" s="70">
        <v>56250000</v>
      </c>
      <c r="E51" s="70">
        <v>2346182</v>
      </c>
      <c r="F51" s="66">
        <f t="shared" ca="1" si="56"/>
        <v>114846182</v>
      </c>
      <c r="G51" s="70">
        <v>12500000</v>
      </c>
      <c r="H51" s="70">
        <v>12500000</v>
      </c>
      <c r="I51" s="70">
        <v>12500000</v>
      </c>
      <c r="J51" s="66">
        <f t="shared" ca="1" si="58"/>
        <v>37500000</v>
      </c>
      <c r="K51" s="66">
        <f t="shared" ca="1" si="59"/>
        <v>152346182</v>
      </c>
      <c r="L51" s="70">
        <v>12500000</v>
      </c>
      <c r="M51" s="70">
        <v>12500000</v>
      </c>
      <c r="N51" s="70">
        <v>12500000</v>
      </c>
      <c r="O51" s="66">
        <f t="shared" ca="1" si="61"/>
        <v>37500000</v>
      </c>
      <c r="P51" s="70">
        <v>13750000</v>
      </c>
      <c r="Q51" s="70">
        <v>13750000</v>
      </c>
      <c r="R51" s="70">
        <v>13750000</v>
      </c>
      <c r="S51" s="50">
        <f t="shared" ca="1" si="63"/>
        <v>231096182</v>
      </c>
    </row>
    <row r="52" spans="2:19" s="23" customFormat="1" ht="30" customHeight="1" x14ac:dyDescent="0.3">
      <c r="B52" s="58" t="s">
        <v>27</v>
      </c>
      <c r="C52" s="30">
        <v>7191798</v>
      </c>
      <c r="D52" s="30">
        <v>7367242</v>
      </c>
      <c r="E52" s="30">
        <v>2346182</v>
      </c>
      <c r="F52" s="31">
        <f t="shared" ca="1" si="56"/>
        <v>16905222</v>
      </c>
      <c r="G52" s="30">
        <v>259378.44000000018</v>
      </c>
      <c r="H52" s="30">
        <v>1455390.5400000007</v>
      </c>
      <c r="I52" s="30">
        <v>0</v>
      </c>
      <c r="J52" s="31">
        <f t="shared" ca="1" si="58"/>
        <v>1714768.9800000009</v>
      </c>
      <c r="K52" s="32">
        <f t="shared" ca="1" si="59"/>
        <v>18619990.98</v>
      </c>
      <c r="L52" s="56">
        <v>0</v>
      </c>
      <c r="M52" s="56">
        <v>0</v>
      </c>
      <c r="N52" s="56">
        <v>0</v>
      </c>
      <c r="O52" s="31">
        <f t="shared" ca="1" si="61"/>
        <v>0</v>
      </c>
      <c r="P52" s="56">
        <v>0</v>
      </c>
      <c r="Q52" s="56">
        <v>0</v>
      </c>
      <c r="R52" s="56">
        <v>0</v>
      </c>
      <c r="S52" s="59">
        <f t="shared" ca="1" si="63"/>
        <v>18619990.98</v>
      </c>
    </row>
    <row r="53" spans="2:19" s="23" customFormat="1" ht="30" customHeight="1" x14ac:dyDescent="0.3">
      <c r="B53" s="34" t="s">
        <v>28</v>
      </c>
      <c r="C53" s="77">
        <f t="shared" ref="C53:E53" ca="1" si="67">C49+C51</f>
        <v>66446782.229999997</v>
      </c>
      <c r="D53" s="78">
        <f t="shared" ca="1" si="67"/>
        <v>65295086.68</v>
      </c>
      <c r="E53" s="78">
        <f t="shared" ca="1" si="67"/>
        <v>12376081</v>
      </c>
      <c r="F53" s="79">
        <f t="shared" ca="1" si="56"/>
        <v>144117949.91</v>
      </c>
      <c r="G53" s="78">
        <f t="shared" ref="G53:I53" ca="1" si="68">G49+G51</f>
        <v>25605819.927999996</v>
      </c>
      <c r="H53" s="78">
        <f t="shared" ca="1" si="68"/>
        <v>32260547.716499999</v>
      </c>
      <c r="I53" s="78">
        <f t="shared" ca="1" si="68"/>
        <v>36258238.483500004</v>
      </c>
      <c r="J53" s="79">
        <f t="shared" ca="1" si="58"/>
        <v>94124606.127999991</v>
      </c>
      <c r="K53" s="79">
        <f t="shared" ca="1" si="59"/>
        <v>238242556.03799999</v>
      </c>
      <c r="L53" s="78">
        <f t="shared" ref="L53:N53" ca="1" si="69">L49+L51</f>
        <v>29532345.795499999</v>
      </c>
      <c r="M53" s="78">
        <f ca="1">M49+M51</f>
        <v>28632699.958000004</v>
      </c>
      <c r="N53" s="78">
        <f t="shared" ca="1" si="69"/>
        <v>26059770.9705</v>
      </c>
      <c r="O53" s="79">
        <f t="shared" ca="1" si="61"/>
        <v>84224816.724000007</v>
      </c>
      <c r="P53" s="78">
        <f t="shared" ref="P53:R53" ca="1" si="70">P49+P51</f>
        <v>44819940.449000001</v>
      </c>
      <c r="Q53" s="78">
        <f t="shared" ca="1" si="70"/>
        <v>40054264.908999994</v>
      </c>
      <c r="R53" s="78">
        <f t="shared" ca="1" si="70"/>
        <v>35833424.340499997</v>
      </c>
      <c r="S53" s="60">
        <f t="shared" ca="1" si="63"/>
        <v>443175002.46049994</v>
      </c>
    </row>
    <row r="54" spans="2:19" s="23" customFormat="1" ht="30" customHeight="1" x14ac:dyDescent="0.3">
      <c r="B54" s="61" t="s">
        <v>29</v>
      </c>
      <c r="C54" s="62">
        <f ca="1">C50+C52</f>
        <v>22490868</v>
      </c>
      <c r="D54" s="62">
        <f ca="1">D50+D52</f>
        <v>24192980</v>
      </c>
      <c r="E54" s="62">
        <f ca="1">E50+E52</f>
        <v>12376081</v>
      </c>
      <c r="F54" s="41">
        <f ca="1">SUM(C54:E54)</f>
        <v>59059929</v>
      </c>
      <c r="G54" s="62">
        <f ca="1">G50+G52</f>
        <v>21576162.050000001</v>
      </c>
      <c r="H54" s="62">
        <f ca="1">H50+H52</f>
        <v>7558020.2000000011</v>
      </c>
      <c r="I54" s="62">
        <f ca="1">I50+I52</f>
        <v>0</v>
      </c>
      <c r="J54" s="41">
        <f t="shared" ca="1" si="58"/>
        <v>29134182.25</v>
      </c>
      <c r="K54" s="42">
        <f t="shared" ca="1" si="59"/>
        <v>88194111.25</v>
      </c>
      <c r="L54" s="62">
        <f ca="1">L50+L52</f>
        <v>0</v>
      </c>
      <c r="M54" s="62">
        <f ca="1">M50+M52</f>
        <v>0</v>
      </c>
      <c r="N54" s="62">
        <f ca="1">N50+N52</f>
        <v>0</v>
      </c>
      <c r="O54" s="41">
        <f t="shared" ca="1" si="61"/>
        <v>0</v>
      </c>
      <c r="P54" s="62">
        <f ca="1">P50+P52</f>
        <v>0</v>
      </c>
      <c r="Q54" s="62">
        <f ca="1">Q50+Q52</f>
        <v>0</v>
      </c>
      <c r="R54" s="62">
        <f ca="1">R50+R52</f>
        <v>0</v>
      </c>
      <c r="S54" s="63">
        <f t="shared" ca="1" si="63"/>
        <v>88194111.25</v>
      </c>
    </row>
    <row r="55" spans="2:19" s="23" customFormat="1" ht="30" customHeight="1" x14ac:dyDescent="0.3">
      <c r="B55" s="82"/>
      <c r="C55" s="83"/>
      <c r="D55" s="83"/>
      <c r="E55" s="83"/>
      <c r="F55" s="84"/>
      <c r="G55" s="83"/>
      <c r="H55" s="83"/>
      <c r="I55" s="83"/>
      <c r="J55" s="84"/>
      <c r="K55" s="84"/>
      <c r="L55" s="83"/>
      <c r="M55" s="83"/>
      <c r="N55" s="83"/>
      <c r="O55" s="84"/>
      <c r="P55" s="83"/>
      <c r="Q55" s="83"/>
      <c r="R55" s="83"/>
      <c r="S55" s="85"/>
    </row>
    <row r="56" spans="2:19" ht="30" customHeight="1" x14ac:dyDescent="0.3">
      <c r="B56" s="46" t="s">
        <v>33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 spans="2:19" ht="30" customHeight="1" x14ac:dyDescent="0.3">
      <c r="B57" s="8">
        <v>2026</v>
      </c>
      <c r="C57" s="47" t="s">
        <v>2</v>
      </c>
      <c r="D57" s="48" t="s">
        <v>3</v>
      </c>
      <c r="E57" s="49" t="s">
        <v>4</v>
      </c>
      <c r="F57" s="12" t="s">
        <v>5</v>
      </c>
      <c r="G57" s="11" t="s">
        <v>6</v>
      </c>
      <c r="H57" s="10" t="s">
        <v>7</v>
      </c>
      <c r="I57" s="10" t="s">
        <v>8</v>
      </c>
      <c r="J57" s="12" t="s">
        <v>9</v>
      </c>
      <c r="K57" s="12" t="s">
        <v>10</v>
      </c>
      <c r="L57" s="10" t="s">
        <v>11</v>
      </c>
      <c r="M57" s="10" t="s">
        <v>12</v>
      </c>
      <c r="N57" s="10" t="s">
        <v>13</v>
      </c>
      <c r="O57" s="12" t="s">
        <v>14</v>
      </c>
      <c r="P57" s="10" t="s">
        <v>15</v>
      </c>
      <c r="Q57" s="10" t="s">
        <v>16</v>
      </c>
      <c r="R57" s="10" t="s">
        <v>17</v>
      </c>
      <c r="S57" s="13" t="s">
        <v>18</v>
      </c>
    </row>
    <row r="58" spans="2:19" s="23" customFormat="1" ht="30" customHeight="1" x14ac:dyDescent="0.3">
      <c r="B58" s="51" t="s">
        <v>20</v>
      </c>
      <c r="C58" s="21">
        <f ca="1">C60-C59</f>
        <v>0</v>
      </c>
      <c r="D58" s="21">
        <f ca="1">D60-D59</f>
        <v>0</v>
      </c>
      <c r="E58" s="21">
        <f ca="1">E60-E59</f>
        <v>0</v>
      </c>
      <c r="F58" s="16">
        <f ca="1">SUM(C58:E58)</f>
        <v>0</v>
      </c>
      <c r="G58" s="21">
        <f ca="1">G60-G59</f>
        <v>393720.83</v>
      </c>
      <c r="H58" s="21">
        <f ca="1">H60-H59</f>
        <v>0</v>
      </c>
      <c r="I58" s="21">
        <f ca="1">I60-I59</f>
        <v>0</v>
      </c>
      <c r="J58" s="16">
        <f ca="1">SUM(G58:I58)</f>
        <v>393720.83</v>
      </c>
      <c r="K58" s="18">
        <f ca="1">F58+J58</f>
        <v>393720.83</v>
      </c>
      <c r="L58" s="21">
        <f ca="1">L60-L59</f>
        <v>0</v>
      </c>
      <c r="M58" s="21">
        <f ca="1">M60-M59</f>
        <v>0</v>
      </c>
      <c r="N58" s="21">
        <f ca="1">N60-N59</f>
        <v>0</v>
      </c>
      <c r="O58" s="16">
        <f t="shared" ref="O58:O62" ca="1" si="71">SUM(L58:N58)</f>
        <v>0</v>
      </c>
      <c r="P58" s="21">
        <f ca="1">P60-P59</f>
        <v>0</v>
      </c>
      <c r="Q58" s="21">
        <f ca="1">Q60-Q59</f>
        <v>0</v>
      </c>
      <c r="R58" s="21">
        <f ca="1">R60-R59</f>
        <v>0</v>
      </c>
      <c r="S58" s="50">
        <f t="shared" ref="S58:S62" ca="1" si="72">SUM(K58,O58:R58)</f>
        <v>393720.83</v>
      </c>
    </row>
    <row r="59" spans="2:19" s="23" customFormat="1" ht="30" customHeight="1" x14ac:dyDescent="0.3">
      <c r="B59" s="51" t="s">
        <v>34</v>
      </c>
      <c r="C59" s="52">
        <v>0</v>
      </c>
      <c r="D59" s="52">
        <v>0</v>
      </c>
      <c r="E59" s="52">
        <v>0</v>
      </c>
      <c r="F59" s="16">
        <f ca="1">SUM(C59:E59)</f>
        <v>0</v>
      </c>
      <c r="G59" s="52">
        <v>0</v>
      </c>
      <c r="H59" s="52">
        <v>1223891</v>
      </c>
      <c r="I59" s="52">
        <v>0</v>
      </c>
      <c r="J59" s="16">
        <f ca="1">SUM(G59:I59)</f>
        <v>1223891</v>
      </c>
      <c r="K59" s="18">
        <f ca="1">F59+J59</f>
        <v>1223891</v>
      </c>
      <c r="L59" s="52">
        <v>0</v>
      </c>
      <c r="M59" s="52">
        <v>0</v>
      </c>
      <c r="N59" s="52">
        <v>0</v>
      </c>
      <c r="O59" s="16">
        <f t="shared" ca="1" si="71"/>
        <v>0</v>
      </c>
      <c r="P59" s="52">
        <v>0</v>
      </c>
      <c r="Q59" s="52">
        <v>0</v>
      </c>
      <c r="R59" s="52">
        <v>0</v>
      </c>
      <c r="S59" s="50">
        <f t="shared" ca="1" si="72"/>
        <v>1223891</v>
      </c>
    </row>
    <row r="60" spans="2:19" s="23" customFormat="1" ht="30" customHeight="1" x14ac:dyDescent="0.3">
      <c r="B60" s="55" t="s">
        <v>25</v>
      </c>
      <c r="C60" s="56">
        <v>0</v>
      </c>
      <c r="D60" s="56">
        <v>0</v>
      </c>
      <c r="E60" s="56">
        <v>0</v>
      </c>
      <c r="F60" s="16">
        <f ca="1">SUM(C60:E60)</f>
        <v>0</v>
      </c>
      <c r="G60" s="56">
        <v>393720.83</v>
      </c>
      <c r="H60" s="56">
        <v>1223891</v>
      </c>
      <c r="I60" s="56">
        <v>0</v>
      </c>
      <c r="J60" s="16">
        <f ca="1">SUM(G60:I60)</f>
        <v>1617611.83</v>
      </c>
      <c r="K60" s="18">
        <f t="shared" ref="K60:K62" ca="1" si="73">F60+J60</f>
        <v>1617611.83</v>
      </c>
      <c r="L60" s="56">
        <v>0</v>
      </c>
      <c r="M60" s="56">
        <v>0</v>
      </c>
      <c r="N60" s="56">
        <v>0</v>
      </c>
      <c r="O60" s="16">
        <f t="shared" ca="1" si="71"/>
        <v>0</v>
      </c>
      <c r="P60" s="56">
        <v>0</v>
      </c>
      <c r="Q60" s="56">
        <v>0</v>
      </c>
      <c r="R60" s="56">
        <v>0</v>
      </c>
      <c r="S60" s="50">
        <f t="shared" ca="1" si="72"/>
        <v>1617611.83</v>
      </c>
    </row>
    <row r="61" spans="2:19" s="23" customFormat="1" ht="30" customHeight="1" x14ac:dyDescent="0.3">
      <c r="B61" s="58" t="s">
        <v>27</v>
      </c>
      <c r="C61" s="30">
        <v>0</v>
      </c>
      <c r="D61" s="30">
        <v>0</v>
      </c>
      <c r="E61" s="30">
        <v>0</v>
      </c>
      <c r="F61" s="31">
        <f ca="1">SUM(C61:E61)</f>
        <v>0</v>
      </c>
      <c r="G61" s="30">
        <v>52477344.929999992</v>
      </c>
      <c r="H61" s="30">
        <v>15945429.59</v>
      </c>
      <c r="I61" s="30">
        <v>0</v>
      </c>
      <c r="J61" s="31">
        <f ca="1">SUM(G61:I61)</f>
        <v>68422774.519999996</v>
      </c>
      <c r="K61" s="32">
        <f ca="1">F61+J61</f>
        <v>68422774.519999996</v>
      </c>
      <c r="L61" s="56">
        <v>0</v>
      </c>
      <c r="M61" s="56">
        <v>0</v>
      </c>
      <c r="N61" s="56">
        <v>0</v>
      </c>
      <c r="O61" s="31">
        <f t="shared" ca="1" si="71"/>
        <v>0</v>
      </c>
      <c r="P61" s="56">
        <v>0</v>
      </c>
      <c r="Q61" s="56">
        <v>0</v>
      </c>
      <c r="R61" s="56">
        <v>0</v>
      </c>
      <c r="S61" s="59">
        <f t="shared" ca="1" si="72"/>
        <v>68422774.519999996</v>
      </c>
    </row>
    <row r="62" spans="2:19" s="23" customFormat="1" ht="30" customHeight="1" x14ac:dyDescent="0.3">
      <c r="B62" s="61" t="s">
        <v>29</v>
      </c>
      <c r="C62" s="62">
        <f ca="1">C60+C61</f>
        <v>0</v>
      </c>
      <c r="D62" s="62">
        <f ca="1">D60+D61</f>
        <v>0</v>
      </c>
      <c r="E62" s="62">
        <f ca="1">E60+E61</f>
        <v>0</v>
      </c>
      <c r="F62" s="41">
        <f ca="1">SUM(C62:E62)</f>
        <v>0</v>
      </c>
      <c r="G62" s="62">
        <f ca="1">G60+G61</f>
        <v>52871065.75999999</v>
      </c>
      <c r="H62" s="62">
        <f ca="1">H60+H61</f>
        <v>17169320.59</v>
      </c>
      <c r="I62" s="62">
        <f ca="1">I60+I61</f>
        <v>0</v>
      </c>
      <c r="J62" s="41">
        <f ca="1">SUM(G62:I62)</f>
        <v>70040386.349999994</v>
      </c>
      <c r="K62" s="42">
        <f ca="1">F62+J62</f>
        <v>70040386.349999994</v>
      </c>
      <c r="L62" s="62">
        <f ca="1">L60+L61</f>
        <v>0</v>
      </c>
      <c r="M62" s="62">
        <f ca="1">M60+M61</f>
        <v>0</v>
      </c>
      <c r="N62" s="62">
        <f ca="1">N60+N61</f>
        <v>0</v>
      </c>
      <c r="O62" s="41">
        <f t="shared" ca="1" si="71"/>
        <v>0</v>
      </c>
      <c r="P62" s="62">
        <f ca="1">P60+P61</f>
        <v>0</v>
      </c>
      <c r="Q62" s="62">
        <f ca="1">Q60+Q61</f>
        <v>0</v>
      </c>
      <c r="R62" s="62">
        <f ca="1">R60+R61</f>
        <v>0</v>
      </c>
      <c r="S62" s="63">
        <f t="shared" ca="1" si="72"/>
        <v>70040386.349999994</v>
      </c>
    </row>
    <row r="63" spans="2:19" s="23" customFormat="1" ht="30" customHeight="1" x14ac:dyDescent="0.3">
      <c r="B63" s="82"/>
      <c r="C63" s="91"/>
      <c r="D63" s="91"/>
      <c r="E63" s="91"/>
      <c r="F63" s="92"/>
      <c r="G63" s="91"/>
      <c r="H63" s="91"/>
      <c r="I63" s="91"/>
      <c r="J63" s="92"/>
      <c r="K63" s="84"/>
      <c r="L63" s="91"/>
      <c r="M63" s="91"/>
      <c r="N63" s="91"/>
      <c r="O63" s="92"/>
      <c r="P63" s="91"/>
      <c r="Q63" s="91"/>
      <c r="R63" s="91"/>
      <c r="S63" s="86"/>
    </row>
    <row r="64" spans="2:19" x14ac:dyDescent="0.3">
      <c r="B64" s="81" t="s">
        <v>35</v>
      </c>
    </row>
    <row r="65" spans="2:32" x14ac:dyDescent="0.3">
      <c r="C65" s="87"/>
      <c r="D65" s="87"/>
      <c r="E65" s="87"/>
      <c r="G65" s="87"/>
      <c r="H65" s="87"/>
      <c r="I65" s="87"/>
      <c r="J65" s="87"/>
      <c r="L65" s="87"/>
      <c r="M65" s="87"/>
      <c r="N65" s="87"/>
      <c r="P65" s="87"/>
      <c r="Q65" s="87"/>
      <c r="R65" s="87"/>
      <c r="S65" s="87"/>
    </row>
    <row r="66" spans="2:32" x14ac:dyDescent="0.3">
      <c r="B66" s="88"/>
    </row>
    <row r="67" spans="2:32" x14ac:dyDescent="0.3">
      <c r="L67" s="44"/>
      <c r="M67" s="44"/>
      <c r="N67" s="44"/>
      <c r="O67" s="44"/>
      <c r="P67" s="44"/>
    </row>
    <row r="68" spans="2:32" x14ac:dyDescent="0.3">
      <c r="L68" s="44"/>
      <c r="M68" s="44"/>
      <c r="N68" s="44"/>
      <c r="O68" s="44"/>
      <c r="P68" s="44"/>
    </row>
    <row r="69" spans="2:32" x14ac:dyDescent="0.3">
      <c r="L69" s="44"/>
      <c r="M69" s="44"/>
      <c r="N69" s="44"/>
      <c r="O69" s="44"/>
      <c r="P69" s="44"/>
    </row>
    <row r="71" spans="2:32" x14ac:dyDescent="0.3">
      <c r="L71" s="44"/>
      <c r="M71" s="44"/>
      <c r="N71" s="44"/>
      <c r="O71" s="44"/>
      <c r="P71" s="44"/>
    </row>
    <row r="72" spans="2:32" x14ac:dyDescent="0.3">
      <c r="L72" s="44"/>
      <c r="M72" s="44"/>
      <c r="N72" s="44"/>
      <c r="O72" s="44"/>
      <c r="P72" s="44"/>
    </row>
    <row r="73" spans="2:32" x14ac:dyDescent="0.3">
      <c r="L73" s="44"/>
      <c r="M73" s="44"/>
      <c r="N73" s="44"/>
      <c r="O73" s="44"/>
      <c r="P73" s="44"/>
    </row>
    <row r="80" spans="2:32" x14ac:dyDescent="0.3">
      <c r="AF80" t="s">
        <v>36</v>
      </c>
    </row>
    <row r="198" spans="12:12" hidden="1" x14ac:dyDescent="0.3"/>
    <row r="199" spans="12:12" x14ac:dyDescent="0.3">
      <c r="L199">
        <v>0</v>
      </c>
    </row>
  </sheetData>
  <mergeCells count="6">
    <mergeCell ref="B2:S2"/>
    <mergeCell ref="B4:S4"/>
    <mergeCell ref="B17:S17"/>
    <mergeCell ref="B30:S30"/>
    <mergeCell ref="B43:S43"/>
    <mergeCell ref="B56:S56"/>
  </mergeCells>
  <pageMargins left="2.1259842519685042" right="2.1259842519685042" top="0.74803149606299213" bottom="0.74803149606299213" header="0.31496062992125984" footer="0.31496062992125984"/>
  <pageSetup paperSize="8" scale="36" orientation="landscape" r:id="rId1"/>
  <headerFooter alignWithMargins="0">
    <oddHeader>&amp;LSOBHA LLC&amp;R&amp;D</oddHeader>
    <oddFooter>&amp;LCOLLECTIONS&amp;R&amp;P/&amp;N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2AB2-0047-42D2-9025-3DB95266409C}">
  <sheetPr>
    <tabColor theme="7" tint="0.79998168889431442"/>
    <pageSetUpPr fitToPage="1"/>
  </sheetPr>
  <dimension ref="A2:H159"/>
  <sheetViews>
    <sheetView view="pageBreakPreview" zoomScale="85" zoomScaleNormal="100" zoomScaleSheetLayoutView="85" workbookViewId="0">
      <selection activeCell="H14" sqref="H14"/>
    </sheetView>
  </sheetViews>
  <sheetFormatPr defaultRowHeight="14.4" outlineLevelRow="1" x14ac:dyDescent="0.3"/>
  <cols>
    <col min="1" max="1" width="11.5546875" bestFit="1" customWidth="1"/>
    <col min="2" max="2" width="31.88671875" bestFit="1" customWidth="1"/>
    <col min="3" max="3" width="10.88671875" customWidth="1"/>
    <col min="4" max="4" width="17.88671875" bestFit="1" customWidth="1"/>
    <col min="5" max="5" width="12.5546875" customWidth="1"/>
    <col min="6" max="6" width="19.88671875" bestFit="1" customWidth="1"/>
    <col min="7" max="7" width="15.5546875" customWidth="1"/>
    <col min="8" max="8" width="20" bestFit="1" customWidth="1"/>
  </cols>
  <sheetData>
    <row r="2" spans="1:8" ht="15" thickBot="1" x14ac:dyDescent="0.35">
      <c r="A2" s="93">
        <v>46148</v>
      </c>
    </row>
    <row r="3" spans="1:8" ht="18" x14ac:dyDescent="0.3">
      <c r="A3" s="94">
        <f ca="1">EOMONTH(A2,-1)+1</f>
        <v>46143</v>
      </c>
      <c r="B3" s="95" t="str">
        <f ca="1">"As on "&amp;TEXT(A2,"DD.MM.YY")</f>
        <v>As on 06.05.26</v>
      </c>
      <c r="C3" s="96"/>
      <c r="D3" s="96"/>
      <c r="E3" s="96"/>
      <c r="F3" s="96"/>
      <c r="G3" s="96"/>
      <c r="H3" s="97"/>
    </row>
    <row r="4" spans="1:8" ht="27.6" x14ac:dyDescent="0.3">
      <c r="B4" s="98" t="s">
        <v>38</v>
      </c>
      <c r="C4" s="99" t="s">
        <v>39</v>
      </c>
      <c r="D4" s="99" t="s">
        <v>40</v>
      </c>
      <c r="E4" s="99" t="s">
        <v>41</v>
      </c>
      <c r="F4" s="99" t="s">
        <v>42</v>
      </c>
      <c r="G4" s="99" t="s">
        <v>43</v>
      </c>
      <c r="H4" s="100" t="s">
        <v>44</v>
      </c>
    </row>
    <row r="5" spans="1:8" x14ac:dyDescent="0.3">
      <c r="B5" s="101" t="s">
        <v>45</v>
      </c>
      <c r="C5" s="102">
        <f ca="1">SUM(C6:C9)</f>
        <v>3</v>
      </c>
      <c r="D5" s="102">
        <f t="shared" ref="D5:H5" ca="1" si="0">SUM(D6:D9)</f>
        <v>33025916</v>
      </c>
      <c r="E5" s="102">
        <f t="shared" ca="1" si="0"/>
        <v>172</v>
      </c>
      <c r="F5" s="102">
        <f t="shared" ca="1" si="0"/>
        <v>2543576263.7699995</v>
      </c>
      <c r="G5" s="103">
        <f t="shared" ca="1" si="0"/>
        <v>175</v>
      </c>
      <c r="H5" s="104">
        <f t="shared" ca="1" si="0"/>
        <v>2576602179.7699995</v>
      </c>
    </row>
    <row r="6" spans="1:8" hidden="1" outlineLevel="1" x14ac:dyDescent="0.3">
      <c r="B6" s="105" t="s">
        <v>46</v>
      </c>
      <c r="C6" s="106">
        <v>3</v>
      </c>
      <c r="D6" s="106">
        <v>33025916</v>
      </c>
      <c r="E6" s="106">
        <v>157</v>
      </c>
      <c r="F6" s="106">
        <v>2225235711.0699997</v>
      </c>
      <c r="G6" s="107">
        <f t="shared" ref="G6:H27" ca="1" si="1">SUM(C6,E6)</f>
        <v>160</v>
      </c>
      <c r="H6" s="108">
        <f t="shared" ca="1" si="1"/>
        <v>2258261627.0699997</v>
      </c>
    </row>
    <row r="7" spans="1:8" hidden="1" outlineLevel="1" x14ac:dyDescent="0.3">
      <c r="B7" s="105" t="s">
        <v>47</v>
      </c>
      <c r="C7" s="106">
        <v>0</v>
      </c>
      <c r="D7" s="106">
        <v>0</v>
      </c>
      <c r="E7" s="106">
        <v>15</v>
      </c>
      <c r="F7" s="106">
        <v>318340552.69999999</v>
      </c>
      <c r="G7" s="107">
        <f t="shared" ca="1" si="1"/>
        <v>15</v>
      </c>
      <c r="H7" s="108">
        <f t="shared" ca="1" si="1"/>
        <v>318340552.69999999</v>
      </c>
    </row>
    <row r="8" spans="1:8" hidden="1" outlineLevel="1" x14ac:dyDescent="0.3">
      <c r="B8" s="105" t="s">
        <v>48</v>
      </c>
      <c r="C8" s="106">
        <v>0</v>
      </c>
      <c r="D8" s="106">
        <v>0</v>
      </c>
      <c r="E8" s="106">
        <v>0</v>
      </c>
      <c r="F8" s="106">
        <v>0</v>
      </c>
      <c r="G8" s="107">
        <f t="shared" ca="1" si="1"/>
        <v>0</v>
      </c>
      <c r="H8" s="108">
        <f t="shared" ca="1" si="1"/>
        <v>0</v>
      </c>
    </row>
    <row r="9" spans="1:8" hidden="1" outlineLevel="1" x14ac:dyDescent="0.3">
      <c r="B9" s="105" t="s">
        <v>49</v>
      </c>
      <c r="C9" s="106">
        <v>0</v>
      </c>
      <c r="D9" s="106">
        <v>0</v>
      </c>
      <c r="E9" s="106">
        <v>0</v>
      </c>
      <c r="F9" s="106">
        <v>0</v>
      </c>
      <c r="G9" s="107">
        <f t="shared" ca="1" si="1"/>
        <v>0</v>
      </c>
      <c r="H9" s="108">
        <f t="shared" ca="1" si="1"/>
        <v>0</v>
      </c>
    </row>
    <row r="10" spans="1:8" collapsed="1" x14ac:dyDescent="0.3">
      <c r="B10" s="109" t="s">
        <v>50</v>
      </c>
      <c r="C10" s="110">
        <f ca="1">SUM(C11:C19)</f>
        <v>1</v>
      </c>
      <c r="D10" s="110">
        <f t="shared" ref="D10:H10" ca="1" si="2">SUM(D11:D19)</f>
        <v>1113544.79</v>
      </c>
      <c r="E10" s="110">
        <f t="shared" ca="1" si="2"/>
        <v>3651</v>
      </c>
      <c r="F10" s="110">
        <f t="shared" ca="1" si="2"/>
        <v>6595199470.8799963</v>
      </c>
      <c r="G10" s="111">
        <f t="shared" ca="1" si="2"/>
        <v>3652</v>
      </c>
      <c r="H10" s="112">
        <f t="shared" ca="1" si="2"/>
        <v>6596313015.6699972</v>
      </c>
    </row>
    <row r="11" spans="1:8" hidden="1" outlineLevel="1" x14ac:dyDescent="0.3">
      <c r="B11" s="105" t="s">
        <v>51</v>
      </c>
      <c r="C11" s="106">
        <v>1</v>
      </c>
      <c r="D11" s="106">
        <v>1113544.79</v>
      </c>
      <c r="E11" s="106">
        <v>525</v>
      </c>
      <c r="F11" s="106">
        <v>848917775.02999771</v>
      </c>
      <c r="G11" s="107">
        <f t="shared" ca="1" si="1"/>
        <v>526</v>
      </c>
      <c r="H11" s="108">
        <f t="shared" ca="1" si="1"/>
        <v>850031319.81999767</v>
      </c>
    </row>
    <row r="12" spans="1:8" hidden="1" outlineLevel="1" x14ac:dyDescent="0.3">
      <c r="B12" s="105" t="s">
        <v>52</v>
      </c>
      <c r="C12" s="106">
        <v>0</v>
      </c>
      <c r="D12" s="106">
        <v>0</v>
      </c>
      <c r="E12" s="106">
        <v>569</v>
      </c>
      <c r="F12" s="106">
        <v>904102269.02000093</v>
      </c>
      <c r="G12" s="107">
        <f t="shared" ca="1" si="1"/>
        <v>569</v>
      </c>
      <c r="H12" s="108">
        <f t="shared" ca="1" si="1"/>
        <v>904102269.02000093</v>
      </c>
    </row>
    <row r="13" spans="1:8" hidden="1" outlineLevel="1" x14ac:dyDescent="0.3">
      <c r="B13" s="105" t="s">
        <v>53</v>
      </c>
      <c r="C13" s="106">
        <v>0</v>
      </c>
      <c r="D13" s="106">
        <v>0</v>
      </c>
      <c r="E13" s="106">
        <v>566</v>
      </c>
      <c r="F13" s="106">
        <v>966190532.11000013</v>
      </c>
      <c r="G13" s="107">
        <f t="shared" ca="1" si="1"/>
        <v>566</v>
      </c>
      <c r="H13" s="108">
        <f t="shared" ca="1" si="1"/>
        <v>966190532.11000013</v>
      </c>
    </row>
    <row r="14" spans="1:8" hidden="1" outlineLevel="1" x14ac:dyDescent="0.3">
      <c r="B14" s="105" t="s">
        <v>54</v>
      </c>
      <c r="C14" s="106">
        <v>0</v>
      </c>
      <c r="D14" s="106">
        <v>0</v>
      </c>
      <c r="E14" s="106">
        <v>557</v>
      </c>
      <c r="F14" s="106">
        <v>943131762.299999</v>
      </c>
      <c r="G14" s="107">
        <f t="shared" ca="1" si="1"/>
        <v>557</v>
      </c>
      <c r="H14" s="108">
        <f t="shared" ca="1" si="1"/>
        <v>943131762.299999</v>
      </c>
    </row>
    <row r="15" spans="1:8" hidden="1" outlineLevel="1" x14ac:dyDescent="0.3">
      <c r="B15" s="105" t="s">
        <v>55</v>
      </c>
      <c r="C15" s="106">
        <v>0</v>
      </c>
      <c r="D15" s="106">
        <v>0</v>
      </c>
      <c r="E15" s="106">
        <v>337</v>
      </c>
      <c r="F15" s="106">
        <v>674033743.31999969</v>
      </c>
      <c r="G15" s="107">
        <f t="shared" ca="1" si="1"/>
        <v>337</v>
      </c>
      <c r="H15" s="108">
        <f t="shared" ca="1" si="1"/>
        <v>674033743.31999969</v>
      </c>
    </row>
    <row r="16" spans="1:8" hidden="1" outlineLevel="1" x14ac:dyDescent="0.3">
      <c r="B16" s="105" t="s">
        <v>56</v>
      </c>
      <c r="C16" s="106">
        <v>0</v>
      </c>
      <c r="D16" s="106">
        <v>0</v>
      </c>
      <c r="E16" s="106">
        <v>331</v>
      </c>
      <c r="F16" s="106">
        <v>667686855.17999983</v>
      </c>
      <c r="G16" s="107">
        <f t="shared" ca="1" si="1"/>
        <v>331</v>
      </c>
      <c r="H16" s="108">
        <f t="shared" ca="1" si="1"/>
        <v>667686855.17999983</v>
      </c>
    </row>
    <row r="17" spans="2:8" hidden="1" outlineLevel="1" x14ac:dyDescent="0.3">
      <c r="B17" s="105" t="s">
        <v>57</v>
      </c>
      <c r="C17" s="106">
        <v>0</v>
      </c>
      <c r="D17" s="106">
        <v>0</v>
      </c>
      <c r="E17" s="106">
        <v>272</v>
      </c>
      <c r="F17" s="106">
        <v>562421690.48999977</v>
      </c>
      <c r="G17" s="107">
        <f t="shared" ca="1" si="1"/>
        <v>272</v>
      </c>
      <c r="H17" s="108">
        <f t="shared" ca="1" si="1"/>
        <v>562421690.48999977</v>
      </c>
    </row>
    <row r="18" spans="2:8" hidden="1" outlineLevel="1" x14ac:dyDescent="0.3">
      <c r="B18" s="105" t="s">
        <v>58</v>
      </c>
      <c r="C18" s="106">
        <v>0</v>
      </c>
      <c r="D18" s="106">
        <v>0</v>
      </c>
      <c r="E18" s="106">
        <v>222</v>
      </c>
      <c r="F18" s="106">
        <v>466293152.93999964</v>
      </c>
      <c r="G18" s="107">
        <f t="shared" ca="1" si="1"/>
        <v>222</v>
      </c>
      <c r="H18" s="108">
        <f t="shared" ca="1" si="1"/>
        <v>466293152.93999964</v>
      </c>
    </row>
    <row r="19" spans="2:8" hidden="1" outlineLevel="1" x14ac:dyDescent="0.3">
      <c r="B19" s="105" t="s">
        <v>57</v>
      </c>
      <c r="C19" s="106">
        <v>0</v>
      </c>
      <c r="D19" s="106">
        <v>0</v>
      </c>
      <c r="E19" s="106">
        <v>272</v>
      </c>
      <c r="F19" s="106">
        <v>562421690.48999977</v>
      </c>
      <c r="G19" s="107">
        <f t="shared" ca="1" si="1"/>
        <v>272</v>
      </c>
      <c r="H19" s="108">
        <f t="shared" ca="1" si="1"/>
        <v>562421690.48999977</v>
      </c>
    </row>
    <row r="20" spans="2:8" collapsed="1" x14ac:dyDescent="0.3">
      <c r="B20" s="109" t="s">
        <v>59</v>
      </c>
      <c r="C20" s="110">
        <f ca="1">SUM(C21:C27)</f>
        <v>4</v>
      </c>
      <c r="D20" s="110">
        <f t="shared" ref="D20:H20" ca="1" si="3">SUM(D21:D27)</f>
        <v>5906301.5999999996</v>
      </c>
      <c r="E20" s="110">
        <f t="shared" ca="1" si="3"/>
        <v>1616</v>
      </c>
      <c r="F20" s="110">
        <f t="shared" ca="1" si="3"/>
        <v>2624197434.2600002</v>
      </c>
      <c r="G20" s="111">
        <f t="shared" ca="1" si="3"/>
        <v>1620</v>
      </c>
      <c r="H20" s="112">
        <f t="shared" ca="1" si="3"/>
        <v>2630103735.8600001</v>
      </c>
    </row>
    <row r="21" spans="2:8" hidden="1" outlineLevel="1" x14ac:dyDescent="0.3">
      <c r="B21" s="105" t="s">
        <v>60</v>
      </c>
      <c r="C21" s="106">
        <v>0</v>
      </c>
      <c r="D21" s="106">
        <v>0</v>
      </c>
      <c r="E21" s="106">
        <v>322</v>
      </c>
      <c r="F21" s="106">
        <v>531633401.99000031</v>
      </c>
      <c r="G21" s="107">
        <f t="shared" ca="1" si="1"/>
        <v>322</v>
      </c>
      <c r="H21" s="108">
        <f t="shared" ca="1" si="1"/>
        <v>531633401.99000031</v>
      </c>
    </row>
    <row r="22" spans="2:8" hidden="1" outlineLevel="1" x14ac:dyDescent="0.3">
      <c r="B22" s="105" t="s">
        <v>61</v>
      </c>
      <c r="C22" s="106">
        <v>1</v>
      </c>
      <c r="D22" s="106">
        <v>1788098.04</v>
      </c>
      <c r="E22" s="106">
        <v>338</v>
      </c>
      <c r="F22" s="106">
        <v>551079298.8499999</v>
      </c>
      <c r="G22" s="113">
        <f t="shared" ca="1" si="1"/>
        <v>339</v>
      </c>
      <c r="H22" s="114">
        <f t="shared" ca="1" si="1"/>
        <v>552867396.88999987</v>
      </c>
    </row>
    <row r="23" spans="2:8" hidden="1" outlineLevel="1" x14ac:dyDescent="0.3">
      <c r="B23" s="105" t="s">
        <v>62</v>
      </c>
      <c r="C23" s="106">
        <v>0</v>
      </c>
      <c r="D23" s="106">
        <v>0</v>
      </c>
      <c r="E23" s="106">
        <v>252</v>
      </c>
      <c r="F23" s="106">
        <v>424661274.52000034</v>
      </c>
      <c r="G23" s="113">
        <f t="shared" ca="1" si="1"/>
        <v>252</v>
      </c>
      <c r="H23" s="114">
        <f t="shared" ca="1" si="1"/>
        <v>424661274.52000034</v>
      </c>
    </row>
    <row r="24" spans="2:8" hidden="1" outlineLevel="1" x14ac:dyDescent="0.3">
      <c r="B24" s="105" t="s">
        <v>63</v>
      </c>
      <c r="C24" s="106">
        <v>2</v>
      </c>
      <c r="D24" s="106">
        <v>2709503.75</v>
      </c>
      <c r="E24" s="106">
        <v>341</v>
      </c>
      <c r="F24" s="106">
        <v>534560589.04999983</v>
      </c>
      <c r="G24" s="113">
        <f t="shared" ca="1" si="1"/>
        <v>343</v>
      </c>
      <c r="H24" s="114">
        <f t="shared" ca="1" si="1"/>
        <v>537270092.79999983</v>
      </c>
    </row>
    <row r="25" spans="2:8" hidden="1" outlineLevel="1" x14ac:dyDescent="0.3">
      <c r="B25" s="105" t="s">
        <v>64</v>
      </c>
      <c r="C25" s="106">
        <v>0</v>
      </c>
      <c r="D25" s="106">
        <v>0</v>
      </c>
      <c r="E25" s="106">
        <v>268</v>
      </c>
      <c r="F25" s="106">
        <v>428893661.29999977</v>
      </c>
      <c r="G25" s="113">
        <f t="shared" ca="1" si="1"/>
        <v>268</v>
      </c>
      <c r="H25" s="114">
        <f t="shared" ca="1" si="1"/>
        <v>428893661.29999977</v>
      </c>
    </row>
    <row r="26" spans="2:8" hidden="1" outlineLevel="1" x14ac:dyDescent="0.3">
      <c r="B26" s="105" t="s">
        <v>65</v>
      </c>
      <c r="C26" s="106">
        <v>0</v>
      </c>
      <c r="D26" s="106">
        <v>0</v>
      </c>
      <c r="E26" s="106">
        <v>0</v>
      </c>
      <c r="F26" s="106">
        <v>0</v>
      </c>
      <c r="G26" s="113">
        <f t="shared" ca="1" si="1"/>
        <v>0</v>
      </c>
      <c r="H26" s="114">
        <f t="shared" ca="1" si="1"/>
        <v>0</v>
      </c>
    </row>
    <row r="27" spans="2:8" hidden="1" outlineLevel="1" x14ac:dyDescent="0.3">
      <c r="B27" s="105" t="s">
        <v>66</v>
      </c>
      <c r="C27" s="106">
        <v>1</v>
      </c>
      <c r="D27" s="106">
        <v>1408699.81</v>
      </c>
      <c r="E27" s="106">
        <v>95</v>
      </c>
      <c r="F27" s="106">
        <v>153369208.55000007</v>
      </c>
      <c r="G27" s="113">
        <f t="shared" ca="1" si="1"/>
        <v>96</v>
      </c>
      <c r="H27" s="114">
        <f t="shared" ca="1" si="1"/>
        <v>154777908.36000007</v>
      </c>
    </row>
    <row r="28" spans="2:8" ht="15" collapsed="1" thickBot="1" x14ac:dyDescent="0.35">
      <c r="B28" s="115" t="s">
        <v>18</v>
      </c>
      <c r="C28" s="116">
        <f ca="1">SUM(C5,C10,C20)</f>
        <v>8</v>
      </c>
      <c r="D28" s="116">
        <f t="shared" ref="D28:H28" ca="1" si="4">SUM(D5,D10,D20)</f>
        <v>40045762.390000001</v>
      </c>
      <c r="E28" s="116">
        <f t="shared" ca="1" si="4"/>
        <v>5439</v>
      </c>
      <c r="F28" s="116">
        <f t="shared" ca="1" si="4"/>
        <v>11762973168.909996</v>
      </c>
      <c r="G28" s="117">
        <f t="shared" ca="1" si="4"/>
        <v>5447</v>
      </c>
      <c r="H28" s="118">
        <f t="shared" ca="1" si="4"/>
        <v>11803018931.299997</v>
      </c>
    </row>
    <row r="29" spans="2:8" ht="26.4" customHeight="1" thickBot="1" x14ac:dyDescent="0.35">
      <c r="B29" s="119"/>
      <c r="C29" s="119"/>
      <c r="D29" s="119"/>
      <c r="E29" s="119"/>
      <c r="F29" s="119"/>
      <c r="G29" s="119"/>
      <c r="H29" s="119"/>
    </row>
    <row r="30" spans="2:8" ht="18" x14ac:dyDescent="0.3">
      <c r="B30" s="120" t="str">
        <f ca="1">"MTD "&amp;TEXT(A3,"mmm-YY")</f>
        <v>MTD May-26</v>
      </c>
      <c r="C30" s="121"/>
      <c r="D30" s="121"/>
      <c r="E30" s="121"/>
      <c r="F30" s="121"/>
      <c r="G30" s="121"/>
      <c r="H30" s="122"/>
    </row>
    <row r="31" spans="2:8" ht="27.6" x14ac:dyDescent="0.3">
      <c r="B31" s="98" t="s">
        <v>38</v>
      </c>
      <c r="C31" s="99" t="s">
        <v>67</v>
      </c>
      <c r="D31" s="99" t="s">
        <v>40</v>
      </c>
      <c r="E31" s="99" t="s">
        <v>41</v>
      </c>
      <c r="F31" s="99" t="s">
        <v>42</v>
      </c>
      <c r="G31" s="99" t="s">
        <v>68</v>
      </c>
      <c r="H31" s="100" t="s">
        <v>69</v>
      </c>
    </row>
    <row r="32" spans="2:8" x14ac:dyDescent="0.3">
      <c r="B32" s="101" t="s">
        <v>45</v>
      </c>
      <c r="C32" s="102">
        <f ca="1">SUM(C33:C36)</f>
        <v>0</v>
      </c>
      <c r="D32" s="102">
        <f t="shared" ref="D32" ca="1" si="5">SUM(D33:D36)</f>
        <v>0</v>
      </c>
      <c r="E32" s="102">
        <f ca="1">SUM(E33:E36)</f>
        <v>0</v>
      </c>
      <c r="F32" s="102">
        <f t="shared" ref="F32:H32" ca="1" si="6">SUM(F33:F36)</f>
        <v>0</v>
      </c>
      <c r="G32" s="103">
        <f t="shared" ca="1" si="6"/>
        <v>0</v>
      </c>
      <c r="H32" s="104">
        <f t="shared" ca="1" si="6"/>
        <v>0</v>
      </c>
    </row>
    <row r="33" spans="2:8" hidden="1" outlineLevel="1" x14ac:dyDescent="0.3">
      <c r="B33" s="105" t="s">
        <v>46</v>
      </c>
      <c r="C33" s="106">
        <v>0</v>
      </c>
      <c r="D33" s="106">
        <v>0</v>
      </c>
      <c r="E33" s="106">
        <v>0</v>
      </c>
      <c r="F33" s="106">
        <v>0</v>
      </c>
      <c r="G33" s="107">
        <f t="shared" ref="G33:H53" ca="1" si="7">SUM(C33,E33)</f>
        <v>0</v>
      </c>
      <c r="H33" s="108">
        <f t="shared" ca="1" si="7"/>
        <v>0</v>
      </c>
    </row>
    <row r="34" spans="2:8" hidden="1" outlineLevel="1" x14ac:dyDescent="0.3">
      <c r="B34" s="105" t="s">
        <v>47</v>
      </c>
      <c r="C34" s="106">
        <v>0</v>
      </c>
      <c r="D34" s="106">
        <v>0</v>
      </c>
      <c r="E34" s="106">
        <v>0</v>
      </c>
      <c r="F34" s="106">
        <v>0</v>
      </c>
      <c r="G34" s="107">
        <f t="shared" ca="1" si="7"/>
        <v>0</v>
      </c>
      <c r="H34" s="108">
        <f t="shared" ca="1" si="7"/>
        <v>0</v>
      </c>
    </row>
    <row r="35" spans="2:8" hidden="1" outlineLevel="1" x14ac:dyDescent="0.3">
      <c r="B35" s="105" t="s">
        <v>48</v>
      </c>
      <c r="C35" s="106">
        <v>0</v>
      </c>
      <c r="D35" s="106">
        <v>0</v>
      </c>
      <c r="E35" s="106">
        <v>0</v>
      </c>
      <c r="F35" s="106">
        <v>0</v>
      </c>
      <c r="G35" s="107">
        <f t="shared" ca="1" si="7"/>
        <v>0</v>
      </c>
      <c r="H35" s="108">
        <f t="shared" ca="1" si="7"/>
        <v>0</v>
      </c>
    </row>
    <row r="36" spans="2:8" hidden="1" outlineLevel="1" x14ac:dyDescent="0.3">
      <c r="B36" s="105" t="s">
        <v>49</v>
      </c>
      <c r="C36" s="106">
        <v>0</v>
      </c>
      <c r="D36" s="106">
        <v>0</v>
      </c>
      <c r="E36" s="106">
        <v>0</v>
      </c>
      <c r="F36" s="106">
        <v>0</v>
      </c>
      <c r="G36" s="107">
        <f t="shared" ca="1" si="7"/>
        <v>0</v>
      </c>
      <c r="H36" s="108">
        <f t="shared" ca="1" si="7"/>
        <v>0</v>
      </c>
    </row>
    <row r="37" spans="2:8" collapsed="1" x14ac:dyDescent="0.3">
      <c r="B37" s="109" t="s">
        <v>50</v>
      </c>
      <c r="C37" s="110">
        <f ca="1">SUM(C38:C45)</f>
        <v>0</v>
      </c>
      <c r="D37" s="110">
        <f t="shared" ref="D37:H37" ca="1" si="8">SUM(D38:D45)</f>
        <v>0</v>
      </c>
      <c r="E37" s="110">
        <f t="shared" ca="1" si="8"/>
        <v>0</v>
      </c>
      <c r="F37" s="110">
        <f t="shared" ca="1" si="8"/>
        <v>0</v>
      </c>
      <c r="G37" s="111">
        <f t="shared" ca="1" si="8"/>
        <v>0</v>
      </c>
      <c r="H37" s="112">
        <f t="shared" ca="1" si="8"/>
        <v>0</v>
      </c>
    </row>
    <row r="38" spans="2:8" hidden="1" outlineLevel="1" x14ac:dyDescent="0.3">
      <c r="B38" s="105" t="s">
        <v>51</v>
      </c>
      <c r="C38" s="106">
        <v>0</v>
      </c>
      <c r="D38" s="106">
        <v>0</v>
      </c>
      <c r="E38" s="106">
        <v>0</v>
      </c>
      <c r="F38" s="106">
        <v>0</v>
      </c>
      <c r="G38" s="107">
        <f t="shared" ca="1" si="7"/>
        <v>0</v>
      </c>
      <c r="H38" s="108">
        <f t="shared" ca="1" si="7"/>
        <v>0</v>
      </c>
    </row>
    <row r="39" spans="2:8" hidden="1" outlineLevel="1" x14ac:dyDescent="0.3">
      <c r="B39" s="105" t="s">
        <v>52</v>
      </c>
      <c r="C39" s="106">
        <v>0</v>
      </c>
      <c r="D39" s="106">
        <v>0</v>
      </c>
      <c r="E39" s="106">
        <v>0</v>
      </c>
      <c r="F39" s="106">
        <v>0</v>
      </c>
      <c r="G39" s="107">
        <f t="shared" ca="1" si="7"/>
        <v>0</v>
      </c>
      <c r="H39" s="108">
        <f t="shared" ca="1" si="7"/>
        <v>0</v>
      </c>
    </row>
    <row r="40" spans="2:8" hidden="1" outlineLevel="1" x14ac:dyDescent="0.3">
      <c r="B40" s="105" t="s">
        <v>53</v>
      </c>
      <c r="C40" s="106">
        <v>0</v>
      </c>
      <c r="D40" s="106">
        <v>0</v>
      </c>
      <c r="E40" s="106">
        <v>0</v>
      </c>
      <c r="F40" s="106">
        <v>0</v>
      </c>
      <c r="G40" s="107">
        <f t="shared" ca="1" si="7"/>
        <v>0</v>
      </c>
      <c r="H40" s="108">
        <f t="shared" ca="1" si="7"/>
        <v>0</v>
      </c>
    </row>
    <row r="41" spans="2:8" hidden="1" outlineLevel="1" x14ac:dyDescent="0.3">
      <c r="B41" s="105" t="s">
        <v>54</v>
      </c>
      <c r="C41" s="106">
        <v>0</v>
      </c>
      <c r="D41" s="106">
        <v>0</v>
      </c>
      <c r="E41" s="106">
        <v>0</v>
      </c>
      <c r="F41" s="106">
        <v>0</v>
      </c>
      <c r="G41" s="107">
        <f t="shared" ca="1" si="7"/>
        <v>0</v>
      </c>
      <c r="H41" s="108">
        <f t="shared" ca="1" si="7"/>
        <v>0</v>
      </c>
    </row>
    <row r="42" spans="2:8" hidden="1" outlineLevel="1" x14ac:dyDescent="0.3">
      <c r="B42" s="105" t="s">
        <v>55</v>
      </c>
      <c r="C42" s="106">
        <v>0</v>
      </c>
      <c r="D42" s="106">
        <v>0</v>
      </c>
      <c r="E42" s="106">
        <v>0</v>
      </c>
      <c r="F42" s="106">
        <v>0</v>
      </c>
      <c r="G42" s="107">
        <f t="shared" ca="1" si="7"/>
        <v>0</v>
      </c>
      <c r="H42" s="108">
        <f t="shared" ca="1" si="7"/>
        <v>0</v>
      </c>
    </row>
    <row r="43" spans="2:8" hidden="1" outlineLevel="1" x14ac:dyDescent="0.3">
      <c r="B43" s="105" t="s">
        <v>56</v>
      </c>
      <c r="C43" s="106">
        <v>0</v>
      </c>
      <c r="D43" s="106">
        <v>0</v>
      </c>
      <c r="E43" s="106">
        <v>0</v>
      </c>
      <c r="F43" s="106">
        <v>0</v>
      </c>
      <c r="G43" s="107">
        <f t="shared" ca="1" si="7"/>
        <v>0</v>
      </c>
      <c r="H43" s="108">
        <f t="shared" ca="1" si="7"/>
        <v>0</v>
      </c>
    </row>
    <row r="44" spans="2:8" hidden="1" outlineLevel="1" x14ac:dyDescent="0.3">
      <c r="B44" s="105" t="s">
        <v>57</v>
      </c>
      <c r="C44" s="106">
        <v>0</v>
      </c>
      <c r="D44" s="106">
        <v>0</v>
      </c>
      <c r="E44" s="106">
        <v>0</v>
      </c>
      <c r="F44" s="106">
        <v>0</v>
      </c>
      <c r="G44" s="107">
        <f t="shared" ca="1" si="7"/>
        <v>0</v>
      </c>
      <c r="H44" s="108">
        <f t="shared" ca="1" si="7"/>
        <v>0</v>
      </c>
    </row>
    <row r="45" spans="2:8" hidden="1" outlineLevel="1" x14ac:dyDescent="0.3">
      <c r="B45" s="105" t="s">
        <v>58</v>
      </c>
      <c r="C45" s="106">
        <v>0</v>
      </c>
      <c r="D45" s="106">
        <v>0</v>
      </c>
      <c r="E45" s="106">
        <v>0</v>
      </c>
      <c r="F45" s="106">
        <v>0</v>
      </c>
      <c r="G45" s="107">
        <f t="shared" ca="1" si="7"/>
        <v>0</v>
      </c>
      <c r="H45" s="108">
        <f t="shared" ca="1" si="7"/>
        <v>0</v>
      </c>
    </row>
    <row r="46" spans="2:8" collapsed="1" x14ac:dyDescent="0.3">
      <c r="B46" s="109" t="s">
        <v>59</v>
      </c>
      <c r="C46" s="110">
        <f ca="1">SUM(C47:C53)</f>
        <v>1</v>
      </c>
      <c r="D46" s="110">
        <f t="shared" ref="D46:H46" ca="1" si="9">SUM(D47:D53)</f>
        <v>1788098.04</v>
      </c>
      <c r="E46" s="110">
        <f t="shared" ca="1" si="9"/>
        <v>0</v>
      </c>
      <c r="F46" s="110">
        <f t="shared" ca="1" si="9"/>
        <v>0</v>
      </c>
      <c r="G46" s="111">
        <f t="shared" ca="1" si="9"/>
        <v>1</v>
      </c>
      <c r="H46" s="112">
        <f t="shared" ca="1" si="9"/>
        <v>1788098.04</v>
      </c>
    </row>
    <row r="47" spans="2:8" hidden="1" outlineLevel="1" x14ac:dyDescent="0.3">
      <c r="B47" s="105" t="s">
        <v>60</v>
      </c>
      <c r="C47" s="106">
        <v>0</v>
      </c>
      <c r="D47" s="106">
        <v>0</v>
      </c>
      <c r="E47" s="106">
        <v>0</v>
      </c>
      <c r="F47" s="106">
        <v>0</v>
      </c>
      <c r="G47" s="107">
        <f t="shared" ca="1" si="7"/>
        <v>0</v>
      </c>
      <c r="H47" s="108">
        <f t="shared" ca="1" si="7"/>
        <v>0</v>
      </c>
    </row>
    <row r="48" spans="2:8" hidden="1" outlineLevel="1" x14ac:dyDescent="0.3">
      <c r="B48" s="105" t="s">
        <v>61</v>
      </c>
      <c r="C48" s="106">
        <v>1</v>
      </c>
      <c r="D48" s="106">
        <v>1788098.04</v>
      </c>
      <c r="E48" s="106">
        <v>0</v>
      </c>
      <c r="F48" s="106">
        <v>0</v>
      </c>
      <c r="G48" s="107">
        <f t="shared" ca="1" si="7"/>
        <v>1</v>
      </c>
      <c r="H48" s="108">
        <f t="shared" ca="1" si="7"/>
        <v>1788098.04</v>
      </c>
    </row>
    <row r="49" spans="2:8" hidden="1" outlineLevel="1" x14ac:dyDescent="0.3">
      <c r="B49" s="105" t="s">
        <v>62</v>
      </c>
      <c r="C49" s="106">
        <v>0</v>
      </c>
      <c r="D49" s="106">
        <v>0</v>
      </c>
      <c r="E49" s="106">
        <v>0</v>
      </c>
      <c r="F49" s="106">
        <v>0</v>
      </c>
      <c r="G49" s="107">
        <f t="shared" ca="1" si="7"/>
        <v>0</v>
      </c>
      <c r="H49" s="108">
        <f t="shared" ca="1" si="7"/>
        <v>0</v>
      </c>
    </row>
    <row r="50" spans="2:8" hidden="1" outlineLevel="1" x14ac:dyDescent="0.3">
      <c r="B50" s="105" t="s">
        <v>63</v>
      </c>
      <c r="C50" s="106">
        <v>0</v>
      </c>
      <c r="D50" s="106">
        <v>0</v>
      </c>
      <c r="E50" s="106">
        <v>0</v>
      </c>
      <c r="F50" s="106">
        <v>0</v>
      </c>
      <c r="G50" s="107">
        <f t="shared" ca="1" si="7"/>
        <v>0</v>
      </c>
      <c r="H50" s="108">
        <f t="shared" ca="1" si="7"/>
        <v>0</v>
      </c>
    </row>
    <row r="51" spans="2:8" hidden="1" outlineLevel="1" x14ac:dyDescent="0.3">
      <c r="B51" s="105" t="s">
        <v>64</v>
      </c>
      <c r="C51" s="106">
        <v>0</v>
      </c>
      <c r="D51" s="106">
        <v>0</v>
      </c>
      <c r="E51" s="106">
        <v>0</v>
      </c>
      <c r="F51" s="106">
        <v>0</v>
      </c>
      <c r="G51" s="107">
        <f t="shared" ca="1" si="7"/>
        <v>0</v>
      </c>
      <c r="H51" s="108">
        <f t="shared" ca="1" si="7"/>
        <v>0</v>
      </c>
    </row>
    <row r="52" spans="2:8" hidden="1" outlineLevel="1" x14ac:dyDescent="0.3">
      <c r="B52" s="105" t="s">
        <v>65</v>
      </c>
      <c r="C52" s="106">
        <v>0</v>
      </c>
      <c r="D52" s="106">
        <v>0</v>
      </c>
      <c r="E52" s="106">
        <v>0</v>
      </c>
      <c r="F52" s="106">
        <v>0</v>
      </c>
      <c r="G52" s="107">
        <f t="shared" ca="1" si="7"/>
        <v>0</v>
      </c>
      <c r="H52" s="108">
        <f t="shared" ca="1" si="7"/>
        <v>0</v>
      </c>
    </row>
    <row r="53" spans="2:8" hidden="1" outlineLevel="1" x14ac:dyDescent="0.3">
      <c r="B53" s="105" t="s">
        <v>66</v>
      </c>
      <c r="C53" s="106">
        <v>0</v>
      </c>
      <c r="D53" s="106">
        <v>0</v>
      </c>
      <c r="E53" s="106">
        <v>0</v>
      </c>
      <c r="F53" s="106">
        <v>0</v>
      </c>
      <c r="G53" s="107">
        <f t="shared" ca="1" si="7"/>
        <v>0</v>
      </c>
      <c r="H53" s="108">
        <f t="shared" ca="1" si="7"/>
        <v>0</v>
      </c>
    </row>
    <row r="54" spans="2:8" collapsed="1" x14ac:dyDescent="0.3">
      <c r="B54" s="123" t="s">
        <v>18</v>
      </c>
      <c r="C54" s="124">
        <f ca="1">SUM(C32,C37,C46)</f>
        <v>1</v>
      </c>
      <c r="D54" s="124">
        <f t="shared" ref="D54:H54" ca="1" si="10">SUM(D32,D37,D46)</f>
        <v>1788098.04</v>
      </c>
      <c r="E54" s="124">
        <f t="shared" ca="1" si="10"/>
        <v>0</v>
      </c>
      <c r="F54" s="124">
        <f t="shared" ca="1" si="10"/>
        <v>0</v>
      </c>
      <c r="G54" s="125">
        <f t="shared" ca="1" si="10"/>
        <v>1</v>
      </c>
      <c r="H54" s="126">
        <f t="shared" ca="1" si="10"/>
        <v>1788098.04</v>
      </c>
    </row>
    <row r="55" spans="2:8" x14ac:dyDescent="0.3">
      <c r="B55" s="127"/>
      <c r="C55" s="23"/>
      <c r="D55" s="23"/>
      <c r="E55" s="23"/>
      <c r="F55" s="23"/>
      <c r="H55" s="128"/>
    </row>
    <row r="56" spans="2:8" ht="18" x14ac:dyDescent="0.3">
      <c r="B56" s="129" t="str">
        <f ca="1">"As on "&amp;TEXT(EOMONTH(A2,-1),"dd.mm.yy")</f>
        <v>As on 30.04.26</v>
      </c>
      <c r="C56" s="130"/>
      <c r="D56" s="130"/>
      <c r="E56" s="130"/>
      <c r="F56" s="130"/>
      <c r="G56" s="130"/>
      <c r="H56" s="131"/>
    </row>
    <row r="57" spans="2:8" ht="27.6" x14ac:dyDescent="0.3">
      <c r="B57" s="98" t="s">
        <v>38</v>
      </c>
      <c r="C57" s="99" t="s">
        <v>39</v>
      </c>
      <c r="D57" s="99" t="s">
        <v>40</v>
      </c>
      <c r="E57" s="99" t="s">
        <v>41</v>
      </c>
      <c r="F57" s="99" t="s">
        <v>42</v>
      </c>
      <c r="G57" s="99" t="s">
        <v>43</v>
      </c>
      <c r="H57" s="100" t="s">
        <v>44</v>
      </c>
    </row>
    <row r="58" spans="2:8" x14ac:dyDescent="0.3">
      <c r="B58" s="101" t="s">
        <v>45</v>
      </c>
      <c r="C58" s="102">
        <f ca="1">SUM(C59:C62)</f>
        <v>3</v>
      </c>
      <c r="D58" s="102">
        <f t="shared" ref="D58:H58" ca="1" si="11">SUM(D59:D62)</f>
        <v>33025916</v>
      </c>
      <c r="E58" s="102">
        <f t="shared" ca="1" si="11"/>
        <v>172</v>
      </c>
      <c r="F58" s="102">
        <f t="shared" ca="1" si="11"/>
        <v>2543576263.7699995</v>
      </c>
      <c r="G58" s="103">
        <f t="shared" ca="1" si="11"/>
        <v>175</v>
      </c>
      <c r="H58" s="104">
        <f t="shared" ca="1" si="11"/>
        <v>2576602179.7699995</v>
      </c>
    </row>
    <row r="59" spans="2:8" hidden="1" outlineLevel="1" x14ac:dyDescent="0.3">
      <c r="B59" s="105" t="s">
        <v>46</v>
      </c>
      <c r="C59" s="106">
        <f t="shared" ref="C59" ca="1" si="12">C6-C33</f>
        <v>3</v>
      </c>
      <c r="D59" s="106">
        <f ca="1">D6-D33</f>
        <v>33025916</v>
      </c>
      <c r="E59" s="106">
        <f t="shared" ref="E59:F62" ca="1" si="13">E6-E33</f>
        <v>157</v>
      </c>
      <c r="F59" s="106">
        <f t="shared" ca="1" si="13"/>
        <v>2225235711.0699997</v>
      </c>
      <c r="G59" s="107">
        <f t="shared" ref="G59:H79" ca="1" si="14">SUM(C59,E59)</f>
        <v>160</v>
      </c>
      <c r="H59" s="108">
        <f t="shared" ca="1" si="14"/>
        <v>2258261627.0699997</v>
      </c>
    </row>
    <row r="60" spans="2:8" hidden="1" outlineLevel="1" x14ac:dyDescent="0.3">
      <c r="B60" s="105" t="s">
        <v>47</v>
      </c>
      <c r="C60" s="106">
        <f ca="1">C7-C34</f>
        <v>0</v>
      </c>
      <c r="D60" s="106">
        <f ca="1">D7-D34</f>
        <v>0</v>
      </c>
      <c r="E60" s="106">
        <f t="shared" ca="1" si="13"/>
        <v>15</v>
      </c>
      <c r="F60" s="106">
        <f t="shared" ca="1" si="13"/>
        <v>318340552.69999999</v>
      </c>
      <c r="G60" s="107">
        <f t="shared" ca="1" si="14"/>
        <v>15</v>
      </c>
      <c r="H60" s="108">
        <f t="shared" ca="1" si="14"/>
        <v>318340552.69999999</v>
      </c>
    </row>
    <row r="61" spans="2:8" hidden="1" outlineLevel="1" x14ac:dyDescent="0.3">
      <c r="B61" s="105" t="s">
        <v>48</v>
      </c>
      <c r="C61" s="106">
        <f ca="1">C8-C35</f>
        <v>0</v>
      </c>
      <c r="D61" s="106">
        <f ca="1">D8-D35</f>
        <v>0</v>
      </c>
      <c r="E61" s="106">
        <f t="shared" ca="1" si="13"/>
        <v>0</v>
      </c>
      <c r="F61" s="106">
        <f t="shared" ca="1" si="13"/>
        <v>0</v>
      </c>
      <c r="G61" s="107">
        <f t="shared" ca="1" si="14"/>
        <v>0</v>
      </c>
      <c r="H61" s="108">
        <f t="shared" ca="1" si="14"/>
        <v>0</v>
      </c>
    </row>
    <row r="62" spans="2:8" hidden="1" outlineLevel="1" x14ac:dyDescent="0.3">
      <c r="B62" s="105" t="s">
        <v>49</v>
      </c>
      <c r="C62" s="106">
        <f ca="1">C9-C36</f>
        <v>0</v>
      </c>
      <c r="D62" s="106">
        <f ca="1">D9-D36</f>
        <v>0</v>
      </c>
      <c r="E62" s="106">
        <f t="shared" ca="1" si="13"/>
        <v>0</v>
      </c>
      <c r="F62" s="106">
        <f t="shared" ca="1" si="13"/>
        <v>0</v>
      </c>
      <c r="G62" s="107">
        <f t="shared" ca="1" si="14"/>
        <v>0</v>
      </c>
      <c r="H62" s="108">
        <f t="shared" ca="1" si="14"/>
        <v>0</v>
      </c>
    </row>
    <row r="63" spans="2:8" collapsed="1" x14ac:dyDescent="0.3">
      <c r="B63" s="109" t="s">
        <v>50</v>
      </c>
      <c r="C63" s="110">
        <f ca="1">SUM(C64:C71)</f>
        <v>1</v>
      </c>
      <c r="D63" s="110">
        <f t="shared" ref="D63:H63" ca="1" si="15">SUM(D64:D71)</f>
        <v>1113544.79</v>
      </c>
      <c r="E63" s="110">
        <f t="shared" ca="1" si="15"/>
        <v>3429</v>
      </c>
      <c r="F63" s="110">
        <f t="shared" ca="1" si="15"/>
        <v>6128906317.9399967</v>
      </c>
      <c r="G63" s="111">
        <f t="shared" ca="1" si="15"/>
        <v>3430</v>
      </c>
      <c r="H63" s="112">
        <f t="shared" ca="1" si="15"/>
        <v>6130019862.7299976</v>
      </c>
    </row>
    <row r="64" spans="2:8" hidden="1" outlineLevel="1" x14ac:dyDescent="0.3">
      <c r="B64" s="105" t="s">
        <v>51</v>
      </c>
      <c r="C64" s="106">
        <f t="shared" ref="C64:F69" ca="1" si="16">C11-C38</f>
        <v>1</v>
      </c>
      <c r="D64" s="106">
        <f t="shared" ca="1" si="16"/>
        <v>1113544.79</v>
      </c>
      <c r="E64" s="106">
        <f t="shared" ca="1" si="16"/>
        <v>525</v>
      </c>
      <c r="F64" s="106">
        <f t="shared" ca="1" si="16"/>
        <v>848917775.02999771</v>
      </c>
      <c r="G64" s="107">
        <f t="shared" ca="1" si="14"/>
        <v>526</v>
      </c>
      <c r="H64" s="108">
        <f t="shared" ca="1" si="14"/>
        <v>850031319.81999767</v>
      </c>
    </row>
    <row r="65" spans="2:8" hidden="1" outlineLevel="1" x14ac:dyDescent="0.3">
      <c r="B65" s="105" t="s">
        <v>52</v>
      </c>
      <c r="C65" s="106">
        <f t="shared" ca="1" si="16"/>
        <v>0</v>
      </c>
      <c r="D65" s="106">
        <f t="shared" ca="1" si="16"/>
        <v>0</v>
      </c>
      <c r="E65" s="106">
        <f t="shared" ca="1" si="16"/>
        <v>569</v>
      </c>
      <c r="F65" s="106">
        <f t="shared" ca="1" si="16"/>
        <v>904102269.02000093</v>
      </c>
      <c r="G65" s="107">
        <f t="shared" ca="1" si="14"/>
        <v>569</v>
      </c>
      <c r="H65" s="108">
        <f t="shared" ca="1" si="14"/>
        <v>904102269.02000093</v>
      </c>
    </row>
    <row r="66" spans="2:8" hidden="1" outlineLevel="1" x14ac:dyDescent="0.3">
      <c r="B66" s="105" t="s">
        <v>53</v>
      </c>
      <c r="C66" s="106">
        <f t="shared" ca="1" si="16"/>
        <v>0</v>
      </c>
      <c r="D66" s="106">
        <f t="shared" ca="1" si="16"/>
        <v>0</v>
      </c>
      <c r="E66" s="106">
        <f t="shared" ca="1" si="16"/>
        <v>566</v>
      </c>
      <c r="F66" s="106">
        <f t="shared" ca="1" si="16"/>
        <v>966190532.11000013</v>
      </c>
      <c r="G66" s="107">
        <f t="shared" ca="1" si="14"/>
        <v>566</v>
      </c>
      <c r="H66" s="108">
        <f t="shared" ca="1" si="14"/>
        <v>966190532.11000013</v>
      </c>
    </row>
    <row r="67" spans="2:8" hidden="1" outlineLevel="1" x14ac:dyDescent="0.3">
      <c r="B67" s="105" t="s">
        <v>54</v>
      </c>
      <c r="C67" s="106">
        <f t="shared" ca="1" si="16"/>
        <v>0</v>
      </c>
      <c r="D67" s="106">
        <f t="shared" ca="1" si="16"/>
        <v>0</v>
      </c>
      <c r="E67" s="106">
        <f t="shared" ca="1" si="16"/>
        <v>557</v>
      </c>
      <c r="F67" s="106">
        <f t="shared" ca="1" si="16"/>
        <v>943131762.299999</v>
      </c>
      <c r="G67" s="107">
        <f t="shared" ca="1" si="14"/>
        <v>557</v>
      </c>
      <c r="H67" s="108">
        <f t="shared" ca="1" si="14"/>
        <v>943131762.299999</v>
      </c>
    </row>
    <row r="68" spans="2:8" hidden="1" outlineLevel="1" x14ac:dyDescent="0.3">
      <c r="B68" s="105" t="s">
        <v>55</v>
      </c>
      <c r="C68" s="106">
        <f t="shared" ca="1" si="16"/>
        <v>0</v>
      </c>
      <c r="D68" s="106">
        <f t="shared" ca="1" si="16"/>
        <v>0</v>
      </c>
      <c r="E68" s="106">
        <f t="shared" ca="1" si="16"/>
        <v>337</v>
      </c>
      <c r="F68" s="106">
        <f t="shared" ca="1" si="16"/>
        <v>674033743.31999969</v>
      </c>
      <c r="G68" s="107">
        <f t="shared" ca="1" si="14"/>
        <v>337</v>
      </c>
      <c r="H68" s="108">
        <f t="shared" ca="1" si="14"/>
        <v>674033743.31999969</v>
      </c>
    </row>
    <row r="69" spans="2:8" hidden="1" outlineLevel="1" x14ac:dyDescent="0.3">
      <c r="B69" s="105" t="s">
        <v>56</v>
      </c>
      <c r="C69" s="106">
        <f t="shared" ca="1" si="16"/>
        <v>0</v>
      </c>
      <c r="D69" s="106">
        <f t="shared" ca="1" si="16"/>
        <v>0</v>
      </c>
      <c r="E69" s="106">
        <f t="shared" ca="1" si="16"/>
        <v>331</v>
      </c>
      <c r="F69" s="106">
        <f t="shared" ca="1" si="16"/>
        <v>667686855.17999983</v>
      </c>
      <c r="G69" s="107">
        <f t="shared" ca="1" si="14"/>
        <v>331</v>
      </c>
      <c r="H69" s="108">
        <f t="shared" ca="1" si="14"/>
        <v>667686855.17999983</v>
      </c>
    </row>
    <row r="70" spans="2:8" hidden="1" outlineLevel="1" x14ac:dyDescent="0.3">
      <c r="B70" s="105" t="s">
        <v>57</v>
      </c>
      <c r="C70" s="106">
        <f ca="1">C17-C44</f>
        <v>0</v>
      </c>
      <c r="D70" s="106">
        <f ca="1">D17-D44</f>
        <v>0</v>
      </c>
      <c r="E70" s="106">
        <f ca="1">E17-E44</f>
        <v>272</v>
      </c>
      <c r="F70" s="106">
        <f ca="1">F17-F44</f>
        <v>562421690.48999977</v>
      </c>
      <c r="G70" s="107">
        <f t="shared" ca="1" si="14"/>
        <v>272</v>
      </c>
      <c r="H70" s="108">
        <f t="shared" ca="1" si="14"/>
        <v>562421690.48999977</v>
      </c>
    </row>
    <row r="71" spans="2:8" hidden="1" outlineLevel="1" x14ac:dyDescent="0.3">
      <c r="B71" s="105" t="s">
        <v>58</v>
      </c>
      <c r="C71" s="106">
        <f ca="1">C19-C45</f>
        <v>0</v>
      </c>
      <c r="D71" s="106">
        <f ca="1">D19-D45</f>
        <v>0</v>
      </c>
      <c r="E71" s="106">
        <f ca="1">E19-E45</f>
        <v>272</v>
      </c>
      <c r="F71" s="106">
        <f ca="1">F19-F45</f>
        <v>562421690.48999977</v>
      </c>
      <c r="G71" s="107">
        <f t="shared" ca="1" si="14"/>
        <v>272</v>
      </c>
      <c r="H71" s="108">
        <f t="shared" ca="1" si="14"/>
        <v>562421690.48999977</v>
      </c>
    </row>
    <row r="72" spans="2:8" collapsed="1" x14ac:dyDescent="0.3">
      <c r="B72" s="109" t="s">
        <v>59</v>
      </c>
      <c r="C72" s="110">
        <f ca="1">SUM(C73:C79)</f>
        <v>3</v>
      </c>
      <c r="D72" s="110">
        <f t="shared" ref="D72:H72" ca="1" si="17">SUM(D73:D79)</f>
        <v>4118203.56</v>
      </c>
      <c r="E72" s="110">
        <f t="shared" ca="1" si="17"/>
        <v>1702</v>
      </c>
      <c r="F72" s="110">
        <f t="shared" ca="1" si="17"/>
        <v>2750615458.5899997</v>
      </c>
      <c r="G72" s="111">
        <f t="shared" ca="1" si="17"/>
        <v>1705</v>
      </c>
      <c r="H72" s="112">
        <f t="shared" ca="1" si="17"/>
        <v>2754733662.1499996</v>
      </c>
    </row>
    <row r="73" spans="2:8" hidden="1" outlineLevel="1" x14ac:dyDescent="0.3">
      <c r="B73" s="105" t="s">
        <v>60</v>
      </c>
      <c r="C73" s="106">
        <f t="shared" ref="C73:F74" ca="1" si="18">C21-C47</f>
        <v>0</v>
      </c>
      <c r="D73" s="106">
        <f t="shared" ca="1" si="18"/>
        <v>0</v>
      </c>
      <c r="E73" s="106">
        <f t="shared" ca="1" si="18"/>
        <v>322</v>
      </c>
      <c r="F73" s="106">
        <f t="shared" ca="1" si="18"/>
        <v>531633401.99000031</v>
      </c>
      <c r="G73" s="107">
        <f t="shared" ca="1" si="14"/>
        <v>322</v>
      </c>
      <c r="H73" s="108">
        <f t="shared" ca="1" si="14"/>
        <v>531633401.99000031</v>
      </c>
    </row>
    <row r="74" spans="2:8" hidden="1" outlineLevel="1" x14ac:dyDescent="0.3">
      <c r="B74" s="105" t="s">
        <v>61</v>
      </c>
      <c r="C74" s="106">
        <f t="shared" ca="1" si="18"/>
        <v>0</v>
      </c>
      <c r="D74" s="106">
        <f t="shared" ca="1" si="18"/>
        <v>0</v>
      </c>
      <c r="E74" s="106">
        <f t="shared" ca="1" si="18"/>
        <v>338</v>
      </c>
      <c r="F74" s="106">
        <f t="shared" ca="1" si="18"/>
        <v>551079298.8499999</v>
      </c>
      <c r="G74" s="107">
        <f t="shared" ca="1" si="14"/>
        <v>338</v>
      </c>
      <c r="H74" s="108">
        <f t="shared" ca="1" si="14"/>
        <v>551079298.8499999</v>
      </c>
    </row>
    <row r="75" spans="2:8" hidden="1" outlineLevel="1" x14ac:dyDescent="0.3">
      <c r="B75" s="105" t="s">
        <v>62</v>
      </c>
      <c r="C75" s="106">
        <f ca="1">C22-C48</f>
        <v>0</v>
      </c>
      <c r="D75" s="106">
        <f ca="1">D22-D48</f>
        <v>0</v>
      </c>
      <c r="E75" s="106">
        <f ca="1">E22-E48</f>
        <v>338</v>
      </c>
      <c r="F75" s="106">
        <f ca="1">F22-F48</f>
        <v>551079298.8499999</v>
      </c>
      <c r="G75" s="107">
        <f t="shared" ca="1" si="14"/>
        <v>338</v>
      </c>
      <c r="H75" s="108">
        <f t="shared" ca="1" si="14"/>
        <v>551079298.8499999</v>
      </c>
    </row>
    <row r="76" spans="2:8" hidden="1" outlineLevel="1" x14ac:dyDescent="0.3">
      <c r="B76" s="105" t="s">
        <v>63</v>
      </c>
      <c r="C76" s="106">
        <f t="shared" ref="C76:F78" ca="1" si="19">C24-C50</f>
        <v>2</v>
      </c>
      <c r="D76" s="106">
        <f t="shared" ca="1" si="19"/>
        <v>2709503.75</v>
      </c>
      <c r="E76" s="106">
        <f t="shared" ca="1" si="19"/>
        <v>341</v>
      </c>
      <c r="F76" s="106">
        <f t="shared" ca="1" si="19"/>
        <v>534560589.04999983</v>
      </c>
      <c r="G76" s="107">
        <f t="shared" ca="1" si="14"/>
        <v>343</v>
      </c>
      <c r="H76" s="108">
        <f t="shared" ca="1" si="14"/>
        <v>537270092.79999983</v>
      </c>
    </row>
    <row r="77" spans="2:8" hidden="1" outlineLevel="1" x14ac:dyDescent="0.3">
      <c r="B77" s="105" t="s">
        <v>64</v>
      </c>
      <c r="C77" s="106">
        <f t="shared" ca="1" si="19"/>
        <v>0</v>
      </c>
      <c r="D77" s="106">
        <f t="shared" ca="1" si="19"/>
        <v>0</v>
      </c>
      <c r="E77" s="106">
        <f t="shared" ca="1" si="19"/>
        <v>268</v>
      </c>
      <c r="F77" s="106">
        <f t="shared" ca="1" si="19"/>
        <v>428893661.29999977</v>
      </c>
      <c r="G77" s="107">
        <f t="shared" ca="1" si="14"/>
        <v>268</v>
      </c>
      <c r="H77" s="108">
        <f t="shared" ca="1" si="14"/>
        <v>428893661.29999977</v>
      </c>
    </row>
    <row r="78" spans="2:8" hidden="1" outlineLevel="1" x14ac:dyDescent="0.3">
      <c r="B78" s="105" t="s">
        <v>65</v>
      </c>
      <c r="C78" s="106">
        <f t="shared" ca="1" si="19"/>
        <v>0</v>
      </c>
      <c r="D78" s="106">
        <f t="shared" ca="1" si="19"/>
        <v>0</v>
      </c>
      <c r="E78" s="106">
        <f t="shared" ca="1" si="19"/>
        <v>0</v>
      </c>
      <c r="F78" s="106">
        <f t="shared" ca="1" si="19"/>
        <v>0</v>
      </c>
      <c r="G78" s="107">
        <f t="shared" ca="1" si="14"/>
        <v>0</v>
      </c>
      <c r="H78" s="108">
        <f t="shared" ca="1" si="14"/>
        <v>0</v>
      </c>
    </row>
    <row r="79" spans="2:8" hidden="1" outlineLevel="1" x14ac:dyDescent="0.3">
      <c r="B79" s="105" t="s">
        <v>66</v>
      </c>
      <c r="C79" s="106">
        <f ca="1">C27-C53</f>
        <v>1</v>
      </c>
      <c r="D79" s="106">
        <f ca="1">D27-D53</f>
        <v>1408699.81</v>
      </c>
      <c r="E79" s="106">
        <f ca="1">E27-E53</f>
        <v>95</v>
      </c>
      <c r="F79" s="106">
        <f ca="1">F27-F53</f>
        <v>153369208.55000007</v>
      </c>
      <c r="G79" s="107">
        <f t="shared" ca="1" si="14"/>
        <v>96</v>
      </c>
      <c r="H79" s="108">
        <f t="shared" ca="1" si="14"/>
        <v>154777908.36000007</v>
      </c>
    </row>
    <row r="80" spans="2:8" ht="15" collapsed="1" thickBot="1" x14ac:dyDescent="0.35">
      <c r="B80" s="115" t="s">
        <v>18</v>
      </c>
      <c r="C80" s="116">
        <f ca="1">SUM(C58,C63,C72)</f>
        <v>7</v>
      </c>
      <c r="D80" s="116">
        <f t="shared" ref="D80:H80" ca="1" si="20">SUM(D58,D63,D72)</f>
        <v>38257664.350000001</v>
      </c>
      <c r="E80" s="116">
        <f t="shared" ca="1" si="20"/>
        <v>5303</v>
      </c>
      <c r="F80" s="116">
        <f t="shared" ca="1" si="20"/>
        <v>11423098040.299995</v>
      </c>
      <c r="G80" s="117">
        <f t="shared" ca="1" si="20"/>
        <v>5310</v>
      </c>
      <c r="H80" s="118">
        <f t="shared" ca="1" si="20"/>
        <v>11461355704.649996</v>
      </c>
    </row>
    <row r="81" spans="1:8" ht="18" customHeight="1" x14ac:dyDescent="0.3">
      <c r="B81" s="132"/>
      <c r="C81" s="132"/>
      <c r="D81" s="132"/>
      <c r="E81" s="132"/>
      <c r="F81" s="132"/>
      <c r="G81" s="132"/>
      <c r="H81" s="132"/>
    </row>
    <row r="82" spans="1:8" ht="18" customHeight="1" thickBot="1" x14ac:dyDescent="0.35">
      <c r="A82" s="87">
        <v>45291</v>
      </c>
      <c r="B82" s="23"/>
      <c r="C82" s="23"/>
      <c r="D82" s="23"/>
      <c r="E82" s="23"/>
      <c r="F82" s="23"/>
    </row>
    <row r="83" spans="1:8" ht="18" x14ac:dyDescent="0.3">
      <c r="A83" s="87">
        <v>45657</v>
      </c>
      <c r="B83" s="133" t="str">
        <f ca="1">"YTD "&amp;TEXT(A83,"YYYY")</f>
        <v>YTD 2024</v>
      </c>
      <c r="C83" s="134"/>
      <c r="D83" s="134"/>
      <c r="E83" s="134"/>
      <c r="F83" s="134"/>
      <c r="G83" s="134"/>
      <c r="H83" s="135"/>
    </row>
    <row r="84" spans="1:8" ht="27.6" x14ac:dyDescent="0.3">
      <c r="B84" s="98" t="s">
        <v>38</v>
      </c>
      <c r="C84" s="99" t="s">
        <v>67</v>
      </c>
      <c r="D84" s="99" t="s">
        <v>40</v>
      </c>
      <c r="E84" s="99" t="s">
        <v>41</v>
      </c>
      <c r="F84" s="99" t="s">
        <v>42</v>
      </c>
      <c r="G84" s="99" t="s">
        <v>68</v>
      </c>
      <c r="H84" s="100" t="s">
        <v>69</v>
      </c>
    </row>
    <row r="85" spans="1:8" x14ac:dyDescent="0.3">
      <c r="B85" s="101" t="s">
        <v>45</v>
      </c>
      <c r="C85" s="102">
        <f ca="1">SUM(C86:C89)</f>
        <v>0</v>
      </c>
      <c r="D85" s="102">
        <f t="shared" ref="D85" ca="1" si="21">SUM(D86:D89)</f>
        <v>0</v>
      </c>
      <c r="E85" s="102">
        <f ca="1">SUM(E86:E89)</f>
        <v>60</v>
      </c>
      <c r="F85" s="102">
        <f t="shared" ref="F85:H85" ca="1" si="22">SUM(F86:F89)</f>
        <v>927959087.3900001</v>
      </c>
      <c r="G85" s="103">
        <f t="shared" ca="1" si="22"/>
        <v>60</v>
      </c>
      <c r="H85" s="104">
        <f t="shared" ca="1" si="22"/>
        <v>927959087.3900001</v>
      </c>
    </row>
    <row r="86" spans="1:8" hidden="1" outlineLevel="1" x14ac:dyDescent="0.3">
      <c r="B86" s="105" t="s">
        <v>46</v>
      </c>
      <c r="C86" s="106">
        <v>0</v>
      </c>
      <c r="D86" s="106">
        <v>0</v>
      </c>
      <c r="E86" s="106">
        <v>60</v>
      </c>
      <c r="F86" s="106">
        <v>927959087.3900001</v>
      </c>
      <c r="G86" s="107">
        <f t="shared" ref="G86:H89" ca="1" si="23">SUM(C86,E86)</f>
        <v>60</v>
      </c>
      <c r="H86" s="108">
        <f t="shared" ca="1" si="23"/>
        <v>927959087.3900001</v>
      </c>
    </row>
    <row r="87" spans="1:8" hidden="1" outlineLevel="1" x14ac:dyDescent="0.3">
      <c r="B87" s="105" t="s">
        <v>47</v>
      </c>
      <c r="C87" s="106">
        <v>0</v>
      </c>
      <c r="D87" s="106">
        <v>0</v>
      </c>
      <c r="E87" s="106">
        <v>0</v>
      </c>
      <c r="F87" s="106">
        <v>0</v>
      </c>
      <c r="G87" s="107">
        <f t="shared" ca="1" si="23"/>
        <v>0</v>
      </c>
      <c r="H87" s="108">
        <f t="shared" ca="1" si="23"/>
        <v>0</v>
      </c>
    </row>
    <row r="88" spans="1:8" hidden="1" outlineLevel="1" x14ac:dyDescent="0.3">
      <c r="B88" s="105" t="s">
        <v>48</v>
      </c>
      <c r="C88" s="106">
        <v>0</v>
      </c>
      <c r="D88" s="106">
        <v>0</v>
      </c>
      <c r="E88" s="106">
        <v>0</v>
      </c>
      <c r="F88" s="106">
        <v>0</v>
      </c>
      <c r="G88" s="107">
        <f t="shared" ca="1" si="23"/>
        <v>0</v>
      </c>
      <c r="H88" s="108">
        <f t="shared" ca="1" si="23"/>
        <v>0</v>
      </c>
    </row>
    <row r="89" spans="1:8" hidden="1" outlineLevel="1" x14ac:dyDescent="0.3">
      <c r="B89" s="105" t="s">
        <v>49</v>
      </c>
      <c r="C89" s="106">
        <v>0</v>
      </c>
      <c r="D89" s="106">
        <v>0</v>
      </c>
      <c r="E89" s="106">
        <v>0</v>
      </c>
      <c r="F89" s="106">
        <v>0</v>
      </c>
      <c r="G89" s="107">
        <f t="shared" ca="1" si="23"/>
        <v>0</v>
      </c>
      <c r="H89" s="108">
        <f t="shared" ca="1" si="23"/>
        <v>0</v>
      </c>
    </row>
    <row r="90" spans="1:8" collapsed="1" x14ac:dyDescent="0.3">
      <c r="B90" s="109" t="s">
        <v>50</v>
      </c>
      <c r="C90" s="110">
        <f ca="1">SUM(C91:C98)</f>
        <v>0</v>
      </c>
      <c r="D90" s="110">
        <f t="shared" ref="D90:H90" ca="1" si="24">SUM(D91:D98)</f>
        <v>0</v>
      </c>
      <c r="E90" s="110">
        <f t="shared" ca="1" si="24"/>
        <v>1956</v>
      </c>
      <c r="F90" s="110">
        <f t="shared" ca="1" si="24"/>
        <v>3088129144.659997</v>
      </c>
      <c r="G90" s="111">
        <f t="shared" ca="1" si="24"/>
        <v>1956</v>
      </c>
      <c r="H90" s="112">
        <f t="shared" ca="1" si="24"/>
        <v>3088129144.659997</v>
      </c>
    </row>
    <row r="91" spans="1:8" hidden="1" outlineLevel="1" x14ac:dyDescent="0.3">
      <c r="B91" s="105" t="s">
        <v>51</v>
      </c>
      <c r="C91" s="106">
        <v>0</v>
      </c>
      <c r="D91" s="106">
        <v>0</v>
      </c>
      <c r="E91" s="106">
        <v>455</v>
      </c>
      <c r="F91" s="106">
        <v>718499549.54999876</v>
      </c>
      <c r="G91" s="107">
        <f t="shared" ref="G91:H98" ca="1" si="25">SUM(C91,E91)</f>
        <v>455</v>
      </c>
      <c r="H91" s="108">
        <f t="shared" ca="1" si="25"/>
        <v>718499549.54999876</v>
      </c>
    </row>
    <row r="92" spans="1:8" hidden="1" outlineLevel="1" x14ac:dyDescent="0.3">
      <c r="B92" s="105" t="s">
        <v>52</v>
      </c>
      <c r="C92" s="106">
        <v>0</v>
      </c>
      <c r="D92" s="106">
        <v>0</v>
      </c>
      <c r="E92" s="106">
        <v>460</v>
      </c>
      <c r="F92" s="106">
        <v>689327901.52999938</v>
      </c>
      <c r="G92" s="107">
        <f t="shared" ca="1" si="25"/>
        <v>460</v>
      </c>
      <c r="H92" s="108">
        <f t="shared" ca="1" si="25"/>
        <v>689327901.52999938</v>
      </c>
    </row>
    <row r="93" spans="1:8" hidden="1" outlineLevel="1" x14ac:dyDescent="0.3">
      <c r="B93" s="105" t="s">
        <v>53</v>
      </c>
      <c r="C93" s="106">
        <v>0</v>
      </c>
      <c r="D93" s="106">
        <v>0</v>
      </c>
      <c r="E93" s="106">
        <v>440</v>
      </c>
      <c r="F93" s="106">
        <v>702604901.70000005</v>
      </c>
      <c r="G93" s="107">
        <f t="shared" ca="1" si="25"/>
        <v>440</v>
      </c>
      <c r="H93" s="108">
        <f t="shared" ca="1" si="25"/>
        <v>702604901.70000005</v>
      </c>
    </row>
    <row r="94" spans="1:8" hidden="1" outlineLevel="1" x14ac:dyDescent="0.3">
      <c r="B94" s="105" t="s">
        <v>54</v>
      </c>
      <c r="C94" s="106">
        <v>0</v>
      </c>
      <c r="D94" s="106">
        <v>0</v>
      </c>
      <c r="E94" s="106">
        <v>423</v>
      </c>
      <c r="F94" s="106">
        <v>682790021.47999954</v>
      </c>
      <c r="G94" s="107">
        <f t="shared" ca="1" si="25"/>
        <v>423</v>
      </c>
      <c r="H94" s="108">
        <f t="shared" ca="1" si="25"/>
        <v>682790021.47999954</v>
      </c>
    </row>
    <row r="95" spans="1:8" hidden="1" outlineLevel="1" x14ac:dyDescent="0.3">
      <c r="B95" s="105" t="s">
        <v>55</v>
      </c>
      <c r="C95" s="106">
        <v>0</v>
      </c>
      <c r="D95" s="106">
        <v>0</v>
      </c>
      <c r="E95" s="106">
        <v>152</v>
      </c>
      <c r="F95" s="106">
        <v>257354242.45000005</v>
      </c>
      <c r="G95" s="107">
        <f t="shared" ca="1" si="25"/>
        <v>152</v>
      </c>
      <c r="H95" s="108">
        <f t="shared" ca="1" si="25"/>
        <v>257354242.45000005</v>
      </c>
    </row>
    <row r="96" spans="1:8" hidden="1" outlineLevel="1" x14ac:dyDescent="0.3">
      <c r="B96" s="105" t="s">
        <v>56</v>
      </c>
      <c r="C96" s="106">
        <v>0</v>
      </c>
      <c r="D96" s="106">
        <v>0</v>
      </c>
      <c r="E96" s="106">
        <v>26</v>
      </c>
      <c r="F96" s="106">
        <v>37552527.950000003</v>
      </c>
      <c r="G96" s="107">
        <f t="shared" ca="1" si="25"/>
        <v>26</v>
      </c>
      <c r="H96" s="108">
        <f t="shared" ca="1" si="25"/>
        <v>37552527.950000003</v>
      </c>
    </row>
    <row r="97" spans="1:8" hidden="1" outlineLevel="1" x14ac:dyDescent="0.3">
      <c r="B97" s="105" t="s">
        <v>57</v>
      </c>
      <c r="C97" s="106">
        <v>0</v>
      </c>
      <c r="D97" s="106">
        <v>0</v>
      </c>
      <c r="E97" s="106">
        <v>0</v>
      </c>
      <c r="F97" s="106">
        <v>0</v>
      </c>
      <c r="G97" s="107">
        <f t="shared" ca="1" si="25"/>
        <v>0</v>
      </c>
      <c r="H97" s="108">
        <f t="shared" ca="1" si="25"/>
        <v>0</v>
      </c>
    </row>
    <row r="98" spans="1:8" hidden="1" outlineLevel="1" x14ac:dyDescent="0.3">
      <c r="B98" s="105" t="s">
        <v>58</v>
      </c>
      <c r="C98" s="106">
        <v>0</v>
      </c>
      <c r="D98" s="106">
        <v>0</v>
      </c>
      <c r="E98" s="106">
        <v>0</v>
      </c>
      <c r="F98" s="106">
        <v>0</v>
      </c>
      <c r="G98" s="107">
        <f t="shared" ca="1" si="25"/>
        <v>0</v>
      </c>
      <c r="H98" s="108">
        <f t="shared" ca="1" si="25"/>
        <v>0</v>
      </c>
    </row>
    <row r="99" spans="1:8" collapsed="1" x14ac:dyDescent="0.3">
      <c r="B99" s="109" t="s">
        <v>59</v>
      </c>
      <c r="C99" s="110">
        <f ca="1">SUM(C100:C106)</f>
        <v>0</v>
      </c>
      <c r="D99" s="110">
        <f t="shared" ref="D99:H99" ca="1" si="26">SUM(D100:D106)</f>
        <v>0</v>
      </c>
      <c r="E99" s="110">
        <f ca="1">SUM(E100:E106)</f>
        <v>0</v>
      </c>
      <c r="F99" s="110">
        <f t="shared" ca="1" si="26"/>
        <v>0</v>
      </c>
      <c r="G99" s="111">
        <f t="shared" ca="1" si="26"/>
        <v>0</v>
      </c>
      <c r="H99" s="112">
        <f t="shared" ca="1" si="26"/>
        <v>0</v>
      </c>
    </row>
    <row r="100" spans="1:8" hidden="1" outlineLevel="1" x14ac:dyDescent="0.3">
      <c r="B100" s="105" t="s">
        <v>60</v>
      </c>
      <c r="C100" s="106">
        <v>0</v>
      </c>
      <c r="D100" s="106">
        <v>0</v>
      </c>
      <c r="E100" s="106">
        <v>0</v>
      </c>
      <c r="F100" s="106">
        <v>0</v>
      </c>
      <c r="G100" s="107">
        <f t="shared" ref="G100:H106" ca="1" si="27">SUM(C100,E100)</f>
        <v>0</v>
      </c>
      <c r="H100" s="108">
        <f t="shared" ca="1" si="27"/>
        <v>0</v>
      </c>
    </row>
    <row r="101" spans="1:8" hidden="1" outlineLevel="1" x14ac:dyDescent="0.3">
      <c r="B101" s="105" t="s">
        <v>61</v>
      </c>
      <c r="C101" s="106">
        <v>0</v>
      </c>
      <c r="D101" s="106">
        <v>0</v>
      </c>
      <c r="E101" s="106">
        <v>0</v>
      </c>
      <c r="F101" s="106">
        <v>0</v>
      </c>
      <c r="G101" s="107">
        <f t="shared" ca="1" si="27"/>
        <v>0</v>
      </c>
      <c r="H101" s="108">
        <f t="shared" ca="1" si="27"/>
        <v>0</v>
      </c>
    </row>
    <row r="102" spans="1:8" hidden="1" outlineLevel="1" x14ac:dyDescent="0.3">
      <c r="B102" s="105" t="s">
        <v>62</v>
      </c>
      <c r="C102" s="106">
        <v>0</v>
      </c>
      <c r="D102" s="106">
        <v>0</v>
      </c>
      <c r="E102" s="106">
        <v>0</v>
      </c>
      <c r="F102" s="106">
        <v>0</v>
      </c>
      <c r="G102" s="107">
        <f t="shared" ca="1" si="27"/>
        <v>0</v>
      </c>
      <c r="H102" s="108">
        <f t="shared" ca="1" si="27"/>
        <v>0</v>
      </c>
    </row>
    <row r="103" spans="1:8" hidden="1" outlineLevel="1" x14ac:dyDescent="0.3">
      <c r="B103" s="105" t="s">
        <v>63</v>
      </c>
      <c r="C103" s="106">
        <v>0</v>
      </c>
      <c r="D103" s="106">
        <v>0</v>
      </c>
      <c r="E103" s="106">
        <v>0</v>
      </c>
      <c r="F103" s="106">
        <v>0</v>
      </c>
      <c r="G103" s="107">
        <f t="shared" ca="1" si="27"/>
        <v>0</v>
      </c>
      <c r="H103" s="108">
        <f t="shared" ca="1" si="27"/>
        <v>0</v>
      </c>
    </row>
    <row r="104" spans="1:8" hidden="1" outlineLevel="1" x14ac:dyDescent="0.3">
      <c r="B104" s="105" t="s">
        <v>64</v>
      </c>
      <c r="C104" s="106">
        <v>0</v>
      </c>
      <c r="D104" s="106">
        <v>0</v>
      </c>
      <c r="E104" s="106">
        <v>0</v>
      </c>
      <c r="F104" s="106">
        <v>0</v>
      </c>
      <c r="G104" s="107">
        <f t="shared" ca="1" si="27"/>
        <v>0</v>
      </c>
      <c r="H104" s="108">
        <f t="shared" ca="1" si="27"/>
        <v>0</v>
      </c>
    </row>
    <row r="105" spans="1:8" hidden="1" outlineLevel="1" x14ac:dyDescent="0.3">
      <c r="B105" s="105" t="s">
        <v>65</v>
      </c>
      <c r="C105" s="106">
        <v>0</v>
      </c>
      <c r="D105" s="106">
        <v>0</v>
      </c>
      <c r="E105" s="106">
        <v>0</v>
      </c>
      <c r="F105" s="106">
        <v>0</v>
      </c>
      <c r="G105" s="107">
        <f t="shared" ca="1" si="27"/>
        <v>0</v>
      </c>
      <c r="H105" s="108">
        <f t="shared" ca="1" si="27"/>
        <v>0</v>
      </c>
    </row>
    <row r="106" spans="1:8" hidden="1" outlineLevel="1" x14ac:dyDescent="0.3">
      <c r="B106" s="105" t="s">
        <v>66</v>
      </c>
      <c r="C106" s="106">
        <v>0</v>
      </c>
      <c r="D106" s="106">
        <v>0</v>
      </c>
      <c r="E106" s="106">
        <v>0</v>
      </c>
      <c r="F106" s="106">
        <v>0</v>
      </c>
      <c r="G106" s="107">
        <f t="shared" ca="1" si="27"/>
        <v>0</v>
      </c>
      <c r="H106" s="108">
        <f t="shared" ca="1" si="27"/>
        <v>0</v>
      </c>
    </row>
    <row r="107" spans="1:8" collapsed="1" x14ac:dyDescent="0.3">
      <c r="B107" s="123" t="s">
        <v>18</v>
      </c>
      <c r="C107" s="124">
        <f ca="1">SUM(C85,C90,C99)</f>
        <v>0</v>
      </c>
      <c r="D107" s="124">
        <f t="shared" ref="D107:H107" ca="1" si="28">SUM(D85,D90,D99)</f>
        <v>0</v>
      </c>
      <c r="E107" s="124">
        <f t="shared" ca="1" si="28"/>
        <v>2016</v>
      </c>
      <c r="F107" s="124">
        <f t="shared" ca="1" si="28"/>
        <v>4016088232.0499973</v>
      </c>
      <c r="G107" s="125">
        <f t="shared" ca="1" si="28"/>
        <v>2016</v>
      </c>
      <c r="H107" s="126">
        <f t="shared" ca="1" si="28"/>
        <v>4016088232.0499973</v>
      </c>
    </row>
    <row r="108" spans="1:8" x14ac:dyDescent="0.3">
      <c r="B108" s="136"/>
      <c r="H108" s="128"/>
    </row>
    <row r="109" spans="1:8" ht="18" x14ac:dyDescent="0.3">
      <c r="B109" s="137" t="str">
        <f ca="1">"YTD "&amp;TEXT(A110,"YYYY")</f>
        <v>YTD 2025</v>
      </c>
      <c r="C109" s="138"/>
      <c r="D109" s="138"/>
      <c r="E109" s="138"/>
      <c r="F109" s="138"/>
      <c r="G109" s="138"/>
      <c r="H109" s="139"/>
    </row>
    <row r="110" spans="1:8" ht="27.6" x14ac:dyDescent="0.3">
      <c r="A110" s="87">
        <v>46022</v>
      </c>
      <c r="B110" s="98" t="s">
        <v>38</v>
      </c>
      <c r="C110" s="99" t="s">
        <v>67</v>
      </c>
      <c r="D110" s="99" t="s">
        <v>40</v>
      </c>
      <c r="E110" s="99" t="s">
        <v>41</v>
      </c>
      <c r="F110" s="99" t="s">
        <v>42</v>
      </c>
      <c r="G110" s="99" t="s">
        <v>68</v>
      </c>
      <c r="H110" s="100" t="s">
        <v>69</v>
      </c>
    </row>
    <row r="111" spans="1:8" x14ac:dyDescent="0.3">
      <c r="B111" s="101" t="s">
        <v>45</v>
      </c>
      <c r="C111" s="102">
        <f ca="1">SUM(C112:C115)</f>
        <v>0</v>
      </c>
      <c r="D111" s="102">
        <f t="shared" ref="D111" ca="1" si="29">SUM(D112:D115)</f>
        <v>0</v>
      </c>
      <c r="E111" s="102">
        <f ca="1">SUM(E112:E115)</f>
        <v>106</v>
      </c>
      <c r="F111" s="102">
        <f t="shared" ref="F111:H111" ca="1" si="30">SUM(F112:F115)</f>
        <v>1529098806.3799999</v>
      </c>
      <c r="G111" s="103">
        <f t="shared" ca="1" si="30"/>
        <v>106</v>
      </c>
      <c r="H111" s="104">
        <f t="shared" ca="1" si="30"/>
        <v>1529098806.3799999</v>
      </c>
    </row>
    <row r="112" spans="1:8" hidden="1" outlineLevel="1" x14ac:dyDescent="0.3">
      <c r="B112" s="105" t="s">
        <v>46</v>
      </c>
      <c r="C112" s="106">
        <v>0</v>
      </c>
      <c r="D112" s="106">
        <v>0</v>
      </c>
      <c r="E112" s="106">
        <v>91</v>
      </c>
      <c r="F112" s="106">
        <v>1210758253.6799998</v>
      </c>
      <c r="G112" s="107">
        <f t="shared" ref="G112:H115" ca="1" si="31">SUM(C112,E112)</f>
        <v>91</v>
      </c>
      <c r="H112" s="108">
        <f t="shared" ca="1" si="31"/>
        <v>1210758253.6799998</v>
      </c>
    </row>
    <row r="113" spans="2:8" hidden="1" outlineLevel="1" x14ac:dyDescent="0.3">
      <c r="B113" s="105" t="s">
        <v>47</v>
      </c>
      <c r="C113" s="106">
        <v>0</v>
      </c>
      <c r="D113" s="106">
        <v>0</v>
      </c>
      <c r="E113" s="106">
        <v>15</v>
      </c>
      <c r="F113" s="106">
        <v>318340552.69999999</v>
      </c>
      <c r="G113" s="107">
        <f t="shared" ca="1" si="31"/>
        <v>15</v>
      </c>
      <c r="H113" s="108">
        <f t="shared" ca="1" si="31"/>
        <v>318340552.69999999</v>
      </c>
    </row>
    <row r="114" spans="2:8" hidden="1" outlineLevel="1" x14ac:dyDescent="0.3">
      <c r="B114" s="105" t="s">
        <v>48</v>
      </c>
      <c r="C114" s="106">
        <v>0</v>
      </c>
      <c r="D114" s="106">
        <v>0</v>
      </c>
      <c r="E114" s="106">
        <v>0</v>
      </c>
      <c r="F114" s="106">
        <v>0</v>
      </c>
      <c r="G114" s="107">
        <f t="shared" ca="1" si="31"/>
        <v>0</v>
      </c>
      <c r="H114" s="108">
        <f t="shared" ca="1" si="31"/>
        <v>0</v>
      </c>
    </row>
    <row r="115" spans="2:8" hidden="1" outlineLevel="1" x14ac:dyDescent="0.3">
      <c r="B115" s="105" t="s">
        <v>49</v>
      </c>
      <c r="C115" s="106">
        <v>0</v>
      </c>
      <c r="D115" s="106">
        <v>0</v>
      </c>
      <c r="E115" s="106">
        <v>0</v>
      </c>
      <c r="F115" s="106">
        <v>0</v>
      </c>
      <c r="G115" s="107">
        <f t="shared" ca="1" si="31"/>
        <v>0</v>
      </c>
      <c r="H115" s="108">
        <f t="shared" ca="1" si="31"/>
        <v>0</v>
      </c>
    </row>
    <row r="116" spans="2:8" collapsed="1" x14ac:dyDescent="0.3">
      <c r="B116" s="109" t="s">
        <v>50</v>
      </c>
      <c r="C116" s="110">
        <f ca="1">SUM(C117:C124)</f>
        <v>1</v>
      </c>
      <c r="D116" s="110">
        <f t="shared" ref="D116:H116" ca="1" si="32">SUM(D117:D124)</f>
        <v>1113544.79</v>
      </c>
      <c r="E116" s="110">
        <f ca="1">SUM(E117:E124)</f>
        <v>1353</v>
      </c>
      <c r="F116" s="110">
        <f t="shared" ca="1" si="32"/>
        <v>2791039701.9399996</v>
      </c>
      <c r="G116" s="111">
        <f t="shared" ca="1" si="32"/>
        <v>1354</v>
      </c>
      <c r="H116" s="112">
        <f t="shared" ca="1" si="32"/>
        <v>2792153246.7299995</v>
      </c>
    </row>
    <row r="117" spans="2:8" hidden="1" outlineLevel="1" x14ac:dyDescent="0.3">
      <c r="B117" s="105" t="s">
        <v>51</v>
      </c>
      <c r="C117" s="106">
        <v>1</v>
      </c>
      <c r="D117" s="106">
        <v>1113544.79</v>
      </c>
      <c r="E117" s="106">
        <v>61</v>
      </c>
      <c r="F117" s="106">
        <v>119025231.29000001</v>
      </c>
      <c r="G117" s="107">
        <f t="shared" ref="G117:H124" ca="1" si="33">SUM(C117,E117)</f>
        <v>62</v>
      </c>
      <c r="H117" s="108">
        <f t="shared" ca="1" si="33"/>
        <v>120138776.08000001</v>
      </c>
    </row>
    <row r="118" spans="2:8" hidden="1" outlineLevel="1" x14ac:dyDescent="0.3">
      <c r="B118" s="105" t="s">
        <v>52</v>
      </c>
      <c r="C118" s="106">
        <v>0</v>
      </c>
      <c r="D118" s="106">
        <v>0</v>
      </c>
      <c r="E118" s="106">
        <v>101</v>
      </c>
      <c r="F118" s="106">
        <v>202704577.19999996</v>
      </c>
      <c r="G118" s="107">
        <f t="shared" ca="1" si="33"/>
        <v>101</v>
      </c>
      <c r="H118" s="108">
        <f t="shared" ca="1" si="33"/>
        <v>202704577.19999996</v>
      </c>
    </row>
    <row r="119" spans="2:8" hidden="1" outlineLevel="1" x14ac:dyDescent="0.3">
      <c r="B119" s="105" t="s">
        <v>53</v>
      </c>
      <c r="C119" s="106">
        <v>0</v>
      </c>
      <c r="D119" s="106">
        <v>0</v>
      </c>
      <c r="E119" s="106">
        <v>118</v>
      </c>
      <c r="F119" s="106">
        <v>248029100.57999998</v>
      </c>
      <c r="G119" s="107">
        <f t="shared" ca="1" si="33"/>
        <v>118</v>
      </c>
      <c r="H119" s="108">
        <f t="shared" ca="1" si="33"/>
        <v>248029100.57999998</v>
      </c>
    </row>
    <row r="120" spans="2:8" hidden="1" outlineLevel="1" x14ac:dyDescent="0.3">
      <c r="B120" s="105" t="s">
        <v>54</v>
      </c>
      <c r="C120" s="106">
        <v>0</v>
      </c>
      <c r="D120" s="106">
        <v>0</v>
      </c>
      <c r="E120" s="106">
        <v>130</v>
      </c>
      <c r="F120" s="106">
        <v>252518914.04999989</v>
      </c>
      <c r="G120" s="107">
        <f t="shared" ca="1" si="33"/>
        <v>130</v>
      </c>
      <c r="H120" s="108">
        <f t="shared" ca="1" si="33"/>
        <v>252518914.04999989</v>
      </c>
    </row>
    <row r="121" spans="2:8" hidden="1" outlineLevel="1" x14ac:dyDescent="0.3">
      <c r="B121" s="105" t="s">
        <v>55</v>
      </c>
      <c r="C121" s="106">
        <v>0</v>
      </c>
      <c r="D121" s="106">
        <v>0</v>
      </c>
      <c r="E121" s="106">
        <v>181</v>
      </c>
      <c r="F121" s="106">
        <v>408708123.18000001</v>
      </c>
      <c r="G121" s="107">
        <f t="shared" ca="1" si="33"/>
        <v>181</v>
      </c>
      <c r="H121" s="108">
        <f t="shared" ca="1" si="33"/>
        <v>408708123.18000001</v>
      </c>
    </row>
    <row r="122" spans="2:8" hidden="1" outlineLevel="1" x14ac:dyDescent="0.3">
      <c r="B122" s="105" t="s">
        <v>56</v>
      </c>
      <c r="C122" s="106">
        <v>0</v>
      </c>
      <c r="D122" s="106">
        <v>0</v>
      </c>
      <c r="E122" s="106">
        <v>291</v>
      </c>
      <c r="F122" s="106">
        <v>595417822.66999972</v>
      </c>
      <c r="G122" s="107">
        <f t="shared" ca="1" si="33"/>
        <v>291</v>
      </c>
      <c r="H122" s="108">
        <f t="shared" ca="1" si="33"/>
        <v>595417822.66999972</v>
      </c>
    </row>
    <row r="123" spans="2:8" hidden="1" outlineLevel="1" x14ac:dyDescent="0.3">
      <c r="B123" s="105" t="s">
        <v>57</v>
      </c>
      <c r="C123" s="106">
        <v>0</v>
      </c>
      <c r="D123" s="106">
        <v>0</v>
      </c>
      <c r="E123" s="106">
        <v>262</v>
      </c>
      <c r="F123" s="106">
        <v>530802461.59999996</v>
      </c>
      <c r="G123" s="107">
        <f t="shared" ca="1" si="33"/>
        <v>262</v>
      </c>
      <c r="H123" s="108">
        <f t="shared" ca="1" si="33"/>
        <v>530802461.59999996</v>
      </c>
    </row>
    <row r="124" spans="2:8" hidden="1" outlineLevel="1" x14ac:dyDescent="0.3">
      <c r="B124" s="105" t="s">
        <v>58</v>
      </c>
      <c r="C124" s="106">
        <v>0</v>
      </c>
      <c r="D124" s="106">
        <v>0</v>
      </c>
      <c r="E124" s="106">
        <v>209</v>
      </c>
      <c r="F124" s="106">
        <v>433833471.36999977</v>
      </c>
      <c r="G124" s="107">
        <f t="shared" ca="1" si="33"/>
        <v>209</v>
      </c>
      <c r="H124" s="108">
        <f t="shared" ca="1" si="33"/>
        <v>433833471.36999977</v>
      </c>
    </row>
    <row r="125" spans="2:8" collapsed="1" x14ac:dyDescent="0.3">
      <c r="B125" s="109" t="s">
        <v>59</v>
      </c>
      <c r="C125" s="110">
        <f ca="1">SUM(C126:C132)</f>
        <v>0</v>
      </c>
      <c r="D125" s="110">
        <f t="shared" ref="D125:H125" ca="1" si="34">SUM(D126:D132)</f>
        <v>0</v>
      </c>
      <c r="E125" s="110">
        <f t="shared" ca="1" si="34"/>
        <v>1473</v>
      </c>
      <c r="F125" s="110">
        <f t="shared" ca="1" si="34"/>
        <v>2376615838.4699998</v>
      </c>
      <c r="G125" s="111">
        <f t="shared" ca="1" si="34"/>
        <v>1473</v>
      </c>
      <c r="H125" s="112">
        <f t="shared" ca="1" si="34"/>
        <v>2376615838.4699998</v>
      </c>
    </row>
    <row r="126" spans="2:8" hidden="1" outlineLevel="1" x14ac:dyDescent="0.3">
      <c r="B126" s="105" t="s">
        <v>60</v>
      </c>
      <c r="C126" s="106">
        <v>0</v>
      </c>
      <c r="D126" s="106">
        <v>0</v>
      </c>
      <c r="E126" s="106">
        <v>316</v>
      </c>
      <c r="F126" s="106">
        <v>517639339.47000027</v>
      </c>
      <c r="G126" s="107">
        <f t="shared" ref="G126:H132" ca="1" si="35">SUM(C126,E126)</f>
        <v>316</v>
      </c>
      <c r="H126" s="108">
        <f t="shared" ca="1" si="35"/>
        <v>517639339.47000027</v>
      </c>
    </row>
    <row r="127" spans="2:8" hidden="1" outlineLevel="1" x14ac:dyDescent="0.3">
      <c r="B127" s="105" t="s">
        <v>61</v>
      </c>
      <c r="C127" s="106">
        <v>0</v>
      </c>
      <c r="D127" s="106">
        <v>0</v>
      </c>
      <c r="E127" s="106">
        <v>334</v>
      </c>
      <c r="F127" s="106">
        <v>543152055.87999976</v>
      </c>
      <c r="G127" s="107">
        <f t="shared" ca="1" si="35"/>
        <v>334</v>
      </c>
      <c r="H127" s="108">
        <f t="shared" ca="1" si="35"/>
        <v>543152055.87999976</v>
      </c>
    </row>
    <row r="128" spans="2:8" hidden="1" outlineLevel="1" x14ac:dyDescent="0.3">
      <c r="B128" s="105" t="s">
        <v>62</v>
      </c>
      <c r="C128" s="106">
        <v>0</v>
      </c>
      <c r="D128" s="106">
        <v>0</v>
      </c>
      <c r="E128" s="106">
        <v>234</v>
      </c>
      <c r="F128" s="106">
        <v>389787434.95000029</v>
      </c>
      <c r="G128" s="107">
        <f t="shared" ca="1" si="35"/>
        <v>234</v>
      </c>
      <c r="H128" s="108">
        <f t="shared" ca="1" si="35"/>
        <v>389787434.95000029</v>
      </c>
    </row>
    <row r="129" spans="1:8" hidden="1" outlineLevel="1" x14ac:dyDescent="0.3">
      <c r="B129" s="105" t="s">
        <v>63</v>
      </c>
      <c r="C129" s="106">
        <v>0</v>
      </c>
      <c r="D129" s="106">
        <v>0</v>
      </c>
      <c r="E129" s="106">
        <v>300</v>
      </c>
      <c r="F129" s="106">
        <v>472043242.44999987</v>
      </c>
      <c r="G129" s="107">
        <f t="shared" ca="1" si="35"/>
        <v>300</v>
      </c>
      <c r="H129" s="108">
        <f t="shared" ca="1" si="35"/>
        <v>472043242.44999987</v>
      </c>
    </row>
    <row r="130" spans="1:8" hidden="1" outlineLevel="1" x14ac:dyDescent="0.3">
      <c r="B130" s="105" t="s">
        <v>64</v>
      </c>
      <c r="C130" s="106">
        <v>0</v>
      </c>
      <c r="D130" s="106">
        <v>0</v>
      </c>
      <c r="E130" s="106">
        <v>225</v>
      </c>
      <c r="F130" s="106">
        <v>355488728.5</v>
      </c>
      <c r="G130" s="107">
        <f t="shared" ca="1" si="35"/>
        <v>225</v>
      </c>
      <c r="H130" s="108">
        <f t="shared" ca="1" si="35"/>
        <v>355488728.5</v>
      </c>
    </row>
    <row r="131" spans="1:8" hidden="1" outlineLevel="1" x14ac:dyDescent="0.3">
      <c r="B131" s="105" t="s">
        <v>65</v>
      </c>
      <c r="C131" s="106">
        <v>0</v>
      </c>
      <c r="D131" s="106">
        <v>0</v>
      </c>
      <c r="E131" s="106">
        <v>0</v>
      </c>
      <c r="F131" s="106">
        <v>0</v>
      </c>
      <c r="G131" s="107">
        <f t="shared" ca="1" si="35"/>
        <v>0</v>
      </c>
      <c r="H131" s="108">
        <f t="shared" ca="1" si="35"/>
        <v>0</v>
      </c>
    </row>
    <row r="132" spans="1:8" hidden="1" outlineLevel="1" x14ac:dyDescent="0.3">
      <c r="B132" s="105" t="s">
        <v>66</v>
      </c>
      <c r="C132" s="106">
        <v>0</v>
      </c>
      <c r="D132" s="106">
        <v>0</v>
      </c>
      <c r="E132" s="106">
        <v>64</v>
      </c>
      <c r="F132" s="106">
        <v>98505037.219999969</v>
      </c>
      <c r="G132" s="107">
        <f t="shared" ca="1" si="35"/>
        <v>64</v>
      </c>
      <c r="H132" s="108">
        <f t="shared" ca="1" si="35"/>
        <v>98505037.219999969</v>
      </c>
    </row>
    <row r="133" spans="1:8" ht="15" collapsed="1" thickBot="1" x14ac:dyDescent="0.35">
      <c r="B133" s="115" t="s">
        <v>18</v>
      </c>
      <c r="C133" s="116">
        <f ca="1">SUM(C111,C116,C125)</f>
        <v>1</v>
      </c>
      <c r="D133" s="116">
        <f t="shared" ref="D133:H133" ca="1" si="36">SUM(D111,D116,D125)</f>
        <v>1113544.79</v>
      </c>
      <c r="E133" s="116">
        <f t="shared" ca="1" si="36"/>
        <v>2932</v>
      </c>
      <c r="F133" s="116">
        <f t="shared" ca="1" si="36"/>
        <v>6696754346.789999</v>
      </c>
      <c r="G133" s="117">
        <f t="shared" ca="1" si="36"/>
        <v>2933</v>
      </c>
      <c r="H133" s="118">
        <f t="shared" ca="1" si="36"/>
        <v>6697867891.5799999</v>
      </c>
    </row>
    <row r="135" spans="1:8" ht="18" x14ac:dyDescent="0.3">
      <c r="A135" s="87">
        <v>46023</v>
      </c>
      <c r="B135" s="137" t="str">
        <f ca="1">"YTD "&amp;TEXT(A135,"YYYY")</f>
        <v>YTD 2026</v>
      </c>
      <c r="C135" s="138"/>
      <c r="D135" s="138"/>
      <c r="E135" s="138"/>
      <c r="F135" s="138"/>
      <c r="G135" s="138"/>
      <c r="H135" s="139"/>
    </row>
    <row r="136" spans="1:8" ht="27.6" x14ac:dyDescent="0.3">
      <c r="B136" s="98" t="s">
        <v>38</v>
      </c>
      <c r="C136" s="99" t="s">
        <v>67</v>
      </c>
      <c r="D136" s="99" t="s">
        <v>40</v>
      </c>
      <c r="E136" s="99" t="s">
        <v>41</v>
      </c>
      <c r="F136" s="99" t="s">
        <v>42</v>
      </c>
      <c r="G136" s="99" t="s">
        <v>68</v>
      </c>
      <c r="H136" s="100" t="s">
        <v>69</v>
      </c>
    </row>
    <row r="137" spans="1:8" x14ac:dyDescent="0.3">
      <c r="B137" s="101" t="s">
        <v>45</v>
      </c>
      <c r="C137" s="102">
        <f ca="1">SUM(C138:C141)</f>
        <v>3</v>
      </c>
      <c r="D137" s="102">
        <f t="shared" ref="D137" ca="1" si="37">SUM(D138:D141)</f>
        <v>33025916</v>
      </c>
      <c r="E137" s="102">
        <f ca="1">SUM(E138:E141)</f>
        <v>6</v>
      </c>
      <c r="F137" s="102">
        <f t="shared" ref="F137:H137" ca="1" si="38">SUM(F138:F141)</f>
        <v>86518370</v>
      </c>
      <c r="G137" s="103">
        <f t="shared" ca="1" si="38"/>
        <v>9</v>
      </c>
      <c r="H137" s="104">
        <f t="shared" ca="1" si="38"/>
        <v>119544286</v>
      </c>
    </row>
    <row r="138" spans="1:8" hidden="1" outlineLevel="1" x14ac:dyDescent="0.3">
      <c r="B138" s="105" t="s">
        <v>46</v>
      </c>
      <c r="C138" s="106">
        <v>3</v>
      </c>
      <c r="D138" s="106">
        <v>33025916</v>
      </c>
      <c r="E138" s="106">
        <v>6</v>
      </c>
      <c r="F138" s="106">
        <v>86518370</v>
      </c>
      <c r="G138" s="107">
        <f t="shared" ref="G138:H141" ca="1" si="39">SUM(C138,E138)</f>
        <v>9</v>
      </c>
      <c r="H138" s="108">
        <f t="shared" ca="1" si="39"/>
        <v>119544286</v>
      </c>
    </row>
    <row r="139" spans="1:8" hidden="1" outlineLevel="1" x14ac:dyDescent="0.3">
      <c r="B139" s="105" t="s">
        <v>47</v>
      </c>
      <c r="C139" s="106">
        <v>0</v>
      </c>
      <c r="D139" s="106">
        <v>0</v>
      </c>
      <c r="E139" s="106">
        <v>0</v>
      </c>
      <c r="F139" s="106">
        <v>0</v>
      </c>
      <c r="G139" s="107">
        <f t="shared" ca="1" si="39"/>
        <v>0</v>
      </c>
      <c r="H139" s="108">
        <f t="shared" ca="1" si="39"/>
        <v>0</v>
      </c>
    </row>
    <row r="140" spans="1:8" hidden="1" outlineLevel="1" x14ac:dyDescent="0.3">
      <c r="B140" s="105" t="s">
        <v>48</v>
      </c>
      <c r="C140" s="106">
        <v>0</v>
      </c>
      <c r="D140" s="106">
        <v>0</v>
      </c>
      <c r="E140" s="106">
        <v>0</v>
      </c>
      <c r="F140" s="106">
        <v>0</v>
      </c>
      <c r="G140" s="107">
        <f t="shared" ca="1" si="39"/>
        <v>0</v>
      </c>
      <c r="H140" s="108">
        <f t="shared" ca="1" si="39"/>
        <v>0</v>
      </c>
    </row>
    <row r="141" spans="1:8" hidden="1" outlineLevel="1" x14ac:dyDescent="0.3">
      <c r="B141" s="105" t="s">
        <v>49</v>
      </c>
      <c r="C141" s="106">
        <v>0</v>
      </c>
      <c r="D141" s="106">
        <v>0</v>
      </c>
      <c r="E141" s="106">
        <v>0</v>
      </c>
      <c r="F141" s="106">
        <v>0</v>
      </c>
      <c r="G141" s="107">
        <f t="shared" ca="1" si="39"/>
        <v>0</v>
      </c>
      <c r="H141" s="108">
        <f t="shared" ca="1" si="39"/>
        <v>0</v>
      </c>
    </row>
    <row r="142" spans="1:8" collapsed="1" x14ac:dyDescent="0.3">
      <c r="B142" s="109" t="s">
        <v>50</v>
      </c>
      <c r="C142" s="110">
        <f ca="1">SUM(C143:C150)</f>
        <v>0</v>
      </c>
      <c r="D142" s="110">
        <f t="shared" ref="D142:H142" ca="1" si="40">SUM(D143:D150)</f>
        <v>0</v>
      </c>
      <c r="E142" s="110">
        <f t="shared" ca="1" si="40"/>
        <v>70</v>
      </c>
      <c r="F142" s="110">
        <f t="shared" ca="1" si="40"/>
        <v>153608933.78999999</v>
      </c>
      <c r="G142" s="111">
        <f t="shared" ca="1" si="40"/>
        <v>70</v>
      </c>
      <c r="H142" s="112">
        <f t="shared" ca="1" si="40"/>
        <v>153608933.78999999</v>
      </c>
    </row>
    <row r="143" spans="1:8" hidden="1" outlineLevel="1" x14ac:dyDescent="0.3">
      <c r="B143" s="105" t="s">
        <v>51</v>
      </c>
      <c r="C143" s="106">
        <v>0</v>
      </c>
      <c r="D143" s="106">
        <v>0</v>
      </c>
      <c r="E143" s="106">
        <v>9</v>
      </c>
      <c r="F143" s="106">
        <v>11392994.190000001</v>
      </c>
      <c r="G143" s="107">
        <f t="shared" ref="G143:H150" ca="1" si="41">SUM(C143,E143)</f>
        <v>9</v>
      </c>
      <c r="H143" s="108">
        <f t="shared" ca="1" si="41"/>
        <v>11392994.190000001</v>
      </c>
    </row>
    <row r="144" spans="1:8" hidden="1" outlineLevel="1" x14ac:dyDescent="0.3">
      <c r="B144" s="105" t="s">
        <v>52</v>
      </c>
      <c r="C144" s="106">
        <v>0</v>
      </c>
      <c r="D144" s="106">
        <v>0</v>
      </c>
      <c r="E144" s="106">
        <v>8</v>
      </c>
      <c r="F144" s="106">
        <v>12069790.289999999</v>
      </c>
      <c r="G144" s="107">
        <f t="shared" ca="1" si="41"/>
        <v>8</v>
      </c>
      <c r="H144" s="108">
        <f t="shared" ca="1" si="41"/>
        <v>12069790.289999999</v>
      </c>
    </row>
    <row r="145" spans="2:8" hidden="1" outlineLevel="1" x14ac:dyDescent="0.3">
      <c r="B145" s="105" t="s">
        <v>53</v>
      </c>
      <c r="C145" s="106">
        <v>0</v>
      </c>
      <c r="D145" s="106">
        <v>0</v>
      </c>
      <c r="E145" s="106">
        <v>8</v>
      </c>
      <c r="F145" s="106">
        <v>15556529.83</v>
      </c>
      <c r="G145" s="107">
        <f t="shared" ca="1" si="41"/>
        <v>8</v>
      </c>
      <c r="H145" s="108">
        <f t="shared" ca="1" si="41"/>
        <v>15556529.83</v>
      </c>
    </row>
    <row r="146" spans="2:8" hidden="1" outlineLevel="1" x14ac:dyDescent="0.3">
      <c r="B146" s="105" t="s">
        <v>54</v>
      </c>
      <c r="C146" s="106">
        <v>0</v>
      </c>
      <c r="D146" s="106">
        <v>0</v>
      </c>
      <c r="E146" s="106">
        <v>4</v>
      </c>
      <c r="F146" s="106">
        <v>7822826.7699999996</v>
      </c>
      <c r="G146" s="107">
        <f t="shared" ca="1" si="41"/>
        <v>4</v>
      </c>
      <c r="H146" s="108">
        <f t="shared" ca="1" si="41"/>
        <v>7822826.7699999996</v>
      </c>
    </row>
    <row r="147" spans="2:8" hidden="1" outlineLevel="1" x14ac:dyDescent="0.3">
      <c r="B147" s="105" t="s">
        <v>55</v>
      </c>
      <c r="C147" s="106">
        <v>0</v>
      </c>
      <c r="D147" s="106">
        <v>0</v>
      </c>
      <c r="E147" s="106">
        <v>4</v>
      </c>
      <c r="F147" s="106">
        <v>7971377.6900000004</v>
      </c>
      <c r="G147" s="107">
        <f t="shared" ca="1" si="41"/>
        <v>4</v>
      </c>
      <c r="H147" s="108">
        <f t="shared" ca="1" si="41"/>
        <v>7971377.6900000004</v>
      </c>
    </row>
    <row r="148" spans="2:8" hidden="1" outlineLevel="1" x14ac:dyDescent="0.3">
      <c r="B148" s="105" t="s">
        <v>56</v>
      </c>
      <c r="C148" s="106">
        <v>0</v>
      </c>
      <c r="D148" s="106">
        <v>0</v>
      </c>
      <c r="E148" s="106">
        <v>14</v>
      </c>
      <c r="F148" s="106">
        <v>34716504.560000002</v>
      </c>
      <c r="G148" s="107">
        <f t="shared" ca="1" si="41"/>
        <v>14</v>
      </c>
      <c r="H148" s="108">
        <f t="shared" ca="1" si="41"/>
        <v>34716504.560000002</v>
      </c>
    </row>
    <row r="149" spans="2:8" hidden="1" outlineLevel="1" x14ac:dyDescent="0.3">
      <c r="B149" s="105" t="s">
        <v>57</v>
      </c>
      <c r="C149" s="106">
        <v>0</v>
      </c>
      <c r="D149" s="106">
        <v>0</v>
      </c>
      <c r="E149" s="106">
        <v>10</v>
      </c>
      <c r="F149" s="106">
        <v>31619228.890000001</v>
      </c>
      <c r="G149" s="107">
        <f t="shared" ca="1" si="41"/>
        <v>10</v>
      </c>
      <c r="H149" s="108">
        <f t="shared" ca="1" si="41"/>
        <v>31619228.890000001</v>
      </c>
    </row>
    <row r="150" spans="2:8" hidden="1" outlineLevel="1" x14ac:dyDescent="0.3">
      <c r="B150" s="105" t="s">
        <v>58</v>
      </c>
      <c r="C150" s="106">
        <v>0</v>
      </c>
      <c r="D150" s="106">
        <v>0</v>
      </c>
      <c r="E150" s="106">
        <v>13</v>
      </c>
      <c r="F150" s="106">
        <v>32459681.569999997</v>
      </c>
      <c r="G150" s="107">
        <f t="shared" ca="1" si="41"/>
        <v>13</v>
      </c>
      <c r="H150" s="108">
        <f t="shared" ca="1" si="41"/>
        <v>32459681.569999997</v>
      </c>
    </row>
    <row r="151" spans="2:8" collapsed="1" x14ac:dyDescent="0.3">
      <c r="B151" s="109" t="s">
        <v>59</v>
      </c>
      <c r="C151" s="110">
        <f ca="1">SUM(C152:C158)</f>
        <v>4</v>
      </c>
      <c r="D151" s="110">
        <f t="shared" ref="D151:H151" ca="1" si="42">SUM(D152:D158)</f>
        <v>5906301.5999999996</v>
      </c>
      <c r="E151" s="110">
        <f t="shared" ca="1" si="42"/>
        <v>143</v>
      </c>
      <c r="F151" s="110">
        <f t="shared" ca="1" si="42"/>
        <v>247581595.78999999</v>
      </c>
      <c r="G151" s="111">
        <f t="shared" ca="1" si="42"/>
        <v>147</v>
      </c>
      <c r="H151" s="112">
        <f t="shared" ca="1" si="42"/>
        <v>253487897.38999999</v>
      </c>
    </row>
    <row r="152" spans="2:8" hidden="1" outlineLevel="1" x14ac:dyDescent="0.3">
      <c r="B152" s="105" t="s">
        <v>60</v>
      </c>
      <c r="C152" s="106">
        <v>0</v>
      </c>
      <c r="D152" s="106">
        <v>0</v>
      </c>
      <c r="E152" s="106">
        <v>6</v>
      </c>
      <c r="F152" s="106">
        <v>13994062.520000001</v>
      </c>
      <c r="G152" s="107">
        <f t="shared" ref="G152:H158" ca="1" si="43">SUM(C152,E152)</f>
        <v>6</v>
      </c>
      <c r="H152" s="108">
        <f t="shared" ca="1" si="43"/>
        <v>13994062.520000001</v>
      </c>
    </row>
    <row r="153" spans="2:8" hidden="1" outlineLevel="1" x14ac:dyDescent="0.3">
      <c r="B153" s="105" t="s">
        <v>61</v>
      </c>
      <c r="C153" s="106">
        <v>1</v>
      </c>
      <c r="D153" s="106">
        <v>1788098.04</v>
      </c>
      <c r="E153" s="106">
        <v>4</v>
      </c>
      <c r="F153" s="106">
        <v>7927242.9699999988</v>
      </c>
      <c r="G153" s="107">
        <f t="shared" ca="1" si="43"/>
        <v>5</v>
      </c>
      <c r="H153" s="108">
        <f t="shared" ca="1" si="43"/>
        <v>9715341.0099999979</v>
      </c>
    </row>
    <row r="154" spans="2:8" hidden="1" outlineLevel="1" x14ac:dyDescent="0.3">
      <c r="B154" s="105" t="s">
        <v>62</v>
      </c>
      <c r="C154" s="106">
        <v>0</v>
      </c>
      <c r="D154" s="106">
        <v>0</v>
      </c>
      <c r="E154" s="106">
        <v>18</v>
      </c>
      <c r="F154" s="106">
        <v>34873839.57</v>
      </c>
      <c r="G154" s="107">
        <f t="shared" ca="1" si="43"/>
        <v>18</v>
      </c>
      <c r="H154" s="108">
        <f t="shared" ca="1" si="43"/>
        <v>34873839.57</v>
      </c>
    </row>
    <row r="155" spans="2:8" hidden="1" outlineLevel="1" x14ac:dyDescent="0.3">
      <c r="B155" s="105" t="s">
        <v>63</v>
      </c>
      <c r="C155" s="106">
        <v>2</v>
      </c>
      <c r="D155" s="106">
        <v>2709503.75</v>
      </c>
      <c r="E155" s="106">
        <v>41</v>
      </c>
      <c r="F155" s="106">
        <v>62517346.600000001</v>
      </c>
      <c r="G155" s="107">
        <f t="shared" ca="1" si="43"/>
        <v>43</v>
      </c>
      <c r="H155" s="108">
        <f t="shared" ca="1" si="43"/>
        <v>65226850.350000001</v>
      </c>
    </row>
    <row r="156" spans="2:8" hidden="1" outlineLevel="1" x14ac:dyDescent="0.3">
      <c r="B156" s="105" t="s">
        <v>64</v>
      </c>
      <c r="C156" s="106">
        <v>0</v>
      </c>
      <c r="D156" s="106">
        <v>0</v>
      </c>
      <c r="E156" s="106">
        <v>43</v>
      </c>
      <c r="F156" s="106">
        <v>73404932.800000012</v>
      </c>
      <c r="G156" s="107">
        <f t="shared" ca="1" si="43"/>
        <v>43</v>
      </c>
      <c r="H156" s="108">
        <f t="shared" ca="1" si="43"/>
        <v>73404932.800000012</v>
      </c>
    </row>
    <row r="157" spans="2:8" hidden="1" outlineLevel="1" x14ac:dyDescent="0.3">
      <c r="B157" s="105" t="s">
        <v>65</v>
      </c>
      <c r="C157" s="106">
        <v>0</v>
      </c>
      <c r="D157" s="106">
        <v>0</v>
      </c>
      <c r="E157" s="106">
        <v>0</v>
      </c>
      <c r="F157" s="106">
        <v>0</v>
      </c>
      <c r="G157" s="107">
        <f t="shared" ca="1" si="43"/>
        <v>0</v>
      </c>
      <c r="H157" s="108">
        <f t="shared" ca="1" si="43"/>
        <v>0</v>
      </c>
    </row>
    <row r="158" spans="2:8" hidden="1" outlineLevel="1" x14ac:dyDescent="0.3">
      <c r="B158" s="105" t="s">
        <v>66</v>
      </c>
      <c r="C158" s="106">
        <v>1</v>
      </c>
      <c r="D158" s="106">
        <v>1408699.81</v>
      </c>
      <c r="E158" s="106">
        <v>31</v>
      </c>
      <c r="F158" s="106">
        <v>54864171.329999991</v>
      </c>
      <c r="G158" s="107">
        <f t="shared" ca="1" si="43"/>
        <v>32</v>
      </c>
      <c r="H158" s="108">
        <f t="shared" ca="1" si="43"/>
        <v>56272871.139999993</v>
      </c>
    </row>
    <row r="159" spans="2:8" ht="15" collapsed="1" thickBot="1" x14ac:dyDescent="0.35">
      <c r="B159" s="115" t="s">
        <v>18</v>
      </c>
      <c r="C159" s="116">
        <f ca="1">SUM(C137,C142,C151)</f>
        <v>7</v>
      </c>
      <c r="D159" s="116">
        <f t="shared" ref="D159:H159" ca="1" si="44">SUM(D137,D142,D151)</f>
        <v>38932217.600000001</v>
      </c>
      <c r="E159" s="116">
        <f t="shared" ca="1" si="44"/>
        <v>219</v>
      </c>
      <c r="F159" s="116">
        <f t="shared" ca="1" si="44"/>
        <v>487708899.57999998</v>
      </c>
      <c r="G159" s="117">
        <f t="shared" ca="1" si="44"/>
        <v>226</v>
      </c>
      <c r="H159" s="118">
        <f t="shared" ca="1" si="44"/>
        <v>526641117.17999995</v>
      </c>
    </row>
  </sheetData>
  <mergeCells count="6">
    <mergeCell ref="B3:H3"/>
    <mergeCell ref="B30:H30"/>
    <mergeCell ref="B56:H56"/>
    <mergeCell ref="B83:H83"/>
    <mergeCell ref="B109:H109"/>
    <mergeCell ref="B135:H135"/>
  </mergeCells>
  <pageMargins left="1.5" right="0.86" top="0.74803149606299213" bottom="0.74803149606299213" header="0.31496062992125984" footer="0.31496062992125984"/>
  <pageSetup paperSize="8" scale="86" orientation="portrait" r:id="rId1"/>
  <headerFooter alignWithMargins="0">
    <oddHeader>&amp;LSOBHA LLC&amp;C&amp;"Tahoma,Bold"&amp;14
&amp;USINIYA Unit Sales Inception Till Date&amp;R&amp;D</oddHeader>
    <oddFooter>&amp;LCOLLECTIONS&amp;R&amp;P/&amp;N</oddFooter>
  </headerFooter>
  <colBreaks count="1" manualBreakCount="1">
    <brk id="8" min="1" max="15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561C-FDA3-42AC-8D3B-1372CDD52A66}">
  <sheetPr>
    <tabColor theme="7" tint="0.79998168889431442"/>
    <pageSetUpPr fitToPage="1"/>
  </sheetPr>
  <dimension ref="A2:H31"/>
  <sheetViews>
    <sheetView view="pageBreakPreview" zoomScale="85" zoomScaleNormal="100" zoomScaleSheetLayoutView="85" workbookViewId="0">
      <selection activeCell="H14" sqref="H14"/>
    </sheetView>
  </sheetViews>
  <sheetFormatPr defaultRowHeight="14.4" x14ac:dyDescent="0.3"/>
  <cols>
    <col min="1" max="1" width="11.5546875" bestFit="1" customWidth="1"/>
    <col min="2" max="2" width="31.88671875" bestFit="1" customWidth="1"/>
    <col min="3" max="3" width="10.88671875" customWidth="1"/>
    <col min="4" max="4" width="17.88671875" bestFit="1" customWidth="1"/>
    <col min="5" max="5" width="12.5546875" customWidth="1"/>
    <col min="6" max="6" width="19.88671875" bestFit="1" customWidth="1"/>
    <col min="7" max="7" width="15.5546875" customWidth="1"/>
    <col min="8" max="8" width="18.5546875" customWidth="1"/>
  </cols>
  <sheetData>
    <row r="2" spans="1:8" ht="15" thickBot="1" x14ac:dyDescent="0.35">
      <c r="A2" s="93">
        <v>46148</v>
      </c>
    </row>
    <row r="3" spans="1:8" ht="18" x14ac:dyDescent="0.3">
      <c r="B3" s="95" t="str">
        <f ca="1">"As on "&amp;TEXT(A2,"DD.MM.YY")</f>
        <v>As on 06.05.26</v>
      </c>
      <c r="C3" s="96"/>
      <c r="D3" s="96"/>
      <c r="E3" s="96"/>
      <c r="F3" s="96"/>
      <c r="G3" s="96"/>
      <c r="H3" s="97"/>
    </row>
    <row r="4" spans="1:8" ht="27.6" x14ac:dyDescent="0.3">
      <c r="B4" s="98" t="s">
        <v>38</v>
      </c>
      <c r="C4" s="99" t="s">
        <v>39</v>
      </c>
      <c r="D4" s="99" t="s">
        <v>40</v>
      </c>
      <c r="E4" s="99" t="s">
        <v>41</v>
      </c>
      <c r="F4" s="99" t="s">
        <v>42</v>
      </c>
      <c r="G4" s="99" t="s">
        <v>43</v>
      </c>
      <c r="H4" s="100" t="s">
        <v>44</v>
      </c>
    </row>
    <row r="5" spans="1:8" x14ac:dyDescent="0.3">
      <c r="B5" s="101" t="s">
        <v>70</v>
      </c>
      <c r="C5" s="140">
        <v>2</v>
      </c>
      <c r="D5" s="141">
        <v>2724211.23</v>
      </c>
      <c r="E5" s="141">
        <v>705</v>
      </c>
      <c r="F5" s="141">
        <v>996023458.40000021</v>
      </c>
      <c r="G5" s="142">
        <f t="shared" ref="G5:H6" ca="1" si="0">SUM(C5,E5)</f>
        <v>707</v>
      </c>
      <c r="H5" s="143">
        <f t="shared" ca="1" si="0"/>
        <v>998747669.63000023</v>
      </c>
    </row>
    <row r="6" spans="1:8" x14ac:dyDescent="0.3">
      <c r="B6" s="101" t="s">
        <v>71</v>
      </c>
      <c r="C6" s="144">
        <v>1</v>
      </c>
      <c r="D6" s="145">
        <v>1215914.42</v>
      </c>
      <c r="E6" s="145">
        <v>121</v>
      </c>
      <c r="F6" s="145">
        <v>168677977.57000008</v>
      </c>
      <c r="G6" s="146">
        <f t="shared" ca="1" si="0"/>
        <v>122</v>
      </c>
      <c r="H6" s="147">
        <f t="shared" ca="1" si="0"/>
        <v>169893891.99000007</v>
      </c>
    </row>
    <row r="7" spans="1:8" ht="15" thickBot="1" x14ac:dyDescent="0.35">
      <c r="B7" s="115" t="s">
        <v>18</v>
      </c>
      <c r="C7" s="148">
        <f ca="1">SUM(C5:C6)</f>
        <v>3</v>
      </c>
      <c r="D7" s="149">
        <f t="shared" ref="D7:H7" ca="1" si="1">SUM(D5:D6)</f>
        <v>3940125.65</v>
      </c>
      <c r="E7" s="149">
        <f t="shared" ca="1" si="1"/>
        <v>826</v>
      </c>
      <c r="F7" s="149">
        <f t="shared" ca="1" si="1"/>
        <v>1164701435.9700003</v>
      </c>
      <c r="G7" s="150">
        <f t="shared" ca="1" si="1"/>
        <v>829</v>
      </c>
      <c r="H7" s="151">
        <f t="shared" ca="1" si="1"/>
        <v>1168641561.6200004</v>
      </c>
    </row>
    <row r="8" spans="1:8" ht="26.4" customHeight="1" thickBot="1" x14ac:dyDescent="0.35">
      <c r="B8" s="119"/>
      <c r="C8" s="119"/>
      <c r="D8" s="119"/>
      <c r="E8" s="119"/>
      <c r="F8" s="119"/>
      <c r="G8" s="119"/>
      <c r="H8" s="119"/>
    </row>
    <row r="9" spans="1:8" ht="18" x14ac:dyDescent="0.3">
      <c r="B9" s="120" t="str">
        <f ca="1">"MTD "&amp;TEXT(A10,"mmm-YY")</f>
        <v>MTD May-26</v>
      </c>
      <c r="C9" s="121"/>
      <c r="D9" s="121"/>
      <c r="E9" s="121"/>
      <c r="F9" s="121"/>
      <c r="G9" s="121"/>
      <c r="H9" s="122"/>
    </row>
    <row r="10" spans="1:8" ht="27.6" x14ac:dyDescent="0.3">
      <c r="A10" s="94">
        <f ca="1">EOMONTH(A2,-1)+1</f>
        <v>46143</v>
      </c>
      <c r="B10" s="98" t="s">
        <v>38</v>
      </c>
      <c r="C10" s="99" t="s">
        <v>67</v>
      </c>
      <c r="D10" s="99" t="s">
        <v>40</v>
      </c>
      <c r="E10" s="99" t="s">
        <v>41</v>
      </c>
      <c r="F10" s="99" t="s">
        <v>42</v>
      </c>
      <c r="G10" s="99" t="s">
        <v>68</v>
      </c>
      <c r="H10" s="100" t="s">
        <v>69</v>
      </c>
    </row>
    <row r="11" spans="1:8" x14ac:dyDescent="0.3">
      <c r="B11" s="101" t="s">
        <v>70</v>
      </c>
      <c r="C11" s="140">
        <v>0</v>
      </c>
      <c r="D11" s="141">
        <v>0</v>
      </c>
      <c r="E11" s="141">
        <v>0</v>
      </c>
      <c r="F11" s="141">
        <v>0</v>
      </c>
      <c r="G11" s="142">
        <f t="shared" ref="G11:H12" ca="1" si="2">SUM(C11,E11)</f>
        <v>0</v>
      </c>
      <c r="H11" s="143">
        <f t="shared" ca="1" si="2"/>
        <v>0</v>
      </c>
    </row>
    <row r="12" spans="1:8" x14ac:dyDescent="0.3">
      <c r="B12" s="101" t="s">
        <v>71</v>
      </c>
      <c r="C12" s="144">
        <v>0</v>
      </c>
      <c r="D12" s="145">
        <v>0</v>
      </c>
      <c r="E12" s="145">
        <v>0</v>
      </c>
      <c r="F12" s="145">
        <v>0</v>
      </c>
      <c r="G12" s="146">
        <f t="shared" ca="1" si="2"/>
        <v>0</v>
      </c>
      <c r="H12" s="147">
        <f t="shared" ca="1" si="2"/>
        <v>0</v>
      </c>
    </row>
    <row r="13" spans="1:8" x14ac:dyDescent="0.3">
      <c r="B13" s="123" t="s">
        <v>18</v>
      </c>
      <c r="C13" s="152">
        <f ca="1">SUM(C11:C12)</f>
        <v>0</v>
      </c>
      <c r="D13" s="153">
        <f t="shared" ref="D13:H13" ca="1" si="3">SUM(D11:D12)</f>
        <v>0</v>
      </c>
      <c r="E13" s="153">
        <f t="shared" ca="1" si="3"/>
        <v>0</v>
      </c>
      <c r="F13" s="153">
        <f t="shared" ca="1" si="3"/>
        <v>0</v>
      </c>
      <c r="G13" s="154">
        <f t="shared" ca="1" si="3"/>
        <v>0</v>
      </c>
      <c r="H13" s="155">
        <f t="shared" ca="1" si="3"/>
        <v>0</v>
      </c>
    </row>
    <row r="14" spans="1:8" x14ac:dyDescent="0.3">
      <c r="B14" s="127"/>
      <c r="C14" s="23"/>
      <c r="D14" s="23"/>
      <c r="E14" s="23"/>
      <c r="F14" s="23"/>
      <c r="H14" s="128"/>
    </row>
    <row r="15" spans="1:8" ht="18" x14ac:dyDescent="0.3">
      <c r="B15" s="129" t="str">
        <f ca="1">"As on "&amp;TEXT(EOMONTH(A2,-1),"dd.mm.yy")</f>
        <v>As on 30.04.26</v>
      </c>
      <c r="C15" s="130"/>
      <c r="D15" s="130"/>
      <c r="E15" s="130"/>
      <c r="F15" s="130"/>
      <c r="G15" s="130"/>
      <c r="H15" s="131"/>
    </row>
    <row r="16" spans="1:8" ht="27.6" x14ac:dyDescent="0.3">
      <c r="B16" s="98" t="s">
        <v>38</v>
      </c>
      <c r="C16" s="99" t="s">
        <v>39</v>
      </c>
      <c r="D16" s="99" t="s">
        <v>40</v>
      </c>
      <c r="E16" s="99" t="s">
        <v>41</v>
      </c>
      <c r="F16" s="99" t="s">
        <v>42</v>
      </c>
      <c r="G16" s="99" t="s">
        <v>43</v>
      </c>
      <c r="H16" s="100" t="s">
        <v>44</v>
      </c>
    </row>
    <row r="17" spans="1:8" x14ac:dyDescent="0.3">
      <c r="B17" s="101" t="s">
        <v>70</v>
      </c>
      <c r="C17" s="140">
        <f t="shared" ref="C17:H18" ca="1" si="4">SUM(C5-C11)</f>
        <v>2</v>
      </c>
      <c r="D17" s="141">
        <f t="shared" ca="1" si="4"/>
        <v>2724211.23</v>
      </c>
      <c r="E17" s="141">
        <f t="shared" ca="1" si="4"/>
        <v>705</v>
      </c>
      <c r="F17" s="141">
        <f t="shared" ca="1" si="4"/>
        <v>996023458.40000021</v>
      </c>
      <c r="G17" s="142">
        <f t="shared" ca="1" si="4"/>
        <v>707</v>
      </c>
      <c r="H17" s="143">
        <f t="shared" ca="1" si="4"/>
        <v>998747669.63000023</v>
      </c>
    </row>
    <row r="18" spans="1:8" x14ac:dyDescent="0.3">
      <c r="B18" s="101" t="s">
        <v>71</v>
      </c>
      <c r="C18" s="144">
        <f t="shared" ca="1" si="4"/>
        <v>1</v>
      </c>
      <c r="D18" s="145">
        <f t="shared" ca="1" si="4"/>
        <v>1215914.42</v>
      </c>
      <c r="E18" s="145">
        <f t="shared" ca="1" si="4"/>
        <v>121</v>
      </c>
      <c r="F18" s="145">
        <f t="shared" ca="1" si="4"/>
        <v>168677977.57000008</v>
      </c>
      <c r="G18" s="146">
        <f t="shared" ca="1" si="4"/>
        <v>122</v>
      </c>
      <c r="H18" s="147">
        <f t="shared" ca="1" si="4"/>
        <v>169893891.99000007</v>
      </c>
    </row>
    <row r="19" spans="1:8" ht="15" thickBot="1" x14ac:dyDescent="0.35">
      <c r="B19" s="115" t="s">
        <v>18</v>
      </c>
      <c r="C19" s="148">
        <f ca="1">SUM(C17:C18)</f>
        <v>3</v>
      </c>
      <c r="D19" s="149">
        <f t="shared" ref="D19:H19" ca="1" si="5">SUM(D17:D18)</f>
        <v>3940125.65</v>
      </c>
      <c r="E19" s="149">
        <f t="shared" ca="1" si="5"/>
        <v>826</v>
      </c>
      <c r="F19" s="149">
        <f t="shared" ca="1" si="5"/>
        <v>1164701435.9700003</v>
      </c>
      <c r="G19" s="150">
        <f t="shared" ca="1" si="5"/>
        <v>829</v>
      </c>
      <c r="H19" s="151">
        <f t="shared" ca="1" si="5"/>
        <v>1168641561.6200004</v>
      </c>
    </row>
    <row r="20" spans="1:8" ht="18" customHeight="1" thickBot="1" x14ac:dyDescent="0.35">
      <c r="B20" s="132"/>
      <c r="C20" s="132"/>
      <c r="D20" s="132"/>
      <c r="E20" s="132"/>
      <c r="F20" s="132"/>
      <c r="G20" s="132"/>
      <c r="H20" s="132"/>
    </row>
    <row r="21" spans="1:8" ht="18" x14ac:dyDescent="0.3">
      <c r="A21" s="87">
        <v>45658</v>
      </c>
      <c r="B21" s="133" t="str">
        <f ca="1">"YTD "&amp;TEXT(A21,"YYYY")</f>
        <v>YTD 2025</v>
      </c>
      <c r="C21" s="134"/>
      <c r="D21" s="134"/>
      <c r="E21" s="134"/>
      <c r="F21" s="134"/>
      <c r="G21" s="134"/>
      <c r="H21" s="135"/>
    </row>
    <row r="22" spans="1:8" ht="27.6" x14ac:dyDescent="0.3">
      <c r="A22" s="87">
        <v>46022</v>
      </c>
      <c r="B22" s="98" t="s">
        <v>38</v>
      </c>
      <c r="C22" s="99" t="s">
        <v>67</v>
      </c>
      <c r="D22" s="99" t="s">
        <v>40</v>
      </c>
      <c r="E22" s="99" t="s">
        <v>41</v>
      </c>
      <c r="F22" s="99" t="s">
        <v>42</v>
      </c>
      <c r="G22" s="99" t="s">
        <v>68</v>
      </c>
      <c r="H22" s="100" t="s">
        <v>69</v>
      </c>
    </row>
    <row r="23" spans="1:8" x14ac:dyDescent="0.3">
      <c r="B23" s="101" t="s">
        <v>70</v>
      </c>
      <c r="C23" s="140">
        <v>0</v>
      </c>
      <c r="D23" s="141">
        <v>0</v>
      </c>
      <c r="E23" s="141">
        <v>660</v>
      </c>
      <c r="F23" s="141">
        <v>932402521.43000042</v>
      </c>
      <c r="G23" s="142">
        <f t="shared" ref="G23:H24" ca="1" si="6">SUM(C23,E23)</f>
        <v>660</v>
      </c>
      <c r="H23" s="143">
        <f t="shared" ca="1" si="6"/>
        <v>932402521.43000042</v>
      </c>
    </row>
    <row r="24" spans="1:8" x14ac:dyDescent="0.3">
      <c r="B24" s="101" t="s">
        <v>71</v>
      </c>
      <c r="C24" s="144">
        <v>0</v>
      </c>
      <c r="D24" s="145">
        <v>0</v>
      </c>
      <c r="E24" s="145">
        <v>74</v>
      </c>
      <c r="F24" s="145">
        <v>105700443.97000001</v>
      </c>
      <c r="G24" s="146">
        <f t="shared" ca="1" si="6"/>
        <v>74</v>
      </c>
      <c r="H24" s="147">
        <f t="shared" ca="1" si="6"/>
        <v>105700443.97000001</v>
      </c>
    </row>
    <row r="25" spans="1:8" ht="15" thickBot="1" x14ac:dyDescent="0.35">
      <c r="B25" s="115" t="s">
        <v>18</v>
      </c>
      <c r="C25" s="148">
        <f ca="1">SUM(C23:C24)</f>
        <v>0</v>
      </c>
      <c r="D25" s="149">
        <f t="shared" ref="D25:H25" ca="1" si="7">SUM(D23:D24)</f>
        <v>0</v>
      </c>
      <c r="E25" s="149">
        <f t="shared" ca="1" si="7"/>
        <v>734</v>
      </c>
      <c r="F25" s="149">
        <f t="shared" ca="1" si="7"/>
        <v>1038102965.4000005</v>
      </c>
      <c r="G25" s="150">
        <f t="shared" ca="1" si="7"/>
        <v>734</v>
      </c>
      <c r="H25" s="151">
        <f t="shared" ca="1" si="7"/>
        <v>1038102965.4000005</v>
      </c>
    </row>
    <row r="26" spans="1:8" ht="15" thickBot="1" x14ac:dyDescent="0.35"/>
    <row r="27" spans="1:8" ht="18" x14ac:dyDescent="0.3">
      <c r="A27" s="87">
        <v>46023</v>
      </c>
      <c r="B27" s="133" t="str">
        <f ca="1">"YTD "&amp;TEXT(A27,"YYYY")</f>
        <v>YTD 2026</v>
      </c>
      <c r="C27" s="134"/>
      <c r="D27" s="134"/>
      <c r="E27" s="134"/>
      <c r="F27" s="134"/>
      <c r="G27" s="134"/>
      <c r="H27" s="135"/>
    </row>
    <row r="28" spans="1:8" ht="27.6" x14ac:dyDescent="0.3">
      <c r="A28" s="87">
        <v>46387</v>
      </c>
      <c r="B28" s="98" t="s">
        <v>38</v>
      </c>
      <c r="C28" s="99" t="s">
        <v>67</v>
      </c>
      <c r="D28" s="99" t="s">
        <v>40</v>
      </c>
      <c r="E28" s="99" t="s">
        <v>41</v>
      </c>
      <c r="F28" s="99" t="s">
        <v>42</v>
      </c>
      <c r="G28" s="99" t="s">
        <v>68</v>
      </c>
      <c r="H28" s="100" t="s">
        <v>69</v>
      </c>
    </row>
    <row r="29" spans="1:8" x14ac:dyDescent="0.3">
      <c r="B29" s="101" t="s">
        <v>70</v>
      </c>
      <c r="C29" s="140">
        <v>2</v>
      </c>
      <c r="D29" s="141">
        <v>2724211.23</v>
      </c>
      <c r="E29" s="141">
        <v>45</v>
      </c>
      <c r="F29" s="141">
        <v>63620936.969999984</v>
      </c>
      <c r="G29" s="142">
        <f t="shared" ref="G29:H30" ca="1" si="8">SUM(C29,E29)</f>
        <v>47</v>
      </c>
      <c r="H29" s="143">
        <f t="shared" ca="1" si="8"/>
        <v>66345148.199999981</v>
      </c>
    </row>
    <row r="30" spans="1:8" x14ac:dyDescent="0.3">
      <c r="B30" s="101" t="s">
        <v>71</v>
      </c>
      <c r="C30" s="144">
        <v>1</v>
      </c>
      <c r="D30" s="145">
        <v>1215914.42</v>
      </c>
      <c r="E30" s="145">
        <v>47</v>
      </c>
      <c r="F30" s="145">
        <v>62977533.600000001</v>
      </c>
      <c r="G30" s="146">
        <f t="shared" ca="1" si="8"/>
        <v>48</v>
      </c>
      <c r="H30" s="147">
        <f t="shared" ca="1" si="8"/>
        <v>64193448.020000003</v>
      </c>
    </row>
    <row r="31" spans="1:8" ht="15" thickBot="1" x14ac:dyDescent="0.35">
      <c r="B31" s="115" t="s">
        <v>18</v>
      </c>
      <c r="C31" s="148">
        <f t="shared" ref="C31:H31" ca="1" si="9">SUM(C29:C30)</f>
        <v>3</v>
      </c>
      <c r="D31" s="149">
        <f t="shared" ca="1" si="9"/>
        <v>3940125.65</v>
      </c>
      <c r="E31" s="149">
        <f t="shared" ca="1" si="9"/>
        <v>92</v>
      </c>
      <c r="F31" s="149">
        <f t="shared" ca="1" si="9"/>
        <v>126598470.56999999</v>
      </c>
      <c r="G31" s="150">
        <f t="shared" ca="1" si="9"/>
        <v>95</v>
      </c>
      <c r="H31" s="151">
        <f t="shared" ca="1" si="9"/>
        <v>130538596.21999998</v>
      </c>
    </row>
  </sheetData>
  <mergeCells count="5">
    <mergeCell ref="B3:H3"/>
    <mergeCell ref="B9:H9"/>
    <mergeCell ref="B15:H15"/>
    <mergeCell ref="B21:H21"/>
    <mergeCell ref="B27:H27"/>
  </mergeCells>
  <pageMargins left="0.9055118110236221" right="0.86614173228346458" top="0.74803149606299213" bottom="0.74803149606299213" header="0.31496062992125984" footer="0.31496062992125984"/>
  <pageSetup paperSize="8" scale="92" orientation="portrait" r:id="rId1"/>
  <headerFooter alignWithMargins="0">
    <oddHeader>&amp;LSOBHA LLC&amp;C&amp;"Tahoma,Bold"&amp;14
&amp;UDowntown Unit Sales Inception Till Date&amp;R&amp;D</oddHeader>
    <oddFooter>&amp;LCOLLECTIONS&amp;R&amp;P/&amp;N</oddFooter>
  </headerFooter>
  <colBreaks count="1" manualBreakCount="1">
    <brk id="8" min="1" max="3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08E5-D2B4-4988-8960-4BB3AE8BC3DF}">
  <sheetPr>
    <tabColor rgb="FFFF0000"/>
    <pageSetUpPr fitToPage="1"/>
  </sheetPr>
  <dimension ref="A1:AL173"/>
  <sheetViews>
    <sheetView view="pageBreakPreview" topLeftCell="B2" zoomScale="70" zoomScaleNormal="70" zoomScaleSheetLayoutView="70" workbookViewId="0">
      <selection activeCell="E19" sqref="E19"/>
    </sheetView>
  </sheetViews>
  <sheetFormatPr defaultRowHeight="14.4" x14ac:dyDescent="0.3"/>
  <cols>
    <col min="1" max="1" width="6.5546875" hidden="1" customWidth="1"/>
    <col min="2" max="2" width="36.44140625" customWidth="1"/>
    <col min="3" max="3" width="22.5546875" customWidth="1"/>
    <col min="4" max="4" width="29" customWidth="1"/>
    <col min="5" max="5" width="26.44140625" customWidth="1"/>
    <col min="6" max="6" width="14.33203125" bestFit="1" customWidth="1"/>
    <col min="7" max="7" width="15" bestFit="1" customWidth="1"/>
    <col min="8" max="8" width="14.5546875" hidden="1" customWidth="1"/>
    <col min="9" max="9" width="12.5546875" style="161" hidden="1" customWidth="1"/>
    <col min="10" max="10" width="12.44140625" style="161" hidden="1" customWidth="1"/>
    <col min="11" max="11" width="13.44140625" style="161" hidden="1" customWidth="1"/>
    <col min="12" max="12" width="11.44140625" style="161" hidden="1" customWidth="1"/>
    <col min="13" max="13" width="20.44140625" hidden="1" customWidth="1"/>
    <col min="14" max="14" width="11" hidden="1" customWidth="1"/>
    <col min="15" max="15" width="8.5546875" hidden="1" customWidth="1"/>
    <col min="16" max="16" width="13.5546875" hidden="1" customWidth="1"/>
    <col min="17" max="18" width="8.5546875" hidden="1" customWidth="1"/>
    <col min="19" max="19" width="11.5546875" hidden="1" customWidth="1"/>
    <col min="20" max="20" width="12.44140625" hidden="1" customWidth="1"/>
    <col min="21" max="30" width="8.5546875" hidden="1" customWidth="1"/>
    <col min="31" max="31" width="18.5546875" customWidth="1"/>
    <col min="32" max="32" width="14.33203125" bestFit="1" customWidth="1"/>
    <col min="33" max="33" width="11" bestFit="1" customWidth="1"/>
    <col min="34" max="35" width="15.5546875" style="207" bestFit="1" customWidth="1"/>
    <col min="36" max="37" width="11.5546875" bestFit="1" customWidth="1"/>
    <col min="38" max="38" width="11" bestFit="1" customWidth="1"/>
    <col min="39" max="39" width="12.44140625" bestFit="1" customWidth="1"/>
  </cols>
  <sheetData>
    <row r="1" spans="1:38" ht="15" hidden="1" thickBot="1" x14ac:dyDescent="0.35">
      <c r="B1" s="160"/>
      <c r="C1" s="160"/>
      <c r="D1" s="160"/>
      <c r="E1" s="160"/>
      <c r="F1" s="160"/>
      <c r="P1" s="93"/>
      <c r="T1" s="162"/>
      <c r="W1" s="93"/>
      <c r="AH1" s="163"/>
      <c r="AI1" s="163"/>
    </row>
    <row r="2" spans="1:38" x14ac:dyDescent="0.3">
      <c r="A2" s="164"/>
      <c r="B2" s="165" t="str">
        <f ca="1">UPPER(_xlfn.CONCAT(TEXT(F3,"MMMM YYYY "),"COLLECTION SUMMARY"))</f>
        <v>MAY 2026 COLLECTION SUMMARY</v>
      </c>
      <c r="C2" s="165"/>
      <c r="D2" s="165"/>
      <c r="E2" s="165"/>
      <c r="F2" s="166"/>
      <c r="G2" s="167"/>
      <c r="H2" s="168"/>
      <c r="AH2" s="163"/>
      <c r="AI2" s="163"/>
    </row>
    <row r="3" spans="1:38" x14ac:dyDescent="0.3">
      <c r="A3" s="136"/>
      <c r="E3" s="169" t="s">
        <v>72</v>
      </c>
      <c r="F3" s="170">
        <v>46148</v>
      </c>
      <c r="G3" s="171" t="s">
        <v>73</v>
      </c>
      <c r="Y3" s="172"/>
      <c r="AH3" s="163"/>
      <c r="AI3" s="163"/>
    </row>
    <row r="4" spans="1:38" x14ac:dyDescent="0.3">
      <c r="A4" s="173"/>
      <c r="B4" s="174"/>
      <c r="C4" s="175" t="s">
        <v>74</v>
      </c>
      <c r="D4" s="175" t="s">
        <v>75</v>
      </c>
      <c r="E4" s="176" t="s">
        <v>18</v>
      </c>
      <c r="F4" s="177"/>
      <c r="T4" s="93"/>
      <c r="Y4" s="172"/>
      <c r="AH4" s="163"/>
      <c r="AI4" s="163"/>
    </row>
    <row r="5" spans="1:38" x14ac:dyDescent="0.3">
      <c r="A5" s="178" t="s">
        <v>76</v>
      </c>
      <c r="B5" s="179"/>
      <c r="C5" s="180">
        <v>860429189.90999985</v>
      </c>
      <c r="D5" s="180">
        <v>563625000</v>
      </c>
      <c r="E5" s="180">
        <f ca="1">SUM(C5:D5)</f>
        <v>1424054189.9099998</v>
      </c>
      <c r="F5" s="181"/>
      <c r="Y5" s="172"/>
      <c r="AH5" s="163"/>
      <c r="AI5" s="163"/>
    </row>
    <row r="6" spans="1:38" x14ac:dyDescent="0.3">
      <c r="A6" s="182" t="s">
        <v>77</v>
      </c>
      <c r="B6" s="183"/>
      <c r="C6" s="184">
        <v>202453927.03764701</v>
      </c>
      <c r="D6" s="184">
        <v>132617647.05882353</v>
      </c>
      <c r="E6" s="184">
        <f ca="1">SUM(C6:D6)</f>
        <v>335071574.09647053</v>
      </c>
      <c r="F6" s="185"/>
      <c r="Y6" s="172"/>
      <c r="AH6" s="163"/>
      <c r="AI6" s="163"/>
      <c r="AL6" s="44"/>
    </row>
    <row r="7" spans="1:38" hidden="1" x14ac:dyDescent="0.3">
      <c r="A7" s="186"/>
      <c r="B7" s="187"/>
      <c r="C7" s="188"/>
      <c r="D7" s="188"/>
      <c r="E7" s="189"/>
      <c r="F7" s="190"/>
      <c r="Y7" s="172"/>
      <c r="AH7" s="163"/>
      <c r="AI7" s="163"/>
    </row>
    <row r="8" spans="1:38" x14ac:dyDescent="0.3">
      <c r="A8" s="191" t="s">
        <v>78</v>
      </c>
      <c r="B8" s="192" t="s">
        <v>79</v>
      </c>
      <c r="C8" s="175" t="s">
        <v>74</v>
      </c>
      <c r="D8" s="175" t="s">
        <v>75</v>
      </c>
      <c r="E8" s="175" t="s">
        <v>18</v>
      </c>
      <c r="F8" s="177" t="s">
        <v>80</v>
      </c>
      <c r="G8" s="193"/>
      <c r="Y8" s="172"/>
      <c r="AE8" s="194" t="s">
        <v>90</v>
      </c>
      <c r="AH8" s="163"/>
      <c r="AI8" s="163"/>
    </row>
    <row r="9" spans="1:38" s="172" customFormat="1" x14ac:dyDescent="0.3">
      <c r="A9" s="195">
        <v>1</v>
      </c>
      <c r="B9" s="196">
        <v>46143</v>
      </c>
      <c r="C9" s="197">
        <v>53938555.040000007</v>
      </c>
      <c r="D9" s="197">
        <f t="shared" ref="D9:D39" ca="1" si="0">E9-C9</f>
        <v>1465167.2899999991</v>
      </c>
      <c r="E9" s="198">
        <v>55403722.330000006</v>
      </c>
      <c r="F9" s="199">
        <v>983015.40999999992</v>
      </c>
      <c r="G9" s="193"/>
      <c r="H9" s="193"/>
      <c r="I9" s="197"/>
      <c r="J9" s="197"/>
      <c r="K9" s="163"/>
      <c r="L9" s="163"/>
      <c r="M9" s="200"/>
      <c r="W9"/>
      <c r="AF9" s="201">
        <v>518637.46</v>
      </c>
      <c r="AH9" s="163"/>
      <c r="AI9" s="163"/>
      <c r="AJ9" s="163">
        <f t="shared" ref="AJ9:AK24" ca="1" si="1">C9-AH9</f>
        <v>53938555.040000007</v>
      </c>
      <c r="AK9" s="163">
        <f t="shared" ca="1" si="1"/>
        <v>1465167.2899999991</v>
      </c>
    </row>
    <row r="10" spans="1:38" s="172" customFormat="1" hidden="1" x14ac:dyDescent="0.3">
      <c r="A10" s="195">
        <v>2</v>
      </c>
      <c r="B10" s="196">
        <v>46144</v>
      </c>
      <c r="C10" s="197">
        <v>0</v>
      </c>
      <c r="D10" s="197">
        <f t="shared" ca="1" si="0"/>
        <v>0</v>
      </c>
      <c r="E10" s="198">
        <v>0</v>
      </c>
      <c r="F10" s="199">
        <v>633865.9099999998</v>
      </c>
      <c r="G10" s="193"/>
      <c r="H10" s="193"/>
      <c r="I10" s="197"/>
      <c r="J10" s="197"/>
      <c r="K10" s="163"/>
      <c r="L10" s="163"/>
      <c r="M10" s="200"/>
      <c r="W10"/>
      <c r="AE10" s="163">
        <f ca="1">_xlfn.XLOOKUP(daily!$F3,B:B,D:D)-AE11</f>
        <v>367114.00000000186</v>
      </c>
      <c r="AF10" s="201">
        <v>303910.96999999997</v>
      </c>
      <c r="AH10" s="163">
        <v>25259161.389999993</v>
      </c>
      <c r="AI10" s="163">
        <v>1183126</v>
      </c>
      <c r="AJ10" s="163">
        <f t="shared" ca="1" si="1"/>
        <v>-25259161.389999993</v>
      </c>
      <c r="AK10" s="163">
        <f t="shared" ca="1" si="1"/>
        <v>-1183126</v>
      </c>
    </row>
    <row r="11" spans="1:38" s="172" customFormat="1" hidden="1" x14ac:dyDescent="0.3">
      <c r="A11" s="195">
        <v>3</v>
      </c>
      <c r="B11" s="196">
        <v>46145</v>
      </c>
      <c r="C11" s="197">
        <v>0</v>
      </c>
      <c r="D11" s="197">
        <f t="shared" ca="1" si="0"/>
        <v>0</v>
      </c>
      <c r="E11" s="198">
        <v>0</v>
      </c>
      <c r="F11" s="199">
        <v>0</v>
      </c>
      <c r="G11" s="193"/>
      <c r="H11" s="193"/>
      <c r="I11" s="197"/>
      <c r="J11" s="197"/>
      <c r="K11" s="163"/>
      <c r="L11" s="163"/>
      <c r="M11" s="200"/>
      <c r="N11" s="193"/>
      <c r="S11" s="201"/>
      <c r="W11"/>
      <c r="AE11" s="202">
        <v>12125676.99</v>
      </c>
      <c r="AF11" s="201">
        <v>0</v>
      </c>
      <c r="AH11" s="163">
        <v>39474331.660000011</v>
      </c>
      <c r="AI11" s="163">
        <v>1778245</v>
      </c>
      <c r="AJ11" s="163">
        <f t="shared" ca="1" si="1"/>
        <v>-39474331.660000011</v>
      </c>
      <c r="AK11" s="163">
        <f t="shared" ca="1" si="1"/>
        <v>-1778245</v>
      </c>
    </row>
    <row r="12" spans="1:38" s="172" customFormat="1" x14ac:dyDescent="0.3">
      <c r="A12" s="195">
        <v>4</v>
      </c>
      <c r="B12" s="196">
        <v>46146</v>
      </c>
      <c r="C12" s="197">
        <v>63640346.859999999</v>
      </c>
      <c r="D12" s="197">
        <f t="shared" ca="1" si="0"/>
        <v>10452007.650000006</v>
      </c>
      <c r="E12" s="198">
        <v>74092354.510000005</v>
      </c>
      <c r="F12" s="199">
        <v>1301233.7200000002</v>
      </c>
      <c r="G12" s="193"/>
      <c r="H12" s="193"/>
      <c r="I12" s="197"/>
      <c r="J12" s="197"/>
      <c r="K12" s="163"/>
      <c r="L12" s="163"/>
      <c r="M12" s="200"/>
      <c r="W12"/>
      <c r="AF12" s="201">
        <v>587342.5</v>
      </c>
      <c r="AH12" s="163">
        <v>41314431.110000022</v>
      </c>
      <c r="AI12" s="163">
        <v>1804177</v>
      </c>
      <c r="AJ12" s="163">
        <f t="shared" ca="1" si="1"/>
        <v>22325915.749999978</v>
      </c>
      <c r="AK12" s="163">
        <f t="shared" ca="1" si="1"/>
        <v>8647830.650000006</v>
      </c>
    </row>
    <row r="13" spans="1:38" s="172" customFormat="1" x14ac:dyDescent="0.3">
      <c r="A13" s="195">
        <v>5</v>
      </c>
      <c r="B13" s="196">
        <v>46147</v>
      </c>
      <c r="C13" s="197">
        <v>56488255.760000013</v>
      </c>
      <c r="D13" s="197">
        <f t="shared" ca="1" si="0"/>
        <v>19203093.20000001</v>
      </c>
      <c r="E13" s="198">
        <v>75691348.960000023</v>
      </c>
      <c r="F13" s="199">
        <v>416510</v>
      </c>
      <c r="G13" s="193"/>
      <c r="H13" s="193"/>
      <c r="I13" s="197"/>
      <c r="J13" s="197"/>
      <c r="K13" s="163"/>
      <c r="L13" s="163"/>
      <c r="M13" s="200"/>
      <c r="W13"/>
      <c r="AF13" s="201">
        <v>194042</v>
      </c>
      <c r="AH13" s="163"/>
      <c r="AI13" s="163"/>
      <c r="AJ13" s="163">
        <f t="shared" ca="1" si="1"/>
        <v>56488255.760000013</v>
      </c>
      <c r="AK13" s="163">
        <f t="shared" ca="1" si="1"/>
        <v>19203093.20000001</v>
      </c>
    </row>
    <row r="14" spans="1:38" s="172" customFormat="1" ht="15" customHeight="1" x14ac:dyDescent="0.3">
      <c r="A14" s="195"/>
      <c r="B14" s="196">
        <v>46148</v>
      </c>
      <c r="C14" s="197">
        <v>54618982.889999993</v>
      </c>
      <c r="D14" s="197">
        <f t="shared" ca="1" si="0"/>
        <v>12492790.990000002</v>
      </c>
      <c r="E14" s="198">
        <v>67111773.879999995</v>
      </c>
      <c r="F14" s="199">
        <v>585037.23</v>
      </c>
      <c r="G14" s="193"/>
      <c r="H14" s="193"/>
      <c r="I14" s="197"/>
      <c r="J14" s="197"/>
      <c r="K14" s="163"/>
      <c r="L14" s="163"/>
      <c r="M14" s="200"/>
      <c r="W14"/>
      <c r="AE14" s="163"/>
      <c r="AF14" s="201">
        <v>350651</v>
      </c>
      <c r="AH14" s="163"/>
      <c r="AI14" s="163"/>
      <c r="AJ14" s="163">
        <f t="shared" ca="1" si="1"/>
        <v>54618982.889999993</v>
      </c>
      <c r="AK14" s="163">
        <f t="shared" ca="1" si="1"/>
        <v>12492790.990000002</v>
      </c>
    </row>
    <row r="15" spans="1:38" s="172" customFormat="1" x14ac:dyDescent="0.3">
      <c r="A15" s="195"/>
      <c r="B15" s="196">
        <v>46149</v>
      </c>
      <c r="C15" s="197">
        <v>0</v>
      </c>
      <c r="D15" s="197">
        <f t="shared" ca="1" si="0"/>
        <v>0</v>
      </c>
      <c r="E15" s="198">
        <v>0</v>
      </c>
      <c r="F15" s="199">
        <v>0</v>
      </c>
      <c r="G15" s="193"/>
      <c r="H15" s="193"/>
      <c r="I15" s="197"/>
      <c r="J15" s="197"/>
      <c r="K15" s="163"/>
      <c r="L15" s="163"/>
      <c r="M15" s="200"/>
      <c r="W15"/>
      <c r="AE15" s="163"/>
      <c r="AF15" s="201">
        <v>0</v>
      </c>
      <c r="AH15" s="163"/>
      <c r="AI15" s="163"/>
      <c r="AJ15" s="163">
        <f t="shared" ca="1" si="1"/>
        <v>0</v>
      </c>
      <c r="AK15" s="163">
        <f t="shared" ca="1" si="1"/>
        <v>0</v>
      </c>
    </row>
    <row r="16" spans="1:38" s="172" customFormat="1" ht="13.8" x14ac:dyDescent="0.3">
      <c r="A16" s="195">
        <v>6</v>
      </c>
      <c r="B16" s="196">
        <v>46150</v>
      </c>
      <c r="C16" s="197">
        <v>0</v>
      </c>
      <c r="D16" s="197">
        <f t="shared" ca="1" si="0"/>
        <v>0</v>
      </c>
      <c r="E16" s="198">
        <v>0</v>
      </c>
      <c r="F16" s="199">
        <v>0</v>
      </c>
      <c r="G16" s="193"/>
      <c r="H16" s="193"/>
      <c r="I16" s="197"/>
      <c r="J16" s="197"/>
      <c r="K16" s="163"/>
      <c r="L16" s="163"/>
      <c r="M16" s="200"/>
      <c r="AF16" s="201">
        <v>0</v>
      </c>
      <c r="AH16" s="163"/>
      <c r="AI16" s="163"/>
      <c r="AJ16" s="163">
        <f t="shared" ca="1" si="1"/>
        <v>0</v>
      </c>
      <c r="AK16" s="163">
        <f t="shared" ca="1" si="1"/>
        <v>0</v>
      </c>
    </row>
    <row r="17" spans="1:38" s="172" customFormat="1" ht="13.8" hidden="1" x14ac:dyDescent="0.3">
      <c r="A17" s="195">
        <v>7</v>
      </c>
      <c r="B17" s="196">
        <v>46151</v>
      </c>
      <c r="C17" s="197">
        <v>0</v>
      </c>
      <c r="D17" s="197">
        <f t="shared" ca="1" si="0"/>
        <v>0</v>
      </c>
      <c r="E17" s="198">
        <v>0</v>
      </c>
      <c r="F17" s="199">
        <v>0</v>
      </c>
      <c r="G17" s="193"/>
      <c r="H17" s="163"/>
      <c r="I17" s="197"/>
      <c r="J17" s="197"/>
      <c r="K17" s="163"/>
      <c r="L17" s="163"/>
      <c r="M17" s="200"/>
      <c r="AF17" s="201">
        <v>0</v>
      </c>
      <c r="AH17" s="163"/>
      <c r="AI17" s="163"/>
      <c r="AJ17" s="163">
        <f t="shared" ca="1" si="1"/>
        <v>0</v>
      </c>
      <c r="AK17" s="163">
        <f t="shared" ca="1" si="1"/>
        <v>0</v>
      </c>
    </row>
    <row r="18" spans="1:38" s="172" customFormat="1" ht="13.8" hidden="1" x14ac:dyDescent="0.3">
      <c r="A18" s="195">
        <v>8</v>
      </c>
      <c r="B18" s="196">
        <v>46152</v>
      </c>
      <c r="C18" s="197">
        <v>0</v>
      </c>
      <c r="D18" s="197">
        <f t="shared" ca="1" si="0"/>
        <v>0</v>
      </c>
      <c r="E18" s="198">
        <v>0</v>
      </c>
      <c r="F18" s="199">
        <v>0</v>
      </c>
      <c r="G18" s="193"/>
      <c r="H18" s="163"/>
      <c r="I18" s="197">
        <v>0</v>
      </c>
      <c r="J18" s="197">
        <v>0</v>
      </c>
      <c r="K18" s="163">
        <f t="shared" ref="K18:K25" ca="1" si="2">C18-I18</f>
        <v>0</v>
      </c>
      <c r="L18" s="163">
        <f t="shared" ref="L18:L25" ca="1" si="3">J18-D18</f>
        <v>0</v>
      </c>
      <c r="M18" s="200">
        <v>45056</v>
      </c>
      <c r="AF18" s="201">
        <v>0</v>
      </c>
      <c r="AH18" s="163"/>
      <c r="AI18" s="163"/>
      <c r="AJ18" s="163">
        <f t="shared" ca="1" si="1"/>
        <v>0</v>
      </c>
      <c r="AK18" s="163">
        <f t="shared" ca="1" si="1"/>
        <v>0</v>
      </c>
    </row>
    <row r="19" spans="1:38" s="172" customFormat="1" ht="13.8" x14ac:dyDescent="0.3">
      <c r="A19" s="195">
        <v>9</v>
      </c>
      <c r="B19" s="196">
        <v>46153</v>
      </c>
      <c r="C19" s="197">
        <v>0</v>
      </c>
      <c r="D19" s="197">
        <f t="shared" ca="1" si="0"/>
        <v>0</v>
      </c>
      <c r="E19" s="198">
        <v>0</v>
      </c>
      <c r="F19" s="199">
        <v>0</v>
      </c>
      <c r="G19" s="193"/>
      <c r="H19" s="163"/>
      <c r="I19" s="197">
        <v>0</v>
      </c>
      <c r="J19" s="197">
        <v>0</v>
      </c>
      <c r="K19" s="163">
        <f t="shared" ca="1" si="2"/>
        <v>0</v>
      </c>
      <c r="L19" s="163">
        <f t="shared" ca="1" si="3"/>
        <v>0</v>
      </c>
      <c r="M19" s="200">
        <v>45057</v>
      </c>
      <c r="T19" s="200"/>
      <c r="AF19" s="201">
        <v>0</v>
      </c>
      <c r="AH19" s="163"/>
      <c r="AI19" s="163"/>
      <c r="AJ19" s="163">
        <f t="shared" ca="1" si="1"/>
        <v>0</v>
      </c>
      <c r="AK19" s="163">
        <f t="shared" ca="1" si="1"/>
        <v>0</v>
      </c>
    </row>
    <row r="20" spans="1:38" s="172" customFormat="1" ht="13.8" x14ac:dyDescent="0.3">
      <c r="A20" s="195">
        <v>10</v>
      </c>
      <c r="B20" s="196">
        <v>46154</v>
      </c>
      <c r="C20" s="197">
        <v>0</v>
      </c>
      <c r="D20" s="197">
        <f t="shared" ca="1" si="0"/>
        <v>0</v>
      </c>
      <c r="E20" s="198">
        <v>0</v>
      </c>
      <c r="F20" s="199">
        <v>0</v>
      </c>
      <c r="G20" s="193"/>
      <c r="H20" s="163"/>
      <c r="I20" s="197">
        <v>19090565.399999999</v>
      </c>
      <c r="J20" s="197">
        <v>26755176.399999999</v>
      </c>
      <c r="K20" s="163">
        <f t="shared" ca="1" si="2"/>
        <v>-19090565.399999999</v>
      </c>
      <c r="L20" s="163">
        <f t="shared" ca="1" si="3"/>
        <v>26755176.399999999</v>
      </c>
      <c r="M20" s="200">
        <v>45058</v>
      </c>
      <c r="AE20" s="163"/>
      <c r="AF20" s="201">
        <v>0</v>
      </c>
      <c r="AH20" s="163"/>
      <c r="AI20" s="163"/>
      <c r="AJ20" s="163">
        <f t="shared" ca="1" si="1"/>
        <v>0</v>
      </c>
      <c r="AK20" s="163">
        <f t="shared" ca="1" si="1"/>
        <v>0</v>
      </c>
    </row>
    <row r="21" spans="1:38" s="172" customFormat="1" ht="14.1" customHeight="1" x14ac:dyDescent="0.3">
      <c r="A21" s="195"/>
      <c r="B21" s="196">
        <v>46155</v>
      </c>
      <c r="C21" s="197">
        <v>0</v>
      </c>
      <c r="D21" s="197">
        <f t="shared" ca="1" si="0"/>
        <v>0</v>
      </c>
      <c r="E21" s="198">
        <v>0</v>
      </c>
      <c r="F21" s="199">
        <v>0</v>
      </c>
      <c r="G21" s="193">
        <f ca="1">C21+$AE$10</f>
        <v>367114.00000000186</v>
      </c>
      <c r="H21" s="163"/>
      <c r="I21" s="197">
        <v>0</v>
      </c>
      <c r="J21" s="197">
        <v>0</v>
      </c>
      <c r="K21" s="163">
        <f t="shared" ca="1" si="2"/>
        <v>0</v>
      </c>
      <c r="L21" s="163">
        <f t="shared" ca="1" si="3"/>
        <v>0</v>
      </c>
      <c r="M21" s="200">
        <v>45059</v>
      </c>
      <c r="AE21" s="193"/>
      <c r="AF21" s="201">
        <v>0</v>
      </c>
      <c r="AH21" s="163"/>
      <c r="AI21" s="163"/>
      <c r="AJ21" s="163">
        <f t="shared" ca="1" si="1"/>
        <v>0</v>
      </c>
      <c r="AK21" s="163">
        <f t="shared" ca="1" si="1"/>
        <v>0</v>
      </c>
      <c r="AL21" s="193"/>
    </row>
    <row r="22" spans="1:38" s="172" customFormat="1" ht="13.8" x14ac:dyDescent="0.3">
      <c r="A22" s="195"/>
      <c r="B22" s="196">
        <v>46156</v>
      </c>
      <c r="C22" s="197">
        <v>0</v>
      </c>
      <c r="D22" s="197">
        <f t="shared" ca="1" si="0"/>
        <v>0</v>
      </c>
      <c r="E22" s="198">
        <v>0</v>
      </c>
      <c r="F22" s="199">
        <v>0</v>
      </c>
      <c r="G22" s="193">
        <f ca="1">C22+$AE$10</f>
        <v>367114.00000000186</v>
      </c>
      <c r="I22" s="197">
        <v>0</v>
      </c>
      <c r="J22" s="197">
        <v>0</v>
      </c>
      <c r="K22" s="163">
        <f t="shared" ca="1" si="2"/>
        <v>0</v>
      </c>
      <c r="L22" s="163">
        <f t="shared" ca="1" si="3"/>
        <v>0</v>
      </c>
      <c r="M22" s="200">
        <v>45060</v>
      </c>
      <c r="AF22" s="201">
        <v>0</v>
      </c>
      <c r="AH22" s="163"/>
      <c r="AI22" s="163"/>
      <c r="AJ22" s="163">
        <f t="shared" ca="1" si="1"/>
        <v>0</v>
      </c>
      <c r="AK22" s="163">
        <f t="shared" ca="1" si="1"/>
        <v>0</v>
      </c>
    </row>
    <row r="23" spans="1:38" s="172" customFormat="1" ht="13.8" x14ac:dyDescent="0.3">
      <c r="A23" s="195">
        <v>11</v>
      </c>
      <c r="B23" s="196">
        <v>46157</v>
      </c>
      <c r="C23" s="197">
        <v>0</v>
      </c>
      <c r="D23" s="197">
        <f t="shared" ca="1" si="0"/>
        <v>0</v>
      </c>
      <c r="E23" s="198">
        <v>0</v>
      </c>
      <c r="F23" s="199">
        <v>0</v>
      </c>
      <c r="I23" s="197">
        <v>0</v>
      </c>
      <c r="J23" s="197">
        <v>0</v>
      </c>
      <c r="K23" s="163">
        <f t="shared" ca="1" si="2"/>
        <v>0</v>
      </c>
      <c r="L23" s="163">
        <f t="shared" ca="1" si="3"/>
        <v>0</v>
      </c>
      <c r="M23" s="200">
        <v>45061</v>
      </c>
      <c r="AE23" s="163"/>
      <c r="AF23" s="201">
        <v>0</v>
      </c>
      <c r="AH23" s="163"/>
      <c r="AI23" s="163"/>
      <c r="AJ23" s="163">
        <f t="shared" ca="1" si="1"/>
        <v>0</v>
      </c>
      <c r="AK23" s="163">
        <f t="shared" ca="1" si="1"/>
        <v>0</v>
      </c>
    </row>
    <row r="24" spans="1:38" s="172" customFormat="1" ht="13.8" hidden="1" x14ac:dyDescent="0.3">
      <c r="A24" s="195">
        <v>12</v>
      </c>
      <c r="B24" s="196">
        <v>46158</v>
      </c>
      <c r="C24" s="197">
        <v>0</v>
      </c>
      <c r="D24" s="197">
        <f t="shared" ca="1" si="0"/>
        <v>0</v>
      </c>
      <c r="E24" s="198">
        <v>0</v>
      </c>
      <c r="F24" s="199">
        <v>0</v>
      </c>
      <c r="G24" s="193"/>
      <c r="I24" s="197">
        <v>0</v>
      </c>
      <c r="J24" s="197">
        <v>0</v>
      </c>
      <c r="K24" s="163">
        <f t="shared" ca="1" si="2"/>
        <v>0</v>
      </c>
      <c r="L24" s="163">
        <f t="shared" ca="1" si="3"/>
        <v>0</v>
      </c>
      <c r="M24" s="200">
        <v>45062</v>
      </c>
      <c r="AF24" s="201">
        <v>0</v>
      </c>
      <c r="AH24" s="163"/>
      <c r="AI24" s="163"/>
      <c r="AJ24" s="163">
        <f t="shared" ca="1" si="1"/>
        <v>0</v>
      </c>
      <c r="AK24" s="163">
        <f t="shared" ca="1" si="1"/>
        <v>0</v>
      </c>
    </row>
    <row r="25" spans="1:38" s="172" customFormat="1" ht="13.8" hidden="1" x14ac:dyDescent="0.3">
      <c r="A25" s="195">
        <v>13</v>
      </c>
      <c r="B25" s="196">
        <v>46159</v>
      </c>
      <c r="C25" s="197">
        <v>0</v>
      </c>
      <c r="D25" s="197">
        <f t="shared" ca="1" si="0"/>
        <v>0</v>
      </c>
      <c r="E25" s="198">
        <v>0</v>
      </c>
      <c r="F25" s="199">
        <v>0</v>
      </c>
      <c r="G25" s="193"/>
      <c r="I25" s="197">
        <v>0</v>
      </c>
      <c r="J25" s="197">
        <v>0</v>
      </c>
      <c r="K25" s="163">
        <f t="shared" ca="1" si="2"/>
        <v>0</v>
      </c>
      <c r="L25" s="163">
        <f t="shared" ca="1" si="3"/>
        <v>0</v>
      </c>
      <c r="M25" s="200">
        <v>45063</v>
      </c>
      <c r="V25" s="172">
        <f ca="1">SUM(V23,V17)</f>
        <v>0</v>
      </c>
      <c r="AF25" s="203">
        <v>0</v>
      </c>
      <c r="AG25" s="204"/>
      <c r="AH25" s="163"/>
      <c r="AI25" s="163"/>
      <c r="AJ25" s="163">
        <f t="shared" ref="AJ25:AK51" ca="1" si="4">C25-AH25</f>
        <v>0</v>
      </c>
      <c r="AK25" s="163">
        <f t="shared" ca="1" si="4"/>
        <v>0</v>
      </c>
    </row>
    <row r="26" spans="1:38" s="172" customFormat="1" ht="13.8" x14ac:dyDescent="0.3">
      <c r="A26" s="195">
        <v>14</v>
      </c>
      <c r="B26" s="196">
        <v>46160</v>
      </c>
      <c r="C26" s="197">
        <v>0</v>
      </c>
      <c r="D26" s="197">
        <f t="shared" ca="1" si="0"/>
        <v>0</v>
      </c>
      <c r="E26" s="198">
        <v>0</v>
      </c>
      <c r="F26" s="199">
        <v>0</v>
      </c>
      <c r="G26" s="193"/>
      <c r="I26" s="197"/>
      <c r="J26" s="197"/>
      <c r="K26" s="163"/>
      <c r="L26" s="163"/>
      <c r="M26" s="200"/>
      <c r="AE26" s="163"/>
      <c r="AF26" s="201">
        <v>0</v>
      </c>
      <c r="AG26" s="204"/>
      <c r="AH26" s="163"/>
      <c r="AI26" s="163"/>
      <c r="AJ26" s="163">
        <f t="shared" ca="1" si="4"/>
        <v>0</v>
      </c>
      <c r="AK26" s="163">
        <f t="shared" ca="1" si="4"/>
        <v>0</v>
      </c>
    </row>
    <row r="27" spans="1:38" s="172" customFormat="1" ht="13.8" x14ac:dyDescent="0.3">
      <c r="A27" s="195">
        <v>15</v>
      </c>
      <c r="B27" s="196">
        <v>46161</v>
      </c>
      <c r="C27" s="197">
        <v>0</v>
      </c>
      <c r="D27" s="197">
        <f t="shared" ca="1" si="0"/>
        <v>0</v>
      </c>
      <c r="E27" s="198">
        <v>0</v>
      </c>
      <c r="F27" s="199">
        <v>0</v>
      </c>
      <c r="G27" s="193"/>
      <c r="I27" s="197"/>
      <c r="J27" s="197"/>
      <c r="K27" s="163"/>
      <c r="L27" s="163"/>
      <c r="M27" s="200"/>
      <c r="AE27" s="163"/>
      <c r="AF27" s="201">
        <v>0</v>
      </c>
      <c r="AG27" s="204"/>
      <c r="AH27" s="163"/>
      <c r="AI27" s="163"/>
      <c r="AJ27" s="163">
        <f t="shared" ca="1" si="4"/>
        <v>0</v>
      </c>
      <c r="AK27" s="163">
        <f t="shared" ca="1" si="4"/>
        <v>0</v>
      </c>
    </row>
    <row r="28" spans="1:38" s="172" customFormat="1" ht="13.8" x14ac:dyDescent="0.3">
      <c r="A28" s="195"/>
      <c r="B28" s="196">
        <v>46162</v>
      </c>
      <c r="C28" s="197">
        <v>0</v>
      </c>
      <c r="D28" s="197">
        <f t="shared" ca="1" si="0"/>
        <v>0</v>
      </c>
      <c r="E28" s="198">
        <v>0</v>
      </c>
      <c r="F28" s="199">
        <v>0</v>
      </c>
      <c r="G28" s="193"/>
      <c r="I28" s="197">
        <v>0</v>
      </c>
      <c r="J28" s="197">
        <v>0</v>
      </c>
      <c r="K28" s="163">
        <f t="shared" ref="K28:K37" ca="1" si="5">C28-I28</f>
        <v>0</v>
      </c>
      <c r="L28" s="163">
        <f t="shared" ref="L28:L37" ca="1" si="6">J28-D28</f>
        <v>0</v>
      </c>
      <c r="M28" s="200">
        <v>45066</v>
      </c>
      <c r="AE28" s="163"/>
      <c r="AF28" s="201">
        <v>0</v>
      </c>
      <c r="AG28" s="204"/>
      <c r="AH28" s="163"/>
      <c r="AI28" s="163"/>
      <c r="AJ28" s="163">
        <f t="shared" ca="1" si="4"/>
        <v>0</v>
      </c>
      <c r="AK28" s="163">
        <f t="shared" ca="1" si="4"/>
        <v>0</v>
      </c>
    </row>
    <row r="29" spans="1:38" s="172" customFormat="1" ht="13.8" x14ac:dyDescent="0.3">
      <c r="A29" s="195"/>
      <c r="B29" s="196">
        <v>46163</v>
      </c>
      <c r="C29" s="197">
        <v>0</v>
      </c>
      <c r="D29" s="197">
        <f t="shared" ca="1" si="0"/>
        <v>0</v>
      </c>
      <c r="E29" s="198">
        <v>0</v>
      </c>
      <c r="F29" s="199">
        <v>0</v>
      </c>
      <c r="G29" s="193"/>
      <c r="I29" s="197">
        <v>0</v>
      </c>
      <c r="J29" s="197">
        <v>0</v>
      </c>
      <c r="K29" s="163">
        <f t="shared" ca="1" si="5"/>
        <v>0</v>
      </c>
      <c r="L29" s="163">
        <f t="shared" ca="1" si="6"/>
        <v>0</v>
      </c>
      <c r="M29" s="200">
        <v>45067</v>
      </c>
      <c r="AE29" s="205"/>
      <c r="AF29" s="201">
        <v>0</v>
      </c>
      <c r="AG29" s="204"/>
      <c r="AH29" s="163"/>
      <c r="AI29" s="163"/>
      <c r="AJ29" s="163">
        <f t="shared" ca="1" si="4"/>
        <v>0</v>
      </c>
      <c r="AK29" s="163">
        <f t="shared" ca="1" si="4"/>
        <v>0</v>
      </c>
    </row>
    <row r="30" spans="1:38" s="172" customFormat="1" ht="13.8" x14ac:dyDescent="0.3">
      <c r="A30" s="195">
        <v>16</v>
      </c>
      <c r="B30" s="196">
        <v>46164</v>
      </c>
      <c r="C30" s="197">
        <v>0</v>
      </c>
      <c r="D30" s="197">
        <f t="shared" ca="1" si="0"/>
        <v>0</v>
      </c>
      <c r="E30" s="198">
        <v>0</v>
      </c>
      <c r="F30" s="199">
        <v>0</v>
      </c>
      <c r="G30" s="193"/>
      <c r="I30" s="197">
        <v>0</v>
      </c>
      <c r="J30" s="197">
        <v>0</v>
      </c>
      <c r="K30" s="163">
        <f t="shared" ca="1" si="5"/>
        <v>0</v>
      </c>
      <c r="L30" s="163">
        <f t="shared" ca="1" si="6"/>
        <v>0</v>
      </c>
      <c r="M30" s="200">
        <v>45068</v>
      </c>
      <c r="AE30" s="206"/>
      <c r="AF30" s="201">
        <v>0</v>
      </c>
      <c r="AG30" s="204"/>
      <c r="AH30" s="163"/>
      <c r="AI30" s="163"/>
      <c r="AJ30" s="163">
        <f t="shared" ca="1" si="4"/>
        <v>0</v>
      </c>
      <c r="AK30" s="163">
        <f t="shared" ca="1" si="4"/>
        <v>0</v>
      </c>
    </row>
    <row r="31" spans="1:38" s="172" customFormat="1" ht="13.8" hidden="1" x14ac:dyDescent="0.3">
      <c r="A31" s="195">
        <v>17</v>
      </c>
      <c r="B31" s="196">
        <v>46165</v>
      </c>
      <c r="C31" s="197">
        <v>0</v>
      </c>
      <c r="D31" s="197">
        <f t="shared" ca="1" si="0"/>
        <v>0</v>
      </c>
      <c r="E31" s="198">
        <v>0</v>
      </c>
      <c r="F31" s="199">
        <v>0</v>
      </c>
      <c r="G31" s="193"/>
      <c r="I31" s="197">
        <v>0</v>
      </c>
      <c r="J31" s="197">
        <v>0</v>
      </c>
      <c r="K31" s="163">
        <f t="shared" ca="1" si="5"/>
        <v>0</v>
      </c>
      <c r="L31" s="163">
        <f t="shared" ca="1" si="6"/>
        <v>0</v>
      </c>
      <c r="M31" s="200">
        <v>45069</v>
      </c>
      <c r="AF31" s="203">
        <v>0</v>
      </c>
      <c r="AG31" s="204"/>
      <c r="AH31" s="163"/>
      <c r="AI31" s="163"/>
      <c r="AJ31" s="163">
        <f t="shared" ca="1" si="4"/>
        <v>0</v>
      </c>
      <c r="AK31" s="163">
        <f t="shared" ca="1" si="4"/>
        <v>0</v>
      </c>
    </row>
    <row r="32" spans="1:38" s="172" customFormat="1" ht="13.8" hidden="1" x14ac:dyDescent="0.3">
      <c r="A32" s="195">
        <v>18</v>
      </c>
      <c r="B32" s="196">
        <v>46166</v>
      </c>
      <c r="C32" s="197">
        <v>0</v>
      </c>
      <c r="D32" s="197">
        <f t="shared" ca="1" si="0"/>
        <v>0</v>
      </c>
      <c r="E32" s="198">
        <v>0</v>
      </c>
      <c r="F32" s="199">
        <v>0</v>
      </c>
      <c r="G32" s="193"/>
      <c r="I32" s="197">
        <v>0</v>
      </c>
      <c r="J32" s="197">
        <v>0</v>
      </c>
      <c r="K32" s="163">
        <f t="shared" ca="1" si="5"/>
        <v>0</v>
      </c>
      <c r="L32" s="163">
        <f t="shared" ca="1" si="6"/>
        <v>0</v>
      </c>
      <c r="M32" s="200">
        <v>45070</v>
      </c>
      <c r="AE32" s="193"/>
      <c r="AF32" s="203">
        <v>0</v>
      </c>
      <c r="AG32" s="204"/>
      <c r="AH32" s="163"/>
      <c r="AI32" s="163"/>
      <c r="AJ32" s="163">
        <f t="shared" ca="1" si="4"/>
        <v>0</v>
      </c>
      <c r="AK32" s="163">
        <f t="shared" ca="1" si="4"/>
        <v>0</v>
      </c>
    </row>
    <row r="33" spans="1:37" s="172" customFormat="1" ht="13.8" x14ac:dyDescent="0.3">
      <c r="A33" s="195">
        <v>19</v>
      </c>
      <c r="B33" s="196">
        <v>46167</v>
      </c>
      <c r="C33" s="197">
        <v>0</v>
      </c>
      <c r="D33" s="197">
        <f t="shared" ca="1" si="0"/>
        <v>0</v>
      </c>
      <c r="E33" s="198">
        <v>0</v>
      </c>
      <c r="F33" s="199">
        <v>0</v>
      </c>
      <c r="G33" s="193"/>
      <c r="H33" s="163"/>
      <c r="I33" s="197">
        <v>0</v>
      </c>
      <c r="J33" s="197">
        <v>0</v>
      </c>
      <c r="K33" s="163">
        <f t="shared" ca="1" si="5"/>
        <v>0</v>
      </c>
      <c r="L33" s="163">
        <f t="shared" ca="1" si="6"/>
        <v>0</v>
      </c>
      <c r="M33" s="200">
        <v>45071</v>
      </c>
      <c r="AE33" s="163"/>
      <c r="AF33" s="203">
        <v>0</v>
      </c>
      <c r="AG33" s="204"/>
      <c r="AH33" s="163"/>
      <c r="AI33" s="163"/>
      <c r="AJ33" s="163">
        <f t="shared" ca="1" si="4"/>
        <v>0</v>
      </c>
      <c r="AK33" s="163">
        <f t="shared" ca="1" si="4"/>
        <v>0</v>
      </c>
    </row>
    <row r="34" spans="1:37" s="172" customFormat="1" ht="13.8" hidden="1" x14ac:dyDescent="0.3">
      <c r="A34" s="195">
        <v>20</v>
      </c>
      <c r="B34" s="196">
        <v>46168</v>
      </c>
      <c r="C34" s="197">
        <v>0</v>
      </c>
      <c r="D34" s="197">
        <f t="shared" ca="1" si="0"/>
        <v>0</v>
      </c>
      <c r="E34" s="198">
        <v>0</v>
      </c>
      <c r="F34" s="199">
        <v>0</v>
      </c>
      <c r="G34" s="193"/>
      <c r="I34" s="197">
        <v>0</v>
      </c>
      <c r="J34" s="197">
        <v>0</v>
      </c>
      <c r="K34" s="163">
        <f t="shared" ca="1" si="5"/>
        <v>0</v>
      </c>
      <c r="L34" s="163">
        <f t="shared" ca="1" si="6"/>
        <v>0</v>
      </c>
      <c r="M34" s="200">
        <v>45072</v>
      </c>
      <c r="AE34" s="163"/>
      <c r="AF34" s="201">
        <v>0</v>
      </c>
      <c r="AH34" s="163"/>
      <c r="AI34" s="163"/>
      <c r="AJ34" s="163">
        <f t="shared" ca="1" si="4"/>
        <v>0</v>
      </c>
      <c r="AK34" s="163">
        <f t="shared" ca="1" si="4"/>
        <v>0</v>
      </c>
    </row>
    <row r="35" spans="1:37" s="172" customFormat="1" ht="13.8" hidden="1" x14ac:dyDescent="0.3">
      <c r="A35" s="195"/>
      <c r="B35" s="196">
        <v>46169</v>
      </c>
      <c r="C35" s="197">
        <v>0</v>
      </c>
      <c r="D35" s="197">
        <f t="shared" ca="1" si="0"/>
        <v>0</v>
      </c>
      <c r="E35" s="198">
        <v>0</v>
      </c>
      <c r="F35" s="199">
        <v>0</v>
      </c>
      <c r="G35" s="193"/>
      <c r="I35" s="163">
        <v>0</v>
      </c>
      <c r="J35" s="163">
        <v>0</v>
      </c>
      <c r="K35" s="163">
        <f t="shared" ca="1" si="5"/>
        <v>0</v>
      </c>
      <c r="L35" s="163">
        <f t="shared" ca="1" si="6"/>
        <v>0</v>
      </c>
      <c r="M35" s="200">
        <v>45071</v>
      </c>
      <c r="AE35" s="207"/>
      <c r="AF35" s="201">
        <v>0</v>
      </c>
      <c r="AH35" s="163"/>
      <c r="AI35" s="163"/>
      <c r="AJ35" s="163">
        <f t="shared" ca="1" si="4"/>
        <v>0</v>
      </c>
      <c r="AK35" s="163">
        <f t="shared" ca="1" si="4"/>
        <v>0</v>
      </c>
    </row>
    <row r="36" spans="1:37" s="172" customFormat="1" ht="13.8" hidden="1" x14ac:dyDescent="0.3">
      <c r="A36" s="195"/>
      <c r="B36" s="196">
        <v>46170</v>
      </c>
      <c r="C36" s="197">
        <v>0</v>
      </c>
      <c r="D36" s="197">
        <f t="shared" ca="1" si="0"/>
        <v>0</v>
      </c>
      <c r="E36" s="198">
        <v>0</v>
      </c>
      <c r="F36" s="199">
        <v>0</v>
      </c>
      <c r="G36" s="193"/>
      <c r="H36" s="163"/>
      <c r="I36" s="163">
        <v>0</v>
      </c>
      <c r="J36" s="163" t="s">
        <v>36</v>
      </c>
      <c r="K36" s="163">
        <f t="shared" ca="1" si="5"/>
        <v>0</v>
      </c>
      <c r="L36" s="163" t="e">
        <f t="shared" ca="1" si="6"/>
        <v>#VALUE!</v>
      </c>
      <c r="M36" s="200">
        <v>45071</v>
      </c>
      <c r="AE36" s="207"/>
      <c r="AF36" s="201">
        <v>0</v>
      </c>
      <c r="AH36" s="163"/>
      <c r="AI36" s="163"/>
      <c r="AJ36" s="163">
        <f t="shared" ca="1" si="4"/>
        <v>0</v>
      </c>
      <c r="AK36" s="163">
        <f t="shared" ca="1" si="4"/>
        <v>0</v>
      </c>
    </row>
    <row r="37" spans="1:37" s="172" customFormat="1" ht="13.8" hidden="1" x14ac:dyDescent="0.3">
      <c r="A37" s="195">
        <v>21</v>
      </c>
      <c r="B37" s="196">
        <v>46171</v>
      </c>
      <c r="C37" s="197">
        <v>0</v>
      </c>
      <c r="D37" s="197">
        <f t="shared" ca="1" si="0"/>
        <v>0</v>
      </c>
      <c r="E37" s="198">
        <v>0</v>
      </c>
      <c r="F37" s="199">
        <v>0</v>
      </c>
      <c r="G37" s="193"/>
      <c r="I37" s="163">
        <v>18395700.949999999</v>
      </c>
      <c r="J37" s="163">
        <v>13990864</v>
      </c>
      <c r="K37" s="163">
        <f t="shared" ca="1" si="5"/>
        <v>-18395700.949999999</v>
      </c>
      <c r="L37" s="163">
        <f t="shared" ca="1" si="6"/>
        <v>13990864</v>
      </c>
      <c r="M37" s="200">
        <v>45075</v>
      </c>
      <c r="AE37" s="163"/>
      <c r="AF37" s="201">
        <v>0</v>
      </c>
      <c r="AH37" s="163"/>
      <c r="AI37" s="163"/>
      <c r="AJ37" s="163">
        <f t="shared" ca="1" si="4"/>
        <v>0</v>
      </c>
      <c r="AK37" s="163">
        <f t="shared" ca="1" si="4"/>
        <v>0</v>
      </c>
    </row>
    <row r="38" spans="1:37" s="172" customFormat="1" ht="13.8" hidden="1" x14ac:dyDescent="0.3">
      <c r="A38" s="195">
        <v>22</v>
      </c>
      <c r="B38" s="196">
        <v>46172</v>
      </c>
      <c r="C38" s="197">
        <v>0</v>
      </c>
      <c r="D38" s="197">
        <f t="shared" ca="1" si="0"/>
        <v>0</v>
      </c>
      <c r="E38" s="198">
        <v>0</v>
      </c>
      <c r="F38" s="199">
        <v>0</v>
      </c>
      <c r="G38" s="193"/>
      <c r="I38" s="163">
        <v>17773941</v>
      </c>
      <c r="J38" s="163">
        <v>873706</v>
      </c>
      <c r="K38" s="163"/>
      <c r="L38" s="163"/>
      <c r="AE38" s="163"/>
      <c r="AF38" s="201">
        <v>0</v>
      </c>
      <c r="AH38" s="163"/>
      <c r="AI38" s="163"/>
      <c r="AJ38" s="163">
        <f t="shared" ca="1" si="4"/>
        <v>0</v>
      </c>
      <c r="AK38" s="163">
        <f t="shared" ca="1" si="4"/>
        <v>0</v>
      </c>
    </row>
    <row r="39" spans="1:37" s="172" customFormat="1" ht="13.8" hidden="1" x14ac:dyDescent="0.3">
      <c r="A39" s="208">
        <v>23</v>
      </c>
      <c r="B39" s="209">
        <v>46173</v>
      </c>
      <c r="C39" s="197">
        <v>0</v>
      </c>
      <c r="D39" s="197">
        <f t="shared" ca="1" si="0"/>
        <v>0</v>
      </c>
      <c r="E39" s="198">
        <v>0</v>
      </c>
      <c r="F39" s="199">
        <v>0</v>
      </c>
      <c r="G39" s="193"/>
      <c r="H39" s="193"/>
      <c r="I39" s="163"/>
      <c r="J39" s="163"/>
      <c r="K39" s="163"/>
      <c r="L39" s="163"/>
      <c r="AE39" s="163"/>
      <c r="AF39" s="201">
        <v>0</v>
      </c>
      <c r="AH39" s="163"/>
      <c r="AI39" s="163"/>
      <c r="AJ39" s="163"/>
      <c r="AK39" s="163"/>
    </row>
    <row r="40" spans="1:37" s="172" customFormat="1" x14ac:dyDescent="0.3">
      <c r="A40" s="210" t="s">
        <v>81</v>
      </c>
      <c r="B40" s="211"/>
      <c r="C40" s="212">
        <f ca="1">SUM(C9:C39)</f>
        <v>228686140.55000001</v>
      </c>
      <c r="D40" s="212">
        <f ca="1">SUM(D9:D39)</f>
        <v>43613059.130000018</v>
      </c>
      <c r="E40" s="213">
        <f ca="1">SUM(E9:E39)</f>
        <v>272299199.68000001</v>
      </c>
      <c r="F40" s="214">
        <f ca="1">SUM(F9:F39)</f>
        <v>3919662.27</v>
      </c>
      <c r="G40" s="161"/>
      <c r="H40" s="193"/>
      <c r="I40" s="163"/>
      <c r="J40" s="163"/>
      <c r="K40" s="163"/>
      <c r="L40" s="163"/>
      <c r="P40" s="163"/>
      <c r="AE40" s="44">
        <f ca="1">E40-G40</f>
        <v>272299199.68000001</v>
      </c>
      <c r="AF40" s="215">
        <f ca="1">SUM(AF9:AF39)</f>
        <v>1954583.93</v>
      </c>
      <c r="AH40" s="163"/>
      <c r="AI40" s="163"/>
      <c r="AJ40" s="163"/>
      <c r="AK40" s="163"/>
    </row>
    <row r="41" spans="1:37" ht="10.35" customHeight="1" x14ac:dyDescent="0.3">
      <c r="A41" s="216"/>
      <c r="B41" s="217"/>
      <c r="C41" s="217"/>
      <c r="D41" s="217"/>
      <c r="E41" s="217"/>
      <c r="F41" s="218"/>
      <c r="AH41" s="163"/>
      <c r="AI41" s="163"/>
    </row>
    <row r="42" spans="1:37" ht="14.1" customHeight="1" x14ac:dyDescent="0.3">
      <c r="A42" s="219" t="s">
        <v>82</v>
      </c>
      <c r="B42" s="220"/>
      <c r="C42" s="220"/>
      <c r="D42" s="220"/>
      <c r="E42" s="220"/>
      <c r="F42" s="221"/>
      <c r="G42" s="44"/>
      <c r="AE42" s="44"/>
      <c r="AH42" s="163"/>
      <c r="AI42" s="163"/>
    </row>
    <row r="43" spans="1:37" x14ac:dyDescent="0.3">
      <c r="A43" s="173" t="s">
        <v>83</v>
      </c>
      <c r="B43" s="174"/>
      <c r="C43" s="222" t="s">
        <v>74</v>
      </c>
      <c r="D43" s="222" t="s">
        <v>75</v>
      </c>
      <c r="E43" s="222" t="s">
        <v>18</v>
      </c>
      <c r="F43" s="223"/>
      <c r="G43" s="193"/>
      <c r="AE43" s="44"/>
      <c r="AF43" s="44"/>
    </row>
    <row r="44" spans="1:37" ht="15.6" x14ac:dyDescent="0.3">
      <c r="A44" s="224" t="s">
        <v>84</v>
      </c>
      <c r="B44" s="225"/>
      <c r="C44" s="188">
        <f ca="1">C47-C45</f>
        <v>3980857238.9410582</v>
      </c>
      <c r="D44" s="188">
        <f ca="1">D47-D45</f>
        <v>724378860.88237405</v>
      </c>
      <c r="E44" s="189">
        <f ca="1">D44+C44</f>
        <v>4705236099.823432</v>
      </c>
      <c r="F44" s="223"/>
      <c r="G44" s="44"/>
      <c r="AE44" s="226"/>
      <c r="AF44" s="44"/>
    </row>
    <row r="45" spans="1:37" ht="15.6" x14ac:dyDescent="0.3">
      <c r="A45" s="227" t="s">
        <v>85</v>
      </c>
      <c r="B45" s="228"/>
      <c r="C45" s="188">
        <f ca="1">C40</f>
        <v>228686140.55000001</v>
      </c>
      <c r="D45" s="188">
        <f ca="1">D40</f>
        <v>43613059.130000018</v>
      </c>
      <c r="E45" s="189">
        <f ca="1">D45+C45</f>
        <v>272299199.68000001</v>
      </c>
      <c r="F45" s="223"/>
      <c r="G45" s="44"/>
      <c r="AE45" s="229"/>
      <c r="AF45" s="44"/>
    </row>
    <row r="46" spans="1:37" x14ac:dyDescent="0.3">
      <c r="A46" s="230" t="s">
        <v>86</v>
      </c>
      <c r="B46" s="231"/>
      <c r="C46" s="232">
        <v>3832162222.8876467</v>
      </c>
      <c r="D46" s="232">
        <v>2218030147.0588236</v>
      </c>
      <c r="E46" s="233">
        <f ca="1">D46+C46</f>
        <v>6050192369.9464703</v>
      </c>
      <c r="F46" s="223"/>
      <c r="AE46" s="44"/>
      <c r="AF46" s="44"/>
      <c r="AG46" s="44"/>
    </row>
    <row r="47" spans="1:37" ht="15" thickBot="1" x14ac:dyDescent="0.35">
      <c r="A47" s="234" t="s">
        <v>87</v>
      </c>
      <c r="B47" s="235"/>
      <c r="C47" s="236">
        <v>4209543379.4910583</v>
      </c>
      <c r="D47" s="236">
        <v>767991920.01237404</v>
      </c>
      <c r="E47" s="236">
        <f ca="1">D47+C47</f>
        <v>4977535299.5034323</v>
      </c>
      <c r="F47" s="237"/>
      <c r="AE47" s="44"/>
    </row>
    <row r="48" spans="1:37" x14ac:dyDescent="0.3">
      <c r="AE48" s="44"/>
      <c r="AI48" s="161"/>
      <c r="AJ48" s="238"/>
    </row>
    <row r="49" spans="6:33" x14ac:dyDescent="0.3">
      <c r="G49" s="44"/>
      <c r="AE49" s="44"/>
      <c r="AF49" s="44"/>
    </row>
    <row r="50" spans="6:33" x14ac:dyDescent="0.3">
      <c r="F50" s="44"/>
      <c r="AE50" s="44"/>
    </row>
    <row r="51" spans="6:33" x14ac:dyDescent="0.3">
      <c r="F51" s="238"/>
    </row>
    <row r="52" spans="6:33" x14ac:dyDescent="0.3">
      <c r="G52" s="44"/>
      <c r="AF52" s="44"/>
    </row>
    <row r="53" spans="6:33" x14ac:dyDescent="0.3">
      <c r="AE53" s="44"/>
      <c r="AF53" s="239"/>
      <c r="AG53" s="240"/>
    </row>
    <row r="55" spans="6:33" hidden="1" x14ac:dyDescent="0.3"/>
    <row r="172" spans="12:12" hidden="1" x14ac:dyDescent="0.3"/>
    <row r="173" spans="12:12" x14ac:dyDescent="0.3">
      <c r="L173" s="161">
        <v>0</v>
      </c>
    </row>
  </sheetData>
  <mergeCells count="14">
    <mergeCell ref="A41:F41"/>
    <mergeCell ref="A42:F42"/>
    <mergeCell ref="A43:B43"/>
    <mergeCell ref="F43:F47"/>
    <mergeCell ref="A44:B44"/>
    <mergeCell ref="A45:B45"/>
    <mergeCell ref="A46:B46"/>
    <mergeCell ref="A47:B47"/>
    <mergeCell ref="B1:F1"/>
    <mergeCell ref="B2:F2"/>
    <mergeCell ref="A4:B4"/>
    <mergeCell ref="A5:B5"/>
    <mergeCell ref="A6:B6"/>
    <mergeCell ref="A40:B40"/>
  </mergeCells>
  <conditionalFormatting sqref="AE8">
    <cfRule type="containsText" dxfId="2" priority="1" operator="containsText" text="Add rows in Tarcker">
      <formula>NOT(ISERROR(SEARCH("Add rows in Tarcker",AE8)))</formula>
    </cfRule>
    <cfRule type="duplicateValues" dxfId="1" priority="2"/>
    <cfRule type="duplicateValues" dxfId="0" priority="3"/>
  </conditionalFormatting>
  <pageMargins left="0.70866141732283461" right="0.70866141732283461" top="0.55118110236220474" bottom="0.55118110236220474" header="0.31496062992125984" footer="0.31496062992125984"/>
  <pageSetup paperSize="9" orientation="landscape" r:id="rId1"/>
  <headerFooter alignWithMargins="0">
    <oddHeader>&amp;LSOBHA LLC&amp;R&amp;D</oddHeader>
    <oddFooter>&amp;LCOLLECTIONS&amp;R&amp;P/&amp;N</oddFooter>
  </headerFooter>
  <colBreaks count="4" manualBreakCount="4">
    <brk id="9" max="1048575" man="1"/>
    <brk id="16" max="1048575" man="1"/>
    <brk id="19" max="1048575" man="1"/>
    <brk id="2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C2D6-C822-4BD4-A24B-D993CC6D0018}">
  <sheetPr>
    <tabColor rgb="FFFF0000"/>
    <pageSetUpPr fitToPage="1"/>
  </sheetPr>
  <dimension ref="A1:AK172"/>
  <sheetViews>
    <sheetView view="pageBreakPreview" topLeftCell="B2" zoomScale="70" zoomScaleNormal="70" zoomScaleSheetLayoutView="70" workbookViewId="0">
      <selection activeCell="E19" sqref="E19"/>
    </sheetView>
  </sheetViews>
  <sheetFormatPr defaultRowHeight="14.4" x14ac:dyDescent="0.3"/>
  <cols>
    <col min="1" max="1" width="6.5546875" hidden="1" customWidth="1"/>
    <col min="2" max="2" width="36.44140625" customWidth="1"/>
    <col min="3" max="3" width="22.5546875" customWidth="1"/>
    <col min="4" max="4" width="29" customWidth="1"/>
    <col min="5" max="5" width="26.44140625" customWidth="1"/>
    <col min="6" max="6" width="14.33203125" bestFit="1" customWidth="1"/>
    <col min="7" max="7" width="17.5546875" bestFit="1" customWidth="1"/>
    <col min="8" max="8" width="14.5546875" hidden="1" customWidth="1"/>
    <col min="9" max="9" width="12.5546875" style="161" hidden="1" customWidth="1"/>
    <col min="10" max="10" width="12.44140625" style="161" hidden="1" customWidth="1"/>
    <col min="11" max="11" width="13.44140625" style="161" hidden="1" customWidth="1"/>
    <col min="12" max="12" width="11.44140625" style="161" hidden="1" customWidth="1"/>
    <col min="13" max="13" width="20.44140625" hidden="1" customWidth="1"/>
    <col min="14" max="14" width="11" hidden="1" customWidth="1"/>
    <col min="15" max="15" width="8.5546875" hidden="1" customWidth="1"/>
    <col min="16" max="16" width="13.5546875" hidden="1" customWidth="1"/>
    <col min="17" max="18" width="8.5546875" hidden="1" customWidth="1"/>
    <col min="19" max="19" width="11.5546875" hidden="1" customWidth="1"/>
    <col min="20" max="20" width="12.44140625" hidden="1" customWidth="1"/>
    <col min="21" max="30" width="8.5546875" hidden="1" customWidth="1"/>
    <col min="31" max="31" width="13.5546875" bestFit="1" customWidth="1"/>
    <col min="32" max="32" width="14.33203125" bestFit="1" customWidth="1"/>
    <col min="33" max="33" width="11" bestFit="1" customWidth="1"/>
    <col min="34" max="34" width="12" style="163" bestFit="1" customWidth="1"/>
    <col min="35" max="35" width="12" bestFit="1" customWidth="1"/>
    <col min="36" max="36" width="10.5546875" bestFit="1" customWidth="1"/>
    <col min="40" max="40" width="12.44140625" bestFit="1" customWidth="1"/>
  </cols>
  <sheetData>
    <row r="1" spans="1:37" hidden="1" x14ac:dyDescent="0.3">
      <c r="B1" s="160"/>
      <c r="C1" s="160"/>
      <c r="D1" s="160"/>
      <c r="E1" s="160"/>
      <c r="F1" s="160"/>
      <c r="P1" s="93"/>
      <c r="T1" s="162"/>
      <c r="W1" s="93"/>
    </row>
    <row r="2" spans="1:37" x14ac:dyDescent="0.3">
      <c r="B2" s="241" t="str">
        <f ca="1">UPPER(_xlfn.CONCAT("SOBHA - ",TEXT(F3,"MMMM YYYY "),"COLLECTION SUMMARY"))</f>
        <v>SOBHA - MAY 2026 COLLECTION SUMMARY</v>
      </c>
      <c r="C2" s="241"/>
      <c r="D2" s="241"/>
      <c r="E2" s="241"/>
      <c r="F2" s="241"/>
      <c r="G2" s="167"/>
      <c r="H2" s="168"/>
    </row>
    <row r="3" spans="1:37" x14ac:dyDescent="0.3">
      <c r="E3" s="242" t="s">
        <v>72</v>
      </c>
      <c r="F3" s="167">
        <f ca="1">daily!F3</f>
        <v>46148</v>
      </c>
      <c r="G3" s="167"/>
      <c r="Y3" s="172"/>
    </row>
    <row r="4" spans="1:37" x14ac:dyDescent="0.3">
      <c r="A4" s="243"/>
      <c r="B4" s="174"/>
      <c r="C4" s="175" t="s">
        <v>74</v>
      </c>
      <c r="D4" s="175" t="s">
        <v>75</v>
      </c>
      <c r="E4" s="176" t="s">
        <v>18</v>
      </c>
      <c r="F4" s="244"/>
      <c r="T4" s="93"/>
      <c r="Y4" s="172"/>
    </row>
    <row r="5" spans="1:37" x14ac:dyDescent="0.3">
      <c r="A5" s="245" t="s">
        <v>76</v>
      </c>
      <c r="B5" s="179"/>
      <c r="C5" s="180">
        <v>702883119.42999983</v>
      </c>
      <c r="D5" s="180">
        <v>437500000</v>
      </c>
      <c r="E5" s="180">
        <f ca="1">SUM(C5:D5)</f>
        <v>1140383119.4299998</v>
      </c>
      <c r="F5" s="246"/>
      <c r="Y5" s="172"/>
    </row>
    <row r="6" spans="1:37" x14ac:dyDescent="0.3">
      <c r="A6" s="247" t="s">
        <v>77</v>
      </c>
      <c r="B6" s="183"/>
      <c r="C6" s="184">
        <v>165384263.39529407</v>
      </c>
      <c r="D6" s="184">
        <v>102941176.47058824</v>
      </c>
      <c r="E6" s="184">
        <f ca="1">SUM(C6:D6)</f>
        <v>268325439.86588231</v>
      </c>
      <c r="F6" s="248"/>
      <c r="Y6" s="172"/>
    </row>
    <row r="7" spans="1:37" hidden="1" x14ac:dyDescent="0.3">
      <c r="A7" s="249"/>
      <c r="B7" s="187"/>
      <c r="C7" s="188"/>
      <c r="D7" s="188"/>
      <c r="E7" s="189"/>
      <c r="F7" s="250"/>
      <c r="Y7" s="172"/>
    </row>
    <row r="8" spans="1:37" x14ac:dyDescent="0.3">
      <c r="A8" s="251" t="s">
        <v>78</v>
      </c>
      <c r="B8" s="192" t="s">
        <v>79</v>
      </c>
      <c r="C8" s="175" t="s">
        <v>74</v>
      </c>
      <c r="D8" s="175" t="s">
        <v>75</v>
      </c>
      <c r="E8" s="175" t="s">
        <v>18</v>
      </c>
      <c r="F8" s="244" t="s">
        <v>80</v>
      </c>
      <c r="I8" s="161" t="s">
        <v>88</v>
      </c>
      <c r="J8" s="161" t="s">
        <v>89</v>
      </c>
      <c r="Y8" s="172"/>
    </row>
    <row r="9" spans="1:37" s="172" customFormat="1" x14ac:dyDescent="0.3">
      <c r="A9" s="252">
        <v>1</v>
      </c>
      <c r="B9" s="196">
        <v>46143</v>
      </c>
      <c r="C9" s="197">
        <v>43879647.700000003</v>
      </c>
      <c r="D9" s="197">
        <f t="shared" ref="D9:D39" ca="1" si="0">E9-C9</f>
        <v>1337231</v>
      </c>
      <c r="E9" s="198">
        <v>45216878.700000003</v>
      </c>
      <c r="F9" s="201">
        <v>667705.46</v>
      </c>
      <c r="G9" s="193"/>
      <c r="H9" s="193"/>
      <c r="I9" s="197">
        <v>16996665</v>
      </c>
      <c r="J9" s="197">
        <v>6000000</v>
      </c>
      <c r="K9" s="163">
        <f t="shared" ref="K9:K26" ca="1" si="1">C9-I9</f>
        <v>26882982.700000003</v>
      </c>
      <c r="L9" s="163">
        <f t="shared" ref="L9:L26" ca="1" si="2">J9-D9</f>
        <v>4662769</v>
      </c>
      <c r="M9" s="200">
        <v>45047</v>
      </c>
      <c r="W9"/>
      <c r="AE9" s="163"/>
      <c r="AF9" s="201">
        <v>518637.46</v>
      </c>
      <c r="AH9" s="163"/>
      <c r="AI9" s="163"/>
      <c r="AJ9" s="163"/>
      <c r="AK9" s="163"/>
    </row>
    <row r="10" spans="1:37" s="172" customFormat="1" hidden="1" x14ac:dyDescent="0.3">
      <c r="A10" s="252">
        <v>2</v>
      </c>
      <c r="B10" s="196">
        <v>46144</v>
      </c>
      <c r="C10" s="197">
        <v>0</v>
      </c>
      <c r="D10" s="197">
        <f t="shared" ca="1" si="0"/>
        <v>0</v>
      </c>
      <c r="E10" s="198">
        <v>0</v>
      </c>
      <c r="F10" s="201">
        <v>432771.18999999994</v>
      </c>
      <c r="G10" s="193"/>
      <c r="H10" s="193"/>
      <c r="I10" s="197">
        <v>13412361.630000001</v>
      </c>
      <c r="J10" s="197">
        <v>9041583.1999999974</v>
      </c>
      <c r="K10" s="163">
        <f t="shared" ca="1" si="1"/>
        <v>-13412361.630000001</v>
      </c>
      <c r="L10" s="163">
        <f t="shared" ca="1" si="2"/>
        <v>9041583.1999999974</v>
      </c>
      <c r="M10" s="200">
        <v>45048</v>
      </c>
      <c r="W10"/>
      <c r="AE10" s="163"/>
      <c r="AF10" s="201">
        <v>303910.96999999997</v>
      </c>
      <c r="AH10" s="163"/>
      <c r="AI10" s="163"/>
      <c r="AJ10" s="163"/>
      <c r="AK10" s="163"/>
    </row>
    <row r="11" spans="1:37" s="172" customFormat="1" hidden="1" x14ac:dyDescent="0.3">
      <c r="A11" s="252">
        <v>3</v>
      </c>
      <c r="B11" s="196">
        <v>46145</v>
      </c>
      <c r="C11" s="197">
        <v>0</v>
      </c>
      <c r="D11" s="197">
        <f t="shared" ca="1" si="0"/>
        <v>0</v>
      </c>
      <c r="E11" s="198">
        <v>0</v>
      </c>
      <c r="F11" s="201">
        <v>0</v>
      </c>
      <c r="G11" s="193"/>
      <c r="H11" s="193"/>
      <c r="I11" s="197">
        <v>0</v>
      </c>
      <c r="J11" s="197">
        <v>0</v>
      </c>
      <c r="K11" s="163">
        <f t="shared" ca="1" si="1"/>
        <v>0</v>
      </c>
      <c r="L11" s="163">
        <f t="shared" ca="1" si="2"/>
        <v>0</v>
      </c>
      <c r="M11" s="200">
        <v>45049</v>
      </c>
      <c r="N11" s="193"/>
      <c r="S11" s="201"/>
      <c r="W11"/>
      <c r="AF11" s="201">
        <v>0</v>
      </c>
      <c r="AH11" s="163"/>
      <c r="AI11" s="163"/>
      <c r="AJ11" s="163"/>
      <c r="AK11" s="163"/>
    </row>
    <row r="12" spans="1:37" s="172" customFormat="1" x14ac:dyDescent="0.3">
      <c r="A12" s="252">
        <v>4</v>
      </c>
      <c r="B12" s="196">
        <v>46146</v>
      </c>
      <c r="C12" s="197">
        <v>49885612.169999994</v>
      </c>
      <c r="D12" s="197">
        <f t="shared" ca="1" si="0"/>
        <v>1300605</v>
      </c>
      <c r="E12" s="198">
        <v>51186217.169999994</v>
      </c>
      <c r="F12" s="201">
        <v>840023.88</v>
      </c>
      <c r="G12" s="193"/>
      <c r="H12" s="193"/>
      <c r="I12" s="197">
        <v>0</v>
      </c>
      <c r="J12" s="197">
        <v>0</v>
      </c>
      <c r="K12" s="163">
        <f t="shared" ca="1" si="1"/>
        <v>49885612.169999994</v>
      </c>
      <c r="L12" s="163">
        <f t="shared" ca="1" si="2"/>
        <v>-1300605</v>
      </c>
      <c r="M12" s="200">
        <v>45050</v>
      </c>
      <c r="W12"/>
      <c r="AE12" s="163"/>
      <c r="AF12" s="201">
        <v>587342.5</v>
      </c>
      <c r="AH12" s="163"/>
      <c r="AI12" s="163"/>
      <c r="AJ12" s="163"/>
      <c r="AK12" s="163"/>
    </row>
    <row r="13" spans="1:37" s="172" customFormat="1" x14ac:dyDescent="0.3">
      <c r="A13" s="252">
        <v>5</v>
      </c>
      <c r="B13" s="196">
        <v>46147</v>
      </c>
      <c r="C13" s="197">
        <v>46921429.95000001</v>
      </c>
      <c r="D13" s="197">
        <f t="shared" ca="1" si="0"/>
        <v>14207289</v>
      </c>
      <c r="E13" s="198">
        <v>61128718.95000001</v>
      </c>
      <c r="F13" s="201">
        <v>261611</v>
      </c>
      <c r="G13" s="193"/>
      <c r="H13" s="193"/>
      <c r="I13" s="197">
        <v>15087167.059999999</v>
      </c>
      <c r="J13" s="197">
        <v>19237054.190000001</v>
      </c>
      <c r="K13" s="163">
        <f t="shared" ca="1" si="1"/>
        <v>31834262.890000012</v>
      </c>
      <c r="L13" s="163">
        <f t="shared" ca="1" si="2"/>
        <v>5029765.1900000013</v>
      </c>
      <c r="M13" s="200">
        <v>45051</v>
      </c>
      <c r="W13"/>
      <c r="AE13" s="163"/>
      <c r="AF13" s="201">
        <v>194042</v>
      </c>
      <c r="AH13" s="163"/>
      <c r="AI13" s="163"/>
      <c r="AJ13" s="163"/>
      <c r="AK13" s="163"/>
    </row>
    <row r="14" spans="1:37" s="172" customFormat="1" ht="15" customHeight="1" x14ac:dyDescent="0.3">
      <c r="A14" s="252"/>
      <c r="B14" s="196">
        <v>46148</v>
      </c>
      <c r="C14" s="197">
        <v>45855078.470000006</v>
      </c>
      <c r="D14" s="197">
        <f t="shared" ca="1" si="0"/>
        <v>9367021</v>
      </c>
      <c r="E14" s="198">
        <v>55222099.470000006</v>
      </c>
      <c r="F14" s="201">
        <v>459349.61</v>
      </c>
      <c r="G14" s="193"/>
      <c r="H14" s="193"/>
      <c r="I14" s="197">
        <v>13923731.020000001</v>
      </c>
      <c r="J14" s="197">
        <v>5403520.4199999999</v>
      </c>
      <c r="K14" s="163">
        <f t="shared" ca="1" si="1"/>
        <v>31931347.450000003</v>
      </c>
      <c r="L14" s="163">
        <f t="shared" ca="1" si="2"/>
        <v>-3963500.58</v>
      </c>
      <c r="M14" s="200">
        <v>45052</v>
      </c>
      <c r="W14"/>
      <c r="AE14" s="163"/>
      <c r="AF14" s="201">
        <v>350651</v>
      </c>
      <c r="AH14" s="163"/>
      <c r="AI14" s="163"/>
      <c r="AJ14" s="163"/>
      <c r="AK14" s="163"/>
    </row>
    <row r="15" spans="1:37" s="172" customFormat="1" x14ac:dyDescent="0.3">
      <c r="A15" s="252"/>
      <c r="B15" s="196">
        <v>46149</v>
      </c>
      <c r="C15" s="197">
        <v>0</v>
      </c>
      <c r="D15" s="197">
        <f t="shared" ca="1" si="0"/>
        <v>0</v>
      </c>
      <c r="E15" s="198">
        <v>0</v>
      </c>
      <c r="F15" s="201">
        <v>0</v>
      </c>
      <c r="G15" s="193"/>
      <c r="H15" s="193"/>
      <c r="I15" s="197">
        <v>13995159.780000001</v>
      </c>
      <c r="J15" s="197">
        <v>11816133.899999999</v>
      </c>
      <c r="K15" s="163">
        <f t="shared" ca="1" si="1"/>
        <v>-13995159.780000001</v>
      </c>
      <c r="L15" s="163">
        <f t="shared" ca="1" si="2"/>
        <v>11816133.899999999</v>
      </c>
      <c r="M15" s="200">
        <v>45053</v>
      </c>
      <c r="W15"/>
      <c r="AE15" s="163"/>
      <c r="AF15" s="201">
        <v>0</v>
      </c>
      <c r="AH15" s="163"/>
      <c r="AI15" s="163"/>
      <c r="AJ15" s="163"/>
      <c r="AK15" s="163"/>
    </row>
    <row r="16" spans="1:37" s="172" customFormat="1" ht="13.8" x14ac:dyDescent="0.3">
      <c r="A16" s="252">
        <v>6</v>
      </c>
      <c r="B16" s="196">
        <v>46150</v>
      </c>
      <c r="C16" s="197">
        <v>0</v>
      </c>
      <c r="D16" s="197">
        <f t="shared" ca="1" si="0"/>
        <v>0</v>
      </c>
      <c r="E16" s="198">
        <v>0</v>
      </c>
      <c r="F16" s="201">
        <v>0</v>
      </c>
      <c r="G16" s="193"/>
      <c r="H16" s="193"/>
      <c r="I16" s="197">
        <v>15532677.310000001</v>
      </c>
      <c r="J16" s="197">
        <v>3059004.0000000019</v>
      </c>
      <c r="K16" s="163">
        <f t="shared" ca="1" si="1"/>
        <v>-15532677.310000001</v>
      </c>
      <c r="L16" s="163">
        <f t="shared" ca="1" si="2"/>
        <v>3059004.0000000019</v>
      </c>
      <c r="M16" s="200">
        <v>45054</v>
      </c>
      <c r="AE16" s="163"/>
      <c r="AF16" s="201">
        <v>0</v>
      </c>
      <c r="AH16" s="163"/>
      <c r="AI16" s="163"/>
      <c r="AJ16" s="163"/>
      <c r="AK16" s="163"/>
    </row>
    <row r="17" spans="1:37" s="172" customFormat="1" ht="13.8" hidden="1" x14ac:dyDescent="0.3">
      <c r="A17" s="252">
        <v>7</v>
      </c>
      <c r="B17" s="196">
        <v>46151</v>
      </c>
      <c r="C17" s="197">
        <v>0</v>
      </c>
      <c r="D17" s="197">
        <f t="shared" ca="1" si="0"/>
        <v>0</v>
      </c>
      <c r="E17" s="198">
        <v>0</v>
      </c>
      <c r="F17" s="201">
        <v>0</v>
      </c>
      <c r="G17" s="193"/>
      <c r="H17" s="163"/>
      <c r="I17" s="197">
        <v>18589390.109999999</v>
      </c>
      <c r="J17" s="197">
        <v>6865999</v>
      </c>
      <c r="K17" s="163">
        <f t="shared" ca="1" si="1"/>
        <v>-18589390.109999999</v>
      </c>
      <c r="L17" s="163">
        <f t="shared" ca="1" si="2"/>
        <v>6865999</v>
      </c>
      <c r="M17" s="200">
        <v>45055</v>
      </c>
      <c r="AE17" s="163"/>
      <c r="AF17" s="201">
        <v>0</v>
      </c>
      <c r="AH17" s="163"/>
      <c r="AI17" s="163"/>
      <c r="AJ17" s="163"/>
      <c r="AK17" s="163"/>
    </row>
    <row r="18" spans="1:37" s="172" customFormat="1" ht="13.8" hidden="1" x14ac:dyDescent="0.3">
      <c r="A18" s="252">
        <v>8</v>
      </c>
      <c r="B18" s="196">
        <v>46152</v>
      </c>
      <c r="C18" s="197">
        <v>0</v>
      </c>
      <c r="D18" s="197">
        <f t="shared" ca="1" si="0"/>
        <v>0</v>
      </c>
      <c r="E18" s="198">
        <v>0</v>
      </c>
      <c r="F18" s="201">
        <v>0</v>
      </c>
      <c r="G18" s="193"/>
      <c r="H18" s="163"/>
      <c r="I18" s="197">
        <v>0</v>
      </c>
      <c r="J18" s="197">
        <v>0</v>
      </c>
      <c r="K18" s="163">
        <f t="shared" ca="1" si="1"/>
        <v>0</v>
      </c>
      <c r="L18" s="163">
        <f t="shared" ca="1" si="2"/>
        <v>0</v>
      </c>
      <c r="M18" s="200">
        <v>45056</v>
      </c>
      <c r="AE18" s="163"/>
      <c r="AF18" s="201">
        <v>0</v>
      </c>
      <c r="AH18" s="163"/>
      <c r="AI18" s="163"/>
      <c r="AJ18" s="163"/>
      <c r="AK18" s="163"/>
    </row>
    <row r="19" spans="1:37" s="172" customFormat="1" ht="13.8" x14ac:dyDescent="0.3">
      <c r="A19" s="252">
        <v>9</v>
      </c>
      <c r="B19" s="196">
        <v>46153</v>
      </c>
      <c r="C19" s="197">
        <v>0</v>
      </c>
      <c r="D19" s="197">
        <f t="shared" ca="1" si="0"/>
        <v>0</v>
      </c>
      <c r="E19" s="198">
        <v>0</v>
      </c>
      <c r="F19" s="201">
        <v>0</v>
      </c>
      <c r="G19" s="193"/>
      <c r="H19" s="163"/>
      <c r="I19" s="197">
        <v>0</v>
      </c>
      <c r="J19" s="197">
        <v>0</v>
      </c>
      <c r="K19" s="163">
        <f t="shared" ca="1" si="1"/>
        <v>0</v>
      </c>
      <c r="L19" s="163">
        <f t="shared" ca="1" si="2"/>
        <v>0</v>
      </c>
      <c r="M19" s="200">
        <v>45057</v>
      </c>
      <c r="T19" s="200"/>
      <c r="AE19" s="163"/>
      <c r="AF19" s="201">
        <v>0</v>
      </c>
      <c r="AH19" s="163"/>
      <c r="AI19" s="163"/>
      <c r="AJ19" s="163"/>
      <c r="AK19" s="163"/>
    </row>
    <row r="20" spans="1:37" s="172" customFormat="1" ht="13.8" x14ac:dyDescent="0.3">
      <c r="A20" s="252">
        <v>10</v>
      </c>
      <c r="B20" s="196">
        <v>46154</v>
      </c>
      <c r="C20" s="197">
        <v>0</v>
      </c>
      <c r="D20" s="197">
        <f t="shared" ca="1" si="0"/>
        <v>0</v>
      </c>
      <c r="E20" s="198">
        <v>0</v>
      </c>
      <c r="F20" s="201">
        <v>0</v>
      </c>
      <c r="G20" s="193"/>
      <c r="H20" s="163"/>
      <c r="I20" s="197">
        <v>19090565.399999999</v>
      </c>
      <c r="J20" s="197">
        <v>26755176.399999999</v>
      </c>
      <c r="K20" s="163">
        <f t="shared" ca="1" si="1"/>
        <v>-19090565.399999999</v>
      </c>
      <c r="L20" s="163">
        <f t="shared" ca="1" si="2"/>
        <v>26755176.399999999</v>
      </c>
      <c r="M20" s="200">
        <v>45058</v>
      </c>
      <c r="AE20" s="163"/>
      <c r="AF20" s="201">
        <v>0</v>
      </c>
      <c r="AH20" s="163"/>
      <c r="AI20" s="163"/>
      <c r="AJ20" s="163"/>
      <c r="AK20" s="163"/>
    </row>
    <row r="21" spans="1:37" s="172" customFormat="1" ht="14.1" customHeight="1" x14ac:dyDescent="0.3">
      <c r="A21" s="252"/>
      <c r="B21" s="196">
        <v>46155</v>
      </c>
      <c r="C21" s="197">
        <v>0</v>
      </c>
      <c r="D21" s="197">
        <f t="shared" ca="1" si="0"/>
        <v>0</v>
      </c>
      <c r="E21" s="198">
        <v>0</v>
      </c>
      <c r="F21" s="201">
        <v>0</v>
      </c>
      <c r="G21" s="193"/>
      <c r="H21" s="163"/>
      <c r="I21" s="197">
        <v>0</v>
      </c>
      <c r="J21" s="197">
        <v>0</v>
      </c>
      <c r="K21" s="163">
        <f t="shared" ca="1" si="1"/>
        <v>0</v>
      </c>
      <c r="L21" s="163">
        <f t="shared" ca="1" si="2"/>
        <v>0</v>
      </c>
      <c r="M21" s="200">
        <v>45059</v>
      </c>
      <c r="AE21" s="193"/>
      <c r="AF21" s="201">
        <v>0</v>
      </c>
      <c r="AH21" s="163"/>
      <c r="AI21" s="163"/>
      <c r="AJ21" s="163"/>
      <c r="AK21" s="163"/>
    </row>
    <row r="22" spans="1:37" s="172" customFormat="1" ht="13.8" x14ac:dyDescent="0.3">
      <c r="A22" s="252"/>
      <c r="B22" s="196">
        <v>46156</v>
      </c>
      <c r="C22" s="197">
        <v>0</v>
      </c>
      <c r="D22" s="197">
        <f t="shared" ca="1" si="0"/>
        <v>0</v>
      </c>
      <c r="E22" s="198">
        <v>0</v>
      </c>
      <c r="F22" s="201">
        <v>0</v>
      </c>
      <c r="G22" s="193"/>
      <c r="I22" s="197">
        <v>0</v>
      </c>
      <c r="J22" s="197">
        <v>0</v>
      </c>
      <c r="K22" s="163">
        <f t="shared" ca="1" si="1"/>
        <v>0</v>
      </c>
      <c r="L22" s="163">
        <f t="shared" ca="1" si="2"/>
        <v>0</v>
      </c>
      <c r="M22" s="200">
        <v>45060</v>
      </c>
      <c r="AF22" s="201">
        <v>0</v>
      </c>
      <c r="AH22" s="163"/>
      <c r="AI22" s="163"/>
      <c r="AJ22" s="163"/>
      <c r="AK22" s="163"/>
    </row>
    <row r="23" spans="1:37" s="172" customFormat="1" ht="13.8" x14ac:dyDescent="0.3">
      <c r="A23" s="252">
        <v>11</v>
      </c>
      <c r="B23" s="196">
        <v>46157</v>
      </c>
      <c r="C23" s="197">
        <v>0</v>
      </c>
      <c r="D23" s="197">
        <f t="shared" ca="1" si="0"/>
        <v>0</v>
      </c>
      <c r="E23" s="198">
        <v>0</v>
      </c>
      <c r="F23" s="201">
        <v>0</v>
      </c>
      <c r="G23" s="193"/>
      <c r="I23" s="197">
        <v>0</v>
      </c>
      <c r="J23" s="197">
        <v>0</v>
      </c>
      <c r="K23" s="163">
        <f t="shared" ca="1" si="1"/>
        <v>0</v>
      </c>
      <c r="L23" s="163">
        <f t="shared" ca="1" si="2"/>
        <v>0</v>
      </c>
      <c r="M23" s="200">
        <v>45061</v>
      </c>
      <c r="AE23" s="163"/>
      <c r="AF23" s="201">
        <v>0</v>
      </c>
      <c r="AH23" s="163"/>
      <c r="AI23" s="163"/>
      <c r="AJ23" s="163"/>
      <c r="AK23" s="163"/>
    </row>
    <row r="24" spans="1:37" s="172" customFormat="1" ht="13.8" hidden="1" x14ac:dyDescent="0.3">
      <c r="A24" s="252">
        <v>12</v>
      </c>
      <c r="B24" s="196">
        <v>46158</v>
      </c>
      <c r="C24" s="197">
        <v>0</v>
      </c>
      <c r="D24" s="197">
        <f t="shared" ca="1" si="0"/>
        <v>0</v>
      </c>
      <c r="E24" s="198">
        <v>0</v>
      </c>
      <c r="F24" s="201">
        <v>0</v>
      </c>
      <c r="G24" s="193"/>
      <c r="I24" s="197">
        <v>0</v>
      </c>
      <c r="J24" s="197">
        <v>0</v>
      </c>
      <c r="K24" s="163">
        <f t="shared" ca="1" si="1"/>
        <v>0</v>
      </c>
      <c r="L24" s="163">
        <f t="shared" ca="1" si="2"/>
        <v>0</v>
      </c>
      <c r="M24" s="200">
        <v>45062</v>
      </c>
      <c r="AF24" s="201">
        <v>0</v>
      </c>
      <c r="AH24" s="163"/>
      <c r="AI24" s="163"/>
      <c r="AJ24" s="163"/>
      <c r="AK24" s="163"/>
    </row>
    <row r="25" spans="1:37" s="172" customFormat="1" ht="13.8" hidden="1" x14ac:dyDescent="0.3">
      <c r="A25" s="252">
        <v>13</v>
      </c>
      <c r="B25" s="196">
        <v>46159</v>
      </c>
      <c r="C25" s="197">
        <v>0</v>
      </c>
      <c r="D25" s="197">
        <f t="shared" ca="1" si="0"/>
        <v>0</v>
      </c>
      <c r="E25" s="198">
        <v>0</v>
      </c>
      <c r="F25" s="201">
        <v>0</v>
      </c>
      <c r="G25" s="193"/>
      <c r="I25" s="197">
        <v>0</v>
      </c>
      <c r="J25" s="197">
        <v>0</v>
      </c>
      <c r="K25" s="163">
        <f t="shared" ca="1" si="1"/>
        <v>0</v>
      </c>
      <c r="L25" s="163">
        <f t="shared" ca="1" si="2"/>
        <v>0</v>
      </c>
      <c r="M25" s="200">
        <v>45063</v>
      </c>
      <c r="V25" s="172">
        <f ca="1">SUM(V23,V17)</f>
        <v>0</v>
      </c>
      <c r="AF25" s="201">
        <v>0</v>
      </c>
      <c r="AG25" s="204"/>
      <c r="AH25" s="163"/>
      <c r="AI25" s="163"/>
      <c r="AJ25" s="163"/>
      <c r="AK25" s="163"/>
    </row>
    <row r="26" spans="1:37" s="172" customFormat="1" ht="13.8" x14ac:dyDescent="0.3">
      <c r="A26" s="252">
        <v>14</v>
      </c>
      <c r="B26" s="196">
        <v>46160</v>
      </c>
      <c r="C26" s="197">
        <v>0</v>
      </c>
      <c r="D26" s="197">
        <f t="shared" ca="1" si="0"/>
        <v>0</v>
      </c>
      <c r="E26" s="198">
        <v>0</v>
      </c>
      <c r="F26" s="201">
        <v>0</v>
      </c>
      <c r="G26" s="193"/>
      <c r="I26" s="253">
        <v>0</v>
      </c>
      <c r="J26" s="253">
        <v>0</v>
      </c>
      <c r="K26" s="163">
        <f t="shared" ca="1" si="1"/>
        <v>0</v>
      </c>
      <c r="L26" s="163">
        <f t="shared" ca="1" si="2"/>
        <v>0</v>
      </c>
      <c r="M26" s="200">
        <v>45064</v>
      </c>
      <c r="AE26" s="163"/>
      <c r="AF26" s="201">
        <v>0</v>
      </c>
      <c r="AG26" s="204"/>
      <c r="AH26" s="163"/>
      <c r="AJ26" s="163"/>
      <c r="AK26" s="163"/>
    </row>
    <row r="27" spans="1:37" s="172" customFormat="1" ht="13.8" x14ac:dyDescent="0.3">
      <c r="A27" s="252">
        <v>15</v>
      </c>
      <c r="B27" s="196">
        <v>46161</v>
      </c>
      <c r="C27" s="197">
        <v>0</v>
      </c>
      <c r="D27" s="197">
        <f t="shared" ca="1" si="0"/>
        <v>0</v>
      </c>
      <c r="E27" s="198">
        <v>0</v>
      </c>
      <c r="F27" s="201">
        <v>0</v>
      </c>
      <c r="G27" s="193"/>
      <c r="I27" s="254"/>
      <c r="J27" s="254"/>
      <c r="K27" s="207"/>
      <c r="L27" s="207"/>
      <c r="M27" s="200"/>
      <c r="AE27" s="207"/>
      <c r="AF27" s="201">
        <v>0</v>
      </c>
      <c r="AG27" s="204"/>
      <c r="AH27" s="163"/>
      <c r="AJ27" s="163"/>
      <c r="AK27" s="163"/>
    </row>
    <row r="28" spans="1:37" s="172" customFormat="1" ht="13.8" x14ac:dyDescent="0.3">
      <c r="A28" s="252"/>
      <c r="B28" s="196">
        <v>46162</v>
      </c>
      <c r="C28" s="197">
        <v>0</v>
      </c>
      <c r="D28" s="197">
        <f t="shared" ca="1" si="0"/>
        <v>0</v>
      </c>
      <c r="E28" s="198">
        <v>0</v>
      </c>
      <c r="F28" s="201">
        <v>0</v>
      </c>
      <c r="G28" s="193"/>
      <c r="I28" s="254"/>
      <c r="J28" s="254"/>
      <c r="K28" s="207"/>
      <c r="L28" s="207"/>
      <c r="M28" s="200"/>
      <c r="AE28" s="207"/>
      <c r="AF28" s="201">
        <v>0</v>
      </c>
      <c r="AG28" s="204"/>
      <c r="AH28" s="163"/>
      <c r="AJ28" s="163"/>
      <c r="AK28" s="163"/>
    </row>
    <row r="29" spans="1:37" s="172" customFormat="1" ht="13.8" x14ac:dyDescent="0.3">
      <c r="A29" s="252"/>
      <c r="B29" s="196">
        <v>46163</v>
      </c>
      <c r="C29" s="197">
        <v>0</v>
      </c>
      <c r="D29" s="197">
        <f t="shared" ca="1" si="0"/>
        <v>0</v>
      </c>
      <c r="E29" s="198">
        <v>0</v>
      </c>
      <c r="F29" s="201">
        <v>0</v>
      </c>
      <c r="G29" s="193"/>
      <c r="I29" s="254"/>
      <c r="J29" s="254"/>
      <c r="K29" s="207"/>
      <c r="L29" s="207"/>
      <c r="M29" s="200"/>
      <c r="AE29" s="207"/>
      <c r="AF29" s="201">
        <v>0</v>
      </c>
      <c r="AG29" s="204"/>
      <c r="AH29" s="163"/>
      <c r="AJ29" s="163"/>
      <c r="AK29" s="163"/>
    </row>
    <row r="30" spans="1:37" s="172" customFormat="1" ht="13.8" x14ac:dyDescent="0.3">
      <c r="A30" s="252">
        <v>16</v>
      </c>
      <c r="B30" s="196">
        <v>46164</v>
      </c>
      <c r="C30" s="197">
        <v>0</v>
      </c>
      <c r="D30" s="197">
        <f t="shared" ca="1" si="0"/>
        <v>0</v>
      </c>
      <c r="E30" s="198">
        <v>0</v>
      </c>
      <c r="F30" s="201">
        <v>0</v>
      </c>
      <c r="G30" s="193"/>
      <c r="I30" s="254"/>
      <c r="J30" s="254"/>
      <c r="K30" s="207"/>
      <c r="L30" s="207"/>
      <c r="M30" s="200"/>
      <c r="AE30" s="207"/>
      <c r="AF30" s="201">
        <v>0</v>
      </c>
      <c r="AG30" s="204"/>
      <c r="AH30" s="163"/>
      <c r="AJ30" s="163"/>
      <c r="AK30" s="163"/>
    </row>
    <row r="31" spans="1:37" s="172" customFormat="1" ht="13.8" hidden="1" x14ac:dyDescent="0.3">
      <c r="A31" s="252">
        <v>17</v>
      </c>
      <c r="B31" s="196">
        <v>46165</v>
      </c>
      <c r="C31" s="197">
        <v>0</v>
      </c>
      <c r="D31" s="197">
        <f t="shared" ca="1" si="0"/>
        <v>0</v>
      </c>
      <c r="E31" s="198">
        <v>0</v>
      </c>
      <c r="F31" s="201">
        <v>0</v>
      </c>
      <c r="G31" s="193"/>
      <c r="I31" s="254"/>
      <c r="J31" s="254"/>
      <c r="K31" s="207"/>
      <c r="L31" s="207"/>
      <c r="M31" s="200"/>
      <c r="AF31" s="201">
        <v>0</v>
      </c>
      <c r="AG31" s="204"/>
      <c r="AH31" s="163"/>
      <c r="AJ31" s="163"/>
      <c r="AK31" s="163"/>
    </row>
    <row r="32" spans="1:37" s="172" customFormat="1" ht="13.8" hidden="1" x14ac:dyDescent="0.3">
      <c r="A32" s="252">
        <v>18</v>
      </c>
      <c r="B32" s="196">
        <v>46166</v>
      </c>
      <c r="C32" s="197">
        <v>0</v>
      </c>
      <c r="D32" s="197">
        <f t="shared" ca="1" si="0"/>
        <v>0</v>
      </c>
      <c r="E32" s="198">
        <v>0</v>
      </c>
      <c r="F32" s="201">
        <v>0</v>
      </c>
      <c r="G32" s="193"/>
      <c r="I32" s="254"/>
      <c r="J32" s="254"/>
      <c r="K32" s="207"/>
      <c r="L32" s="207"/>
      <c r="M32" s="200"/>
      <c r="AE32" s="207"/>
      <c r="AF32" s="201">
        <v>0</v>
      </c>
      <c r="AG32" s="204"/>
      <c r="AH32" s="163"/>
      <c r="AJ32" s="163"/>
      <c r="AK32" s="163"/>
    </row>
    <row r="33" spans="1:37" s="172" customFormat="1" ht="13.8" x14ac:dyDescent="0.3">
      <c r="A33" s="252">
        <v>19</v>
      </c>
      <c r="B33" s="196">
        <v>46167</v>
      </c>
      <c r="C33" s="197">
        <v>0</v>
      </c>
      <c r="D33" s="197">
        <f t="shared" ca="1" si="0"/>
        <v>0</v>
      </c>
      <c r="E33" s="198">
        <v>0</v>
      </c>
      <c r="F33" s="201">
        <v>0</v>
      </c>
      <c r="G33" s="193"/>
      <c r="H33" s="207"/>
      <c r="I33" s="254"/>
      <c r="J33" s="254"/>
      <c r="K33" s="207"/>
      <c r="L33" s="207"/>
      <c r="M33" s="200"/>
      <c r="AE33" s="207"/>
      <c r="AF33" s="201">
        <v>0</v>
      </c>
      <c r="AG33" s="204"/>
      <c r="AH33" s="163"/>
      <c r="AJ33" s="163"/>
      <c r="AK33" s="163"/>
    </row>
    <row r="34" spans="1:37" s="172" customFormat="1" ht="13.8" hidden="1" x14ac:dyDescent="0.3">
      <c r="A34" s="252">
        <v>20</v>
      </c>
      <c r="B34" s="196">
        <v>46168</v>
      </c>
      <c r="C34" s="197">
        <v>0</v>
      </c>
      <c r="D34" s="197">
        <f t="shared" ca="1" si="0"/>
        <v>0</v>
      </c>
      <c r="E34" s="198">
        <v>0</v>
      </c>
      <c r="F34" s="201">
        <v>0</v>
      </c>
      <c r="G34" s="193"/>
      <c r="I34" s="254"/>
      <c r="J34" s="254"/>
      <c r="K34" s="207"/>
      <c r="L34" s="207"/>
      <c r="M34" s="200"/>
      <c r="AE34" s="207"/>
      <c r="AF34" s="201">
        <v>0</v>
      </c>
      <c r="AH34" s="163"/>
      <c r="AJ34" s="163"/>
      <c r="AK34" s="163"/>
    </row>
    <row r="35" spans="1:37" s="172" customFormat="1" ht="13.8" hidden="1" x14ac:dyDescent="0.3">
      <c r="A35" s="252"/>
      <c r="B35" s="196">
        <v>46169</v>
      </c>
      <c r="C35" s="197">
        <v>0</v>
      </c>
      <c r="D35" s="197">
        <f t="shared" ca="1" si="0"/>
        <v>0</v>
      </c>
      <c r="E35" s="198">
        <v>0</v>
      </c>
      <c r="F35" s="201">
        <v>0</v>
      </c>
      <c r="G35" s="193"/>
      <c r="I35" s="207"/>
      <c r="J35" s="207"/>
      <c r="K35" s="207"/>
      <c r="L35" s="207"/>
      <c r="M35" s="200"/>
      <c r="AF35" s="201">
        <v>0</v>
      </c>
      <c r="AH35" s="163"/>
      <c r="AJ35" s="163"/>
      <c r="AK35" s="163"/>
    </row>
    <row r="36" spans="1:37" s="172" customFormat="1" ht="13.8" hidden="1" x14ac:dyDescent="0.3">
      <c r="A36" s="252"/>
      <c r="B36" s="196">
        <v>46170</v>
      </c>
      <c r="C36" s="197">
        <v>0</v>
      </c>
      <c r="D36" s="197">
        <f t="shared" ca="1" si="0"/>
        <v>0</v>
      </c>
      <c r="E36" s="198">
        <v>0</v>
      </c>
      <c r="F36" s="201">
        <v>0</v>
      </c>
      <c r="G36" s="193"/>
      <c r="H36" s="207"/>
      <c r="I36" s="207"/>
      <c r="J36" s="207"/>
      <c r="K36" s="207"/>
      <c r="L36" s="207"/>
      <c r="M36" s="200"/>
      <c r="AF36" s="201">
        <v>0</v>
      </c>
      <c r="AH36" s="163"/>
      <c r="AJ36" s="163"/>
      <c r="AK36" s="163"/>
    </row>
    <row r="37" spans="1:37" s="172" customFormat="1" ht="13.8" hidden="1" x14ac:dyDescent="0.3">
      <c r="A37" s="252">
        <v>21</v>
      </c>
      <c r="B37" s="196">
        <v>46171</v>
      </c>
      <c r="C37" s="197">
        <v>0</v>
      </c>
      <c r="D37" s="197">
        <f t="shared" ca="1" si="0"/>
        <v>0</v>
      </c>
      <c r="E37" s="198">
        <v>0</v>
      </c>
      <c r="F37" s="201">
        <v>0</v>
      </c>
      <c r="G37" s="255"/>
      <c r="I37" s="207"/>
      <c r="J37" s="207"/>
      <c r="K37" s="207"/>
      <c r="L37" s="207"/>
      <c r="M37" s="200"/>
      <c r="AE37" s="207"/>
      <c r="AF37" s="201">
        <v>0</v>
      </c>
      <c r="AH37" s="163"/>
      <c r="AJ37" s="163"/>
      <c r="AK37" s="163"/>
    </row>
    <row r="38" spans="1:37" s="172" customFormat="1" ht="13.8" hidden="1" x14ac:dyDescent="0.3">
      <c r="A38" s="252">
        <v>22</v>
      </c>
      <c r="B38" s="196">
        <v>46172</v>
      </c>
      <c r="C38" s="197">
        <v>0</v>
      </c>
      <c r="D38" s="197">
        <f t="shared" ca="1" si="0"/>
        <v>0</v>
      </c>
      <c r="E38" s="198">
        <v>0</v>
      </c>
      <c r="F38" s="201">
        <v>0</v>
      </c>
      <c r="G38" s="193"/>
      <c r="I38" s="207"/>
      <c r="J38" s="207"/>
      <c r="K38" s="207"/>
      <c r="L38" s="207"/>
      <c r="AE38" s="207"/>
      <c r="AF38" s="201">
        <v>0</v>
      </c>
      <c r="AH38" s="163"/>
      <c r="AJ38" s="163"/>
      <c r="AK38" s="163"/>
    </row>
    <row r="39" spans="1:37" s="172" customFormat="1" ht="13.8" hidden="1" x14ac:dyDescent="0.3">
      <c r="A39" s="256">
        <v>23</v>
      </c>
      <c r="B39" s="209">
        <v>46173</v>
      </c>
      <c r="C39" s="197">
        <v>0</v>
      </c>
      <c r="D39" s="197">
        <f t="shared" ca="1" si="0"/>
        <v>0</v>
      </c>
      <c r="E39" s="198">
        <v>0</v>
      </c>
      <c r="F39" s="201">
        <v>0</v>
      </c>
      <c r="G39" s="193"/>
      <c r="H39" s="193"/>
      <c r="I39" s="207"/>
      <c r="J39" s="207"/>
      <c r="K39" s="207"/>
      <c r="L39" s="207"/>
      <c r="AE39" s="207"/>
      <c r="AF39" s="201">
        <v>0</v>
      </c>
      <c r="AH39" s="163"/>
      <c r="AJ39" s="163"/>
      <c r="AK39" s="163"/>
    </row>
    <row r="40" spans="1:37" s="172" customFormat="1" ht="13.8" x14ac:dyDescent="0.3">
      <c r="A40" s="211" t="s">
        <v>81</v>
      </c>
      <c r="B40" s="211"/>
      <c r="C40" s="212">
        <f ca="1">SUM(C9:C39)</f>
        <v>186541768.29000002</v>
      </c>
      <c r="D40" s="212">
        <f ca="1">SUM(D9:D39)</f>
        <v>26212146</v>
      </c>
      <c r="E40" s="213">
        <f ca="1">SUM(E9:E39)</f>
        <v>212753914.29000002</v>
      </c>
      <c r="F40" s="215">
        <f ca="1">SUM(F9:F39)</f>
        <v>2661461.1399999997</v>
      </c>
      <c r="G40" s="193"/>
      <c r="H40" s="193"/>
      <c r="I40" s="207"/>
      <c r="J40" s="207"/>
      <c r="K40" s="207"/>
      <c r="L40" s="207"/>
      <c r="P40" s="207"/>
      <c r="AE40" s="207"/>
      <c r="AF40" s="257">
        <f ca="1">SUM(AF9:AF39)</f>
        <v>1954583.93</v>
      </c>
      <c r="AG40" s="193"/>
      <c r="AH40" s="163"/>
      <c r="AJ40" s="193"/>
    </row>
    <row r="41" spans="1:37" ht="10.35" customHeight="1" x14ac:dyDescent="0.3">
      <c r="A41" s="258"/>
      <c r="B41" s="217"/>
      <c r="C41" s="217"/>
      <c r="D41" s="217"/>
      <c r="E41" s="217"/>
      <c r="F41" s="259"/>
      <c r="I41" s="260"/>
      <c r="J41" s="260"/>
      <c r="K41" s="260"/>
      <c r="L41" s="260"/>
      <c r="AE41" s="44"/>
    </row>
    <row r="42" spans="1:37" ht="14.1" customHeight="1" x14ac:dyDescent="0.3">
      <c r="A42" s="220" t="s">
        <v>82</v>
      </c>
      <c r="B42" s="220"/>
      <c r="C42" s="220"/>
      <c r="D42" s="220"/>
      <c r="E42" s="220"/>
      <c r="F42" s="220"/>
      <c r="G42" s="193"/>
      <c r="I42" s="260"/>
      <c r="J42" s="260"/>
      <c r="K42" s="260"/>
      <c r="L42" s="260"/>
      <c r="AE42" s="44"/>
    </row>
    <row r="43" spans="1:37" x14ac:dyDescent="0.3">
      <c r="A43" s="243" t="s">
        <v>83</v>
      </c>
      <c r="B43" s="174"/>
      <c r="C43" s="222" t="s">
        <v>74</v>
      </c>
      <c r="D43" s="222" t="s">
        <v>75</v>
      </c>
      <c r="E43" s="222" t="s">
        <v>18</v>
      </c>
      <c r="F43" s="261"/>
      <c r="G43" s="262"/>
      <c r="AE43" s="44"/>
      <c r="AF43" s="44"/>
    </row>
    <row r="44" spans="1:37" x14ac:dyDescent="0.3">
      <c r="A44" s="263" t="s">
        <v>84</v>
      </c>
      <c r="B44" s="225"/>
      <c r="C44" s="188">
        <f ca="1">C47-C45</f>
        <v>3302041431.1894522</v>
      </c>
      <c r="D44" s="188">
        <f ca="1">D47-D45</f>
        <v>583140878.71513963</v>
      </c>
      <c r="E44" s="189">
        <f ca="1">D44+C44</f>
        <v>3885182309.9045916</v>
      </c>
      <c r="F44" s="261"/>
      <c r="G44" s="264"/>
      <c r="AE44" s="44"/>
      <c r="AF44" s="44"/>
    </row>
    <row r="45" spans="1:37" x14ac:dyDescent="0.3">
      <c r="A45" s="265" t="s">
        <v>85</v>
      </c>
      <c r="B45" s="228"/>
      <c r="C45" s="188">
        <f ca="1">C40</f>
        <v>186541768.29000002</v>
      </c>
      <c r="D45" s="188">
        <f ca="1">D40</f>
        <v>26212146</v>
      </c>
      <c r="E45" s="189">
        <f ca="1">D45+C45</f>
        <v>212753914.29000002</v>
      </c>
      <c r="F45" s="261"/>
      <c r="AE45" s="44"/>
      <c r="AF45" s="44"/>
    </row>
    <row r="46" spans="1:37" x14ac:dyDescent="0.3">
      <c r="A46" s="266" t="s">
        <v>86</v>
      </c>
      <c r="B46" s="231"/>
      <c r="C46" s="232">
        <v>3151608385.2952938</v>
      </c>
      <c r="D46" s="232">
        <v>1721691176.4705882</v>
      </c>
      <c r="E46" s="233">
        <f ca="1">D46+C46</f>
        <v>4873299561.7658825</v>
      </c>
      <c r="F46" s="261"/>
      <c r="AE46" s="44"/>
      <c r="AF46" s="44"/>
    </row>
    <row r="47" spans="1:37" x14ac:dyDescent="0.3">
      <c r="A47" s="267" t="s">
        <v>87</v>
      </c>
      <c r="B47" s="268"/>
      <c r="C47" s="269">
        <v>3488583199.4794521</v>
      </c>
      <c r="D47" s="269">
        <v>609353024.71513963</v>
      </c>
      <c r="E47" s="269">
        <f ca="1">D47+C47</f>
        <v>4097936224.1945915</v>
      </c>
      <c r="F47" s="270"/>
      <c r="AE47" s="44"/>
    </row>
    <row r="49" spans="7:33" x14ac:dyDescent="0.3">
      <c r="G49" s="44"/>
      <c r="AE49" s="44"/>
      <c r="AF49" s="44"/>
    </row>
    <row r="50" spans="7:33" x14ac:dyDescent="0.3">
      <c r="G50" s="44"/>
    </row>
    <row r="52" spans="7:33" x14ac:dyDescent="0.3">
      <c r="G52" s="44"/>
      <c r="AF52" s="44"/>
    </row>
    <row r="53" spans="7:33" x14ac:dyDescent="0.3">
      <c r="AF53" s="239"/>
      <c r="AG53" s="240"/>
    </row>
    <row r="55" spans="7:33" hidden="1" x14ac:dyDescent="0.3"/>
    <row r="171" spans="12:12" hidden="1" x14ac:dyDescent="0.3"/>
    <row r="172" spans="12:12" x14ac:dyDescent="0.3">
      <c r="L172" s="161">
        <v>0</v>
      </c>
    </row>
  </sheetData>
  <mergeCells count="14">
    <mergeCell ref="A41:F41"/>
    <mergeCell ref="A42:F42"/>
    <mergeCell ref="A43:B43"/>
    <mergeCell ref="F43:F47"/>
    <mergeCell ref="A44:B44"/>
    <mergeCell ref="A45:B45"/>
    <mergeCell ref="A46:B46"/>
    <mergeCell ref="A47:B47"/>
    <mergeCell ref="B1:F1"/>
    <mergeCell ref="B2:F2"/>
    <mergeCell ref="A4:B4"/>
    <mergeCell ref="A5:B5"/>
    <mergeCell ref="A6:B6"/>
    <mergeCell ref="A40:B40"/>
  </mergeCells>
  <pageMargins left="0.70866141732283461" right="0.70866141732283461" top="0.55118110236220474" bottom="0.55118110236220474" header="0.31496062992125984" footer="0.31496062992125984"/>
  <pageSetup paperSize="9" orientation="landscape" r:id="rId1"/>
  <headerFooter alignWithMargins="0">
    <oddHeader>&amp;LSOBHA LLC&amp;R&amp;D</oddHeader>
    <oddFooter>&amp;LCOLLECTIONS&amp;R&amp;P/&amp;N</oddFooter>
  </headerFooter>
  <colBreaks count="4" manualBreakCount="4">
    <brk id="9" max="1048575" man="1"/>
    <brk id="16" max="1048575" man="1"/>
    <brk id="19" max="1048575" man="1"/>
    <brk id="2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2646-2525-492E-A644-8F47E1578B7C}">
  <sheetPr>
    <tabColor rgb="FFFF0000"/>
    <pageSetUpPr fitToPage="1"/>
  </sheetPr>
  <dimension ref="A1:AK172"/>
  <sheetViews>
    <sheetView view="pageBreakPreview" topLeftCell="B2" zoomScale="70" zoomScaleNormal="70" zoomScaleSheetLayoutView="70" workbookViewId="0">
      <selection activeCell="E19" sqref="E19"/>
    </sheetView>
  </sheetViews>
  <sheetFormatPr defaultRowHeight="14.4" x14ac:dyDescent="0.3"/>
  <cols>
    <col min="1" max="1" width="6.5546875" hidden="1" customWidth="1"/>
    <col min="2" max="2" width="36.44140625" customWidth="1"/>
    <col min="3" max="3" width="22.5546875" customWidth="1"/>
    <col min="4" max="4" width="29" customWidth="1"/>
    <col min="5" max="5" width="26.44140625" customWidth="1"/>
    <col min="6" max="6" width="14.33203125" bestFit="1" customWidth="1"/>
    <col min="7" max="7" width="12.44140625" bestFit="1" customWidth="1"/>
    <col min="8" max="8" width="14.5546875" hidden="1" customWidth="1"/>
    <col min="9" max="9" width="12.5546875" style="161" hidden="1" customWidth="1"/>
    <col min="10" max="10" width="12.44140625" style="161" hidden="1" customWidth="1"/>
    <col min="11" max="11" width="13.44140625" style="161" hidden="1" customWidth="1"/>
    <col min="12" max="12" width="11.44140625" style="161" hidden="1" customWidth="1"/>
    <col min="13" max="13" width="20.44140625" hidden="1" customWidth="1"/>
    <col min="14" max="14" width="11" hidden="1" customWidth="1"/>
    <col min="15" max="15" width="8.5546875" hidden="1" customWidth="1"/>
    <col min="16" max="16" width="13.5546875" hidden="1" customWidth="1"/>
    <col min="17" max="18" width="8.5546875" hidden="1" customWidth="1"/>
    <col min="19" max="19" width="11.5546875" hidden="1" customWidth="1"/>
    <col min="20" max="20" width="12.44140625" hidden="1" customWidth="1"/>
    <col min="21" max="30" width="8.5546875" hidden="1" customWidth="1"/>
    <col min="31" max="31" width="13.5546875" bestFit="1" customWidth="1"/>
    <col min="32" max="32" width="14.33203125" bestFit="1" customWidth="1"/>
    <col min="33" max="33" width="11" bestFit="1" customWidth="1"/>
    <col min="34" max="34" width="12" style="163" bestFit="1" customWidth="1"/>
    <col min="35" max="35" width="13.5546875" bestFit="1" customWidth="1"/>
    <col min="36" max="36" width="11" bestFit="1" customWidth="1"/>
  </cols>
  <sheetData>
    <row r="1" spans="1:37" hidden="1" x14ac:dyDescent="0.3">
      <c r="B1" s="160"/>
      <c r="C1" s="160"/>
      <c r="D1" s="160"/>
      <c r="E1" s="160"/>
      <c r="F1" s="160"/>
      <c r="P1" s="93"/>
      <c r="T1" s="162"/>
      <c r="W1" s="93"/>
    </row>
    <row r="2" spans="1:37" x14ac:dyDescent="0.3">
      <c r="B2" s="241" t="str">
        <f ca="1">UPPER(_xlfn.CONCAT("SINIYA - ",TEXT(F3,"MMMM YYYY "),"COLLECTION SUMMARY"))</f>
        <v>SINIYA - MAY 2026 COLLECTION SUMMARY</v>
      </c>
      <c r="C2" s="241"/>
      <c r="D2" s="241"/>
      <c r="E2" s="241"/>
      <c r="F2" s="241"/>
      <c r="G2" s="167"/>
      <c r="H2" s="168"/>
    </row>
    <row r="3" spans="1:37" x14ac:dyDescent="0.3">
      <c r="E3" s="242" t="s">
        <v>72</v>
      </c>
      <c r="F3" s="167">
        <f ca="1">daily!F3</f>
        <v>46148</v>
      </c>
      <c r="G3" s="167"/>
      <c r="Y3" s="172"/>
    </row>
    <row r="4" spans="1:37" x14ac:dyDescent="0.3">
      <c r="A4" s="243"/>
      <c r="B4" s="174"/>
      <c r="C4" s="175" t="s">
        <v>74</v>
      </c>
      <c r="D4" s="175" t="s">
        <v>75</v>
      </c>
      <c r="E4" s="176" t="s">
        <v>18</v>
      </c>
      <c r="F4" s="244"/>
      <c r="T4" s="93"/>
      <c r="Y4" s="172"/>
    </row>
    <row r="5" spans="1:37" x14ac:dyDescent="0.3">
      <c r="A5" s="245" t="s">
        <v>76</v>
      </c>
      <c r="B5" s="179"/>
      <c r="C5" s="180">
        <v>143079088.79000002</v>
      </c>
      <c r="D5" s="180">
        <v>63625000</v>
      </c>
      <c r="E5" s="180">
        <f ca="1">SUM(C5:D5)</f>
        <v>206704088.79000002</v>
      </c>
      <c r="F5" s="246"/>
      <c r="Y5" s="172"/>
    </row>
    <row r="6" spans="1:37" x14ac:dyDescent="0.3">
      <c r="A6" s="247" t="s">
        <v>77</v>
      </c>
      <c r="B6" s="183"/>
      <c r="C6" s="184">
        <v>33665667.950588241</v>
      </c>
      <c r="D6" s="184">
        <v>14970588.235294119</v>
      </c>
      <c r="E6" s="184">
        <f ca="1">SUM(C6:D6)</f>
        <v>48636256.18588236</v>
      </c>
      <c r="F6" s="248"/>
      <c r="Y6" s="172"/>
    </row>
    <row r="7" spans="1:37" hidden="1" x14ac:dyDescent="0.3">
      <c r="A7" s="249"/>
      <c r="B7" s="187"/>
      <c r="C7" s="188"/>
      <c r="D7" s="188"/>
      <c r="E7" s="189"/>
      <c r="F7" s="250"/>
      <c r="Y7" s="172"/>
    </row>
    <row r="8" spans="1:37" x14ac:dyDescent="0.3">
      <c r="A8" s="251" t="s">
        <v>78</v>
      </c>
      <c r="B8" s="192" t="s">
        <v>79</v>
      </c>
      <c r="C8" s="175" t="s">
        <v>74</v>
      </c>
      <c r="D8" s="175" t="s">
        <v>75</v>
      </c>
      <c r="E8" s="175" t="s">
        <v>18</v>
      </c>
      <c r="F8" s="244" t="s">
        <v>80</v>
      </c>
      <c r="I8" s="161" t="s">
        <v>88</v>
      </c>
      <c r="J8" s="161" t="s">
        <v>89</v>
      </c>
      <c r="Y8" s="172"/>
      <c r="AJ8" s="163"/>
    </row>
    <row r="9" spans="1:37" s="172" customFormat="1" x14ac:dyDescent="0.3">
      <c r="A9" s="252">
        <v>1</v>
      </c>
      <c r="B9" s="196">
        <v>46143</v>
      </c>
      <c r="C9" s="197">
        <v>8297654.1600000001</v>
      </c>
      <c r="D9" s="197">
        <f t="shared" ref="D9:D39" ca="1" si="0">E9-C9</f>
        <v>0</v>
      </c>
      <c r="E9" s="198">
        <v>8297654.1600000001</v>
      </c>
      <c r="F9" s="201">
        <v>1000</v>
      </c>
      <c r="G9" s="193"/>
      <c r="H9" s="193"/>
      <c r="I9" s="197">
        <v>16996665</v>
      </c>
      <c r="J9" s="197">
        <v>6000000</v>
      </c>
      <c r="K9" s="163">
        <f t="shared" ref="K9:K26" ca="1" si="1">C9-I9</f>
        <v>-8699010.8399999999</v>
      </c>
      <c r="L9" s="163">
        <f t="shared" ref="L9:L26" ca="1" si="2">J9-D9</f>
        <v>6000000</v>
      </c>
      <c r="M9" s="200">
        <v>45047</v>
      </c>
      <c r="W9"/>
      <c r="AE9" s="163"/>
      <c r="AF9" s="201">
        <v>518637.46</v>
      </c>
      <c r="AH9" s="163"/>
      <c r="AI9" s="163"/>
      <c r="AJ9" s="163"/>
      <c r="AK9" s="163"/>
    </row>
    <row r="10" spans="1:37" s="172" customFormat="1" hidden="1" x14ac:dyDescent="0.3">
      <c r="A10" s="252">
        <v>2</v>
      </c>
      <c r="B10" s="196">
        <v>46144</v>
      </c>
      <c r="C10" s="197">
        <v>0</v>
      </c>
      <c r="D10" s="197">
        <f t="shared" ca="1" si="0"/>
        <v>0</v>
      </c>
      <c r="E10" s="198">
        <v>0</v>
      </c>
      <c r="F10" s="201">
        <v>0</v>
      </c>
      <c r="G10" s="193"/>
      <c r="H10" s="193"/>
      <c r="I10" s="197">
        <v>13412361.630000001</v>
      </c>
      <c r="J10" s="197">
        <v>9041583.1999999974</v>
      </c>
      <c r="K10" s="163">
        <f t="shared" ca="1" si="1"/>
        <v>-13412361.630000001</v>
      </c>
      <c r="L10" s="163">
        <f t="shared" ca="1" si="2"/>
        <v>9041583.1999999974</v>
      </c>
      <c r="M10" s="200">
        <v>45048</v>
      </c>
      <c r="W10"/>
      <c r="AE10" s="163"/>
      <c r="AF10" s="201">
        <v>303910.96999999997</v>
      </c>
      <c r="AH10" s="163"/>
      <c r="AI10" s="163"/>
      <c r="AJ10" s="163"/>
      <c r="AK10" s="163"/>
    </row>
    <row r="11" spans="1:37" s="172" customFormat="1" hidden="1" x14ac:dyDescent="0.3">
      <c r="A11" s="252">
        <v>3</v>
      </c>
      <c r="B11" s="196">
        <v>46145</v>
      </c>
      <c r="C11" s="197">
        <v>0</v>
      </c>
      <c r="D11" s="197">
        <f t="shared" ca="1" si="0"/>
        <v>0</v>
      </c>
      <c r="E11" s="198">
        <v>0</v>
      </c>
      <c r="F11" s="201">
        <v>0</v>
      </c>
      <c r="G11" s="193"/>
      <c r="H11" s="193"/>
      <c r="I11" s="197">
        <v>0</v>
      </c>
      <c r="J11" s="197">
        <v>0</v>
      </c>
      <c r="K11" s="163">
        <f t="shared" ca="1" si="1"/>
        <v>0</v>
      </c>
      <c r="L11" s="163">
        <f t="shared" ca="1" si="2"/>
        <v>0</v>
      </c>
      <c r="M11" s="200">
        <v>45049</v>
      </c>
      <c r="N11" s="193"/>
      <c r="S11" s="201"/>
      <c r="W11"/>
      <c r="AF11" s="201">
        <v>0</v>
      </c>
      <c r="AH11" s="163"/>
      <c r="AI11" s="163"/>
      <c r="AJ11" s="163"/>
      <c r="AK11" s="163"/>
    </row>
    <row r="12" spans="1:37" s="172" customFormat="1" x14ac:dyDescent="0.3">
      <c r="A12" s="252">
        <v>4</v>
      </c>
      <c r="B12" s="196">
        <v>46146</v>
      </c>
      <c r="C12" s="197">
        <v>12370280.970000001</v>
      </c>
      <c r="D12" s="197">
        <f t="shared" ca="1" si="0"/>
        <v>0</v>
      </c>
      <c r="E12" s="198">
        <v>12370280.970000001</v>
      </c>
      <c r="F12" s="201">
        <v>0</v>
      </c>
      <c r="G12" s="255"/>
      <c r="H12" s="193"/>
      <c r="I12" s="197">
        <v>0</v>
      </c>
      <c r="J12" s="197">
        <v>0</v>
      </c>
      <c r="K12" s="163">
        <f t="shared" ca="1" si="1"/>
        <v>12370280.970000001</v>
      </c>
      <c r="L12" s="163">
        <f t="shared" ca="1" si="2"/>
        <v>0</v>
      </c>
      <c r="M12" s="200">
        <v>45050</v>
      </c>
      <c r="W12"/>
      <c r="AE12" s="163"/>
      <c r="AF12" s="201">
        <v>587342.5</v>
      </c>
      <c r="AH12" s="163"/>
      <c r="AI12" s="163"/>
      <c r="AJ12" s="163"/>
      <c r="AK12" s="163"/>
    </row>
    <row r="13" spans="1:37" s="172" customFormat="1" x14ac:dyDescent="0.3">
      <c r="A13" s="252">
        <v>5</v>
      </c>
      <c r="B13" s="196">
        <v>46147</v>
      </c>
      <c r="C13" s="197">
        <v>7062413.0499999998</v>
      </c>
      <c r="D13" s="197">
        <f t="shared" ca="1" si="0"/>
        <v>0</v>
      </c>
      <c r="E13" s="198">
        <v>7062413.0499999998</v>
      </c>
      <c r="F13" s="201">
        <v>1000</v>
      </c>
      <c r="G13" s="193"/>
      <c r="H13" s="193"/>
      <c r="I13" s="197">
        <v>15087167.059999999</v>
      </c>
      <c r="J13" s="197">
        <v>19237054.190000001</v>
      </c>
      <c r="K13" s="163">
        <f t="shared" ca="1" si="1"/>
        <v>-8024754.0099999988</v>
      </c>
      <c r="L13" s="163">
        <f t="shared" ca="1" si="2"/>
        <v>19237054.190000001</v>
      </c>
      <c r="M13" s="200">
        <v>45051</v>
      </c>
      <c r="W13"/>
      <c r="AE13" s="163"/>
      <c r="AF13" s="201">
        <v>194042</v>
      </c>
      <c r="AH13" s="163"/>
      <c r="AI13" s="163"/>
      <c r="AJ13" s="163"/>
      <c r="AK13" s="163"/>
    </row>
    <row r="14" spans="1:37" s="172" customFormat="1" ht="15" customHeight="1" x14ac:dyDescent="0.3">
      <c r="A14" s="252"/>
      <c r="B14" s="196">
        <v>46148</v>
      </c>
      <c r="C14" s="197">
        <v>7087503.4199999999</v>
      </c>
      <c r="D14" s="197">
        <f t="shared" ca="1" si="0"/>
        <v>92.999999999068677</v>
      </c>
      <c r="E14" s="198">
        <v>7087596.419999999</v>
      </c>
      <c r="F14" s="201">
        <v>0</v>
      </c>
      <c r="G14" s="193"/>
      <c r="H14" s="193"/>
      <c r="I14" s="197">
        <v>13923731.020000001</v>
      </c>
      <c r="J14" s="197">
        <v>5403520.4199999999</v>
      </c>
      <c r="K14" s="163">
        <f t="shared" ca="1" si="1"/>
        <v>-6836227.6000000015</v>
      </c>
      <c r="L14" s="163">
        <f t="shared" ca="1" si="2"/>
        <v>5403427.4200000009</v>
      </c>
      <c r="M14" s="200">
        <v>45052</v>
      </c>
      <c r="W14"/>
      <c r="AE14" s="163"/>
      <c r="AF14" s="201">
        <v>350651</v>
      </c>
      <c r="AH14" s="163"/>
      <c r="AI14" s="163"/>
      <c r="AJ14" s="163"/>
      <c r="AK14" s="163"/>
    </row>
    <row r="15" spans="1:37" s="172" customFormat="1" x14ac:dyDescent="0.3">
      <c r="A15" s="252"/>
      <c r="B15" s="196">
        <v>46149</v>
      </c>
      <c r="C15" s="197">
        <v>0</v>
      </c>
      <c r="D15" s="197">
        <f t="shared" ca="1" si="0"/>
        <v>0</v>
      </c>
      <c r="E15" s="198">
        <v>0</v>
      </c>
      <c r="F15" s="201">
        <v>0</v>
      </c>
      <c r="G15" s="193"/>
      <c r="H15" s="193"/>
      <c r="I15" s="197">
        <v>13995159.780000001</v>
      </c>
      <c r="J15" s="197">
        <v>11816133.899999999</v>
      </c>
      <c r="K15" s="163">
        <f t="shared" ca="1" si="1"/>
        <v>-13995159.780000001</v>
      </c>
      <c r="L15" s="163">
        <f t="shared" ca="1" si="2"/>
        <v>11816133.899999999</v>
      </c>
      <c r="M15" s="200">
        <v>45053</v>
      </c>
      <c r="W15"/>
      <c r="AE15" s="163"/>
      <c r="AF15" s="201">
        <v>0</v>
      </c>
      <c r="AH15" s="163"/>
      <c r="AI15" s="163"/>
      <c r="AJ15" s="163"/>
      <c r="AK15" s="163"/>
    </row>
    <row r="16" spans="1:37" s="172" customFormat="1" ht="13.8" x14ac:dyDescent="0.3">
      <c r="A16" s="252">
        <v>6</v>
      </c>
      <c r="B16" s="196">
        <v>46150</v>
      </c>
      <c r="C16" s="197">
        <v>0</v>
      </c>
      <c r="D16" s="197">
        <f t="shared" ca="1" si="0"/>
        <v>0</v>
      </c>
      <c r="E16" s="198">
        <v>0</v>
      </c>
      <c r="F16" s="201">
        <v>0</v>
      </c>
      <c r="G16" s="193"/>
      <c r="H16" s="193"/>
      <c r="I16" s="197">
        <v>15532677.310000001</v>
      </c>
      <c r="J16" s="197">
        <v>3059004.0000000019</v>
      </c>
      <c r="K16" s="163">
        <f t="shared" ca="1" si="1"/>
        <v>-15532677.310000001</v>
      </c>
      <c r="L16" s="163">
        <f t="shared" ca="1" si="2"/>
        <v>3059004.0000000019</v>
      </c>
      <c r="M16" s="200">
        <v>45054</v>
      </c>
      <c r="AE16" s="163"/>
      <c r="AF16" s="201">
        <v>0</v>
      </c>
      <c r="AH16" s="163"/>
      <c r="AI16" s="163"/>
      <c r="AJ16" s="163"/>
      <c r="AK16" s="163"/>
    </row>
    <row r="17" spans="1:37" s="172" customFormat="1" ht="13.8" hidden="1" x14ac:dyDescent="0.3">
      <c r="A17" s="252">
        <v>7</v>
      </c>
      <c r="B17" s="196">
        <v>46151</v>
      </c>
      <c r="C17" s="197">
        <v>0</v>
      </c>
      <c r="D17" s="197">
        <f t="shared" ca="1" si="0"/>
        <v>0</v>
      </c>
      <c r="E17" s="198">
        <v>0</v>
      </c>
      <c r="F17" s="201">
        <v>0</v>
      </c>
      <c r="G17" s="193"/>
      <c r="H17" s="163"/>
      <c r="I17" s="197">
        <v>18589390.109999999</v>
      </c>
      <c r="J17" s="197">
        <v>6865999</v>
      </c>
      <c r="K17" s="163">
        <f t="shared" ca="1" si="1"/>
        <v>-18589390.109999999</v>
      </c>
      <c r="L17" s="163">
        <f t="shared" ca="1" si="2"/>
        <v>6865999</v>
      </c>
      <c r="M17" s="200">
        <v>45055</v>
      </c>
      <c r="AE17" s="163"/>
      <c r="AF17" s="201">
        <v>0</v>
      </c>
      <c r="AH17" s="163"/>
      <c r="AI17" s="163"/>
      <c r="AJ17" s="163"/>
      <c r="AK17" s="163"/>
    </row>
    <row r="18" spans="1:37" s="172" customFormat="1" ht="13.8" hidden="1" x14ac:dyDescent="0.3">
      <c r="A18" s="252">
        <v>8</v>
      </c>
      <c r="B18" s="196">
        <v>46152</v>
      </c>
      <c r="C18" s="197">
        <v>0</v>
      </c>
      <c r="D18" s="197">
        <f t="shared" ca="1" si="0"/>
        <v>0</v>
      </c>
      <c r="E18" s="198">
        <v>0</v>
      </c>
      <c r="F18" s="201">
        <v>0</v>
      </c>
      <c r="G18" s="193"/>
      <c r="H18" s="163"/>
      <c r="I18" s="197">
        <v>0</v>
      </c>
      <c r="J18" s="197">
        <v>0</v>
      </c>
      <c r="K18" s="163">
        <f t="shared" ca="1" si="1"/>
        <v>0</v>
      </c>
      <c r="L18" s="163">
        <f t="shared" ca="1" si="2"/>
        <v>0</v>
      </c>
      <c r="M18" s="200">
        <v>45056</v>
      </c>
      <c r="AE18" s="163"/>
      <c r="AF18" s="201">
        <v>0</v>
      </c>
      <c r="AH18" s="163"/>
      <c r="AI18" s="163"/>
      <c r="AJ18" s="163"/>
      <c r="AK18" s="163"/>
    </row>
    <row r="19" spans="1:37" s="172" customFormat="1" ht="13.8" x14ac:dyDescent="0.3">
      <c r="A19" s="252">
        <v>9</v>
      </c>
      <c r="B19" s="196">
        <v>46153</v>
      </c>
      <c r="C19" s="197">
        <v>0</v>
      </c>
      <c r="D19" s="197">
        <f t="shared" ca="1" si="0"/>
        <v>0</v>
      </c>
      <c r="E19" s="198">
        <v>0</v>
      </c>
      <c r="F19" s="201">
        <v>0</v>
      </c>
      <c r="G19" s="193"/>
      <c r="H19" s="163"/>
      <c r="I19" s="197">
        <v>0</v>
      </c>
      <c r="J19" s="197">
        <v>0</v>
      </c>
      <c r="K19" s="163">
        <f t="shared" ca="1" si="1"/>
        <v>0</v>
      </c>
      <c r="L19" s="163">
        <f t="shared" ca="1" si="2"/>
        <v>0</v>
      </c>
      <c r="M19" s="200">
        <v>45057</v>
      </c>
      <c r="T19" s="200"/>
      <c r="AE19" s="163"/>
      <c r="AF19" s="201">
        <v>0</v>
      </c>
      <c r="AH19" s="163"/>
      <c r="AI19" s="163"/>
      <c r="AJ19" s="163"/>
      <c r="AK19" s="163"/>
    </row>
    <row r="20" spans="1:37" s="172" customFormat="1" ht="13.8" x14ac:dyDescent="0.3">
      <c r="A20" s="252">
        <v>10</v>
      </c>
      <c r="B20" s="196">
        <v>46154</v>
      </c>
      <c r="C20" s="197">
        <v>0</v>
      </c>
      <c r="D20" s="197">
        <f t="shared" ca="1" si="0"/>
        <v>0</v>
      </c>
      <c r="E20" s="198">
        <v>0</v>
      </c>
      <c r="F20" s="201">
        <v>0</v>
      </c>
      <c r="G20" s="193"/>
      <c r="H20" s="163"/>
      <c r="I20" s="197">
        <v>19090565.399999999</v>
      </c>
      <c r="J20" s="197">
        <v>26755176.399999999</v>
      </c>
      <c r="K20" s="163">
        <f t="shared" ca="1" si="1"/>
        <v>-19090565.399999999</v>
      </c>
      <c r="L20" s="163">
        <f t="shared" ca="1" si="2"/>
        <v>26755176.399999999</v>
      </c>
      <c r="M20" s="200">
        <v>45058</v>
      </c>
      <c r="AE20" s="163"/>
      <c r="AF20" s="201">
        <v>0</v>
      </c>
      <c r="AH20" s="163"/>
      <c r="AI20" s="163"/>
      <c r="AJ20" s="163"/>
      <c r="AK20" s="163"/>
    </row>
    <row r="21" spans="1:37" s="172" customFormat="1" ht="14.1" customHeight="1" x14ac:dyDescent="0.3">
      <c r="A21" s="252"/>
      <c r="B21" s="196">
        <v>46155</v>
      </c>
      <c r="C21" s="197">
        <v>0</v>
      </c>
      <c r="D21" s="197">
        <f t="shared" ca="1" si="0"/>
        <v>0</v>
      </c>
      <c r="E21" s="198">
        <v>0</v>
      </c>
      <c r="F21" s="201">
        <v>0</v>
      </c>
      <c r="G21" s="193"/>
      <c r="H21" s="163"/>
      <c r="I21" s="197">
        <v>0</v>
      </c>
      <c r="J21" s="197">
        <v>0</v>
      </c>
      <c r="K21" s="163">
        <f t="shared" ca="1" si="1"/>
        <v>0</v>
      </c>
      <c r="L21" s="163">
        <f t="shared" ca="1" si="2"/>
        <v>0</v>
      </c>
      <c r="M21" s="200">
        <v>45059</v>
      </c>
      <c r="AF21" s="201">
        <v>0</v>
      </c>
      <c r="AH21" s="163"/>
      <c r="AI21" s="163"/>
      <c r="AJ21" s="163"/>
      <c r="AK21" s="163"/>
    </row>
    <row r="22" spans="1:37" s="172" customFormat="1" ht="13.8" x14ac:dyDescent="0.3">
      <c r="A22" s="252"/>
      <c r="B22" s="196">
        <v>46156</v>
      </c>
      <c r="C22" s="197">
        <v>0</v>
      </c>
      <c r="D22" s="197">
        <f t="shared" ca="1" si="0"/>
        <v>0</v>
      </c>
      <c r="E22" s="198">
        <v>0</v>
      </c>
      <c r="F22" s="201">
        <v>0</v>
      </c>
      <c r="G22" s="193"/>
      <c r="I22" s="197">
        <v>0</v>
      </c>
      <c r="J22" s="197">
        <v>0</v>
      </c>
      <c r="K22" s="163">
        <f t="shared" ca="1" si="1"/>
        <v>0</v>
      </c>
      <c r="L22" s="163">
        <f t="shared" ca="1" si="2"/>
        <v>0</v>
      </c>
      <c r="M22" s="200">
        <v>45060</v>
      </c>
      <c r="AF22" s="201">
        <v>0</v>
      </c>
      <c r="AH22" s="163"/>
      <c r="AI22" s="163"/>
      <c r="AJ22" s="163"/>
      <c r="AK22" s="163"/>
    </row>
    <row r="23" spans="1:37" s="172" customFormat="1" ht="13.8" x14ac:dyDescent="0.3">
      <c r="A23" s="252">
        <v>11</v>
      </c>
      <c r="B23" s="196">
        <v>46157</v>
      </c>
      <c r="C23" s="197">
        <v>0</v>
      </c>
      <c r="D23" s="197">
        <f t="shared" ca="1" si="0"/>
        <v>0</v>
      </c>
      <c r="E23" s="198">
        <v>0</v>
      </c>
      <c r="F23" s="201">
        <v>0</v>
      </c>
      <c r="G23" s="193"/>
      <c r="I23" s="197">
        <v>0</v>
      </c>
      <c r="J23" s="197">
        <v>0</v>
      </c>
      <c r="K23" s="163">
        <f t="shared" ca="1" si="1"/>
        <v>0</v>
      </c>
      <c r="L23" s="163">
        <f t="shared" ca="1" si="2"/>
        <v>0</v>
      </c>
      <c r="M23" s="200">
        <v>45061</v>
      </c>
      <c r="AE23" s="163"/>
      <c r="AF23" s="201">
        <v>0</v>
      </c>
      <c r="AH23" s="163"/>
      <c r="AI23" s="163"/>
      <c r="AJ23" s="163"/>
      <c r="AK23" s="163"/>
    </row>
    <row r="24" spans="1:37" s="172" customFormat="1" ht="13.8" hidden="1" x14ac:dyDescent="0.3">
      <c r="A24" s="252">
        <v>12</v>
      </c>
      <c r="B24" s="196">
        <v>46158</v>
      </c>
      <c r="C24" s="197">
        <v>0</v>
      </c>
      <c r="D24" s="197">
        <f t="shared" ca="1" si="0"/>
        <v>0</v>
      </c>
      <c r="E24" s="198">
        <v>0</v>
      </c>
      <c r="F24" s="201">
        <v>0</v>
      </c>
      <c r="G24" s="193"/>
      <c r="I24" s="197">
        <v>0</v>
      </c>
      <c r="J24" s="197">
        <v>0</v>
      </c>
      <c r="K24" s="163">
        <f t="shared" ca="1" si="1"/>
        <v>0</v>
      </c>
      <c r="L24" s="163">
        <f t="shared" ca="1" si="2"/>
        <v>0</v>
      </c>
      <c r="M24" s="200">
        <v>45062</v>
      </c>
      <c r="AE24" s="163"/>
      <c r="AF24" s="201">
        <v>0</v>
      </c>
      <c r="AH24" s="163"/>
      <c r="AI24" s="163"/>
      <c r="AJ24" s="163"/>
      <c r="AK24" s="163"/>
    </row>
    <row r="25" spans="1:37" s="172" customFormat="1" ht="13.8" hidden="1" x14ac:dyDescent="0.3">
      <c r="A25" s="252">
        <v>13</v>
      </c>
      <c r="B25" s="196">
        <v>46159</v>
      </c>
      <c r="C25" s="197">
        <v>0</v>
      </c>
      <c r="D25" s="197">
        <f t="shared" ca="1" si="0"/>
        <v>0</v>
      </c>
      <c r="E25" s="198">
        <v>0</v>
      </c>
      <c r="F25" s="201">
        <v>0</v>
      </c>
      <c r="G25" s="193"/>
      <c r="I25" s="197">
        <v>0</v>
      </c>
      <c r="J25" s="197">
        <v>0</v>
      </c>
      <c r="K25" s="163">
        <f t="shared" ca="1" si="1"/>
        <v>0</v>
      </c>
      <c r="L25" s="163">
        <f t="shared" ca="1" si="2"/>
        <v>0</v>
      </c>
      <c r="M25" s="200">
        <v>45063</v>
      </c>
      <c r="V25" s="172">
        <f ca="1">SUM(V23,V17)</f>
        <v>0</v>
      </c>
      <c r="AE25" s="163"/>
      <c r="AF25" s="201">
        <v>0</v>
      </c>
      <c r="AG25" s="204"/>
      <c r="AH25" s="163"/>
      <c r="AI25" s="163"/>
      <c r="AJ25" s="163"/>
      <c r="AK25" s="163"/>
    </row>
    <row r="26" spans="1:37" s="172" customFormat="1" ht="13.8" x14ac:dyDescent="0.3">
      <c r="A26" s="252">
        <v>14</v>
      </c>
      <c r="B26" s="196">
        <v>46160</v>
      </c>
      <c r="C26" s="197">
        <v>0</v>
      </c>
      <c r="D26" s="197">
        <f t="shared" ca="1" si="0"/>
        <v>0</v>
      </c>
      <c r="E26" s="198">
        <v>0</v>
      </c>
      <c r="F26" s="201">
        <v>0</v>
      </c>
      <c r="G26" s="193"/>
      <c r="I26" s="197">
        <v>0</v>
      </c>
      <c r="J26" s="197">
        <v>0</v>
      </c>
      <c r="K26" s="163">
        <f t="shared" ca="1" si="1"/>
        <v>0</v>
      </c>
      <c r="L26" s="163">
        <f t="shared" ca="1" si="2"/>
        <v>0</v>
      </c>
      <c r="M26" s="200">
        <v>45064</v>
      </c>
      <c r="AE26" s="163"/>
      <c r="AF26" s="201">
        <v>0</v>
      </c>
      <c r="AG26" s="204"/>
      <c r="AH26" s="163"/>
      <c r="AJ26" s="163"/>
      <c r="AK26" s="163"/>
    </row>
    <row r="27" spans="1:37" s="172" customFormat="1" ht="13.8" x14ac:dyDescent="0.3">
      <c r="A27" s="252">
        <v>15</v>
      </c>
      <c r="B27" s="196">
        <v>46161</v>
      </c>
      <c r="C27" s="197">
        <v>0</v>
      </c>
      <c r="D27" s="197">
        <f t="shared" ca="1" si="0"/>
        <v>0</v>
      </c>
      <c r="E27" s="198">
        <v>0</v>
      </c>
      <c r="F27" s="201">
        <v>0</v>
      </c>
      <c r="G27" s="193"/>
      <c r="I27" s="197"/>
      <c r="J27" s="197"/>
      <c r="K27" s="163"/>
      <c r="L27" s="163"/>
      <c r="M27" s="200"/>
      <c r="AE27" s="163"/>
      <c r="AF27" s="201">
        <v>0</v>
      </c>
      <c r="AG27" s="204"/>
      <c r="AH27" s="163"/>
      <c r="AJ27" s="163"/>
      <c r="AK27" s="163"/>
    </row>
    <row r="28" spans="1:37" s="172" customFormat="1" ht="13.8" x14ac:dyDescent="0.3">
      <c r="A28" s="252"/>
      <c r="B28" s="196">
        <v>46162</v>
      </c>
      <c r="C28" s="197">
        <v>0</v>
      </c>
      <c r="D28" s="197">
        <f t="shared" ca="1" si="0"/>
        <v>0</v>
      </c>
      <c r="E28" s="198">
        <v>0</v>
      </c>
      <c r="F28" s="201">
        <v>0</v>
      </c>
      <c r="G28" s="193"/>
      <c r="I28" s="197"/>
      <c r="J28" s="197"/>
      <c r="K28" s="163"/>
      <c r="L28" s="163"/>
      <c r="M28" s="200"/>
      <c r="AE28" s="163"/>
      <c r="AF28" s="201">
        <v>0</v>
      </c>
      <c r="AG28" s="204"/>
      <c r="AH28" s="163"/>
      <c r="AJ28" s="163"/>
      <c r="AK28" s="163"/>
    </row>
    <row r="29" spans="1:37" s="172" customFormat="1" ht="13.8" x14ac:dyDescent="0.3">
      <c r="A29" s="252"/>
      <c r="B29" s="196">
        <v>46163</v>
      </c>
      <c r="C29" s="197">
        <v>0</v>
      </c>
      <c r="D29" s="197">
        <f t="shared" ca="1" si="0"/>
        <v>0</v>
      </c>
      <c r="E29" s="198">
        <v>0</v>
      </c>
      <c r="F29" s="201">
        <v>0</v>
      </c>
      <c r="G29" s="193"/>
      <c r="I29" s="197"/>
      <c r="J29" s="197"/>
      <c r="K29" s="163"/>
      <c r="L29" s="163"/>
      <c r="M29" s="200"/>
      <c r="AE29" s="163"/>
      <c r="AF29" s="201">
        <v>0</v>
      </c>
      <c r="AG29" s="204"/>
      <c r="AH29" s="163"/>
      <c r="AJ29" s="163"/>
      <c r="AK29" s="163"/>
    </row>
    <row r="30" spans="1:37" s="172" customFormat="1" ht="13.8" x14ac:dyDescent="0.3">
      <c r="A30" s="252">
        <v>16</v>
      </c>
      <c r="B30" s="196">
        <v>46164</v>
      </c>
      <c r="C30" s="197">
        <v>0</v>
      </c>
      <c r="D30" s="197">
        <f t="shared" ca="1" si="0"/>
        <v>0</v>
      </c>
      <c r="E30" s="198">
        <v>0</v>
      </c>
      <c r="F30" s="201">
        <v>0</v>
      </c>
      <c r="G30" s="193"/>
      <c r="I30" s="197"/>
      <c r="J30" s="197"/>
      <c r="K30" s="163"/>
      <c r="L30" s="163"/>
      <c r="M30" s="200"/>
      <c r="AE30" s="163"/>
      <c r="AF30" s="201">
        <v>0</v>
      </c>
      <c r="AG30" s="204"/>
      <c r="AH30" s="163"/>
      <c r="AJ30" s="163"/>
      <c r="AK30" s="163"/>
    </row>
    <row r="31" spans="1:37" s="172" customFormat="1" ht="13.8" hidden="1" x14ac:dyDescent="0.3">
      <c r="A31" s="252">
        <v>17</v>
      </c>
      <c r="B31" s="196">
        <v>46165</v>
      </c>
      <c r="C31" s="197">
        <v>0</v>
      </c>
      <c r="D31" s="197">
        <f t="shared" ca="1" si="0"/>
        <v>0</v>
      </c>
      <c r="E31" s="198">
        <v>0</v>
      </c>
      <c r="F31" s="201">
        <v>0</v>
      </c>
      <c r="G31" s="193"/>
      <c r="I31" s="197"/>
      <c r="J31" s="197"/>
      <c r="K31" s="163"/>
      <c r="L31" s="163"/>
      <c r="M31" s="200"/>
      <c r="AE31" s="207"/>
      <c r="AF31" s="203">
        <v>0</v>
      </c>
      <c r="AG31" s="204"/>
      <c r="AH31" s="163"/>
      <c r="AJ31" s="163"/>
      <c r="AK31" s="163"/>
    </row>
    <row r="32" spans="1:37" s="172" customFormat="1" ht="13.8" hidden="1" x14ac:dyDescent="0.3">
      <c r="A32" s="252">
        <v>18</v>
      </c>
      <c r="B32" s="196">
        <v>46166</v>
      </c>
      <c r="C32" s="197">
        <v>0</v>
      </c>
      <c r="D32" s="197">
        <f t="shared" ca="1" si="0"/>
        <v>0</v>
      </c>
      <c r="E32" s="198">
        <v>0</v>
      </c>
      <c r="F32" s="201">
        <v>0</v>
      </c>
      <c r="G32" s="193"/>
      <c r="I32" s="197"/>
      <c r="J32" s="197"/>
      <c r="K32" s="163"/>
      <c r="L32" s="163"/>
      <c r="M32" s="200"/>
      <c r="AE32" s="163"/>
      <c r="AF32" s="201">
        <v>0</v>
      </c>
      <c r="AG32" s="204"/>
      <c r="AH32" s="163"/>
      <c r="AJ32" s="163"/>
      <c r="AK32" s="163"/>
    </row>
    <row r="33" spans="1:37" s="172" customFormat="1" ht="13.8" x14ac:dyDescent="0.3">
      <c r="A33" s="252">
        <v>19</v>
      </c>
      <c r="B33" s="196">
        <v>46167</v>
      </c>
      <c r="C33" s="197">
        <v>0</v>
      </c>
      <c r="D33" s="197">
        <f t="shared" ca="1" si="0"/>
        <v>0</v>
      </c>
      <c r="E33" s="198">
        <v>0</v>
      </c>
      <c r="F33" s="201">
        <v>0</v>
      </c>
      <c r="G33" s="193"/>
      <c r="H33" s="163"/>
      <c r="I33" s="197"/>
      <c r="J33" s="197"/>
      <c r="K33" s="163"/>
      <c r="L33" s="163"/>
      <c r="M33" s="200"/>
      <c r="AE33" s="163"/>
      <c r="AF33" s="201">
        <v>0</v>
      </c>
      <c r="AG33" s="204"/>
      <c r="AH33" s="163"/>
      <c r="AJ33" s="163"/>
      <c r="AK33" s="163"/>
    </row>
    <row r="34" spans="1:37" s="172" customFormat="1" ht="13.8" hidden="1" x14ac:dyDescent="0.3">
      <c r="A34" s="252">
        <v>20</v>
      </c>
      <c r="B34" s="196">
        <v>46168</v>
      </c>
      <c r="C34" s="197">
        <v>0</v>
      </c>
      <c r="D34" s="197">
        <f t="shared" ca="1" si="0"/>
        <v>0</v>
      </c>
      <c r="E34" s="198">
        <v>0</v>
      </c>
      <c r="F34" s="201">
        <v>0</v>
      </c>
      <c r="G34" s="193"/>
      <c r="I34" s="197"/>
      <c r="J34" s="197"/>
      <c r="K34" s="163"/>
      <c r="L34" s="163"/>
      <c r="M34" s="200"/>
      <c r="AE34" s="163"/>
      <c r="AF34" s="201">
        <v>0</v>
      </c>
      <c r="AH34" s="163"/>
      <c r="AJ34" s="163"/>
      <c r="AK34" s="163"/>
    </row>
    <row r="35" spans="1:37" s="172" customFormat="1" ht="13.8" hidden="1" x14ac:dyDescent="0.3">
      <c r="A35" s="252"/>
      <c r="B35" s="196">
        <v>46169</v>
      </c>
      <c r="C35" s="197">
        <v>0</v>
      </c>
      <c r="D35" s="197">
        <f t="shared" ca="1" si="0"/>
        <v>0</v>
      </c>
      <c r="E35" s="198">
        <v>0</v>
      </c>
      <c r="F35" s="201">
        <v>0</v>
      </c>
      <c r="G35" s="193"/>
      <c r="I35" s="163">
        <v>0</v>
      </c>
      <c r="J35" s="163">
        <v>0</v>
      </c>
      <c r="K35" s="163">
        <f ca="1">C35-I35</f>
        <v>0</v>
      </c>
      <c r="L35" s="163">
        <f ca="1">J35-D35</f>
        <v>0</v>
      </c>
      <c r="M35" s="200">
        <v>45071</v>
      </c>
      <c r="AF35" s="201">
        <v>0</v>
      </c>
      <c r="AH35" s="163"/>
      <c r="AJ35" s="163"/>
      <c r="AK35" s="163"/>
    </row>
    <row r="36" spans="1:37" s="172" customFormat="1" ht="13.8" hidden="1" x14ac:dyDescent="0.3">
      <c r="A36" s="252"/>
      <c r="B36" s="196">
        <v>46170</v>
      </c>
      <c r="C36" s="197">
        <v>0</v>
      </c>
      <c r="D36" s="197">
        <f t="shared" ca="1" si="0"/>
        <v>0</v>
      </c>
      <c r="E36" s="198">
        <v>0</v>
      </c>
      <c r="F36" s="201">
        <v>0</v>
      </c>
      <c r="G36" s="193"/>
      <c r="H36" s="163"/>
      <c r="I36" s="163">
        <v>0</v>
      </c>
      <c r="J36" s="163" t="s">
        <v>36</v>
      </c>
      <c r="K36" s="163">
        <f ca="1">C36-I36</f>
        <v>0</v>
      </c>
      <c r="L36" s="163" t="e">
        <f ca="1">J36-D36</f>
        <v>#VALUE!</v>
      </c>
      <c r="M36" s="200">
        <v>45071</v>
      </c>
      <c r="AF36" s="201">
        <v>0</v>
      </c>
      <c r="AH36" s="163"/>
      <c r="AJ36" s="163"/>
      <c r="AK36" s="163"/>
    </row>
    <row r="37" spans="1:37" s="172" customFormat="1" ht="13.8" hidden="1" x14ac:dyDescent="0.3">
      <c r="A37" s="252">
        <v>21</v>
      </c>
      <c r="B37" s="196">
        <v>46171</v>
      </c>
      <c r="C37" s="197">
        <v>0</v>
      </c>
      <c r="D37" s="197">
        <f t="shared" ca="1" si="0"/>
        <v>0</v>
      </c>
      <c r="E37" s="198">
        <v>0</v>
      </c>
      <c r="F37" s="201">
        <v>0</v>
      </c>
      <c r="G37" s="255"/>
      <c r="I37" s="163">
        <v>18395700.949999999</v>
      </c>
      <c r="J37" s="163">
        <v>13990864</v>
      </c>
      <c r="K37" s="163">
        <f ca="1">C37-I37</f>
        <v>-18395700.949999999</v>
      </c>
      <c r="L37" s="163">
        <f ca="1">J37-D37</f>
        <v>13990864</v>
      </c>
      <c r="M37" s="200">
        <v>45075</v>
      </c>
      <c r="AE37" s="163"/>
      <c r="AF37" s="201">
        <v>0</v>
      </c>
      <c r="AH37" s="163"/>
      <c r="AJ37" s="163"/>
      <c r="AK37" s="163"/>
    </row>
    <row r="38" spans="1:37" s="172" customFormat="1" ht="13.8" hidden="1" x14ac:dyDescent="0.3">
      <c r="A38" s="252">
        <v>22</v>
      </c>
      <c r="B38" s="196">
        <v>46172</v>
      </c>
      <c r="C38" s="197">
        <v>0</v>
      </c>
      <c r="D38" s="197">
        <f t="shared" ca="1" si="0"/>
        <v>0</v>
      </c>
      <c r="E38" s="198">
        <v>0</v>
      </c>
      <c r="F38" s="201">
        <v>0</v>
      </c>
      <c r="G38" s="193"/>
      <c r="I38" s="163">
        <v>17773941</v>
      </c>
      <c r="J38" s="163">
        <v>873706</v>
      </c>
      <c r="K38" s="163"/>
      <c r="L38" s="163"/>
      <c r="AE38" s="163"/>
      <c r="AF38" s="201">
        <v>0</v>
      </c>
      <c r="AH38" s="163"/>
      <c r="AJ38" s="163"/>
      <c r="AK38" s="163"/>
    </row>
    <row r="39" spans="1:37" s="172" customFormat="1" ht="13.8" hidden="1" x14ac:dyDescent="0.3">
      <c r="A39" s="256">
        <v>23</v>
      </c>
      <c r="B39" s="209">
        <v>46173</v>
      </c>
      <c r="C39" s="197">
        <v>0</v>
      </c>
      <c r="D39" s="197">
        <f t="shared" ca="1" si="0"/>
        <v>0</v>
      </c>
      <c r="E39" s="198">
        <v>0</v>
      </c>
      <c r="F39" s="201">
        <v>0</v>
      </c>
      <c r="G39" s="193"/>
      <c r="H39" s="193"/>
      <c r="I39" s="163"/>
      <c r="J39" s="163"/>
      <c r="K39" s="163"/>
      <c r="L39" s="163"/>
      <c r="AE39" s="163"/>
      <c r="AF39" s="201">
        <v>0</v>
      </c>
      <c r="AH39" s="163"/>
      <c r="AJ39" s="163"/>
      <c r="AK39" s="163"/>
    </row>
    <row r="40" spans="1:37" s="172" customFormat="1" x14ac:dyDescent="0.3">
      <c r="A40" s="211" t="s">
        <v>81</v>
      </c>
      <c r="B40" s="211"/>
      <c r="C40" s="212">
        <f ca="1">SUM(C9:C39)</f>
        <v>34817851.600000001</v>
      </c>
      <c r="D40" s="212">
        <f ca="1">SUM(D9:D39)</f>
        <v>92.999999999068677</v>
      </c>
      <c r="E40" s="213">
        <f ca="1">SUM(E9:E39)</f>
        <v>34817944.600000001</v>
      </c>
      <c r="F40" s="215">
        <f ca="1">SUM(F9:F39)</f>
        <v>2000</v>
      </c>
      <c r="G40" s="193"/>
      <c r="H40" s="193"/>
      <c r="I40" s="163"/>
      <c r="J40" s="163"/>
      <c r="K40" s="163"/>
      <c r="L40" s="163"/>
      <c r="P40" s="163"/>
      <c r="AE40" s="163"/>
      <c r="AF40" s="215">
        <f ca="1">SUM(AF9:AF39)</f>
        <v>1954583.93</v>
      </c>
      <c r="AH40" s="163"/>
      <c r="AI40" s="271"/>
      <c r="AJ40" s="193"/>
    </row>
    <row r="41" spans="1:37" ht="10.35" customHeight="1" x14ac:dyDescent="0.3">
      <c r="A41" s="258"/>
      <c r="B41" s="217"/>
      <c r="C41" s="217"/>
      <c r="D41" s="217"/>
      <c r="E41" s="217"/>
      <c r="F41" s="259"/>
    </row>
    <row r="42" spans="1:37" ht="14.1" customHeight="1" x14ac:dyDescent="0.3">
      <c r="A42" s="220" t="s">
        <v>82</v>
      </c>
      <c r="B42" s="220"/>
      <c r="C42" s="220"/>
      <c r="D42" s="220"/>
      <c r="E42" s="220"/>
      <c r="F42" s="220"/>
      <c r="G42" s="193"/>
      <c r="AE42" s="44"/>
    </row>
    <row r="43" spans="1:37" x14ac:dyDescent="0.3">
      <c r="A43" s="243" t="s">
        <v>83</v>
      </c>
      <c r="B43" s="174"/>
      <c r="C43" s="222" t="s">
        <v>74</v>
      </c>
      <c r="D43" s="222" t="s">
        <v>75</v>
      </c>
      <c r="E43" s="222" t="s">
        <v>18</v>
      </c>
      <c r="F43" s="261"/>
      <c r="G43" s="44"/>
      <c r="AE43" s="44"/>
      <c r="AF43" s="44"/>
      <c r="AG43" s="44"/>
      <c r="AI43" s="240"/>
    </row>
    <row r="44" spans="1:37" x14ac:dyDescent="0.3">
      <c r="A44" s="263" t="s">
        <v>84</v>
      </c>
      <c r="B44" s="225"/>
      <c r="C44" s="188">
        <f ca="1">C47-C45</f>
        <v>614950596.10430491</v>
      </c>
      <c r="D44" s="188">
        <f ca="1">D47-D45</f>
        <v>71596037.321473628</v>
      </c>
      <c r="E44" s="189">
        <f ca="1">D44+C44</f>
        <v>686546633.42577851</v>
      </c>
      <c r="F44" s="261"/>
      <c r="G44" s="44"/>
      <c r="AE44" s="44"/>
      <c r="AF44" s="44"/>
    </row>
    <row r="45" spans="1:37" x14ac:dyDescent="0.3">
      <c r="A45" s="265" t="s">
        <v>85</v>
      </c>
      <c r="B45" s="228"/>
      <c r="C45" s="188">
        <f ca="1">C40</f>
        <v>34817851.600000001</v>
      </c>
      <c r="D45" s="188">
        <f ca="1">D40</f>
        <v>92.999999999068677</v>
      </c>
      <c r="E45" s="189">
        <f ca="1">D45+C45</f>
        <v>34817944.600000001</v>
      </c>
      <c r="F45" s="261"/>
      <c r="AE45" s="44"/>
      <c r="AF45" s="44"/>
    </row>
    <row r="46" spans="1:37" x14ac:dyDescent="0.3">
      <c r="A46" s="266" t="s">
        <v>86</v>
      </c>
      <c r="B46" s="231"/>
      <c r="C46" s="232">
        <v>636109729.8705883</v>
      </c>
      <c r="D46" s="232">
        <v>250383088.2352941</v>
      </c>
      <c r="E46" s="233">
        <f ca="1">D46+C46</f>
        <v>886492818.10588241</v>
      </c>
      <c r="F46" s="261"/>
      <c r="AE46" s="44"/>
      <c r="AF46" s="44"/>
    </row>
    <row r="47" spans="1:37" x14ac:dyDescent="0.3">
      <c r="A47" s="267" t="s">
        <v>87</v>
      </c>
      <c r="B47" s="268"/>
      <c r="C47" s="269">
        <v>649768447.70430493</v>
      </c>
      <c r="D47" s="269">
        <v>71596130.321473628</v>
      </c>
      <c r="E47" s="269">
        <f ca="1">D47+C47</f>
        <v>721364578.02577853</v>
      </c>
      <c r="F47" s="270"/>
      <c r="AF47" s="44"/>
    </row>
    <row r="49" spans="7:33" x14ac:dyDescent="0.3">
      <c r="G49" s="44"/>
      <c r="AF49" s="44"/>
    </row>
    <row r="52" spans="7:33" x14ac:dyDescent="0.3">
      <c r="G52" s="44"/>
      <c r="AF52" s="44"/>
    </row>
    <row r="53" spans="7:33" x14ac:dyDescent="0.3">
      <c r="AF53" s="239"/>
      <c r="AG53" s="240"/>
    </row>
    <row r="55" spans="7:33" hidden="1" x14ac:dyDescent="0.3"/>
    <row r="171" spans="12:12" hidden="1" x14ac:dyDescent="0.3"/>
    <row r="172" spans="12:12" x14ac:dyDescent="0.3">
      <c r="L172" s="161">
        <v>0</v>
      </c>
    </row>
  </sheetData>
  <mergeCells count="14">
    <mergeCell ref="A41:F41"/>
    <mergeCell ref="A42:F42"/>
    <mergeCell ref="A43:B43"/>
    <mergeCell ref="F43:F47"/>
    <mergeCell ref="A44:B44"/>
    <mergeCell ref="A45:B45"/>
    <mergeCell ref="A46:B46"/>
    <mergeCell ref="A47:B47"/>
    <mergeCell ref="B1:F1"/>
    <mergeCell ref="B2:F2"/>
    <mergeCell ref="A4:B4"/>
    <mergeCell ref="A5:B5"/>
    <mergeCell ref="A6:B6"/>
    <mergeCell ref="A40:B40"/>
  </mergeCells>
  <pageMargins left="0.70866141732283461" right="0.70866141732283461" top="0.55118110236220474" bottom="0.55118110236220474" header="0.31496062992125984" footer="0.31496062992125984"/>
  <pageSetup paperSize="9" orientation="landscape" r:id="rId1"/>
  <headerFooter alignWithMargins="0">
    <oddHeader>&amp;LSOBHA LLC&amp;R&amp;D</oddHeader>
    <oddFooter>&amp;LCOLLECTIONS&amp;R&amp;P/&amp;N</oddFooter>
  </headerFooter>
  <colBreaks count="4" manualBreakCount="4">
    <brk id="9" max="1048575" man="1"/>
    <brk id="16" max="1048575" man="1"/>
    <brk id="19" max="1048575" man="1"/>
    <brk id="2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DCB1-02E8-4E1B-8CBE-EFF29A8FE151}">
  <sheetPr>
    <tabColor rgb="FFFF0000"/>
    <pageSetUpPr fitToPage="1"/>
  </sheetPr>
  <dimension ref="A1:AK172"/>
  <sheetViews>
    <sheetView view="pageBreakPreview" topLeftCell="B2" zoomScale="70" zoomScaleNormal="70" zoomScaleSheetLayoutView="70" workbookViewId="0">
      <selection activeCell="E19" sqref="E19"/>
    </sheetView>
  </sheetViews>
  <sheetFormatPr defaultRowHeight="14.4" x14ac:dyDescent="0.3"/>
  <cols>
    <col min="1" max="1" width="6.5546875" hidden="1" customWidth="1"/>
    <col min="2" max="2" width="36.44140625" customWidth="1"/>
    <col min="3" max="3" width="22.5546875" customWidth="1"/>
    <col min="4" max="4" width="29" customWidth="1"/>
    <col min="5" max="5" width="26.44140625" customWidth="1"/>
    <col min="6" max="6" width="14.33203125" bestFit="1" customWidth="1"/>
    <col min="7" max="7" width="15" bestFit="1" customWidth="1"/>
    <col min="8" max="8" width="14.5546875" hidden="1" customWidth="1"/>
    <col min="9" max="9" width="12.5546875" style="161" hidden="1" customWidth="1"/>
    <col min="10" max="10" width="12.44140625" style="161" hidden="1" customWidth="1"/>
    <col min="11" max="11" width="13.44140625" style="161" hidden="1" customWidth="1"/>
    <col min="12" max="12" width="11.44140625" style="161" hidden="1" customWidth="1"/>
    <col min="13" max="13" width="20.44140625" hidden="1" customWidth="1"/>
    <col min="14" max="14" width="11" hidden="1" customWidth="1"/>
    <col min="15" max="15" width="8.5546875" hidden="1" customWidth="1"/>
    <col min="16" max="16" width="13.5546875" hidden="1" customWidth="1"/>
    <col min="17" max="18" width="8.5546875" hidden="1" customWidth="1"/>
    <col min="19" max="19" width="11.5546875" hidden="1" customWidth="1"/>
    <col min="20" max="20" width="12.44140625" hidden="1" customWidth="1"/>
    <col min="21" max="30" width="8.5546875" hidden="1" customWidth="1"/>
    <col min="31" max="31" width="13.5546875" bestFit="1" customWidth="1"/>
    <col min="32" max="32" width="14.33203125" bestFit="1" customWidth="1"/>
    <col min="33" max="33" width="11" bestFit="1" customWidth="1"/>
    <col min="34" max="34" width="12" style="163" bestFit="1" customWidth="1"/>
    <col min="35" max="35" width="12" bestFit="1" customWidth="1"/>
    <col min="36" max="36" width="10.5546875" bestFit="1" customWidth="1"/>
    <col min="40" max="40" width="12.44140625" bestFit="1" customWidth="1"/>
  </cols>
  <sheetData>
    <row r="1" spans="1:37" hidden="1" x14ac:dyDescent="0.3">
      <c r="B1" s="160"/>
      <c r="C1" s="160"/>
      <c r="D1" s="160"/>
      <c r="E1" s="160"/>
      <c r="F1" s="160"/>
      <c r="P1" s="93"/>
      <c r="T1" s="162"/>
      <c r="W1" s="93"/>
    </row>
    <row r="2" spans="1:37" x14ac:dyDescent="0.3">
      <c r="B2" s="241" t="str">
        <f ca="1">UPPER(_xlfn.CONCAT("DOWTOWN UAQ - ",TEXT(F3,"MMMM YYYY "),"COLLECTION SUMMARY"))</f>
        <v>DOWTOWN UAQ - MAY 2026 COLLECTION SUMMARY</v>
      </c>
      <c r="C2" s="241"/>
      <c r="D2" s="241"/>
      <c r="E2" s="241"/>
      <c r="F2" s="241"/>
      <c r="G2" s="167"/>
      <c r="H2" s="168"/>
    </row>
    <row r="3" spans="1:37" x14ac:dyDescent="0.3">
      <c r="E3" s="242" t="s">
        <v>72</v>
      </c>
      <c r="F3" s="167">
        <f ca="1">daily!F3</f>
        <v>46148</v>
      </c>
      <c r="G3" s="167"/>
      <c r="Y3" s="172"/>
    </row>
    <row r="4" spans="1:37" x14ac:dyDescent="0.3">
      <c r="A4" s="243"/>
      <c r="B4" s="174"/>
      <c r="C4" s="175" t="s">
        <v>74</v>
      </c>
      <c r="D4" s="175" t="s">
        <v>75</v>
      </c>
      <c r="E4" s="176" t="s">
        <v>18</v>
      </c>
      <c r="F4" s="244"/>
      <c r="T4" s="93"/>
      <c r="Y4" s="172"/>
    </row>
    <row r="5" spans="1:37" x14ac:dyDescent="0.3">
      <c r="A5" s="245" t="s">
        <v>76</v>
      </c>
      <c r="B5" s="179"/>
      <c r="C5" s="180">
        <v>14466981.689999998</v>
      </c>
      <c r="D5" s="180">
        <v>62500000</v>
      </c>
      <c r="E5" s="180">
        <f ca="1">SUM(C5:D5)</f>
        <v>76966981.689999998</v>
      </c>
      <c r="F5" s="246"/>
      <c r="Y5" s="172"/>
    </row>
    <row r="6" spans="1:37" x14ac:dyDescent="0.3">
      <c r="A6" s="247" t="s">
        <v>77</v>
      </c>
      <c r="B6" s="183"/>
      <c r="C6" s="184">
        <v>3403995.6917647053</v>
      </c>
      <c r="D6" s="184">
        <v>14705882.352941176</v>
      </c>
      <c r="E6" s="184">
        <f ca="1">SUM(C6:D6)</f>
        <v>18109878.044705883</v>
      </c>
      <c r="F6" s="248"/>
      <c r="Y6" s="172"/>
    </row>
    <row r="7" spans="1:37" hidden="1" x14ac:dyDescent="0.3">
      <c r="A7" s="249"/>
      <c r="B7" s="187"/>
      <c r="C7" s="188"/>
      <c r="D7" s="188"/>
      <c r="E7" s="189"/>
      <c r="F7" s="250"/>
      <c r="Y7" s="172"/>
    </row>
    <row r="8" spans="1:37" x14ac:dyDescent="0.3">
      <c r="A8" s="251" t="s">
        <v>78</v>
      </c>
      <c r="B8" s="192" t="s">
        <v>79</v>
      </c>
      <c r="C8" s="175" t="s">
        <v>74</v>
      </c>
      <c r="D8" s="175" t="s">
        <v>75</v>
      </c>
      <c r="E8" s="175" t="s">
        <v>18</v>
      </c>
      <c r="F8" s="244" t="s">
        <v>80</v>
      </c>
      <c r="I8" s="161" t="s">
        <v>88</v>
      </c>
      <c r="J8" s="161" t="s">
        <v>89</v>
      </c>
      <c r="Y8" s="172"/>
    </row>
    <row r="9" spans="1:37" s="172" customFormat="1" x14ac:dyDescent="0.3">
      <c r="A9" s="252">
        <v>1</v>
      </c>
      <c r="B9" s="196">
        <v>46143</v>
      </c>
      <c r="C9" s="197">
        <v>771683.17999999993</v>
      </c>
      <c r="D9" s="197">
        <f t="shared" ref="D9:D39" ca="1" si="0">E9-C9</f>
        <v>41223.790000000037</v>
      </c>
      <c r="E9" s="198">
        <v>812906.97</v>
      </c>
      <c r="F9" s="201">
        <v>0</v>
      </c>
      <c r="G9" s="193"/>
      <c r="H9" s="193"/>
      <c r="I9" s="197">
        <v>16996665</v>
      </c>
      <c r="J9" s="197">
        <v>6000000</v>
      </c>
      <c r="K9" s="163">
        <f t="shared" ref="K9:K26" ca="1" si="1">C9-I9</f>
        <v>-16224981.82</v>
      </c>
      <c r="L9" s="163">
        <f t="shared" ref="L9:L26" ca="1" si="2">J9-D9</f>
        <v>5958776.21</v>
      </c>
      <c r="M9" s="200">
        <v>45047</v>
      </c>
      <c r="W9"/>
      <c r="AE9" s="163"/>
      <c r="AF9" s="201">
        <v>518637.46</v>
      </c>
      <c r="AH9" s="163"/>
      <c r="AI9" s="163"/>
      <c r="AJ9" s="163"/>
      <c r="AK9" s="163"/>
    </row>
    <row r="10" spans="1:37" s="172" customFormat="1" hidden="1" x14ac:dyDescent="0.3">
      <c r="A10" s="252">
        <v>2</v>
      </c>
      <c r="B10" s="196">
        <v>46144</v>
      </c>
      <c r="C10" s="197">
        <v>0</v>
      </c>
      <c r="D10" s="197">
        <f t="shared" ca="1" si="0"/>
        <v>0</v>
      </c>
      <c r="E10" s="198">
        <v>0</v>
      </c>
      <c r="F10" s="201">
        <v>0</v>
      </c>
      <c r="G10" s="193"/>
      <c r="H10" s="193"/>
      <c r="I10" s="197">
        <v>13412361.630000001</v>
      </c>
      <c r="J10" s="197">
        <v>9041583.1999999974</v>
      </c>
      <c r="K10" s="163">
        <f t="shared" ca="1" si="1"/>
        <v>-13412361.630000001</v>
      </c>
      <c r="L10" s="163">
        <f t="shared" ca="1" si="2"/>
        <v>9041583.1999999974</v>
      </c>
      <c r="M10" s="200">
        <v>45048</v>
      </c>
      <c r="W10"/>
      <c r="AE10" s="163"/>
      <c r="AF10" s="201">
        <v>303910.96999999997</v>
      </c>
      <c r="AH10" s="163"/>
      <c r="AI10" s="163"/>
      <c r="AJ10" s="163"/>
      <c r="AK10" s="163"/>
    </row>
    <row r="11" spans="1:37" s="172" customFormat="1" hidden="1" x14ac:dyDescent="0.3">
      <c r="A11" s="252">
        <v>3</v>
      </c>
      <c r="B11" s="196">
        <v>46145</v>
      </c>
      <c r="C11" s="197">
        <v>0</v>
      </c>
      <c r="D11" s="197">
        <f t="shared" ca="1" si="0"/>
        <v>0</v>
      </c>
      <c r="E11" s="198">
        <v>0</v>
      </c>
      <c r="F11" s="201">
        <v>0</v>
      </c>
      <c r="G11" s="193"/>
      <c r="H11" s="193"/>
      <c r="I11" s="197">
        <v>0</v>
      </c>
      <c r="J11" s="197">
        <v>0</v>
      </c>
      <c r="K11" s="163">
        <f t="shared" ca="1" si="1"/>
        <v>0</v>
      </c>
      <c r="L11" s="163">
        <f t="shared" ca="1" si="2"/>
        <v>0</v>
      </c>
      <c r="M11" s="200">
        <v>45049</v>
      </c>
      <c r="N11" s="193"/>
      <c r="S11" s="201"/>
      <c r="W11"/>
      <c r="AF11" s="201">
        <v>0</v>
      </c>
      <c r="AH11" s="163"/>
      <c r="AI11" s="163"/>
      <c r="AJ11" s="163"/>
      <c r="AK11" s="163"/>
    </row>
    <row r="12" spans="1:37" s="172" customFormat="1" x14ac:dyDescent="0.3">
      <c r="A12" s="252">
        <v>4</v>
      </c>
      <c r="B12" s="196">
        <v>46146</v>
      </c>
      <c r="C12" s="197">
        <v>1254453.72</v>
      </c>
      <c r="D12" s="197">
        <f t="shared" ca="1" si="0"/>
        <v>1414166.7500000007</v>
      </c>
      <c r="E12" s="198">
        <v>2668620.4700000007</v>
      </c>
      <c r="F12" s="201">
        <v>0</v>
      </c>
      <c r="G12" s="193"/>
      <c r="H12" s="193"/>
      <c r="I12" s="197">
        <v>0</v>
      </c>
      <c r="J12" s="197">
        <v>0</v>
      </c>
      <c r="K12" s="163">
        <f t="shared" ca="1" si="1"/>
        <v>1254453.72</v>
      </c>
      <c r="L12" s="163">
        <f t="shared" ca="1" si="2"/>
        <v>-1414166.7500000007</v>
      </c>
      <c r="M12" s="200">
        <v>45050</v>
      </c>
      <c r="W12"/>
      <c r="AE12" s="163"/>
      <c r="AF12" s="201">
        <v>587342.5</v>
      </c>
      <c r="AH12" s="163"/>
      <c r="AI12" s="163"/>
      <c r="AJ12" s="163"/>
      <c r="AK12" s="163"/>
    </row>
    <row r="13" spans="1:37" s="172" customFormat="1" x14ac:dyDescent="0.3">
      <c r="A13" s="252">
        <v>5</v>
      </c>
      <c r="B13" s="196">
        <v>46147</v>
      </c>
      <c r="C13" s="197">
        <v>2400091.7599999998</v>
      </c>
      <c r="D13" s="197">
        <f t="shared" ca="1" si="0"/>
        <v>0</v>
      </c>
      <c r="E13" s="198">
        <v>2400091.7599999998</v>
      </c>
      <c r="F13" s="201">
        <v>0</v>
      </c>
      <c r="G13" s="193"/>
      <c r="H13" s="193"/>
      <c r="I13" s="197">
        <v>15087167.059999999</v>
      </c>
      <c r="J13" s="197">
        <v>19237054.190000001</v>
      </c>
      <c r="K13" s="163">
        <f t="shared" ca="1" si="1"/>
        <v>-12687075.299999999</v>
      </c>
      <c r="L13" s="163">
        <f t="shared" ca="1" si="2"/>
        <v>19237054.190000001</v>
      </c>
      <c r="M13" s="200">
        <v>45051</v>
      </c>
      <c r="W13"/>
      <c r="AE13" s="163"/>
      <c r="AF13" s="201">
        <v>194042</v>
      </c>
      <c r="AH13" s="163"/>
      <c r="AI13" s="163"/>
      <c r="AJ13" s="163"/>
      <c r="AK13" s="163"/>
    </row>
    <row r="14" spans="1:37" s="172" customFormat="1" ht="15" customHeight="1" x14ac:dyDescent="0.3">
      <c r="A14" s="252"/>
      <c r="B14" s="196">
        <v>46148</v>
      </c>
      <c r="C14" s="197">
        <v>1676401</v>
      </c>
      <c r="D14" s="197">
        <f t="shared" ca="1" si="0"/>
        <v>0</v>
      </c>
      <c r="E14" s="198">
        <v>1676401</v>
      </c>
      <c r="F14" s="201">
        <v>0</v>
      </c>
      <c r="G14" s="193"/>
      <c r="H14" s="193"/>
      <c r="I14" s="197">
        <v>13923731.020000001</v>
      </c>
      <c r="J14" s="197">
        <v>5403520.4199999999</v>
      </c>
      <c r="K14" s="163">
        <f t="shared" ca="1" si="1"/>
        <v>-12247330.020000001</v>
      </c>
      <c r="L14" s="163">
        <f t="shared" ca="1" si="2"/>
        <v>5403520.4199999999</v>
      </c>
      <c r="M14" s="200">
        <v>45052</v>
      </c>
      <c r="W14"/>
      <c r="AE14" s="163"/>
      <c r="AF14" s="201">
        <v>350651</v>
      </c>
      <c r="AH14" s="163"/>
      <c r="AI14" s="163"/>
      <c r="AJ14" s="163"/>
      <c r="AK14" s="163"/>
    </row>
    <row r="15" spans="1:37" s="172" customFormat="1" x14ac:dyDescent="0.3">
      <c r="A15" s="252"/>
      <c r="B15" s="196">
        <v>46149</v>
      </c>
      <c r="C15" s="197">
        <v>0</v>
      </c>
      <c r="D15" s="197">
        <f t="shared" ca="1" si="0"/>
        <v>0</v>
      </c>
      <c r="E15" s="198">
        <v>0</v>
      </c>
      <c r="F15" s="201">
        <v>0</v>
      </c>
      <c r="G15" s="193"/>
      <c r="H15" s="193"/>
      <c r="I15" s="197">
        <v>13995159.780000001</v>
      </c>
      <c r="J15" s="197">
        <v>11816133.899999999</v>
      </c>
      <c r="K15" s="163">
        <f t="shared" ca="1" si="1"/>
        <v>-13995159.780000001</v>
      </c>
      <c r="L15" s="163">
        <f t="shared" ca="1" si="2"/>
        <v>11816133.899999999</v>
      </c>
      <c r="M15" s="200">
        <v>45053</v>
      </c>
      <c r="W15"/>
      <c r="AE15" s="163"/>
      <c r="AF15" s="201">
        <v>0</v>
      </c>
      <c r="AH15" s="163"/>
      <c r="AI15" s="163"/>
      <c r="AJ15" s="163"/>
      <c r="AK15" s="163"/>
    </row>
    <row r="16" spans="1:37" s="172" customFormat="1" ht="13.8" x14ac:dyDescent="0.3">
      <c r="A16" s="252">
        <v>6</v>
      </c>
      <c r="B16" s="196">
        <v>46150</v>
      </c>
      <c r="C16" s="197">
        <v>0</v>
      </c>
      <c r="D16" s="197">
        <f t="shared" ca="1" si="0"/>
        <v>0</v>
      </c>
      <c r="E16" s="198">
        <v>0</v>
      </c>
      <c r="F16" s="201">
        <v>0</v>
      </c>
      <c r="G16" s="193"/>
      <c r="H16" s="193"/>
      <c r="I16" s="197">
        <v>15532677.310000001</v>
      </c>
      <c r="J16" s="197">
        <v>3059004.0000000019</v>
      </c>
      <c r="K16" s="163">
        <f t="shared" ca="1" si="1"/>
        <v>-15532677.310000001</v>
      </c>
      <c r="L16" s="163">
        <f t="shared" ca="1" si="2"/>
        <v>3059004.0000000019</v>
      </c>
      <c r="M16" s="200">
        <v>45054</v>
      </c>
      <c r="AE16" s="163"/>
      <c r="AF16" s="201">
        <v>0</v>
      </c>
      <c r="AH16" s="163"/>
      <c r="AI16" s="163"/>
      <c r="AJ16" s="163"/>
      <c r="AK16" s="163"/>
    </row>
    <row r="17" spans="1:37" s="172" customFormat="1" ht="13.8" hidden="1" x14ac:dyDescent="0.3">
      <c r="A17" s="252">
        <v>7</v>
      </c>
      <c r="B17" s="196">
        <v>46151</v>
      </c>
      <c r="C17" s="197">
        <v>0</v>
      </c>
      <c r="D17" s="197">
        <f t="shared" ca="1" si="0"/>
        <v>0</v>
      </c>
      <c r="E17" s="198">
        <v>0</v>
      </c>
      <c r="F17" s="201">
        <v>0</v>
      </c>
      <c r="G17" s="193"/>
      <c r="H17" s="163"/>
      <c r="I17" s="197">
        <v>18589390.109999999</v>
      </c>
      <c r="J17" s="197">
        <v>6865999</v>
      </c>
      <c r="K17" s="163">
        <f t="shared" ca="1" si="1"/>
        <v>-18589390.109999999</v>
      </c>
      <c r="L17" s="163">
        <f t="shared" ca="1" si="2"/>
        <v>6865999</v>
      </c>
      <c r="M17" s="200">
        <v>45055</v>
      </c>
      <c r="AE17" s="163"/>
      <c r="AF17" s="201">
        <v>0</v>
      </c>
      <c r="AH17" s="163"/>
      <c r="AI17" s="163"/>
      <c r="AJ17" s="163"/>
      <c r="AK17" s="163"/>
    </row>
    <row r="18" spans="1:37" s="172" customFormat="1" ht="13.8" hidden="1" x14ac:dyDescent="0.3">
      <c r="A18" s="252">
        <v>8</v>
      </c>
      <c r="B18" s="196">
        <v>46152</v>
      </c>
      <c r="C18" s="197">
        <v>0</v>
      </c>
      <c r="D18" s="197">
        <f t="shared" ca="1" si="0"/>
        <v>0</v>
      </c>
      <c r="E18" s="198">
        <v>0</v>
      </c>
      <c r="F18" s="201">
        <v>0</v>
      </c>
      <c r="G18" s="193"/>
      <c r="H18" s="163"/>
      <c r="I18" s="197">
        <v>0</v>
      </c>
      <c r="J18" s="197">
        <v>0</v>
      </c>
      <c r="K18" s="163">
        <f t="shared" ca="1" si="1"/>
        <v>0</v>
      </c>
      <c r="L18" s="163">
        <f t="shared" ca="1" si="2"/>
        <v>0</v>
      </c>
      <c r="M18" s="200">
        <v>45056</v>
      </c>
      <c r="AE18" s="163"/>
      <c r="AF18" s="201">
        <v>0</v>
      </c>
      <c r="AH18" s="163"/>
      <c r="AI18" s="163"/>
      <c r="AJ18" s="163"/>
      <c r="AK18" s="163"/>
    </row>
    <row r="19" spans="1:37" s="172" customFormat="1" ht="13.8" x14ac:dyDescent="0.3">
      <c r="A19" s="252">
        <v>9</v>
      </c>
      <c r="B19" s="196">
        <v>46153</v>
      </c>
      <c r="C19" s="197">
        <v>0</v>
      </c>
      <c r="D19" s="197">
        <f t="shared" ca="1" si="0"/>
        <v>0</v>
      </c>
      <c r="E19" s="198">
        <v>0</v>
      </c>
      <c r="F19" s="201">
        <v>0</v>
      </c>
      <c r="G19" s="193"/>
      <c r="H19" s="163"/>
      <c r="I19" s="197">
        <v>0</v>
      </c>
      <c r="J19" s="197">
        <v>0</v>
      </c>
      <c r="K19" s="163">
        <f t="shared" ca="1" si="1"/>
        <v>0</v>
      </c>
      <c r="L19" s="163">
        <f t="shared" ca="1" si="2"/>
        <v>0</v>
      </c>
      <c r="M19" s="200">
        <v>45057</v>
      </c>
      <c r="T19" s="200"/>
      <c r="AE19" s="163"/>
      <c r="AF19" s="201">
        <v>0</v>
      </c>
      <c r="AH19" s="163"/>
      <c r="AI19" s="163"/>
      <c r="AJ19" s="163"/>
      <c r="AK19" s="163"/>
    </row>
    <row r="20" spans="1:37" s="172" customFormat="1" ht="13.8" x14ac:dyDescent="0.3">
      <c r="A20" s="252">
        <v>10</v>
      </c>
      <c r="B20" s="196">
        <v>46154</v>
      </c>
      <c r="C20" s="197">
        <v>0</v>
      </c>
      <c r="D20" s="197">
        <f t="shared" ca="1" si="0"/>
        <v>0</v>
      </c>
      <c r="E20" s="198">
        <v>0</v>
      </c>
      <c r="F20" s="201">
        <v>0</v>
      </c>
      <c r="G20" s="193"/>
      <c r="H20" s="163"/>
      <c r="I20" s="197">
        <v>19090565.399999999</v>
      </c>
      <c r="J20" s="197">
        <v>26755176.399999999</v>
      </c>
      <c r="K20" s="163">
        <f t="shared" ca="1" si="1"/>
        <v>-19090565.399999999</v>
      </c>
      <c r="L20" s="163">
        <f t="shared" ca="1" si="2"/>
        <v>26755176.399999999</v>
      </c>
      <c r="M20" s="200">
        <v>45058</v>
      </c>
      <c r="AE20" s="163"/>
      <c r="AF20" s="201">
        <v>0</v>
      </c>
      <c r="AH20" s="163"/>
      <c r="AI20" s="163"/>
      <c r="AJ20" s="163"/>
      <c r="AK20" s="163"/>
    </row>
    <row r="21" spans="1:37" s="172" customFormat="1" ht="14.1" customHeight="1" x14ac:dyDescent="0.3">
      <c r="A21" s="252"/>
      <c r="B21" s="196">
        <v>46155</v>
      </c>
      <c r="C21" s="197">
        <v>0</v>
      </c>
      <c r="D21" s="197">
        <f t="shared" ca="1" si="0"/>
        <v>0</v>
      </c>
      <c r="E21" s="198">
        <v>0</v>
      </c>
      <c r="F21" s="201">
        <v>0</v>
      </c>
      <c r="G21" s="193"/>
      <c r="H21" s="163"/>
      <c r="I21" s="197">
        <v>0</v>
      </c>
      <c r="J21" s="197">
        <v>0</v>
      </c>
      <c r="K21" s="163">
        <f t="shared" ca="1" si="1"/>
        <v>0</v>
      </c>
      <c r="L21" s="163">
        <f t="shared" ca="1" si="2"/>
        <v>0</v>
      </c>
      <c r="M21" s="200">
        <v>45059</v>
      </c>
      <c r="AE21" s="193"/>
      <c r="AF21" s="201">
        <v>0</v>
      </c>
      <c r="AH21" s="163"/>
      <c r="AI21" s="163"/>
      <c r="AJ21" s="163"/>
      <c r="AK21" s="163"/>
    </row>
    <row r="22" spans="1:37" s="172" customFormat="1" ht="13.8" x14ac:dyDescent="0.3">
      <c r="A22" s="252"/>
      <c r="B22" s="196">
        <v>46156</v>
      </c>
      <c r="C22" s="197">
        <v>0</v>
      </c>
      <c r="D22" s="197">
        <f t="shared" ca="1" si="0"/>
        <v>0</v>
      </c>
      <c r="E22" s="198">
        <v>0</v>
      </c>
      <c r="F22" s="201">
        <v>0</v>
      </c>
      <c r="G22" s="193"/>
      <c r="I22" s="197">
        <v>0</v>
      </c>
      <c r="J22" s="197">
        <v>0</v>
      </c>
      <c r="K22" s="163">
        <f t="shared" ca="1" si="1"/>
        <v>0</v>
      </c>
      <c r="L22" s="163">
        <f t="shared" ca="1" si="2"/>
        <v>0</v>
      </c>
      <c r="M22" s="200">
        <v>45060</v>
      </c>
      <c r="AF22" s="201">
        <v>0</v>
      </c>
      <c r="AH22" s="163"/>
      <c r="AI22" s="163"/>
      <c r="AJ22" s="163"/>
      <c r="AK22" s="163"/>
    </row>
    <row r="23" spans="1:37" s="172" customFormat="1" ht="13.8" x14ac:dyDescent="0.3">
      <c r="A23" s="252">
        <v>11</v>
      </c>
      <c r="B23" s="196">
        <v>46157</v>
      </c>
      <c r="C23" s="197">
        <v>0</v>
      </c>
      <c r="D23" s="197">
        <f t="shared" ca="1" si="0"/>
        <v>0</v>
      </c>
      <c r="E23" s="198">
        <v>0</v>
      </c>
      <c r="F23" s="201">
        <v>0</v>
      </c>
      <c r="G23" s="193"/>
      <c r="I23" s="197">
        <v>0</v>
      </c>
      <c r="J23" s="197">
        <v>0</v>
      </c>
      <c r="K23" s="163">
        <f t="shared" ca="1" si="1"/>
        <v>0</v>
      </c>
      <c r="L23" s="163">
        <f t="shared" ca="1" si="2"/>
        <v>0</v>
      </c>
      <c r="M23" s="200">
        <v>45061</v>
      </c>
      <c r="AE23" s="163"/>
      <c r="AF23" s="201">
        <v>0</v>
      </c>
      <c r="AH23" s="163"/>
      <c r="AI23" s="163"/>
      <c r="AJ23" s="163"/>
      <c r="AK23" s="163"/>
    </row>
    <row r="24" spans="1:37" s="172" customFormat="1" ht="13.8" hidden="1" x14ac:dyDescent="0.3">
      <c r="A24" s="252">
        <v>12</v>
      </c>
      <c r="B24" s="196">
        <v>46158</v>
      </c>
      <c r="C24" s="197">
        <v>0</v>
      </c>
      <c r="D24" s="197">
        <f t="shared" ca="1" si="0"/>
        <v>0</v>
      </c>
      <c r="E24" s="198">
        <v>0</v>
      </c>
      <c r="F24" s="201">
        <v>0</v>
      </c>
      <c r="G24" s="193"/>
      <c r="I24" s="197">
        <v>0</v>
      </c>
      <c r="J24" s="197">
        <v>0</v>
      </c>
      <c r="K24" s="163">
        <f t="shared" ca="1" si="1"/>
        <v>0</v>
      </c>
      <c r="L24" s="163">
        <f t="shared" ca="1" si="2"/>
        <v>0</v>
      </c>
      <c r="M24" s="200">
        <v>45062</v>
      </c>
      <c r="AF24" s="201">
        <v>0</v>
      </c>
      <c r="AH24" s="163"/>
      <c r="AI24" s="163"/>
      <c r="AJ24" s="163"/>
      <c r="AK24" s="163"/>
    </row>
    <row r="25" spans="1:37" s="172" customFormat="1" ht="13.8" hidden="1" x14ac:dyDescent="0.3">
      <c r="A25" s="252">
        <v>13</v>
      </c>
      <c r="B25" s="196">
        <v>46159</v>
      </c>
      <c r="C25" s="197">
        <v>0</v>
      </c>
      <c r="D25" s="197">
        <f t="shared" ca="1" si="0"/>
        <v>0</v>
      </c>
      <c r="E25" s="198">
        <v>0</v>
      </c>
      <c r="F25" s="201">
        <v>0</v>
      </c>
      <c r="G25" s="193"/>
      <c r="I25" s="197">
        <v>0</v>
      </c>
      <c r="J25" s="197">
        <v>0</v>
      </c>
      <c r="K25" s="163">
        <f t="shared" ca="1" si="1"/>
        <v>0</v>
      </c>
      <c r="L25" s="163">
        <f t="shared" ca="1" si="2"/>
        <v>0</v>
      </c>
      <c r="M25" s="200">
        <v>45063</v>
      </c>
      <c r="V25" s="172">
        <f ca="1">SUM(V23,V17)</f>
        <v>0</v>
      </c>
      <c r="AF25" s="201">
        <v>0</v>
      </c>
      <c r="AG25" s="204"/>
      <c r="AH25" s="163"/>
      <c r="AI25" s="163"/>
      <c r="AJ25" s="163"/>
      <c r="AK25" s="163"/>
    </row>
    <row r="26" spans="1:37" s="172" customFormat="1" ht="13.8" x14ac:dyDescent="0.3">
      <c r="A26" s="252">
        <v>14</v>
      </c>
      <c r="B26" s="196">
        <v>46160</v>
      </c>
      <c r="C26" s="197">
        <v>0</v>
      </c>
      <c r="D26" s="197">
        <f t="shared" ca="1" si="0"/>
        <v>0</v>
      </c>
      <c r="E26" s="198">
        <v>0</v>
      </c>
      <c r="F26" s="201">
        <v>0</v>
      </c>
      <c r="G26" s="193"/>
      <c r="I26" s="253">
        <v>0</v>
      </c>
      <c r="J26" s="253">
        <v>0</v>
      </c>
      <c r="K26" s="163">
        <f t="shared" ca="1" si="1"/>
        <v>0</v>
      </c>
      <c r="L26" s="163">
        <f t="shared" ca="1" si="2"/>
        <v>0</v>
      </c>
      <c r="M26" s="200">
        <v>45064</v>
      </c>
      <c r="AE26" s="163"/>
      <c r="AF26" s="201">
        <v>0</v>
      </c>
      <c r="AG26" s="204"/>
      <c r="AH26" s="163"/>
      <c r="AJ26" s="163"/>
      <c r="AK26" s="163"/>
    </row>
    <row r="27" spans="1:37" s="172" customFormat="1" ht="13.8" x14ac:dyDescent="0.3">
      <c r="A27" s="252">
        <v>15</v>
      </c>
      <c r="B27" s="196">
        <v>46161</v>
      </c>
      <c r="C27" s="197">
        <v>0</v>
      </c>
      <c r="D27" s="197">
        <f t="shared" ca="1" si="0"/>
        <v>0</v>
      </c>
      <c r="E27" s="198">
        <v>0</v>
      </c>
      <c r="F27" s="201">
        <v>0</v>
      </c>
      <c r="G27" s="193"/>
      <c r="I27" s="254"/>
      <c r="J27" s="254"/>
      <c r="K27" s="207"/>
      <c r="L27" s="207"/>
      <c r="M27" s="200"/>
      <c r="AE27" s="207"/>
      <c r="AF27" s="201">
        <v>0</v>
      </c>
      <c r="AG27" s="204"/>
      <c r="AH27" s="163"/>
      <c r="AJ27" s="163"/>
      <c r="AK27" s="163"/>
    </row>
    <row r="28" spans="1:37" s="172" customFormat="1" ht="13.8" x14ac:dyDescent="0.3">
      <c r="A28" s="252"/>
      <c r="B28" s="196">
        <v>46162</v>
      </c>
      <c r="C28" s="197">
        <v>0</v>
      </c>
      <c r="D28" s="197">
        <f t="shared" ca="1" si="0"/>
        <v>0</v>
      </c>
      <c r="E28" s="198">
        <v>0</v>
      </c>
      <c r="F28" s="201">
        <v>0</v>
      </c>
      <c r="G28" s="193"/>
      <c r="I28" s="254"/>
      <c r="J28" s="254"/>
      <c r="K28" s="207"/>
      <c r="L28" s="207"/>
      <c r="M28" s="200"/>
      <c r="AE28" s="207"/>
      <c r="AF28" s="201">
        <v>0</v>
      </c>
      <c r="AG28" s="204"/>
      <c r="AH28" s="163"/>
      <c r="AJ28" s="163"/>
      <c r="AK28" s="163"/>
    </row>
    <row r="29" spans="1:37" s="172" customFormat="1" ht="13.8" x14ac:dyDescent="0.3">
      <c r="A29" s="252"/>
      <c r="B29" s="196">
        <v>46163</v>
      </c>
      <c r="C29" s="197">
        <v>0</v>
      </c>
      <c r="D29" s="197">
        <f t="shared" ca="1" si="0"/>
        <v>0</v>
      </c>
      <c r="E29" s="198">
        <v>0</v>
      </c>
      <c r="F29" s="201">
        <v>0</v>
      </c>
      <c r="G29" s="193"/>
      <c r="I29" s="254"/>
      <c r="J29" s="254"/>
      <c r="K29" s="207"/>
      <c r="L29" s="207"/>
      <c r="M29" s="200"/>
      <c r="AE29" s="207"/>
      <c r="AF29" s="201">
        <v>0</v>
      </c>
      <c r="AG29" s="204"/>
      <c r="AH29" s="163"/>
      <c r="AJ29" s="163"/>
      <c r="AK29" s="163"/>
    </row>
    <row r="30" spans="1:37" s="172" customFormat="1" x14ac:dyDescent="0.3">
      <c r="A30" s="252">
        <v>16</v>
      </c>
      <c r="B30" s="196">
        <v>46164</v>
      </c>
      <c r="C30" s="197">
        <v>0</v>
      </c>
      <c r="D30" s="197">
        <f t="shared" ca="1" si="0"/>
        <v>0</v>
      </c>
      <c r="E30" s="198">
        <v>0</v>
      </c>
      <c r="F30" s="201">
        <v>0</v>
      </c>
      <c r="G30" s="238"/>
      <c r="I30" s="254"/>
      <c r="J30" s="254"/>
      <c r="K30" s="207"/>
      <c r="L30" s="207"/>
      <c r="M30" s="200"/>
      <c r="AE30" s="207"/>
      <c r="AF30" s="201">
        <v>0</v>
      </c>
      <c r="AG30" s="204"/>
      <c r="AH30" s="163"/>
      <c r="AJ30" s="163"/>
      <c r="AK30" s="163"/>
    </row>
    <row r="31" spans="1:37" s="172" customFormat="1" ht="13.8" hidden="1" x14ac:dyDescent="0.3">
      <c r="A31" s="252">
        <v>17</v>
      </c>
      <c r="B31" s="196">
        <v>46165</v>
      </c>
      <c r="C31" s="197">
        <v>0</v>
      </c>
      <c r="D31" s="197">
        <f t="shared" ca="1" si="0"/>
        <v>0</v>
      </c>
      <c r="E31" s="198">
        <v>0</v>
      </c>
      <c r="F31" s="201">
        <v>0</v>
      </c>
      <c r="G31" s="193"/>
      <c r="I31" s="254"/>
      <c r="J31" s="254"/>
      <c r="K31" s="207"/>
      <c r="L31" s="207"/>
      <c r="M31" s="200"/>
      <c r="AF31" s="201">
        <v>0</v>
      </c>
      <c r="AG31" s="204"/>
      <c r="AH31" s="163"/>
      <c r="AJ31" s="163"/>
      <c r="AK31" s="163"/>
    </row>
    <row r="32" spans="1:37" s="172" customFormat="1" ht="13.8" hidden="1" x14ac:dyDescent="0.3">
      <c r="A32" s="252">
        <v>18</v>
      </c>
      <c r="B32" s="196">
        <v>46166</v>
      </c>
      <c r="C32" s="197">
        <v>0</v>
      </c>
      <c r="D32" s="197">
        <f t="shared" ca="1" si="0"/>
        <v>0</v>
      </c>
      <c r="E32" s="198">
        <v>0</v>
      </c>
      <c r="F32" s="201">
        <v>0</v>
      </c>
      <c r="G32" s="193"/>
      <c r="I32" s="254"/>
      <c r="J32" s="254"/>
      <c r="K32" s="207"/>
      <c r="L32" s="207"/>
      <c r="M32" s="200"/>
      <c r="AE32" s="207"/>
      <c r="AF32" s="201">
        <v>0</v>
      </c>
      <c r="AG32" s="204"/>
      <c r="AH32" s="163"/>
      <c r="AJ32" s="163"/>
      <c r="AK32" s="163"/>
    </row>
    <row r="33" spans="1:37" s="172" customFormat="1" ht="13.8" x14ac:dyDescent="0.3">
      <c r="A33" s="252">
        <v>19</v>
      </c>
      <c r="B33" s="196">
        <v>46167</v>
      </c>
      <c r="C33" s="197">
        <v>0</v>
      </c>
      <c r="D33" s="197">
        <f t="shared" ca="1" si="0"/>
        <v>0</v>
      </c>
      <c r="E33" s="198">
        <v>0</v>
      </c>
      <c r="F33" s="201">
        <v>0</v>
      </c>
      <c r="G33" s="193"/>
      <c r="H33" s="207"/>
      <c r="I33" s="254"/>
      <c r="J33" s="254"/>
      <c r="K33" s="207"/>
      <c r="L33" s="207"/>
      <c r="M33" s="200"/>
      <c r="AE33" s="207"/>
      <c r="AF33" s="201">
        <v>0</v>
      </c>
      <c r="AG33" s="204"/>
      <c r="AH33" s="163"/>
      <c r="AJ33" s="163"/>
      <c r="AK33" s="163"/>
    </row>
    <row r="34" spans="1:37" s="172" customFormat="1" ht="13.8" hidden="1" x14ac:dyDescent="0.3">
      <c r="A34" s="252">
        <v>20</v>
      </c>
      <c r="B34" s="196">
        <v>46168</v>
      </c>
      <c r="C34" s="197">
        <v>0</v>
      </c>
      <c r="D34" s="197">
        <f t="shared" ca="1" si="0"/>
        <v>0</v>
      </c>
      <c r="E34" s="198">
        <v>0</v>
      </c>
      <c r="F34" s="201">
        <v>0</v>
      </c>
      <c r="G34" s="193"/>
      <c r="I34" s="254"/>
      <c r="J34" s="254"/>
      <c r="K34" s="207"/>
      <c r="L34" s="207"/>
      <c r="M34" s="200"/>
      <c r="AE34" s="207"/>
      <c r="AF34" s="201">
        <v>0</v>
      </c>
      <c r="AH34" s="163"/>
      <c r="AJ34" s="163"/>
      <c r="AK34" s="163"/>
    </row>
    <row r="35" spans="1:37" s="172" customFormat="1" ht="13.8" hidden="1" x14ac:dyDescent="0.3">
      <c r="A35" s="252"/>
      <c r="B35" s="196">
        <v>46169</v>
      </c>
      <c r="C35" s="197">
        <v>0</v>
      </c>
      <c r="D35" s="197">
        <f t="shared" ca="1" si="0"/>
        <v>0</v>
      </c>
      <c r="E35" s="198">
        <v>0</v>
      </c>
      <c r="F35" s="201">
        <v>0</v>
      </c>
      <c r="G35" s="193"/>
      <c r="I35" s="207"/>
      <c r="J35" s="207"/>
      <c r="K35" s="207"/>
      <c r="L35" s="207"/>
      <c r="M35" s="200"/>
      <c r="AF35" s="201">
        <v>0</v>
      </c>
      <c r="AH35" s="163"/>
      <c r="AJ35" s="163"/>
      <c r="AK35" s="163"/>
    </row>
    <row r="36" spans="1:37" s="172" customFormat="1" ht="13.8" hidden="1" x14ac:dyDescent="0.3">
      <c r="A36" s="252"/>
      <c r="B36" s="196">
        <v>46170</v>
      </c>
      <c r="C36" s="197">
        <v>0</v>
      </c>
      <c r="D36" s="197">
        <f t="shared" ca="1" si="0"/>
        <v>0</v>
      </c>
      <c r="E36" s="198">
        <v>0</v>
      </c>
      <c r="F36" s="201">
        <v>0</v>
      </c>
      <c r="G36" s="193"/>
      <c r="H36" s="207"/>
      <c r="I36" s="207"/>
      <c r="J36" s="207"/>
      <c r="K36" s="207"/>
      <c r="L36" s="207"/>
      <c r="M36" s="200"/>
      <c r="AF36" s="201">
        <v>0</v>
      </c>
      <c r="AH36" s="163"/>
      <c r="AJ36" s="163"/>
      <c r="AK36" s="163"/>
    </row>
    <row r="37" spans="1:37" s="172" customFormat="1" ht="13.8" hidden="1" x14ac:dyDescent="0.3">
      <c r="A37" s="252">
        <v>21</v>
      </c>
      <c r="B37" s="196">
        <v>46171</v>
      </c>
      <c r="C37" s="197">
        <v>0</v>
      </c>
      <c r="D37" s="197">
        <f t="shared" ca="1" si="0"/>
        <v>0</v>
      </c>
      <c r="E37" s="198">
        <v>0</v>
      </c>
      <c r="F37" s="201">
        <v>0</v>
      </c>
      <c r="G37" s="255"/>
      <c r="I37" s="207"/>
      <c r="J37" s="207"/>
      <c r="K37" s="207"/>
      <c r="L37" s="207"/>
      <c r="M37" s="200"/>
      <c r="AE37" s="207"/>
      <c r="AF37" s="201">
        <v>0</v>
      </c>
      <c r="AH37" s="163"/>
      <c r="AJ37" s="163"/>
      <c r="AK37" s="163"/>
    </row>
    <row r="38" spans="1:37" s="172" customFormat="1" ht="13.8" hidden="1" x14ac:dyDescent="0.3">
      <c r="A38" s="252">
        <v>22</v>
      </c>
      <c r="B38" s="196">
        <v>46172</v>
      </c>
      <c r="C38" s="197">
        <v>0</v>
      </c>
      <c r="D38" s="197">
        <f t="shared" ca="1" si="0"/>
        <v>0</v>
      </c>
      <c r="E38" s="198">
        <v>0</v>
      </c>
      <c r="F38" s="201">
        <v>0</v>
      </c>
      <c r="G38" s="193"/>
      <c r="I38" s="207"/>
      <c r="J38" s="207"/>
      <c r="K38" s="207"/>
      <c r="L38" s="207"/>
      <c r="AE38" s="207"/>
      <c r="AF38" s="201">
        <v>0</v>
      </c>
      <c r="AH38" s="163"/>
      <c r="AJ38" s="163"/>
      <c r="AK38" s="163"/>
    </row>
    <row r="39" spans="1:37" s="172" customFormat="1" ht="13.8" hidden="1" x14ac:dyDescent="0.3">
      <c r="A39" s="256">
        <v>23</v>
      </c>
      <c r="B39" s="209">
        <v>46173</v>
      </c>
      <c r="C39" s="197">
        <v>0</v>
      </c>
      <c r="D39" s="197">
        <f t="shared" ca="1" si="0"/>
        <v>0</v>
      </c>
      <c r="E39" s="198">
        <v>0</v>
      </c>
      <c r="F39" s="201">
        <v>0</v>
      </c>
      <c r="G39" s="193"/>
      <c r="H39" s="193"/>
      <c r="I39" s="207"/>
      <c r="J39" s="207"/>
      <c r="K39" s="207"/>
      <c r="L39" s="207"/>
      <c r="AE39" s="207"/>
      <c r="AF39" s="201">
        <v>0</v>
      </c>
      <c r="AH39" s="163"/>
      <c r="AJ39" s="163"/>
      <c r="AK39" s="163"/>
    </row>
    <row r="40" spans="1:37" s="172" customFormat="1" ht="13.8" x14ac:dyDescent="0.3">
      <c r="A40" s="211" t="s">
        <v>81</v>
      </c>
      <c r="B40" s="211"/>
      <c r="C40" s="212">
        <f ca="1">SUM(C9:C39)</f>
        <v>6102629.6600000001</v>
      </c>
      <c r="D40" s="212">
        <f ca="1">SUM(D9:D39)</f>
        <v>1455390.5400000007</v>
      </c>
      <c r="E40" s="213">
        <f ca="1">SUM(E9:E39)</f>
        <v>7558020.2000000002</v>
      </c>
      <c r="F40" s="215">
        <f ca="1">SUM(F9:F39)</f>
        <v>0</v>
      </c>
      <c r="G40" s="193"/>
      <c r="H40" s="193"/>
      <c r="I40" s="207"/>
      <c r="J40" s="207"/>
      <c r="K40" s="207"/>
      <c r="L40" s="207"/>
      <c r="P40" s="207"/>
      <c r="AE40" s="207"/>
      <c r="AF40" s="257">
        <f ca="1">SUM(AF9:AF39)</f>
        <v>1954583.93</v>
      </c>
      <c r="AG40" s="193"/>
      <c r="AH40" s="163"/>
      <c r="AJ40" s="193"/>
    </row>
    <row r="41" spans="1:37" ht="10.35" customHeight="1" x14ac:dyDescent="0.3">
      <c r="A41" s="258"/>
      <c r="B41" s="217"/>
      <c r="C41" s="217"/>
      <c r="D41" s="217"/>
      <c r="E41" s="217"/>
      <c r="F41" s="259"/>
      <c r="I41" s="260"/>
      <c r="J41" s="260"/>
      <c r="K41" s="260"/>
      <c r="L41" s="260"/>
      <c r="AE41" s="44"/>
    </row>
    <row r="42" spans="1:37" ht="14.1" customHeight="1" x14ac:dyDescent="0.3">
      <c r="A42" s="220" t="s">
        <v>82</v>
      </c>
      <c r="B42" s="220"/>
      <c r="C42" s="220"/>
      <c r="D42" s="220"/>
      <c r="E42" s="220"/>
      <c r="F42" s="220"/>
      <c r="G42" s="193"/>
      <c r="I42" s="260"/>
      <c r="J42" s="260"/>
      <c r="K42" s="260"/>
      <c r="L42" s="260"/>
      <c r="AE42" s="44"/>
    </row>
    <row r="43" spans="1:37" x14ac:dyDescent="0.3">
      <c r="A43" s="243" t="s">
        <v>83</v>
      </c>
      <c r="B43" s="174"/>
      <c r="C43" s="222" t="s">
        <v>74</v>
      </c>
      <c r="D43" s="222" t="s">
        <v>75</v>
      </c>
      <c r="E43" s="222" t="s">
        <v>18</v>
      </c>
      <c r="F43" s="261"/>
      <c r="G43" s="262"/>
      <c r="AE43" s="44"/>
      <c r="AF43" s="44"/>
    </row>
    <row r="44" spans="1:37" x14ac:dyDescent="0.3">
      <c r="A44" s="263" t="s">
        <v>84</v>
      </c>
      <c r="B44" s="225"/>
      <c r="C44" s="188">
        <f ca="1">C47-C45</f>
        <v>63471490.609999999</v>
      </c>
      <c r="D44" s="188">
        <f ca="1">D47-D45</f>
        <v>17164600.440000001</v>
      </c>
      <c r="E44" s="189">
        <f ca="1">D44+C44</f>
        <v>80636091.049999997</v>
      </c>
      <c r="F44" s="261"/>
      <c r="G44" s="264"/>
      <c r="AE44" s="44"/>
      <c r="AF44" s="44"/>
    </row>
    <row r="45" spans="1:37" x14ac:dyDescent="0.3">
      <c r="A45" s="265" t="s">
        <v>85</v>
      </c>
      <c r="B45" s="228"/>
      <c r="C45" s="188">
        <f ca="1">C40</f>
        <v>6102629.6600000001</v>
      </c>
      <c r="D45" s="188">
        <f ca="1">D40</f>
        <v>1455390.5400000007</v>
      </c>
      <c r="E45" s="189">
        <f ca="1">D45+C45</f>
        <v>7558020.2000000011</v>
      </c>
      <c r="F45" s="261"/>
      <c r="AE45" s="44"/>
      <c r="AF45" s="44"/>
    </row>
    <row r="46" spans="1:37" x14ac:dyDescent="0.3">
      <c r="A46" s="266" t="s">
        <v>86</v>
      </c>
      <c r="B46" s="231"/>
      <c r="C46" s="232">
        <v>44444107.721764706</v>
      </c>
      <c r="D46" s="232">
        <v>245955882.35294116</v>
      </c>
      <c r="E46" s="233">
        <f ca="1">D46+C46</f>
        <v>290399990.07470584</v>
      </c>
      <c r="F46" s="261"/>
      <c r="AE46" s="44"/>
      <c r="AF46" s="44"/>
    </row>
    <row r="47" spans="1:37" x14ac:dyDescent="0.3">
      <c r="A47" s="267" t="s">
        <v>87</v>
      </c>
      <c r="B47" s="268"/>
      <c r="C47" s="269">
        <v>69574120.269999996</v>
      </c>
      <c r="D47" s="269">
        <v>18619990.98</v>
      </c>
      <c r="E47" s="269">
        <f ca="1">D47+C47</f>
        <v>88194111.25</v>
      </c>
      <c r="F47" s="270"/>
      <c r="AE47" s="44"/>
    </row>
    <row r="49" spans="7:33" x14ac:dyDescent="0.3">
      <c r="G49" s="44"/>
      <c r="AE49" s="44"/>
      <c r="AF49" s="44"/>
    </row>
    <row r="50" spans="7:33" x14ac:dyDescent="0.3">
      <c r="G50" s="44"/>
    </row>
    <row r="52" spans="7:33" x14ac:dyDescent="0.3">
      <c r="G52" s="44"/>
      <c r="AF52" s="44"/>
    </row>
    <row r="53" spans="7:33" x14ac:dyDescent="0.3">
      <c r="AF53" s="239"/>
      <c r="AG53" s="240"/>
    </row>
    <row r="55" spans="7:33" hidden="1" x14ac:dyDescent="0.3"/>
    <row r="171" spans="12:12" hidden="1" x14ac:dyDescent="0.3"/>
    <row r="172" spans="12:12" x14ac:dyDescent="0.3">
      <c r="L172" s="161">
        <v>0</v>
      </c>
    </row>
  </sheetData>
  <mergeCells count="14">
    <mergeCell ref="A41:F41"/>
    <mergeCell ref="A42:F42"/>
    <mergeCell ref="A43:B43"/>
    <mergeCell ref="F43:F47"/>
    <mergeCell ref="A44:B44"/>
    <mergeCell ref="A45:B45"/>
    <mergeCell ref="A46:B46"/>
    <mergeCell ref="A47:B47"/>
    <mergeCell ref="B1:F1"/>
    <mergeCell ref="B2:F2"/>
    <mergeCell ref="A4:B4"/>
    <mergeCell ref="A5:B5"/>
    <mergeCell ref="A6:B6"/>
    <mergeCell ref="A40:B40"/>
  </mergeCells>
  <pageMargins left="0.70866141732283461" right="0.70866141732283461" top="0.55118110236220474" bottom="0.55118110236220474" header="0.31496062992125984" footer="0.31496062992125984"/>
  <pageSetup paperSize="9" orientation="landscape" r:id="rId1"/>
  <headerFooter alignWithMargins="0">
    <oddHeader>&amp;LSOBHA LLC&amp;R&amp;D</oddHeader>
    <oddFooter>&amp;LCOLLECTIONS&amp;R&amp;P/&amp;N</oddFooter>
  </headerFooter>
  <colBreaks count="4" manualBreakCount="4">
    <brk id="9" max="1048575" man="1"/>
    <brk id="16" max="1048575" man="1"/>
    <brk id="19" max="1048575" man="1"/>
    <brk id="2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3D89-9B3B-4C3C-83C5-AA930ABAE94A}">
  <sheetPr>
    <tabColor rgb="FFFF0000"/>
    <pageSetUpPr fitToPage="1"/>
  </sheetPr>
  <dimension ref="A1:AK172"/>
  <sheetViews>
    <sheetView view="pageBreakPreview" topLeftCell="B2" zoomScale="70" zoomScaleNormal="70" zoomScaleSheetLayoutView="70" workbookViewId="0">
      <selection activeCell="E23" sqref="E23"/>
    </sheetView>
  </sheetViews>
  <sheetFormatPr defaultRowHeight="14.4" x14ac:dyDescent="0.3"/>
  <cols>
    <col min="1" max="1" width="6.5546875" hidden="1" customWidth="1"/>
    <col min="2" max="2" width="36.44140625" customWidth="1"/>
    <col min="3" max="3" width="22.5546875" customWidth="1"/>
    <col min="4" max="4" width="29" customWidth="1"/>
    <col min="5" max="5" width="26.44140625" customWidth="1"/>
    <col min="6" max="6" width="14.33203125" bestFit="1" customWidth="1"/>
    <col min="7" max="7" width="15" bestFit="1" customWidth="1"/>
    <col min="8" max="8" width="14.5546875" hidden="1" customWidth="1"/>
    <col min="9" max="9" width="12.5546875" style="161" hidden="1" customWidth="1"/>
    <col min="10" max="10" width="12.44140625" style="161" hidden="1" customWidth="1"/>
    <col min="11" max="11" width="13.44140625" style="161" hidden="1" customWidth="1"/>
    <col min="12" max="12" width="11.44140625" style="161" hidden="1" customWidth="1"/>
    <col min="13" max="13" width="20.44140625" hidden="1" customWidth="1"/>
    <col min="14" max="14" width="11" hidden="1" customWidth="1"/>
    <col min="15" max="15" width="8.5546875" hidden="1" customWidth="1"/>
    <col min="16" max="16" width="13.5546875" hidden="1" customWidth="1"/>
    <col min="17" max="18" width="8.5546875" hidden="1" customWidth="1"/>
    <col min="19" max="19" width="11.5546875" hidden="1" customWidth="1"/>
    <col min="20" max="20" width="12.44140625" hidden="1" customWidth="1"/>
    <col min="21" max="30" width="8.5546875" hidden="1" customWidth="1"/>
    <col min="31" max="31" width="13.5546875" bestFit="1" customWidth="1"/>
    <col min="32" max="32" width="14.33203125" bestFit="1" customWidth="1"/>
    <col min="33" max="33" width="11" bestFit="1" customWidth="1"/>
    <col min="34" max="34" width="12" style="163" bestFit="1" customWidth="1"/>
    <col min="35" max="35" width="12" bestFit="1" customWidth="1"/>
    <col min="36" max="36" width="10.5546875" bestFit="1" customWidth="1"/>
    <col min="40" max="40" width="12.44140625" bestFit="1" customWidth="1"/>
  </cols>
  <sheetData>
    <row r="1" spans="1:37" hidden="1" x14ac:dyDescent="0.3">
      <c r="B1" s="160"/>
      <c r="C1" s="160"/>
      <c r="D1" s="160"/>
      <c r="E1" s="160"/>
      <c r="F1" s="160"/>
      <c r="P1" s="93"/>
      <c r="T1" s="162"/>
      <c r="W1" s="93"/>
    </row>
    <row r="2" spans="1:37" x14ac:dyDescent="0.3">
      <c r="B2" s="241" t="str">
        <f ca="1">UPPER(_xlfn.CONCAT("ABU DHABI - ",TEXT(F3,"MMMM YYYY "),"COLLECTION SUMMARY"))</f>
        <v>ABU DHABI - MAY 2026 COLLECTION SUMMARY</v>
      </c>
      <c r="C2" s="241"/>
      <c r="D2" s="241"/>
      <c r="E2" s="241"/>
      <c r="F2" s="241"/>
      <c r="G2" s="167"/>
      <c r="H2" s="168"/>
    </row>
    <row r="3" spans="1:37" x14ac:dyDescent="0.3">
      <c r="E3" s="242" t="s">
        <v>72</v>
      </c>
      <c r="F3" s="167">
        <v>46148</v>
      </c>
      <c r="G3" s="167"/>
      <c r="Y3" s="172"/>
    </row>
    <row r="4" spans="1:37" x14ac:dyDescent="0.3">
      <c r="A4" s="243"/>
      <c r="B4" s="174"/>
      <c r="C4" s="175" t="s">
        <v>74</v>
      </c>
      <c r="D4" s="175" t="s">
        <v>75</v>
      </c>
      <c r="E4" s="176" t="s">
        <v>18</v>
      </c>
      <c r="F4" s="244"/>
      <c r="T4" s="93"/>
      <c r="Y4" s="172"/>
    </row>
    <row r="5" spans="1:37" x14ac:dyDescent="0.3">
      <c r="A5" s="245" t="s">
        <v>76</v>
      </c>
      <c r="B5" s="179"/>
      <c r="C5" s="180">
        <v>0</v>
      </c>
      <c r="D5" s="180">
        <v>0</v>
      </c>
      <c r="E5" s="180">
        <f ca="1">SUM(C5:D5)</f>
        <v>0</v>
      </c>
      <c r="F5" s="246"/>
      <c r="Y5" s="172"/>
    </row>
    <row r="6" spans="1:37" x14ac:dyDescent="0.3">
      <c r="A6" s="247" t="s">
        <v>77</v>
      </c>
      <c r="B6" s="183"/>
      <c r="C6" s="184">
        <v>0</v>
      </c>
      <c r="D6" s="184">
        <v>0</v>
      </c>
      <c r="E6" s="184">
        <f ca="1">SUM(C6:D6)</f>
        <v>0</v>
      </c>
      <c r="F6" s="248"/>
      <c r="Y6" s="172"/>
    </row>
    <row r="7" spans="1:37" hidden="1" x14ac:dyDescent="0.3">
      <c r="A7" s="249"/>
      <c r="B7" s="187"/>
      <c r="C7" s="188"/>
      <c r="D7" s="188"/>
      <c r="E7" s="189"/>
      <c r="F7" s="250"/>
      <c r="Y7" s="172"/>
    </row>
    <row r="8" spans="1:37" x14ac:dyDescent="0.3">
      <c r="A8" s="251" t="s">
        <v>78</v>
      </c>
      <c r="B8" s="192" t="s">
        <v>79</v>
      </c>
      <c r="C8" s="175" t="s">
        <v>74</v>
      </c>
      <c r="D8" s="175" t="s">
        <v>75</v>
      </c>
      <c r="E8" s="175" t="s">
        <v>18</v>
      </c>
      <c r="F8" s="244" t="s">
        <v>80</v>
      </c>
      <c r="I8" s="161" t="s">
        <v>88</v>
      </c>
      <c r="J8" s="161" t="s">
        <v>89</v>
      </c>
      <c r="Y8" s="172"/>
    </row>
    <row r="9" spans="1:37" s="172" customFormat="1" x14ac:dyDescent="0.3">
      <c r="A9" s="252">
        <v>1</v>
      </c>
      <c r="B9" s="196">
        <v>46143</v>
      </c>
      <c r="C9" s="197">
        <v>989570</v>
      </c>
      <c r="D9" s="197">
        <f t="shared" ref="D9:D39" ca="1" si="0">E9-C9</f>
        <v>86712.5</v>
      </c>
      <c r="E9" s="198">
        <v>1076282.5</v>
      </c>
      <c r="F9" s="201">
        <v>314309.95</v>
      </c>
      <c r="G9" s="193"/>
      <c r="H9" s="193"/>
      <c r="I9" s="197">
        <v>16996665</v>
      </c>
      <c r="J9" s="197">
        <v>6000000</v>
      </c>
      <c r="K9" s="163">
        <f t="shared" ref="K9:K26" ca="1" si="1">C9-I9</f>
        <v>-16007095</v>
      </c>
      <c r="L9" s="163">
        <f t="shared" ref="L9:L26" ca="1" si="2">J9-D9</f>
        <v>5913287.5</v>
      </c>
      <c r="M9" s="200">
        <v>45047</v>
      </c>
      <c r="W9"/>
      <c r="AE9" s="163"/>
      <c r="AF9" s="201">
        <v>518637.46</v>
      </c>
      <c r="AH9" s="163"/>
      <c r="AI9" s="163"/>
      <c r="AJ9" s="163"/>
      <c r="AK9" s="163"/>
    </row>
    <row r="10" spans="1:37" s="172" customFormat="1" hidden="1" x14ac:dyDescent="0.3">
      <c r="A10" s="252">
        <v>2</v>
      </c>
      <c r="B10" s="196">
        <v>46144</v>
      </c>
      <c r="C10" s="197">
        <v>0</v>
      </c>
      <c r="D10" s="197">
        <f t="shared" ca="1" si="0"/>
        <v>0</v>
      </c>
      <c r="E10" s="198">
        <v>0</v>
      </c>
      <c r="F10" s="201">
        <v>201094.72000000003</v>
      </c>
      <c r="G10" s="193"/>
      <c r="H10" s="193"/>
      <c r="I10" s="197">
        <v>13412361.630000001</v>
      </c>
      <c r="J10" s="197">
        <v>9041583.1999999974</v>
      </c>
      <c r="K10" s="163">
        <f t="shared" ca="1" si="1"/>
        <v>-13412361.630000001</v>
      </c>
      <c r="L10" s="163">
        <f t="shared" ca="1" si="2"/>
        <v>9041583.1999999974</v>
      </c>
      <c r="M10" s="200">
        <v>45048</v>
      </c>
      <c r="W10"/>
      <c r="AE10" s="163"/>
      <c r="AF10" s="201">
        <v>303910.96999999997</v>
      </c>
      <c r="AH10" s="163"/>
      <c r="AI10" s="163"/>
      <c r="AJ10" s="163"/>
      <c r="AK10" s="163"/>
    </row>
    <row r="11" spans="1:37" s="172" customFormat="1" hidden="1" x14ac:dyDescent="0.3">
      <c r="A11" s="252">
        <v>3</v>
      </c>
      <c r="B11" s="196">
        <v>46145</v>
      </c>
      <c r="C11" s="197">
        <v>0</v>
      </c>
      <c r="D11" s="197">
        <f t="shared" ca="1" si="0"/>
        <v>0</v>
      </c>
      <c r="E11" s="198">
        <v>0</v>
      </c>
      <c r="F11" s="201">
        <v>0</v>
      </c>
      <c r="G11" s="193"/>
      <c r="H11" s="193"/>
      <c r="I11" s="197">
        <v>0</v>
      </c>
      <c r="J11" s="197">
        <v>0</v>
      </c>
      <c r="K11" s="163">
        <f t="shared" ca="1" si="1"/>
        <v>0</v>
      </c>
      <c r="L11" s="163">
        <f t="shared" ca="1" si="2"/>
        <v>0</v>
      </c>
      <c r="M11" s="200">
        <v>45049</v>
      </c>
      <c r="N11" s="193"/>
      <c r="S11" s="201"/>
      <c r="W11"/>
      <c r="AF11" s="201">
        <v>0</v>
      </c>
      <c r="AH11" s="163"/>
      <c r="AI11" s="163"/>
      <c r="AJ11" s="163"/>
      <c r="AK11" s="163"/>
    </row>
    <row r="12" spans="1:37" s="172" customFormat="1" x14ac:dyDescent="0.3">
      <c r="A12" s="252">
        <v>4</v>
      </c>
      <c r="B12" s="196">
        <v>46146</v>
      </c>
      <c r="C12" s="197">
        <v>130000</v>
      </c>
      <c r="D12" s="197">
        <f t="shared" ca="1" si="0"/>
        <v>7737235.9000000004</v>
      </c>
      <c r="E12" s="198">
        <v>7867235.9000000004</v>
      </c>
      <c r="F12" s="201">
        <v>461209.84</v>
      </c>
      <c r="G12" s="193"/>
      <c r="H12" s="193"/>
      <c r="I12" s="197">
        <v>0</v>
      </c>
      <c r="J12" s="197">
        <v>0</v>
      </c>
      <c r="K12" s="163">
        <f t="shared" ca="1" si="1"/>
        <v>130000</v>
      </c>
      <c r="L12" s="163">
        <f t="shared" ca="1" si="2"/>
        <v>-7737235.9000000004</v>
      </c>
      <c r="M12" s="200">
        <v>45050</v>
      </c>
      <c r="W12"/>
      <c r="AE12" s="163"/>
      <c r="AF12" s="201">
        <v>587342.5</v>
      </c>
      <c r="AH12" s="163"/>
      <c r="AI12" s="163"/>
      <c r="AJ12" s="163"/>
      <c r="AK12" s="163"/>
    </row>
    <row r="13" spans="1:37" s="172" customFormat="1" x14ac:dyDescent="0.3">
      <c r="A13" s="252">
        <v>5</v>
      </c>
      <c r="B13" s="196">
        <v>46147</v>
      </c>
      <c r="C13" s="197">
        <v>104321</v>
      </c>
      <c r="D13" s="197">
        <f t="shared" ca="1" si="0"/>
        <v>4995804.1999999993</v>
      </c>
      <c r="E13" s="198">
        <v>5100125.1999999993</v>
      </c>
      <c r="F13" s="201">
        <v>153899</v>
      </c>
      <c r="G13" s="193"/>
      <c r="H13" s="193"/>
      <c r="I13" s="197">
        <v>15087167.059999999</v>
      </c>
      <c r="J13" s="197">
        <v>19237054.190000001</v>
      </c>
      <c r="K13" s="163">
        <f t="shared" ca="1" si="1"/>
        <v>-14982846.059999999</v>
      </c>
      <c r="L13" s="163">
        <f t="shared" ca="1" si="2"/>
        <v>14241249.990000002</v>
      </c>
      <c r="M13" s="200">
        <v>45051</v>
      </c>
      <c r="W13"/>
      <c r="AE13" s="163"/>
      <c r="AF13" s="201">
        <v>194042</v>
      </c>
      <c r="AH13" s="163"/>
      <c r="AI13" s="163"/>
      <c r="AJ13" s="163"/>
      <c r="AK13" s="163"/>
    </row>
    <row r="14" spans="1:37" s="172" customFormat="1" ht="15" customHeight="1" x14ac:dyDescent="0.3">
      <c r="A14" s="252"/>
      <c r="B14" s="196">
        <v>46148</v>
      </c>
      <c r="C14" s="197">
        <v>0</v>
      </c>
      <c r="D14" s="197">
        <f t="shared" ca="1" si="0"/>
        <v>3125676.99</v>
      </c>
      <c r="E14" s="198">
        <v>3125676.99</v>
      </c>
      <c r="F14" s="201">
        <v>125687.62</v>
      </c>
      <c r="G14" s="193"/>
      <c r="H14" s="193"/>
      <c r="I14" s="197">
        <v>13923731.020000001</v>
      </c>
      <c r="J14" s="197">
        <v>5403520.4199999999</v>
      </c>
      <c r="K14" s="163">
        <f t="shared" ca="1" si="1"/>
        <v>-13923731.020000001</v>
      </c>
      <c r="L14" s="163">
        <f t="shared" ca="1" si="2"/>
        <v>2277843.4299999997</v>
      </c>
      <c r="M14" s="200">
        <v>45052</v>
      </c>
      <c r="W14"/>
      <c r="AE14" s="163"/>
      <c r="AF14" s="201">
        <v>350651</v>
      </c>
      <c r="AH14" s="163"/>
      <c r="AI14" s="163"/>
      <c r="AJ14" s="163"/>
      <c r="AK14" s="163"/>
    </row>
    <row r="15" spans="1:37" s="172" customFormat="1" x14ac:dyDescent="0.3">
      <c r="A15" s="252"/>
      <c r="B15" s="196">
        <v>46149</v>
      </c>
      <c r="C15" s="197">
        <v>0</v>
      </c>
      <c r="D15" s="197">
        <f t="shared" ca="1" si="0"/>
        <v>0</v>
      </c>
      <c r="E15" s="198">
        <v>0</v>
      </c>
      <c r="F15" s="201">
        <v>0</v>
      </c>
      <c r="G15" s="193"/>
      <c r="H15" s="193"/>
      <c r="I15" s="197">
        <v>13995159.780000001</v>
      </c>
      <c r="J15" s="197">
        <v>11816133.899999999</v>
      </c>
      <c r="K15" s="163">
        <f t="shared" ca="1" si="1"/>
        <v>-13995159.780000001</v>
      </c>
      <c r="L15" s="163">
        <f t="shared" ca="1" si="2"/>
        <v>11816133.899999999</v>
      </c>
      <c r="M15" s="200">
        <v>45053</v>
      </c>
      <c r="W15"/>
      <c r="AE15" s="163"/>
      <c r="AF15" s="201">
        <v>0</v>
      </c>
      <c r="AH15" s="163"/>
      <c r="AI15" s="163"/>
      <c r="AJ15" s="163"/>
      <c r="AK15" s="163"/>
    </row>
    <row r="16" spans="1:37" s="172" customFormat="1" ht="13.8" x14ac:dyDescent="0.3">
      <c r="A16" s="252">
        <v>6</v>
      </c>
      <c r="B16" s="196">
        <v>46150</v>
      </c>
      <c r="C16" s="197">
        <v>0</v>
      </c>
      <c r="D16" s="197">
        <f t="shared" ca="1" si="0"/>
        <v>0</v>
      </c>
      <c r="E16" s="198">
        <v>0</v>
      </c>
      <c r="F16" s="201">
        <v>0</v>
      </c>
      <c r="G16" s="193"/>
      <c r="H16" s="193"/>
      <c r="I16" s="197">
        <v>15532677.310000001</v>
      </c>
      <c r="J16" s="197">
        <v>3059004.0000000019</v>
      </c>
      <c r="K16" s="163">
        <f t="shared" ca="1" si="1"/>
        <v>-15532677.310000001</v>
      </c>
      <c r="L16" s="163">
        <f t="shared" ca="1" si="2"/>
        <v>3059004.0000000019</v>
      </c>
      <c r="M16" s="200">
        <v>45054</v>
      </c>
      <c r="AE16" s="163"/>
      <c r="AF16" s="201">
        <v>0</v>
      </c>
      <c r="AH16" s="163"/>
      <c r="AI16" s="163"/>
      <c r="AJ16" s="163"/>
      <c r="AK16" s="163"/>
    </row>
    <row r="17" spans="1:37" s="172" customFormat="1" ht="13.8" hidden="1" x14ac:dyDescent="0.3">
      <c r="A17" s="252">
        <v>7</v>
      </c>
      <c r="B17" s="196">
        <v>46151</v>
      </c>
      <c r="C17" s="197">
        <v>0</v>
      </c>
      <c r="D17" s="197">
        <f t="shared" ca="1" si="0"/>
        <v>0</v>
      </c>
      <c r="E17" s="198">
        <v>0</v>
      </c>
      <c r="F17" s="201">
        <v>0</v>
      </c>
      <c r="G17" s="193"/>
      <c r="H17" s="163"/>
      <c r="I17" s="197">
        <v>18589390.109999999</v>
      </c>
      <c r="J17" s="197">
        <v>6865999</v>
      </c>
      <c r="K17" s="163">
        <f t="shared" ca="1" si="1"/>
        <v>-18589390.109999999</v>
      </c>
      <c r="L17" s="163">
        <f t="shared" ca="1" si="2"/>
        <v>6865999</v>
      </c>
      <c r="M17" s="200">
        <v>45055</v>
      </c>
      <c r="AE17" s="163"/>
      <c r="AF17" s="201">
        <v>0</v>
      </c>
      <c r="AH17" s="163"/>
      <c r="AI17" s="163"/>
      <c r="AJ17" s="163"/>
      <c r="AK17" s="163"/>
    </row>
    <row r="18" spans="1:37" s="172" customFormat="1" ht="13.8" hidden="1" x14ac:dyDescent="0.3">
      <c r="A18" s="252">
        <v>8</v>
      </c>
      <c r="B18" s="196">
        <v>46152</v>
      </c>
      <c r="C18" s="197">
        <v>0</v>
      </c>
      <c r="D18" s="197">
        <f t="shared" ca="1" si="0"/>
        <v>0</v>
      </c>
      <c r="E18" s="198">
        <v>0</v>
      </c>
      <c r="F18" s="201">
        <v>0</v>
      </c>
      <c r="G18" s="193"/>
      <c r="H18" s="163"/>
      <c r="I18" s="197">
        <v>0</v>
      </c>
      <c r="J18" s="197">
        <v>0</v>
      </c>
      <c r="K18" s="163">
        <f t="shared" ca="1" si="1"/>
        <v>0</v>
      </c>
      <c r="L18" s="163">
        <f t="shared" ca="1" si="2"/>
        <v>0</v>
      </c>
      <c r="M18" s="200">
        <v>45056</v>
      </c>
      <c r="AE18" s="163"/>
      <c r="AF18" s="201">
        <v>0</v>
      </c>
      <c r="AH18" s="163"/>
      <c r="AI18" s="163"/>
      <c r="AJ18" s="163"/>
      <c r="AK18" s="163"/>
    </row>
    <row r="19" spans="1:37" s="172" customFormat="1" ht="13.8" x14ac:dyDescent="0.3">
      <c r="A19" s="252">
        <v>9</v>
      </c>
      <c r="B19" s="196">
        <v>46153</v>
      </c>
      <c r="C19" s="197">
        <v>0</v>
      </c>
      <c r="D19" s="197">
        <f t="shared" ca="1" si="0"/>
        <v>0</v>
      </c>
      <c r="E19" s="198">
        <v>0</v>
      </c>
      <c r="F19" s="201">
        <v>0</v>
      </c>
      <c r="G19" s="193"/>
      <c r="H19" s="163"/>
      <c r="I19" s="197">
        <v>0</v>
      </c>
      <c r="J19" s="197">
        <v>0</v>
      </c>
      <c r="K19" s="163">
        <f t="shared" ca="1" si="1"/>
        <v>0</v>
      </c>
      <c r="L19" s="163">
        <f t="shared" ca="1" si="2"/>
        <v>0</v>
      </c>
      <c r="M19" s="200">
        <v>45057</v>
      </c>
      <c r="T19" s="200"/>
      <c r="AE19" s="163"/>
      <c r="AF19" s="201">
        <v>0</v>
      </c>
      <c r="AH19" s="163"/>
      <c r="AI19" s="163"/>
      <c r="AJ19" s="163"/>
      <c r="AK19" s="163"/>
    </row>
    <row r="20" spans="1:37" s="172" customFormat="1" ht="13.8" x14ac:dyDescent="0.3">
      <c r="A20" s="252">
        <v>10</v>
      </c>
      <c r="B20" s="196">
        <v>46154</v>
      </c>
      <c r="C20" s="197">
        <v>0</v>
      </c>
      <c r="D20" s="197">
        <f t="shared" ca="1" si="0"/>
        <v>0</v>
      </c>
      <c r="E20" s="198">
        <v>0</v>
      </c>
      <c r="F20" s="201">
        <v>0</v>
      </c>
      <c r="G20" s="193"/>
      <c r="H20" s="163"/>
      <c r="I20" s="197">
        <v>19090565.399999999</v>
      </c>
      <c r="J20" s="197">
        <v>26755176.399999999</v>
      </c>
      <c r="K20" s="163">
        <f t="shared" ca="1" si="1"/>
        <v>-19090565.399999999</v>
      </c>
      <c r="L20" s="163">
        <f t="shared" ca="1" si="2"/>
        <v>26755176.399999999</v>
      </c>
      <c r="M20" s="200">
        <v>45058</v>
      </c>
      <c r="AE20" s="163"/>
      <c r="AF20" s="201">
        <v>0</v>
      </c>
      <c r="AH20" s="163"/>
      <c r="AI20" s="163"/>
      <c r="AJ20" s="163"/>
      <c r="AK20" s="163"/>
    </row>
    <row r="21" spans="1:37" s="172" customFormat="1" ht="14.1" customHeight="1" x14ac:dyDescent="0.3">
      <c r="A21" s="252"/>
      <c r="B21" s="196">
        <v>46155</v>
      </c>
      <c r="C21" s="197">
        <v>0</v>
      </c>
      <c r="D21" s="197">
        <f t="shared" ca="1" si="0"/>
        <v>0</v>
      </c>
      <c r="E21" s="198">
        <v>0</v>
      </c>
      <c r="F21" s="201">
        <v>0</v>
      </c>
      <c r="G21" s="193"/>
      <c r="H21" s="163"/>
      <c r="I21" s="197">
        <v>0</v>
      </c>
      <c r="J21" s="197">
        <v>0</v>
      </c>
      <c r="K21" s="163">
        <f t="shared" ca="1" si="1"/>
        <v>0</v>
      </c>
      <c r="L21" s="163">
        <f t="shared" ca="1" si="2"/>
        <v>0</v>
      </c>
      <c r="M21" s="200">
        <v>45059</v>
      </c>
      <c r="AE21" s="193"/>
      <c r="AF21" s="201">
        <v>0</v>
      </c>
      <c r="AH21" s="163"/>
      <c r="AI21" s="163"/>
      <c r="AJ21" s="163"/>
      <c r="AK21" s="163"/>
    </row>
    <row r="22" spans="1:37" s="172" customFormat="1" ht="13.8" x14ac:dyDescent="0.3">
      <c r="A22" s="252"/>
      <c r="B22" s="196">
        <v>46156</v>
      </c>
      <c r="C22" s="197">
        <v>0</v>
      </c>
      <c r="D22" s="197">
        <f t="shared" ca="1" si="0"/>
        <v>0</v>
      </c>
      <c r="E22" s="198">
        <v>0</v>
      </c>
      <c r="F22" s="201">
        <v>0</v>
      </c>
      <c r="G22" s="193"/>
      <c r="I22" s="197">
        <v>0</v>
      </c>
      <c r="J22" s="197">
        <v>0</v>
      </c>
      <c r="K22" s="163">
        <f t="shared" ca="1" si="1"/>
        <v>0</v>
      </c>
      <c r="L22" s="163">
        <f t="shared" ca="1" si="2"/>
        <v>0</v>
      </c>
      <c r="M22" s="200">
        <v>45060</v>
      </c>
      <c r="AF22" s="201">
        <v>0</v>
      </c>
      <c r="AH22" s="163"/>
      <c r="AI22" s="163"/>
      <c r="AJ22" s="163"/>
      <c r="AK22" s="163"/>
    </row>
    <row r="23" spans="1:37" s="172" customFormat="1" ht="13.8" x14ac:dyDescent="0.3">
      <c r="A23" s="252">
        <v>11</v>
      </c>
      <c r="B23" s="196">
        <v>46157</v>
      </c>
      <c r="C23" s="197">
        <v>0</v>
      </c>
      <c r="D23" s="197">
        <f t="shared" ca="1" si="0"/>
        <v>0</v>
      </c>
      <c r="E23" s="198">
        <v>0</v>
      </c>
      <c r="F23" s="201">
        <v>0</v>
      </c>
      <c r="G23" s="193"/>
      <c r="I23" s="197">
        <v>0</v>
      </c>
      <c r="J23" s="197">
        <v>0</v>
      </c>
      <c r="K23" s="163">
        <f t="shared" ca="1" si="1"/>
        <v>0</v>
      </c>
      <c r="L23" s="163">
        <f t="shared" ca="1" si="2"/>
        <v>0</v>
      </c>
      <c r="M23" s="200">
        <v>45061</v>
      </c>
      <c r="AE23" s="163"/>
      <c r="AF23" s="201">
        <v>0</v>
      </c>
      <c r="AH23" s="163"/>
      <c r="AI23" s="163"/>
      <c r="AJ23" s="163"/>
      <c r="AK23" s="163"/>
    </row>
    <row r="24" spans="1:37" s="172" customFormat="1" ht="13.8" hidden="1" x14ac:dyDescent="0.3">
      <c r="A24" s="252">
        <v>12</v>
      </c>
      <c r="B24" s="196">
        <v>46158</v>
      </c>
      <c r="C24" s="197">
        <v>0</v>
      </c>
      <c r="D24" s="197">
        <f t="shared" ca="1" si="0"/>
        <v>0</v>
      </c>
      <c r="E24" s="198">
        <v>0</v>
      </c>
      <c r="F24" s="201">
        <v>0</v>
      </c>
      <c r="G24" s="193"/>
      <c r="I24" s="197">
        <v>0</v>
      </c>
      <c r="J24" s="197">
        <v>0</v>
      </c>
      <c r="K24" s="163">
        <f t="shared" ca="1" si="1"/>
        <v>0</v>
      </c>
      <c r="L24" s="163">
        <f t="shared" ca="1" si="2"/>
        <v>0</v>
      </c>
      <c r="M24" s="200">
        <v>45062</v>
      </c>
      <c r="AF24" s="201">
        <v>0</v>
      </c>
      <c r="AH24" s="163"/>
      <c r="AI24" s="163"/>
      <c r="AJ24" s="163"/>
      <c r="AK24" s="163"/>
    </row>
    <row r="25" spans="1:37" s="172" customFormat="1" ht="13.8" hidden="1" x14ac:dyDescent="0.3">
      <c r="A25" s="252">
        <v>13</v>
      </c>
      <c r="B25" s="196">
        <v>46159</v>
      </c>
      <c r="C25" s="197">
        <v>0</v>
      </c>
      <c r="D25" s="197">
        <f t="shared" ca="1" si="0"/>
        <v>0</v>
      </c>
      <c r="E25" s="198">
        <v>0</v>
      </c>
      <c r="F25" s="201">
        <v>0</v>
      </c>
      <c r="G25" s="193"/>
      <c r="I25" s="197">
        <v>0</v>
      </c>
      <c r="J25" s="197">
        <v>0</v>
      </c>
      <c r="K25" s="163">
        <f t="shared" ca="1" si="1"/>
        <v>0</v>
      </c>
      <c r="L25" s="163">
        <f t="shared" ca="1" si="2"/>
        <v>0</v>
      </c>
      <c r="M25" s="200">
        <v>45063</v>
      </c>
      <c r="V25" s="172">
        <f ca="1">SUM(V23,V17)</f>
        <v>0</v>
      </c>
      <c r="AF25" s="201">
        <v>0</v>
      </c>
      <c r="AG25" s="204"/>
      <c r="AH25" s="163"/>
      <c r="AI25" s="163"/>
      <c r="AJ25" s="163"/>
      <c r="AK25" s="163"/>
    </row>
    <row r="26" spans="1:37" s="172" customFormat="1" ht="13.8" x14ac:dyDescent="0.3">
      <c r="A26" s="252">
        <v>14</v>
      </c>
      <c r="B26" s="196">
        <v>46160</v>
      </c>
      <c r="C26" s="197">
        <v>0</v>
      </c>
      <c r="D26" s="197">
        <f t="shared" ca="1" si="0"/>
        <v>0</v>
      </c>
      <c r="E26" s="198">
        <v>0</v>
      </c>
      <c r="F26" s="201">
        <v>0</v>
      </c>
      <c r="G26" s="193"/>
      <c r="I26" s="253">
        <v>0</v>
      </c>
      <c r="J26" s="253">
        <v>0</v>
      </c>
      <c r="K26" s="163">
        <f t="shared" ca="1" si="1"/>
        <v>0</v>
      </c>
      <c r="L26" s="163">
        <f t="shared" ca="1" si="2"/>
        <v>0</v>
      </c>
      <c r="M26" s="200">
        <v>45064</v>
      </c>
      <c r="AE26" s="163"/>
      <c r="AF26" s="201">
        <v>0</v>
      </c>
      <c r="AG26" s="204"/>
      <c r="AH26" s="163"/>
      <c r="AJ26" s="163"/>
      <c r="AK26" s="163"/>
    </row>
    <row r="27" spans="1:37" s="172" customFormat="1" ht="13.8" x14ac:dyDescent="0.3">
      <c r="A27" s="252">
        <v>15</v>
      </c>
      <c r="B27" s="196">
        <v>46161</v>
      </c>
      <c r="C27" s="197">
        <v>0</v>
      </c>
      <c r="D27" s="197">
        <f t="shared" ca="1" si="0"/>
        <v>0</v>
      </c>
      <c r="E27" s="198">
        <v>0</v>
      </c>
      <c r="F27" s="201">
        <v>0</v>
      </c>
      <c r="G27" s="193"/>
      <c r="I27" s="254"/>
      <c r="J27" s="254"/>
      <c r="K27" s="207"/>
      <c r="L27" s="207"/>
      <c r="M27" s="200"/>
      <c r="AE27" s="207"/>
      <c r="AF27" s="201">
        <v>0</v>
      </c>
      <c r="AG27" s="204"/>
      <c r="AH27" s="163"/>
      <c r="AJ27" s="163"/>
      <c r="AK27" s="163"/>
    </row>
    <row r="28" spans="1:37" s="172" customFormat="1" ht="13.8" x14ac:dyDescent="0.3">
      <c r="A28" s="252"/>
      <c r="B28" s="196">
        <v>46162</v>
      </c>
      <c r="C28" s="197">
        <v>0</v>
      </c>
      <c r="D28" s="197">
        <f t="shared" ca="1" si="0"/>
        <v>0</v>
      </c>
      <c r="E28" s="198">
        <v>0</v>
      </c>
      <c r="F28" s="201">
        <v>0</v>
      </c>
      <c r="G28" s="193"/>
      <c r="I28" s="254"/>
      <c r="J28" s="254"/>
      <c r="K28" s="207"/>
      <c r="L28" s="207"/>
      <c r="M28" s="200"/>
      <c r="AE28" s="207"/>
      <c r="AF28" s="201">
        <v>0</v>
      </c>
      <c r="AG28" s="204"/>
      <c r="AH28" s="163"/>
      <c r="AJ28" s="163"/>
      <c r="AK28" s="163"/>
    </row>
    <row r="29" spans="1:37" s="172" customFormat="1" ht="13.8" x14ac:dyDescent="0.3">
      <c r="A29" s="252"/>
      <c r="B29" s="196">
        <v>46163</v>
      </c>
      <c r="C29" s="197">
        <v>0</v>
      </c>
      <c r="D29" s="197">
        <f t="shared" ca="1" si="0"/>
        <v>0</v>
      </c>
      <c r="E29" s="198">
        <v>0</v>
      </c>
      <c r="F29" s="201">
        <v>0</v>
      </c>
      <c r="G29" s="193"/>
      <c r="I29" s="254"/>
      <c r="J29" s="254"/>
      <c r="K29" s="207"/>
      <c r="L29" s="207"/>
      <c r="M29" s="200"/>
      <c r="AE29" s="207"/>
      <c r="AF29" s="201">
        <v>0</v>
      </c>
      <c r="AG29" s="204"/>
      <c r="AH29" s="163"/>
      <c r="AJ29" s="163"/>
      <c r="AK29" s="163"/>
    </row>
    <row r="30" spans="1:37" s="172" customFormat="1" x14ac:dyDescent="0.3">
      <c r="A30" s="252">
        <v>16</v>
      </c>
      <c r="B30" s="196">
        <v>46164</v>
      </c>
      <c r="C30" s="197">
        <v>0</v>
      </c>
      <c r="D30" s="197">
        <f t="shared" ca="1" si="0"/>
        <v>0</v>
      </c>
      <c r="E30" s="198">
        <v>0</v>
      </c>
      <c r="F30" s="201">
        <v>0</v>
      </c>
      <c r="G30" s="238"/>
      <c r="I30" s="254"/>
      <c r="J30" s="254"/>
      <c r="K30" s="207"/>
      <c r="L30" s="207"/>
      <c r="M30" s="200"/>
      <c r="AE30" s="207"/>
      <c r="AF30" s="201">
        <v>0</v>
      </c>
      <c r="AG30" s="204"/>
      <c r="AH30" s="163"/>
      <c r="AJ30" s="163"/>
      <c r="AK30" s="163"/>
    </row>
    <row r="31" spans="1:37" s="172" customFormat="1" ht="13.8" hidden="1" x14ac:dyDescent="0.3">
      <c r="A31" s="252">
        <v>17</v>
      </c>
      <c r="B31" s="196">
        <v>46165</v>
      </c>
      <c r="C31" s="197">
        <v>0</v>
      </c>
      <c r="D31" s="197">
        <f t="shared" ca="1" si="0"/>
        <v>0</v>
      </c>
      <c r="E31" s="198">
        <v>0</v>
      </c>
      <c r="F31" s="201">
        <v>0</v>
      </c>
      <c r="G31" s="193"/>
      <c r="I31" s="254"/>
      <c r="J31" s="254"/>
      <c r="K31" s="207"/>
      <c r="L31" s="207"/>
      <c r="M31" s="200"/>
      <c r="AF31" s="201">
        <v>0</v>
      </c>
      <c r="AG31" s="204"/>
      <c r="AH31" s="163"/>
      <c r="AJ31" s="163"/>
      <c r="AK31" s="163"/>
    </row>
    <row r="32" spans="1:37" s="172" customFormat="1" ht="13.8" hidden="1" x14ac:dyDescent="0.3">
      <c r="A32" s="252">
        <v>18</v>
      </c>
      <c r="B32" s="196">
        <v>46166</v>
      </c>
      <c r="C32" s="197">
        <v>0</v>
      </c>
      <c r="D32" s="197">
        <f t="shared" ca="1" si="0"/>
        <v>0</v>
      </c>
      <c r="E32" s="198">
        <v>0</v>
      </c>
      <c r="F32" s="201">
        <v>0</v>
      </c>
      <c r="G32" s="193"/>
      <c r="I32" s="254"/>
      <c r="J32" s="254"/>
      <c r="K32" s="207"/>
      <c r="L32" s="207"/>
      <c r="M32" s="200"/>
      <c r="AE32" s="207"/>
      <c r="AF32" s="201">
        <v>0</v>
      </c>
      <c r="AG32" s="204"/>
      <c r="AH32" s="163"/>
      <c r="AJ32" s="163"/>
      <c r="AK32" s="163"/>
    </row>
    <row r="33" spans="1:37" s="172" customFormat="1" ht="13.8" x14ac:dyDescent="0.3">
      <c r="A33" s="252">
        <v>19</v>
      </c>
      <c r="B33" s="196">
        <v>46167</v>
      </c>
      <c r="C33" s="197">
        <v>0</v>
      </c>
      <c r="D33" s="197">
        <f t="shared" ca="1" si="0"/>
        <v>0</v>
      </c>
      <c r="E33" s="198">
        <v>0</v>
      </c>
      <c r="F33" s="201">
        <v>0</v>
      </c>
      <c r="G33" s="193"/>
      <c r="H33" s="207"/>
      <c r="I33" s="254"/>
      <c r="J33" s="254"/>
      <c r="K33" s="207"/>
      <c r="L33" s="207"/>
      <c r="M33" s="200"/>
      <c r="AE33" s="207"/>
      <c r="AF33" s="201">
        <v>0</v>
      </c>
      <c r="AG33" s="204"/>
      <c r="AH33" s="163"/>
      <c r="AJ33" s="163"/>
      <c r="AK33" s="163"/>
    </row>
    <row r="34" spans="1:37" s="172" customFormat="1" ht="13.8" hidden="1" x14ac:dyDescent="0.3">
      <c r="A34" s="252">
        <v>20</v>
      </c>
      <c r="B34" s="196">
        <v>46168</v>
      </c>
      <c r="C34" s="197">
        <v>0</v>
      </c>
      <c r="D34" s="197">
        <f t="shared" ca="1" si="0"/>
        <v>0</v>
      </c>
      <c r="E34" s="198">
        <v>0</v>
      </c>
      <c r="F34" s="201">
        <v>0</v>
      </c>
      <c r="G34" s="193"/>
      <c r="I34" s="254"/>
      <c r="J34" s="254"/>
      <c r="K34" s="207"/>
      <c r="L34" s="207"/>
      <c r="M34" s="200"/>
      <c r="AE34" s="207"/>
      <c r="AF34" s="201">
        <v>0</v>
      </c>
      <c r="AH34" s="163"/>
      <c r="AJ34" s="163"/>
      <c r="AK34" s="163"/>
    </row>
    <row r="35" spans="1:37" s="172" customFormat="1" ht="13.8" hidden="1" x14ac:dyDescent="0.3">
      <c r="A35" s="252"/>
      <c r="B35" s="196">
        <v>46169</v>
      </c>
      <c r="C35" s="197">
        <v>0</v>
      </c>
      <c r="D35" s="197">
        <f t="shared" ca="1" si="0"/>
        <v>0</v>
      </c>
      <c r="E35" s="198">
        <v>0</v>
      </c>
      <c r="F35" s="201">
        <v>0</v>
      </c>
      <c r="G35" s="193"/>
      <c r="I35" s="207"/>
      <c r="J35" s="207"/>
      <c r="K35" s="207"/>
      <c r="L35" s="207"/>
      <c r="M35" s="200"/>
      <c r="AF35" s="201">
        <v>0</v>
      </c>
      <c r="AH35" s="163"/>
      <c r="AJ35" s="163"/>
      <c r="AK35" s="163"/>
    </row>
    <row r="36" spans="1:37" s="172" customFormat="1" ht="13.8" hidden="1" x14ac:dyDescent="0.3">
      <c r="A36" s="252"/>
      <c r="B36" s="196">
        <v>46170</v>
      </c>
      <c r="C36" s="197">
        <v>0</v>
      </c>
      <c r="D36" s="197">
        <f t="shared" ca="1" si="0"/>
        <v>0</v>
      </c>
      <c r="E36" s="198">
        <v>0</v>
      </c>
      <c r="F36" s="201">
        <v>0</v>
      </c>
      <c r="G36" s="193"/>
      <c r="H36" s="207"/>
      <c r="I36" s="207"/>
      <c r="J36" s="207"/>
      <c r="K36" s="207"/>
      <c r="L36" s="207"/>
      <c r="M36" s="200"/>
      <c r="AF36" s="201">
        <v>0</v>
      </c>
      <c r="AH36" s="163"/>
      <c r="AJ36" s="163"/>
      <c r="AK36" s="163"/>
    </row>
    <row r="37" spans="1:37" s="172" customFormat="1" ht="13.8" hidden="1" x14ac:dyDescent="0.3">
      <c r="A37" s="252">
        <v>21</v>
      </c>
      <c r="B37" s="196">
        <v>46171</v>
      </c>
      <c r="C37" s="197">
        <v>0</v>
      </c>
      <c r="D37" s="197">
        <f t="shared" ca="1" si="0"/>
        <v>0</v>
      </c>
      <c r="E37" s="198">
        <v>0</v>
      </c>
      <c r="F37" s="201">
        <v>0</v>
      </c>
      <c r="G37" s="255"/>
      <c r="I37" s="207"/>
      <c r="J37" s="207"/>
      <c r="K37" s="207"/>
      <c r="L37" s="207"/>
      <c r="M37" s="200"/>
      <c r="AE37" s="207"/>
      <c r="AF37" s="201">
        <v>0</v>
      </c>
      <c r="AH37" s="163"/>
      <c r="AJ37" s="163"/>
      <c r="AK37" s="163"/>
    </row>
    <row r="38" spans="1:37" s="172" customFormat="1" ht="13.8" hidden="1" x14ac:dyDescent="0.3">
      <c r="A38" s="252">
        <v>22</v>
      </c>
      <c r="B38" s="196">
        <v>46172</v>
      </c>
      <c r="C38" s="197">
        <v>0</v>
      </c>
      <c r="D38" s="197">
        <f t="shared" ca="1" si="0"/>
        <v>0</v>
      </c>
      <c r="E38" s="198">
        <v>0</v>
      </c>
      <c r="F38" s="201">
        <v>0</v>
      </c>
      <c r="G38" s="193"/>
      <c r="I38" s="207"/>
      <c r="J38" s="207"/>
      <c r="K38" s="207"/>
      <c r="L38" s="207"/>
      <c r="AE38" s="207"/>
      <c r="AF38" s="201">
        <v>0</v>
      </c>
      <c r="AH38" s="163"/>
      <c r="AJ38" s="163"/>
      <c r="AK38" s="163"/>
    </row>
    <row r="39" spans="1:37" s="172" customFormat="1" ht="13.8" hidden="1" x14ac:dyDescent="0.3">
      <c r="A39" s="256">
        <v>23</v>
      </c>
      <c r="B39" s="209">
        <v>46173</v>
      </c>
      <c r="C39" s="197">
        <v>0</v>
      </c>
      <c r="D39" s="197">
        <f t="shared" ca="1" si="0"/>
        <v>0</v>
      </c>
      <c r="E39" s="198">
        <v>0</v>
      </c>
      <c r="F39" s="201">
        <v>0</v>
      </c>
      <c r="G39" s="193"/>
      <c r="H39" s="193"/>
      <c r="I39" s="207"/>
      <c r="J39" s="207"/>
      <c r="K39" s="207"/>
      <c r="L39" s="207"/>
      <c r="AE39" s="207"/>
      <c r="AF39" s="201">
        <v>0</v>
      </c>
      <c r="AH39" s="163"/>
      <c r="AJ39" s="163"/>
      <c r="AK39" s="163"/>
    </row>
    <row r="40" spans="1:37" s="172" customFormat="1" ht="13.8" x14ac:dyDescent="0.3">
      <c r="A40" s="211" t="s">
        <v>81</v>
      </c>
      <c r="B40" s="211"/>
      <c r="C40" s="212">
        <f ca="1">SUM(C9:C39)</f>
        <v>1223891</v>
      </c>
      <c r="D40" s="212">
        <f ca="1">SUM(D9:D39)</f>
        <v>15945429.59</v>
      </c>
      <c r="E40" s="213">
        <f ca="1">SUM(E9:E39)</f>
        <v>17169320.59</v>
      </c>
      <c r="F40" s="215">
        <f ca="1">SUM(F9:F39)</f>
        <v>1256201.1299999999</v>
      </c>
      <c r="G40" s="193"/>
      <c r="H40" s="193"/>
      <c r="I40" s="207"/>
      <c r="J40" s="207"/>
      <c r="K40" s="207"/>
      <c r="L40" s="207"/>
      <c r="P40" s="207"/>
      <c r="AE40" s="207"/>
      <c r="AF40" s="257">
        <f ca="1">SUM(AF9:AF39)</f>
        <v>1954583.93</v>
      </c>
      <c r="AG40" s="193"/>
      <c r="AH40" s="163"/>
      <c r="AJ40" s="193"/>
    </row>
    <row r="41" spans="1:37" ht="10.35" customHeight="1" x14ac:dyDescent="0.3">
      <c r="A41" s="258"/>
      <c r="B41" s="217"/>
      <c r="C41" s="217"/>
      <c r="D41" s="217"/>
      <c r="E41" s="217"/>
      <c r="F41" s="259"/>
      <c r="I41" s="260"/>
      <c r="J41" s="260"/>
      <c r="K41" s="260"/>
      <c r="L41" s="260"/>
      <c r="AE41" s="44"/>
    </row>
    <row r="42" spans="1:37" ht="14.1" customHeight="1" x14ac:dyDescent="0.3">
      <c r="A42" s="220" t="s">
        <v>82</v>
      </c>
      <c r="B42" s="220"/>
      <c r="C42" s="220"/>
      <c r="D42" s="220"/>
      <c r="E42" s="220"/>
      <c r="F42" s="220"/>
      <c r="G42" s="193"/>
      <c r="I42" s="260"/>
      <c r="J42" s="260"/>
      <c r="K42" s="260"/>
      <c r="L42" s="260"/>
      <c r="AE42" s="44"/>
    </row>
    <row r="43" spans="1:37" x14ac:dyDescent="0.3">
      <c r="A43" s="243" t="s">
        <v>83</v>
      </c>
      <c r="B43" s="174"/>
      <c r="C43" s="222" t="s">
        <v>74</v>
      </c>
      <c r="D43" s="222" t="s">
        <v>75</v>
      </c>
      <c r="E43" s="222" t="s">
        <v>18</v>
      </c>
      <c r="F43" s="261"/>
      <c r="G43" s="262"/>
      <c r="AE43" s="44"/>
      <c r="AF43" s="44"/>
    </row>
    <row r="44" spans="1:37" x14ac:dyDescent="0.3">
      <c r="A44" s="263" t="s">
        <v>84</v>
      </c>
      <c r="B44" s="225"/>
      <c r="C44" s="188">
        <f ca="1">C47-C45</f>
        <v>393720.83000000007</v>
      </c>
      <c r="D44" s="188">
        <f ca="1">D47-D45</f>
        <v>52477344.929999992</v>
      </c>
      <c r="E44" s="189">
        <f ca="1">D44+C44</f>
        <v>52871065.75999999</v>
      </c>
      <c r="F44" s="261"/>
      <c r="G44" s="264"/>
      <c r="AE44" s="44"/>
      <c r="AF44" s="44"/>
    </row>
    <row r="45" spans="1:37" x14ac:dyDescent="0.3">
      <c r="A45" s="265" t="s">
        <v>85</v>
      </c>
      <c r="B45" s="228"/>
      <c r="C45" s="188">
        <f ca="1">C40</f>
        <v>1223891</v>
      </c>
      <c r="D45" s="188">
        <f ca="1">D40</f>
        <v>15945429.59</v>
      </c>
      <c r="E45" s="189">
        <f ca="1">D45+C45</f>
        <v>17169320.59</v>
      </c>
      <c r="F45" s="261"/>
      <c r="AE45" s="44"/>
      <c r="AF45" s="44"/>
    </row>
    <row r="46" spans="1:37" x14ac:dyDescent="0.3">
      <c r="A46" s="266" t="s">
        <v>86</v>
      </c>
      <c r="B46" s="231"/>
      <c r="C46" s="232">
        <v>0</v>
      </c>
      <c r="D46" s="232">
        <v>0</v>
      </c>
      <c r="E46" s="233">
        <f ca="1">D46+C46</f>
        <v>0</v>
      </c>
      <c r="F46" s="261"/>
      <c r="AE46" s="44"/>
      <c r="AF46" s="44"/>
    </row>
    <row r="47" spans="1:37" x14ac:dyDescent="0.3">
      <c r="A47" s="267" t="s">
        <v>87</v>
      </c>
      <c r="B47" s="268"/>
      <c r="C47" s="269">
        <v>1617611.83</v>
      </c>
      <c r="D47" s="269">
        <v>68422774.519999996</v>
      </c>
      <c r="E47" s="269">
        <f ca="1">D47+C47</f>
        <v>70040386.349999994</v>
      </c>
      <c r="F47" s="270"/>
      <c r="AE47" s="44"/>
    </row>
    <row r="49" spans="7:33" x14ac:dyDescent="0.3">
      <c r="G49" s="44"/>
      <c r="AE49" s="44"/>
      <c r="AF49" s="44"/>
    </row>
    <row r="50" spans="7:33" x14ac:dyDescent="0.3">
      <c r="G50" s="44"/>
    </row>
    <row r="52" spans="7:33" x14ac:dyDescent="0.3">
      <c r="G52" s="44"/>
      <c r="AF52" s="44"/>
    </row>
    <row r="53" spans="7:33" x14ac:dyDescent="0.3">
      <c r="AF53" s="239"/>
      <c r="AG53" s="240"/>
    </row>
    <row r="55" spans="7:33" hidden="1" x14ac:dyDescent="0.3"/>
    <row r="171" spans="12:12" hidden="1" x14ac:dyDescent="0.3"/>
    <row r="172" spans="12:12" x14ac:dyDescent="0.3">
      <c r="L172" s="161">
        <v>0</v>
      </c>
    </row>
  </sheetData>
  <mergeCells count="14">
    <mergeCell ref="A41:F41"/>
    <mergeCell ref="A42:F42"/>
    <mergeCell ref="A43:B43"/>
    <mergeCell ref="F43:F47"/>
    <mergeCell ref="A44:B44"/>
    <mergeCell ref="A45:B45"/>
    <mergeCell ref="A46:B46"/>
    <mergeCell ref="A47:B47"/>
    <mergeCell ref="B1:F1"/>
    <mergeCell ref="B2:F2"/>
    <mergeCell ref="A4:B4"/>
    <mergeCell ref="A5:B5"/>
    <mergeCell ref="A6:B6"/>
    <mergeCell ref="A40:B40"/>
  </mergeCells>
  <pageMargins left="0.70866141732283461" right="0.70866141732283461" top="0.55118110236220474" bottom="0.55118110236220474" header="0.31496062992125984" footer="0.31496062992125984"/>
  <pageSetup paperSize="9" orientation="landscape" r:id="rId1"/>
  <headerFooter alignWithMargins="0">
    <oddHeader>&amp;LSOBHA LLC&amp;R&amp;D</oddHeader>
    <oddFooter>&amp;LCOLLECTIONS&amp;R&amp;P/&amp;N</oddFooter>
  </headerFooter>
  <colBreaks count="4" manualBreakCount="4">
    <brk id="9" max="1048575" man="1"/>
    <brk id="16" max="1048575" man="1"/>
    <brk id="19" max="1048575" man="1"/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MDO Dynamic</vt:lpstr>
      <vt:lpstr>Monthwise MDO</vt:lpstr>
      <vt:lpstr>Siniya Units Sales</vt:lpstr>
      <vt:lpstr>Dowtown Units Sales</vt:lpstr>
      <vt:lpstr>daily</vt:lpstr>
      <vt:lpstr>daily (2)</vt:lpstr>
      <vt:lpstr>daily (3)</vt:lpstr>
      <vt:lpstr>daily (4)</vt:lpstr>
      <vt:lpstr>daily (5)</vt:lpstr>
      <vt:lpstr>daily!Print_Area</vt:lpstr>
      <vt:lpstr>'daily (2)'!Print_Area</vt:lpstr>
      <vt:lpstr>'daily (3)'!Print_Area</vt:lpstr>
      <vt:lpstr>'daily (4)'!Print_Area</vt:lpstr>
      <vt:lpstr>'daily (5)'!Print_Area</vt:lpstr>
      <vt:lpstr>'Dowtown Units Sales'!Print_Area</vt:lpstr>
      <vt:lpstr>'MDO Dynamic'!Print_Area</vt:lpstr>
      <vt:lpstr>'Monthwise MDO'!Print_Area</vt:lpstr>
      <vt:lpstr>'Siniya Units Sales'!Print_Area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Sharma</dc:creator>
  <cp:lastModifiedBy>Rajesh Kumar Sharma</cp:lastModifiedBy>
  <dcterms:created xsi:type="dcterms:W3CDTF">2026-05-06T17:36:04Z</dcterms:created>
  <dcterms:modified xsi:type="dcterms:W3CDTF">2026-05-06T17:38:31Z</dcterms:modified>
</cp:coreProperties>
</file>