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d.selvam\Downloads\"/>
    </mc:Choice>
  </mc:AlternateContent>
  <xr:revisionPtr revIDLastSave="0" documentId="8_{54A4A7E1-AFB3-4075-A72F-8D1EEDDC3FD2}" xr6:coauthVersionLast="47" xr6:coauthVersionMax="47" xr10:uidLastSave="{00000000-0000-0000-0000-000000000000}"/>
  <bookViews>
    <workbookView xWindow="-120" yWindow="-120" windowWidth="29040" windowHeight="15720" xr2:uid="{7C581FCA-6697-4DE1-B10D-DC09153151AB}"/>
  </bookViews>
  <sheets>
    <sheet name="Summary" sheetId="1" r:id="rId1"/>
    <sheet name="Trend (3)" sheetId="2" r:id="rId2"/>
    <sheet name="Advance trendm" sheetId="3" r:id="rId3"/>
  </sheets>
  <definedNames>
    <definedName name="_xlnm._FilterDatabase" localSheetId="2" hidden="1">'Advance trendm'!$A$2:$CK$46</definedName>
    <definedName name="_xlcn.WorksheetConnection_Sheet19A1E16961" hidden="1">#REF!</definedName>
    <definedName name="Ak">!#REF!</definedName>
    <definedName name="NOB">!#REF!</definedName>
    <definedName name="_xlnm.Print_Area" localSheetId="0">Summary!$B$5:$L$208</definedName>
    <definedName name="_xlnm.Print_Area" localSheetId="1">'Trend (3)'!$A$1:$AX$185</definedName>
    <definedName name="_xlnm.Print_Titles" localSheetId="1">'Trend (3)'!$A:$A</definedName>
    <definedName name="qwerty">#REF!</definedName>
    <definedName name="Source">!#REF!</definedName>
    <definedName name="SRCE">!#REF!</definedName>
    <definedName name="Style">!#REF!</definedName>
    <definedName name="TOS">!#REF!</definedName>
    <definedName name="Type">!#REF!</definedName>
    <definedName name="VLOOKUP">!#REF!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0" i="3" l="1"/>
  <c r="K49" i="3"/>
  <c r="J49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CK40" i="3"/>
  <c r="CJ40" i="3"/>
  <c r="CI40" i="3"/>
  <c r="CH40" i="3"/>
  <c r="CG40" i="3"/>
  <c r="CF40" i="3"/>
  <c r="CE40" i="3"/>
  <c r="BB40" i="3"/>
  <c r="BA40" i="3"/>
  <c r="AZ40" i="3"/>
  <c r="AY40" i="3"/>
  <c r="AX40" i="3"/>
  <c r="AW40" i="3"/>
  <c r="AV40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A38" i="3"/>
  <c r="Z38" i="3"/>
  <c r="Y38" i="3"/>
  <c r="X38" i="3"/>
  <c r="W38" i="3"/>
  <c r="V38" i="3"/>
  <c r="U38" i="3"/>
  <c r="T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CK33" i="3"/>
  <c r="CJ33" i="3"/>
  <c r="CI33" i="3"/>
  <c r="CH33" i="3"/>
  <c r="CG33" i="3"/>
  <c r="CF33" i="3"/>
  <c r="CE33" i="3"/>
  <c r="BB33" i="3"/>
  <c r="BA33" i="3"/>
  <c r="AZ33" i="3"/>
  <c r="AY33" i="3"/>
  <c r="AX33" i="3"/>
  <c r="AW33" i="3"/>
  <c r="AV33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B7" i="3"/>
  <c r="BA7" i="3"/>
  <c r="AZ7" i="3"/>
  <c r="AY7" i="3"/>
  <c r="AX7" i="3"/>
  <c r="AW7" i="3"/>
  <c r="AV7" i="3"/>
  <c r="AU7" i="3"/>
  <c r="AT7" i="3"/>
  <c r="AR7" i="3"/>
  <c r="AQ7" i="3"/>
  <c r="AP7" i="3"/>
  <c r="AO7" i="3"/>
  <c r="AN7" i="3"/>
  <c r="AM7" i="3"/>
  <c r="AL7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B4" i="3"/>
  <c r="BA4" i="3"/>
  <c r="AZ4" i="3"/>
  <c r="AY4" i="3"/>
  <c r="AX4" i="3"/>
  <c r="AW4" i="3"/>
  <c r="AU4" i="3"/>
  <c r="AT4" i="3"/>
  <c r="AS4" i="3"/>
  <c r="AR4" i="3"/>
  <c r="AQ4" i="3"/>
  <c r="AP4" i="3"/>
  <c r="AO4" i="3"/>
  <c r="AN4" i="3"/>
  <c r="AM4" i="3"/>
  <c r="AL4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X137" i="2"/>
  <c r="AV137" i="2"/>
  <c r="AU137" i="2"/>
  <c r="AT137" i="2"/>
  <c r="AS137" i="2"/>
  <c r="AR137" i="2"/>
  <c r="AQ137" i="2"/>
  <c r="AP137" i="2"/>
  <c r="AL137" i="2"/>
  <c r="AK137" i="2"/>
  <c r="AJ137" i="2"/>
  <c r="AF137" i="2"/>
  <c r="AE137" i="2"/>
  <c r="AB137" i="2"/>
  <c r="AA137" i="2"/>
  <c r="Z137" i="2"/>
  <c r="Y137" i="2"/>
  <c r="X137" i="2"/>
  <c r="W137" i="2"/>
  <c r="V137" i="2"/>
  <c r="R137" i="2"/>
  <c r="Q137" i="2"/>
  <c r="P137" i="2"/>
  <c r="O137" i="2"/>
  <c r="N137" i="2"/>
  <c r="M137" i="2"/>
  <c r="AX136" i="2"/>
  <c r="AV136" i="2"/>
  <c r="AU136" i="2"/>
  <c r="AT136" i="2"/>
  <c r="AS136" i="2"/>
  <c r="AR136" i="2"/>
  <c r="AQ136" i="2"/>
  <c r="AP136" i="2"/>
  <c r="AL136" i="2"/>
  <c r="AK136" i="2"/>
  <c r="AJ136" i="2"/>
  <c r="AF136" i="2"/>
  <c r="AE136" i="2"/>
  <c r="AB136" i="2"/>
  <c r="AA136" i="2"/>
  <c r="Z136" i="2"/>
  <c r="Y136" i="2"/>
  <c r="X136" i="2"/>
  <c r="W136" i="2"/>
  <c r="V136" i="2"/>
  <c r="R136" i="2"/>
  <c r="Q136" i="2"/>
  <c r="P136" i="2"/>
  <c r="O136" i="2"/>
  <c r="N136" i="2"/>
  <c r="M136" i="2"/>
  <c r="H136" i="2"/>
  <c r="AX135" i="2"/>
  <c r="AV135" i="2"/>
  <c r="AU135" i="2"/>
  <c r="AT135" i="2"/>
  <c r="AS135" i="2"/>
  <c r="AR135" i="2"/>
  <c r="AQ135" i="2"/>
  <c r="AP135" i="2"/>
  <c r="AL135" i="2"/>
  <c r="AK135" i="2"/>
  <c r="AJ135" i="2"/>
  <c r="AF135" i="2"/>
  <c r="AE135" i="2"/>
  <c r="AB135" i="2"/>
  <c r="AA135" i="2"/>
  <c r="Z135" i="2"/>
  <c r="Y135" i="2"/>
  <c r="X135" i="2"/>
  <c r="W135" i="2"/>
  <c r="V135" i="2"/>
  <c r="R135" i="2"/>
  <c r="Q135" i="2"/>
  <c r="P135" i="2"/>
  <c r="O135" i="2"/>
  <c r="N135" i="2"/>
  <c r="M135" i="2"/>
  <c r="H135" i="2"/>
  <c r="AX134" i="2"/>
  <c r="AV134" i="2"/>
  <c r="AU134" i="2"/>
  <c r="AT134" i="2"/>
  <c r="AS134" i="2"/>
  <c r="AR134" i="2"/>
  <c r="AQ134" i="2"/>
  <c r="AP134" i="2"/>
  <c r="AL134" i="2"/>
  <c r="AK134" i="2"/>
  <c r="AJ134" i="2"/>
  <c r="AF134" i="2"/>
  <c r="AE134" i="2"/>
  <c r="AB134" i="2"/>
  <c r="AA134" i="2"/>
  <c r="Z134" i="2"/>
  <c r="Y134" i="2"/>
  <c r="X134" i="2"/>
  <c r="W134" i="2"/>
  <c r="V134" i="2"/>
  <c r="R134" i="2"/>
  <c r="Q134" i="2"/>
  <c r="P134" i="2"/>
  <c r="O134" i="2"/>
  <c r="N134" i="2"/>
  <c r="M134" i="2"/>
  <c r="H134" i="2"/>
  <c r="AX133" i="2"/>
  <c r="AV133" i="2"/>
  <c r="AU133" i="2"/>
  <c r="AT133" i="2"/>
  <c r="AS133" i="2"/>
  <c r="AR133" i="2"/>
  <c r="AQ133" i="2"/>
  <c r="AP133" i="2"/>
  <c r="AL133" i="2"/>
  <c r="AK133" i="2"/>
  <c r="AJ133" i="2"/>
  <c r="AF133" i="2"/>
  <c r="AE133" i="2"/>
  <c r="AB133" i="2"/>
  <c r="AA133" i="2"/>
  <c r="Z133" i="2"/>
  <c r="Y133" i="2"/>
  <c r="X133" i="2"/>
  <c r="W133" i="2"/>
  <c r="V133" i="2"/>
  <c r="R133" i="2"/>
  <c r="Q133" i="2"/>
  <c r="P133" i="2"/>
  <c r="O133" i="2"/>
  <c r="N133" i="2"/>
  <c r="M133" i="2"/>
  <c r="H133" i="2"/>
  <c r="AX121" i="2"/>
  <c r="AV121" i="2"/>
  <c r="AU121" i="2"/>
  <c r="AT121" i="2"/>
  <c r="AS121" i="2"/>
  <c r="AR121" i="2"/>
  <c r="AQ121" i="2"/>
  <c r="AP121" i="2"/>
  <c r="AL121" i="2"/>
  <c r="AK121" i="2"/>
  <c r="AJ121" i="2"/>
  <c r="AF121" i="2"/>
  <c r="AE121" i="2"/>
  <c r="AB121" i="2"/>
  <c r="AA121" i="2"/>
  <c r="Z121" i="2"/>
  <c r="Y121" i="2"/>
  <c r="X121" i="2"/>
  <c r="W121" i="2"/>
  <c r="V121" i="2"/>
  <c r="R121" i="2"/>
  <c r="Q121" i="2"/>
  <c r="P121" i="2"/>
  <c r="O121" i="2"/>
  <c r="N121" i="2"/>
  <c r="M121" i="2"/>
  <c r="AX120" i="2"/>
  <c r="AV120" i="2"/>
  <c r="AU120" i="2"/>
  <c r="AT120" i="2"/>
  <c r="AS120" i="2"/>
  <c r="AR120" i="2"/>
  <c r="AQ120" i="2"/>
  <c r="AP120" i="2"/>
  <c r="AL120" i="2"/>
  <c r="AK120" i="2"/>
  <c r="AJ120" i="2"/>
  <c r="AF120" i="2"/>
  <c r="AE120" i="2"/>
  <c r="AB120" i="2"/>
  <c r="AA120" i="2"/>
  <c r="Z120" i="2"/>
  <c r="Y120" i="2"/>
  <c r="X120" i="2"/>
  <c r="W120" i="2"/>
  <c r="V120" i="2"/>
  <c r="R120" i="2"/>
  <c r="Q120" i="2"/>
  <c r="P120" i="2"/>
  <c r="O120" i="2"/>
  <c r="N120" i="2"/>
  <c r="M120" i="2"/>
  <c r="J120" i="2"/>
  <c r="H120" i="2"/>
  <c r="AX119" i="2"/>
  <c r="AV119" i="2"/>
  <c r="AU119" i="2"/>
  <c r="AT119" i="2"/>
  <c r="AS119" i="2"/>
  <c r="AR119" i="2"/>
  <c r="AQ119" i="2"/>
  <c r="AP119" i="2"/>
  <c r="AL119" i="2"/>
  <c r="AK119" i="2"/>
  <c r="AJ119" i="2"/>
  <c r="AF119" i="2"/>
  <c r="AE119" i="2"/>
  <c r="AB119" i="2"/>
  <c r="AA119" i="2"/>
  <c r="Z119" i="2"/>
  <c r="Y119" i="2"/>
  <c r="X119" i="2"/>
  <c r="W119" i="2"/>
  <c r="V119" i="2"/>
  <c r="R119" i="2"/>
  <c r="Q119" i="2"/>
  <c r="P119" i="2"/>
  <c r="O119" i="2"/>
  <c r="N119" i="2"/>
  <c r="M119" i="2"/>
  <c r="K119" i="2"/>
  <c r="J119" i="2"/>
  <c r="H119" i="2"/>
  <c r="AX118" i="2"/>
  <c r="AV118" i="2"/>
  <c r="AU118" i="2"/>
  <c r="AT118" i="2"/>
  <c r="AS118" i="2"/>
  <c r="AR118" i="2"/>
  <c r="AQ118" i="2"/>
  <c r="AP118" i="2"/>
  <c r="AL118" i="2"/>
  <c r="AK118" i="2"/>
  <c r="AJ118" i="2"/>
  <c r="AF118" i="2"/>
  <c r="AE118" i="2"/>
  <c r="AB118" i="2"/>
  <c r="AA118" i="2"/>
  <c r="Z118" i="2"/>
  <c r="Y118" i="2"/>
  <c r="X118" i="2"/>
  <c r="W118" i="2"/>
  <c r="V118" i="2"/>
  <c r="R118" i="2"/>
  <c r="Q118" i="2"/>
  <c r="P118" i="2"/>
  <c r="O118" i="2"/>
  <c r="N118" i="2"/>
  <c r="M118" i="2"/>
  <c r="K118" i="2"/>
  <c r="J118" i="2"/>
  <c r="H118" i="2"/>
  <c r="AX117" i="2"/>
  <c r="AV117" i="2"/>
  <c r="AU117" i="2"/>
  <c r="AT117" i="2"/>
  <c r="AS117" i="2"/>
  <c r="AR117" i="2"/>
  <c r="AQ117" i="2"/>
  <c r="AP117" i="2"/>
  <c r="AL117" i="2"/>
  <c r="AK117" i="2"/>
  <c r="AJ117" i="2"/>
  <c r="AF117" i="2"/>
  <c r="AE117" i="2"/>
  <c r="AB117" i="2"/>
  <c r="AA117" i="2"/>
  <c r="Z117" i="2"/>
  <c r="Y117" i="2"/>
  <c r="X117" i="2"/>
  <c r="W117" i="2"/>
  <c r="V117" i="2"/>
  <c r="R117" i="2"/>
  <c r="Q117" i="2"/>
  <c r="P117" i="2"/>
  <c r="O117" i="2"/>
  <c r="N117" i="2"/>
  <c r="M117" i="2"/>
  <c r="K117" i="2"/>
  <c r="J117" i="2"/>
  <c r="H117" i="2"/>
  <c r="AV112" i="2"/>
  <c r="AU112" i="2"/>
  <c r="AT112" i="2"/>
  <c r="AS112" i="2"/>
  <c r="AR112" i="2"/>
  <c r="AQ112" i="2"/>
  <c r="AP112" i="2"/>
  <c r="AL112" i="2"/>
  <c r="AK112" i="2"/>
  <c r="AJ112" i="2"/>
  <c r="AF112" i="2"/>
  <c r="AE112" i="2"/>
  <c r="AB112" i="2"/>
  <c r="AA112" i="2"/>
  <c r="Z112" i="2"/>
  <c r="Y112" i="2"/>
  <c r="X112" i="2"/>
  <c r="W112" i="2"/>
  <c r="V112" i="2"/>
  <c r="R112" i="2"/>
  <c r="Q112" i="2"/>
  <c r="P112" i="2"/>
  <c r="O112" i="2"/>
  <c r="N112" i="2"/>
  <c r="M112" i="2"/>
  <c r="J112" i="2"/>
  <c r="H112" i="2"/>
  <c r="AV111" i="2"/>
  <c r="AU111" i="2"/>
  <c r="AT111" i="2"/>
  <c r="AS111" i="2"/>
  <c r="AR111" i="2"/>
  <c r="AQ111" i="2"/>
  <c r="AP111" i="2"/>
  <c r="AL111" i="2"/>
  <c r="AK111" i="2"/>
  <c r="AJ111" i="2"/>
  <c r="AF111" i="2"/>
  <c r="AE111" i="2"/>
  <c r="AB111" i="2"/>
  <c r="AA111" i="2"/>
  <c r="Z111" i="2"/>
  <c r="Y111" i="2"/>
  <c r="X111" i="2"/>
  <c r="W111" i="2"/>
  <c r="V111" i="2"/>
  <c r="R111" i="2"/>
  <c r="Q111" i="2"/>
  <c r="P111" i="2"/>
  <c r="O111" i="2"/>
  <c r="N111" i="2"/>
  <c r="M111" i="2"/>
  <c r="K111" i="2"/>
  <c r="J111" i="2"/>
  <c r="H111" i="2"/>
  <c r="AV110" i="2"/>
  <c r="AU110" i="2"/>
  <c r="AT110" i="2"/>
  <c r="AS110" i="2"/>
  <c r="AR110" i="2"/>
  <c r="AQ110" i="2"/>
  <c r="AP110" i="2"/>
  <c r="AL110" i="2"/>
  <c r="AK110" i="2"/>
  <c r="AJ110" i="2"/>
  <c r="AF110" i="2"/>
  <c r="AE110" i="2"/>
  <c r="AB110" i="2"/>
  <c r="AA110" i="2"/>
  <c r="Z110" i="2"/>
  <c r="Y110" i="2"/>
  <c r="X110" i="2"/>
  <c r="W110" i="2"/>
  <c r="V110" i="2"/>
  <c r="R110" i="2"/>
  <c r="Q110" i="2"/>
  <c r="P110" i="2"/>
  <c r="O110" i="2"/>
  <c r="N110" i="2"/>
  <c r="M110" i="2"/>
  <c r="K110" i="2"/>
  <c r="J110" i="2"/>
  <c r="H110" i="2"/>
  <c r="AV109" i="2"/>
  <c r="AU109" i="2"/>
  <c r="AT109" i="2"/>
  <c r="AS109" i="2"/>
  <c r="AR109" i="2"/>
  <c r="AQ109" i="2"/>
  <c r="AP109" i="2"/>
  <c r="AL109" i="2"/>
  <c r="AK109" i="2"/>
  <c r="AJ109" i="2"/>
  <c r="AF109" i="2"/>
  <c r="AE109" i="2"/>
  <c r="AB109" i="2"/>
  <c r="AA109" i="2"/>
  <c r="Z109" i="2"/>
  <c r="Y109" i="2"/>
  <c r="X109" i="2"/>
  <c r="W109" i="2"/>
  <c r="V109" i="2"/>
  <c r="R109" i="2"/>
  <c r="Q109" i="2"/>
  <c r="P109" i="2"/>
  <c r="O109" i="2"/>
  <c r="N109" i="2"/>
  <c r="M109" i="2"/>
  <c r="K109" i="2"/>
  <c r="J109" i="2"/>
  <c r="AV108" i="2"/>
  <c r="AU108" i="2"/>
  <c r="AT108" i="2"/>
  <c r="AS108" i="2"/>
  <c r="AR108" i="2"/>
  <c r="AQ108" i="2"/>
  <c r="AP108" i="2"/>
  <c r="AL108" i="2"/>
  <c r="AK108" i="2"/>
  <c r="AJ108" i="2"/>
  <c r="AF108" i="2"/>
  <c r="AE108" i="2"/>
  <c r="AB108" i="2"/>
  <c r="AA108" i="2"/>
  <c r="Z108" i="2"/>
  <c r="Y108" i="2"/>
  <c r="X108" i="2"/>
  <c r="W108" i="2"/>
  <c r="V108" i="2"/>
  <c r="R108" i="2"/>
  <c r="Q108" i="2"/>
  <c r="P108" i="2"/>
  <c r="O108" i="2"/>
  <c r="N108" i="2"/>
  <c r="M108" i="2"/>
  <c r="K108" i="2"/>
  <c r="J108" i="2"/>
  <c r="AV107" i="2"/>
  <c r="AU107" i="2"/>
  <c r="AT107" i="2"/>
  <c r="AS107" i="2"/>
  <c r="AR107" i="2"/>
  <c r="AQ107" i="2"/>
  <c r="AP107" i="2"/>
  <c r="AL107" i="2"/>
  <c r="AK107" i="2"/>
  <c r="AJ107" i="2"/>
  <c r="AF107" i="2"/>
  <c r="AE107" i="2"/>
  <c r="AB107" i="2"/>
  <c r="AA107" i="2"/>
  <c r="Z107" i="2"/>
  <c r="Y107" i="2"/>
  <c r="X107" i="2"/>
  <c r="W107" i="2"/>
  <c r="V107" i="2"/>
  <c r="R107" i="2"/>
  <c r="Q107" i="2"/>
  <c r="P107" i="2"/>
  <c r="O107" i="2"/>
  <c r="N107" i="2"/>
  <c r="M107" i="2"/>
  <c r="K107" i="2"/>
  <c r="J107" i="2"/>
  <c r="AV106" i="2"/>
  <c r="AU106" i="2"/>
  <c r="AT106" i="2"/>
  <c r="AS106" i="2"/>
  <c r="AR106" i="2"/>
  <c r="AQ106" i="2"/>
  <c r="AP106" i="2"/>
  <c r="AL106" i="2"/>
  <c r="AK106" i="2"/>
  <c r="AJ106" i="2"/>
  <c r="AF106" i="2"/>
  <c r="AE106" i="2"/>
  <c r="AB106" i="2"/>
  <c r="AA106" i="2"/>
  <c r="Z106" i="2"/>
  <c r="Y106" i="2"/>
  <c r="X106" i="2"/>
  <c r="W106" i="2"/>
  <c r="V106" i="2"/>
  <c r="R106" i="2"/>
  <c r="Q106" i="2"/>
  <c r="P106" i="2"/>
  <c r="O106" i="2"/>
  <c r="N106" i="2"/>
  <c r="M106" i="2"/>
  <c r="K106" i="2"/>
  <c r="J106" i="2"/>
  <c r="AV105" i="2"/>
  <c r="AU105" i="2"/>
  <c r="AT105" i="2"/>
  <c r="AS105" i="2"/>
  <c r="AR105" i="2"/>
  <c r="AQ105" i="2"/>
  <c r="AP105" i="2"/>
  <c r="AL105" i="2"/>
  <c r="AK105" i="2"/>
  <c r="AJ105" i="2"/>
  <c r="AF105" i="2"/>
  <c r="AE105" i="2"/>
  <c r="AB105" i="2"/>
  <c r="AA105" i="2"/>
  <c r="Z105" i="2"/>
  <c r="Y105" i="2"/>
  <c r="X105" i="2"/>
  <c r="W105" i="2"/>
  <c r="V105" i="2"/>
  <c r="R105" i="2"/>
  <c r="Q105" i="2"/>
  <c r="P105" i="2"/>
  <c r="O105" i="2"/>
  <c r="N105" i="2"/>
  <c r="M105" i="2"/>
  <c r="K105" i="2"/>
  <c r="J105" i="2"/>
  <c r="AT104" i="2"/>
  <c r="AS104" i="2"/>
  <c r="AL104" i="2"/>
  <c r="AK104" i="2"/>
  <c r="AJ104" i="2"/>
  <c r="AF104" i="2"/>
  <c r="AE104" i="2"/>
  <c r="R104" i="2"/>
  <c r="Q104" i="2"/>
  <c r="P104" i="2"/>
  <c r="O104" i="2"/>
  <c r="N104" i="2"/>
  <c r="M104" i="2"/>
  <c r="K104" i="2"/>
  <c r="J104" i="2"/>
  <c r="AT103" i="2"/>
  <c r="AS103" i="2"/>
  <c r="AL103" i="2"/>
  <c r="AK103" i="2"/>
  <c r="AJ103" i="2"/>
  <c r="AF103" i="2"/>
  <c r="AE103" i="2"/>
  <c r="R103" i="2"/>
  <c r="Q103" i="2"/>
  <c r="P103" i="2"/>
  <c r="O103" i="2"/>
  <c r="N103" i="2"/>
  <c r="M103" i="2"/>
  <c r="K103" i="2"/>
  <c r="J103" i="2"/>
  <c r="AT102" i="2"/>
  <c r="AS102" i="2"/>
  <c r="AL102" i="2"/>
  <c r="AK102" i="2"/>
  <c r="AJ102" i="2"/>
  <c r="AF102" i="2"/>
  <c r="AE102" i="2"/>
  <c r="R102" i="2"/>
  <c r="Q102" i="2"/>
  <c r="P102" i="2"/>
  <c r="O102" i="2"/>
  <c r="N102" i="2"/>
  <c r="M102" i="2"/>
  <c r="K102" i="2"/>
  <c r="J102" i="2"/>
  <c r="AX101" i="2"/>
  <c r="AX101" i="2" a="1"/>
  <c r="AT101" i="2"/>
  <c r="AS101" i="2"/>
  <c r="AL101" i="2"/>
  <c r="AK101" i="2"/>
  <c r="AJ101" i="2"/>
  <c r="AF101" i="2"/>
  <c r="AE101" i="2"/>
  <c r="R101" i="2"/>
  <c r="Q101" i="2"/>
  <c r="P101" i="2"/>
  <c r="O101" i="2"/>
  <c r="N101" i="2"/>
  <c r="M101" i="2"/>
  <c r="K101" i="2"/>
  <c r="J101" i="2"/>
  <c r="AX89" i="2"/>
  <c r="AV89" i="2"/>
  <c r="AU89" i="2"/>
  <c r="AT89" i="2"/>
  <c r="AS89" i="2"/>
  <c r="AR89" i="2"/>
  <c r="AQ89" i="2"/>
  <c r="AP89" i="2"/>
  <c r="AL89" i="2"/>
  <c r="AK89" i="2"/>
  <c r="AJ89" i="2"/>
  <c r="AF89" i="2"/>
  <c r="AE89" i="2"/>
  <c r="AB89" i="2"/>
  <c r="AA89" i="2"/>
  <c r="Z89" i="2"/>
  <c r="Y89" i="2"/>
  <c r="X89" i="2"/>
  <c r="W89" i="2"/>
  <c r="V89" i="2"/>
  <c r="R89" i="2"/>
  <c r="Q89" i="2"/>
  <c r="P89" i="2"/>
  <c r="O89" i="2"/>
  <c r="N89" i="2"/>
  <c r="M89" i="2"/>
  <c r="AX88" i="2"/>
  <c r="AV88" i="2"/>
  <c r="AU88" i="2"/>
  <c r="AT88" i="2"/>
  <c r="AS88" i="2"/>
  <c r="AR88" i="2"/>
  <c r="AQ88" i="2"/>
  <c r="AP88" i="2"/>
  <c r="AL88" i="2"/>
  <c r="AK88" i="2"/>
  <c r="AJ88" i="2"/>
  <c r="AF88" i="2"/>
  <c r="AE88" i="2"/>
  <c r="AB88" i="2"/>
  <c r="AA88" i="2"/>
  <c r="Z88" i="2"/>
  <c r="Y88" i="2"/>
  <c r="X88" i="2"/>
  <c r="W88" i="2"/>
  <c r="V88" i="2"/>
  <c r="R88" i="2"/>
  <c r="Q88" i="2"/>
  <c r="P88" i="2"/>
  <c r="O88" i="2"/>
  <c r="N88" i="2"/>
  <c r="M88" i="2"/>
  <c r="J88" i="2"/>
  <c r="H88" i="2"/>
  <c r="AX87" i="2"/>
  <c r="AV87" i="2"/>
  <c r="AU87" i="2"/>
  <c r="AT87" i="2"/>
  <c r="AS87" i="2"/>
  <c r="AR87" i="2"/>
  <c r="AQ87" i="2"/>
  <c r="AP87" i="2"/>
  <c r="AL87" i="2"/>
  <c r="AK87" i="2"/>
  <c r="AJ87" i="2"/>
  <c r="AF87" i="2"/>
  <c r="AE87" i="2"/>
  <c r="AB87" i="2"/>
  <c r="AA87" i="2"/>
  <c r="Z87" i="2"/>
  <c r="Y87" i="2"/>
  <c r="X87" i="2"/>
  <c r="W87" i="2"/>
  <c r="V87" i="2"/>
  <c r="R87" i="2"/>
  <c r="Q87" i="2"/>
  <c r="P87" i="2"/>
  <c r="O87" i="2"/>
  <c r="N87" i="2"/>
  <c r="M87" i="2"/>
  <c r="K87" i="2"/>
  <c r="J87" i="2"/>
  <c r="H87" i="2"/>
  <c r="AX86" i="2"/>
  <c r="AV86" i="2"/>
  <c r="AU86" i="2"/>
  <c r="AT86" i="2"/>
  <c r="AS86" i="2"/>
  <c r="AR86" i="2"/>
  <c r="AQ86" i="2"/>
  <c r="AP86" i="2"/>
  <c r="AL86" i="2"/>
  <c r="AK86" i="2"/>
  <c r="AJ86" i="2"/>
  <c r="AF86" i="2"/>
  <c r="AE86" i="2"/>
  <c r="AB86" i="2"/>
  <c r="AA86" i="2"/>
  <c r="Z86" i="2"/>
  <c r="Y86" i="2"/>
  <c r="X86" i="2"/>
  <c r="W86" i="2"/>
  <c r="V86" i="2"/>
  <c r="R86" i="2"/>
  <c r="Q86" i="2"/>
  <c r="P86" i="2"/>
  <c r="O86" i="2"/>
  <c r="N86" i="2"/>
  <c r="M86" i="2"/>
  <c r="K86" i="2"/>
  <c r="J86" i="2"/>
  <c r="H86" i="2"/>
  <c r="AX85" i="2"/>
  <c r="AV85" i="2"/>
  <c r="AU85" i="2"/>
  <c r="AT85" i="2"/>
  <c r="AS85" i="2"/>
  <c r="AR85" i="2"/>
  <c r="AQ85" i="2"/>
  <c r="AP85" i="2"/>
  <c r="AL85" i="2"/>
  <c r="AK85" i="2"/>
  <c r="AJ85" i="2"/>
  <c r="AF85" i="2"/>
  <c r="AE85" i="2"/>
  <c r="AB85" i="2"/>
  <c r="AA85" i="2"/>
  <c r="Z85" i="2"/>
  <c r="Y85" i="2"/>
  <c r="X85" i="2"/>
  <c r="W85" i="2"/>
  <c r="V85" i="2"/>
  <c r="R85" i="2"/>
  <c r="Q85" i="2"/>
  <c r="P85" i="2"/>
  <c r="O85" i="2"/>
  <c r="N85" i="2"/>
  <c r="M85" i="2"/>
  <c r="K85" i="2"/>
  <c r="J85" i="2"/>
  <c r="H85" i="2"/>
  <c r="AX80" i="2"/>
  <c r="AV80" i="2"/>
  <c r="AU80" i="2"/>
  <c r="AT80" i="2"/>
  <c r="AS80" i="2"/>
  <c r="AR80" i="2"/>
  <c r="AQ80" i="2"/>
  <c r="AP80" i="2"/>
  <c r="AL80" i="2"/>
  <c r="AK80" i="2"/>
  <c r="AJ80" i="2"/>
  <c r="AF80" i="2"/>
  <c r="AE80" i="2"/>
  <c r="AB80" i="2"/>
  <c r="AA80" i="2"/>
  <c r="Z80" i="2"/>
  <c r="Y80" i="2"/>
  <c r="X80" i="2"/>
  <c r="W80" i="2"/>
  <c r="V80" i="2"/>
  <c r="R80" i="2"/>
  <c r="Q80" i="2"/>
  <c r="P80" i="2"/>
  <c r="O80" i="2"/>
  <c r="N80" i="2"/>
  <c r="M80" i="2"/>
  <c r="J80" i="2"/>
  <c r="H80" i="2"/>
  <c r="AX79" i="2"/>
  <c r="AV79" i="2"/>
  <c r="AU79" i="2"/>
  <c r="AT79" i="2"/>
  <c r="AS79" i="2"/>
  <c r="AR79" i="2"/>
  <c r="AQ79" i="2"/>
  <c r="AP79" i="2"/>
  <c r="AL79" i="2"/>
  <c r="AK79" i="2"/>
  <c r="AJ79" i="2"/>
  <c r="AF79" i="2"/>
  <c r="AE79" i="2"/>
  <c r="AB79" i="2"/>
  <c r="AA79" i="2"/>
  <c r="Z79" i="2"/>
  <c r="Y79" i="2"/>
  <c r="X79" i="2"/>
  <c r="W79" i="2"/>
  <c r="V79" i="2"/>
  <c r="R79" i="2"/>
  <c r="Q79" i="2"/>
  <c r="P79" i="2"/>
  <c r="O79" i="2"/>
  <c r="N79" i="2"/>
  <c r="M79" i="2"/>
  <c r="K79" i="2"/>
  <c r="J79" i="2"/>
  <c r="H79" i="2"/>
  <c r="AX78" i="2"/>
  <c r="AV78" i="2"/>
  <c r="AU78" i="2"/>
  <c r="AT78" i="2"/>
  <c r="AS78" i="2"/>
  <c r="AR78" i="2"/>
  <c r="AQ78" i="2"/>
  <c r="AP78" i="2"/>
  <c r="AL78" i="2"/>
  <c r="AK78" i="2"/>
  <c r="AJ78" i="2"/>
  <c r="AF78" i="2"/>
  <c r="AE78" i="2"/>
  <c r="AB78" i="2"/>
  <c r="AA78" i="2"/>
  <c r="Z78" i="2"/>
  <c r="Y78" i="2"/>
  <c r="X78" i="2"/>
  <c r="W78" i="2"/>
  <c r="V78" i="2"/>
  <c r="R78" i="2"/>
  <c r="Q78" i="2"/>
  <c r="P78" i="2"/>
  <c r="O78" i="2"/>
  <c r="N78" i="2"/>
  <c r="M78" i="2"/>
  <c r="K78" i="2"/>
  <c r="J78" i="2"/>
  <c r="H78" i="2"/>
  <c r="AX77" i="2"/>
  <c r="AV77" i="2"/>
  <c r="AU77" i="2"/>
  <c r="AT77" i="2"/>
  <c r="AS77" i="2"/>
  <c r="AR77" i="2"/>
  <c r="AQ77" i="2"/>
  <c r="AP77" i="2"/>
  <c r="AL77" i="2"/>
  <c r="AK77" i="2"/>
  <c r="AJ77" i="2"/>
  <c r="AF77" i="2"/>
  <c r="AE77" i="2"/>
  <c r="AB77" i="2"/>
  <c r="AA77" i="2"/>
  <c r="Z77" i="2"/>
  <c r="Y77" i="2"/>
  <c r="X77" i="2"/>
  <c r="W77" i="2"/>
  <c r="V77" i="2"/>
  <c r="R77" i="2"/>
  <c r="Q77" i="2"/>
  <c r="P77" i="2"/>
  <c r="O77" i="2"/>
  <c r="N77" i="2"/>
  <c r="M77" i="2"/>
  <c r="K77" i="2"/>
  <c r="J77" i="2"/>
  <c r="H77" i="2"/>
  <c r="AX76" i="2"/>
  <c r="AV76" i="2"/>
  <c r="AU76" i="2"/>
  <c r="AT76" i="2"/>
  <c r="AS76" i="2"/>
  <c r="AR76" i="2"/>
  <c r="AQ76" i="2"/>
  <c r="AP76" i="2"/>
  <c r="AL76" i="2"/>
  <c r="AK76" i="2"/>
  <c r="AJ76" i="2"/>
  <c r="AF76" i="2"/>
  <c r="AE76" i="2"/>
  <c r="AB76" i="2"/>
  <c r="AA76" i="2"/>
  <c r="Z76" i="2"/>
  <c r="Y76" i="2"/>
  <c r="X76" i="2"/>
  <c r="W76" i="2"/>
  <c r="V76" i="2"/>
  <c r="R76" i="2"/>
  <c r="Q76" i="2"/>
  <c r="P76" i="2"/>
  <c r="O76" i="2"/>
  <c r="N76" i="2"/>
  <c r="M76" i="2"/>
  <c r="K76" i="2"/>
  <c r="J76" i="2"/>
  <c r="H76" i="2"/>
  <c r="AX75" i="2"/>
  <c r="AV75" i="2"/>
  <c r="AU75" i="2"/>
  <c r="AT75" i="2"/>
  <c r="AS75" i="2"/>
  <c r="AR75" i="2"/>
  <c r="AQ75" i="2"/>
  <c r="AP75" i="2"/>
  <c r="AL75" i="2"/>
  <c r="AK75" i="2"/>
  <c r="AJ75" i="2"/>
  <c r="AF75" i="2"/>
  <c r="AE75" i="2"/>
  <c r="AB75" i="2"/>
  <c r="AA75" i="2"/>
  <c r="Z75" i="2"/>
  <c r="Y75" i="2"/>
  <c r="X75" i="2"/>
  <c r="W75" i="2"/>
  <c r="V75" i="2"/>
  <c r="R75" i="2"/>
  <c r="Q75" i="2"/>
  <c r="P75" i="2"/>
  <c r="O75" i="2"/>
  <c r="N75" i="2"/>
  <c r="M75" i="2"/>
  <c r="K75" i="2"/>
  <c r="J75" i="2"/>
  <c r="H75" i="2"/>
  <c r="AX74" i="2"/>
  <c r="AV74" i="2"/>
  <c r="AU74" i="2"/>
  <c r="AT74" i="2"/>
  <c r="AS74" i="2"/>
  <c r="AR74" i="2"/>
  <c r="AQ74" i="2"/>
  <c r="AP74" i="2"/>
  <c r="AL74" i="2"/>
  <c r="AK74" i="2"/>
  <c r="AJ74" i="2"/>
  <c r="AF74" i="2"/>
  <c r="AE74" i="2"/>
  <c r="AB74" i="2"/>
  <c r="AA74" i="2"/>
  <c r="Z74" i="2"/>
  <c r="Y74" i="2"/>
  <c r="X74" i="2"/>
  <c r="W74" i="2"/>
  <c r="V74" i="2"/>
  <c r="R74" i="2"/>
  <c r="Q74" i="2"/>
  <c r="P74" i="2"/>
  <c r="O74" i="2"/>
  <c r="N74" i="2"/>
  <c r="M74" i="2"/>
  <c r="K74" i="2"/>
  <c r="J74" i="2"/>
  <c r="H74" i="2"/>
  <c r="AX73" i="2"/>
  <c r="AV73" i="2"/>
  <c r="AU73" i="2"/>
  <c r="AT73" i="2"/>
  <c r="AS73" i="2"/>
  <c r="AR73" i="2"/>
  <c r="AQ73" i="2"/>
  <c r="AP73" i="2"/>
  <c r="AL73" i="2"/>
  <c r="AK73" i="2"/>
  <c r="AJ73" i="2"/>
  <c r="AF73" i="2"/>
  <c r="AE73" i="2"/>
  <c r="AB73" i="2"/>
  <c r="AA73" i="2"/>
  <c r="Z73" i="2"/>
  <c r="Y73" i="2"/>
  <c r="X73" i="2"/>
  <c r="W73" i="2"/>
  <c r="V73" i="2"/>
  <c r="R73" i="2"/>
  <c r="Q73" i="2"/>
  <c r="P73" i="2"/>
  <c r="O73" i="2"/>
  <c r="N73" i="2"/>
  <c r="M73" i="2"/>
  <c r="K73" i="2"/>
  <c r="J73" i="2"/>
  <c r="H73" i="2"/>
  <c r="AX72" i="2"/>
  <c r="AV72" i="2"/>
  <c r="AU72" i="2"/>
  <c r="AT72" i="2"/>
  <c r="AS72" i="2"/>
  <c r="AR72" i="2"/>
  <c r="AQ72" i="2"/>
  <c r="AP72" i="2"/>
  <c r="AL72" i="2"/>
  <c r="AK72" i="2"/>
  <c r="AJ72" i="2"/>
  <c r="AF72" i="2"/>
  <c r="AE72" i="2"/>
  <c r="AB72" i="2"/>
  <c r="AA72" i="2"/>
  <c r="Z72" i="2"/>
  <c r="Y72" i="2"/>
  <c r="X72" i="2"/>
  <c r="W72" i="2"/>
  <c r="V72" i="2"/>
  <c r="R72" i="2"/>
  <c r="Q72" i="2"/>
  <c r="P72" i="2"/>
  <c r="O72" i="2"/>
  <c r="N72" i="2"/>
  <c r="M72" i="2"/>
  <c r="K72" i="2"/>
  <c r="J72" i="2"/>
  <c r="H72" i="2"/>
  <c r="AX71" i="2"/>
  <c r="AV71" i="2"/>
  <c r="AU71" i="2"/>
  <c r="AT71" i="2"/>
  <c r="AS71" i="2"/>
  <c r="AR71" i="2"/>
  <c r="AQ71" i="2"/>
  <c r="AP71" i="2"/>
  <c r="AL71" i="2"/>
  <c r="AK71" i="2"/>
  <c r="AJ71" i="2"/>
  <c r="AF71" i="2"/>
  <c r="AE71" i="2"/>
  <c r="AB71" i="2"/>
  <c r="AA71" i="2"/>
  <c r="Z71" i="2"/>
  <c r="Y71" i="2"/>
  <c r="X71" i="2"/>
  <c r="W71" i="2"/>
  <c r="V71" i="2"/>
  <c r="R71" i="2"/>
  <c r="Q71" i="2"/>
  <c r="P71" i="2"/>
  <c r="O71" i="2"/>
  <c r="N71" i="2"/>
  <c r="M71" i="2"/>
  <c r="K71" i="2"/>
  <c r="J71" i="2"/>
  <c r="H71" i="2"/>
  <c r="AX70" i="2"/>
  <c r="AV70" i="2"/>
  <c r="AU70" i="2"/>
  <c r="AT70" i="2"/>
  <c r="AS70" i="2"/>
  <c r="AR70" i="2"/>
  <c r="AQ70" i="2"/>
  <c r="AP70" i="2"/>
  <c r="AL70" i="2"/>
  <c r="AK70" i="2"/>
  <c r="AJ70" i="2"/>
  <c r="AF70" i="2"/>
  <c r="AE70" i="2"/>
  <c r="AB70" i="2"/>
  <c r="AA70" i="2"/>
  <c r="Z70" i="2"/>
  <c r="Y70" i="2"/>
  <c r="X70" i="2"/>
  <c r="W70" i="2"/>
  <c r="V70" i="2"/>
  <c r="R70" i="2"/>
  <c r="Q70" i="2"/>
  <c r="P70" i="2"/>
  <c r="O70" i="2"/>
  <c r="N70" i="2"/>
  <c r="M70" i="2"/>
  <c r="K70" i="2"/>
  <c r="J70" i="2"/>
  <c r="H70" i="2"/>
  <c r="AX69" i="2"/>
  <c r="AV69" i="2"/>
  <c r="AU69" i="2"/>
  <c r="AT69" i="2"/>
  <c r="AS69" i="2"/>
  <c r="AR69" i="2"/>
  <c r="AQ69" i="2"/>
  <c r="AP69" i="2"/>
  <c r="AL69" i="2"/>
  <c r="AK69" i="2"/>
  <c r="AJ69" i="2"/>
  <c r="AF69" i="2"/>
  <c r="AE69" i="2"/>
  <c r="AB69" i="2"/>
  <c r="AA69" i="2"/>
  <c r="Z69" i="2"/>
  <c r="Y69" i="2"/>
  <c r="X69" i="2"/>
  <c r="W69" i="2"/>
  <c r="V69" i="2"/>
  <c r="R69" i="2"/>
  <c r="Q69" i="2"/>
  <c r="P69" i="2"/>
  <c r="O69" i="2"/>
  <c r="N69" i="2"/>
  <c r="M69" i="2"/>
  <c r="K69" i="2"/>
  <c r="J69" i="2"/>
  <c r="H69" i="2"/>
  <c r="AX57" i="2"/>
  <c r="AV57" i="2"/>
  <c r="AU57" i="2"/>
  <c r="AT57" i="2"/>
  <c r="AS57" i="2"/>
  <c r="AR57" i="2"/>
  <c r="AQ57" i="2"/>
  <c r="AP57" i="2"/>
  <c r="AL57" i="2"/>
  <c r="AK57" i="2"/>
  <c r="AJ57" i="2"/>
  <c r="AF57" i="2"/>
  <c r="AE57" i="2"/>
  <c r="AB57" i="2"/>
  <c r="AA57" i="2"/>
  <c r="Z57" i="2"/>
  <c r="Y57" i="2"/>
  <c r="X57" i="2"/>
  <c r="W57" i="2"/>
  <c r="V57" i="2"/>
  <c r="R57" i="2"/>
  <c r="Q57" i="2"/>
  <c r="P57" i="2"/>
  <c r="O57" i="2"/>
  <c r="N57" i="2"/>
  <c r="M57" i="2"/>
  <c r="AX56" i="2"/>
  <c r="AV56" i="2"/>
  <c r="AU56" i="2"/>
  <c r="AT56" i="2"/>
  <c r="AS56" i="2"/>
  <c r="AR56" i="2"/>
  <c r="AQ56" i="2"/>
  <c r="AP56" i="2"/>
  <c r="AL56" i="2"/>
  <c r="AK56" i="2"/>
  <c r="AJ56" i="2"/>
  <c r="AF56" i="2"/>
  <c r="AE56" i="2"/>
  <c r="AB56" i="2"/>
  <c r="AA56" i="2"/>
  <c r="Z56" i="2"/>
  <c r="Y56" i="2"/>
  <c r="X56" i="2"/>
  <c r="W56" i="2"/>
  <c r="V56" i="2"/>
  <c r="R56" i="2"/>
  <c r="Q56" i="2"/>
  <c r="P56" i="2"/>
  <c r="O56" i="2"/>
  <c r="N56" i="2"/>
  <c r="M56" i="2"/>
  <c r="J56" i="2"/>
  <c r="H56" i="2"/>
  <c r="AX55" i="2"/>
  <c r="AV55" i="2"/>
  <c r="AU55" i="2"/>
  <c r="AT55" i="2"/>
  <c r="AS55" i="2"/>
  <c r="AR55" i="2"/>
  <c r="AQ55" i="2"/>
  <c r="AP55" i="2"/>
  <c r="AL55" i="2"/>
  <c r="AK55" i="2"/>
  <c r="AJ55" i="2"/>
  <c r="AF55" i="2"/>
  <c r="AE55" i="2"/>
  <c r="AB55" i="2"/>
  <c r="AA55" i="2"/>
  <c r="Z55" i="2"/>
  <c r="Y55" i="2"/>
  <c r="X55" i="2"/>
  <c r="W55" i="2"/>
  <c r="V55" i="2"/>
  <c r="R55" i="2"/>
  <c r="Q55" i="2"/>
  <c r="P55" i="2"/>
  <c r="O55" i="2"/>
  <c r="N55" i="2"/>
  <c r="M55" i="2"/>
  <c r="K55" i="2"/>
  <c r="J55" i="2"/>
  <c r="H55" i="2"/>
  <c r="AX54" i="2"/>
  <c r="AV54" i="2"/>
  <c r="AU54" i="2"/>
  <c r="AT54" i="2"/>
  <c r="AS54" i="2"/>
  <c r="AR54" i="2"/>
  <c r="AQ54" i="2"/>
  <c r="AP54" i="2"/>
  <c r="AL54" i="2"/>
  <c r="AK54" i="2"/>
  <c r="AJ54" i="2"/>
  <c r="AF54" i="2"/>
  <c r="AE54" i="2"/>
  <c r="AB54" i="2"/>
  <c r="AA54" i="2"/>
  <c r="Z54" i="2"/>
  <c r="Y54" i="2"/>
  <c r="X54" i="2"/>
  <c r="W54" i="2"/>
  <c r="V54" i="2"/>
  <c r="R54" i="2"/>
  <c r="Q54" i="2"/>
  <c r="P54" i="2"/>
  <c r="O54" i="2"/>
  <c r="N54" i="2"/>
  <c r="M54" i="2"/>
  <c r="K54" i="2"/>
  <c r="J54" i="2"/>
  <c r="H54" i="2"/>
  <c r="B54" i="2"/>
  <c r="AX53" i="2"/>
  <c r="AV53" i="2"/>
  <c r="AU53" i="2"/>
  <c r="AT53" i="2"/>
  <c r="AS53" i="2"/>
  <c r="AR53" i="2"/>
  <c r="AQ53" i="2"/>
  <c r="AP53" i="2"/>
  <c r="AL53" i="2"/>
  <c r="AK53" i="2"/>
  <c r="AJ53" i="2"/>
  <c r="AF53" i="2"/>
  <c r="AE53" i="2"/>
  <c r="AB53" i="2"/>
  <c r="AA53" i="2"/>
  <c r="Z53" i="2"/>
  <c r="Y53" i="2"/>
  <c r="X53" i="2"/>
  <c r="W53" i="2"/>
  <c r="V53" i="2"/>
  <c r="R53" i="2"/>
  <c r="Q53" i="2"/>
  <c r="P53" i="2"/>
  <c r="O53" i="2"/>
  <c r="N53" i="2"/>
  <c r="M53" i="2"/>
  <c r="K53" i="2"/>
  <c r="J53" i="2"/>
  <c r="H53" i="2"/>
  <c r="G53" i="2"/>
  <c r="E53" i="2"/>
  <c r="C53" i="2"/>
  <c r="AX48" i="2"/>
  <c r="AV48" i="2"/>
  <c r="AU48" i="2"/>
  <c r="AT48" i="2"/>
  <c r="AS48" i="2"/>
  <c r="AR48" i="2"/>
  <c r="AQ48" i="2"/>
  <c r="AP48" i="2"/>
  <c r="AL48" i="2"/>
  <c r="AK48" i="2"/>
  <c r="AJ48" i="2"/>
  <c r="AG48" i="2"/>
  <c r="AF48" i="2"/>
  <c r="AE48" i="2"/>
  <c r="AB48" i="2"/>
  <c r="AA48" i="2"/>
  <c r="Z48" i="2"/>
  <c r="Y48" i="2"/>
  <c r="X48" i="2"/>
  <c r="W48" i="2"/>
  <c r="V48" i="2"/>
  <c r="R48" i="2"/>
  <c r="Q48" i="2"/>
  <c r="P48" i="2"/>
  <c r="O48" i="2"/>
  <c r="N48" i="2"/>
  <c r="M48" i="2"/>
  <c r="J48" i="2"/>
  <c r="H48" i="2"/>
  <c r="AX47" i="2"/>
  <c r="AV47" i="2"/>
  <c r="AU47" i="2"/>
  <c r="AT47" i="2"/>
  <c r="AS47" i="2"/>
  <c r="AR47" i="2"/>
  <c r="AQ47" i="2"/>
  <c r="AP47" i="2"/>
  <c r="AL47" i="2"/>
  <c r="AK47" i="2"/>
  <c r="AJ47" i="2"/>
  <c r="AF47" i="2"/>
  <c r="AE47" i="2"/>
  <c r="AB47" i="2"/>
  <c r="AA47" i="2"/>
  <c r="Z47" i="2"/>
  <c r="Y47" i="2"/>
  <c r="X47" i="2"/>
  <c r="W47" i="2"/>
  <c r="V47" i="2"/>
  <c r="R47" i="2"/>
  <c r="Q47" i="2"/>
  <c r="P47" i="2"/>
  <c r="O47" i="2"/>
  <c r="N47" i="2"/>
  <c r="M47" i="2"/>
  <c r="K47" i="2"/>
  <c r="J47" i="2"/>
  <c r="H47" i="2"/>
  <c r="AX46" i="2"/>
  <c r="AV46" i="2"/>
  <c r="AU46" i="2"/>
  <c r="AT46" i="2"/>
  <c r="AS46" i="2"/>
  <c r="AR46" i="2"/>
  <c r="AQ46" i="2"/>
  <c r="AP46" i="2"/>
  <c r="AL46" i="2"/>
  <c r="AK46" i="2"/>
  <c r="AJ46" i="2"/>
  <c r="AF46" i="2"/>
  <c r="AE46" i="2"/>
  <c r="AB46" i="2"/>
  <c r="AA46" i="2"/>
  <c r="Z46" i="2"/>
  <c r="Y46" i="2"/>
  <c r="X46" i="2"/>
  <c r="W46" i="2"/>
  <c r="V46" i="2"/>
  <c r="R46" i="2"/>
  <c r="Q46" i="2"/>
  <c r="P46" i="2"/>
  <c r="O46" i="2"/>
  <c r="N46" i="2"/>
  <c r="M46" i="2"/>
  <c r="K46" i="2"/>
  <c r="J46" i="2"/>
  <c r="H46" i="2"/>
  <c r="AX45" i="2"/>
  <c r="AV45" i="2"/>
  <c r="AU45" i="2"/>
  <c r="AT45" i="2"/>
  <c r="AS45" i="2"/>
  <c r="AR45" i="2"/>
  <c r="AQ45" i="2"/>
  <c r="AP45" i="2"/>
  <c r="AL45" i="2"/>
  <c r="AK45" i="2"/>
  <c r="AJ45" i="2"/>
  <c r="AF45" i="2"/>
  <c r="AE45" i="2"/>
  <c r="AB45" i="2"/>
  <c r="AA45" i="2"/>
  <c r="Z45" i="2"/>
  <c r="Y45" i="2"/>
  <c r="X45" i="2"/>
  <c r="W45" i="2"/>
  <c r="V45" i="2"/>
  <c r="R45" i="2"/>
  <c r="Q45" i="2"/>
  <c r="P45" i="2"/>
  <c r="O45" i="2"/>
  <c r="N45" i="2"/>
  <c r="M45" i="2"/>
  <c r="K45" i="2"/>
  <c r="J45" i="2"/>
  <c r="H45" i="2"/>
  <c r="AX44" i="2"/>
  <c r="AV44" i="2"/>
  <c r="AU44" i="2"/>
  <c r="AT44" i="2"/>
  <c r="AS44" i="2"/>
  <c r="AR44" i="2"/>
  <c r="AQ44" i="2"/>
  <c r="AP44" i="2"/>
  <c r="AL44" i="2"/>
  <c r="AK44" i="2"/>
  <c r="AJ44" i="2"/>
  <c r="AF44" i="2"/>
  <c r="AE44" i="2"/>
  <c r="AB44" i="2"/>
  <c r="AA44" i="2"/>
  <c r="Z44" i="2"/>
  <c r="Y44" i="2"/>
  <c r="X44" i="2"/>
  <c r="W44" i="2"/>
  <c r="V44" i="2"/>
  <c r="R44" i="2"/>
  <c r="Q44" i="2"/>
  <c r="P44" i="2"/>
  <c r="O44" i="2"/>
  <c r="N44" i="2"/>
  <c r="M44" i="2"/>
  <c r="K44" i="2"/>
  <c r="J44" i="2"/>
  <c r="H44" i="2"/>
  <c r="AX43" i="2"/>
  <c r="AV43" i="2"/>
  <c r="AU43" i="2"/>
  <c r="AT43" i="2"/>
  <c r="AS43" i="2"/>
  <c r="AR43" i="2"/>
  <c r="AQ43" i="2"/>
  <c r="AP43" i="2"/>
  <c r="AL43" i="2"/>
  <c r="AK43" i="2"/>
  <c r="AJ43" i="2"/>
  <c r="AF43" i="2"/>
  <c r="AE43" i="2"/>
  <c r="AB43" i="2"/>
  <c r="AA43" i="2"/>
  <c r="Z43" i="2"/>
  <c r="Y43" i="2"/>
  <c r="X43" i="2"/>
  <c r="W43" i="2"/>
  <c r="V43" i="2"/>
  <c r="R43" i="2"/>
  <c r="Q43" i="2"/>
  <c r="P43" i="2"/>
  <c r="O43" i="2"/>
  <c r="N43" i="2"/>
  <c r="M43" i="2"/>
  <c r="K43" i="2"/>
  <c r="J43" i="2"/>
  <c r="H43" i="2"/>
  <c r="AX42" i="2"/>
  <c r="AV42" i="2"/>
  <c r="AU42" i="2"/>
  <c r="AT42" i="2"/>
  <c r="AS42" i="2"/>
  <c r="AR42" i="2"/>
  <c r="AQ42" i="2"/>
  <c r="AP42" i="2"/>
  <c r="AL42" i="2"/>
  <c r="AK42" i="2"/>
  <c r="AJ42" i="2"/>
  <c r="AF42" i="2"/>
  <c r="AE42" i="2"/>
  <c r="AB42" i="2"/>
  <c r="AA42" i="2"/>
  <c r="Z42" i="2"/>
  <c r="Y42" i="2"/>
  <c r="X42" i="2"/>
  <c r="W42" i="2"/>
  <c r="V42" i="2"/>
  <c r="R42" i="2"/>
  <c r="Q42" i="2"/>
  <c r="P42" i="2"/>
  <c r="O42" i="2"/>
  <c r="N42" i="2"/>
  <c r="M42" i="2"/>
  <c r="K42" i="2"/>
  <c r="J42" i="2"/>
  <c r="H42" i="2"/>
  <c r="AX41" i="2"/>
  <c r="AV41" i="2"/>
  <c r="AU41" i="2"/>
  <c r="AT41" i="2"/>
  <c r="AS41" i="2"/>
  <c r="AR41" i="2"/>
  <c r="AQ41" i="2"/>
  <c r="AP41" i="2"/>
  <c r="AL41" i="2"/>
  <c r="AK41" i="2"/>
  <c r="AJ41" i="2"/>
  <c r="AF41" i="2"/>
  <c r="AE41" i="2"/>
  <c r="AB41" i="2"/>
  <c r="AA41" i="2"/>
  <c r="Z41" i="2"/>
  <c r="Y41" i="2"/>
  <c r="X41" i="2"/>
  <c r="W41" i="2"/>
  <c r="V41" i="2"/>
  <c r="R41" i="2"/>
  <c r="Q41" i="2"/>
  <c r="P41" i="2"/>
  <c r="O41" i="2"/>
  <c r="N41" i="2"/>
  <c r="M41" i="2"/>
  <c r="K41" i="2"/>
  <c r="J41" i="2"/>
  <c r="H41" i="2"/>
  <c r="AX40" i="2"/>
  <c r="AV40" i="2"/>
  <c r="AU40" i="2"/>
  <c r="AT40" i="2"/>
  <c r="AS40" i="2"/>
  <c r="AR40" i="2"/>
  <c r="AQ40" i="2"/>
  <c r="AP40" i="2"/>
  <c r="AL40" i="2"/>
  <c r="AK40" i="2"/>
  <c r="AJ40" i="2"/>
  <c r="AF40" i="2"/>
  <c r="AE40" i="2"/>
  <c r="AB40" i="2"/>
  <c r="AA40" i="2"/>
  <c r="Z40" i="2"/>
  <c r="Y40" i="2"/>
  <c r="X40" i="2"/>
  <c r="W40" i="2"/>
  <c r="V40" i="2"/>
  <c r="R40" i="2"/>
  <c r="Q40" i="2"/>
  <c r="P40" i="2"/>
  <c r="O40" i="2"/>
  <c r="N40" i="2"/>
  <c r="M40" i="2"/>
  <c r="K40" i="2"/>
  <c r="J40" i="2"/>
  <c r="H40" i="2"/>
  <c r="AX39" i="2"/>
  <c r="AV39" i="2"/>
  <c r="AU39" i="2"/>
  <c r="AT39" i="2"/>
  <c r="AS39" i="2"/>
  <c r="AR39" i="2"/>
  <c r="AQ39" i="2"/>
  <c r="AP39" i="2"/>
  <c r="AL39" i="2"/>
  <c r="AK39" i="2"/>
  <c r="AJ39" i="2"/>
  <c r="AF39" i="2"/>
  <c r="AE39" i="2"/>
  <c r="AB39" i="2"/>
  <c r="AA39" i="2"/>
  <c r="Z39" i="2"/>
  <c r="Y39" i="2"/>
  <c r="X39" i="2"/>
  <c r="W39" i="2"/>
  <c r="V39" i="2"/>
  <c r="R39" i="2"/>
  <c r="Q39" i="2"/>
  <c r="P39" i="2"/>
  <c r="O39" i="2"/>
  <c r="N39" i="2"/>
  <c r="M39" i="2"/>
  <c r="K39" i="2"/>
  <c r="J39" i="2"/>
  <c r="H39" i="2"/>
  <c r="AX38" i="2"/>
  <c r="AV38" i="2"/>
  <c r="AU38" i="2"/>
  <c r="AT38" i="2"/>
  <c r="AS38" i="2"/>
  <c r="AR38" i="2"/>
  <c r="AQ38" i="2"/>
  <c r="AP38" i="2"/>
  <c r="AL38" i="2"/>
  <c r="AK38" i="2"/>
  <c r="AJ38" i="2"/>
  <c r="AF38" i="2"/>
  <c r="AE38" i="2"/>
  <c r="AB38" i="2"/>
  <c r="AA38" i="2"/>
  <c r="Z38" i="2"/>
  <c r="Y38" i="2"/>
  <c r="X38" i="2"/>
  <c r="W38" i="2"/>
  <c r="V38" i="2"/>
  <c r="R38" i="2"/>
  <c r="Q38" i="2"/>
  <c r="P38" i="2"/>
  <c r="O38" i="2"/>
  <c r="N38" i="2"/>
  <c r="M38" i="2"/>
  <c r="K38" i="2"/>
  <c r="J38" i="2"/>
  <c r="H38" i="2"/>
  <c r="AX37" i="2"/>
  <c r="AV37" i="2"/>
  <c r="AU37" i="2"/>
  <c r="AT37" i="2"/>
  <c r="AS37" i="2"/>
  <c r="AR37" i="2"/>
  <c r="AQ37" i="2"/>
  <c r="AP37" i="2"/>
  <c r="AL37" i="2"/>
  <c r="AK37" i="2"/>
  <c r="AJ37" i="2"/>
  <c r="AF37" i="2"/>
  <c r="AE37" i="2"/>
  <c r="AB37" i="2"/>
  <c r="AA37" i="2"/>
  <c r="Z37" i="2"/>
  <c r="Y37" i="2"/>
  <c r="X37" i="2"/>
  <c r="W37" i="2"/>
  <c r="V37" i="2"/>
  <c r="R37" i="2"/>
  <c r="Q37" i="2"/>
  <c r="P37" i="2"/>
  <c r="O37" i="2"/>
  <c r="N37" i="2"/>
  <c r="M37" i="2"/>
  <c r="K37" i="2"/>
  <c r="J37" i="2"/>
  <c r="H37" i="2"/>
  <c r="AX25" i="2"/>
  <c r="AV25" i="2"/>
  <c r="AU25" i="2"/>
  <c r="AT25" i="2"/>
  <c r="AS25" i="2"/>
  <c r="AR25" i="2"/>
  <c r="AQ25" i="2"/>
  <c r="AP25" i="2"/>
  <c r="AL25" i="2"/>
  <c r="AK25" i="2"/>
  <c r="AJ25" i="2"/>
  <c r="AF25" i="2"/>
  <c r="AE25" i="2"/>
  <c r="AB25" i="2"/>
  <c r="AA25" i="2"/>
  <c r="Z25" i="2"/>
  <c r="Y25" i="2"/>
  <c r="X25" i="2"/>
  <c r="W25" i="2"/>
  <c r="V25" i="2"/>
  <c r="R25" i="2"/>
  <c r="Q25" i="2"/>
  <c r="P25" i="2"/>
  <c r="O25" i="2"/>
  <c r="N25" i="2"/>
  <c r="M25" i="2"/>
  <c r="AX24" i="2"/>
  <c r="AV24" i="2"/>
  <c r="AU24" i="2"/>
  <c r="AT24" i="2"/>
  <c r="AS24" i="2"/>
  <c r="AR24" i="2"/>
  <c r="AQ24" i="2"/>
  <c r="AP24" i="2"/>
  <c r="AL24" i="2"/>
  <c r="AK24" i="2"/>
  <c r="AJ24" i="2"/>
  <c r="AF24" i="2"/>
  <c r="AE24" i="2"/>
  <c r="AB24" i="2"/>
  <c r="AA24" i="2"/>
  <c r="Z24" i="2"/>
  <c r="Y24" i="2"/>
  <c r="X24" i="2"/>
  <c r="W24" i="2"/>
  <c r="V24" i="2"/>
  <c r="R24" i="2"/>
  <c r="Q24" i="2"/>
  <c r="P24" i="2"/>
  <c r="O24" i="2"/>
  <c r="N24" i="2"/>
  <c r="M24" i="2"/>
  <c r="H24" i="2"/>
  <c r="AX23" i="2"/>
  <c r="AV23" i="2"/>
  <c r="AU23" i="2"/>
  <c r="AT23" i="2"/>
  <c r="AS23" i="2"/>
  <c r="AR23" i="2"/>
  <c r="AQ23" i="2"/>
  <c r="AP23" i="2"/>
  <c r="AL23" i="2"/>
  <c r="AK23" i="2"/>
  <c r="AJ23" i="2"/>
  <c r="AF23" i="2"/>
  <c r="AE23" i="2"/>
  <c r="AB23" i="2"/>
  <c r="AA23" i="2"/>
  <c r="Z23" i="2"/>
  <c r="Y23" i="2"/>
  <c r="X23" i="2"/>
  <c r="W23" i="2"/>
  <c r="V23" i="2"/>
  <c r="R23" i="2"/>
  <c r="Q23" i="2"/>
  <c r="P23" i="2"/>
  <c r="O23" i="2"/>
  <c r="N23" i="2"/>
  <c r="M23" i="2"/>
  <c r="H23" i="2"/>
  <c r="AX22" i="2"/>
  <c r="AV22" i="2"/>
  <c r="AU22" i="2"/>
  <c r="AT22" i="2"/>
  <c r="AS22" i="2"/>
  <c r="AR22" i="2"/>
  <c r="AQ22" i="2"/>
  <c r="AP22" i="2"/>
  <c r="AL22" i="2"/>
  <c r="AK22" i="2"/>
  <c r="AJ22" i="2"/>
  <c r="AF22" i="2"/>
  <c r="AE22" i="2"/>
  <c r="AB22" i="2"/>
  <c r="AA22" i="2"/>
  <c r="Z22" i="2"/>
  <c r="Y22" i="2"/>
  <c r="X22" i="2"/>
  <c r="W22" i="2"/>
  <c r="V22" i="2"/>
  <c r="R22" i="2"/>
  <c r="Q22" i="2"/>
  <c r="P22" i="2"/>
  <c r="O22" i="2"/>
  <c r="N22" i="2"/>
  <c r="M22" i="2"/>
  <c r="H22" i="2"/>
  <c r="B22" i="2"/>
  <c r="AX21" i="2"/>
  <c r="AV21" i="2"/>
  <c r="AU21" i="2"/>
  <c r="AT21" i="2"/>
  <c r="AS21" i="2"/>
  <c r="AR21" i="2"/>
  <c r="AQ21" i="2"/>
  <c r="AP21" i="2"/>
  <c r="AL21" i="2"/>
  <c r="AK21" i="2"/>
  <c r="AJ21" i="2"/>
  <c r="AF21" i="2"/>
  <c r="AE21" i="2"/>
  <c r="AB21" i="2"/>
  <c r="AA21" i="2"/>
  <c r="Z21" i="2"/>
  <c r="Y21" i="2"/>
  <c r="X21" i="2"/>
  <c r="W21" i="2"/>
  <c r="V21" i="2"/>
  <c r="R21" i="2"/>
  <c r="Q21" i="2"/>
  <c r="P21" i="2"/>
  <c r="O21" i="2"/>
  <c r="N21" i="2"/>
  <c r="M21" i="2"/>
  <c r="K21" i="2"/>
  <c r="J21" i="2"/>
  <c r="H21" i="2"/>
  <c r="G21" i="2"/>
  <c r="E21" i="2"/>
  <c r="C21" i="2"/>
  <c r="AX16" i="2"/>
  <c r="AV16" i="2"/>
  <c r="AU16" i="2"/>
  <c r="AT16" i="2"/>
  <c r="AS16" i="2"/>
  <c r="AR16" i="2"/>
  <c r="AQ16" i="2"/>
  <c r="AP16" i="2"/>
  <c r="AL16" i="2"/>
  <c r="AK16" i="2"/>
  <c r="AJ16" i="2"/>
  <c r="AG16" i="2"/>
  <c r="AF16" i="2"/>
  <c r="AE16" i="2"/>
  <c r="AB16" i="2"/>
  <c r="AA16" i="2"/>
  <c r="Z16" i="2"/>
  <c r="Y16" i="2"/>
  <c r="X16" i="2"/>
  <c r="W16" i="2"/>
  <c r="V16" i="2"/>
  <c r="R16" i="2"/>
  <c r="Q16" i="2"/>
  <c r="P16" i="2"/>
  <c r="O16" i="2"/>
  <c r="N16" i="2"/>
  <c r="M16" i="2"/>
  <c r="K16" i="2"/>
  <c r="J16" i="2"/>
  <c r="H16" i="2"/>
  <c r="AX15" i="2"/>
  <c r="AV15" i="2"/>
  <c r="AU15" i="2"/>
  <c r="AT15" i="2"/>
  <c r="AS15" i="2"/>
  <c r="AR15" i="2"/>
  <c r="AQ15" i="2"/>
  <c r="AP15" i="2"/>
  <c r="AL15" i="2"/>
  <c r="AK15" i="2"/>
  <c r="AJ15" i="2"/>
  <c r="AF15" i="2"/>
  <c r="AE15" i="2"/>
  <c r="AB15" i="2"/>
  <c r="AA15" i="2"/>
  <c r="Z15" i="2"/>
  <c r="Y15" i="2"/>
  <c r="X15" i="2"/>
  <c r="W15" i="2"/>
  <c r="V15" i="2"/>
  <c r="R15" i="2"/>
  <c r="Q15" i="2"/>
  <c r="P15" i="2"/>
  <c r="O15" i="2"/>
  <c r="N15" i="2"/>
  <c r="M15" i="2"/>
  <c r="K15" i="2"/>
  <c r="J15" i="2"/>
  <c r="H15" i="2"/>
  <c r="AX14" i="2"/>
  <c r="AV14" i="2"/>
  <c r="AU14" i="2"/>
  <c r="AT14" i="2"/>
  <c r="AS14" i="2"/>
  <c r="AR14" i="2"/>
  <c r="AQ14" i="2"/>
  <c r="AP14" i="2"/>
  <c r="AL14" i="2"/>
  <c r="AK14" i="2"/>
  <c r="AJ14" i="2"/>
  <c r="AF14" i="2"/>
  <c r="AE14" i="2"/>
  <c r="AB14" i="2"/>
  <c r="AA14" i="2"/>
  <c r="Z14" i="2"/>
  <c r="Y14" i="2"/>
  <c r="X14" i="2"/>
  <c r="W14" i="2"/>
  <c r="V14" i="2"/>
  <c r="R14" i="2"/>
  <c r="Q14" i="2"/>
  <c r="P14" i="2"/>
  <c r="O14" i="2"/>
  <c r="N14" i="2"/>
  <c r="M14" i="2"/>
  <c r="K14" i="2"/>
  <c r="J14" i="2"/>
  <c r="H14" i="2"/>
  <c r="AX13" i="2"/>
  <c r="AV13" i="2"/>
  <c r="AU13" i="2"/>
  <c r="AT13" i="2"/>
  <c r="AS13" i="2"/>
  <c r="AR13" i="2"/>
  <c r="AQ13" i="2"/>
  <c r="AP13" i="2"/>
  <c r="AL13" i="2"/>
  <c r="AK13" i="2"/>
  <c r="AJ13" i="2"/>
  <c r="AF13" i="2"/>
  <c r="AE13" i="2"/>
  <c r="AB13" i="2"/>
  <c r="AA13" i="2"/>
  <c r="Z13" i="2"/>
  <c r="Y13" i="2"/>
  <c r="X13" i="2"/>
  <c r="W13" i="2"/>
  <c r="V13" i="2"/>
  <c r="R13" i="2"/>
  <c r="Q13" i="2"/>
  <c r="P13" i="2"/>
  <c r="O13" i="2"/>
  <c r="N13" i="2"/>
  <c r="M13" i="2"/>
  <c r="K13" i="2"/>
  <c r="J13" i="2"/>
  <c r="AX12" i="2"/>
  <c r="AV12" i="2"/>
  <c r="AU12" i="2"/>
  <c r="AT12" i="2"/>
  <c r="AS12" i="2"/>
  <c r="AR12" i="2"/>
  <c r="AQ12" i="2"/>
  <c r="AP12" i="2"/>
  <c r="AL12" i="2"/>
  <c r="AK12" i="2"/>
  <c r="AJ12" i="2"/>
  <c r="AF12" i="2"/>
  <c r="AE12" i="2"/>
  <c r="AB12" i="2"/>
  <c r="AA12" i="2"/>
  <c r="Z12" i="2"/>
  <c r="Y12" i="2"/>
  <c r="X12" i="2"/>
  <c r="W12" i="2"/>
  <c r="V12" i="2"/>
  <c r="R12" i="2"/>
  <c r="Q12" i="2"/>
  <c r="P12" i="2"/>
  <c r="O12" i="2"/>
  <c r="N12" i="2"/>
  <c r="M12" i="2"/>
  <c r="K12" i="2"/>
  <c r="J12" i="2"/>
  <c r="AX11" i="2"/>
  <c r="AV11" i="2"/>
  <c r="AU11" i="2"/>
  <c r="AT11" i="2"/>
  <c r="AS11" i="2"/>
  <c r="AR11" i="2"/>
  <c r="AQ11" i="2"/>
  <c r="AP11" i="2"/>
  <c r="AL11" i="2"/>
  <c r="AK11" i="2"/>
  <c r="AJ11" i="2"/>
  <c r="AI11" i="2"/>
  <c r="AH11" i="2"/>
  <c r="AG11" i="2"/>
  <c r="AF11" i="2"/>
  <c r="AE11" i="2"/>
  <c r="AB11" i="2"/>
  <c r="AA11" i="2"/>
  <c r="Z11" i="2"/>
  <c r="Y11" i="2"/>
  <c r="X11" i="2"/>
  <c r="W11" i="2"/>
  <c r="V11" i="2"/>
  <c r="R11" i="2"/>
  <c r="Q11" i="2"/>
  <c r="P11" i="2"/>
  <c r="O11" i="2"/>
  <c r="N11" i="2"/>
  <c r="M11" i="2"/>
  <c r="K11" i="2"/>
  <c r="J11" i="2"/>
  <c r="AX10" i="2"/>
  <c r="AV10" i="2"/>
  <c r="AU10" i="2"/>
  <c r="AT10" i="2"/>
  <c r="AS10" i="2"/>
  <c r="AR10" i="2"/>
  <c r="AQ10" i="2"/>
  <c r="AP10" i="2"/>
  <c r="AL10" i="2"/>
  <c r="AK10" i="2"/>
  <c r="AJ10" i="2"/>
  <c r="AI10" i="2"/>
  <c r="AH10" i="2"/>
  <c r="AG10" i="2"/>
  <c r="AF10" i="2"/>
  <c r="AE10" i="2"/>
  <c r="AB10" i="2"/>
  <c r="AA10" i="2"/>
  <c r="Z10" i="2"/>
  <c r="Y10" i="2"/>
  <c r="X10" i="2"/>
  <c r="W10" i="2"/>
  <c r="V10" i="2"/>
  <c r="R10" i="2"/>
  <c r="Q10" i="2"/>
  <c r="P10" i="2"/>
  <c r="O10" i="2"/>
  <c r="N10" i="2"/>
  <c r="M10" i="2"/>
  <c r="K10" i="2"/>
  <c r="J10" i="2"/>
  <c r="AX9" i="2"/>
  <c r="AV9" i="2"/>
  <c r="AU9" i="2"/>
  <c r="AT9" i="2"/>
  <c r="AS9" i="2"/>
  <c r="AR9" i="2"/>
  <c r="AQ9" i="2"/>
  <c r="AP9" i="2"/>
  <c r="AL9" i="2"/>
  <c r="AK9" i="2"/>
  <c r="AJ9" i="2"/>
  <c r="AI9" i="2"/>
  <c r="AH9" i="2"/>
  <c r="AG9" i="2"/>
  <c r="AF9" i="2"/>
  <c r="AE9" i="2"/>
  <c r="AB9" i="2"/>
  <c r="AA9" i="2"/>
  <c r="Z9" i="2"/>
  <c r="Y9" i="2"/>
  <c r="X9" i="2"/>
  <c r="W9" i="2"/>
  <c r="V9" i="2"/>
  <c r="R9" i="2"/>
  <c r="Q9" i="2"/>
  <c r="P9" i="2"/>
  <c r="O9" i="2"/>
  <c r="N9" i="2"/>
  <c r="M9" i="2"/>
  <c r="K9" i="2"/>
  <c r="J9" i="2"/>
  <c r="AX8" i="2"/>
  <c r="AV8" i="2"/>
  <c r="AU8" i="2"/>
  <c r="AT8" i="2"/>
  <c r="AS8" i="2"/>
  <c r="AR8" i="2"/>
  <c r="AQ8" i="2"/>
  <c r="AP8" i="2"/>
  <c r="AL8" i="2"/>
  <c r="AK8" i="2"/>
  <c r="AJ8" i="2"/>
  <c r="AF8" i="2"/>
  <c r="AE8" i="2"/>
  <c r="AB8" i="2"/>
  <c r="AA8" i="2"/>
  <c r="Z8" i="2"/>
  <c r="Y8" i="2"/>
  <c r="X8" i="2"/>
  <c r="W8" i="2"/>
  <c r="V8" i="2"/>
  <c r="R8" i="2"/>
  <c r="Q8" i="2"/>
  <c r="P8" i="2"/>
  <c r="O8" i="2"/>
  <c r="N8" i="2"/>
  <c r="M8" i="2"/>
  <c r="K8" i="2"/>
  <c r="J8" i="2"/>
  <c r="AX7" i="2"/>
  <c r="AV7" i="2"/>
  <c r="AU7" i="2"/>
  <c r="AT7" i="2"/>
  <c r="AS7" i="2"/>
  <c r="AR7" i="2"/>
  <c r="AQ7" i="2"/>
  <c r="AP7" i="2"/>
  <c r="AL7" i="2"/>
  <c r="AK7" i="2"/>
  <c r="AJ7" i="2"/>
  <c r="AF7" i="2"/>
  <c r="AE7" i="2"/>
  <c r="AB7" i="2"/>
  <c r="AA7" i="2"/>
  <c r="Z7" i="2"/>
  <c r="Y7" i="2"/>
  <c r="X7" i="2"/>
  <c r="W7" i="2"/>
  <c r="V7" i="2"/>
  <c r="R7" i="2"/>
  <c r="Q7" i="2"/>
  <c r="P7" i="2"/>
  <c r="O7" i="2"/>
  <c r="N7" i="2"/>
  <c r="M7" i="2"/>
  <c r="K7" i="2"/>
  <c r="J7" i="2"/>
  <c r="AX6" i="2"/>
  <c r="AV6" i="2"/>
  <c r="AU6" i="2"/>
  <c r="AT6" i="2"/>
  <c r="AS6" i="2"/>
  <c r="AR6" i="2"/>
  <c r="AQ6" i="2"/>
  <c r="AP6" i="2"/>
  <c r="AL6" i="2"/>
  <c r="AK6" i="2"/>
  <c r="AJ6" i="2"/>
  <c r="AF6" i="2"/>
  <c r="AE6" i="2"/>
  <c r="AB6" i="2"/>
  <c r="AA6" i="2"/>
  <c r="Z6" i="2"/>
  <c r="Y6" i="2"/>
  <c r="X6" i="2"/>
  <c r="W6" i="2"/>
  <c r="V6" i="2"/>
  <c r="R6" i="2"/>
  <c r="Q6" i="2"/>
  <c r="P6" i="2"/>
  <c r="O6" i="2"/>
  <c r="N6" i="2"/>
  <c r="M6" i="2"/>
  <c r="K6" i="2"/>
  <c r="J6" i="2"/>
  <c r="AX5" i="2"/>
  <c r="AV5" i="2"/>
  <c r="AU5" i="2"/>
  <c r="AT5" i="2"/>
  <c r="AS5" i="2"/>
  <c r="AR5" i="2"/>
  <c r="AQ5" i="2"/>
  <c r="AP5" i="2"/>
  <c r="AL5" i="2"/>
  <c r="AK5" i="2"/>
  <c r="AJ5" i="2"/>
  <c r="AF5" i="2"/>
  <c r="AE5" i="2"/>
  <c r="AB5" i="2"/>
  <c r="AA5" i="2"/>
  <c r="Z5" i="2"/>
  <c r="Y5" i="2"/>
  <c r="X5" i="2"/>
  <c r="W5" i="2"/>
  <c r="V5" i="2"/>
  <c r="R5" i="2"/>
  <c r="Q5" i="2"/>
  <c r="P5" i="2"/>
  <c r="O5" i="2"/>
  <c r="N5" i="2"/>
  <c r="M5" i="2"/>
  <c r="K5" i="2"/>
  <c r="J5" i="2"/>
  <c r="AC208" i="1"/>
  <c r="AB208" i="1"/>
  <c r="AA208" i="1"/>
  <c r="Z208" i="1"/>
  <c r="Y208" i="1"/>
  <c r="X208" i="1"/>
  <c r="W208" i="1"/>
  <c r="V208" i="1"/>
  <c r="U208" i="1"/>
  <c r="T208" i="1"/>
  <c r="L208" i="1"/>
  <c r="K208" i="1"/>
  <c r="J208" i="1"/>
  <c r="I208" i="1"/>
  <c r="H208" i="1"/>
  <c r="G208" i="1"/>
  <c r="F208" i="1"/>
  <c r="E208" i="1"/>
  <c r="D208" i="1"/>
  <c r="C208" i="1"/>
  <c r="AC207" i="1"/>
  <c r="AB207" i="1"/>
  <c r="AA207" i="1"/>
  <c r="Z207" i="1"/>
  <c r="Y207" i="1"/>
  <c r="X207" i="1"/>
  <c r="W207" i="1"/>
  <c r="V207" i="1"/>
  <c r="U207" i="1"/>
  <c r="T207" i="1"/>
  <c r="L207" i="1"/>
  <c r="I207" i="1"/>
  <c r="C207" i="1"/>
  <c r="A207" i="1"/>
  <c r="AC206" i="1"/>
  <c r="AB206" i="1"/>
  <c r="AA206" i="1"/>
  <c r="Z206" i="1"/>
  <c r="Y206" i="1"/>
  <c r="X206" i="1"/>
  <c r="W206" i="1"/>
  <c r="V206" i="1"/>
  <c r="U206" i="1"/>
  <c r="T206" i="1"/>
  <c r="L206" i="1"/>
  <c r="I206" i="1"/>
  <c r="A206" i="1"/>
  <c r="AC205" i="1"/>
  <c r="AB205" i="1"/>
  <c r="AA205" i="1"/>
  <c r="Z205" i="1"/>
  <c r="Y205" i="1"/>
  <c r="X205" i="1"/>
  <c r="W205" i="1"/>
  <c r="V205" i="1"/>
  <c r="U205" i="1"/>
  <c r="T205" i="1"/>
  <c r="L205" i="1"/>
  <c r="I205" i="1"/>
  <c r="A205" i="1"/>
  <c r="AC204" i="1"/>
  <c r="AB204" i="1"/>
  <c r="AA204" i="1"/>
  <c r="Z204" i="1"/>
  <c r="Y204" i="1"/>
  <c r="X204" i="1"/>
  <c r="W204" i="1"/>
  <c r="V204" i="1"/>
  <c r="U204" i="1"/>
  <c r="T204" i="1"/>
  <c r="L204" i="1"/>
  <c r="I204" i="1"/>
  <c r="A204" i="1"/>
  <c r="AC203" i="1"/>
  <c r="AB203" i="1"/>
  <c r="AA203" i="1"/>
  <c r="Z203" i="1"/>
  <c r="Y203" i="1"/>
  <c r="X203" i="1"/>
  <c r="W203" i="1"/>
  <c r="V203" i="1"/>
  <c r="U203" i="1"/>
  <c r="T203" i="1"/>
  <c r="L203" i="1"/>
  <c r="I203" i="1"/>
  <c r="A203" i="1"/>
  <c r="AC202" i="1"/>
  <c r="AB202" i="1"/>
  <c r="AA202" i="1"/>
  <c r="Z202" i="1"/>
  <c r="Y202" i="1"/>
  <c r="X202" i="1"/>
  <c r="W202" i="1"/>
  <c r="V202" i="1"/>
  <c r="U202" i="1"/>
  <c r="T202" i="1"/>
  <c r="L202" i="1"/>
  <c r="K202" i="1"/>
  <c r="J202" i="1"/>
  <c r="I202" i="1"/>
  <c r="H202" i="1"/>
  <c r="G202" i="1"/>
  <c r="F202" i="1"/>
  <c r="E202" i="1"/>
  <c r="D202" i="1"/>
  <c r="C202" i="1"/>
  <c r="A202" i="1"/>
  <c r="AC201" i="1"/>
  <c r="AB201" i="1"/>
  <c r="AA201" i="1"/>
  <c r="Z201" i="1"/>
  <c r="Y201" i="1"/>
  <c r="X201" i="1"/>
  <c r="W201" i="1"/>
  <c r="V201" i="1"/>
  <c r="U201" i="1"/>
  <c r="T201" i="1"/>
  <c r="L201" i="1"/>
  <c r="I201" i="1"/>
  <c r="A201" i="1"/>
  <c r="AC200" i="1"/>
  <c r="AB200" i="1"/>
  <c r="AA200" i="1"/>
  <c r="Z200" i="1"/>
  <c r="Y200" i="1"/>
  <c r="X200" i="1"/>
  <c r="W200" i="1"/>
  <c r="V200" i="1"/>
  <c r="U200" i="1"/>
  <c r="T200" i="1"/>
  <c r="L200" i="1"/>
  <c r="I200" i="1"/>
  <c r="A200" i="1"/>
  <c r="AC199" i="1"/>
  <c r="AB199" i="1"/>
  <c r="AA199" i="1"/>
  <c r="Z199" i="1"/>
  <c r="Y199" i="1"/>
  <c r="X199" i="1"/>
  <c r="W199" i="1"/>
  <c r="V199" i="1"/>
  <c r="U199" i="1"/>
  <c r="T199" i="1"/>
  <c r="L199" i="1"/>
  <c r="I199" i="1"/>
  <c r="A199" i="1"/>
  <c r="AC198" i="1"/>
  <c r="AB198" i="1"/>
  <c r="AA198" i="1"/>
  <c r="Z198" i="1"/>
  <c r="Y198" i="1"/>
  <c r="X198" i="1"/>
  <c r="W198" i="1"/>
  <c r="V198" i="1"/>
  <c r="U198" i="1"/>
  <c r="T198" i="1"/>
  <c r="L198" i="1"/>
  <c r="I198" i="1"/>
  <c r="A198" i="1"/>
  <c r="AC197" i="1"/>
  <c r="AB197" i="1"/>
  <c r="AA197" i="1"/>
  <c r="Z197" i="1"/>
  <c r="Y197" i="1"/>
  <c r="X197" i="1"/>
  <c r="W197" i="1"/>
  <c r="V197" i="1"/>
  <c r="U197" i="1"/>
  <c r="T197" i="1"/>
  <c r="L197" i="1"/>
  <c r="I197" i="1"/>
  <c r="A197" i="1"/>
  <c r="AC196" i="1"/>
  <c r="AB196" i="1"/>
  <c r="AA196" i="1"/>
  <c r="Z196" i="1"/>
  <c r="Y196" i="1"/>
  <c r="X196" i="1"/>
  <c r="W196" i="1"/>
  <c r="V196" i="1"/>
  <c r="U196" i="1"/>
  <c r="T196" i="1"/>
  <c r="L196" i="1"/>
  <c r="I196" i="1"/>
  <c r="A196" i="1"/>
  <c r="AC195" i="1"/>
  <c r="AB195" i="1"/>
  <c r="AA195" i="1"/>
  <c r="Z195" i="1"/>
  <c r="Y195" i="1"/>
  <c r="X195" i="1"/>
  <c r="W195" i="1"/>
  <c r="V195" i="1"/>
  <c r="U195" i="1"/>
  <c r="T195" i="1"/>
  <c r="L195" i="1"/>
  <c r="I195" i="1"/>
  <c r="A195" i="1"/>
  <c r="AC194" i="1"/>
  <c r="AB194" i="1"/>
  <c r="AA194" i="1"/>
  <c r="Z194" i="1"/>
  <c r="Y194" i="1"/>
  <c r="X194" i="1"/>
  <c r="W194" i="1"/>
  <c r="V194" i="1"/>
  <c r="U194" i="1"/>
  <c r="T194" i="1"/>
  <c r="L194" i="1"/>
  <c r="I194" i="1"/>
  <c r="A194" i="1"/>
  <c r="AC193" i="1"/>
  <c r="AB193" i="1"/>
  <c r="AA193" i="1"/>
  <c r="Z193" i="1"/>
  <c r="Y193" i="1"/>
  <c r="X193" i="1"/>
  <c r="W193" i="1"/>
  <c r="V193" i="1"/>
  <c r="U193" i="1"/>
  <c r="T193" i="1"/>
  <c r="L193" i="1"/>
  <c r="I193" i="1"/>
  <c r="A193" i="1"/>
  <c r="AC192" i="1"/>
  <c r="AB192" i="1"/>
  <c r="AA192" i="1"/>
  <c r="Z192" i="1"/>
  <c r="Y192" i="1"/>
  <c r="X192" i="1"/>
  <c r="W192" i="1"/>
  <c r="V192" i="1"/>
  <c r="U192" i="1"/>
  <c r="T192" i="1"/>
  <c r="L192" i="1"/>
  <c r="I192" i="1"/>
  <c r="A192" i="1"/>
  <c r="AC191" i="1"/>
  <c r="AB191" i="1"/>
  <c r="AA191" i="1"/>
  <c r="Z191" i="1"/>
  <c r="Y191" i="1"/>
  <c r="X191" i="1"/>
  <c r="W191" i="1"/>
  <c r="V191" i="1"/>
  <c r="U191" i="1"/>
  <c r="T191" i="1"/>
  <c r="L191" i="1"/>
  <c r="I191" i="1"/>
  <c r="A191" i="1"/>
  <c r="AC190" i="1"/>
  <c r="AB190" i="1"/>
  <c r="AA190" i="1"/>
  <c r="Z190" i="1"/>
  <c r="Y190" i="1"/>
  <c r="X190" i="1"/>
  <c r="W190" i="1"/>
  <c r="V190" i="1"/>
  <c r="U190" i="1"/>
  <c r="T190" i="1"/>
  <c r="L190" i="1"/>
  <c r="I190" i="1"/>
  <c r="A190" i="1"/>
  <c r="AC189" i="1"/>
  <c r="AB189" i="1"/>
  <c r="AA189" i="1"/>
  <c r="Z189" i="1"/>
  <c r="Y189" i="1"/>
  <c r="X189" i="1"/>
  <c r="W189" i="1"/>
  <c r="V189" i="1"/>
  <c r="U189" i="1"/>
  <c r="T189" i="1"/>
  <c r="L189" i="1"/>
  <c r="K189" i="1"/>
  <c r="J189" i="1"/>
  <c r="I189" i="1"/>
  <c r="H189" i="1"/>
  <c r="G189" i="1"/>
  <c r="F189" i="1"/>
  <c r="E189" i="1"/>
  <c r="D189" i="1"/>
  <c r="C189" i="1"/>
  <c r="A189" i="1"/>
  <c r="AC188" i="1"/>
  <c r="AB188" i="1"/>
  <c r="AA188" i="1"/>
  <c r="Z188" i="1"/>
  <c r="Y188" i="1"/>
  <c r="X188" i="1"/>
  <c r="W188" i="1"/>
  <c r="V188" i="1"/>
  <c r="U188" i="1"/>
  <c r="T188" i="1"/>
  <c r="L188" i="1"/>
  <c r="A188" i="1"/>
  <c r="AC187" i="1"/>
  <c r="AB187" i="1"/>
  <c r="AA187" i="1"/>
  <c r="Z187" i="1"/>
  <c r="Y187" i="1"/>
  <c r="X187" i="1"/>
  <c r="W187" i="1"/>
  <c r="V187" i="1"/>
  <c r="U187" i="1"/>
  <c r="T187" i="1"/>
  <c r="L187" i="1"/>
  <c r="A187" i="1"/>
  <c r="AC186" i="1"/>
  <c r="AB186" i="1"/>
  <c r="AA186" i="1"/>
  <c r="Z186" i="1"/>
  <c r="Y186" i="1"/>
  <c r="X186" i="1"/>
  <c r="W186" i="1"/>
  <c r="V186" i="1"/>
  <c r="U186" i="1"/>
  <c r="T186" i="1"/>
  <c r="L186" i="1"/>
  <c r="A186" i="1"/>
  <c r="AC185" i="1"/>
  <c r="AB185" i="1"/>
  <c r="AA185" i="1"/>
  <c r="Z185" i="1"/>
  <c r="Y185" i="1"/>
  <c r="X185" i="1"/>
  <c r="W185" i="1"/>
  <c r="V185" i="1"/>
  <c r="U185" i="1"/>
  <c r="T185" i="1"/>
  <c r="L185" i="1"/>
  <c r="A185" i="1"/>
  <c r="AC184" i="1"/>
  <c r="AB184" i="1"/>
  <c r="AA184" i="1"/>
  <c r="Z184" i="1"/>
  <c r="Y184" i="1"/>
  <c r="X184" i="1"/>
  <c r="W184" i="1"/>
  <c r="V184" i="1"/>
  <c r="U184" i="1"/>
  <c r="T184" i="1"/>
  <c r="L184" i="1"/>
  <c r="A184" i="1"/>
  <c r="AC183" i="1"/>
  <c r="AB183" i="1"/>
  <c r="AA183" i="1"/>
  <c r="Z183" i="1"/>
  <c r="Y183" i="1"/>
  <c r="X183" i="1"/>
  <c r="W183" i="1"/>
  <c r="V183" i="1"/>
  <c r="U183" i="1"/>
  <c r="T183" i="1"/>
  <c r="L183" i="1"/>
  <c r="A183" i="1"/>
  <c r="AC182" i="1"/>
  <c r="AB182" i="1"/>
  <c r="AA182" i="1"/>
  <c r="Z182" i="1"/>
  <c r="Y182" i="1"/>
  <c r="X182" i="1"/>
  <c r="W182" i="1"/>
  <c r="V182" i="1"/>
  <c r="U182" i="1"/>
  <c r="T182" i="1"/>
  <c r="L182" i="1"/>
  <c r="A182" i="1"/>
  <c r="AC181" i="1"/>
  <c r="AB181" i="1"/>
  <c r="AA181" i="1"/>
  <c r="Z181" i="1"/>
  <c r="Y181" i="1"/>
  <c r="X181" i="1"/>
  <c r="W181" i="1"/>
  <c r="V181" i="1"/>
  <c r="U181" i="1"/>
  <c r="T181" i="1"/>
  <c r="L181" i="1"/>
  <c r="A181" i="1"/>
  <c r="AC180" i="1"/>
  <c r="AB180" i="1"/>
  <c r="AA180" i="1"/>
  <c r="Z180" i="1"/>
  <c r="Y180" i="1"/>
  <c r="X180" i="1"/>
  <c r="W180" i="1"/>
  <c r="V180" i="1"/>
  <c r="U180" i="1"/>
  <c r="T180" i="1"/>
  <c r="L180" i="1"/>
  <c r="A180" i="1"/>
  <c r="AC179" i="1"/>
  <c r="AB179" i="1"/>
  <c r="AA179" i="1"/>
  <c r="Z179" i="1"/>
  <c r="Y179" i="1"/>
  <c r="X179" i="1"/>
  <c r="W179" i="1"/>
  <c r="V179" i="1"/>
  <c r="U179" i="1"/>
  <c r="T179" i="1"/>
  <c r="L179" i="1"/>
  <c r="A179" i="1"/>
  <c r="AC178" i="1"/>
  <c r="AB178" i="1"/>
  <c r="AA178" i="1"/>
  <c r="Z178" i="1"/>
  <c r="Y178" i="1"/>
  <c r="X178" i="1"/>
  <c r="W178" i="1"/>
  <c r="V178" i="1"/>
  <c r="U178" i="1"/>
  <c r="T178" i="1"/>
  <c r="L178" i="1"/>
  <c r="A178" i="1"/>
  <c r="AC177" i="1"/>
  <c r="AB177" i="1"/>
  <c r="AA177" i="1"/>
  <c r="Z177" i="1"/>
  <c r="Y177" i="1"/>
  <c r="X177" i="1"/>
  <c r="W177" i="1"/>
  <c r="V177" i="1"/>
  <c r="U177" i="1"/>
  <c r="T177" i="1"/>
  <c r="L177" i="1"/>
  <c r="AC176" i="1"/>
  <c r="AB176" i="1"/>
  <c r="AA176" i="1"/>
  <c r="Z176" i="1"/>
  <c r="Y176" i="1"/>
  <c r="X176" i="1"/>
  <c r="W176" i="1"/>
  <c r="V176" i="1"/>
  <c r="U176" i="1"/>
  <c r="T176" i="1"/>
  <c r="L176" i="1"/>
  <c r="K176" i="1"/>
  <c r="J176" i="1"/>
  <c r="I176" i="1"/>
  <c r="H176" i="1"/>
  <c r="G176" i="1"/>
  <c r="F176" i="1"/>
  <c r="E176" i="1"/>
  <c r="D176" i="1"/>
  <c r="C176" i="1"/>
  <c r="AC175" i="1"/>
  <c r="AB175" i="1"/>
  <c r="AA175" i="1"/>
  <c r="Z175" i="1"/>
  <c r="Y175" i="1"/>
  <c r="X175" i="1"/>
  <c r="W175" i="1"/>
  <c r="V175" i="1"/>
  <c r="U175" i="1"/>
  <c r="T175" i="1"/>
  <c r="L175" i="1"/>
  <c r="I175" i="1"/>
  <c r="A175" i="1"/>
  <c r="AC174" i="1"/>
  <c r="AB174" i="1"/>
  <c r="AA174" i="1"/>
  <c r="Z174" i="1"/>
  <c r="Y174" i="1"/>
  <c r="X174" i="1"/>
  <c r="W174" i="1"/>
  <c r="V174" i="1"/>
  <c r="U174" i="1"/>
  <c r="T174" i="1"/>
  <c r="L174" i="1"/>
  <c r="I174" i="1"/>
  <c r="A174" i="1"/>
  <c r="AC173" i="1"/>
  <c r="AB173" i="1"/>
  <c r="AA173" i="1"/>
  <c r="Z173" i="1"/>
  <c r="Y173" i="1"/>
  <c r="X173" i="1"/>
  <c r="W173" i="1"/>
  <c r="V173" i="1"/>
  <c r="U173" i="1"/>
  <c r="T173" i="1"/>
  <c r="L173" i="1"/>
  <c r="I173" i="1"/>
  <c r="AC172" i="1"/>
  <c r="AB172" i="1"/>
  <c r="AA172" i="1"/>
  <c r="Z172" i="1"/>
  <c r="Y172" i="1"/>
  <c r="X172" i="1"/>
  <c r="W172" i="1"/>
  <c r="V172" i="1"/>
  <c r="U172" i="1"/>
  <c r="T172" i="1"/>
  <c r="L172" i="1"/>
  <c r="I172" i="1"/>
  <c r="AE170" i="1"/>
  <c r="S170" i="1"/>
  <c r="B170" i="1"/>
  <c r="AC167" i="1"/>
  <c r="AB167" i="1"/>
  <c r="AA167" i="1"/>
  <c r="Z167" i="1"/>
  <c r="Y167" i="1"/>
  <c r="X167" i="1"/>
  <c r="W167" i="1"/>
  <c r="V167" i="1"/>
  <c r="U167" i="1"/>
  <c r="T167" i="1"/>
  <c r="L167" i="1"/>
  <c r="K167" i="1"/>
  <c r="J167" i="1"/>
  <c r="I167" i="1"/>
  <c r="H167" i="1"/>
  <c r="G167" i="1"/>
  <c r="F167" i="1"/>
  <c r="E167" i="1"/>
  <c r="D167" i="1"/>
  <c r="C167" i="1"/>
  <c r="AC166" i="1"/>
  <c r="AB166" i="1"/>
  <c r="AA166" i="1"/>
  <c r="Z166" i="1"/>
  <c r="Y166" i="1"/>
  <c r="X166" i="1"/>
  <c r="W166" i="1"/>
  <c r="V166" i="1"/>
  <c r="U166" i="1"/>
  <c r="T166" i="1"/>
  <c r="L166" i="1"/>
  <c r="I166" i="1"/>
  <c r="C166" i="1"/>
  <c r="A166" i="1"/>
  <c r="AC165" i="1"/>
  <c r="AB165" i="1"/>
  <c r="AA165" i="1"/>
  <c r="Z165" i="1"/>
  <c r="Y165" i="1"/>
  <c r="X165" i="1"/>
  <c r="W165" i="1"/>
  <c r="V165" i="1"/>
  <c r="U165" i="1"/>
  <c r="T165" i="1"/>
  <c r="L165" i="1"/>
  <c r="I165" i="1"/>
  <c r="A165" i="1"/>
  <c r="AC164" i="1"/>
  <c r="AB164" i="1"/>
  <c r="AA164" i="1"/>
  <c r="Z164" i="1"/>
  <c r="Y164" i="1"/>
  <c r="X164" i="1"/>
  <c r="W164" i="1"/>
  <c r="V164" i="1"/>
  <c r="U164" i="1"/>
  <c r="T164" i="1"/>
  <c r="L164" i="1"/>
  <c r="I164" i="1"/>
  <c r="A164" i="1"/>
  <c r="AC163" i="1"/>
  <c r="AB163" i="1"/>
  <c r="AA163" i="1"/>
  <c r="Z163" i="1"/>
  <c r="Y163" i="1"/>
  <c r="X163" i="1"/>
  <c r="W163" i="1"/>
  <c r="V163" i="1"/>
  <c r="U163" i="1"/>
  <c r="T163" i="1"/>
  <c r="L163" i="1"/>
  <c r="I163" i="1"/>
  <c r="A163" i="1"/>
  <c r="AC162" i="1"/>
  <c r="AB162" i="1"/>
  <c r="AA162" i="1"/>
  <c r="Z162" i="1"/>
  <c r="Y162" i="1"/>
  <c r="X162" i="1"/>
  <c r="W162" i="1"/>
  <c r="V162" i="1"/>
  <c r="U162" i="1"/>
  <c r="T162" i="1"/>
  <c r="L162" i="1"/>
  <c r="I162" i="1"/>
  <c r="A162" i="1"/>
  <c r="AC161" i="1"/>
  <c r="AB161" i="1"/>
  <c r="AA161" i="1"/>
  <c r="Z161" i="1"/>
  <c r="Y161" i="1"/>
  <c r="X161" i="1"/>
  <c r="W161" i="1"/>
  <c r="V161" i="1"/>
  <c r="U161" i="1"/>
  <c r="T161" i="1"/>
  <c r="L161" i="1"/>
  <c r="K161" i="1"/>
  <c r="J161" i="1"/>
  <c r="I161" i="1"/>
  <c r="H161" i="1"/>
  <c r="G161" i="1"/>
  <c r="F161" i="1"/>
  <c r="E161" i="1"/>
  <c r="D161" i="1"/>
  <c r="C161" i="1"/>
  <c r="A161" i="1"/>
  <c r="AC160" i="1"/>
  <c r="AB160" i="1"/>
  <c r="AA160" i="1"/>
  <c r="Z160" i="1"/>
  <c r="Y160" i="1"/>
  <c r="X160" i="1"/>
  <c r="W160" i="1"/>
  <c r="V160" i="1"/>
  <c r="U160" i="1"/>
  <c r="T160" i="1"/>
  <c r="L160" i="1"/>
  <c r="I160" i="1"/>
  <c r="A160" i="1"/>
  <c r="AC159" i="1"/>
  <c r="AB159" i="1"/>
  <c r="AA159" i="1"/>
  <c r="Z159" i="1"/>
  <c r="Y159" i="1"/>
  <c r="X159" i="1"/>
  <c r="W159" i="1"/>
  <c r="V159" i="1"/>
  <c r="U159" i="1"/>
  <c r="T159" i="1"/>
  <c r="L159" i="1"/>
  <c r="I159" i="1"/>
  <c r="A159" i="1"/>
  <c r="AC158" i="1"/>
  <c r="AB158" i="1"/>
  <c r="AA158" i="1"/>
  <c r="Z158" i="1"/>
  <c r="Y158" i="1"/>
  <c r="X158" i="1"/>
  <c r="W158" i="1"/>
  <c r="V158" i="1"/>
  <c r="U158" i="1"/>
  <c r="T158" i="1"/>
  <c r="L158" i="1"/>
  <c r="I158" i="1"/>
  <c r="A158" i="1"/>
  <c r="AC157" i="1"/>
  <c r="AB157" i="1"/>
  <c r="AA157" i="1"/>
  <c r="Z157" i="1"/>
  <c r="Y157" i="1"/>
  <c r="X157" i="1"/>
  <c r="W157" i="1"/>
  <c r="V157" i="1"/>
  <c r="U157" i="1"/>
  <c r="T157" i="1"/>
  <c r="L157" i="1"/>
  <c r="I157" i="1"/>
  <c r="A157" i="1"/>
  <c r="AC156" i="1"/>
  <c r="AB156" i="1"/>
  <c r="AA156" i="1"/>
  <c r="Z156" i="1"/>
  <c r="Y156" i="1"/>
  <c r="X156" i="1"/>
  <c r="W156" i="1"/>
  <c r="V156" i="1"/>
  <c r="U156" i="1"/>
  <c r="T156" i="1"/>
  <c r="L156" i="1"/>
  <c r="I156" i="1"/>
  <c r="A156" i="1"/>
  <c r="AC155" i="1"/>
  <c r="AB155" i="1"/>
  <c r="AA155" i="1"/>
  <c r="Z155" i="1"/>
  <c r="Y155" i="1"/>
  <c r="X155" i="1"/>
  <c r="W155" i="1"/>
  <c r="V155" i="1"/>
  <c r="U155" i="1"/>
  <c r="T155" i="1"/>
  <c r="L155" i="1"/>
  <c r="I155" i="1"/>
  <c r="A155" i="1"/>
  <c r="AC154" i="1"/>
  <c r="AB154" i="1"/>
  <c r="AA154" i="1"/>
  <c r="Z154" i="1"/>
  <c r="Y154" i="1"/>
  <c r="X154" i="1"/>
  <c r="W154" i="1"/>
  <c r="V154" i="1"/>
  <c r="U154" i="1"/>
  <c r="T154" i="1"/>
  <c r="L154" i="1"/>
  <c r="I154" i="1"/>
  <c r="A154" i="1"/>
  <c r="AC153" i="1"/>
  <c r="AB153" i="1"/>
  <c r="AA153" i="1"/>
  <c r="Z153" i="1"/>
  <c r="Y153" i="1"/>
  <c r="X153" i="1"/>
  <c r="W153" i="1"/>
  <c r="V153" i="1"/>
  <c r="U153" i="1"/>
  <c r="T153" i="1"/>
  <c r="L153" i="1"/>
  <c r="I153" i="1"/>
  <c r="A153" i="1"/>
  <c r="AC152" i="1"/>
  <c r="AB152" i="1"/>
  <c r="AA152" i="1"/>
  <c r="Z152" i="1"/>
  <c r="Y152" i="1"/>
  <c r="X152" i="1"/>
  <c r="W152" i="1"/>
  <c r="V152" i="1"/>
  <c r="U152" i="1"/>
  <c r="T152" i="1"/>
  <c r="L152" i="1"/>
  <c r="I152" i="1"/>
  <c r="A152" i="1"/>
  <c r="AC151" i="1"/>
  <c r="AB151" i="1"/>
  <c r="AA151" i="1"/>
  <c r="Z151" i="1"/>
  <c r="Y151" i="1"/>
  <c r="X151" i="1"/>
  <c r="W151" i="1"/>
  <c r="V151" i="1"/>
  <c r="U151" i="1"/>
  <c r="T151" i="1"/>
  <c r="L151" i="1"/>
  <c r="I151" i="1"/>
  <c r="A151" i="1"/>
  <c r="AC150" i="1"/>
  <c r="AB150" i="1"/>
  <c r="AA150" i="1"/>
  <c r="Z150" i="1"/>
  <c r="Y150" i="1"/>
  <c r="X150" i="1"/>
  <c r="W150" i="1"/>
  <c r="V150" i="1"/>
  <c r="U150" i="1"/>
  <c r="T150" i="1"/>
  <c r="L150" i="1"/>
  <c r="I150" i="1"/>
  <c r="A150" i="1"/>
  <c r="AC149" i="1"/>
  <c r="AB149" i="1"/>
  <c r="AA149" i="1"/>
  <c r="Z149" i="1"/>
  <c r="Y149" i="1"/>
  <c r="X149" i="1"/>
  <c r="W149" i="1"/>
  <c r="V149" i="1"/>
  <c r="U149" i="1"/>
  <c r="T149" i="1"/>
  <c r="L149" i="1"/>
  <c r="I149" i="1"/>
  <c r="A149" i="1"/>
  <c r="AC148" i="1"/>
  <c r="AB148" i="1"/>
  <c r="AA148" i="1"/>
  <c r="Z148" i="1"/>
  <c r="Y148" i="1"/>
  <c r="X148" i="1"/>
  <c r="W148" i="1"/>
  <c r="V148" i="1"/>
  <c r="U148" i="1"/>
  <c r="T148" i="1"/>
  <c r="L148" i="1"/>
  <c r="K148" i="1"/>
  <c r="J148" i="1"/>
  <c r="I148" i="1"/>
  <c r="H148" i="1"/>
  <c r="G148" i="1"/>
  <c r="F148" i="1"/>
  <c r="E148" i="1"/>
  <c r="D148" i="1"/>
  <c r="C148" i="1"/>
  <c r="A148" i="1"/>
  <c r="AC147" i="1"/>
  <c r="AB147" i="1"/>
  <c r="AA147" i="1"/>
  <c r="Z147" i="1"/>
  <c r="Y147" i="1"/>
  <c r="X147" i="1"/>
  <c r="W147" i="1"/>
  <c r="V147" i="1"/>
  <c r="U147" i="1"/>
  <c r="T147" i="1"/>
  <c r="L147" i="1"/>
  <c r="A147" i="1"/>
  <c r="AC146" i="1"/>
  <c r="AB146" i="1"/>
  <c r="AA146" i="1"/>
  <c r="Z146" i="1"/>
  <c r="Y146" i="1"/>
  <c r="X146" i="1"/>
  <c r="W146" i="1"/>
  <c r="V146" i="1"/>
  <c r="U146" i="1"/>
  <c r="T146" i="1"/>
  <c r="L146" i="1"/>
  <c r="A146" i="1"/>
  <c r="AC145" i="1"/>
  <c r="AB145" i="1"/>
  <c r="AA145" i="1"/>
  <c r="Z145" i="1"/>
  <c r="Y145" i="1"/>
  <c r="X145" i="1"/>
  <c r="W145" i="1"/>
  <c r="V145" i="1"/>
  <c r="U145" i="1"/>
  <c r="T145" i="1"/>
  <c r="L145" i="1"/>
  <c r="A145" i="1"/>
  <c r="AC144" i="1"/>
  <c r="AB144" i="1"/>
  <c r="AA144" i="1"/>
  <c r="Z144" i="1"/>
  <c r="Y144" i="1"/>
  <c r="X144" i="1"/>
  <c r="W144" i="1"/>
  <c r="V144" i="1"/>
  <c r="U144" i="1"/>
  <c r="T144" i="1"/>
  <c r="L144" i="1"/>
  <c r="A144" i="1"/>
  <c r="AC143" i="1"/>
  <c r="AB143" i="1"/>
  <c r="AA143" i="1"/>
  <c r="Z143" i="1"/>
  <c r="Y143" i="1"/>
  <c r="X143" i="1"/>
  <c r="W143" i="1"/>
  <c r="V143" i="1"/>
  <c r="U143" i="1"/>
  <c r="T143" i="1"/>
  <c r="L143" i="1"/>
  <c r="A143" i="1"/>
  <c r="AC142" i="1"/>
  <c r="AB142" i="1"/>
  <c r="AA142" i="1"/>
  <c r="Z142" i="1"/>
  <c r="Y142" i="1"/>
  <c r="X142" i="1"/>
  <c r="W142" i="1"/>
  <c r="V142" i="1"/>
  <c r="U142" i="1"/>
  <c r="T142" i="1"/>
  <c r="L142" i="1"/>
  <c r="A142" i="1"/>
  <c r="AC141" i="1"/>
  <c r="AB141" i="1"/>
  <c r="AA141" i="1"/>
  <c r="Z141" i="1"/>
  <c r="Y141" i="1"/>
  <c r="X141" i="1"/>
  <c r="W141" i="1"/>
  <c r="V141" i="1"/>
  <c r="U141" i="1"/>
  <c r="T141" i="1"/>
  <c r="L141" i="1"/>
  <c r="A141" i="1"/>
  <c r="AC140" i="1"/>
  <c r="AB140" i="1"/>
  <c r="AA140" i="1"/>
  <c r="Z140" i="1"/>
  <c r="Y140" i="1"/>
  <c r="X140" i="1"/>
  <c r="W140" i="1"/>
  <c r="V140" i="1"/>
  <c r="U140" i="1"/>
  <c r="T140" i="1"/>
  <c r="L140" i="1"/>
  <c r="A140" i="1"/>
  <c r="AC139" i="1"/>
  <c r="AB139" i="1"/>
  <c r="AA139" i="1"/>
  <c r="Z139" i="1"/>
  <c r="Y139" i="1"/>
  <c r="X139" i="1"/>
  <c r="W139" i="1"/>
  <c r="V139" i="1"/>
  <c r="U139" i="1"/>
  <c r="T139" i="1"/>
  <c r="L139" i="1"/>
  <c r="A139" i="1"/>
  <c r="AC138" i="1"/>
  <c r="AB138" i="1"/>
  <c r="AA138" i="1"/>
  <c r="Z138" i="1"/>
  <c r="Y138" i="1"/>
  <c r="X138" i="1"/>
  <c r="W138" i="1"/>
  <c r="V138" i="1"/>
  <c r="U138" i="1"/>
  <c r="T138" i="1"/>
  <c r="L138" i="1"/>
  <c r="A138" i="1"/>
  <c r="AC137" i="1"/>
  <c r="AB137" i="1"/>
  <c r="AA137" i="1"/>
  <c r="Z137" i="1"/>
  <c r="Y137" i="1"/>
  <c r="X137" i="1"/>
  <c r="W137" i="1"/>
  <c r="V137" i="1"/>
  <c r="U137" i="1"/>
  <c r="T137" i="1"/>
  <c r="L137" i="1"/>
  <c r="A137" i="1"/>
  <c r="AC136" i="1"/>
  <c r="AB136" i="1"/>
  <c r="AA136" i="1"/>
  <c r="Z136" i="1"/>
  <c r="Y136" i="1"/>
  <c r="X136" i="1"/>
  <c r="W136" i="1"/>
  <c r="V136" i="1"/>
  <c r="U136" i="1"/>
  <c r="T136" i="1"/>
  <c r="L136" i="1"/>
  <c r="AC135" i="1"/>
  <c r="AB135" i="1"/>
  <c r="AA135" i="1"/>
  <c r="Z135" i="1"/>
  <c r="Y135" i="1"/>
  <c r="X135" i="1"/>
  <c r="W135" i="1"/>
  <c r="V135" i="1"/>
  <c r="U135" i="1"/>
  <c r="T135" i="1"/>
  <c r="L135" i="1"/>
  <c r="K135" i="1"/>
  <c r="J135" i="1"/>
  <c r="I135" i="1"/>
  <c r="H135" i="1"/>
  <c r="G135" i="1"/>
  <c r="F135" i="1"/>
  <c r="E135" i="1"/>
  <c r="D135" i="1"/>
  <c r="C135" i="1"/>
  <c r="AC134" i="1"/>
  <c r="AB134" i="1"/>
  <c r="AA134" i="1"/>
  <c r="Z134" i="1"/>
  <c r="Y134" i="1"/>
  <c r="X134" i="1"/>
  <c r="W134" i="1"/>
  <c r="V134" i="1"/>
  <c r="U134" i="1"/>
  <c r="T134" i="1"/>
  <c r="L134" i="1"/>
  <c r="I134" i="1"/>
  <c r="A134" i="1"/>
  <c r="AC133" i="1"/>
  <c r="AB133" i="1"/>
  <c r="AA133" i="1"/>
  <c r="Z133" i="1"/>
  <c r="Y133" i="1"/>
  <c r="X133" i="1"/>
  <c r="W133" i="1"/>
  <c r="V133" i="1"/>
  <c r="U133" i="1"/>
  <c r="T133" i="1"/>
  <c r="L133" i="1"/>
  <c r="I133" i="1"/>
  <c r="A133" i="1"/>
  <c r="AC132" i="1"/>
  <c r="AB132" i="1"/>
  <c r="AA132" i="1"/>
  <c r="Z132" i="1"/>
  <c r="Y132" i="1"/>
  <c r="X132" i="1"/>
  <c r="W132" i="1"/>
  <c r="V132" i="1"/>
  <c r="U132" i="1"/>
  <c r="T132" i="1"/>
  <c r="L132" i="1"/>
  <c r="I132" i="1"/>
  <c r="AC131" i="1"/>
  <c r="AB131" i="1"/>
  <c r="AA131" i="1"/>
  <c r="Z131" i="1"/>
  <c r="Y131" i="1"/>
  <c r="X131" i="1"/>
  <c r="W131" i="1"/>
  <c r="V131" i="1"/>
  <c r="U131" i="1"/>
  <c r="T131" i="1"/>
  <c r="L131" i="1"/>
  <c r="I131" i="1"/>
  <c r="AE129" i="1"/>
  <c r="S129" i="1"/>
  <c r="B129" i="1"/>
  <c r="AC126" i="1"/>
  <c r="AB126" i="1"/>
  <c r="AA126" i="1"/>
  <c r="Z126" i="1"/>
  <c r="Y126" i="1"/>
  <c r="X126" i="1"/>
  <c r="W126" i="1"/>
  <c r="V126" i="1"/>
  <c r="U126" i="1"/>
  <c r="T126" i="1"/>
  <c r="L126" i="1"/>
  <c r="K126" i="1"/>
  <c r="J126" i="1"/>
  <c r="I126" i="1"/>
  <c r="H126" i="1"/>
  <c r="G126" i="1"/>
  <c r="F126" i="1"/>
  <c r="E126" i="1"/>
  <c r="D126" i="1"/>
  <c r="C126" i="1"/>
  <c r="AC125" i="1"/>
  <c r="AB125" i="1"/>
  <c r="AA125" i="1"/>
  <c r="Z125" i="1"/>
  <c r="Y125" i="1"/>
  <c r="X125" i="1"/>
  <c r="W125" i="1"/>
  <c r="V125" i="1"/>
  <c r="U125" i="1"/>
  <c r="T125" i="1"/>
  <c r="L125" i="1"/>
  <c r="I125" i="1"/>
  <c r="C125" i="1"/>
  <c r="A125" i="1"/>
  <c r="AC124" i="1"/>
  <c r="AB124" i="1"/>
  <c r="AA124" i="1"/>
  <c r="Z124" i="1"/>
  <c r="Y124" i="1"/>
  <c r="X124" i="1"/>
  <c r="W124" i="1"/>
  <c r="V124" i="1"/>
  <c r="U124" i="1"/>
  <c r="T124" i="1"/>
  <c r="L124" i="1"/>
  <c r="I124" i="1"/>
  <c r="A124" i="1"/>
  <c r="AC123" i="1"/>
  <c r="AB123" i="1"/>
  <c r="AA123" i="1"/>
  <c r="Z123" i="1"/>
  <c r="Y123" i="1"/>
  <c r="X123" i="1"/>
  <c r="W123" i="1"/>
  <c r="V123" i="1"/>
  <c r="U123" i="1"/>
  <c r="T123" i="1"/>
  <c r="L123" i="1"/>
  <c r="I123" i="1"/>
  <c r="A123" i="1"/>
  <c r="AC122" i="1"/>
  <c r="AB122" i="1"/>
  <c r="AA122" i="1"/>
  <c r="Z122" i="1"/>
  <c r="Y122" i="1"/>
  <c r="X122" i="1"/>
  <c r="W122" i="1"/>
  <c r="V122" i="1"/>
  <c r="U122" i="1"/>
  <c r="T122" i="1"/>
  <c r="L122" i="1"/>
  <c r="I122" i="1"/>
  <c r="A122" i="1"/>
  <c r="AC121" i="1"/>
  <c r="AB121" i="1"/>
  <c r="AA121" i="1"/>
  <c r="Z121" i="1"/>
  <c r="Y121" i="1"/>
  <c r="X121" i="1"/>
  <c r="W121" i="1"/>
  <c r="V121" i="1"/>
  <c r="U121" i="1"/>
  <c r="T121" i="1"/>
  <c r="L121" i="1"/>
  <c r="I121" i="1"/>
  <c r="A121" i="1"/>
  <c r="AC120" i="1"/>
  <c r="AB120" i="1"/>
  <c r="AA120" i="1"/>
  <c r="Z120" i="1"/>
  <c r="Y120" i="1"/>
  <c r="X120" i="1"/>
  <c r="W120" i="1"/>
  <c r="V120" i="1"/>
  <c r="U120" i="1"/>
  <c r="T120" i="1"/>
  <c r="L120" i="1"/>
  <c r="K120" i="1"/>
  <c r="J120" i="1"/>
  <c r="I120" i="1"/>
  <c r="H120" i="1"/>
  <c r="G120" i="1"/>
  <c r="F120" i="1"/>
  <c r="E120" i="1"/>
  <c r="D120" i="1"/>
  <c r="C120" i="1"/>
  <c r="A120" i="1"/>
  <c r="AC119" i="1"/>
  <c r="AB119" i="1"/>
  <c r="AA119" i="1"/>
  <c r="Z119" i="1"/>
  <c r="Y119" i="1"/>
  <c r="X119" i="1"/>
  <c r="W119" i="1"/>
  <c r="V119" i="1"/>
  <c r="U119" i="1"/>
  <c r="T119" i="1"/>
  <c r="L119" i="1"/>
  <c r="I119" i="1"/>
  <c r="A119" i="1"/>
  <c r="AC118" i="1"/>
  <c r="AB118" i="1"/>
  <c r="AA118" i="1"/>
  <c r="Z118" i="1"/>
  <c r="Y118" i="1"/>
  <c r="X118" i="1"/>
  <c r="W118" i="1"/>
  <c r="V118" i="1"/>
  <c r="U118" i="1"/>
  <c r="T118" i="1"/>
  <c r="L118" i="1"/>
  <c r="I118" i="1"/>
  <c r="A118" i="1"/>
  <c r="AC117" i="1"/>
  <c r="AB117" i="1"/>
  <c r="AA117" i="1"/>
  <c r="Z117" i="1"/>
  <c r="Y117" i="1"/>
  <c r="X117" i="1"/>
  <c r="W117" i="1"/>
  <c r="V117" i="1"/>
  <c r="U117" i="1"/>
  <c r="T117" i="1"/>
  <c r="L117" i="1"/>
  <c r="I117" i="1"/>
  <c r="A117" i="1"/>
  <c r="AC116" i="1"/>
  <c r="AB116" i="1"/>
  <c r="AA116" i="1"/>
  <c r="Z116" i="1"/>
  <c r="Y116" i="1"/>
  <c r="X116" i="1"/>
  <c r="W116" i="1"/>
  <c r="V116" i="1"/>
  <c r="U116" i="1"/>
  <c r="T116" i="1"/>
  <c r="L116" i="1"/>
  <c r="I116" i="1"/>
  <c r="A116" i="1"/>
  <c r="AC115" i="1"/>
  <c r="AB115" i="1"/>
  <c r="AA115" i="1"/>
  <c r="Z115" i="1"/>
  <c r="Y115" i="1"/>
  <c r="X115" i="1"/>
  <c r="W115" i="1"/>
  <c r="V115" i="1"/>
  <c r="U115" i="1"/>
  <c r="T115" i="1"/>
  <c r="L115" i="1"/>
  <c r="I115" i="1"/>
  <c r="A115" i="1"/>
  <c r="AC114" i="1"/>
  <c r="AB114" i="1"/>
  <c r="AA114" i="1"/>
  <c r="Z114" i="1"/>
  <c r="Y114" i="1"/>
  <c r="X114" i="1"/>
  <c r="W114" i="1"/>
  <c r="V114" i="1"/>
  <c r="U114" i="1"/>
  <c r="T114" i="1"/>
  <c r="L114" i="1"/>
  <c r="I114" i="1"/>
  <c r="A114" i="1"/>
  <c r="AC113" i="1"/>
  <c r="AB113" i="1"/>
  <c r="AA113" i="1"/>
  <c r="Z113" i="1"/>
  <c r="Y113" i="1"/>
  <c r="X113" i="1"/>
  <c r="W113" i="1"/>
  <c r="V113" i="1"/>
  <c r="U113" i="1"/>
  <c r="T113" i="1"/>
  <c r="L113" i="1"/>
  <c r="I113" i="1"/>
  <c r="A113" i="1"/>
  <c r="AC112" i="1"/>
  <c r="AB112" i="1"/>
  <c r="AA112" i="1"/>
  <c r="Z112" i="1"/>
  <c r="Y112" i="1"/>
  <c r="X112" i="1"/>
  <c r="W112" i="1"/>
  <c r="V112" i="1"/>
  <c r="U112" i="1"/>
  <c r="T112" i="1"/>
  <c r="L112" i="1"/>
  <c r="I112" i="1"/>
  <c r="A112" i="1"/>
  <c r="AC111" i="1"/>
  <c r="AB111" i="1"/>
  <c r="AA111" i="1"/>
  <c r="Z111" i="1"/>
  <c r="Y111" i="1"/>
  <c r="X111" i="1"/>
  <c r="W111" i="1"/>
  <c r="V111" i="1"/>
  <c r="U111" i="1"/>
  <c r="T111" i="1"/>
  <c r="L111" i="1"/>
  <c r="I111" i="1"/>
  <c r="A111" i="1"/>
  <c r="AC110" i="1"/>
  <c r="AB110" i="1"/>
  <c r="AA110" i="1"/>
  <c r="Z110" i="1"/>
  <c r="Y110" i="1"/>
  <c r="X110" i="1"/>
  <c r="W110" i="1"/>
  <c r="V110" i="1"/>
  <c r="U110" i="1"/>
  <c r="T110" i="1"/>
  <c r="L110" i="1"/>
  <c r="I110" i="1"/>
  <c r="A110" i="1"/>
  <c r="AC109" i="1"/>
  <c r="AB109" i="1"/>
  <c r="AA109" i="1"/>
  <c r="Z109" i="1"/>
  <c r="Y109" i="1"/>
  <c r="X109" i="1"/>
  <c r="W109" i="1"/>
  <c r="V109" i="1"/>
  <c r="U109" i="1"/>
  <c r="T109" i="1"/>
  <c r="L109" i="1"/>
  <c r="I109" i="1"/>
  <c r="A109" i="1"/>
  <c r="AC108" i="1"/>
  <c r="AB108" i="1"/>
  <c r="AA108" i="1"/>
  <c r="Z108" i="1"/>
  <c r="Y108" i="1"/>
  <c r="X108" i="1"/>
  <c r="W108" i="1"/>
  <c r="V108" i="1"/>
  <c r="U108" i="1"/>
  <c r="T108" i="1"/>
  <c r="L108" i="1"/>
  <c r="I108" i="1"/>
  <c r="A108" i="1"/>
  <c r="AC107" i="1"/>
  <c r="AB107" i="1"/>
  <c r="AA107" i="1"/>
  <c r="Z107" i="1"/>
  <c r="Y107" i="1"/>
  <c r="X107" i="1"/>
  <c r="W107" i="1"/>
  <c r="V107" i="1"/>
  <c r="U107" i="1"/>
  <c r="T107" i="1"/>
  <c r="L107" i="1"/>
  <c r="K107" i="1"/>
  <c r="J107" i="1"/>
  <c r="I107" i="1"/>
  <c r="H107" i="1"/>
  <c r="G107" i="1"/>
  <c r="F107" i="1"/>
  <c r="E107" i="1"/>
  <c r="D107" i="1"/>
  <c r="C107" i="1"/>
  <c r="A107" i="1"/>
  <c r="AC106" i="1"/>
  <c r="AB106" i="1"/>
  <c r="AA106" i="1"/>
  <c r="Z106" i="1"/>
  <c r="Y106" i="1"/>
  <c r="X106" i="1"/>
  <c r="W106" i="1"/>
  <c r="V106" i="1"/>
  <c r="U106" i="1"/>
  <c r="T106" i="1"/>
  <c r="L106" i="1"/>
  <c r="I106" i="1"/>
  <c r="A106" i="1"/>
  <c r="AC105" i="1"/>
  <c r="AB105" i="1"/>
  <c r="AA105" i="1"/>
  <c r="Z105" i="1"/>
  <c r="Y105" i="1"/>
  <c r="X105" i="1"/>
  <c r="W105" i="1"/>
  <c r="V105" i="1"/>
  <c r="U105" i="1"/>
  <c r="T105" i="1"/>
  <c r="L105" i="1"/>
  <c r="I105" i="1"/>
  <c r="A105" i="1"/>
  <c r="AC104" i="1"/>
  <c r="AB104" i="1"/>
  <c r="AA104" i="1"/>
  <c r="Z104" i="1"/>
  <c r="Y104" i="1"/>
  <c r="X104" i="1"/>
  <c r="W104" i="1"/>
  <c r="V104" i="1"/>
  <c r="U104" i="1"/>
  <c r="T104" i="1"/>
  <c r="L104" i="1"/>
  <c r="I104" i="1"/>
  <c r="A104" i="1"/>
  <c r="AC103" i="1"/>
  <c r="AB103" i="1"/>
  <c r="AA103" i="1"/>
  <c r="Z103" i="1"/>
  <c r="Y103" i="1"/>
  <c r="X103" i="1"/>
  <c r="W103" i="1"/>
  <c r="V103" i="1"/>
  <c r="U103" i="1"/>
  <c r="T103" i="1"/>
  <c r="L103" i="1"/>
  <c r="I103" i="1"/>
  <c r="A103" i="1"/>
  <c r="AC102" i="1"/>
  <c r="AB102" i="1"/>
  <c r="AA102" i="1"/>
  <c r="Z102" i="1"/>
  <c r="Y102" i="1"/>
  <c r="X102" i="1"/>
  <c r="W102" i="1"/>
  <c r="V102" i="1"/>
  <c r="U102" i="1"/>
  <c r="T102" i="1"/>
  <c r="L102" i="1"/>
  <c r="I102" i="1"/>
  <c r="A102" i="1"/>
  <c r="AC101" i="1"/>
  <c r="AB101" i="1"/>
  <c r="AA101" i="1"/>
  <c r="Z101" i="1"/>
  <c r="Y101" i="1"/>
  <c r="X101" i="1"/>
  <c r="W101" i="1"/>
  <c r="V101" i="1"/>
  <c r="U101" i="1"/>
  <c r="T101" i="1"/>
  <c r="L101" i="1"/>
  <c r="I101" i="1"/>
  <c r="A101" i="1"/>
  <c r="AC100" i="1"/>
  <c r="AB100" i="1"/>
  <c r="AA100" i="1"/>
  <c r="Z100" i="1"/>
  <c r="Y100" i="1"/>
  <c r="X100" i="1"/>
  <c r="W100" i="1"/>
  <c r="V100" i="1"/>
  <c r="U100" i="1"/>
  <c r="T100" i="1"/>
  <c r="L100" i="1"/>
  <c r="I100" i="1"/>
  <c r="A100" i="1"/>
  <c r="AC99" i="1"/>
  <c r="AB99" i="1"/>
  <c r="AA99" i="1"/>
  <c r="Z99" i="1"/>
  <c r="Y99" i="1"/>
  <c r="X99" i="1"/>
  <c r="W99" i="1"/>
  <c r="V99" i="1"/>
  <c r="U99" i="1"/>
  <c r="T99" i="1"/>
  <c r="L99" i="1"/>
  <c r="I99" i="1"/>
  <c r="A99" i="1"/>
  <c r="AC98" i="1"/>
  <c r="AB98" i="1"/>
  <c r="AA98" i="1"/>
  <c r="Z98" i="1"/>
  <c r="Y98" i="1"/>
  <c r="X98" i="1"/>
  <c r="W98" i="1"/>
  <c r="V98" i="1"/>
  <c r="U98" i="1"/>
  <c r="T98" i="1"/>
  <c r="L98" i="1"/>
  <c r="I98" i="1"/>
  <c r="A98" i="1"/>
  <c r="AC97" i="1"/>
  <c r="AB97" i="1"/>
  <c r="AA97" i="1"/>
  <c r="Z97" i="1"/>
  <c r="Y97" i="1"/>
  <c r="X97" i="1"/>
  <c r="W97" i="1"/>
  <c r="V97" i="1"/>
  <c r="U97" i="1"/>
  <c r="T97" i="1"/>
  <c r="L97" i="1"/>
  <c r="I97" i="1"/>
  <c r="A97" i="1"/>
  <c r="AC96" i="1"/>
  <c r="AB96" i="1"/>
  <c r="AA96" i="1"/>
  <c r="Z96" i="1"/>
  <c r="Y96" i="1"/>
  <c r="X96" i="1"/>
  <c r="W96" i="1"/>
  <c r="V96" i="1"/>
  <c r="U96" i="1"/>
  <c r="T96" i="1"/>
  <c r="L96" i="1"/>
  <c r="I96" i="1"/>
  <c r="A96" i="1"/>
  <c r="AC95" i="1"/>
  <c r="AB95" i="1"/>
  <c r="AA95" i="1"/>
  <c r="Z95" i="1"/>
  <c r="Y95" i="1"/>
  <c r="X95" i="1"/>
  <c r="W95" i="1"/>
  <c r="V95" i="1"/>
  <c r="U95" i="1"/>
  <c r="T95" i="1"/>
  <c r="L95" i="1"/>
  <c r="I95" i="1"/>
  <c r="AC94" i="1"/>
  <c r="AB94" i="1"/>
  <c r="AA94" i="1"/>
  <c r="Z94" i="1"/>
  <c r="Y94" i="1"/>
  <c r="X94" i="1"/>
  <c r="W94" i="1"/>
  <c r="V94" i="1"/>
  <c r="U94" i="1"/>
  <c r="T94" i="1"/>
  <c r="L94" i="1"/>
  <c r="K94" i="1"/>
  <c r="J94" i="1"/>
  <c r="I94" i="1"/>
  <c r="H94" i="1"/>
  <c r="G94" i="1"/>
  <c r="F94" i="1"/>
  <c r="E94" i="1"/>
  <c r="D94" i="1"/>
  <c r="C94" i="1"/>
  <c r="AC93" i="1"/>
  <c r="AB93" i="1"/>
  <c r="AA93" i="1"/>
  <c r="Z93" i="1"/>
  <c r="Y93" i="1"/>
  <c r="X93" i="1"/>
  <c r="W93" i="1"/>
  <c r="V93" i="1"/>
  <c r="U93" i="1"/>
  <c r="T93" i="1"/>
  <c r="L93" i="1"/>
  <c r="I93" i="1"/>
  <c r="A93" i="1"/>
  <c r="AC92" i="1"/>
  <c r="AB92" i="1"/>
  <c r="AA92" i="1"/>
  <c r="Z92" i="1"/>
  <c r="Y92" i="1"/>
  <c r="X92" i="1"/>
  <c r="W92" i="1"/>
  <c r="V92" i="1"/>
  <c r="U92" i="1"/>
  <c r="T92" i="1"/>
  <c r="L92" i="1"/>
  <c r="I92" i="1"/>
  <c r="A92" i="1"/>
  <c r="AC91" i="1"/>
  <c r="AB91" i="1"/>
  <c r="AA91" i="1"/>
  <c r="Z91" i="1"/>
  <c r="Y91" i="1"/>
  <c r="X91" i="1"/>
  <c r="W91" i="1"/>
  <c r="V91" i="1"/>
  <c r="U91" i="1"/>
  <c r="T91" i="1"/>
  <c r="L91" i="1"/>
  <c r="I91" i="1"/>
  <c r="AC90" i="1"/>
  <c r="AB90" i="1"/>
  <c r="AA90" i="1"/>
  <c r="Z90" i="1"/>
  <c r="Y90" i="1"/>
  <c r="X90" i="1"/>
  <c r="W90" i="1"/>
  <c r="V90" i="1"/>
  <c r="U90" i="1"/>
  <c r="T90" i="1"/>
  <c r="L90" i="1"/>
  <c r="I90" i="1"/>
  <c r="AE88" i="1"/>
  <c r="S88" i="1"/>
  <c r="B88" i="1"/>
  <c r="AC84" i="1"/>
  <c r="AB84" i="1"/>
  <c r="AA84" i="1"/>
  <c r="Z84" i="1"/>
  <c r="Y84" i="1"/>
  <c r="X84" i="1"/>
  <c r="W84" i="1"/>
  <c r="V84" i="1"/>
  <c r="U84" i="1"/>
  <c r="T84" i="1"/>
  <c r="L84" i="1"/>
  <c r="K84" i="1"/>
  <c r="J84" i="1"/>
  <c r="I84" i="1"/>
  <c r="H84" i="1"/>
  <c r="G84" i="1"/>
  <c r="F84" i="1"/>
  <c r="E84" i="1"/>
  <c r="D84" i="1"/>
  <c r="C84" i="1"/>
  <c r="AC83" i="1"/>
  <c r="AB83" i="1"/>
  <c r="AA83" i="1"/>
  <c r="Z83" i="1"/>
  <c r="Y83" i="1"/>
  <c r="X83" i="1"/>
  <c r="W83" i="1"/>
  <c r="V83" i="1"/>
  <c r="U83" i="1"/>
  <c r="T83" i="1"/>
  <c r="L83" i="1"/>
  <c r="I83" i="1"/>
  <c r="C83" i="1"/>
  <c r="A83" i="1"/>
  <c r="AC82" i="1"/>
  <c r="AB82" i="1"/>
  <c r="AA82" i="1"/>
  <c r="Z82" i="1"/>
  <c r="Y82" i="1"/>
  <c r="X82" i="1"/>
  <c r="W82" i="1"/>
  <c r="V82" i="1"/>
  <c r="U82" i="1"/>
  <c r="T82" i="1"/>
  <c r="L82" i="1"/>
  <c r="I82" i="1"/>
  <c r="A82" i="1"/>
  <c r="AC81" i="1"/>
  <c r="AB81" i="1"/>
  <c r="AA81" i="1"/>
  <c r="Z81" i="1"/>
  <c r="Y81" i="1"/>
  <c r="X81" i="1"/>
  <c r="W81" i="1"/>
  <c r="V81" i="1"/>
  <c r="U81" i="1"/>
  <c r="T81" i="1"/>
  <c r="L81" i="1"/>
  <c r="I81" i="1"/>
  <c r="A81" i="1"/>
  <c r="AC80" i="1"/>
  <c r="AB80" i="1"/>
  <c r="AA80" i="1"/>
  <c r="Z80" i="1"/>
  <c r="Y80" i="1"/>
  <c r="X80" i="1"/>
  <c r="W80" i="1"/>
  <c r="V80" i="1"/>
  <c r="U80" i="1"/>
  <c r="T80" i="1"/>
  <c r="L80" i="1"/>
  <c r="I80" i="1"/>
  <c r="A80" i="1"/>
  <c r="AC79" i="1"/>
  <c r="AB79" i="1"/>
  <c r="AA79" i="1"/>
  <c r="Z79" i="1"/>
  <c r="Y79" i="1"/>
  <c r="X79" i="1"/>
  <c r="W79" i="1"/>
  <c r="V79" i="1"/>
  <c r="U79" i="1"/>
  <c r="T79" i="1"/>
  <c r="L79" i="1"/>
  <c r="I79" i="1"/>
  <c r="A79" i="1"/>
  <c r="AC78" i="1"/>
  <c r="AB78" i="1"/>
  <c r="AA78" i="1"/>
  <c r="Z78" i="1"/>
  <c r="Y78" i="1"/>
  <c r="X78" i="1"/>
  <c r="W78" i="1"/>
  <c r="V78" i="1"/>
  <c r="U78" i="1"/>
  <c r="T78" i="1"/>
  <c r="L78" i="1"/>
  <c r="K78" i="1"/>
  <c r="J78" i="1"/>
  <c r="I78" i="1"/>
  <c r="H78" i="1"/>
  <c r="G78" i="1"/>
  <c r="F78" i="1"/>
  <c r="E78" i="1"/>
  <c r="D78" i="1"/>
  <c r="C78" i="1"/>
  <c r="A78" i="1"/>
  <c r="AC77" i="1"/>
  <c r="AB77" i="1"/>
  <c r="AA77" i="1"/>
  <c r="Z77" i="1"/>
  <c r="Y77" i="1"/>
  <c r="X77" i="1"/>
  <c r="W77" i="1"/>
  <c r="V77" i="1"/>
  <c r="U77" i="1"/>
  <c r="T77" i="1"/>
  <c r="L77" i="1"/>
  <c r="I77" i="1"/>
  <c r="A77" i="1"/>
  <c r="AC76" i="1"/>
  <c r="AB76" i="1"/>
  <c r="AA76" i="1"/>
  <c r="Z76" i="1"/>
  <c r="Y76" i="1"/>
  <c r="X76" i="1"/>
  <c r="W76" i="1"/>
  <c r="V76" i="1"/>
  <c r="U76" i="1"/>
  <c r="T76" i="1"/>
  <c r="L76" i="1"/>
  <c r="I76" i="1"/>
  <c r="A76" i="1"/>
  <c r="AC75" i="1"/>
  <c r="AB75" i="1"/>
  <c r="AA75" i="1"/>
  <c r="Z75" i="1"/>
  <c r="Y75" i="1"/>
  <c r="X75" i="1"/>
  <c r="W75" i="1"/>
  <c r="V75" i="1"/>
  <c r="U75" i="1"/>
  <c r="T75" i="1"/>
  <c r="L75" i="1"/>
  <c r="I75" i="1"/>
  <c r="A75" i="1"/>
  <c r="AC74" i="1"/>
  <c r="AB74" i="1"/>
  <c r="AA74" i="1"/>
  <c r="Z74" i="1"/>
  <c r="Y74" i="1"/>
  <c r="X74" i="1"/>
  <c r="W74" i="1"/>
  <c r="V74" i="1"/>
  <c r="U74" i="1"/>
  <c r="T74" i="1"/>
  <c r="L74" i="1"/>
  <c r="I74" i="1"/>
  <c r="A74" i="1"/>
  <c r="AC73" i="1"/>
  <c r="AB73" i="1"/>
  <c r="AA73" i="1"/>
  <c r="Z73" i="1"/>
  <c r="Y73" i="1"/>
  <c r="X73" i="1"/>
  <c r="W73" i="1"/>
  <c r="V73" i="1"/>
  <c r="U73" i="1"/>
  <c r="T73" i="1"/>
  <c r="L73" i="1"/>
  <c r="I73" i="1"/>
  <c r="A73" i="1"/>
  <c r="AC72" i="1"/>
  <c r="AB72" i="1"/>
  <c r="AA72" i="1"/>
  <c r="Z72" i="1"/>
  <c r="Y72" i="1"/>
  <c r="X72" i="1"/>
  <c r="W72" i="1"/>
  <c r="V72" i="1"/>
  <c r="U72" i="1"/>
  <c r="T72" i="1"/>
  <c r="L72" i="1"/>
  <c r="I72" i="1"/>
  <c r="A72" i="1"/>
  <c r="AC71" i="1"/>
  <c r="AB71" i="1"/>
  <c r="AA71" i="1"/>
  <c r="Z71" i="1"/>
  <c r="Y71" i="1"/>
  <c r="X71" i="1"/>
  <c r="W71" i="1"/>
  <c r="V71" i="1"/>
  <c r="U71" i="1"/>
  <c r="T71" i="1"/>
  <c r="L71" i="1"/>
  <c r="I71" i="1"/>
  <c r="A71" i="1"/>
  <c r="AC70" i="1"/>
  <c r="AB70" i="1"/>
  <c r="AA70" i="1"/>
  <c r="Z70" i="1"/>
  <c r="Y70" i="1"/>
  <c r="X70" i="1"/>
  <c r="W70" i="1"/>
  <c r="V70" i="1"/>
  <c r="U70" i="1"/>
  <c r="T70" i="1"/>
  <c r="L70" i="1"/>
  <c r="I70" i="1"/>
  <c r="A70" i="1"/>
  <c r="AC69" i="1"/>
  <c r="AB69" i="1"/>
  <c r="AA69" i="1"/>
  <c r="Z69" i="1"/>
  <c r="Y69" i="1"/>
  <c r="X69" i="1"/>
  <c r="W69" i="1"/>
  <c r="V69" i="1"/>
  <c r="U69" i="1"/>
  <c r="T69" i="1"/>
  <c r="L69" i="1"/>
  <c r="I69" i="1"/>
  <c r="A69" i="1"/>
  <c r="AC68" i="1"/>
  <c r="AB68" i="1"/>
  <c r="AA68" i="1"/>
  <c r="Z68" i="1"/>
  <c r="Y68" i="1"/>
  <c r="X68" i="1"/>
  <c r="W68" i="1"/>
  <c r="V68" i="1"/>
  <c r="U68" i="1"/>
  <c r="T68" i="1"/>
  <c r="L68" i="1"/>
  <c r="I68" i="1"/>
  <c r="A68" i="1"/>
  <c r="AC67" i="1"/>
  <c r="AB67" i="1"/>
  <c r="AA67" i="1"/>
  <c r="Z67" i="1"/>
  <c r="Y67" i="1"/>
  <c r="X67" i="1"/>
  <c r="W67" i="1"/>
  <c r="V67" i="1"/>
  <c r="U67" i="1"/>
  <c r="T67" i="1"/>
  <c r="L67" i="1"/>
  <c r="I67" i="1"/>
  <c r="A67" i="1"/>
  <c r="AC66" i="1"/>
  <c r="AB66" i="1"/>
  <c r="AA66" i="1"/>
  <c r="Z66" i="1"/>
  <c r="Y66" i="1"/>
  <c r="X66" i="1"/>
  <c r="W66" i="1"/>
  <c r="V66" i="1"/>
  <c r="U66" i="1"/>
  <c r="T66" i="1"/>
  <c r="L66" i="1"/>
  <c r="I66" i="1"/>
  <c r="A66" i="1"/>
  <c r="AC65" i="1"/>
  <c r="AB65" i="1"/>
  <c r="AA65" i="1"/>
  <c r="Z65" i="1"/>
  <c r="Y65" i="1"/>
  <c r="X65" i="1"/>
  <c r="W65" i="1"/>
  <c r="V65" i="1"/>
  <c r="U65" i="1"/>
  <c r="T65" i="1"/>
  <c r="L65" i="1"/>
  <c r="K65" i="1"/>
  <c r="J65" i="1"/>
  <c r="I65" i="1"/>
  <c r="H65" i="1"/>
  <c r="G65" i="1"/>
  <c r="F65" i="1"/>
  <c r="E65" i="1"/>
  <c r="D65" i="1"/>
  <c r="C65" i="1"/>
  <c r="A65" i="1"/>
  <c r="AC64" i="1"/>
  <c r="AB64" i="1"/>
  <c r="AA64" i="1"/>
  <c r="Z64" i="1"/>
  <c r="Y64" i="1"/>
  <c r="X64" i="1"/>
  <c r="W64" i="1"/>
  <c r="V64" i="1"/>
  <c r="U64" i="1"/>
  <c r="T64" i="1"/>
  <c r="L64" i="1"/>
  <c r="I64" i="1"/>
  <c r="C64" i="1"/>
  <c r="A64" i="1"/>
  <c r="AC63" i="1"/>
  <c r="AB63" i="1"/>
  <c r="AA63" i="1"/>
  <c r="Z63" i="1"/>
  <c r="Y63" i="1"/>
  <c r="X63" i="1"/>
  <c r="W63" i="1"/>
  <c r="V63" i="1"/>
  <c r="U63" i="1"/>
  <c r="T63" i="1"/>
  <c r="L63" i="1"/>
  <c r="I63" i="1"/>
  <c r="C63" i="1"/>
  <c r="A63" i="1"/>
  <c r="AC62" i="1"/>
  <c r="AB62" i="1"/>
  <c r="AA62" i="1"/>
  <c r="Z62" i="1"/>
  <c r="Y62" i="1"/>
  <c r="X62" i="1"/>
  <c r="W62" i="1"/>
  <c r="V62" i="1"/>
  <c r="U62" i="1"/>
  <c r="T62" i="1"/>
  <c r="L62" i="1"/>
  <c r="I62" i="1"/>
  <c r="C62" i="1"/>
  <c r="A62" i="1"/>
  <c r="AC61" i="1"/>
  <c r="AB61" i="1"/>
  <c r="AA61" i="1"/>
  <c r="Z61" i="1"/>
  <c r="Y61" i="1"/>
  <c r="X61" i="1"/>
  <c r="W61" i="1"/>
  <c r="V61" i="1"/>
  <c r="U61" i="1"/>
  <c r="T61" i="1"/>
  <c r="L61" i="1"/>
  <c r="I61" i="1"/>
  <c r="C61" i="1"/>
  <c r="A61" i="1"/>
  <c r="AC60" i="1"/>
  <c r="AB60" i="1"/>
  <c r="AA60" i="1"/>
  <c r="Z60" i="1"/>
  <c r="Y60" i="1"/>
  <c r="X60" i="1"/>
  <c r="W60" i="1"/>
  <c r="V60" i="1"/>
  <c r="U60" i="1"/>
  <c r="T60" i="1"/>
  <c r="L60" i="1"/>
  <c r="I60" i="1"/>
  <c r="C60" i="1"/>
  <c r="A60" i="1"/>
  <c r="AC59" i="1"/>
  <c r="AB59" i="1"/>
  <c r="AA59" i="1"/>
  <c r="Z59" i="1"/>
  <c r="Y59" i="1"/>
  <c r="X59" i="1"/>
  <c r="W59" i="1"/>
  <c r="V59" i="1"/>
  <c r="U59" i="1"/>
  <c r="T59" i="1"/>
  <c r="L59" i="1"/>
  <c r="I59" i="1"/>
  <c r="C59" i="1"/>
  <c r="A59" i="1"/>
  <c r="AC58" i="1"/>
  <c r="AB58" i="1"/>
  <c r="AA58" i="1"/>
  <c r="Z58" i="1"/>
  <c r="Y58" i="1"/>
  <c r="X58" i="1"/>
  <c r="W58" i="1"/>
  <c r="V58" i="1"/>
  <c r="U58" i="1"/>
  <c r="T58" i="1"/>
  <c r="L58" i="1"/>
  <c r="I58" i="1"/>
  <c r="C58" i="1"/>
  <c r="A58" i="1"/>
  <c r="AC57" i="1"/>
  <c r="AB57" i="1"/>
  <c r="AA57" i="1"/>
  <c r="Z57" i="1"/>
  <c r="Y57" i="1"/>
  <c r="X57" i="1"/>
  <c r="W57" i="1"/>
  <c r="V57" i="1"/>
  <c r="U57" i="1"/>
  <c r="T57" i="1"/>
  <c r="L57" i="1"/>
  <c r="I57" i="1"/>
  <c r="C57" i="1"/>
  <c r="A57" i="1"/>
  <c r="AC56" i="1"/>
  <c r="AB56" i="1"/>
  <c r="AA56" i="1"/>
  <c r="Z56" i="1"/>
  <c r="Y56" i="1"/>
  <c r="X56" i="1"/>
  <c r="W56" i="1"/>
  <c r="V56" i="1"/>
  <c r="U56" i="1"/>
  <c r="T56" i="1"/>
  <c r="L56" i="1"/>
  <c r="I56" i="1"/>
  <c r="C56" i="1"/>
  <c r="A56" i="1"/>
  <c r="AC55" i="1"/>
  <c r="AB55" i="1"/>
  <c r="AA55" i="1"/>
  <c r="Z55" i="1"/>
  <c r="Y55" i="1"/>
  <c r="X55" i="1"/>
  <c r="W55" i="1"/>
  <c r="V55" i="1"/>
  <c r="U55" i="1"/>
  <c r="T55" i="1"/>
  <c r="L55" i="1"/>
  <c r="I55" i="1"/>
  <c r="C55" i="1"/>
  <c r="A55" i="1"/>
  <c r="AC54" i="1"/>
  <c r="AB54" i="1"/>
  <c r="AA54" i="1"/>
  <c r="Z54" i="1"/>
  <c r="Y54" i="1"/>
  <c r="X54" i="1"/>
  <c r="W54" i="1"/>
  <c r="V54" i="1"/>
  <c r="U54" i="1"/>
  <c r="T54" i="1"/>
  <c r="L54" i="1"/>
  <c r="I54" i="1"/>
  <c r="C54" i="1"/>
  <c r="A54" i="1"/>
  <c r="AC53" i="1"/>
  <c r="AB53" i="1"/>
  <c r="AA53" i="1"/>
  <c r="Z53" i="1"/>
  <c r="Y53" i="1"/>
  <c r="X53" i="1"/>
  <c r="W53" i="1"/>
  <c r="V53" i="1"/>
  <c r="U53" i="1"/>
  <c r="T53" i="1"/>
  <c r="L53" i="1"/>
  <c r="I53" i="1"/>
  <c r="C53" i="1"/>
  <c r="AC52" i="1"/>
  <c r="AB52" i="1"/>
  <c r="AA52" i="1"/>
  <c r="Z52" i="1"/>
  <c r="Y52" i="1"/>
  <c r="X52" i="1"/>
  <c r="W52" i="1"/>
  <c r="V52" i="1"/>
  <c r="U52" i="1"/>
  <c r="T52" i="1"/>
  <c r="L52" i="1"/>
  <c r="K52" i="1"/>
  <c r="J52" i="1"/>
  <c r="I52" i="1"/>
  <c r="H52" i="1"/>
  <c r="G52" i="1"/>
  <c r="F52" i="1"/>
  <c r="E52" i="1"/>
  <c r="D52" i="1"/>
  <c r="C52" i="1"/>
  <c r="AC51" i="1"/>
  <c r="AB51" i="1"/>
  <c r="AA51" i="1"/>
  <c r="Z51" i="1"/>
  <c r="Y51" i="1"/>
  <c r="X51" i="1"/>
  <c r="W51" i="1"/>
  <c r="V51" i="1"/>
  <c r="U51" i="1"/>
  <c r="T51" i="1"/>
  <c r="L51" i="1"/>
  <c r="I51" i="1"/>
  <c r="C51" i="1"/>
  <c r="A51" i="1"/>
  <c r="AC50" i="1"/>
  <c r="AB50" i="1"/>
  <c r="AA50" i="1"/>
  <c r="Z50" i="1"/>
  <c r="Y50" i="1"/>
  <c r="X50" i="1"/>
  <c r="W50" i="1"/>
  <c r="V50" i="1"/>
  <c r="U50" i="1"/>
  <c r="T50" i="1"/>
  <c r="L50" i="1"/>
  <c r="I50" i="1"/>
  <c r="C50" i="1"/>
  <c r="A50" i="1"/>
  <c r="AC49" i="1"/>
  <c r="AB49" i="1"/>
  <c r="AA49" i="1"/>
  <c r="Z49" i="1"/>
  <c r="Y49" i="1"/>
  <c r="X49" i="1"/>
  <c r="W49" i="1"/>
  <c r="V49" i="1"/>
  <c r="U49" i="1"/>
  <c r="T49" i="1"/>
  <c r="L49" i="1"/>
  <c r="I49" i="1"/>
  <c r="C49" i="1"/>
  <c r="AC48" i="1"/>
  <c r="AB48" i="1"/>
  <c r="AA48" i="1"/>
  <c r="Z48" i="1"/>
  <c r="Y48" i="1"/>
  <c r="X48" i="1"/>
  <c r="W48" i="1"/>
  <c r="V48" i="1"/>
  <c r="U48" i="1"/>
  <c r="T48" i="1"/>
  <c r="L48" i="1"/>
  <c r="I48" i="1"/>
  <c r="C48" i="1"/>
  <c r="AE46" i="1"/>
  <c r="S46" i="1"/>
  <c r="B46" i="1"/>
  <c r="AC43" i="1"/>
  <c r="AB43" i="1"/>
  <c r="AA43" i="1"/>
  <c r="Z43" i="1"/>
  <c r="Y43" i="1"/>
  <c r="X43" i="1"/>
  <c r="W43" i="1"/>
  <c r="V43" i="1"/>
  <c r="U43" i="1"/>
  <c r="T43" i="1"/>
  <c r="L43" i="1"/>
  <c r="K43" i="1"/>
  <c r="J43" i="1"/>
  <c r="I43" i="1"/>
  <c r="H43" i="1"/>
  <c r="G43" i="1"/>
  <c r="F43" i="1"/>
  <c r="E43" i="1"/>
  <c r="D43" i="1"/>
  <c r="C43" i="1"/>
  <c r="AC42" i="1"/>
  <c r="AB42" i="1"/>
  <c r="AA42" i="1"/>
  <c r="Z42" i="1"/>
  <c r="Y42" i="1"/>
  <c r="X42" i="1"/>
  <c r="W42" i="1"/>
  <c r="V42" i="1"/>
  <c r="U42" i="1"/>
  <c r="T42" i="1"/>
  <c r="L42" i="1"/>
  <c r="I42" i="1"/>
  <c r="C42" i="1"/>
  <c r="A42" i="1"/>
  <c r="AC41" i="1"/>
  <c r="AB41" i="1"/>
  <c r="AA41" i="1"/>
  <c r="Z41" i="1"/>
  <c r="Y41" i="1"/>
  <c r="X41" i="1"/>
  <c r="W41" i="1"/>
  <c r="V41" i="1"/>
  <c r="U41" i="1"/>
  <c r="T41" i="1"/>
  <c r="L41" i="1"/>
  <c r="I41" i="1"/>
  <c r="A41" i="1"/>
  <c r="AC40" i="1"/>
  <c r="AB40" i="1"/>
  <c r="AA40" i="1"/>
  <c r="Z40" i="1"/>
  <c r="Y40" i="1"/>
  <c r="X40" i="1"/>
  <c r="W40" i="1"/>
  <c r="V40" i="1"/>
  <c r="U40" i="1"/>
  <c r="T40" i="1"/>
  <c r="L40" i="1"/>
  <c r="I40" i="1"/>
  <c r="A40" i="1"/>
  <c r="AC39" i="1"/>
  <c r="AB39" i="1"/>
  <c r="AA39" i="1"/>
  <c r="Z39" i="1"/>
  <c r="Y39" i="1"/>
  <c r="X39" i="1"/>
  <c r="W39" i="1"/>
  <c r="V39" i="1"/>
  <c r="U39" i="1"/>
  <c r="T39" i="1"/>
  <c r="L39" i="1"/>
  <c r="I39" i="1"/>
  <c r="A39" i="1"/>
  <c r="AC38" i="1"/>
  <c r="AB38" i="1"/>
  <c r="AA38" i="1"/>
  <c r="Z38" i="1"/>
  <c r="Y38" i="1"/>
  <c r="X38" i="1"/>
  <c r="W38" i="1"/>
  <c r="V38" i="1"/>
  <c r="U38" i="1"/>
  <c r="T38" i="1"/>
  <c r="L38" i="1"/>
  <c r="I38" i="1"/>
  <c r="A38" i="1"/>
  <c r="AC37" i="1"/>
  <c r="AB37" i="1"/>
  <c r="AA37" i="1"/>
  <c r="Z37" i="1"/>
  <c r="Y37" i="1"/>
  <c r="X37" i="1"/>
  <c r="W37" i="1"/>
  <c r="V37" i="1"/>
  <c r="U37" i="1"/>
  <c r="T37" i="1"/>
  <c r="L37" i="1"/>
  <c r="K37" i="1"/>
  <c r="J37" i="1"/>
  <c r="I37" i="1"/>
  <c r="H37" i="1"/>
  <c r="G37" i="1"/>
  <c r="F37" i="1"/>
  <c r="E37" i="1"/>
  <c r="D37" i="1"/>
  <c r="C37" i="1"/>
  <c r="A37" i="1"/>
  <c r="AC36" i="1"/>
  <c r="AB36" i="1"/>
  <c r="AA36" i="1"/>
  <c r="Z36" i="1"/>
  <c r="Y36" i="1"/>
  <c r="X36" i="1"/>
  <c r="W36" i="1"/>
  <c r="V36" i="1"/>
  <c r="U36" i="1"/>
  <c r="T36" i="1"/>
  <c r="L36" i="1"/>
  <c r="I36" i="1"/>
  <c r="A36" i="1"/>
  <c r="AC35" i="1"/>
  <c r="AB35" i="1"/>
  <c r="AA35" i="1"/>
  <c r="Z35" i="1"/>
  <c r="Y35" i="1"/>
  <c r="X35" i="1"/>
  <c r="W35" i="1"/>
  <c r="V35" i="1"/>
  <c r="U35" i="1"/>
  <c r="T35" i="1"/>
  <c r="L35" i="1"/>
  <c r="I35" i="1"/>
  <c r="A35" i="1"/>
  <c r="AC34" i="1"/>
  <c r="AB34" i="1"/>
  <c r="AA34" i="1"/>
  <c r="Z34" i="1"/>
  <c r="Y34" i="1"/>
  <c r="X34" i="1"/>
  <c r="W34" i="1"/>
  <c r="V34" i="1"/>
  <c r="U34" i="1"/>
  <c r="T34" i="1"/>
  <c r="L34" i="1"/>
  <c r="I34" i="1"/>
  <c r="A34" i="1"/>
  <c r="AC33" i="1"/>
  <c r="AB33" i="1"/>
  <c r="AA33" i="1"/>
  <c r="Z33" i="1"/>
  <c r="Y33" i="1"/>
  <c r="X33" i="1"/>
  <c r="W33" i="1"/>
  <c r="V33" i="1"/>
  <c r="U33" i="1"/>
  <c r="T33" i="1"/>
  <c r="L33" i="1"/>
  <c r="I33" i="1"/>
  <c r="A33" i="1"/>
  <c r="AC32" i="1"/>
  <c r="AB32" i="1"/>
  <c r="AA32" i="1"/>
  <c r="Z32" i="1"/>
  <c r="Y32" i="1"/>
  <c r="X32" i="1"/>
  <c r="W32" i="1"/>
  <c r="V32" i="1"/>
  <c r="U32" i="1"/>
  <c r="T32" i="1"/>
  <c r="L32" i="1"/>
  <c r="I32" i="1"/>
  <c r="A32" i="1"/>
  <c r="AC31" i="1"/>
  <c r="AB31" i="1"/>
  <c r="AA31" i="1"/>
  <c r="Z31" i="1"/>
  <c r="Y31" i="1"/>
  <c r="X31" i="1"/>
  <c r="W31" i="1"/>
  <c r="V31" i="1"/>
  <c r="U31" i="1"/>
  <c r="T31" i="1"/>
  <c r="L31" i="1"/>
  <c r="I31" i="1"/>
  <c r="A31" i="1"/>
  <c r="AC30" i="1"/>
  <c r="AB30" i="1"/>
  <c r="AA30" i="1"/>
  <c r="Z30" i="1"/>
  <c r="Y30" i="1"/>
  <c r="X30" i="1"/>
  <c r="W30" i="1"/>
  <c r="V30" i="1"/>
  <c r="U30" i="1"/>
  <c r="T30" i="1"/>
  <c r="L30" i="1"/>
  <c r="I30" i="1"/>
  <c r="A30" i="1"/>
  <c r="AC29" i="1"/>
  <c r="AB29" i="1"/>
  <c r="AA29" i="1"/>
  <c r="Z29" i="1"/>
  <c r="Y29" i="1"/>
  <c r="X29" i="1"/>
  <c r="W29" i="1"/>
  <c r="V29" i="1"/>
  <c r="U29" i="1"/>
  <c r="T29" i="1"/>
  <c r="L29" i="1"/>
  <c r="I29" i="1"/>
  <c r="A29" i="1"/>
  <c r="AC28" i="1"/>
  <c r="AB28" i="1"/>
  <c r="AA28" i="1"/>
  <c r="Z28" i="1"/>
  <c r="Y28" i="1"/>
  <c r="X28" i="1"/>
  <c r="W28" i="1"/>
  <c r="V28" i="1"/>
  <c r="U28" i="1"/>
  <c r="T28" i="1"/>
  <c r="L28" i="1"/>
  <c r="I28" i="1"/>
  <c r="C28" i="1"/>
  <c r="A28" i="1"/>
  <c r="AC27" i="1"/>
  <c r="AB27" i="1"/>
  <c r="AA27" i="1"/>
  <c r="Z27" i="1"/>
  <c r="Y27" i="1"/>
  <c r="X27" i="1"/>
  <c r="W27" i="1"/>
  <c r="V27" i="1"/>
  <c r="U27" i="1"/>
  <c r="T27" i="1"/>
  <c r="L27" i="1"/>
  <c r="I27" i="1"/>
  <c r="C27" i="1"/>
  <c r="A27" i="1"/>
  <c r="AC26" i="1"/>
  <c r="AB26" i="1"/>
  <c r="AA26" i="1"/>
  <c r="Z26" i="1"/>
  <c r="Y26" i="1"/>
  <c r="X26" i="1"/>
  <c r="W26" i="1"/>
  <c r="V26" i="1"/>
  <c r="U26" i="1"/>
  <c r="T26" i="1"/>
  <c r="L26" i="1"/>
  <c r="I26" i="1"/>
  <c r="A26" i="1"/>
  <c r="AC25" i="1"/>
  <c r="AB25" i="1"/>
  <c r="AA25" i="1"/>
  <c r="Z25" i="1"/>
  <c r="Y25" i="1"/>
  <c r="X25" i="1"/>
  <c r="W25" i="1"/>
  <c r="V25" i="1"/>
  <c r="U25" i="1"/>
  <c r="T25" i="1"/>
  <c r="L25" i="1"/>
  <c r="I25" i="1"/>
  <c r="A25" i="1"/>
  <c r="AC24" i="1"/>
  <c r="AB24" i="1"/>
  <c r="AA24" i="1"/>
  <c r="Z24" i="1"/>
  <c r="Y24" i="1"/>
  <c r="X24" i="1"/>
  <c r="W24" i="1"/>
  <c r="V24" i="1"/>
  <c r="U24" i="1"/>
  <c r="T24" i="1"/>
  <c r="L24" i="1"/>
  <c r="K24" i="1"/>
  <c r="J24" i="1"/>
  <c r="I24" i="1"/>
  <c r="H24" i="1"/>
  <c r="G24" i="1"/>
  <c r="F24" i="1"/>
  <c r="E24" i="1"/>
  <c r="D24" i="1"/>
  <c r="C24" i="1"/>
  <c r="A24" i="1"/>
  <c r="AC23" i="1"/>
  <c r="AB23" i="1"/>
  <c r="AA23" i="1"/>
  <c r="Z23" i="1"/>
  <c r="Y23" i="1"/>
  <c r="X23" i="1"/>
  <c r="W23" i="1"/>
  <c r="V23" i="1"/>
  <c r="U23" i="1"/>
  <c r="T23" i="1"/>
  <c r="L23" i="1"/>
  <c r="I23" i="1"/>
  <c r="A23" i="1"/>
  <c r="AC22" i="1"/>
  <c r="AB22" i="1"/>
  <c r="AA22" i="1"/>
  <c r="Z22" i="1"/>
  <c r="Y22" i="1"/>
  <c r="X22" i="1"/>
  <c r="W22" i="1"/>
  <c r="V22" i="1"/>
  <c r="U22" i="1"/>
  <c r="T22" i="1"/>
  <c r="L22" i="1"/>
  <c r="I22" i="1"/>
  <c r="A22" i="1"/>
  <c r="AC21" i="1"/>
  <c r="AB21" i="1"/>
  <c r="AA21" i="1"/>
  <c r="Z21" i="1"/>
  <c r="Y21" i="1"/>
  <c r="X21" i="1"/>
  <c r="W21" i="1"/>
  <c r="V21" i="1"/>
  <c r="U21" i="1"/>
  <c r="T21" i="1"/>
  <c r="L21" i="1"/>
  <c r="I21" i="1"/>
  <c r="A21" i="1"/>
  <c r="AC20" i="1"/>
  <c r="AB20" i="1"/>
  <c r="AA20" i="1"/>
  <c r="Z20" i="1"/>
  <c r="Y20" i="1"/>
  <c r="X20" i="1"/>
  <c r="W20" i="1"/>
  <c r="V20" i="1"/>
  <c r="U20" i="1"/>
  <c r="T20" i="1"/>
  <c r="L20" i="1"/>
  <c r="I20" i="1"/>
  <c r="A20" i="1"/>
  <c r="AC19" i="1"/>
  <c r="AB19" i="1"/>
  <c r="AA19" i="1"/>
  <c r="Z19" i="1"/>
  <c r="Y19" i="1"/>
  <c r="X19" i="1"/>
  <c r="W19" i="1"/>
  <c r="V19" i="1"/>
  <c r="U19" i="1"/>
  <c r="T19" i="1"/>
  <c r="L19" i="1"/>
  <c r="I19" i="1"/>
  <c r="A19" i="1"/>
  <c r="AC18" i="1"/>
  <c r="AB18" i="1"/>
  <c r="AA18" i="1"/>
  <c r="Z18" i="1"/>
  <c r="Y18" i="1"/>
  <c r="X18" i="1"/>
  <c r="W18" i="1"/>
  <c r="V18" i="1"/>
  <c r="U18" i="1"/>
  <c r="T18" i="1"/>
  <c r="L18" i="1"/>
  <c r="I18" i="1"/>
  <c r="A18" i="1"/>
  <c r="AC17" i="1"/>
  <c r="AB17" i="1"/>
  <c r="AA17" i="1"/>
  <c r="Z17" i="1"/>
  <c r="Y17" i="1"/>
  <c r="X17" i="1"/>
  <c r="W17" i="1"/>
  <c r="V17" i="1"/>
  <c r="U17" i="1"/>
  <c r="T17" i="1"/>
  <c r="L17" i="1"/>
  <c r="I17" i="1"/>
  <c r="A17" i="1"/>
  <c r="AC16" i="1"/>
  <c r="AB16" i="1"/>
  <c r="AA16" i="1"/>
  <c r="Z16" i="1"/>
  <c r="Y16" i="1"/>
  <c r="X16" i="1"/>
  <c r="W16" i="1"/>
  <c r="V16" i="1"/>
  <c r="U16" i="1"/>
  <c r="T16" i="1"/>
  <c r="L16" i="1"/>
  <c r="I16" i="1"/>
  <c r="A16" i="1"/>
  <c r="AC15" i="1"/>
  <c r="AB15" i="1"/>
  <c r="AA15" i="1"/>
  <c r="Z15" i="1"/>
  <c r="Y15" i="1"/>
  <c r="X15" i="1"/>
  <c r="W15" i="1"/>
  <c r="V15" i="1"/>
  <c r="U15" i="1"/>
  <c r="T15" i="1"/>
  <c r="L15" i="1"/>
  <c r="I15" i="1"/>
  <c r="A15" i="1"/>
  <c r="AC14" i="1"/>
  <c r="AB14" i="1"/>
  <c r="AA14" i="1"/>
  <c r="Z14" i="1"/>
  <c r="Y14" i="1"/>
  <c r="X14" i="1"/>
  <c r="W14" i="1"/>
  <c r="V14" i="1"/>
  <c r="U14" i="1"/>
  <c r="T14" i="1"/>
  <c r="L14" i="1"/>
  <c r="I14" i="1"/>
  <c r="A14" i="1"/>
  <c r="AC13" i="1"/>
  <c r="AB13" i="1"/>
  <c r="AA13" i="1"/>
  <c r="Z13" i="1"/>
  <c r="Y13" i="1"/>
  <c r="X13" i="1"/>
  <c r="W13" i="1"/>
  <c r="V13" i="1"/>
  <c r="U13" i="1"/>
  <c r="T13" i="1"/>
  <c r="L13" i="1"/>
  <c r="I13" i="1"/>
  <c r="A13" i="1"/>
  <c r="AC12" i="1"/>
  <c r="AB12" i="1"/>
  <c r="AA12" i="1"/>
  <c r="Z12" i="1"/>
  <c r="Y12" i="1"/>
  <c r="X12" i="1"/>
  <c r="W12" i="1"/>
  <c r="V12" i="1"/>
  <c r="U12" i="1"/>
  <c r="T12" i="1"/>
  <c r="O12" i="1"/>
  <c r="L12" i="1"/>
  <c r="I12" i="1"/>
  <c r="AC11" i="1"/>
  <c r="AB11" i="1"/>
  <c r="AA11" i="1"/>
  <c r="Z11" i="1"/>
  <c r="Y11" i="1"/>
  <c r="X11" i="1"/>
  <c r="W11" i="1"/>
  <c r="V11" i="1"/>
  <c r="U11" i="1"/>
  <c r="T11" i="1"/>
  <c r="P11" i="1"/>
  <c r="L11" i="1"/>
  <c r="K11" i="1"/>
  <c r="J11" i="1"/>
  <c r="I11" i="1"/>
  <c r="H11" i="1"/>
  <c r="G11" i="1"/>
  <c r="F11" i="1"/>
  <c r="E11" i="1"/>
  <c r="D11" i="1"/>
  <c r="C11" i="1"/>
  <c r="AC10" i="1"/>
  <c r="AB10" i="1"/>
  <c r="AA10" i="1"/>
  <c r="Z10" i="1"/>
  <c r="Y10" i="1"/>
  <c r="X10" i="1"/>
  <c r="W10" i="1"/>
  <c r="V10" i="1"/>
  <c r="U10" i="1"/>
  <c r="T10" i="1"/>
  <c r="Q10" i="1"/>
  <c r="L10" i="1"/>
  <c r="I10" i="1"/>
  <c r="A10" i="1"/>
  <c r="AC9" i="1"/>
  <c r="AB9" i="1"/>
  <c r="AA9" i="1"/>
  <c r="Z9" i="1"/>
  <c r="Y9" i="1"/>
  <c r="X9" i="1"/>
  <c r="W9" i="1"/>
  <c r="V9" i="1"/>
  <c r="U9" i="1"/>
  <c r="T9" i="1"/>
  <c r="Q9" i="1"/>
  <c r="L9" i="1"/>
  <c r="I9" i="1"/>
  <c r="A9" i="1"/>
  <c r="AC8" i="1"/>
  <c r="AB8" i="1"/>
  <c r="AA8" i="1"/>
  <c r="Z8" i="1"/>
  <c r="Y8" i="1"/>
  <c r="X8" i="1"/>
  <c r="W8" i="1"/>
  <c r="V8" i="1"/>
  <c r="U8" i="1"/>
  <c r="T8" i="1"/>
  <c r="Q8" i="1"/>
  <c r="L8" i="1"/>
  <c r="I8" i="1"/>
  <c r="AC7" i="1"/>
  <c r="AB7" i="1"/>
  <c r="AA7" i="1"/>
  <c r="Z7" i="1"/>
  <c r="Y7" i="1"/>
  <c r="X7" i="1"/>
  <c r="W7" i="1"/>
  <c r="V7" i="1"/>
  <c r="U7" i="1"/>
  <c r="T7" i="1"/>
  <c r="N7" i="1"/>
  <c r="L7" i="1"/>
  <c r="I7" i="1"/>
  <c r="C7" i="1"/>
  <c r="AE5" i="1"/>
  <c r="S5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tc={240B251B-FD53-4BE9-B333-D178D422C144}</author>
    <author>tc={B37C26D9-4EA3-4EFC-B0D8-7114D535C4CB}</author>
    <author>tc={833CAF86-9BF4-499C-8FA2-04DB27DF1F77}</author>
    <author>tc={37AB8F98-6AAD-4BF3-B8A7-A15627A15E91}</author>
    <author>tc={B0848285-BBFB-4CAF-BF07-4E1B77172515}</author>
    <author>tc={37620E2B-0614-4F15-829C-E83EF526A996}</author>
    <author>tc={E3993A4D-A5D5-40F0-9CC2-EC730588D35E}</author>
    <author>tc={730BDEF5-13B7-49AA-ADA4-BCF3CA911315}</author>
    <author>tc={BA47C73E-F4BF-4FF1-B46E-F9085549CB0B}</author>
    <author>tc={285F24B7-A475-45CF-BEEF-20EA72CF383A}</author>
    <author>tc={090C33C8-2712-4CB6-B387-7EFC07AA6279}</author>
    <author>tc={ECF39A3D-BE32-4E11-84B3-1721DAF37DD8}</author>
    <author>tc={18B3A7FD-9359-43FC-821A-CDEAC907737E}</author>
    <author>Prasad Panneer Selvam</author>
    <author>tc={417B10D0-B643-4FAD-90BD-1A6EE0571548}</author>
    <author>tc={51F623E6-8A5C-48F0-BC1D-B36F6ABFF72D}</author>
    <author>tc={9367D874-E099-4BDC-A0DA-45B6C8934244}</author>
    <author>tc={27B6F110-217E-4089-8CD4-E78C8A89A516}</author>
    <author>tc={D7B7AB3C-B5B8-439D-96A4-78F76E8B5236}</author>
    <author>tc={E93E3C7F-937E-4FD6-B8D9-451310D8C19B}</author>
    <author>tc={C8864135-DDF0-4A8A-A3B8-8B654CC46411}</author>
    <author>tc={6C40182D-79D7-4379-A654-1680230EAB5D}</author>
    <author>tc={80ECD0C8-83B8-4241-A68F-CB35D9333095}</author>
    <author>tc={A0EA85E2-DC57-4A31-97C0-3C8104FD4B4E}</author>
    <author>tc={77E8DFCC-1EEF-4BED-9789-D9870C31B543}</author>
    <author>tc={E780AEF5-67FB-48D2-8BC3-31B32A5FA913}</author>
    <author>tc={FEFA9716-9AF0-487A-AA55-8D547C1A240E}</author>
    <author>tc={E351C8FF-E6C8-473C-9BDC-CEBCB145FE68}</author>
    <author>tc={242F5ED9-3F9C-4990-8D89-9DA4F8B6AC65}</author>
    <author>tc={B270EC1E-5419-4A20-B3C1-D85991176FCC}</author>
    <author>tc={A484C746-2E3C-436A-B1F4-3FE08DCBFBCD}</author>
    <author>tc={B80D6991-8DAC-4265-90F3-0A7406552392}</author>
    <author>tc={DD82B6D4-751A-4878-AC0E-1968F7967945}</author>
    <author>tc={134D40F6-85E9-4EC3-8192-B85853D03646}</author>
    <author>tc={8AB49CFD-CFEA-41A8-B3B2-DC97B5104CE0}</author>
    <author>tc={F194D9BC-EAA4-4219-870F-7DF36AF98B42}</author>
    <author>tc={7A61FFBF-E114-4BF0-9A07-C53E782F1CF2}</author>
    <author>tc={A99E6FEA-E96F-46C8-AA69-6AE330E56ACE}</author>
    <author>tc={858C061C-E8CB-4ADF-9C28-254530C3A264}</author>
    <author>tc={44CA2A13-6BEB-4273-BC39-706F636B9D72}</author>
    <author>tc={1617166C-E2B7-4B7E-8818-3BF83869E43E}</author>
    <author>tc={AC8CDAD7-1011-466D-BF30-30F61DC1455E}</author>
    <author>tc={61B3D206-C626-446F-B673-79EF7EFF1D54}</author>
    <author>tc={BB62731E-09BE-4CCB-B560-0943C259EEC4}</author>
    <author>tc={52BF7E04-8AE0-4077-8D39-D5EBF5814047}</author>
    <author>tc={36A3B0E2-38BD-467E-9C2F-110A0AF75434}</author>
    <author>tc={0E160959-50B7-4CC1-B5CD-F785B7ECA144}</author>
    <author>tc={F4D1A64D-2044-46FC-BD4D-456B08CA0F67}</author>
    <author>tc={4CD22BD3-FF32-448B-B77B-BF6C82959A9E}</author>
    <author>tc={057F22B9-5F1C-4F99-B768-01F07B03F6FE}</author>
    <author>tc={2EEFB6E7-807E-4522-916F-9888177F4A57}</author>
    <author>tc={DEEDF58B-61B8-4E89-B863-64844A89553B}</author>
    <author>tc={769181C9-F290-472F-A015-EB5C137B23C6}</author>
    <author>tc={64507C5C-6E4A-4087-8CBB-CBCC46E0631A}</author>
    <author>tc={C7BE4D34-2F79-4D2A-BFA5-6B0FBCBCA817}</author>
    <author>tc={B4D3DADA-BF75-4012-B460-7E662A9D56D3}</author>
    <author>tc={B0C6DBE2-C4D2-4318-BB06-E94F69B4FD69}</author>
    <author>tc={7D2C1C4C-B826-4DE0-96C2-945BED1E35D8}</author>
    <author>tc={3ADFC56F-190C-45F8-B944-6126E8CC5417}</author>
  </authors>
  <commentList>
    <comment ref="N4" authorId="0" shapeId="0" xr:uid="{240B251B-FD53-4BE9-B333-D178D422C144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O4" authorId="1" shapeId="0" xr:uid="{B37C26D9-4EA3-4EFC-B0D8-7114D535C4CB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AC4" authorId="2" shapeId="0" xr:uid="{833CAF86-9BF4-499C-8FA2-04DB27DF1F77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D4" authorId="3" shapeId="0" xr:uid="{37AB8F98-6AAD-4BF3-B8A7-A15627A15E91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E4" authorId="4" shapeId="0" xr:uid="{B0848285-BBFB-4CAF-BF07-4E1B7717251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F4" authorId="5" shapeId="0" xr:uid="{37620E2B-0614-4F15-829C-E83EF526A996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AC16" authorId="6" shapeId="0" xr:uid="{E3993A4D-A5D5-40F0-9CC2-EC730588D35E}">
      <text>
        <t>[Threaded comment]
Your version of Excel allows you to read this threaded comment; however, any edits to it will get removed if the file is opened in a newer version of Excel. Learn more: https://go.microsoft.com/fwlink/?linkid=870924
Comment:
    Crest Grande
Reply:
    339563784.37</t>
      </text>
    </comment>
    <comment ref="N20" authorId="7" shapeId="0" xr:uid="{730BDEF5-13B7-49AA-ADA4-BCF3CA91131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O20" authorId="8" shapeId="0" xr:uid="{BA47C73E-F4BF-4FF1-B46E-F9085549CB0B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AC20" authorId="9" shapeId="0" xr:uid="{285F24B7-A475-45CF-BEEF-20EA72CF383A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D20" authorId="10" shapeId="0" xr:uid="{090C33C8-2712-4CB6-B387-7EFC07AA6279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E20" authorId="11" shapeId="0" xr:uid="{ECF39A3D-BE32-4E11-84B3-1721DAF37DD8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F20" authorId="12" shapeId="0" xr:uid="{18B3A7FD-9359-43FC-821A-CDEAC907737E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B21" authorId="13" shapeId="0" xr:uid="{E0DB68A7-D3E1-428F-8D65-53984E40E019}">
      <text>
        <r>
          <rPr>
            <b/>
            <sz val="9"/>
            <color indexed="81"/>
            <rFont val="Tahoma"/>
            <family val="2"/>
          </rPr>
          <t>Prasad Panneer Selvam:</t>
        </r>
        <r>
          <rPr>
            <sz val="9"/>
            <color indexed="81"/>
            <rFont val="Tahoma"/>
            <family val="2"/>
          </rPr>
          <t xml:space="preserve">
Update these buckets from Weekly Part 1 (start of the month) - Overdue &amp; Constraints file</t>
        </r>
      </text>
    </comment>
    <comment ref="AC21" authorId="14" shapeId="0" xr:uid="{417B10D0-B643-4FAD-90BD-1A6EE05715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Crest Grande - 224,937,925</t>
      </text>
    </comment>
    <comment ref="B22" authorId="13" shapeId="0" xr:uid="{7563F601-3A68-476E-9940-E95EFCE4A963}">
      <text>
        <r>
          <rPr>
            <b/>
            <sz val="9"/>
            <color indexed="81"/>
            <rFont val="Tahoma"/>
            <family val="2"/>
          </rPr>
          <t>Prasad Panneer Selvam:</t>
        </r>
        <r>
          <rPr>
            <sz val="9"/>
            <color indexed="81"/>
            <rFont val="Tahoma"/>
            <family val="2"/>
          </rPr>
          <t xml:space="preserve">
Removed Crest Grande Overdue</t>
        </r>
      </text>
    </comment>
    <comment ref="N36" authorId="15" shapeId="0" xr:uid="{51F623E6-8A5C-48F0-BC1D-B36F6ABFF72D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O36" authorId="16" shapeId="0" xr:uid="{9367D874-E099-4BDC-A0DA-45B6C8934244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AC36" authorId="17" shapeId="0" xr:uid="{27B6F110-217E-4089-8CD4-E78C8A89A516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D36" authorId="18" shapeId="0" xr:uid="{D7B7AB3C-B5B8-439D-96A4-78F76E8B5236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E36" authorId="19" shapeId="0" xr:uid="{E93E3C7F-937E-4FD6-B8D9-451310D8C19B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F36" authorId="20" shapeId="0" xr:uid="{C8864135-DDF0-4A8A-A3B8-8B654CC46411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AC48" authorId="21" shapeId="0" xr:uid="{6C40182D-79D7-4379-A654-1680230EAB5D}">
      <text>
        <t>[Threaded comment]
Your version of Excel allows you to read this threaded comment; however, any edits to it will get removed if the file is opened in a newer version of Excel. Learn more: https://go.microsoft.com/fwlink/?linkid=870924
Comment:
    Crest Grande</t>
      </text>
    </comment>
    <comment ref="N52" authorId="22" shapeId="0" xr:uid="{80ECD0C8-83B8-4241-A68F-CB35D933309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O52" authorId="23" shapeId="0" xr:uid="{A0EA85E2-DC57-4A31-97C0-3C8104FD4B4E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AC52" authorId="24" shapeId="0" xr:uid="{77E8DFCC-1EEF-4BED-9789-D9870C31B543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D52" authorId="25" shapeId="0" xr:uid="{E780AEF5-67FB-48D2-8BC3-31B32A5FA913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E52" authorId="26" shapeId="0" xr:uid="{FEFA9716-9AF0-487A-AA55-8D547C1A240E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F52" authorId="27" shapeId="0" xr:uid="{E351C8FF-E6C8-473C-9BDC-CEBCB145FE68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AC64" authorId="28" shapeId="0" xr:uid="{242F5ED9-3F9C-4990-8D89-9DA4F8B6AC65}">
      <text>
        <t>[Threaded comment]
Your version of Excel allows you to read this threaded comment; however, any edits to it will get removed if the file is opened in a newer version of Excel. Learn more: https://go.microsoft.com/fwlink/?linkid=870924
Comment:
    Crest Grande</t>
      </text>
    </comment>
    <comment ref="N68" authorId="29" shapeId="0" xr:uid="{B270EC1E-5419-4A20-B3C1-D85991176FCC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O68" authorId="30" shapeId="0" xr:uid="{A484C746-2E3C-436A-B1F4-3FE08DCBFBCD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AC68" authorId="31" shapeId="0" xr:uid="{B80D6991-8DAC-4265-90F3-0A7406552392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D68" authorId="32" shapeId="0" xr:uid="{DD82B6D4-751A-4878-AC0E-1968F796794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E68" authorId="33" shapeId="0" xr:uid="{134D40F6-85E9-4EC3-8192-B85853D03646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F68" authorId="34" shapeId="0" xr:uid="{8AB49CFD-CFEA-41A8-B3B2-DC97B5104CE0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N84" authorId="35" shapeId="0" xr:uid="{F194D9BC-EAA4-4219-870F-7DF36AF98B42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O84" authorId="36" shapeId="0" xr:uid="{7A61FFBF-E114-4BF0-9A07-C53E782F1CF2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AC84" authorId="37" shapeId="0" xr:uid="{A99E6FEA-E96F-46C8-AA69-6AE330E56ACE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D84" authorId="38" shapeId="0" xr:uid="{858C061C-E8CB-4ADF-9C28-254530C3A264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E84" authorId="39" shapeId="0" xr:uid="{44CA2A13-6BEB-4273-BC39-706F636B9D72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F84" authorId="40" shapeId="0" xr:uid="{1617166C-E2B7-4B7E-8818-3BF83869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N100" authorId="41" shapeId="0" xr:uid="{AC8CDAD7-1011-466D-BF30-30F61DC1455E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O100" authorId="42" shapeId="0" xr:uid="{61B3D206-C626-446F-B673-79EF7EFF1D54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AC100" authorId="43" shapeId="0" xr:uid="{BB62731E-09BE-4CCB-B560-0943C259EEC4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D100" authorId="44" shapeId="0" xr:uid="{52BF7E04-8AE0-4077-8D39-D5EBF5814047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E100" authorId="45" shapeId="0" xr:uid="{36A3B0E2-38BD-467E-9C2F-110A0AF75434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F100" authorId="46" shapeId="0" xr:uid="{0E160959-50B7-4CC1-B5CD-F785B7ECA144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N116" authorId="47" shapeId="0" xr:uid="{F4D1A64D-2044-46FC-BD4D-456B08CA0F67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O116" authorId="48" shapeId="0" xr:uid="{4CD22BD3-FF32-448B-B77B-BF6C82959A9E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AC116" authorId="49" shapeId="0" xr:uid="{057F22B9-5F1C-4F99-B768-01F07B03F6FE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D116" authorId="50" shapeId="0" xr:uid="{2EEFB6E7-807E-4522-916F-9888177F4A57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E116" authorId="51" shapeId="0" xr:uid="{DEEDF58B-61B8-4E89-B863-64844A89553B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F116" authorId="52" shapeId="0" xr:uid="{769181C9-F290-472F-A015-EB5C137B23C6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N132" authorId="53" shapeId="0" xr:uid="{64507C5C-6E4A-4087-8CBB-CBCC46E0631A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O132" authorId="54" shapeId="0" xr:uid="{C7BE4D34-2F79-4D2A-BFA5-6B0FBCBCA817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  <comment ref="AC132" authorId="55" shapeId="0" xr:uid="{B4D3DADA-BF75-4012-B460-7E662A9D56D3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D132" authorId="56" shapeId="0" xr:uid="{B0C6DBE2-C4D2-4318-BB06-E94F69B4FD69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E132" authorId="57" shapeId="0" xr:uid="{7D2C1C4C-B826-4DE0-96C2-945BED1E35D8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money included</t>
      </text>
    </comment>
    <comment ref="AF132" authorId="58" shapeId="0" xr:uid="{3ADFC56F-190C-45F8-B944-6126E8CC5417}">
      <text>
        <t>[Threaded comment]
Your version of Excel allows you to read this threaded comment; however, any edits to it will get removed if the file is opened in a newer version of Excel. Learn more: https://go.microsoft.com/fwlink/?linkid=870924
Comment:
    Unidentified estimated due amount excluded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Prasad Panneer Selvam</author>
    <author>tc={75A3001D-6128-4FA4-B14C-A0D0F0BDAF10}</author>
    <author>tc={6D05CF63-4B57-4119-B289-596ED0F69467}</author>
    <author>tc={AB94A718-73AA-44D0-BF98-8DDCB439C53B}</author>
    <author>tc={15201936-A23F-4565-A271-F0E59EF8AEF1}</author>
    <author>tc={C6DAAF51-FE04-4198-89A7-F843DD4E3B1C}</author>
    <author>tc={5016325D-0C8E-4B89-B944-B91682CD9AEE}</author>
  </authors>
  <commentList>
    <comment ref="O2" authorId="0" shapeId="0" xr:uid="{327E89F5-F1AD-411C-BF64-B93E884D1D5E}">
      <text>
        <r>
          <rPr>
            <b/>
            <sz val="9"/>
            <color indexed="81"/>
            <rFont val="Tahoma"/>
            <family val="2"/>
          </rPr>
          <t>Prasad Panneer Selvam:</t>
        </r>
        <r>
          <rPr>
            <sz val="9"/>
            <color indexed="81"/>
            <rFont val="Tahoma"/>
            <family val="2"/>
          </rPr>
          <t xml:space="preserve">
Prasad Panneer Selvam:
Future collectibles from Consolidated and Overdues
</t>
        </r>
      </text>
    </comment>
    <comment ref="AG2" authorId="0" shapeId="0" xr:uid="{6FFF6F84-EFB1-424D-BD29-9A28F42CEB12}">
      <text>
        <r>
          <rPr>
            <b/>
            <sz val="9"/>
            <color indexed="81"/>
            <rFont val="Tahoma"/>
            <family val="2"/>
          </rPr>
          <t>Prasad Panneer Selvam:</t>
        </r>
        <r>
          <rPr>
            <sz val="9"/>
            <color indexed="81"/>
            <rFont val="Tahoma"/>
            <family val="2"/>
          </rPr>
          <t xml:space="preserve">
Overdue &amp; Contraint &gt; New &gt; AB column Addition of Net MS this month and Net MS next month from Allocation file</t>
        </r>
      </text>
    </comment>
    <comment ref="O3" authorId="0" shapeId="0" xr:uid="{0DF3E51F-47E9-4B3F-A4ED-8BBD2F3366DB}">
      <text/>
    </comment>
    <comment ref="AG3" authorId="0" shapeId="0" xr:uid="{D97F5FB0-BC25-47AA-A821-305CCF854F36}">
      <text>
        <r>
          <rPr>
            <b/>
            <sz val="9"/>
            <color indexed="81"/>
            <rFont val="Tahoma"/>
            <family val="2"/>
          </rPr>
          <t>Prasad Panneer Selvam: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" authorId="1" shapeId="0" xr:uid="{75A3001D-6128-4FA4-B14C-A0D0F0BDAF10}">
      <text>
        <t>[Threaded comment]
Your version of Excel allows you to read this threaded comment; however, any edits to it will get removed if the file is opened in a newer version of Excel. Learn more: https://go.microsoft.com/fwlink/?linkid=870924
Comment:
    6448593.5599978</t>
      </text>
    </comment>
    <comment ref="C4" authorId="2" shapeId="0" xr:uid="{6D05CF63-4B57-4119-B289-596ED0F694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
</t>
      </text>
    </comment>
    <comment ref="Z4" authorId="3" shapeId="0" xr:uid="{AB94A718-73AA-44D0-BF98-8DDCB439C53B}">
      <text>
        <t>[Threaded comment]
Your version of Excel allows you to read this threaded comment; however, any edits to it will get removed if the file is opened in a newer version of Excel. Learn more: https://go.microsoft.com/fwlink/?linkid=870924
Comment:
    135895.59</t>
      </text>
    </comment>
    <comment ref="AA4" authorId="4" shapeId="0" xr:uid="{15201936-A23F-4565-A271-F0E59EF8AEF1}">
      <text>
        <t>[Threaded comment]
Your version of Excel allows you to read this threaded comment; however, any edits to it will get removed if the file is opened in a newer version of Excel. Learn more: https://go.microsoft.com/fwlink/?linkid=870924
Comment:
    135895.59</t>
      </text>
    </comment>
    <comment ref="AA15" authorId="5" shapeId="0" xr:uid="{C6DAAF51-FE04-4198-89A7-F843DD4E3B1C}">
      <text>
        <t>[Threaded comment]
Your version of Excel allows you to read this threaded comment; however, any edits to it will get removed if the file is opened in a newer version of Excel. Learn more: https://go.microsoft.com/fwlink/?linkid=870924
Comment:
    327926617.53</t>
      </text>
    </comment>
    <comment ref="CB15" authorId="6" shapeId="0" xr:uid="{5016325D-0C8E-4B89-B944-B91682CD9AEE}">
      <text>
        <t>[Threaded comment]
Your version of Excel allows you to read this threaded comment; however, any edits to it will get removed if the file is opened in a newer version of Excel. Learn more: https://go.microsoft.com/fwlink/?linkid=870924
Comment:
    Waves opulence MS changed from Sep to March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<sst xmlns="http://schemas.openxmlformats.org/spreadsheetml/2006/main" count="1377" uniqueCount="174">
  <si>
    <t>Note:</t>
  </si>
  <si>
    <t>Month On month collections are shown</t>
  </si>
  <si>
    <t>Unidentified = Realised-Reg-Receipts</t>
  </si>
  <si>
    <t>Receipts = New sale+Other charges+dues&amp;adv</t>
  </si>
  <si>
    <t>Difference</t>
  </si>
  <si>
    <t>Yesterday</t>
  </si>
  <si>
    <t>Year</t>
  </si>
  <si>
    <t>Total realised</t>
  </si>
  <si>
    <t>DLD</t>
  </si>
  <si>
    <t>Receipts total</t>
  </si>
  <si>
    <t xml:space="preserve">Dues + Advance collection </t>
  </si>
  <si>
    <t>New sale receipts</t>
  </si>
  <si>
    <t>Other charges</t>
  </si>
  <si>
    <t>Est. Unidentified</t>
  </si>
  <si>
    <t>Advance collection</t>
  </si>
  <si>
    <t>Dues collection</t>
  </si>
  <si>
    <t>Actual unidentifed</t>
  </si>
  <si>
    <t>2020 &amp; Before</t>
  </si>
  <si>
    <t>2021 Total</t>
  </si>
  <si>
    <t>Sobha</t>
  </si>
  <si>
    <t>2022 Total</t>
  </si>
  <si>
    <t>Siniya</t>
  </si>
  <si>
    <t>2023 Total</t>
  </si>
  <si>
    <t>Downtown UAQ</t>
  </si>
  <si>
    <t>2024 Total</t>
  </si>
  <si>
    <t>Abu Dhabi</t>
  </si>
  <si>
    <t>Jan'24</t>
  </si>
  <si>
    <t>Total</t>
  </si>
  <si>
    <t>Feb'24</t>
  </si>
  <si>
    <t>Mar'24</t>
  </si>
  <si>
    <t>Apr'24</t>
  </si>
  <si>
    <t>May'24</t>
  </si>
  <si>
    <t xml:space="preserve"> </t>
  </si>
  <si>
    <t>Jun'24</t>
  </si>
  <si>
    <t>Jul'24</t>
  </si>
  <si>
    <t>Aug'24</t>
  </si>
  <si>
    <t>Sep'24</t>
  </si>
  <si>
    <t>Oct'24</t>
  </si>
  <si>
    <t>Nov'24</t>
  </si>
  <si>
    <t>Dec'24</t>
  </si>
  <si>
    <t>2025 Total</t>
  </si>
  <si>
    <t>Jan'25</t>
  </si>
  <si>
    <t>Feb'25</t>
  </si>
  <si>
    <t>Mar'25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</si>
  <si>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</si>
  <si>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</si>
  <si>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</si>
  <si>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</si>
  <si>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</si>
  <si>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</si>
  <si>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</si>
  <si>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</si>
  <si>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</si>
  <si>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2026 Total</t>
  </si>
  <si>
    <t>Jan'26</t>
  </si>
  <si>
    <t>Feb'26</t>
  </si>
  <si>
    <t>Mar'26</t>
  </si>
  <si>
    <t>Apr'26</t>
  </si>
  <si>
    <t>May'26</t>
  </si>
  <si>
    <t>Grand Total</t>
  </si>
  <si>
    <t>Sobha advance</t>
  </si>
  <si>
    <t>Sobha dues</t>
  </si>
  <si>
    <t>Siniya advance</t>
  </si>
  <si>
    <t>Siniya dues</t>
  </si>
  <si>
    <t>Down Town advance</t>
  </si>
  <si>
    <t>Down Town  dues</t>
  </si>
  <si>
    <t>actual unidenfitifed</t>
  </si>
  <si>
    <t>Overall</t>
  </si>
  <si>
    <t>Collection OD</t>
  </si>
  <si>
    <t>Booksize and collections</t>
  </si>
  <si>
    <t>NET OF BCC booksize and collections</t>
  </si>
  <si>
    <t>Month</t>
  </si>
  <si>
    <t>0-30</t>
  </si>
  <si>
    <t>31-60</t>
  </si>
  <si>
    <t>61-90</t>
  </si>
  <si>
    <t>91-120</t>
  </si>
  <si>
    <t>121-180</t>
  </si>
  <si>
    <t>180+</t>
  </si>
  <si>
    <t>Total Collection OD</t>
  </si>
  <si>
    <t>Upcoming MS till EOM</t>
  </si>
  <si>
    <t>EOM OD</t>
  </si>
  <si>
    <t>EOM Unidentified(Estimation)</t>
  </si>
  <si>
    <t>BOM Unidentified</t>
  </si>
  <si>
    <t>estimate dues unidentified(BOM)</t>
  </si>
  <si>
    <t>Total duebook (BOM)</t>
  </si>
  <si>
    <t>Estimated duebook  net of unidentified(BOM)</t>
  </si>
  <si>
    <t>Booksize less than 30 days</t>
  </si>
  <si>
    <t>Booksize 30+ days</t>
  </si>
  <si>
    <t>Booksize 60+ days</t>
  </si>
  <si>
    <t>Dues collected from 30 days</t>
  </si>
  <si>
    <t xml:space="preserve">Dues collected from 30+ days </t>
  </si>
  <si>
    <t xml:space="preserve">Dues collected from 60+ days </t>
  </si>
  <si>
    <t>% Dues collected from 30 days book</t>
  </si>
  <si>
    <t>% Dues collected from 30+days book</t>
  </si>
  <si>
    <t>% Dues collected from 60+days book</t>
  </si>
  <si>
    <t>Due receipts</t>
  </si>
  <si>
    <t>Due receipts+Dues unidentified</t>
  </si>
  <si>
    <t>dues collected / book size</t>
  </si>
  <si>
    <t xml:space="preserve">estimated dues collected / booksize estimated </t>
  </si>
  <si>
    <t>Total duebook (S and Crest grande)</t>
  </si>
  <si>
    <t>Total duebook (Crest )</t>
  </si>
  <si>
    <t>Total duebook (Net of BCC)</t>
  </si>
  <si>
    <t>Estimated duebook net of bcc&amp;  net of unidentified(BOM)</t>
  </si>
  <si>
    <t>Booksize less than 30 days(Crest+s)</t>
  </si>
  <si>
    <t>Booksize 30+ days(Crest+S)</t>
  </si>
  <si>
    <t>Booksize 60+ days(Crest+S)</t>
  </si>
  <si>
    <t>Net BCC Booksize less than 30 days</t>
  </si>
  <si>
    <t>Net BCC Booksize 30+ days</t>
  </si>
  <si>
    <t>Net BCC Booksize 60+ days</t>
  </si>
  <si>
    <t>Current UIF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</si>
  <si>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</si>
  <si>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</si>
  <si>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</si>
  <si>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</si>
  <si>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</si>
  <si>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</si>
  <si>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</si>
  <si>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</si>
  <si>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</si>
  <si>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</si>
  <si>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</si>
  <si>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</si>
  <si>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duebook (Crest)</t>
  </si>
  <si>
    <t>Total duebook (S)</t>
  </si>
  <si>
    <t>Down Town</t>
  </si>
  <si>
    <t>Abu dhabi</t>
  </si>
  <si>
    <t>Future MS</t>
  </si>
  <si>
    <t>MS till end of  next  month(M+2)</t>
  </si>
  <si>
    <t>Advance booksize</t>
  </si>
  <si>
    <t>%Advance Collection from Booksize</t>
  </si>
  <si>
    <t>Project</t>
  </si>
  <si>
    <t>Greens</t>
  </si>
  <si>
    <t>One Park Avenue Tower</t>
  </si>
  <si>
    <t>Hartland 1 villas &amp; townhouses</t>
  </si>
  <si>
    <t>CV &amp; CVR</t>
  </si>
  <si>
    <t>Waves</t>
  </si>
  <si>
    <t>Waves Grande</t>
  </si>
  <si>
    <t>Hartland 1 plots</t>
  </si>
  <si>
    <t>Creek Vistas Grande</t>
  </si>
  <si>
    <t>Crest</t>
  </si>
  <si>
    <t>The S</t>
  </si>
  <si>
    <t>Sub Total (A)</t>
  </si>
  <si>
    <t>Crest Grande</t>
  </si>
  <si>
    <t>Waves Opulence</t>
  </si>
  <si>
    <t>Verde</t>
  </si>
  <si>
    <t>Sobha Reserve Villas</t>
  </si>
  <si>
    <t>Hartland II Villas &amp; Mansion</t>
  </si>
  <si>
    <t>Riverside Crescent</t>
  </si>
  <si>
    <t>Creek vista Heights</t>
  </si>
  <si>
    <t>Sobha One</t>
  </si>
  <si>
    <t>Sub Total (B)</t>
  </si>
  <si>
    <t>Sea Haven</t>
  </si>
  <si>
    <t>Sobha Orbis</t>
  </si>
  <si>
    <t>Sobha Sanctuary</t>
  </si>
  <si>
    <t>Skyscape</t>
  </si>
  <si>
    <t>Sub Total (C)</t>
  </si>
  <si>
    <t>Elwood Villas</t>
  </si>
  <si>
    <t>Sobha Solis</t>
  </si>
  <si>
    <t>Skyvue</t>
  </si>
  <si>
    <t>The Element at Sobha One</t>
  </si>
  <si>
    <t>The S at Hartland II</t>
  </si>
  <si>
    <t>Sobha Skyparks</t>
  </si>
  <si>
    <t>Sub Total (D)</t>
  </si>
  <si>
    <t>Siniya Island</t>
  </si>
  <si>
    <t>Siniya Beach Residences</t>
  </si>
  <si>
    <t>Siniya Marina Residences</t>
  </si>
  <si>
    <t>Sub Total (E)</t>
  </si>
  <si>
    <t>Sobha Aquamont</t>
  </si>
  <si>
    <t>Sobha Aquacrest</t>
  </si>
  <si>
    <t>Sub Total (F)</t>
  </si>
  <si>
    <t>Sobha Central</t>
  </si>
  <si>
    <t>Sub Total (G)</t>
  </si>
  <si>
    <t>Sobha AUH</t>
  </si>
  <si>
    <t>Sub Total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</si>
</sst>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AED&quot;* #,##0.00_-;\-&quot;AED&quot;* #,##0.00_-;_-&quot;AED&quot;* &quot;-&quot;??_-;_-@_-"/>
    <numFmt numFmtId="43" formatCode="_-* #,##0.00_-;\-* #,##0.00_-;_-* &quot;-&quot;??_-;_-@_-"/>
    <numFmt numFmtId="164" formatCode="_-* #,##0_-;\-* #,##0_-;_-* &quot;-&quot;??_-;_-@_-"/>
    <numFmt numFmtId="165" formatCode="_-* #,##0.0,,&quot; Mn&quot;_-;\-* #,##0_-;_-* &quot;-&quot;_-;_-@_-"/>
    <numFmt numFmtId="166" formatCode="_-* #,##0.0000000_-;\-* #,##0.00000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Tahoma"/>
      <family val="2"/>
    </font>
    <font>
      <b/>
      <sz val="14"/>
      <color theme="1"/>
      <name val="Tahoma"/>
      <family val="2"/>
    </font>
    <font>
      <b/>
      <sz val="10"/>
      <color theme="0"/>
      <name val="Tahom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sz val="10.5"/>
      <name val="Segoe UI Semibold"/>
      <family val="2"/>
    </font>
  </fonts>
  <fills count="26">
    <fill>
      <patternFill patternType="none"/>
    </fill>
    <fill>
      <patternFill patternType="gray125"/>
    </fill>
    <fill>
      <patternFill patternType="solid">
        <fgColor rgb="FF002060"/>
        <bgColor theme="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9" tint="-0.249977111117893"/>
        <bgColor theme="8"/>
      </patternFill>
    </fill>
    <fill>
      <patternFill patternType="solid">
        <fgColor theme="6" tint="-0.499984740745262"/>
        <bgColor theme="8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79998168889431442"/>
        <bgColor theme="8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medium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0">
    <xf numFmtId="0" fontId="0" fillId="0" borderId="0" xfId="0"/>
    <xf numFmtId="0" fontId="5" fillId="0" borderId="0" xfId="0" applyFont="1"/>
    <xf numFmtId="0" fontId="6" fillId="0" borderId="0" xfId="0" applyFont="1"/>
    <xf numFmtId="14" fontId="0" fillId="0" borderId="0" xfId="0" applyNumberFormat="1"/>
    <xf numFmtId="0" fontId="7" fillId="2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164" fontId="0" fillId="7" borderId="7" xfId="0" applyNumberFormat="1" applyFill="1" applyBorder="1" applyAlignment="1">
      <alignment horizontal="center" vertical="center"/>
    </xf>
    <xf numFmtId="164" fontId="0" fillId="7" borderId="8" xfId="0" applyNumberFormat="1" applyFill="1" applyBorder="1" applyAlignment="1">
      <alignment horizontal="center" vertical="center"/>
    </xf>
    <xf numFmtId="164" fontId="0" fillId="0" borderId="0" xfId="0" applyNumberFormat="1"/>
    <xf numFmtId="0" fontId="0" fillId="0" borderId="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1" applyNumberFormat="1" applyFont="1" applyBorder="1" applyAlignment="1">
      <alignment vertical="center"/>
    </xf>
    <xf numFmtId="164" fontId="9" fillId="0" borderId="10" xfId="1" applyNumberFormat="1" applyFont="1" applyBorder="1"/>
    <xf numFmtId="164" fontId="0" fillId="0" borderId="0" xfId="1" applyNumberFormat="1" applyFont="1"/>
    <xf numFmtId="164" fontId="4" fillId="0" borderId="10" xfId="1" applyNumberFormat="1" applyFont="1" applyBorder="1"/>
    <xf numFmtId="14" fontId="0" fillId="8" borderId="0" xfId="0" applyNumberFormat="1" applyFill="1"/>
    <xf numFmtId="0" fontId="0" fillId="0" borderId="11" xfId="0" applyBorder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0" fillId="0" borderId="12" xfId="1" applyNumberFormat="1" applyFont="1" applyFill="1" applyBorder="1" applyAlignment="1">
      <alignment horizontal="center" vertical="center"/>
    </xf>
    <xf numFmtId="164" fontId="10" fillId="9" borderId="9" xfId="1" applyNumberFormat="1" applyFont="1" applyFill="1" applyBorder="1" applyAlignment="1">
      <alignment vertical="center"/>
    </xf>
    <xf numFmtId="0" fontId="0" fillId="10" borderId="6" xfId="0" applyFill="1" applyBorder="1" applyAlignment="1">
      <alignment horizontal="center" vertical="center"/>
    </xf>
    <xf numFmtId="164" fontId="0" fillId="10" borderId="7" xfId="0" applyNumberFormat="1" applyFill="1" applyBorder="1" applyAlignment="1">
      <alignment horizontal="center" vertical="center"/>
    </xf>
    <xf numFmtId="164" fontId="0" fillId="10" borderId="8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11" fillId="0" borderId="0" xfId="1" applyFont="1" applyFill="1" applyBorder="1" applyAlignment="1" applyProtection="1">
      <alignment horizontal="right" vertical="center" indent="1"/>
    </xf>
    <xf numFmtId="3" fontId="0" fillId="0" borderId="0" xfId="0" applyNumberFormat="1"/>
    <xf numFmtId="0" fontId="4" fillId="7" borderId="13" xfId="0" applyFont="1" applyFill="1" applyBorder="1" applyAlignment="1">
      <alignment horizontal="center" vertical="center"/>
    </xf>
    <xf numFmtId="164" fontId="4" fillId="7" borderId="14" xfId="0" applyNumberFormat="1" applyFont="1" applyFill="1" applyBorder="1" applyAlignment="1">
      <alignment horizontal="center" vertical="center"/>
    </xf>
    <xf numFmtId="164" fontId="4" fillId="7" borderId="10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43" fontId="0" fillId="0" borderId="0" xfId="1" applyFont="1"/>
    <xf numFmtId="43" fontId="0" fillId="0" borderId="0" xfId="0" applyNumberFormat="1"/>
    <xf numFmtId="164" fontId="0" fillId="11" borderId="7" xfId="0" applyNumberFormat="1" applyFill="1" applyBorder="1" applyAlignment="1">
      <alignment horizontal="center" vertical="center"/>
    </xf>
    <xf numFmtId="164" fontId="0" fillId="12" borderId="0" xfId="1" applyNumberFormat="1" applyFont="1" applyFill="1" applyBorder="1" applyAlignment="1">
      <alignment horizontal="center" vertical="center"/>
    </xf>
    <xf numFmtId="0" fontId="8" fillId="3" borderId="0" xfId="0" applyFont="1" applyFill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2" fillId="0" borderId="0" xfId="0" applyFont="1"/>
    <xf numFmtId="9" fontId="13" fillId="0" borderId="0" xfId="3" applyFont="1" applyFill="1" applyBorder="1" applyAlignment="1">
      <alignment horizontal="center" wrapText="1"/>
    </xf>
    <xf numFmtId="9" fontId="12" fillId="0" borderId="0" xfId="3" applyFont="1"/>
    <xf numFmtId="164" fontId="12" fillId="0" borderId="0" xfId="1" applyNumberFormat="1" applyFont="1"/>
    <xf numFmtId="44" fontId="12" fillId="0" borderId="0" xfId="2" applyFont="1" applyAlignment="1">
      <alignment horizontal="center"/>
    </xf>
    <xf numFmtId="44" fontId="14" fillId="13" borderId="13" xfId="2" applyFont="1" applyFill="1" applyBorder="1" applyAlignment="1">
      <alignment horizontal="center"/>
    </xf>
    <xf numFmtId="44" fontId="14" fillId="13" borderId="14" xfId="2" applyFont="1" applyFill="1" applyBorder="1" applyAlignment="1">
      <alignment horizontal="center"/>
    </xf>
    <xf numFmtId="0" fontId="14" fillId="13" borderId="14" xfId="0" applyFont="1" applyFill="1" applyBorder="1"/>
    <xf numFmtId="44" fontId="14" fillId="13" borderId="14" xfId="2" applyFont="1" applyFill="1" applyBorder="1" applyAlignment="1"/>
    <xf numFmtId="44" fontId="14" fillId="13" borderId="10" xfId="2" applyFont="1" applyFill="1" applyBorder="1" applyAlignment="1"/>
    <xf numFmtId="0" fontId="15" fillId="0" borderId="13" xfId="0" applyFont="1" applyBorder="1" applyAlignment="1">
      <alignment horizontal="center" vertical="center"/>
    </xf>
    <xf numFmtId="164" fontId="16" fillId="0" borderId="13" xfId="1" applyNumberFormat="1" applyFont="1" applyFill="1" applyBorder="1" applyAlignment="1">
      <alignment horizontal="center" vertical="center"/>
    </xf>
    <xf numFmtId="164" fontId="16" fillId="0" borderId="14" xfId="1" applyNumberFormat="1" applyFont="1" applyFill="1" applyBorder="1" applyAlignment="1">
      <alignment horizontal="center" vertical="center"/>
    </xf>
    <xf numFmtId="164" fontId="16" fillId="0" borderId="10" xfId="1" applyNumberFormat="1" applyFont="1" applyFill="1" applyBorder="1" applyAlignment="1">
      <alignment horizontal="center" vertical="center"/>
    </xf>
    <xf numFmtId="164" fontId="13" fillId="0" borderId="0" xfId="1" applyNumberFormat="1" applyFont="1" applyFill="1" applyBorder="1" applyAlignment="1">
      <alignment wrapText="1"/>
    </xf>
    <xf numFmtId="164" fontId="13" fillId="0" borderId="0" xfId="1" applyNumberFormat="1" applyFont="1" applyFill="1" applyBorder="1" applyAlignment="1">
      <alignment horizontal="center" wrapText="1"/>
    </xf>
    <xf numFmtId="164" fontId="17" fillId="14" borderId="13" xfId="1" applyNumberFormat="1" applyFont="1" applyFill="1" applyBorder="1" applyAlignment="1">
      <alignment horizontal="center" wrapText="1"/>
    </xf>
    <xf numFmtId="164" fontId="17" fillId="14" borderId="14" xfId="1" applyNumberFormat="1" applyFont="1" applyFill="1" applyBorder="1" applyAlignment="1">
      <alignment horizontal="center" wrapText="1"/>
    </xf>
    <xf numFmtId="164" fontId="17" fillId="14" borderId="10" xfId="1" applyNumberFormat="1" applyFont="1" applyFill="1" applyBorder="1" applyAlignment="1">
      <alignment horizontal="center" wrapText="1"/>
    </xf>
    <xf numFmtId="164" fontId="13" fillId="15" borderId="13" xfId="1" applyNumberFormat="1" applyFont="1" applyFill="1" applyBorder="1" applyAlignment="1">
      <alignment horizontal="center" wrapText="1"/>
    </xf>
    <xf numFmtId="164" fontId="13" fillId="15" borderId="14" xfId="1" applyNumberFormat="1" applyFont="1" applyFill="1" applyBorder="1" applyAlignment="1">
      <alignment horizontal="center" wrapText="1"/>
    </xf>
    <xf numFmtId="164" fontId="13" fillId="15" borderId="4" xfId="1" applyNumberFormat="1" applyFont="1" applyFill="1" applyBorder="1" applyAlignment="1">
      <alignment horizontal="center" wrapText="1"/>
    </xf>
    <xf numFmtId="164" fontId="13" fillId="15" borderId="10" xfId="1" applyNumberFormat="1" applyFont="1" applyFill="1" applyBorder="1" applyAlignment="1">
      <alignment horizontal="center" wrapText="1"/>
    </xf>
    <xf numFmtId="0" fontId="12" fillId="0" borderId="3" xfId="0" applyFont="1" applyBorder="1" applyAlignment="1">
      <alignment horizontal="center"/>
    </xf>
    <xf numFmtId="164" fontId="13" fillId="0" borderId="3" xfId="1" applyNumberFormat="1" applyFont="1" applyFill="1" applyBorder="1" applyAlignment="1">
      <alignment horizontal="center" vertical="center"/>
    </xf>
    <xf numFmtId="164" fontId="13" fillId="0" borderId="4" xfId="1" applyNumberFormat="1" applyFont="1" applyFill="1" applyBorder="1" applyAlignment="1">
      <alignment horizontal="center" vertical="center"/>
    </xf>
    <xf numFmtId="164" fontId="13" fillId="0" borderId="5" xfId="1" applyNumberFormat="1" applyFont="1" applyFill="1" applyBorder="1" applyAlignment="1">
      <alignment horizontal="center" vertical="center"/>
    </xf>
    <xf numFmtId="164" fontId="13" fillId="0" borderId="5" xfId="1" applyNumberFormat="1" applyFont="1" applyFill="1" applyBorder="1" applyAlignment="1">
      <alignment vertical="center" wrapText="1"/>
    </xf>
    <xf numFmtId="164" fontId="13" fillId="0" borderId="15" xfId="1" applyNumberFormat="1" applyFont="1" applyFill="1" applyBorder="1" applyAlignment="1">
      <alignment vertical="center" wrapText="1"/>
    </xf>
    <xf numFmtId="164" fontId="13" fillId="0" borderId="15" xfId="1" applyNumberFormat="1" applyFont="1" applyFill="1" applyBorder="1" applyAlignment="1">
      <alignment horizontal="center" vertical="center" wrapText="1"/>
    </xf>
    <xf numFmtId="164" fontId="13" fillId="0" borderId="3" xfId="1" applyNumberFormat="1" applyFont="1" applyFill="1" applyBorder="1" applyAlignment="1">
      <alignment horizontal="center" vertical="center" wrapText="1"/>
    </xf>
    <xf numFmtId="164" fontId="18" fillId="16" borderId="15" xfId="1" applyNumberFormat="1" applyFont="1" applyFill="1" applyBorder="1" applyAlignment="1">
      <alignment horizontal="center" vertical="center" wrapText="1"/>
    </xf>
    <xf numFmtId="164" fontId="18" fillId="16" borderId="5" xfId="1" applyNumberFormat="1" applyFont="1" applyFill="1" applyBorder="1" applyAlignment="1">
      <alignment horizontal="center" vertical="center" wrapText="1"/>
    </xf>
    <xf numFmtId="164" fontId="13" fillId="17" borderId="15" xfId="1" applyNumberFormat="1" applyFont="1" applyFill="1" applyBorder="1" applyAlignment="1">
      <alignment horizontal="center" vertical="center" wrapText="1"/>
    </xf>
    <xf numFmtId="164" fontId="13" fillId="18" borderId="15" xfId="1" applyNumberFormat="1" applyFont="1" applyFill="1" applyBorder="1" applyAlignment="1">
      <alignment vertical="center" wrapText="1"/>
    </xf>
    <xf numFmtId="9" fontId="13" fillId="19" borderId="15" xfId="3" applyFont="1" applyFill="1" applyBorder="1" applyAlignment="1">
      <alignment vertical="center" wrapText="1"/>
    </xf>
    <xf numFmtId="164" fontId="13" fillId="20" borderId="15" xfId="1" applyNumberFormat="1" applyFont="1" applyFill="1" applyBorder="1" applyAlignment="1">
      <alignment horizontal="center" vertical="center" wrapText="1"/>
    </xf>
    <xf numFmtId="164" fontId="13" fillId="20" borderId="15" xfId="1" applyNumberFormat="1" applyFont="1" applyFill="1" applyBorder="1" applyAlignment="1">
      <alignment vertical="center" wrapText="1"/>
    </xf>
    <xf numFmtId="9" fontId="13" fillId="21" borderId="5" xfId="3" applyFont="1" applyFill="1" applyBorder="1" applyAlignment="1">
      <alignment vertical="center" wrapText="1"/>
    </xf>
    <xf numFmtId="9" fontId="13" fillId="21" borderId="15" xfId="3" applyFont="1" applyFill="1" applyBorder="1" applyAlignment="1">
      <alignment vertical="center" wrapText="1"/>
    </xf>
    <xf numFmtId="164" fontId="13" fillId="0" borderId="5" xfId="1" applyNumberFormat="1" applyFont="1" applyFill="1" applyBorder="1" applyAlignment="1">
      <alignment horizontal="center" vertical="center" wrapText="1"/>
    </xf>
    <xf numFmtId="164" fontId="13" fillId="22" borderId="15" xfId="1" applyNumberFormat="1" applyFont="1" applyFill="1" applyBorder="1" applyAlignment="1">
      <alignment horizontal="center" vertical="center" wrapText="1"/>
    </xf>
    <xf numFmtId="164" fontId="13" fillId="22" borderId="3" xfId="1" applyNumberFormat="1" applyFont="1" applyFill="1" applyBorder="1" applyAlignment="1">
      <alignment horizontal="center" vertical="center" wrapText="1"/>
    </xf>
    <xf numFmtId="164" fontId="13" fillId="17" borderId="5" xfId="1" applyNumberFormat="1" applyFont="1" applyFill="1" applyBorder="1" applyAlignment="1">
      <alignment horizontal="center" vertical="center" wrapText="1"/>
    </xf>
    <xf numFmtId="164" fontId="13" fillId="18" borderId="5" xfId="1" applyNumberFormat="1" applyFont="1" applyFill="1" applyBorder="1" applyAlignment="1">
      <alignment vertical="center" wrapText="1"/>
    </xf>
    <xf numFmtId="9" fontId="13" fillId="19" borderId="3" xfId="3" applyFont="1" applyFill="1" applyBorder="1" applyAlignment="1">
      <alignment vertical="center" wrapText="1"/>
    </xf>
    <xf numFmtId="164" fontId="13" fillId="20" borderId="15" xfId="1" applyNumberFormat="1" applyFont="1" applyFill="1" applyBorder="1" applyAlignment="1">
      <alignment wrapText="1"/>
    </xf>
    <xf numFmtId="0" fontId="12" fillId="19" borderId="11" xfId="0" applyFont="1" applyFill="1" applyBorder="1" applyAlignment="1">
      <alignment horizontal="center"/>
    </xf>
    <xf numFmtId="164" fontId="19" fillId="23" borderId="3" xfId="1" applyNumberFormat="1" applyFont="1" applyFill="1" applyBorder="1" applyAlignment="1">
      <alignment horizontal="center" vertical="center"/>
    </xf>
    <xf numFmtId="164" fontId="19" fillId="23" borderId="4" xfId="1" applyNumberFormat="1" applyFont="1" applyFill="1" applyBorder="1" applyAlignment="1">
      <alignment horizontal="center" vertical="center"/>
    </xf>
    <xf numFmtId="164" fontId="19" fillId="23" borderId="5" xfId="1" applyNumberFormat="1" applyFont="1" applyFill="1" applyBorder="1" applyAlignment="1">
      <alignment horizontal="center" vertical="center"/>
    </xf>
    <xf numFmtId="165" fontId="19" fillId="23" borderId="15" xfId="1" applyNumberFormat="1" applyFont="1" applyFill="1" applyBorder="1" applyAlignment="1">
      <alignment horizontal="center" vertical="center"/>
    </xf>
    <xf numFmtId="165" fontId="19" fillId="23" borderId="3" xfId="1" applyNumberFormat="1" applyFont="1" applyFill="1" applyBorder="1" applyAlignment="1">
      <alignment horizontal="center" vertical="center"/>
    </xf>
    <xf numFmtId="165" fontId="19" fillId="23" borderId="4" xfId="1" applyNumberFormat="1" applyFont="1" applyFill="1" applyBorder="1" applyAlignment="1">
      <alignment horizontal="center" vertical="center"/>
    </xf>
    <xf numFmtId="165" fontId="19" fillId="23" borderId="5" xfId="1" applyNumberFormat="1" applyFont="1" applyFill="1" applyBorder="1" applyAlignment="1">
      <alignment horizontal="center" vertical="center"/>
    </xf>
    <xf numFmtId="9" fontId="19" fillId="23" borderId="3" xfId="3" applyFont="1" applyFill="1" applyBorder="1" applyAlignment="1">
      <alignment horizontal="center" vertical="center"/>
    </xf>
    <xf numFmtId="9" fontId="19" fillId="23" borderId="4" xfId="3" applyFont="1" applyFill="1" applyBorder="1" applyAlignment="1">
      <alignment horizontal="center" vertical="center"/>
    </xf>
    <xf numFmtId="9" fontId="19" fillId="23" borderId="5" xfId="3" applyFont="1" applyFill="1" applyBorder="1" applyAlignment="1">
      <alignment horizontal="center" vertical="center"/>
    </xf>
    <xf numFmtId="164" fontId="20" fillId="0" borderId="4" xfId="1" applyNumberFormat="1" applyFont="1" applyFill="1" applyBorder="1" applyAlignment="1">
      <alignment horizontal="center" vertical="center"/>
    </xf>
    <xf numFmtId="0" fontId="1" fillId="0" borderId="4" xfId="0" applyFont="1" applyBorder="1"/>
    <xf numFmtId="164" fontId="19" fillId="23" borderId="15" xfId="1" applyNumberFormat="1" applyFont="1" applyFill="1" applyBorder="1" applyAlignment="1">
      <alignment horizontal="center" vertical="center"/>
    </xf>
    <xf numFmtId="164" fontId="12" fillId="0" borderId="0" xfId="0" applyNumberFormat="1" applyFont="1"/>
    <xf numFmtId="164" fontId="1" fillId="0" borderId="11" xfId="1" applyNumberFormat="1" applyFont="1" applyFill="1" applyBorder="1" applyAlignment="1">
      <alignment horizontal="center"/>
    </xf>
    <xf numFmtId="164" fontId="1" fillId="0" borderId="0" xfId="1" applyNumberFormat="1" applyFont="1" applyFill="1" applyBorder="1" applyAlignment="1">
      <alignment horizontal="center"/>
    </xf>
    <xf numFmtId="164" fontId="1" fillId="0" borderId="12" xfId="1" applyNumberFormat="1" applyFont="1" applyFill="1" applyBorder="1" applyAlignment="1">
      <alignment horizontal="center"/>
    </xf>
    <xf numFmtId="165" fontId="1" fillId="0" borderId="16" xfId="1" applyNumberFormat="1" applyFont="1" applyFill="1" applyBorder="1" applyAlignment="1">
      <alignment horizontal="center"/>
    </xf>
    <xf numFmtId="165" fontId="1" fillId="0" borderId="11" xfId="1" applyNumberFormat="1" applyFont="1" applyFill="1" applyBorder="1" applyAlignment="1">
      <alignment horizontal="center"/>
    </xf>
    <xf numFmtId="165" fontId="1" fillId="0" borderId="0" xfId="1" applyNumberFormat="1" applyFont="1" applyFill="1" applyBorder="1" applyAlignment="1">
      <alignment horizontal="center"/>
    </xf>
    <xf numFmtId="165" fontId="1" fillId="0" borderId="12" xfId="1" applyNumberFormat="1" applyFont="1" applyFill="1" applyBorder="1" applyAlignment="1">
      <alignment horizontal="center"/>
    </xf>
    <xf numFmtId="9" fontId="19" fillId="23" borderId="11" xfId="3" applyFont="1" applyFill="1" applyBorder="1" applyAlignment="1">
      <alignment horizontal="center" vertical="center"/>
    </xf>
    <xf numFmtId="9" fontId="1" fillId="0" borderId="0" xfId="3" applyFont="1" applyFill="1" applyBorder="1" applyAlignment="1">
      <alignment horizontal="center"/>
    </xf>
    <xf numFmtId="9" fontId="1" fillId="0" borderId="12" xfId="3" applyFont="1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0" fontId="1" fillId="0" borderId="0" xfId="0" applyFont="1"/>
    <xf numFmtId="164" fontId="1" fillId="0" borderId="16" xfId="1" applyNumberFormat="1" applyFont="1" applyFill="1" applyBorder="1" applyAlignment="1">
      <alignment horizontal="center"/>
    </xf>
    <xf numFmtId="164" fontId="19" fillId="23" borderId="11" xfId="1" applyNumberFormat="1" applyFont="1" applyFill="1" applyBorder="1" applyAlignment="1">
      <alignment horizontal="center" vertical="center"/>
    </xf>
    <xf numFmtId="164" fontId="19" fillId="23" borderId="0" xfId="1" applyNumberFormat="1" applyFont="1" applyFill="1" applyBorder="1" applyAlignment="1">
      <alignment horizontal="center" vertical="center"/>
    </xf>
    <xf numFmtId="164" fontId="19" fillId="23" borderId="12" xfId="1" applyNumberFormat="1" applyFont="1" applyFill="1" applyBorder="1" applyAlignment="1">
      <alignment horizontal="center" vertical="center"/>
    </xf>
    <xf numFmtId="165" fontId="19" fillId="23" borderId="16" xfId="1" applyNumberFormat="1" applyFont="1" applyFill="1" applyBorder="1" applyAlignment="1">
      <alignment horizontal="center" vertical="center"/>
    </xf>
    <xf numFmtId="165" fontId="19" fillId="23" borderId="11" xfId="1" applyNumberFormat="1" applyFont="1" applyFill="1" applyBorder="1" applyAlignment="1">
      <alignment horizontal="center" vertical="center"/>
    </xf>
    <xf numFmtId="165" fontId="19" fillId="23" borderId="0" xfId="1" applyNumberFormat="1" applyFont="1" applyFill="1" applyBorder="1" applyAlignment="1">
      <alignment horizontal="center" vertical="center"/>
    </xf>
    <xf numFmtId="165" fontId="19" fillId="23" borderId="12" xfId="1" applyNumberFormat="1" applyFont="1" applyFill="1" applyBorder="1" applyAlignment="1">
      <alignment horizontal="center" vertical="center"/>
    </xf>
    <xf numFmtId="9" fontId="19" fillId="23" borderId="0" xfId="3" applyFont="1" applyFill="1" applyBorder="1" applyAlignment="1">
      <alignment horizontal="center" vertical="center"/>
    </xf>
    <xf numFmtId="9" fontId="19" fillId="23" borderId="12" xfId="3" applyFont="1" applyFill="1" applyBorder="1" applyAlignment="1">
      <alignment horizontal="center" vertical="center"/>
    </xf>
    <xf numFmtId="164" fontId="20" fillId="0" borderId="0" xfId="1" applyNumberFormat="1" applyFont="1" applyFill="1" applyBorder="1" applyAlignment="1">
      <alignment horizontal="center" vertical="center"/>
    </xf>
    <xf numFmtId="164" fontId="19" fillId="23" borderId="16" xfId="1" applyNumberFormat="1" applyFont="1" applyFill="1" applyBorder="1" applyAlignment="1">
      <alignment horizontal="center" vertical="center"/>
    </xf>
    <xf numFmtId="0" fontId="14" fillId="24" borderId="13" xfId="0" applyFont="1" applyFill="1" applyBorder="1" applyAlignment="1">
      <alignment horizontal="center"/>
    </xf>
    <xf numFmtId="0" fontId="14" fillId="24" borderId="14" xfId="0" applyFont="1" applyFill="1" applyBorder="1" applyAlignment="1">
      <alignment horizontal="center"/>
    </xf>
    <xf numFmtId="0" fontId="14" fillId="24" borderId="14" xfId="0" applyFont="1" applyFill="1" applyBorder="1"/>
    <xf numFmtId="0" fontId="14" fillId="24" borderId="10" xfId="0" applyFont="1" applyFill="1" applyBorder="1"/>
    <xf numFmtId="164" fontId="13" fillId="0" borderId="13" xfId="1" applyNumberFormat="1" applyFont="1" applyFill="1" applyBorder="1" applyAlignment="1">
      <alignment horizontal="center" vertical="center"/>
    </xf>
    <xf numFmtId="164" fontId="13" fillId="0" borderId="14" xfId="1" applyNumberFormat="1" applyFont="1" applyFill="1" applyBorder="1" applyAlignment="1">
      <alignment horizontal="center" vertical="center"/>
    </xf>
    <xf numFmtId="164" fontId="13" fillId="0" borderId="10" xfId="1" applyNumberFormat="1" applyFont="1" applyFill="1" applyBorder="1" applyAlignment="1">
      <alignment horizontal="center" vertical="center"/>
    </xf>
    <xf numFmtId="164" fontId="13" fillId="0" borderId="10" xfId="1" applyNumberFormat="1" applyFont="1" applyFill="1" applyBorder="1" applyAlignment="1">
      <alignment vertical="center" wrapText="1"/>
    </xf>
    <xf numFmtId="164" fontId="13" fillId="0" borderId="9" xfId="1" applyNumberFormat="1" applyFont="1" applyFill="1" applyBorder="1" applyAlignment="1">
      <alignment vertical="center" wrapText="1"/>
    </xf>
    <xf numFmtId="164" fontId="13" fillId="0" borderId="9" xfId="1" applyNumberFormat="1" applyFont="1" applyFill="1" applyBorder="1" applyAlignment="1">
      <alignment horizontal="center" vertical="center" wrapText="1"/>
    </xf>
    <xf numFmtId="164" fontId="18" fillId="16" borderId="9" xfId="1" applyNumberFormat="1" applyFont="1" applyFill="1" applyBorder="1" applyAlignment="1">
      <alignment horizontal="center" vertical="center" wrapText="1"/>
    </xf>
    <xf numFmtId="164" fontId="18" fillId="16" borderId="10" xfId="1" applyNumberFormat="1" applyFont="1" applyFill="1" applyBorder="1" applyAlignment="1">
      <alignment horizontal="center" vertical="center" wrapText="1"/>
    </xf>
    <xf numFmtId="164" fontId="13" fillId="17" borderId="9" xfId="1" applyNumberFormat="1" applyFont="1" applyFill="1" applyBorder="1" applyAlignment="1">
      <alignment horizontal="center" vertical="center" wrapText="1"/>
    </xf>
    <xf numFmtId="164" fontId="13" fillId="18" borderId="9" xfId="1" applyNumberFormat="1" applyFont="1" applyFill="1" applyBorder="1" applyAlignment="1">
      <alignment vertical="center" wrapText="1"/>
    </xf>
    <xf numFmtId="9" fontId="13" fillId="19" borderId="9" xfId="3" applyFont="1" applyFill="1" applyBorder="1" applyAlignment="1">
      <alignment vertical="center" wrapText="1"/>
    </xf>
    <xf numFmtId="164" fontId="13" fillId="20" borderId="9" xfId="1" applyNumberFormat="1" applyFont="1" applyFill="1" applyBorder="1" applyAlignment="1">
      <alignment horizontal="center" vertical="center" wrapText="1"/>
    </xf>
    <xf numFmtId="164" fontId="13" fillId="20" borderId="9" xfId="1" applyNumberFormat="1" applyFont="1" applyFill="1" applyBorder="1" applyAlignment="1">
      <alignment vertical="center" wrapText="1"/>
    </xf>
    <xf numFmtId="9" fontId="13" fillId="21" borderId="10" xfId="3" applyFont="1" applyFill="1" applyBorder="1" applyAlignment="1">
      <alignment vertical="center" wrapText="1"/>
    </xf>
    <xf numFmtId="9" fontId="13" fillId="21" borderId="9" xfId="3" applyFont="1" applyFill="1" applyBorder="1" applyAlignment="1">
      <alignment vertical="center" wrapText="1"/>
    </xf>
    <xf numFmtId="164" fontId="13" fillId="22" borderId="9" xfId="1" applyNumberFormat="1" applyFont="1" applyFill="1" applyBorder="1" applyAlignment="1">
      <alignment horizontal="center" vertical="center" wrapText="1"/>
    </xf>
    <xf numFmtId="164" fontId="13" fillId="17" borderId="10" xfId="1" applyNumberFormat="1" applyFont="1" applyFill="1" applyBorder="1" applyAlignment="1">
      <alignment horizontal="center" vertical="center" wrapText="1"/>
    </xf>
    <xf numFmtId="9" fontId="13" fillId="19" borderId="13" xfId="3" applyFont="1" applyFill="1" applyBorder="1" applyAlignment="1">
      <alignment vertical="center" wrapText="1"/>
    </xf>
    <xf numFmtId="0" fontId="14" fillId="25" borderId="13" xfId="0" applyFont="1" applyFill="1" applyBorder="1" applyAlignment="1">
      <alignment horizontal="center"/>
    </xf>
    <xf numFmtId="0" fontId="14" fillId="25" borderId="14" xfId="0" applyFont="1" applyFill="1" applyBorder="1" applyAlignment="1">
      <alignment horizontal="center"/>
    </xf>
    <xf numFmtId="0" fontId="14" fillId="25" borderId="14" xfId="0" applyFont="1" applyFill="1" applyBorder="1"/>
    <xf numFmtId="0" fontId="14" fillId="25" borderId="10" xfId="0" applyFont="1" applyFill="1" applyBorder="1"/>
    <xf numFmtId="0" fontId="12" fillId="0" borderId="0" xfId="0" applyFont="1" applyAlignment="1">
      <alignment horizontal="center"/>
    </xf>
    <xf numFmtId="164" fontId="19" fillId="0" borderId="11" xfId="1" applyNumberFormat="1" applyFont="1" applyFill="1" applyBorder="1" applyAlignment="1">
      <alignment horizontal="center" vertical="center"/>
    </xf>
    <xf numFmtId="164" fontId="19" fillId="0" borderId="0" xfId="1" applyNumberFormat="1" applyFont="1" applyFill="1" applyBorder="1" applyAlignment="1">
      <alignment horizontal="center" vertical="center"/>
    </xf>
    <xf numFmtId="165" fontId="19" fillId="0" borderId="0" xfId="1" applyNumberFormat="1" applyFont="1" applyFill="1" applyBorder="1" applyAlignment="1">
      <alignment horizontal="center" vertical="center"/>
    </xf>
    <xf numFmtId="9" fontId="19" fillId="0" borderId="0" xfId="3" applyFont="1" applyFill="1" applyBorder="1" applyAlignment="1">
      <alignment horizontal="center" vertical="center"/>
    </xf>
    <xf numFmtId="164" fontId="19" fillId="0" borderId="12" xfId="1" applyNumberFormat="1" applyFont="1" applyFill="1" applyBorder="1" applyAlignment="1">
      <alignment horizontal="center" vertical="center"/>
    </xf>
    <xf numFmtId="0" fontId="14" fillId="20" borderId="13" xfId="0" applyFont="1" applyFill="1" applyBorder="1" applyAlignment="1">
      <alignment horizontal="center"/>
    </xf>
    <xf numFmtId="0" fontId="14" fillId="20" borderId="14" xfId="0" applyFont="1" applyFill="1" applyBorder="1" applyAlignment="1">
      <alignment horizontal="center"/>
    </xf>
    <xf numFmtId="0" fontId="14" fillId="20" borderId="14" xfId="0" applyFont="1" applyFill="1" applyBorder="1"/>
    <xf numFmtId="0" fontId="14" fillId="20" borderId="10" xfId="0" applyFont="1" applyFill="1" applyBorder="1"/>
    <xf numFmtId="0" fontId="24" fillId="25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2" fillId="4" borderId="17" xfId="0" applyFont="1" applyFill="1" applyBorder="1" applyAlignment="1">
      <alignment horizontal="center" vertical="center"/>
    </xf>
    <xf numFmtId="17" fontId="2" fillId="4" borderId="18" xfId="1" applyNumberFormat="1" applyFont="1" applyFill="1" applyBorder="1" applyAlignment="1">
      <alignment horizontal="center" vertical="center"/>
    </xf>
    <xf numFmtId="17" fontId="2" fillId="4" borderId="15" xfId="1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164" fontId="0" fillId="0" borderId="11" xfId="1" applyNumberFormat="1" applyFont="1" applyFill="1" applyBorder="1"/>
    <xf numFmtId="164" fontId="0" fillId="0" borderId="0" xfId="1" applyNumberFormat="1" applyFont="1" applyFill="1" applyBorder="1"/>
    <xf numFmtId="164" fontId="0" fillId="0" borderId="12" xfId="1" applyNumberFormat="1" applyFont="1" applyFill="1" applyBorder="1"/>
    <xf numFmtId="2" fontId="0" fillId="0" borderId="11" xfId="3" applyNumberFormat="1" applyFont="1" applyBorder="1" applyAlignment="1">
      <alignment horizontal="center" vertical="center"/>
    </xf>
    <xf numFmtId="2" fontId="0" fillId="0" borderId="0" xfId="3" applyNumberFormat="1" applyFont="1" applyBorder="1" applyAlignment="1">
      <alignment horizontal="center" vertical="center"/>
    </xf>
    <xf numFmtId="164" fontId="0" fillId="0" borderId="11" xfId="1" applyNumberFormat="1" applyFont="1" applyFill="1" applyBorder="1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0" fontId="4" fillId="0" borderId="16" xfId="0" applyFont="1" applyBorder="1"/>
    <xf numFmtId="0" fontId="0" fillId="18" borderId="9" xfId="0" applyFill="1" applyBorder="1" applyAlignment="1">
      <alignment horizontal="left" vertical="center"/>
    </xf>
    <xf numFmtId="164" fontId="0" fillId="18" borderId="13" xfId="1" applyNumberFormat="1" applyFont="1" applyFill="1" applyBorder="1" applyAlignment="1">
      <alignment horizontal="center" vertical="center"/>
    </xf>
    <xf numFmtId="164" fontId="0" fillId="18" borderId="14" xfId="1" applyNumberFormat="1" applyFont="1" applyFill="1" applyBorder="1" applyAlignment="1">
      <alignment horizontal="center" vertical="center"/>
    </xf>
    <xf numFmtId="164" fontId="0" fillId="18" borderId="10" xfId="1" applyNumberFormat="1" applyFont="1" applyFill="1" applyBorder="1" applyAlignment="1">
      <alignment horizontal="center" vertical="center"/>
    </xf>
    <xf numFmtId="2" fontId="0" fillId="18" borderId="13" xfId="3" applyNumberFormat="1" applyFont="1" applyFill="1" applyBorder="1" applyAlignment="1">
      <alignment horizontal="center" vertical="center"/>
    </xf>
    <xf numFmtId="2" fontId="0" fillId="18" borderId="14" xfId="3" applyNumberFormat="1" applyFont="1" applyFill="1" applyBorder="1" applyAlignment="1">
      <alignment horizontal="center" vertical="center"/>
    </xf>
    <xf numFmtId="164" fontId="0" fillId="25" borderId="0" xfId="1" applyNumberFormat="1" applyFont="1" applyFill="1" applyBorder="1" applyAlignment="1">
      <alignment horizontal="center" vertical="center"/>
    </xf>
    <xf numFmtId="0" fontId="4" fillId="0" borderId="15" xfId="0" applyFont="1" applyBorder="1"/>
    <xf numFmtId="164" fontId="0" fillId="0" borderId="3" xfId="1" applyNumberFormat="1" applyFont="1" applyFill="1" applyBorder="1" applyAlignment="1">
      <alignment horizontal="center" vertical="center"/>
    </xf>
    <xf numFmtId="164" fontId="0" fillId="0" borderId="4" xfId="1" applyNumberFormat="1" applyFont="1" applyFill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0" fontId="4" fillId="0" borderId="11" xfId="0" applyFont="1" applyBorder="1"/>
    <xf numFmtId="0" fontId="4" fillId="0" borderId="9" xfId="0" applyFont="1" applyBorder="1" applyAlignment="1">
      <alignment horizontal="left"/>
    </xf>
    <xf numFmtId="164" fontId="0" fillId="0" borderId="13" xfId="1" applyNumberFormat="1" applyFont="1" applyBorder="1"/>
    <xf numFmtId="164" fontId="0" fillId="0" borderId="14" xfId="1" applyNumberFormat="1" applyFont="1" applyBorder="1"/>
    <xf numFmtId="164" fontId="0" fillId="0" borderId="10" xfId="1" applyNumberFormat="1" applyFont="1" applyBorder="1"/>
    <xf numFmtId="2" fontId="0" fillId="0" borderId="1" xfId="3" applyNumberFormat="1" applyFont="1" applyBorder="1" applyAlignment="1">
      <alignment horizontal="center" vertical="center"/>
    </xf>
    <xf numFmtId="2" fontId="0" fillId="0" borderId="2" xfId="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sad Panneer Selvam" id="{52DF5096-A5AA-42DA-B9A0-F5F145228958}" userId="S::prasad.selvam@sobharealty.com::7b8a87fb-d222-4398-a68f-c23cee19ee22" providerId="AD"/>
  <person displayName="Ryan Salvador Fernandes" id="{DC3D2F38-6996-4B0A-8D04-12DC08A6F18F}" userId="S::ryan.fernandes@sobharealty.com::8ca270c2-1300-4020-a1e7-6590cd07e7f1" providerId="AD"/>
  <person displayName="Chandana Palakka Veettil" id="{3A1D1896-CC18-44A8-9D31-42061B9926EE}" userId="S::chandana.veettil@sobharealty.com::eef5651c-892e-4286-86d4-0dee5233022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4" dT="2025-09-17T10:37:47.91" personId="{3A1D1896-CC18-44A8-9D31-42061B9926EE}" id="{240B251B-FD53-4BE9-B333-D178D422C144}">
    <text>Unidentified money included</text>
  </threadedComment>
  <threadedComment ref="O4" dT="2025-09-17T10:37:47.91" personId="{3A1D1896-CC18-44A8-9D31-42061B9926EE}" id="{B37C26D9-4EA3-4EFC-B0D8-7114D535C4CB}">
    <text>Unidentified estimated due amount excluded</text>
  </threadedComment>
  <threadedComment ref="AC4" dT="2025-09-17T10:37:47.91" personId="{3A1D1896-CC18-44A8-9D31-42061B9926EE}" id="{833CAF86-9BF4-499C-8FA2-04DB27DF1F77}">
    <text>Unidentified money included</text>
  </threadedComment>
  <threadedComment ref="AD4" dT="2025-09-17T10:37:47.91" personId="{3A1D1896-CC18-44A8-9D31-42061B9926EE}" id="{37AB8F98-6AAD-4BF3-B8A7-A15627A15E91}">
    <text>Unidentified money included</text>
  </threadedComment>
  <threadedComment ref="AE4" dT="2025-09-17T10:37:47.91" personId="{3A1D1896-CC18-44A8-9D31-42061B9926EE}" id="{B0848285-BBFB-4CAF-BF07-4E1B77172515}">
    <text>Unidentified money included</text>
  </threadedComment>
  <threadedComment ref="AF4" dT="2025-09-17T10:37:47.91" personId="{3A1D1896-CC18-44A8-9D31-42061B9926EE}" id="{37620E2B-0614-4F15-829C-E83EF526A996}">
    <text>Unidentified estimated due amount excluded</text>
  </threadedComment>
  <threadedComment ref="AC16" dT="2025-12-04T06:08:23.97" personId="{DC3D2F38-6996-4B0A-8D04-12DC08A6F18F}" id="{E3993A4D-A5D5-40F0-9CC2-EC730588D35E}">
    <text>Crest Grande</text>
  </threadedComment>
  <threadedComment ref="AC16" dT="2025-12-25T08:02:46.95" personId="{3A1D1896-CC18-44A8-9D31-42061B9926EE}" id="{52BBA1E1-2A5C-415B-A2E5-7E51CE19A00F}" parentId="{E3993A4D-A5D5-40F0-9CC2-EC730588D35E}">
    <text>339563784.37</text>
  </threadedComment>
  <threadedComment ref="N20" dT="2025-09-17T10:37:47.91" personId="{3A1D1896-CC18-44A8-9D31-42061B9926EE}" id="{730BDEF5-13B7-49AA-ADA4-BCF3CA911315}">
    <text>Unidentified money included</text>
  </threadedComment>
  <threadedComment ref="O20" dT="2025-09-17T10:37:47.91" personId="{3A1D1896-CC18-44A8-9D31-42061B9926EE}" id="{BA47C73E-F4BF-4FF1-B46E-F9085549CB0B}">
    <text>Unidentified estimated due amount excluded</text>
  </threadedComment>
  <threadedComment ref="AC20" dT="2025-09-17T10:37:47.91" personId="{3A1D1896-CC18-44A8-9D31-42061B9926EE}" id="{285F24B7-A475-45CF-BEEF-20EA72CF383A}">
    <text>Unidentified money included</text>
  </threadedComment>
  <threadedComment ref="AD20" dT="2025-09-17T10:37:47.91" personId="{3A1D1896-CC18-44A8-9D31-42061B9926EE}" id="{090C33C8-2712-4CB6-B387-7EFC07AA6279}">
    <text>Unidentified money included</text>
  </threadedComment>
  <threadedComment ref="AE20" dT="2025-09-17T10:37:47.91" personId="{3A1D1896-CC18-44A8-9D31-42061B9926EE}" id="{ECF39A3D-BE32-4E11-84B3-1721DAF37DD8}">
    <text>Unidentified money included</text>
  </threadedComment>
  <threadedComment ref="AF20" dT="2025-09-17T10:37:47.91" personId="{3A1D1896-CC18-44A8-9D31-42061B9926EE}" id="{18B3A7FD-9359-43FC-821A-CDEAC907737E}">
    <text>Unidentified estimated due amount excluded</text>
  </threadedComment>
  <threadedComment ref="AC21" dT="2026-02-16T10:35:15.86" personId="{52DF5096-A5AA-42DA-B9A0-F5F145228958}" id="{417B10D0-B643-4FAD-90BD-1A6EE0571548}">
    <text>Removed Crest Grande - 224,937,925</text>
  </threadedComment>
  <threadedComment ref="N36" dT="2025-09-17T10:37:47.91" personId="{3A1D1896-CC18-44A8-9D31-42061B9926EE}" id="{51F623E6-8A5C-48F0-BC1D-B36F6ABFF72D}">
    <text>Unidentified money included</text>
  </threadedComment>
  <threadedComment ref="O36" dT="2025-09-17T10:37:47.91" personId="{3A1D1896-CC18-44A8-9D31-42061B9926EE}" id="{9367D874-E099-4BDC-A0DA-45B6C8934244}">
    <text>Unidentified estimated due amount excluded</text>
  </threadedComment>
  <threadedComment ref="AC36" dT="2025-09-17T10:37:47.91" personId="{3A1D1896-CC18-44A8-9D31-42061B9926EE}" id="{27B6F110-217E-4089-8CD4-E78C8A89A516}">
    <text>Unidentified money included</text>
  </threadedComment>
  <threadedComment ref="AD36" dT="2025-09-17T10:37:47.91" personId="{3A1D1896-CC18-44A8-9D31-42061B9926EE}" id="{D7B7AB3C-B5B8-439D-96A4-78F76E8B5236}">
    <text>Unidentified money included</text>
  </threadedComment>
  <threadedComment ref="AE36" dT="2025-09-17T10:37:47.91" personId="{3A1D1896-CC18-44A8-9D31-42061B9926EE}" id="{E93E3C7F-937E-4FD6-B8D9-451310D8C19B}">
    <text>Unidentified money included</text>
  </threadedComment>
  <threadedComment ref="AF36" dT="2025-09-17T10:37:47.91" personId="{3A1D1896-CC18-44A8-9D31-42061B9926EE}" id="{C8864135-DDF0-4A8A-A3B8-8B654CC46411}">
    <text>Unidentified estimated due amount excluded</text>
  </threadedComment>
  <threadedComment ref="AC48" dT="2025-12-04T06:08:23.97" personId="{DC3D2F38-6996-4B0A-8D04-12DC08A6F18F}" id="{6C40182D-79D7-4379-A654-1680230EAB5D}">
    <text>Crest Grande</text>
  </threadedComment>
  <threadedComment ref="N52" dT="2025-09-17T10:37:47.91" personId="{3A1D1896-CC18-44A8-9D31-42061B9926EE}" id="{80ECD0C8-83B8-4241-A68F-CB35D9333095}">
    <text>Unidentified money included</text>
  </threadedComment>
  <threadedComment ref="O52" dT="2025-09-17T10:37:47.91" personId="{3A1D1896-CC18-44A8-9D31-42061B9926EE}" id="{A0EA85E2-DC57-4A31-97C0-3C8104FD4B4E}">
    <text>Unidentified estimated due amount excluded</text>
  </threadedComment>
  <threadedComment ref="AC52" dT="2025-09-17T10:37:47.91" personId="{3A1D1896-CC18-44A8-9D31-42061B9926EE}" id="{77E8DFCC-1EEF-4BED-9789-D9870C31B543}">
    <text>Unidentified money included</text>
  </threadedComment>
  <threadedComment ref="AD52" dT="2025-09-17T10:37:47.91" personId="{3A1D1896-CC18-44A8-9D31-42061B9926EE}" id="{E780AEF5-67FB-48D2-8BC3-31B32A5FA913}">
    <text>Unidentified money included</text>
  </threadedComment>
  <threadedComment ref="AE52" dT="2025-09-17T10:37:47.91" personId="{3A1D1896-CC18-44A8-9D31-42061B9926EE}" id="{FEFA9716-9AF0-487A-AA55-8D547C1A240E}">
    <text>Unidentified money included</text>
  </threadedComment>
  <threadedComment ref="AF52" dT="2025-09-17T10:37:47.91" personId="{3A1D1896-CC18-44A8-9D31-42061B9926EE}" id="{E351C8FF-E6C8-473C-9BDC-CEBCB145FE68}">
    <text>Unidentified estimated due amount excluded</text>
  </threadedComment>
  <threadedComment ref="AC64" dT="2025-12-04T06:08:23.97" personId="{DC3D2F38-6996-4B0A-8D04-12DC08A6F18F}" id="{242F5ED9-3F9C-4990-8D89-9DA4F8B6AC65}">
    <text>Crest Grande</text>
  </threadedComment>
  <threadedComment ref="N68" dT="2025-09-17T10:37:47.91" personId="{3A1D1896-CC18-44A8-9D31-42061B9926EE}" id="{B270EC1E-5419-4A20-B3C1-D85991176FCC}">
    <text>Unidentified money included</text>
  </threadedComment>
  <threadedComment ref="O68" dT="2025-09-17T10:37:47.91" personId="{3A1D1896-CC18-44A8-9D31-42061B9926EE}" id="{A484C746-2E3C-436A-B1F4-3FE08DCBFBCD}">
    <text>Unidentified estimated due amount excluded</text>
  </threadedComment>
  <threadedComment ref="AC68" dT="2025-09-17T10:37:47.91" personId="{3A1D1896-CC18-44A8-9D31-42061B9926EE}" id="{B80D6991-8DAC-4265-90F3-0A7406552392}">
    <text>Unidentified money included</text>
  </threadedComment>
  <threadedComment ref="AD68" dT="2025-09-17T10:37:47.91" personId="{3A1D1896-CC18-44A8-9D31-42061B9926EE}" id="{DD82B6D4-751A-4878-AC0E-1968F7967945}">
    <text>Unidentified money included</text>
  </threadedComment>
  <threadedComment ref="AE68" dT="2025-09-17T10:37:47.91" personId="{3A1D1896-CC18-44A8-9D31-42061B9926EE}" id="{134D40F6-85E9-4EC3-8192-B85853D03646}">
    <text>Unidentified money included</text>
  </threadedComment>
  <threadedComment ref="AF68" dT="2025-09-17T10:37:47.91" personId="{3A1D1896-CC18-44A8-9D31-42061B9926EE}" id="{8AB49CFD-CFEA-41A8-B3B2-DC97B5104CE0}">
    <text>Unidentified estimated due amount excluded</text>
  </threadedComment>
  <threadedComment ref="N84" dT="2025-09-17T10:37:47.91" personId="{3A1D1896-CC18-44A8-9D31-42061B9926EE}" id="{F194D9BC-EAA4-4219-870F-7DF36AF98B42}">
    <text>Unidentified money included</text>
  </threadedComment>
  <threadedComment ref="O84" dT="2025-09-17T10:37:47.91" personId="{3A1D1896-CC18-44A8-9D31-42061B9926EE}" id="{7A61FFBF-E114-4BF0-9A07-C53E782F1CF2}">
    <text>Unidentified estimated due amount excluded</text>
  </threadedComment>
  <threadedComment ref="AC84" dT="2025-09-17T10:37:47.91" personId="{3A1D1896-CC18-44A8-9D31-42061B9926EE}" id="{A99E6FEA-E96F-46C8-AA69-6AE330E56ACE}">
    <text>Unidentified money included</text>
  </threadedComment>
  <threadedComment ref="AD84" dT="2025-09-17T10:37:47.91" personId="{3A1D1896-CC18-44A8-9D31-42061B9926EE}" id="{858C061C-E8CB-4ADF-9C28-254530C3A264}">
    <text>Unidentified money included</text>
  </threadedComment>
  <threadedComment ref="AE84" dT="2025-09-17T10:37:47.91" personId="{3A1D1896-CC18-44A8-9D31-42061B9926EE}" id="{44CA2A13-6BEB-4273-BC39-706F636B9D72}">
    <text>Unidentified money included</text>
  </threadedComment>
  <threadedComment ref="AF84" dT="2025-09-17T10:37:47.91" personId="{3A1D1896-CC18-44A8-9D31-42061B9926EE}" id="{1617166C-E2B7-4B7E-8818-3BF83869E43E}">
    <text>Unidentified estimated due amount excluded</text>
  </threadedComment>
  <threadedComment ref="N100" dT="2025-09-17T10:37:47.91" personId="{3A1D1896-CC18-44A8-9D31-42061B9926EE}" id="{AC8CDAD7-1011-466D-BF30-30F61DC1455E}">
    <text>Unidentified money included</text>
  </threadedComment>
  <threadedComment ref="O100" dT="2025-09-17T10:37:47.91" personId="{3A1D1896-CC18-44A8-9D31-42061B9926EE}" id="{61B3D206-C626-446F-B673-79EF7EFF1D54}">
    <text>Unidentified estimated due amount excluded</text>
  </threadedComment>
  <threadedComment ref="AC100" dT="2025-09-17T10:37:47.91" personId="{3A1D1896-CC18-44A8-9D31-42061B9926EE}" id="{BB62731E-09BE-4CCB-B560-0943C259EEC4}">
    <text>Unidentified money included</text>
  </threadedComment>
  <threadedComment ref="AD100" dT="2025-09-17T10:37:47.91" personId="{3A1D1896-CC18-44A8-9D31-42061B9926EE}" id="{52BF7E04-8AE0-4077-8D39-D5EBF5814047}">
    <text>Unidentified money included</text>
  </threadedComment>
  <threadedComment ref="AE100" dT="2025-09-17T10:37:47.91" personId="{3A1D1896-CC18-44A8-9D31-42061B9926EE}" id="{36A3B0E2-38BD-467E-9C2F-110A0AF75434}">
    <text>Unidentified money included</text>
  </threadedComment>
  <threadedComment ref="AF100" dT="2025-09-17T10:37:47.91" personId="{3A1D1896-CC18-44A8-9D31-42061B9926EE}" id="{0E160959-50B7-4CC1-B5CD-F785B7ECA144}">
    <text>Unidentified estimated due amount excluded</text>
  </threadedComment>
  <threadedComment ref="N116" dT="2025-09-17T10:37:47.91" personId="{3A1D1896-CC18-44A8-9D31-42061B9926EE}" id="{F4D1A64D-2044-46FC-BD4D-456B08CA0F67}">
    <text>Unidentified money included</text>
  </threadedComment>
  <threadedComment ref="O116" dT="2025-09-17T10:37:47.91" personId="{3A1D1896-CC18-44A8-9D31-42061B9926EE}" id="{4CD22BD3-FF32-448B-B77B-BF6C82959A9E}">
    <text>Unidentified estimated due amount excluded</text>
  </threadedComment>
  <threadedComment ref="AC116" dT="2025-09-17T10:37:47.91" personId="{3A1D1896-CC18-44A8-9D31-42061B9926EE}" id="{057F22B9-5F1C-4F99-B768-01F07B03F6FE}">
    <text>Unidentified money included</text>
  </threadedComment>
  <threadedComment ref="AD116" dT="2025-09-17T10:37:47.91" personId="{3A1D1896-CC18-44A8-9D31-42061B9926EE}" id="{2EEFB6E7-807E-4522-916F-9888177F4A57}">
    <text>Unidentified money included</text>
  </threadedComment>
  <threadedComment ref="AE116" dT="2025-09-17T10:37:47.91" personId="{3A1D1896-CC18-44A8-9D31-42061B9926EE}" id="{DEEDF58B-61B8-4E89-B863-64844A89553B}">
    <text>Unidentified money included</text>
  </threadedComment>
  <threadedComment ref="AF116" dT="2025-09-17T10:37:47.91" personId="{3A1D1896-CC18-44A8-9D31-42061B9926EE}" id="{769181C9-F290-472F-A015-EB5C137B23C6}">
    <text>Unidentified estimated due amount excluded</text>
  </threadedComment>
  <threadedComment ref="N132" dT="2025-09-17T10:37:47.91" personId="{3A1D1896-CC18-44A8-9D31-42061B9926EE}" id="{64507C5C-6E4A-4087-8CBB-CBCC46E0631A}">
    <text>Unidentified money included</text>
  </threadedComment>
  <threadedComment ref="O132" dT="2025-09-17T10:37:47.91" personId="{3A1D1896-CC18-44A8-9D31-42061B9926EE}" id="{C7BE4D34-2F79-4D2A-BFA5-6B0FBCBCA817}">
    <text>Unidentified estimated due amount excluded</text>
  </threadedComment>
  <threadedComment ref="AC132" dT="2025-09-17T10:37:47.91" personId="{3A1D1896-CC18-44A8-9D31-42061B9926EE}" id="{B4D3DADA-BF75-4012-B460-7E662A9D56D3}">
    <text>Unidentified money included</text>
  </threadedComment>
  <threadedComment ref="AD132" dT="2025-09-17T10:37:47.91" personId="{3A1D1896-CC18-44A8-9D31-42061B9926EE}" id="{B0C6DBE2-C4D2-4318-BB06-E94F69B4FD69}">
    <text>Unidentified money included</text>
  </threadedComment>
  <threadedComment ref="AE132" dT="2025-09-17T10:37:47.91" personId="{3A1D1896-CC18-44A8-9D31-42061B9926EE}" id="{7D2C1C4C-B826-4DE0-96C2-945BED1E35D8}">
    <text>Unidentified money included</text>
  </threadedComment>
  <threadedComment ref="AF132" dT="2025-09-17T10:37:47.91" personId="{3A1D1896-CC18-44A8-9D31-42061B9926EE}" id="{3ADFC56F-190C-45F8-B944-6126E8CC5417}">
    <text>Unidentified estimated due amount excluded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5-10-08T12:07:29.25" personId="{3A1D1896-CC18-44A8-9D31-42061B9926EE}" id="{75A3001D-6128-4FA4-B14C-A0D0F0BDAF10}">
    <text>6448593.5599978</text>
  </threadedComment>
  <threadedComment ref="C4" dT="2025-10-08T12:08:08.15" personId="{3A1D1896-CC18-44A8-9D31-42061B9926EE}" id="{6D05CF63-4B57-4119-B289-596ED0F69467}">
    <text xml:space="preserve">0
</text>
  </threadedComment>
  <threadedComment ref="Z4" dT="2025-10-08T12:09:23.65" personId="{3A1D1896-CC18-44A8-9D31-42061B9926EE}" id="{AB94A718-73AA-44D0-BF98-8DDCB439C53B}">
    <text>135895.59</text>
  </threadedComment>
  <threadedComment ref="AA4" dT="2025-10-08T12:09:27.66" personId="{3A1D1896-CC18-44A8-9D31-42061B9926EE}" id="{15201936-A23F-4565-A271-F0E59EF8AEF1}">
    <text>135895.59</text>
  </threadedComment>
  <threadedComment ref="AA15" dT="2025-10-01T11:13:52.29" personId="{3A1D1896-CC18-44A8-9D31-42061B9926EE}" id="{C6DAAF51-FE04-4198-89A7-F843DD4E3B1C}">
    <text>327926617.53</text>
  </threadedComment>
  <threadedComment ref="CB15" dT="2025-09-30T11:57:37.66" personId="{3A1D1896-CC18-44A8-9D31-42061B9926EE}" id="{5016325D-0C8E-4B89-B944-B91682CD9AEE}">
    <text>Waves opulence MS changed from Sep to March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B4D8-B228-4382-BCEF-B561D86FF5EC}">
  <sheetPr>
    <tabColor rgb="FFFF0000"/>
    <pageSetUpPr fitToPage="1"/>
  </sheetPr>
  <dimension ref="A1:AO208"/>
  <sheetViews>
    <sheetView tabSelected="1" zoomScale="70" zoomScaleNormal="70" workbookViewId="0"/>
  </sheetViews>
  <sheetFormatPr defaultRowHeight="15" x14ac:dyDescent="0.25"/>
  <cols>
    <col min="1" max="1" width="12.42578125" bestFit="1" customWidth="1"/>
    <col min="2" max="2" width="22.5703125" customWidth="1"/>
    <col min="3" max="3" width="22.85546875" bestFit="1" customWidth="1"/>
    <col min="4" max="4" width="21.140625" bestFit="1" customWidth="1"/>
    <col min="5" max="5" width="22.42578125" bestFit="1" customWidth="1"/>
    <col min="6" max="6" width="22.85546875" bestFit="1" customWidth="1"/>
    <col min="7" max="7" width="22.42578125" bestFit="1" customWidth="1"/>
    <col min="8" max="8" width="18.140625" bestFit="1" customWidth="1"/>
    <col min="9" max="9" width="20.5703125" bestFit="1" customWidth="1"/>
    <col min="10" max="10" width="24" bestFit="1" customWidth="1"/>
    <col min="11" max="11" width="22.85546875" bestFit="1" customWidth="1"/>
    <col min="12" max="12" width="23" bestFit="1" customWidth="1"/>
    <col min="13" max="13" width="1" customWidth="1"/>
    <col min="14" max="14" width="19.5703125" bestFit="1" customWidth="1"/>
    <col min="15" max="15" width="20.28515625" bestFit="1" customWidth="1"/>
    <col min="16" max="17" width="17.28515625" bestFit="1" customWidth="1"/>
    <col min="18" max="18" width="19.7109375" hidden="1" customWidth="1"/>
    <col min="19" max="19" width="18.140625" hidden="1" customWidth="1"/>
    <col min="20" max="20" width="18.5703125" hidden="1" customWidth="1"/>
    <col min="21" max="21" width="15" hidden="1" customWidth="1"/>
    <col min="22" max="22" width="18.5703125" hidden="1" customWidth="1"/>
    <col min="23" max="23" width="32.85546875" hidden="1" customWidth="1"/>
    <col min="24" max="24" width="22" hidden="1" customWidth="1"/>
    <col min="25" max="25" width="18.140625" hidden="1" customWidth="1"/>
    <col min="26" max="26" width="20.5703125" hidden="1" customWidth="1"/>
    <col min="27" max="27" width="24" hidden="1" customWidth="1"/>
    <col min="28" max="28" width="21.5703125" hidden="1" customWidth="1"/>
    <col min="29" max="29" width="23" hidden="1" customWidth="1"/>
    <col min="30" max="30" width="15.28515625" hidden="1" customWidth="1"/>
    <col min="31" max="31" width="18.140625" hidden="1" customWidth="1"/>
    <col min="32" max="32" width="23.5703125" hidden="1" customWidth="1"/>
    <col min="33" max="34" width="23.140625" hidden="1" customWidth="1"/>
    <col min="35" max="35" width="23.5703125" hidden="1" customWidth="1"/>
    <col min="36" max="36" width="22.85546875" hidden="1" customWidth="1"/>
    <col min="37" max="37" width="19.28515625" hidden="1" customWidth="1"/>
    <col min="38" max="38" width="20.5703125" hidden="1" customWidth="1"/>
    <col min="39" max="39" width="24.85546875" hidden="1" customWidth="1"/>
    <col min="40" max="40" width="22.85546875" hidden="1" customWidth="1"/>
    <col min="41" max="41" width="23" hidden="1" customWidth="1"/>
    <col min="42" max="5801" width="15.28515625" bestFit="1" customWidth="1"/>
    <col min="5802" max="5802" width="10.7109375" bestFit="1" customWidth="1"/>
  </cols>
  <sheetData>
    <row r="1" spans="1:41" ht="18.75" x14ac:dyDescent="0.3">
      <c r="A1" s="1" t="s">
        <v>0</v>
      </c>
      <c r="B1" s="1" t="s">
        <v>1</v>
      </c>
    </row>
    <row r="2" spans="1:41" ht="18.75" x14ac:dyDescent="0.3">
      <c r="A2" s="2"/>
      <c r="B2" s="1" t="s">
        <v>2</v>
      </c>
      <c r="N2" s="3">
        <v>46148</v>
      </c>
    </row>
    <row r="3" spans="1:41" ht="18.75" x14ac:dyDescent="0.3">
      <c r="A3" s="2"/>
      <c r="B3" s="1" t="s">
        <v>3</v>
      </c>
    </row>
    <row r="4" spans="1:41" ht="23.25" x14ac:dyDescent="0.25">
      <c r="S4" s="4" t="s">
        <v>4</v>
      </c>
      <c r="T4" s="4"/>
      <c r="U4" s="4"/>
      <c r="V4" s="4"/>
      <c r="W4" s="4"/>
      <c r="X4" s="4"/>
      <c r="Y4" s="4"/>
      <c r="Z4" s="4"/>
      <c r="AA4" s="4"/>
      <c r="AB4" s="4"/>
      <c r="AC4" s="4"/>
      <c r="AE4" s="4" t="s">
        <v>5</v>
      </c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25.15" customHeight="1" thickBot="1" x14ac:dyDescent="0.4">
      <c r="A5" s="3"/>
      <c r="B5" s="5" t="str">
        <f ca="1">_xlfn.CONCAT("Summary as on-",TEXT(N2,"DD/MM/YYYY"))</f>
        <v>Summary as on-06/05/2026</v>
      </c>
      <c r="C5" s="6"/>
      <c r="D5" s="6"/>
      <c r="E5" s="6"/>
      <c r="F5" s="6"/>
      <c r="G5" s="6"/>
      <c r="H5" s="6"/>
      <c r="I5" s="6"/>
      <c r="J5" s="6"/>
      <c r="K5" s="6"/>
      <c r="L5" s="6"/>
      <c r="S5" s="5" t="str">
        <f ca="1">B5</f>
        <v>Summary as on-06/05/2026</v>
      </c>
      <c r="T5" s="6"/>
      <c r="U5" s="6"/>
      <c r="V5" s="6"/>
      <c r="W5" s="6"/>
      <c r="X5" s="6"/>
      <c r="Y5" s="6"/>
      <c r="Z5" s="6"/>
      <c r="AA5" s="6"/>
      <c r="AB5" s="6"/>
      <c r="AC5" s="6"/>
      <c r="AE5" s="5" t="str">
        <f ca="1">CONCATENATE("Summary as on-",TEXT(TODAY()-3,"dd/mm/yyyy"))</f>
        <v>Summary as on-05/05/2026</v>
      </c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1" ht="36.6" customHeight="1" x14ac:dyDescent="0.25">
      <c r="B6" s="7" t="s">
        <v>6</v>
      </c>
      <c r="C6" s="8" t="s">
        <v>7</v>
      </c>
      <c r="D6" s="8" t="s">
        <v>8</v>
      </c>
      <c r="E6" s="8" t="s">
        <v>9</v>
      </c>
      <c r="F6" s="9" t="s">
        <v>10</v>
      </c>
      <c r="G6" s="8" t="s">
        <v>11</v>
      </c>
      <c r="H6" s="8" t="s">
        <v>12</v>
      </c>
      <c r="I6" s="8" t="s">
        <v>13</v>
      </c>
      <c r="J6" s="10" t="s">
        <v>14</v>
      </c>
      <c r="K6" s="11" t="s">
        <v>15</v>
      </c>
      <c r="L6" s="12" t="s">
        <v>16</v>
      </c>
      <c r="S6" s="7" t="s">
        <v>6</v>
      </c>
      <c r="T6" s="8" t="s">
        <v>7</v>
      </c>
      <c r="U6" s="8" t="s">
        <v>8</v>
      </c>
      <c r="V6" s="8" t="s">
        <v>9</v>
      </c>
      <c r="W6" s="9" t="s">
        <v>10</v>
      </c>
      <c r="X6" s="8" t="s">
        <v>11</v>
      </c>
      <c r="Y6" s="8" t="s">
        <v>12</v>
      </c>
      <c r="Z6" s="8" t="s">
        <v>13</v>
      </c>
      <c r="AA6" s="10" t="s">
        <v>14</v>
      </c>
      <c r="AB6" s="11" t="s">
        <v>15</v>
      </c>
      <c r="AC6" s="12" t="s">
        <v>16</v>
      </c>
      <c r="AE6" s="7" t="s">
        <v>6</v>
      </c>
      <c r="AF6" s="8" t="s">
        <v>7</v>
      </c>
      <c r="AG6" s="8" t="s">
        <v>8</v>
      </c>
      <c r="AH6" s="8" t="s">
        <v>9</v>
      </c>
      <c r="AI6" s="9" t="s">
        <v>10</v>
      </c>
      <c r="AJ6" s="8" t="s">
        <v>11</v>
      </c>
      <c r="AK6" s="8" t="s">
        <v>12</v>
      </c>
      <c r="AL6" s="8" t="s">
        <v>13</v>
      </c>
      <c r="AM6" s="10" t="s">
        <v>14</v>
      </c>
      <c r="AN6" s="11" t="s">
        <v>15</v>
      </c>
      <c r="AO6" s="12" t="s">
        <v>16</v>
      </c>
    </row>
    <row r="7" spans="1:41" ht="15.75" thickBot="1" x14ac:dyDescent="0.3">
      <c r="A7" s="3">
        <v>44196</v>
      </c>
      <c r="B7" s="13" t="s">
        <v>17</v>
      </c>
      <c r="C7" s="14">
        <f ca="1">SUM(D7:E7)</f>
        <v>1771642300.650001</v>
      </c>
      <c r="D7" s="14">
        <v>64288549</v>
      </c>
      <c r="E7" s="14">
        <v>1707353751.650001</v>
      </c>
      <c r="F7" s="14">
        <v>1274263635</v>
      </c>
      <c r="G7" s="14">
        <v>431100953</v>
      </c>
      <c r="H7" s="14">
        <v>1989377</v>
      </c>
      <c r="I7" s="14">
        <f ca="1">C7-E7-D7</f>
        <v>0</v>
      </c>
      <c r="J7" s="14">
        <v>334031145.55999988</v>
      </c>
      <c r="K7" s="15">
        <v>940232489.44000006</v>
      </c>
      <c r="L7" s="15">
        <f t="shared" ref="L7:L23" ca="1" si="0">C7-E7-D7</f>
        <v>0</v>
      </c>
      <c r="M7" s="16"/>
      <c r="N7" s="17" t="str">
        <f ca="1">_xlfn.CONCAT("Values as on ",TEXT(N2,"dd-mm-yyyy"))</f>
        <v>Values as on 06-05-2026</v>
      </c>
      <c r="O7" s="17"/>
      <c r="S7" s="18" t="s">
        <v>17</v>
      </c>
      <c r="T7" s="19">
        <f ca="1">C7-AF7</f>
        <v>0</v>
      </c>
      <c r="U7" s="19">
        <f t="shared" ref="U7:AC43" ca="1" si="1">D7-AG7</f>
        <v>0</v>
      </c>
      <c r="V7" s="19">
        <f t="shared" ca="1" si="1"/>
        <v>0</v>
      </c>
      <c r="W7" s="19">
        <f t="shared" ca="1" si="1"/>
        <v>-322590</v>
      </c>
      <c r="X7" s="19">
        <f t="shared" ca="1" si="1"/>
        <v>322593</v>
      </c>
      <c r="Y7" s="19">
        <f t="shared" ca="1" si="1"/>
        <v>0</v>
      </c>
      <c r="Z7" s="19">
        <f t="shared" ca="1" si="1"/>
        <v>0</v>
      </c>
      <c r="AA7" s="19">
        <f t="shared" ca="1" si="1"/>
        <v>-98.779999971389771</v>
      </c>
      <c r="AB7" s="20">
        <f t="shared" ca="1" si="1"/>
        <v>-322491.21999979019</v>
      </c>
      <c r="AC7" s="20">
        <f t="shared" ca="1" si="1"/>
        <v>0</v>
      </c>
      <c r="AD7" s="16"/>
      <c r="AE7" s="13" t="s">
        <v>17</v>
      </c>
      <c r="AF7" s="14">
        <v>1771642300.650001</v>
      </c>
      <c r="AG7" s="14">
        <v>64288549</v>
      </c>
      <c r="AH7" s="14">
        <v>1707353751.650001</v>
      </c>
      <c r="AI7" s="14">
        <v>1274586225</v>
      </c>
      <c r="AJ7" s="14">
        <v>430778360</v>
      </c>
      <c r="AK7" s="14">
        <v>1989377</v>
      </c>
      <c r="AL7" s="14">
        <v>0</v>
      </c>
      <c r="AM7" s="14">
        <v>334031244.33999985</v>
      </c>
      <c r="AN7" s="15">
        <v>940554980.65999985</v>
      </c>
      <c r="AO7" s="15">
        <v>0</v>
      </c>
    </row>
    <row r="8" spans="1:41" ht="15.75" thickBot="1" x14ac:dyDescent="0.3">
      <c r="A8" s="3">
        <v>44561</v>
      </c>
      <c r="B8" s="13" t="s">
        <v>18</v>
      </c>
      <c r="C8" s="14">
        <v>1698298327</v>
      </c>
      <c r="D8" s="14">
        <v>130078450</v>
      </c>
      <c r="E8" s="14">
        <v>1566454545.9000003</v>
      </c>
      <c r="F8" s="14">
        <v>866125495</v>
      </c>
      <c r="G8" s="14">
        <v>699134658</v>
      </c>
      <c r="H8" s="14">
        <v>1194387</v>
      </c>
      <c r="I8" s="14">
        <f ca="1">C8-E8-D8</f>
        <v>1765331.0999996662</v>
      </c>
      <c r="J8" s="14">
        <v>217683374.13000035</v>
      </c>
      <c r="K8" s="15">
        <v>648442120.87000108</v>
      </c>
      <c r="L8" s="15">
        <f t="shared" ca="1" si="0"/>
        <v>1765331.0999996662</v>
      </c>
      <c r="M8" s="16"/>
      <c r="N8" s="21" t="s">
        <v>19</v>
      </c>
      <c r="O8" s="22">
        <v>230976698.08628002</v>
      </c>
      <c r="P8">
        <v>1168569854.3364995</v>
      </c>
      <c r="Q8" s="16">
        <f ca="1">P8-O8</f>
        <v>937593156.25021946</v>
      </c>
      <c r="S8" s="18" t="s">
        <v>18</v>
      </c>
      <c r="T8" s="19">
        <f t="shared" ref="T8:W43" ca="1" si="2">C8-AF8</f>
        <v>0</v>
      </c>
      <c r="U8" s="19">
        <f t="shared" ca="1" si="1"/>
        <v>0</v>
      </c>
      <c r="V8" s="19">
        <f t="shared" ca="1" si="1"/>
        <v>0</v>
      </c>
      <c r="W8" s="19">
        <f t="shared" ca="1" si="1"/>
        <v>-276</v>
      </c>
      <c r="X8" s="19">
        <f t="shared" ca="1" si="1"/>
        <v>277</v>
      </c>
      <c r="Y8" s="19">
        <f t="shared" ca="1" si="1"/>
        <v>0</v>
      </c>
      <c r="Z8" s="19">
        <f t="shared" ca="1" si="1"/>
        <v>0</v>
      </c>
      <c r="AA8" s="19">
        <f t="shared" ca="1" si="1"/>
        <v>2559.6599999964237</v>
      </c>
      <c r="AB8" s="20">
        <f t="shared" ca="1" si="1"/>
        <v>-2835.6599999666214</v>
      </c>
      <c r="AC8" s="20">
        <f t="shared" ca="1" si="1"/>
        <v>0</v>
      </c>
      <c r="AD8" s="16"/>
      <c r="AE8" s="13" t="s">
        <v>18</v>
      </c>
      <c r="AF8" s="14">
        <v>1698298327</v>
      </c>
      <c r="AG8" s="14">
        <v>130078450</v>
      </c>
      <c r="AH8" s="14">
        <v>1566454545.9000003</v>
      </c>
      <c r="AI8" s="14">
        <v>866125771</v>
      </c>
      <c r="AJ8" s="14">
        <v>699134381</v>
      </c>
      <c r="AK8" s="14">
        <v>1194387</v>
      </c>
      <c r="AL8" s="14">
        <v>1765331.0999996662</v>
      </c>
      <c r="AM8" s="14">
        <v>217680814.47000036</v>
      </c>
      <c r="AN8" s="15">
        <v>648444956.53000104</v>
      </c>
      <c r="AO8" s="15">
        <v>1765331.0999996662</v>
      </c>
    </row>
    <row r="9" spans="1:41" ht="15.75" thickBot="1" x14ac:dyDescent="0.3">
      <c r="A9" s="3">
        <f ca="1">EOMONTH(A8,12)</f>
        <v>44926</v>
      </c>
      <c r="B9" s="13" t="s">
        <v>20</v>
      </c>
      <c r="C9" s="14">
        <v>4272715411</v>
      </c>
      <c r="D9" s="14">
        <v>407978084</v>
      </c>
      <c r="E9" s="14">
        <v>3859644502.6600132</v>
      </c>
      <c r="F9" s="14">
        <v>2498323296</v>
      </c>
      <c r="G9" s="14">
        <v>1357599331</v>
      </c>
      <c r="H9" s="14">
        <v>3722293</v>
      </c>
      <c r="I9" s="14">
        <f ca="1">C9-E9-D9</f>
        <v>5092824.3399868011</v>
      </c>
      <c r="J9" s="14">
        <v>815001443.19000232</v>
      </c>
      <c r="K9" s="15">
        <v>1683321852.810009</v>
      </c>
      <c r="L9" s="15">
        <f t="shared" ca="1" si="0"/>
        <v>5092824.3399868011</v>
      </c>
      <c r="M9" s="16"/>
      <c r="N9" s="21" t="s">
        <v>21</v>
      </c>
      <c r="O9" s="22">
        <v>28868667.659999996</v>
      </c>
      <c r="P9" s="23">
        <v>178805933.16000003</v>
      </c>
      <c r="Q9" s="16">
        <f ca="1">P9-O9</f>
        <v>149937265.50000003</v>
      </c>
      <c r="S9" s="18" t="s">
        <v>20</v>
      </c>
      <c r="T9" s="19">
        <f t="shared" ca="1" si="2"/>
        <v>0</v>
      </c>
      <c r="U9" s="19">
        <f t="shared" ca="1" si="1"/>
        <v>0</v>
      </c>
      <c r="V9" s="19">
        <f t="shared" ca="1" si="1"/>
        <v>0</v>
      </c>
      <c r="W9" s="19">
        <f t="shared" ca="1" si="1"/>
        <v>-13731</v>
      </c>
      <c r="X9" s="19">
        <f t="shared" ca="1" si="1"/>
        <v>13756</v>
      </c>
      <c r="Y9" s="19">
        <f t="shared" ca="1" si="1"/>
        <v>0</v>
      </c>
      <c r="Z9" s="19">
        <f t="shared" ca="1" si="1"/>
        <v>0</v>
      </c>
      <c r="AA9" s="19">
        <f t="shared" ca="1" si="1"/>
        <v>-11567.820000052452</v>
      </c>
      <c r="AB9" s="20">
        <f t="shared" ca="1" si="1"/>
        <v>-2163.1799998283386</v>
      </c>
      <c r="AC9" s="20">
        <f t="shared" ca="1" si="1"/>
        <v>0</v>
      </c>
      <c r="AD9" s="16"/>
      <c r="AE9" s="13" t="s">
        <v>20</v>
      </c>
      <c r="AF9" s="14">
        <v>4272715411</v>
      </c>
      <c r="AG9" s="14">
        <v>407978084</v>
      </c>
      <c r="AH9" s="14">
        <v>3859644502.6600132</v>
      </c>
      <c r="AI9" s="14">
        <v>2498337027</v>
      </c>
      <c r="AJ9" s="14">
        <v>1357585575</v>
      </c>
      <c r="AK9" s="14">
        <v>3722293</v>
      </c>
      <c r="AL9" s="14">
        <v>5092824.3399868011</v>
      </c>
      <c r="AM9" s="14">
        <v>815013011.01000237</v>
      </c>
      <c r="AN9" s="15">
        <v>1683324015.9900088</v>
      </c>
      <c r="AO9" s="15">
        <v>5092824.3399868011</v>
      </c>
    </row>
    <row r="10" spans="1:41" ht="15.75" thickBot="1" x14ac:dyDescent="0.3">
      <c r="A10" s="3">
        <f ca="1">EOMONTH(A9,12)</f>
        <v>45291</v>
      </c>
      <c r="B10" s="13" t="s">
        <v>22</v>
      </c>
      <c r="C10" s="14">
        <v>7825770561</v>
      </c>
      <c r="D10" s="14">
        <v>637652517</v>
      </c>
      <c r="E10" s="14">
        <v>7173179540.6599855</v>
      </c>
      <c r="F10" s="14">
        <v>4692684807</v>
      </c>
      <c r="G10" s="14">
        <v>2467593381</v>
      </c>
      <c r="H10" s="14">
        <v>12901651</v>
      </c>
      <c r="I10" s="14">
        <f ca="1">C10-E10-D10</f>
        <v>14938503.340014458</v>
      </c>
      <c r="J10" s="14">
        <v>964263867.2999959</v>
      </c>
      <c r="K10" s="15">
        <v>3728420939.6999974</v>
      </c>
      <c r="L10" s="15">
        <f t="shared" ca="1" si="0"/>
        <v>14938503.340014458</v>
      </c>
      <c r="M10" s="16"/>
      <c r="N10" s="21" t="s">
        <v>23</v>
      </c>
      <c r="O10" s="24">
        <v>5891203.9900000002</v>
      </c>
      <c r="P10" s="23">
        <v>20322590.819999993</v>
      </c>
      <c r="Q10" s="16">
        <f ca="1">P10-O10</f>
        <v>14431386.829999993</v>
      </c>
      <c r="S10" s="18" t="s">
        <v>22</v>
      </c>
      <c r="T10" s="19">
        <f t="shared" ca="1" si="2"/>
        <v>0</v>
      </c>
      <c r="U10" s="19">
        <f t="shared" ca="1" si="1"/>
        <v>0</v>
      </c>
      <c r="V10" s="19">
        <f t="shared" ca="1" si="1"/>
        <v>0</v>
      </c>
      <c r="W10" s="19">
        <f t="shared" ca="1" si="1"/>
        <v>-338716</v>
      </c>
      <c r="X10" s="19">
        <f t="shared" ca="1" si="1"/>
        <v>338717</v>
      </c>
      <c r="Y10" s="19">
        <f t="shared" ca="1" si="1"/>
        <v>0</v>
      </c>
      <c r="Z10" s="19">
        <f t="shared" ca="1" si="1"/>
        <v>0</v>
      </c>
      <c r="AA10" s="19">
        <f t="shared" ca="1" si="1"/>
        <v>-15880.520000338554</v>
      </c>
      <c r="AB10" s="20">
        <f t="shared" ca="1" si="1"/>
        <v>-322835.48000049591</v>
      </c>
      <c r="AC10" s="20">
        <f t="shared" ca="1" si="1"/>
        <v>0</v>
      </c>
      <c r="AD10" s="16"/>
      <c r="AE10" s="13" t="s">
        <v>22</v>
      </c>
      <c r="AF10" s="14">
        <v>7825770561</v>
      </c>
      <c r="AG10" s="14">
        <v>637652517</v>
      </c>
      <c r="AH10" s="14">
        <v>7173179540.6599855</v>
      </c>
      <c r="AI10" s="14">
        <v>4693023523</v>
      </c>
      <c r="AJ10" s="14">
        <v>2467254664</v>
      </c>
      <c r="AK10" s="14">
        <v>12901651</v>
      </c>
      <c r="AL10" s="14">
        <v>14938503.340014458</v>
      </c>
      <c r="AM10" s="14">
        <v>964279747.81999624</v>
      </c>
      <c r="AN10" s="15">
        <v>3728743775.1799979</v>
      </c>
      <c r="AO10" s="15">
        <v>14938503.340014458</v>
      </c>
    </row>
    <row r="11" spans="1:41" ht="15.75" thickBot="1" x14ac:dyDescent="0.3">
      <c r="A11" s="25">
        <v>45291</v>
      </c>
      <c r="B11" s="13" t="s">
        <v>24</v>
      </c>
      <c r="C11" s="14">
        <f ca="1">SUM(C12:C23)</f>
        <v>10895087710.527864</v>
      </c>
      <c r="D11" s="14">
        <f ca="1">SUM(D12:D23)</f>
        <v>637969023</v>
      </c>
      <c r="E11" s="14">
        <f t="shared" ref="E11:K11" ca="1" si="3">SUM(E12:E23)</f>
        <v>10211957747.730003</v>
      </c>
      <c r="F11" s="14">
        <f t="shared" ca="1" si="3"/>
        <v>6977755871</v>
      </c>
      <c r="G11" s="14">
        <f t="shared" ca="1" si="3"/>
        <v>3215483679</v>
      </c>
      <c r="H11" s="14">
        <f t="shared" ca="1" si="3"/>
        <v>18719302</v>
      </c>
      <c r="I11" s="14">
        <f ca="1">SUM(I12:I23)</f>
        <v>45160939.797864437</v>
      </c>
      <c r="J11" s="14">
        <f t="shared" ca="1" si="3"/>
        <v>1451610545.3100002</v>
      </c>
      <c r="K11" s="15">
        <f t="shared" ca="1" si="3"/>
        <v>5526145325.6900024</v>
      </c>
      <c r="L11" s="15">
        <f t="shared" ca="1" si="0"/>
        <v>45160939.797861099</v>
      </c>
      <c r="M11" s="16"/>
      <c r="N11" s="21" t="s">
        <v>25</v>
      </c>
      <c r="O11" s="24">
        <v>18449470.739999998</v>
      </c>
      <c r="P11" s="16">
        <f ca="1">SUM(P8:P10)</f>
        <v>1367698378.3164995</v>
      </c>
      <c r="S11" s="18" t="s">
        <v>24</v>
      </c>
      <c r="T11" s="19">
        <f t="shared" ca="1" si="2"/>
        <v>0</v>
      </c>
      <c r="U11" s="19">
        <f t="shared" ca="1" si="1"/>
        <v>0</v>
      </c>
      <c r="V11" s="19">
        <f t="shared" ca="1" si="1"/>
        <v>73152.56000328064</v>
      </c>
      <c r="W11" s="19">
        <f t="shared" ca="1" si="1"/>
        <v>467386</v>
      </c>
      <c r="X11" s="19">
        <f t="shared" ca="1" si="1"/>
        <v>-394228</v>
      </c>
      <c r="Y11" s="19">
        <f t="shared" ca="1" si="1"/>
        <v>0</v>
      </c>
      <c r="Z11" s="19">
        <f t="shared" ca="1" si="1"/>
        <v>-73152.560000181198</v>
      </c>
      <c r="AA11" s="19">
        <f t="shared" ca="1" si="1"/>
        <v>357154.53000020981</v>
      </c>
      <c r="AB11" s="20">
        <f t="shared" ca="1" si="1"/>
        <v>110231.47000026703</v>
      </c>
      <c r="AC11" s="20">
        <f t="shared" ca="1" si="1"/>
        <v>-73152.56000328064</v>
      </c>
      <c r="AD11" s="16"/>
      <c r="AE11" s="13" t="s">
        <v>24</v>
      </c>
      <c r="AF11" s="14">
        <v>10895087710.527864</v>
      </c>
      <c r="AG11" s="14">
        <v>637969023</v>
      </c>
      <c r="AH11" s="14">
        <v>10211884595.17</v>
      </c>
      <c r="AI11" s="14">
        <v>6977288485</v>
      </c>
      <c r="AJ11" s="14">
        <v>3215877907</v>
      </c>
      <c r="AK11" s="14">
        <v>18719302</v>
      </c>
      <c r="AL11" s="14">
        <v>45234092.357864618</v>
      </c>
      <c r="AM11" s="14">
        <v>1451253390.78</v>
      </c>
      <c r="AN11" s="15">
        <v>5526035094.2200022</v>
      </c>
      <c r="AO11" s="15">
        <v>45234092.35786438</v>
      </c>
    </row>
    <row r="12" spans="1:41" ht="15.75" thickBot="1" x14ac:dyDescent="0.3">
      <c r="A12" s="3">
        <v>45322</v>
      </c>
      <c r="B12" s="26" t="s">
        <v>26</v>
      </c>
      <c r="C12" s="27">
        <v>787663499.39969301</v>
      </c>
      <c r="D12" s="27">
        <v>51330740</v>
      </c>
      <c r="E12" s="27">
        <v>732224934.51000106</v>
      </c>
      <c r="F12" s="27">
        <v>518398287</v>
      </c>
      <c r="G12" s="27">
        <v>212004087</v>
      </c>
      <c r="H12" s="27">
        <v>1822587</v>
      </c>
      <c r="I12" s="27">
        <f ca="1">C12-E12-D12</f>
        <v>4107824.8896919489</v>
      </c>
      <c r="J12" s="27">
        <v>124909680.94000004</v>
      </c>
      <c r="K12" s="28">
        <v>393488606.06000024</v>
      </c>
      <c r="L12" s="28">
        <f t="shared" ca="1" si="0"/>
        <v>4107824.8896919489</v>
      </c>
      <c r="M12" s="16"/>
      <c r="N12" s="29" t="s">
        <v>27</v>
      </c>
      <c r="O12" s="29">
        <f ca="1">SUM(O8:O11)</f>
        <v>284186040.47628003</v>
      </c>
      <c r="S12" s="26" t="s">
        <v>26</v>
      </c>
      <c r="T12" s="27">
        <f t="shared" ca="1" si="2"/>
        <v>0</v>
      </c>
      <c r="U12" s="27">
        <f t="shared" ca="1" si="1"/>
        <v>0</v>
      </c>
      <c r="V12" s="27">
        <f t="shared" ca="1" si="1"/>
        <v>0</v>
      </c>
      <c r="W12" s="27">
        <f t="shared" ca="1" si="1"/>
        <v>-5</v>
      </c>
      <c r="X12" s="27">
        <f t="shared" ca="1" si="1"/>
        <v>2</v>
      </c>
      <c r="Y12" s="27">
        <f t="shared" ca="1" si="1"/>
        <v>0</v>
      </c>
      <c r="Z12" s="27">
        <f t="shared" ca="1" si="1"/>
        <v>0</v>
      </c>
      <c r="AA12" s="27">
        <f t="shared" ca="1" si="1"/>
        <v>-1617.1300000101328</v>
      </c>
      <c r="AB12" s="28">
        <f t="shared" ca="1" si="1"/>
        <v>1612.1299999952316</v>
      </c>
      <c r="AC12" s="28">
        <f t="shared" ca="1" si="1"/>
        <v>0</v>
      </c>
      <c r="AD12" s="16"/>
      <c r="AE12" s="26" t="s">
        <v>26</v>
      </c>
      <c r="AF12" s="27">
        <v>787663499.39969301</v>
      </c>
      <c r="AG12" s="27">
        <v>51330740</v>
      </c>
      <c r="AH12" s="27">
        <v>732224934.51000106</v>
      </c>
      <c r="AI12" s="27">
        <v>518398292</v>
      </c>
      <c r="AJ12" s="27">
        <v>212004085</v>
      </c>
      <c r="AK12" s="27">
        <v>1822587</v>
      </c>
      <c r="AL12" s="27">
        <v>4107824.8896919489</v>
      </c>
      <c r="AM12" s="27">
        <v>124911298.07000005</v>
      </c>
      <c r="AN12" s="28">
        <v>393486993.93000025</v>
      </c>
      <c r="AO12" s="28">
        <v>4107824.8896919489</v>
      </c>
    </row>
    <row r="13" spans="1:41" x14ac:dyDescent="0.25">
      <c r="A13" s="3">
        <f ca="1">EOMONTH(A12+1,0)</f>
        <v>45351</v>
      </c>
      <c r="B13" s="30" t="s">
        <v>28</v>
      </c>
      <c r="C13" s="31">
        <v>842750909.42590988</v>
      </c>
      <c r="D13" s="31">
        <v>62367891</v>
      </c>
      <c r="E13" s="31">
        <v>774123023.0599997</v>
      </c>
      <c r="F13" s="31">
        <v>532780998</v>
      </c>
      <c r="G13" s="31">
        <v>238989502</v>
      </c>
      <c r="H13" s="31">
        <v>2352539</v>
      </c>
      <c r="I13" s="31">
        <f t="shared" ref="I13:I23" ca="1" si="4">C13-E13-D13</f>
        <v>6259995.3659101725</v>
      </c>
      <c r="J13" s="31">
        <v>110049258.10000004</v>
      </c>
      <c r="K13" s="32">
        <v>422731739.89999998</v>
      </c>
      <c r="L13" s="32">
        <f t="shared" ca="1" si="0"/>
        <v>6259995.3659101725</v>
      </c>
      <c r="M13" s="16"/>
      <c r="S13" s="33" t="s">
        <v>28</v>
      </c>
      <c r="T13" s="19">
        <f t="shared" ca="1" si="2"/>
        <v>0</v>
      </c>
      <c r="U13" s="19">
        <f t="shared" ca="1" si="1"/>
        <v>0</v>
      </c>
      <c r="V13" s="19">
        <f t="shared" ca="1" si="1"/>
        <v>0</v>
      </c>
      <c r="W13" s="19">
        <f t="shared" ca="1" si="1"/>
        <v>4</v>
      </c>
      <c r="X13" s="19">
        <f t="shared" ca="1" si="1"/>
        <v>0</v>
      </c>
      <c r="Y13" s="19">
        <f t="shared" ca="1" si="1"/>
        <v>0</v>
      </c>
      <c r="Z13" s="19">
        <f t="shared" ca="1" si="1"/>
        <v>0</v>
      </c>
      <c r="AA13" s="19">
        <f t="shared" ca="1" si="1"/>
        <v>-54997.289999991655</v>
      </c>
      <c r="AB13" s="20">
        <f t="shared" ca="1" si="1"/>
        <v>55001.290000081062</v>
      </c>
      <c r="AC13" s="20">
        <f t="shared" ca="1" si="1"/>
        <v>0</v>
      </c>
      <c r="AD13" s="16"/>
      <c r="AE13" s="30" t="s">
        <v>28</v>
      </c>
      <c r="AF13" s="31">
        <v>842750909.42590988</v>
      </c>
      <c r="AG13" s="31">
        <v>62367891</v>
      </c>
      <c r="AH13" s="31">
        <v>774123023.0599997</v>
      </c>
      <c r="AI13" s="31">
        <v>532780994</v>
      </c>
      <c r="AJ13" s="31">
        <v>238989502</v>
      </c>
      <c r="AK13" s="31">
        <v>2352539</v>
      </c>
      <c r="AL13" s="31">
        <v>6259995.3659101725</v>
      </c>
      <c r="AM13" s="31">
        <v>110104255.39000003</v>
      </c>
      <c r="AN13" s="32">
        <v>422676738.6099999</v>
      </c>
      <c r="AO13" s="32">
        <v>6259995.3659101725</v>
      </c>
    </row>
    <row r="14" spans="1:41" x14ac:dyDescent="0.25">
      <c r="A14" s="3">
        <f t="shared" ref="A14:A23" ca="1" si="5">EOMONTH(A13+1,0)</f>
        <v>45382</v>
      </c>
      <c r="B14" s="26" t="s">
        <v>29</v>
      </c>
      <c r="C14" s="27">
        <v>915678922.73391926</v>
      </c>
      <c r="D14" s="27">
        <v>63072708</v>
      </c>
      <c r="E14" s="27">
        <v>848114732.77999914</v>
      </c>
      <c r="F14" s="27">
        <v>520422396</v>
      </c>
      <c r="G14" s="27">
        <v>325507505</v>
      </c>
      <c r="H14" s="27">
        <v>2184784</v>
      </c>
      <c r="I14" s="27">
        <f t="shared" ca="1" si="4"/>
        <v>4491481.953920126</v>
      </c>
      <c r="J14" s="19">
        <v>120288787.40999994</v>
      </c>
      <c r="K14" s="20">
        <v>400133608.58999997</v>
      </c>
      <c r="L14" s="20">
        <f t="shared" ca="1" si="0"/>
        <v>4491481.953920126</v>
      </c>
      <c r="M14" s="16"/>
      <c r="S14" s="26" t="s">
        <v>29</v>
      </c>
      <c r="T14" s="27">
        <f t="shared" ca="1" si="2"/>
        <v>0</v>
      </c>
      <c r="U14" s="27">
        <f t="shared" ca="1" si="1"/>
        <v>0</v>
      </c>
      <c r="V14" s="27">
        <f t="shared" ca="1" si="1"/>
        <v>0</v>
      </c>
      <c r="W14" s="27">
        <f t="shared" ca="1" si="1"/>
        <v>-3</v>
      </c>
      <c r="X14" s="27">
        <f t="shared" ca="1" si="1"/>
        <v>1</v>
      </c>
      <c r="Y14" s="27">
        <f t="shared" ca="1" si="1"/>
        <v>0</v>
      </c>
      <c r="Z14" s="27">
        <f t="shared" ca="1" si="1"/>
        <v>0</v>
      </c>
      <c r="AA14" s="19">
        <f t="shared" ca="1" si="1"/>
        <v>-9821.8500000089407</v>
      </c>
      <c r="AB14" s="20">
        <f t="shared" ca="1" si="1"/>
        <v>9818.8499999642372</v>
      </c>
      <c r="AC14" s="20">
        <f t="shared" ca="1" si="1"/>
        <v>0</v>
      </c>
      <c r="AD14" s="16"/>
      <c r="AE14" s="26" t="s">
        <v>29</v>
      </c>
      <c r="AF14" s="27">
        <v>915678922.73391926</v>
      </c>
      <c r="AG14" s="27">
        <v>63072708</v>
      </c>
      <c r="AH14" s="27">
        <v>848114732.77999914</v>
      </c>
      <c r="AI14" s="27">
        <v>520422399</v>
      </c>
      <c r="AJ14" s="27">
        <v>325507504</v>
      </c>
      <c r="AK14" s="27">
        <v>2184784</v>
      </c>
      <c r="AL14" s="27">
        <v>4491481.953920126</v>
      </c>
      <c r="AM14" s="19">
        <v>120298609.25999995</v>
      </c>
      <c r="AN14" s="20">
        <v>400123789.74000001</v>
      </c>
      <c r="AO14" s="20">
        <v>4491481.953920126</v>
      </c>
    </row>
    <row r="15" spans="1:41" x14ac:dyDescent="0.25">
      <c r="A15" s="3">
        <f t="shared" ca="1" si="5"/>
        <v>45412</v>
      </c>
      <c r="B15" s="30" t="s">
        <v>30</v>
      </c>
      <c r="C15" s="31">
        <v>795900147.02475762</v>
      </c>
      <c r="D15" s="31">
        <v>55989228</v>
      </c>
      <c r="E15" s="31">
        <v>736259810.82000124</v>
      </c>
      <c r="F15" s="31">
        <v>487717181</v>
      </c>
      <c r="G15" s="31">
        <v>247240968</v>
      </c>
      <c r="H15" s="31">
        <v>1301619</v>
      </c>
      <c r="I15" s="31">
        <f t="shared" ca="1" si="4"/>
        <v>3651108.2047563791</v>
      </c>
      <c r="J15" s="31">
        <v>82130973.39000003</v>
      </c>
      <c r="K15" s="32">
        <v>405586207.61000055</v>
      </c>
      <c r="L15" s="32">
        <f t="shared" ca="1" si="0"/>
        <v>3651108.2047563791</v>
      </c>
      <c r="M15" s="16"/>
      <c r="S15" s="33" t="s">
        <v>30</v>
      </c>
      <c r="T15" s="19">
        <f t="shared" ca="1" si="2"/>
        <v>0</v>
      </c>
      <c r="U15" s="19">
        <f t="shared" ca="1" si="1"/>
        <v>0</v>
      </c>
      <c r="V15" s="19">
        <f t="shared" ca="1" si="1"/>
        <v>0</v>
      </c>
      <c r="W15" s="19">
        <f t="shared" ca="1" si="1"/>
        <v>420471</v>
      </c>
      <c r="X15" s="19">
        <f t="shared" ca="1" si="1"/>
        <v>-420468</v>
      </c>
      <c r="Y15" s="19">
        <f t="shared" ca="1" si="1"/>
        <v>0</v>
      </c>
      <c r="Z15" s="19">
        <f t="shared" ca="1" si="1"/>
        <v>0</v>
      </c>
      <c r="AA15" s="19">
        <f t="shared" ca="1" si="1"/>
        <v>419815.93000000715</v>
      </c>
      <c r="AB15" s="20">
        <f t="shared" ca="1" si="1"/>
        <v>655.07000005245209</v>
      </c>
      <c r="AC15" s="20">
        <f t="shared" ca="1" si="1"/>
        <v>0</v>
      </c>
      <c r="AD15" s="16"/>
      <c r="AE15" s="30" t="s">
        <v>30</v>
      </c>
      <c r="AF15" s="31">
        <v>795900147.02475762</v>
      </c>
      <c r="AG15" s="31">
        <v>55989228</v>
      </c>
      <c r="AH15" s="31">
        <v>736259810.82000124</v>
      </c>
      <c r="AI15" s="31">
        <v>487296710</v>
      </c>
      <c r="AJ15" s="31">
        <v>247661436</v>
      </c>
      <c r="AK15" s="31">
        <v>1301619</v>
      </c>
      <c r="AL15" s="31">
        <v>3651108.2047563791</v>
      </c>
      <c r="AM15" s="31">
        <v>81711157.460000023</v>
      </c>
      <c r="AN15" s="32">
        <v>405585552.5400005</v>
      </c>
      <c r="AO15" s="32">
        <v>3651108.2047563791</v>
      </c>
    </row>
    <row r="16" spans="1:41" x14ac:dyDescent="0.25">
      <c r="A16" s="3">
        <f t="shared" ca="1" si="5"/>
        <v>45443</v>
      </c>
      <c r="B16" s="26" t="s">
        <v>31</v>
      </c>
      <c r="C16" s="27">
        <v>894295198.64999998</v>
      </c>
      <c r="D16" s="27">
        <v>66293170</v>
      </c>
      <c r="E16" s="27">
        <v>826754833.97999966</v>
      </c>
      <c r="F16" s="27">
        <v>580599202</v>
      </c>
      <c r="G16" s="27">
        <v>243818421</v>
      </c>
      <c r="H16" s="27">
        <v>2337246</v>
      </c>
      <c r="I16" s="27">
        <f t="shared" ca="1" si="4"/>
        <v>1247194.6700003147</v>
      </c>
      <c r="J16" s="19">
        <v>120564647.27000007</v>
      </c>
      <c r="K16" s="20">
        <v>460034554.73000038</v>
      </c>
      <c r="L16" s="20">
        <f t="shared" ca="1" si="0"/>
        <v>1247194.6700003147</v>
      </c>
      <c r="M16" s="16"/>
      <c r="O16" s="16"/>
      <c r="P16" t="s">
        <v>32</v>
      </c>
      <c r="S16" s="26" t="s">
        <v>31</v>
      </c>
      <c r="T16" s="27">
        <f t="shared" ca="1" si="2"/>
        <v>0</v>
      </c>
      <c r="U16" s="27">
        <f t="shared" ca="1" si="1"/>
        <v>0</v>
      </c>
      <c r="V16" s="27">
        <f t="shared" ca="1" si="1"/>
        <v>0</v>
      </c>
      <c r="W16" s="27">
        <f t="shared" ca="1" si="1"/>
        <v>2</v>
      </c>
      <c r="X16" s="27">
        <f t="shared" ca="1" si="1"/>
        <v>0</v>
      </c>
      <c r="Y16" s="27">
        <f t="shared" ca="1" si="1"/>
        <v>0</v>
      </c>
      <c r="Z16" s="27">
        <f t="shared" ca="1" si="1"/>
        <v>0</v>
      </c>
      <c r="AA16" s="19">
        <f t="shared" ca="1" si="1"/>
        <v>12688.089999973774</v>
      </c>
      <c r="AB16" s="20">
        <f t="shared" ca="1" si="1"/>
        <v>-12686.089999973774</v>
      </c>
      <c r="AC16" s="20">
        <f t="shared" ca="1" si="1"/>
        <v>0</v>
      </c>
      <c r="AD16" s="16"/>
      <c r="AE16" s="26" t="s">
        <v>31</v>
      </c>
      <c r="AF16" s="27">
        <v>894295198.64999998</v>
      </c>
      <c r="AG16" s="27">
        <v>66293170</v>
      </c>
      <c r="AH16" s="27">
        <v>826754833.97999966</v>
      </c>
      <c r="AI16" s="27">
        <v>580599200</v>
      </c>
      <c r="AJ16" s="27">
        <v>243818421</v>
      </c>
      <c r="AK16" s="27">
        <v>2337246</v>
      </c>
      <c r="AL16" s="27">
        <v>1247194.6700003147</v>
      </c>
      <c r="AM16" s="19">
        <v>120551959.1800001</v>
      </c>
      <c r="AN16" s="20">
        <v>460047240.82000035</v>
      </c>
      <c r="AO16" s="20">
        <v>1247194.6700003147</v>
      </c>
    </row>
    <row r="17" spans="1:41" x14ac:dyDescent="0.25">
      <c r="A17" s="3">
        <f t="shared" ca="1" si="5"/>
        <v>45473</v>
      </c>
      <c r="B17" s="30" t="s">
        <v>33</v>
      </c>
      <c r="C17" s="31">
        <v>741292942.85000002</v>
      </c>
      <c r="D17" s="31">
        <v>43018017</v>
      </c>
      <c r="E17" s="31">
        <v>696360414.4300009</v>
      </c>
      <c r="F17" s="31">
        <v>502657372</v>
      </c>
      <c r="G17" s="31">
        <v>192285683</v>
      </c>
      <c r="H17" s="31">
        <v>1417459</v>
      </c>
      <c r="I17" s="31">
        <f t="shared" ca="1" si="4"/>
        <v>1914511.4199991226</v>
      </c>
      <c r="J17" s="31">
        <v>80140511.820000038</v>
      </c>
      <c r="K17" s="32">
        <v>422516860.17999989</v>
      </c>
      <c r="L17" s="32">
        <f t="shared" ca="1" si="0"/>
        <v>1914511.4199991226</v>
      </c>
      <c r="M17" s="16"/>
      <c r="O17" s="16"/>
      <c r="Q17" s="34"/>
      <c r="S17" s="33" t="s">
        <v>33</v>
      </c>
      <c r="T17" s="19">
        <f t="shared" ca="1" si="2"/>
        <v>0</v>
      </c>
      <c r="U17" s="19">
        <f t="shared" ca="1" si="1"/>
        <v>0</v>
      </c>
      <c r="V17" s="19">
        <f t="shared" ca="1" si="1"/>
        <v>0</v>
      </c>
      <c r="W17" s="19">
        <f t="shared" ca="1" si="1"/>
        <v>-6</v>
      </c>
      <c r="X17" s="19">
        <f t="shared" ca="1" si="1"/>
        <v>2</v>
      </c>
      <c r="Y17" s="19">
        <f t="shared" ca="1" si="1"/>
        <v>0</v>
      </c>
      <c r="Z17" s="19">
        <f t="shared" ca="1" si="1"/>
        <v>0</v>
      </c>
      <c r="AA17" s="19">
        <f t="shared" ca="1" si="1"/>
        <v>-12002.210000008345</v>
      </c>
      <c r="AB17" s="20">
        <f t="shared" ca="1" si="1"/>
        <v>11996.209999918938</v>
      </c>
      <c r="AC17" s="20">
        <f t="shared" ca="1" si="1"/>
        <v>0</v>
      </c>
      <c r="AD17" s="16"/>
      <c r="AE17" s="30" t="s">
        <v>33</v>
      </c>
      <c r="AF17" s="31">
        <v>741292942.85000002</v>
      </c>
      <c r="AG17" s="31">
        <v>43018017</v>
      </c>
      <c r="AH17" s="31">
        <v>696360414.4300009</v>
      </c>
      <c r="AI17" s="31">
        <v>502657378</v>
      </c>
      <c r="AJ17" s="31">
        <v>192285681</v>
      </c>
      <c r="AK17" s="31">
        <v>1417459</v>
      </c>
      <c r="AL17" s="31">
        <v>1914511.4199991226</v>
      </c>
      <c r="AM17" s="31">
        <v>80152514.030000046</v>
      </c>
      <c r="AN17" s="32">
        <v>422504863.96999997</v>
      </c>
      <c r="AO17" s="32">
        <v>1914511.4199991226</v>
      </c>
    </row>
    <row r="18" spans="1:41" x14ac:dyDescent="0.25">
      <c r="A18" s="3">
        <f t="shared" ca="1" si="5"/>
        <v>45504</v>
      </c>
      <c r="B18" s="26" t="s">
        <v>34</v>
      </c>
      <c r="C18" s="27">
        <v>817094792.00967252</v>
      </c>
      <c r="D18" s="27">
        <v>48059793</v>
      </c>
      <c r="E18" s="27">
        <v>766908172.02000022</v>
      </c>
      <c r="F18" s="27">
        <v>571037984</v>
      </c>
      <c r="G18" s="27">
        <v>194700434</v>
      </c>
      <c r="H18" s="27">
        <v>1169899</v>
      </c>
      <c r="I18" s="27">
        <f t="shared" ca="1" si="4"/>
        <v>2126826.9896723032</v>
      </c>
      <c r="J18" s="19">
        <v>106177523.05000001</v>
      </c>
      <c r="K18" s="20">
        <v>464860460.95000035</v>
      </c>
      <c r="L18" s="20">
        <f t="shared" ca="1" si="0"/>
        <v>2126826.9896723032</v>
      </c>
      <c r="M18" s="16"/>
      <c r="S18" s="26" t="s">
        <v>34</v>
      </c>
      <c r="T18" s="27">
        <f t="shared" ca="1" si="2"/>
        <v>0</v>
      </c>
      <c r="U18" s="27">
        <f t="shared" ca="1" si="1"/>
        <v>0</v>
      </c>
      <c r="V18" s="27">
        <f t="shared" ca="1" si="1"/>
        <v>0.35000002384185791</v>
      </c>
      <c r="W18" s="27">
        <f t="shared" ca="1" si="1"/>
        <v>7</v>
      </c>
      <c r="X18" s="27">
        <f t="shared" ca="1" si="1"/>
        <v>-3</v>
      </c>
      <c r="Y18" s="27">
        <f t="shared" ca="1" si="1"/>
        <v>0</v>
      </c>
      <c r="Z18" s="27">
        <f t="shared" ca="1" si="1"/>
        <v>-0.35000002384185791</v>
      </c>
      <c r="AA18" s="19">
        <f t="shared" ca="1" si="1"/>
        <v>6.2200000435113907</v>
      </c>
      <c r="AB18" s="20">
        <f t="shared" ca="1" si="1"/>
        <v>0.78000009059906006</v>
      </c>
      <c r="AC18" s="20">
        <f t="shared" ca="1" si="1"/>
        <v>-0.35000002384185791</v>
      </c>
      <c r="AD18" s="16"/>
      <c r="AE18" s="26" t="s">
        <v>34</v>
      </c>
      <c r="AF18" s="27">
        <v>817094792.00967252</v>
      </c>
      <c r="AG18" s="27">
        <v>48059793</v>
      </c>
      <c r="AH18" s="27">
        <v>766908171.6700002</v>
      </c>
      <c r="AI18" s="27">
        <v>571037977</v>
      </c>
      <c r="AJ18" s="27">
        <v>194700437</v>
      </c>
      <c r="AK18" s="27">
        <v>1169899</v>
      </c>
      <c r="AL18" s="27">
        <v>2126827.339672327</v>
      </c>
      <c r="AM18" s="19">
        <v>106177516.82999997</v>
      </c>
      <c r="AN18" s="20">
        <v>464860460.17000026</v>
      </c>
      <c r="AO18" s="20">
        <v>2126827.339672327</v>
      </c>
    </row>
    <row r="19" spans="1:41" x14ac:dyDescent="0.25">
      <c r="A19" s="3">
        <f t="shared" ca="1" si="5"/>
        <v>45535</v>
      </c>
      <c r="B19" s="30" t="s">
        <v>35</v>
      </c>
      <c r="C19" s="31">
        <v>873257057.99263299</v>
      </c>
      <c r="D19" s="31">
        <v>45030725</v>
      </c>
      <c r="E19" s="31">
        <v>823347933.41000021</v>
      </c>
      <c r="F19" s="31">
        <v>574432824</v>
      </c>
      <c r="G19" s="31">
        <v>247529835</v>
      </c>
      <c r="H19" s="31">
        <v>1385453</v>
      </c>
      <c r="I19" s="31">
        <f t="shared" ca="1" si="4"/>
        <v>4878399.5826327801</v>
      </c>
      <c r="J19" s="31">
        <v>134523764.90999994</v>
      </c>
      <c r="K19" s="32">
        <v>439909059.08999944</v>
      </c>
      <c r="L19" s="32">
        <f t="shared" ca="1" si="0"/>
        <v>4878399.5826327801</v>
      </c>
      <c r="M19" s="16"/>
      <c r="O19" s="23"/>
      <c r="S19" s="33" t="s">
        <v>35</v>
      </c>
      <c r="T19" s="19">
        <f t="shared" ca="1" si="2"/>
        <v>0</v>
      </c>
      <c r="U19" s="19">
        <f t="shared" ca="1" si="1"/>
        <v>0</v>
      </c>
      <c r="V19" s="19">
        <f t="shared" ca="1" si="1"/>
        <v>-3.9999961853027344E-2</v>
      </c>
      <c r="W19" s="19">
        <f t="shared" ca="1" si="1"/>
        <v>9</v>
      </c>
      <c r="X19" s="19">
        <f t="shared" ca="1" si="1"/>
        <v>-3</v>
      </c>
      <c r="Y19" s="19">
        <f t="shared" ca="1" si="1"/>
        <v>0</v>
      </c>
      <c r="Z19" s="19">
        <f t="shared" ca="1" si="1"/>
        <v>3.9999961853027344E-2</v>
      </c>
      <c r="AA19" s="19">
        <f t="shared" ca="1" si="1"/>
        <v>-14591.800000041723</v>
      </c>
      <c r="AB19" s="20">
        <f t="shared" ca="1" si="1"/>
        <v>14600.799999952316</v>
      </c>
      <c r="AC19" s="20">
        <f t="shared" ca="1" si="1"/>
        <v>3.9999961853027344E-2</v>
      </c>
      <c r="AD19" s="16"/>
      <c r="AE19" s="30" t="s">
        <v>35</v>
      </c>
      <c r="AF19" s="31">
        <v>873257057.99263299</v>
      </c>
      <c r="AG19" s="31">
        <v>45030725</v>
      </c>
      <c r="AH19" s="31">
        <v>823347933.45000017</v>
      </c>
      <c r="AI19" s="31">
        <v>574432815</v>
      </c>
      <c r="AJ19" s="31">
        <v>247529838</v>
      </c>
      <c r="AK19" s="31">
        <v>1385453</v>
      </c>
      <c r="AL19" s="31">
        <v>4878399.5426328182</v>
      </c>
      <c r="AM19" s="31">
        <v>134538356.70999998</v>
      </c>
      <c r="AN19" s="32">
        <v>439894458.28999949</v>
      </c>
      <c r="AO19" s="32">
        <v>4878399.5426328182</v>
      </c>
    </row>
    <row r="20" spans="1:41" x14ac:dyDescent="0.25">
      <c r="A20" s="3">
        <f t="shared" ca="1" si="5"/>
        <v>45565</v>
      </c>
      <c r="B20" s="26" t="s">
        <v>36</v>
      </c>
      <c r="C20" s="27">
        <v>897154300.6365416</v>
      </c>
      <c r="D20" s="27">
        <v>45977307</v>
      </c>
      <c r="E20" s="27">
        <v>849994154.83999944</v>
      </c>
      <c r="F20" s="27">
        <v>583889163</v>
      </c>
      <c r="G20" s="27">
        <v>265105888</v>
      </c>
      <c r="H20" s="27">
        <v>999285</v>
      </c>
      <c r="I20" s="27">
        <f t="shared" ca="1" si="4"/>
        <v>1182838.7965421677</v>
      </c>
      <c r="J20" s="19">
        <v>116117058.93999994</v>
      </c>
      <c r="K20" s="20">
        <v>467772104.0600003</v>
      </c>
      <c r="L20" s="20">
        <f t="shared" ca="1" si="0"/>
        <v>1182838.7965421677</v>
      </c>
      <c r="M20" s="16"/>
      <c r="P20" s="16"/>
      <c r="S20" s="26" t="s">
        <v>36</v>
      </c>
      <c r="T20" s="27">
        <f t="shared" ca="1" si="2"/>
        <v>0</v>
      </c>
      <c r="U20" s="27">
        <f t="shared" ca="1" si="1"/>
        <v>0</v>
      </c>
      <c r="V20" s="27">
        <f t="shared" ca="1" si="1"/>
        <v>0.92000007629394531</v>
      </c>
      <c r="W20" s="27">
        <f t="shared" ca="1" si="1"/>
        <v>402</v>
      </c>
      <c r="X20" s="27">
        <f t="shared" ca="1" si="1"/>
        <v>-402</v>
      </c>
      <c r="Y20" s="27">
        <f t="shared" ca="1" si="1"/>
        <v>0</v>
      </c>
      <c r="Z20" s="27">
        <f t="shared" ca="1" si="1"/>
        <v>-0.92000007629394531</v>
      </c>
      <c r="AA20" s="19">
        <f t="shared" ca="1" si="1"/>
        <v>-4599.589999973774</v>
      </c>
      <c r="AB20" s="20">
        <f t="shared" ca="1" si="1"/>
        <v>5001.5900000929832</v>
      </c>
      <c r="AC20" s="20">
        <f t="shared" ca="1" si="1"/>
        <v>-0.92000007629394531</v>
      </c>
      <c r="AD20" s="16"/>
      <c r="AE20" s="26" t="s">
        <v>36</v>
      </c>
      <c r="AF20" s="27">
        <v>897154300.6365416</v>
      </c>
      <c r="AG20" s="27">
        <v>45977307</v>
      </c>
      <c r="AH20" s="27">
        <v>849994153.91999936</v>
      </c>
      <c r="AI20" s="27">
        <v>583888761</v>
      </c>
      <c r="AJ20" s="27">
        <v>265106290</v>
      </c>
      <c r="AK20" s="27">
        <v>999285</v>
      </c>
      <c r="AL20" s="27">
        <v>1182839.716542244</v>
      </c>
      <c r="AM20" s="19">
        <v>116121658.52999991</v>
      </c>
      <c r="AN20" s="20">
        <v>467767102.47000021</v>
      </c>
      <c r="AO20" s="20">
        <v>1182839.716542244</v>
      </c>
    </row>
    <row r="21" spans="1:41" x14ac:dyDescent="0.25">
      <c r="A21" s="3">
        <f t="shared" ca="1" si="5"/>
        <v>45596</v>
      </c>
      <c r="B21" s="30" t="s">
        <v>37</v>
      </c>
      <c r="C21" s="31">
        <v>1107873234.6646969</v>
      </c>
      <c r="D21" s="31">
        <v>43325977</v>
      </c>
      <c r="E21" s="31">
        <v>1057371401.7800004</v>
      </c>
      <c r="F21" s="31">
        <v>732948378</v>
      </c>
      <c r="G21" s="31">
        <v>323373274</v>
      </c>
      <c r="H21" s="31">
        <v>1049902</v>
      </c>
      <c r="I21" s="31">
        <f t="shared" ca="1" si="4"/>
        <v>7175855.8846964836</v>
      </c>
      <c r="J21" s="31">
        <v>164197667.26000002</v>
      </c>
      <c r="K21" s="32">
        <v>568750710.74000037</v>
      </c>
      <c r="L21" s="32">
        <f t="shared" ca="1" si="0"/>
        <v>7175855.8846964836</v>
      </c>
      <c r="M21" s="16"/>
      <c r="O21" s="23"/>
      <c r="P21" s="16"/>
      <c r="S21" s="33" t="s">
        <v>37</v>
      </c>
      <c r="T21" s="19">
        <f t="shared" ca="1" si="2"/>
        <v>0</v>
      </c>
      <c r="U21" s="19">
        <f t="shared" ca="1" si="1"/>
        <v>0</v>
      </c>
      <c r="V21" s="19">
        <f t="shared" ca="1" si="1"/>
        <v>1454.4299999475479</v>
      </c>
      <c r="W21" s="19">
        <f t="shared" ca="1" si="1"/>
        <v>1438</v>
      </c>
      <c r="X21" s="19">
        <f t="shared" ca="1" si="1"/>
        <v>12</v>
      </c>
      <c r="Y21" s="19">
        <f t="shared" ca="1" si="1"/>
        <v>0</v>
      </c>
      <c r="Z21" s="19">
        <f t="shared" ca="1" si="1"/>
        <v>-1454.4299999475479</v>
      </c>
      <c r="AA21" s="19">
        <f t="shared" ca="1" si="1"/>
        <v>-2747.7899999916553</v>
      </c>
      <c r="AB21" s="20">
        <f t="shared" ca="1" si="1"/>
        <v>4185.7900000810623</v>
      </c>
      <c r="AC21" s="20">
        <f t="shared" ca="1" si="1"/>
        <v>-1454.4299999475479</v>
      </c>
      <c r="AD21" s="16"/>
      <c r="AE21" s="30" t="s">
        <v>37</v>
      </c>
      <c r="AF21" s="31">
        <v>1107873234.6646969</v>
      </c>
      <c r="AG21" s="31">
        <v>43325977</v>
      </c>
      <c r="AH21" s="31">
        <v>1057369947.3500005</v>
      </c>
      <c r="AI21" s="31">
        <v>732946940</v>
      </c>
      <c r="AJ21" s="31">
        <v>323373262</v>
      </c>
      <c r="AK21" s="31">
        <v>1049902</v>
      </c>
      <c r="AL21" s="31">
        <v>7177310.3146964312</v>
      </c>
      <c r="AM21" s="31">
        <v>164200415.05000001</v>
      </c>
      <c r="AN21" s="32">
        <v>568746524.95000029</v>
      </c>
      <c r="AO21" s="32">
        <v>7177310.3146964312</v>
      </c>
    </row>
    <row r="22" spans="1:41" x14ac:dyDescent="0.25">
      <c r="A22" s="3">
        <f t="shared" ca="1" si="5"/>
        <v>45626</v>
      </c>
      <c r="B22" s="26" t="s">
        <v>38</v>
      </c>
      <c r="C22" s="27">
        <v>1129005541.4163084</v>
      </c>
      <c r="D22" s="27">
        <v>56642195</v>
      </c>
      <c r="E22" s="27">
        <v>1068526712.8799999</v>
      </c>
      <c r="F22" s="27">
        <v>703279277</v>
      </c>
      <c r="G22" s="27">
        <v>363909082</v>
      </c>
      <c r="H22" s="27">
        <v>1338503</v>
      </c>
      <c r="I22" s="27">
        <f t="shared" ca="1" si="4"/>
        <v>3836633.536308527</v>
      </c>
      <c r="J22" s="19">
        <v>147940215.14999998</v>
      </c>
      <c r="K22" s="20">
        <v>555339061.85000026</v>
      </c>
      <c r="L22" s="20">
        <f t="shared" ca="1" si="0"/>
        <v>3836633.536308527</v>
      </c>
      <c r="M22" s="16"/>
      <c r="O22" s="16"/>
      <c r="P22" s="16"/>
      <c r="S22" s="26" t="s">
        <v>38</v>
      </c>
      <c r="T22" s="27">
        <f t="shared" ca="1" si="2"/>
        <v>0</v>
      </c>
      <c r="U22" s="27">
        <f t="shared" ca="1" si="1"/>
        <v>0</v>
      </c>
      <c r="V22" s="27">
        <f t="shared" ca="1" si="1"/>
        <v>64722.319999933243</v>
      </c>
      <c r="W22" s="27">
        <f t="shared" ca="1" si="1"/>
        <v>38082</v>
      </c>
      <c r="X22" s="27">
        <f t="shared" ca="1" si="1"/>
        <v>26637</v>
      </c>
      <c r="Y22" s="27">
        <f t="shared" ca="1" si="1"/>
        <v>0</v>
      </c>
      <c r="Z22" s="27">
        <f t="shared" ca="1" si="1"/>
        <v>-64722.319999933243</v>
      </c>
      <c r="AA22" s="19">
        <f t="shared" ca="1" si="1"/>
        <v>-3766.0999999940395</v>
      </c>
      <c r="AB22" s="20">
        <f t="shared" ca="1" si="1"/>
        <v>41848.100000023842</v>
      </c>
      <c r="AC22" s="20">
        <f t="shared" ca="1" si="1"/>
        <v>-64722.319999933243</v>
      </c>
      <c r="AD22" s="16"/>
      <c r="AE22" s="26" t="s">
        <v>38</v>
      </c>
      <c r="AF22" s="27">
        <v>1129005541.4163084</v>
      </c>
      <c r="AG22" s="27">
        <v>56642195</v>
      </c>
      <c r="AH22" s="27">
        <v>1068461990.5599999</v>
      </c>
      <c r="AI22" s="27">
        <v>703241195</v>
      </c>
      <c r="AJ22" s="27">
        <v>363882445</v>
      </c>
      <c r="AK22" s="27">
        <v>1338503</v>
      </c>
      <c r="AL22" s="27">
        <v>3901355.8563084602</v>
      </c>
      <c r="AM22" s="19">
        <v>147943981.24999997</v>
      </c>
      <c r="AN22" s="20">
        <v>555297213.75000024</v>
      </c>
      <c r="AO22" s="20">
        <v>3901355.8563084602</v>
      </c>
    </row>
    <row r="23" spans="1:41" x14ac:dyDescent="0.25">
      <c r="A23" s="3">
        <f t="shared" ca="1" si="5"/>
        <v>45657</v>
      </c>
      <c r="B23" s="30" t="s">
        <v>39</v>
      </c>
      <c r="C23" s="31">
        <v>1093121163.7237344</v>
      </c>
      <c r="D23" s="31">
        <v>56861272</v>
      </c>
      <c r="E23" s="31">
        <v>1031971623.2200003</v>
      </c>
      <c r="F23" s="31">
        <v>669592809</v>
      </c>
      <c r="G23" s="31">
        <v>361019000</v>
      </c>
      <c r="H23" s="31">
        <v>1360026</v>
      </c>
      <c r="I23" s="31">
        <f t="shared" ca="1" si="4"/>
        <v>4288268.5037341118</v>
      </c>
      <c r="J23" s="31">
        <v>144570457.06999993</v>
      </c>
      <c r="K23" s="32">
        <v>525022351.93000013</v>
      </c>
      <c r="L23" s="32">
        <f t="shared" ca="1" si="0"/>
        <v>4288268.5037341118</v>
      </c>
      <c r="M23" s="16"/>
      <c r="O23" s="16"/>
      <c r="S23" s="33" t="s">
        <v>39</v>
      </c>
      <c r="T23" s="19">
        <f t="shared" ca="1" si="2"/>
        <v>0</v>
      </c>
      <c r="U23" s="19">
        <f t="shared" ca="1" si="1"/>
        <v>0</v>
      </c>
      <c r="V23" s="19">
        <f t="shared" ca="1" si="1"/>
        <v>6974.5800001621246</v>
      </c>
      <c r="W23" s="19">
        <f t="shared" ca="1" si="1"/>
        <v>6985</v>
      </c>
      <c r="X23" s="19">
        <f t="shared" ca="1" si="1"/>
        <v>-6</v>
      </c>
      <c r="Y23" s="19">
        <f t="shared" ca="1" si="1"/>
        <v>0</v>
      </c>
      <c r="Z23" s="19">
        <f t="shared" ca="1" si="1"/>
        <v>-6974.5800001621246</v>
      </c>
      <c r="AA23" s="19">
        <f t="shared" ca="1" si="1"/>
        <v>28788.050000011921</v>
      </c>
      <c r="AB23" s="20">
        <f t="shared" ca="1" si="1"/>
        <v>-21803.049999952316</v>
      </c>
      <c r="AC23" s="20">
        <f t="shared" ca="1" si="1"/>
        <v>-6974.5800001621246</v>
      </c>
      <c r="AD23" s="16"/>
      <c r="AE23" s="30" t="s">
        <v>39</v>
      </c>
      <c r="AF23" s="31">
        <v>1093121163.7237344</v>
      </c>
      <c r="AG23" s="31">
        <v>56861272</v>
      </c>
      <c r="AH23" s="31">
        <v>1031964648.6400001</v>
      </c>
      <c r="AI23" s="31">
        <v>669585824</v>
      </c>
      <c r="AJ23" s="31">
        <v>361019006</v>
      </c>
      <c r="AK23" s="31">
        <v>1360026</v>
      </c>
      <c r="AL23" s="31">
        <v>4295243.0837342739</v>
      </c>
      <c r="AM23" s="31">
        <v>144541669.01999992</v>
      </c>
      <c r="AN23" s="32">
        <v>525044154.98000008</v>
      </c>
      <c r="AO23" s="32">
        <v>4295243.0837342739</v>
      </c>
    </row>
    <row r="24" spans="1:41" x14ac:dyDescent="0.25">
      <c r="A24" s="25">
        <f ca="1">A23</f>
        <v>45657</v>
      </c>
      <c r="B24" s="13" t="s">
        <v>40</v>
      </c>
      <c r="C24" s="14">
        <f t="shared" ref="C24:H24" ca="1" si="6">SUM(C25:C36)</f>
        <v>17685139199.066608</v>
      </c>
      <c r="D24" s="14">
        <f t="shared" ca="1" si="6"/>
        <v>813260419</v>
      </c>
      <c r="E24" s="14">
        <f t="shared" ca="1" si="6"/>
        <v>16746140030.220007</v>
      </c>
      <c r="F24" s="14">
        <f t="shared" ca="1" si="6"/>
        <v>12876250831</v>
      </c>
      <c r="G24" s="14">
        <f t="shared" ca="1" si="6"/>
        <v>3821295883</v>
      </c>
      <c r="H24" s="14">
        <f t="shared" ca="1" si="6"/>
        <v>48597532</v>
      </c>
      <c r="I24" s="14">
        <f ca="1">SUM(I25:I36)</f>
        <v>125738749.84660292</v>
      </c>
      <c r="J24" s="14">
        <f ca="1">SUM(J25:J36)</f>
        <v>3267829312.2200003</v>
      </c>
      <c r="K24" s="15">
        <f ca="1">SUM(K25:K36)</f>
        <v>9608421518.779995</v>
      </c>
      <c r="L24" s="15">
        <f ca="1">C24-E24-D24</f>
        <v>125738749.84660149</v>
      </c>
      <c r="M24" s="16"/>
      <c r="S24" s="18" t="s">
        <v>40</v>
      </c>
      <c r="T24" s="19">
        <f t="shared" ca="1" si="2"/>
        <v>0</v>
      </c>
      <c r="U24" s="19">
        <f t="shared" ca="1" si="1"/>
        <v>-1000775</v>
      </c>
      <c r="V24" s="19">
        <f t="shared" ca="1" si="1"/>
        <v>1733084.7800045013</v>
      </c>
      <c r="W24" s="19">
        <f t="shared" ca="1" si="1"/>
        <v>1844233</v>
      </c>
      <c r="X24" s="19">
        <f t="shared" ca="1" si="1"/>
        <v>-126049</v>
      </c>
      <c r="Y24" s="19">
        <f t="shared" ca="1" si="1"/>
        <v>14799</v>
      </c>
      <c r="Z24" s="19">
        <f t="shared" ca="1" si="1"/>
        <v>-732309.77999973297</v>
      </c>
      <c r="AA24" s="19">
        <f t="shared" ca="1" si="1"/>
        <v>1552775.2500004768</v>
      </c>
      <c r="AB24" s="20">
        <f t="shared" ca="1" si="1"/>
        <v>291457.75</v>
      </c>
      <c r="AC24" s="20">
        <f t="shared" ca="1" si="1"/>
        <v>-732309.78000450134</v>
      </c>
      <c r="AD24" s="16"/>
      <c r="AE24" s="13" t="s">
        <v>40</v>
      </c>
      <c r="AF24" s="14">
        <v>17685139199.066608</v>
      </c>
      <c r="AG24" s="14">
        <v>814261194</v>
      </c>
      <c r="AH24" s="14">
        <v>16744406945.440002</v>
      </c>
      <c r="AI24" s="14">
        <v>12874406598</v>
      </c>
      <c r="AJ24" s="14">
        <v>3821421932</v>
      </c>
      <c r="AK24" s="14">
        <v>48582733</v>
      </c>
      <c r="AL24" s="14">
        <v>126471059.62660265</v>
      </c>
      <c r="AM24" s="14">
        <v>3266276536.9699998</v>
      </c>
      <c r="AN24" s="15">
        <v>9608130061.029995</v>
      </c>
      <c r="AO24" s="15">
        <v>126471059.62660599</v>
      </c>
    </row>
    <row r="25" spans="1:41" x14ac:dyDescent="0.25">
      <c r="A25" s="3">
        <f ca="1">EOMONTH(A23+1,0)</f>
        <v>45688</v>
      </c>
      <c r="B25" s="26" t="s">
        <v>41</v>
      </c>
      <c r="C25" s="27">
        <v>1180464560.8000002</v>
      </c>
      <c r="D25" s="27">
        <v>65721792</v>
      </c>
      <c r="E25" s="27">
        <v>1109370956.7600005</v>
      </c>
      <c r="F25" s="27">
        <v>767307303</v>
      </c>
      <c r="G25" s="27">
        <v>338848056</v>
      </c>
      <c r="H25" s="27">
        <v>3215774</v>
      </c>
      <c r="I25" s="27">
        <f t="shared" ref="I25:I36" ca="1" si="7">C25-E25-D25</f>
        <v>5371812.0399997234</v>
      </c>
      <c r="J25" s="19">
        <v>165476924.57999989</v>
      </c>
      <c r="K25" s="20">
        <v>601830378.41999972</v>
      </c>
      <c r="L25" s="20">
        <f t="shared" ref="L25:L36" ca="1" si="8">C25-E25-D25</f>
        <v>5371812.0399997234</v>
      </c>
      <c r="M25" s="16"/>
      <c r="P25" s="35"/>
      <c r="S25" s="26" t="s">
        <v>41</v>
      </c>
      <c r="T25" s="27">
        <f t="shared" ca="1" si="2"/>
        <v>0</v>
      </c>
      <c r="U25" s="27">
        <f t="shared" ca="1" si="1"/>
        <v>0</v>
      </c>
      <c r="V25" s="27">
        <f t="shared" ca="1" si="1"/>
        <v>1.4700000286102295</v>
      </c>
      <c r="W25" s="27">
        <f t="shared" ca="1" si="1"/>
        <v>-996</v>
      </c>
      <c r="X25" s="27">
        <f t="shared" ca="1" si="1"/>
        <v>991</v>
      </c>
      <c r="Y25" s="27">
        <f t="shared" ca="1" si="1"/>
        <v>0</v>
      </c>
      <c r="Z25" s="27">
        <f t="shared" ca="1" si="1"/>
        <v>-1.4700000286102295</v>
      </c>
      <c r="AA25" s="19">
        <f t="shared" ca="1" si="1"/>
        <v>29439.620000034571</v>
      </c>
      <c r="AB25" s="20">
        <f t="shared" ca="1" si="1"/>
        <v>-30435.620000004768</v>
      </c>
      <c r="AC25" s="20">
        <f t="shared" ca="1" si="1"/>
        <v>-1.4700000286102295</v>
      </c>
      <c r="AD25" s="16"/>
      <c r="AE25" s="26" t="s">
        <v>41</v>
      </c>
      <c r="AF25" s="27">
        <v>1180464560.8000002</v>
      </c>
      <c r="AG25" s="27">
        <v>65721792</v>
      </c>
      <c r="AH25" s="27">
        <v>1109370955.2900004</v>
      </c>
      <c r="AI25" s="27">
        <v>767308299</v>
      </c>
      <c r="AJ25" s="27">
        <v>338847065</v>
      </c>
      <c r="AK25" s="27">
        <v>3215774</v>
      </c>
      <c r="AL25" s="27">
        <v>5371813.509999752</v>
      </c>
      <c r="AM25" s="19">
        <v>165447484.95999986</v>
      </c>
      <c r="AN25" s="20">
        <v>601860814.03999972</v>
      </c>
      <c r="AO25" s="20">
        <v>5371813.509999752</v>
      </c>
    </row>
    <row r="26" spans="1:41" x14ac:dyDescent="0.25">
      <c r="A26" s="3">
        <f t="shared" ref="A26:A33" ca="1" si="9">EOMONTH(A25+1,0)</f>
        <v>45716</v>
      </c>
      <c r="B26" s="30" t="s">
        <v>42</v>
      </c>
      <c r="C26" s="31">
        <v>1258770042.6122916</v>
      </c>
      <c r="D26" s="31">
        <v>64905273</v>
      </c>
      <c r="E26" s="31">
        <v>1189573768.3100011</v>
      </c>
      <c r="F26" s="31">
        <v>808162069</v>
      </c>
      <c r="G26" s="31">
        <v>378552326</v>
      </c>
      <c r="H26" s="31">
        <v>2859574</v>
      </c>
      <c r="I26" s="31">
        <f t="shared" ca="1" si="7"/>
        <v>4291001.3022904396</v>
      </c>
      <c r="J26" s="31">
        <v>162399159.13999999</v>
      </c>
      <c r="K26" s="32">
        <v>645762909.86000025</v>
      </c>
      <c r="L26" s="32">
        <f t="shared" ca="1" si="8"/>
        <v>4291001.3022904396</v>
      </c>
      <c r="M26" s="16"/>
      <c r="S26" s="33" t="s">
        <v>42</v>
      </c>
      <c r="T26" s="19">
        <f t="shared" ca="1" si="2"/>
        <v>0</v>
      </c>
      <c r="U26" s="19">
        <f t="shared" ca="1" si="1"/>
        <v>0</v>
      </c>
      <c r="V26" s="19">
        <f t="shared" ca="1" si="1"/>
        <v>2.0900001525878906</v>
      </c>
      <c r="W26" s="19">
        <f t="shared" ca="1" si="1"/>
        <v>-9</v>
      </c>
      <c r="X26" s="19">
        <f t="shared" ca="1" si="1"/>
        <v>0</v>
      </c>
      <c r="Y26" s="19">
        <f t="shared" ca="1" si="1"/>
        <v>0</v>
      </c>
      <c r="Z26" s="19">
        <f t="shared" ca="1" si="1"/>
        <v>-2.0900001525878906</v>
      </c>
      <c r="AA26" s="19">
        <f t="shared" ca="1" si="1"/>
        <v>-39763.919999957085</v>
      </c>
      <c r="AB26" s="20">
        <f t="shared" ca="1" si="1"/>
        <v>39754.920000195503</v>
      </c>
      <c r="AC26" s="20">
        <f t="shared" ca="1" si="1"/>
        <v>-2.0900001525878906</v>
      </c>
      <c r="AD26" s="16"/>
      <c r="AE26" s="30" t="s">
        <v>42</v>
      </c>
      <c r="AF26" s="31">
        <v>1258770042.6122916</v>
      </c>
      <c r="AG26" s="31">
        <v>64905273</v>
      </c>
      <c r="AH26" s="31">
        <v>1189573766.220001</v>
      </c>
      <c r="AI26" s="31">
        <v>808162078</v>
      </c>
      <c r="AJ26" s="31">
        <v>378552326</v>
      </c>
      <c r="AK26" s="31">
        <v>2859574</v>
      </c>
      <c r="AL26" s="31">
        <v>4291003.3922905922</v>
      </c>
      <c r="AM26" s="31">
        <v>162438923.05999994</v>
      </c>
      <c r="AN26" s="32">
        <v>645723154.94000006</v>
      </c>
      <c r="AO26" s="32">
        <v>4291003.3922905922</v>
      </c>
    </row>
    <row r="27" spans="1:41" x14ac:dyDescent="0.25">
      <c r="A27" s="3">
        <f t="shared" ca="1" si="9"/>
        <v>45747</v>
      </c>
      <c r="B27" s="26" t="s">
        <v>43</v>
      </c>
      <c r="C27" s="27">
        <f ca="1">C68+C110</f>
        <v>1323079653.6561079</v>
      </c>
      <c r="D27" s="27">
        <v>69441622</v>
      </c>
      <c r="E27" s="27">
        <v>1242491236.4700005</v>
      </c>
      <c r="F27" s="27">
        <v>859123980</v>
      </c>
      <c r="G27" s="27">
        <v>380926920</v>
      </c>
      <c r="H27" s="27">
        <v>2440561</v>
      </c>
      <c r="I27" s="27">
        <f t="shared" ca="1" si="7"/>
        <v>11146795.186107397</v>
      </c>
      <c r="J27" s="19">
        <v>186015713.70999992</v>
      </c>
      <c r="K27" s="20">
        <v>673108266.28999996</v>
      </c>
      <c r="L27" s="20">
        <f t="shared" ca="1" si="8"/>
        <v>11146795.186107397</v>
      </c>
      <c r="M27" s="16"/>
      <c r="O27" s="35"/>
      <c r="P27" s="35"/>
      <c r="S27" s="26" t="s">
        <v>43</v>
      </c>
      <c r="T27" s="27">
        <f t="shared" ca="1" si="2"/>
        <v>0</v>
      </c>
      <c r="U27" s="27">
        <f t="shared" ca="1" si="1"/>
        <v>0</v>
      </c>
      <c r="V27" s="27">
        <f t="shared" ca="1" si="1"/>
        <v>1.2200000286102295</v>
      </c>
      <c r="W27" s="27">
        <f t="shared" ca="1" si="1"/>
        <v>-9795</v>
      </c>
      <c r="X27" s="27">
        <f t="shared" ca="1" si="1"/>
        <v>-7</v>
      </c>
      <c r="Y27" s="27">
        <f t="shared" ca="1" si="1"/>
        <v>9799</v>
      </c>
      <c r="Z27" s="27">
        <f t="shared" ca="1" si="1"/>
        <v>-1.2200000286102295</v>
      </c>
      <c r="AA27" s="19">
        <f t="shared" ca="1" si="1"/>
        <v>-10802.189999997616</v>
      </c>
      <c r="AB27" s="20">
        <f t="shared" ca="1" si="1"/>
        <v>1007.1899999380112</v>
      </c>
      <c r="AC27" s="20">
        <f t="shared" ca="1" si="1"/>
        <v>-1.2200000286102295</v>
      </c>
      <c r="AD27" s="16"/>
      <c r="AE27" s="26" t="s">
        <v>43</v>
      </c>
      <c r="AF27" s="27">
        <v>1323079653.6561079</v>
      </c>
      <c r="AG27" s="27">
        <v>69441622</v>
      </c>
      <c r="AH27" s="27">
        <v>1242491235.2500005</v>
      </c>
      <c r="AI27" s="27">
        <v>859133775</v>
      </c>
      <c r="AJ27" s="27">
        <v>380926927</v>
      </c>
      <c r="AK27" s="27">
        <v>2430762</v>
      </c>
      <c r="AL27" s="27">
        <v>11146796.406107426</v>
      </c>
      <c r="AM27" s="19">
        <v>186026515.89999992</v>
      </c>
      <c r="AN27" s="20">
        <v>673107259.10000002</v>
      </c>
      <c r="AO27" s="20">
        <v>11146796.406107426</v>
      </c>
    </row>
    <row r="28" spans="1:41" x14ac:dyDescent="0.25">
      <c r="A28" s="3">
        <f t="shared" ca="1" si="9"/>
        <v>45777</v>
      </c>
      <c r="B28" s="30" t="s">
        <v>44</v>
      </c>
      <c r="C28" s="31">
        <f ca="1">C69+C111+C152</f>
        <v>1598189010.5616996</v>
      </c>
      <c r="D28" s="31">
        <v>79954589</v>
      </c>
      <c r="E28" s="31">
        <v>1510208933.8899999</v>
      </c>
      <c r="F28" s="31">
        <v>1140645654</v>
      </c>
      <c r="G28" s="31">
        <v>367121996</v>
      </c>
      <c r="H28" s="31">
        <v>2441637</v>
      </c>
      <c r="I28" s="31">
        <f t="shared" ca="1" si="7"/>
        <v>8025487.6716997623</v>
      </c>
      <c r="J28" s="31">
        <v>266267164.36999995</v>
      </c>
      <c r="K28" s="32">
        <v>874378489.62999988</v>
      </c>
      <c r="L28" s="32">
        <f t="shared" ca="1" si="8"/>
        <v>8025487.6716997623</v>
      </c>
      <c r="M28" s="16"/>
      <c r="O28" s="35"/>
      <c r="S28" s="33" t="s">
        <v>44</v>
      </c>
      <c r="T28" s="19">
        <f t="shared" ca="1" si="2"/>
        <v>0</v>
      </c>
      <c r="U28" s="19">
        <f t="shared" ca="1" si="1"/>
        <v>0</v>
      </c>
      <c r="V28" s="19">
        <f t="shared" ca="1" si="1"/>
        <v>1.8500001430511475</v>
      </c>
      <c r="W28" s="19">
        <f t="shared" ca="1" si="1"/>
        <v>-5</v>
      </c>
      <c r="X28" s="19">
        <f t="shared" ca="1" si="1"/>
        <v>0</v>
      </c>
      <c r="Y28" s="19">
        <f t="shared" ca="1" si="1"/>
        <v>0</v>
      </c>
      <c r="Z28" s="19">
        <f t="shared" ca="1" si="1"/>
        <v>-1.8500001430511475</v>
      </c>
      <c r="AA28" s="19">
        <f t="shared" ca="1" si="1"/>
        <v>38394.319999933243</v>
      </c>
      <c r="AB28" s="20">
        <f t="shared" ca="1" si="1"/>
        <v>-38399.320000290871</v>
      </c>
      <c r="AC28" s="20">
        <f t="shared" ca="1" si="1"/>
        <v>-1.8500001430511475</v>
      </c>
      <c r="AD28" s="16"/>
      <c r="AE28" s="30" t="s">
        <v>44</v>
      </c>
      <c r="AF28" s="31">
        <v>1598189010.5616996</v>
      </c>
      <c r="AG28" s="31">
        <v>79954589</v>
      </c>
      <c r="AH28" s="31">
        <v>1510208932.0399997</v>
      </c>
      <c r="AI28" s="31">
        <v>1140645659</v>
      </c>
      <c r="AJ28" s="31">
        <v>367121996</v>
      </c>
      <c r="AK28" s="31">
        <v>2441637</v>
      </c>
      <c r="AL28" s="31">
        <v>8025489.5216999054</v>
      </c>
      <c r="AM28" s="31">
        <v>266228770.05000001</v>
      </c>
      <c r="AN28" s="32">
        <v>874416888.95000017</v>
      </c>
      <c r="AO28" s="32">
        <v>8025489.5216999054</v>
      </c>
    </row>
    <row r="29" spans="1:41" x14ac:dyDescent="0.25">
      <c r="A29" s="3">
        <f t="shared" ca="1" si="9"/>
        <v>45808</v>
      </c>
      <c r="B29" s="26" t="s">
        <v>45</v>
      </c>
      <c r="C29" s="27">
        <v>1944449376.8262997</v>
      </c>
      <c r="D29" s="27">
        <v>79033925</v>
      </c>
      <c r="E29" s="27">
        <v>1860926585.2400026</v>
      </c>
      <c r="F29" s="27">
        <v>1370943432</v>
      </c>
      <c r="G29" s="27">
        <v>485635021</v>
      </c>
      <c r="H29" s="27">
        <v>4348425</v>
      </c>
      <c r="I29" s="27">
        <f t="shared" ca="1" si="7"/>
        <v>4488866.5862970352</v>
      </c>
      <c r="J29" s="19">
        <v>330990244.01000017</v>
      </c>
      <c r="K29" s="20">
        <v>1039953187.9899994</v>
      </c>
      <c r="L29" s="20">
        <f t="shared" ca="1" si="8"/>
        <v>4488866.5862970352</v>
      </c>
      <c r="M29" s="16"/>
      <c r="S29" s="26" t="s">
        <v>45</v>
      </c>
      <c r="T29" s="27">
        <f t="shared" ca="1" si="2"/>
        <v>0</v>
      </c>
      <c r="U29" s="27">
        <f t="shared" ca="1" si="1"/>
        <v>0</v>
      </c>
      <c r="V29" s="27">
        <f t="shared" ca="1" si="1"/>
        <v>1003.25</v>
      </c>
      <c r="W29" s="27">
        <f t="shared" ca="1" si="1"/>
        <v>98994</v>
      </c>
      <c r="X29" s="27">
        <f t="shared" ca="1" si="1"/>
        <v>-99008</v>
      </c>
      <c r="Y29" s="27">
        <f t="shared" ca="1" si="1"/>
        <v>1000</v>
      </c>
      <c r="Z29" s="27">
        <f t="shared" ca="1" si="1"/>
        <v>-1003.25</v>
      </c>
      <c r="AA29" s="19">
        <f t="shared" ca="1" si="1"/>
        <v>7938.7999999523163</v>
      </c>
      <c r="AB29" s="20">
        <f t="shared" ca="1" si="1"/>
        <v>91055.199999928474</v>
      </c>
      <c r="AC29" s="20">
        <f t="shared" ca="1" si="1"/>
        <v>-1003.25</v>
      </c>
      <c r="AD29" s="16"/>
      <c r="AE29" s="26" t="s">
        <v>45</v>
      </c>
      <c r="AF29" s="27">
        <v>1944449376.8262997</v>
      </c>
      <c r="AG29" s="27">
        <v>79033925</v>
      </c>
      <c r="AH29" s="27">
        <v>1860925581.9900026</v>
      </c>
      <c r="AI29" s="27">
        <v>1370844438</v>
      </c>
      <c r="AJ29" s="27">
        <v>485734029</v>
      </c>
      <c r="AK29" s="27">
        <v>4347425</v>
      </c>
      <c r="AL29" s="27">
        <v>4489869.8362970352</v>
      </c>
      <c r="AM29" s="19">
        <v>330982305.21000022</v>
      </c>
      <c r="AN29" s="20">
        <v>1039862132.7899995</v>
      </c>
      <c r="AO29" s="20">
        <v>4489869.8362970352</v>
      </c>
    </row>
    <row r="30" spans="1:41" x14ac:dyDescent="0.25">
      <c r="A30" s="3">
        <f t="shared" ca="1" si="9"/>
        <v>45838</v>
      </c>
      <c r="B30" s="30" t="s">
        <v>46</v>
      </c>
      <c r="C30" s="31">
        <v>1472278323.2005398</v>
      </c>
      <c r="D30" s="31">
        <v>68830274</v>
      </c>
      <c r="E30" s="31">
        <v>1400346008.6199992</v>
      </c>
      <c r="F30" s="31">
        <v>1099329815</v>
      </c>
      <c r="G30" s="31">
        <v>296353229</v>
      </c>
      <c r="H30" s="31">
        <v>4663369</v>
      </c>
      <c r="I30" s="31">
        <f t="shared" ca="1" si="7"/>
        <v>3102040.580540657</v>
      </c>
      <c r="J30" s="31">
        <v>260168317.71000004</v>
      </c>
      <c r="K30" s="32">
        <v>839161497.28999877</v>
      </c>
      <c r="L30" s="32">
        <f t="shared" ca="1" si="8"/>
        <v>3102040.580540657</v>
      </c>
      <c r="M30" s="16"/>
      <c r="S30" s="33" t="s">
        <v>46</v>
      </c>
      <c r="T30" s="19">
        <f t="shared" ca="1" si="2"/>
        <v>0</v>
      </c>
      <c r="U30" s="19">
        <f t="shared" ca="1" si="1"/>
        <v>0</v>
      </c>
      <c r="V30" s="19">
        <f t="shared" ca="1" si="1"/>
        <v>3.0999996662139893</v>
      </c>
      <c r="W30" s="19">
        <f t="shared" ca="1" si="1"/>
        <v>-7</v>
      </c>
      <c r="X30" s="19">
        <f t="shared" ca="1" si="1"/>
        <v>0</v>
      </c>
      <c r="Y30" s="19">
        <f t="shared" ca="1" si="1"/>
        <v>0</v>
      </c>
      <c r="Z30" s="19">
        <f t="shared" ca="1" si="1"/>
        <v>-3.0999996662139893</v>
      </c>
      <c r="AA30" s="19">
        <f t="shared" ca="1" si="1"/>
        <v>38481.139999985695</v>
      </c>
      <c r="AB30" s="20">
        <f t="shared" ca="1" si="1"/>
        <v>-38488.139999985695</v>
      </c>
      <c r="AC30" s="20">
        <f t="shared" ca="1" si="1"/>
        <v>-3.0999996662139893</v>
      </c>
      <c r="AD30" s="16"/>
      <c r="AE30" s="30" t="s">
        <v>46</v>
      </c>
      <c r="AF30" s="31">
        <v>1472278323.2005398</v>
      </c>
      <c r="AG30" s="31">
        <v>68830274</v>
      </c>
      <c r="AH30" s="31">
        <v>1400346005.5199995</v>
      </c>
      <c r="AI30" s="31">
        <v>1099329822</v>
      </c>
      <c r="AJ30" s="31">
        <v>296353229</v>
      </c>
      <c r="AK30" s="31">
        <v>4663369</v>
      </c>
      <c r="AL30" s="31">
        <v>3102043.6805403233</v>
      </c>
      <c r="AM30" s="31">
        <v>260129836.57000005</v>
      </c>
      <c r="AN30" s="32">
        <v>839199985.42999876</v>
      </c>
      <c r="AO30" s="32">
        <v>3102043.6805403233</v>
      </c>
    </row>
    <row r="31" spans="1:41" x14ac:dyDescent="0.25">
      <c r="A31" s="3">
        <f t="shared" ca="1" si="9"/>
        <v>45869</v>
      </c>
      <c r="B31" s="26" t="s">
        <v>47</v>
      </c>
      <c r="C31" s="27">
        <v>1625720365.1625412</v>
      </c>
      <c r="D31" s="27">
        <v>70900193</v>
      </c>
      <c r="E31" s="27">
        <v>1547490483.2999988</v>
      </c>
      <c r="F31" s="27">
        <v>1274543105</v>
      </c>
      <c r="G31" s="27">
        <v>262770133</v>
      </c>
      <c r="H31" s="27">
        <v>10177651</v>
      </c>
      <c r="I31" s="27">
        <f t="shared" ca="1" si="7"/>
        <v>7329688.8625423908</v>
      </c>
      <c r="J31" s="19">
        <v>274302389.89000034</v>
      </c>
      <c r="K31" s="20">
        <v>1000240715.110001</v>
      </c>
      <c r="L31" s="20">
        <f t="shared" ca="1" si="8"/>
        <v>7329688.8625423908</v>
      </c>
      <c r="M31" s="16"/>
      <c r="S31" s="26" t="s">
        <v>47</v>
      </c>
      <c r="T31" s="27">
        <f t="shared" ca="1" si="2"/>
        <v>0</v>
      </c>
      <c r="U31" s="27">
        <f t="shared" ca="1" si="1"/>
        <v>0</v>
      </c>
      <c r="V31" s="27">
        <f t="shared" ca="1" si="1"/>
        <v>1.940000057220459</v>
      </c>
      <c r="W31" s="27">
        <f t="shared" ca="1" si="1"/>
        <v>-11</v>
      </c>
      <c r="X31" s="27">
        <f t="shared" ca="1" si="1"/>
        <v>2</v>
      </c>
      <c r="Y31" s="27">
        <f t="shared" ca="1" si="1"/>
        <v>0</v>
      </c>
      <c r="Z31" s="27">
        <f t="shared" ca="1" si="1"/>
        <v>-1.940000057220459</v>
      </c>
      <c r="AA31" s="19">
        <f t="shared" ca="1" si="1"/>
        <v>5055.3299999237061</v>
      </c>
      <c r="AB31" s="20">
        <f t="shared" ca="1" si="1"/>
        <v>-5066.3299998044968</v>
      </c>
      <c r="AC31" s="20">
        <f t="shared" ca="1" si="1"/>
        <v>-1.940000057220459</v>
      </c>
      <c r="AD31" s="16"/>
      <c r="AE31" s="26" t="s">
        <v>47</v>
      </c>
      <c r="AF31" s="27">
        <v>1625720365.1625412</v>
      </c>
      <c r="AG31" s="27">
        <v>70900193</v>
      </c>
      <c r="AH31" s="27">
        <v>1547490481.3599987</v>
      </c>
      <c r="AI31" s="27">
        <v>1274543116</v>
      </c>
      <c r="AJ31" s="27">
        <v>262770131</v>
      </c>
      <c r="AK31" s="27">
        <v>10177651</v>
      </c>
      <c r="AL31" s="27">
        <v>7329690.802542448</v>
      </c>
      <c r="AM31" s="19">
        <v>274297334.56000042</v>
      </c>
      <c r="AN31" s="20">
        <v>1000245781.4400008</v>
      </c>
      <c r="AO31" s="20">
        <v>7329690.802542448</v>
      </c>
    </row>
    <row r="32" spans="1:41" x14ac:dyDescent="0.25">
      <c r="A32" s="3">
        <f ca="1">EOMONTH(A31+1,0)</f>
        <v>45900</v>
      </c>
      <c r="B32" s="30" t="s">
        <v>48</v>
      </c>
      <c r="C32" s="31">
        <v>1406332828.6631567</v>
      </c>
      <c r="D32" s="31">
        <v>61803640</v>
      </c>
      <c r="E32" s="31">
        <v>1333214444.3499994</v>
      </c>
      <c r="F32" s="31">
        <v>1102695131</v>
      </c>
      <c r="G32" s="31">
        <v>224969722</v>
      </c>
      <c r="H32" s="31">
        <v>5549969</v>
      </c>
      <c r="I32" s="31">
        <f t="shared" ca="1" si="7"/>
        <v>11314744.31315732</v>
      </c>
      <c r="J32" s="31">
        <v>319591705.60000008</v>
      </c>
      <c r="K32" s="32">
        <v>783103425.39999866</v>
      </c>
      <c r="L32" s="32">
        <f t="shared" ca="1" si="8"/>
        <v>11314744.31315732</v>
      </c>
      <c r="M32" s="16"/>
      <c r="S32" s="33" t="s">
        <v>48</v>
      </c>
      <c r="T32" s="19">
        <f t="shared" ca="1" si="2"/>
        <v>0</v>
      </c>
      <c r="U32" s="19">
        <f t="shared" ca="1" si="1"/>
        <v>0</v>
      </c>
      <c r="V32" s="19">
        <f t="shared" ca="1" si="1"/>
        <v>1.4799997806549072</v>
      </c>
      <c r="W32" s="19">
        <f t="shared" ca="1" si="1"/>
        <v>-2994</v>
      </c>
      <c r="X32" s="19">
        <f t="shared" ca="1" si="1"/>
        <v>-3</v>
      </c>
      <c r="Y32" s="19">
        <f t="shared" ca="1" si="1"/>
        <v>3000</v>
      </c>
      <c r="Z32" s="19">
        <f t="shared" ca="1" si="1"/>
        <v>-1.4799997806549072</v>
      </c>
      <c r="AA32" s="19">
        <f t="shared" ca="1" si="1"/>
        <v>32805.409999966621</v>
      </c>
      <c r="AB32" s="20">
        <f t="shared" ca="1" si="1"/>
        <v>-35799.409999847412</v>
      </c>
      <c r="AC32" s="20">
        <f t="shared" ca="1" si="1"/>
        <v>-1.4799997806549072</v>
      </c>
      <c r="AD32" s="16"/>
      <c r="AE32" s="30" t="s">
        <v>48</v>
      </c>
      <c r="AF32" s="31">
        <v>1406332828.6631567</v>
      </c>
      <c r="AG32" s="31">
        <v>61803640</v>
      </c>
      <c r="AH32" s="31">
        <v>1333214442.8699996</v>
      </c>
      <c r="AI32" s="31">
        <v>1102698125</v>
      </c>
      <c r="AJ32" s="31">
        <v>224969725</v>
      </c>
      <c r="AK32" s="31">
        <v>5546969</v>
      </c>
      <c r="AL32" s="31">
        <v>11314745.793157101</v>
      </c>
      <c r="AM32" s="31">
        <v>319558900.19000012</v>
      </c>
      <c r="AN32" s="32">
        <v>783139224.80999851</v>
      </c>
      <c r="AO32" s="32">
        <v>11314745.793157101</v>
      </c>
    </row>
    <row r="33" spans="1:41" x14ac:dyDescent="0.25">
      <c r="A33" s="3">
        <f t="shared" ca="1" si="9"/>
        <v>45930</v>
      </c>
      <c r="B33" s="26" t="s">
        <v>49</v>
      </c>
      <c r="C33" s="27">
        <v>1432479625.8890853</v>
      </c>
      <c r="D33" s="27">
        <v>67497164</v>
      </c>
      <c r="E33" s="27">
        <v>1353168372.1799996</v>
      </c>
      <c r="F33" s="27">
        <v>1061165347</v>
      </c>
      <c r="G33" s="27">
        <v>288019909</v>
      </c>
      <c r="H33" s="27">
        <v>3983562</v>
      </c>
      <c r="I33" s="27">
        <f t="shared" ca="1" si="7"/>
        <v>11814089.709085703</v>
      </c>
      <c r="J33" s="19">
        <v>264926279.78999981</v>
      </c>
      <c r="K33" s="20">
        <v>796239067.21000016</v>
      </c>
      <c r="L33" s="20">
        <f t="shared" ca="1" si="8"/>
        <v>11814089.709085703</v>
      </c>
      <c r="M33" s="16"/>
      <c r="S33" s="26" t="s">
        <v>49</v>
      </c>
      <c r="T33" s="27">
        <f t="shared" ca="1" si="2"/>
        <v>0</v>
      </c>
      <c r="U33" s="27">
        <f t="shared" ca="1" si="1"/>
        <v>0</v>
      </c>
      <c r="V33" s="27">
        <f t="shared" ca="1" si="1"/>
        <v>149973.68000006676</v>
      </c>
      <c r="W33" s="27">
        <f t="shared" ca="1" si="1"/>
        <v>175258</v>
      </c>
      <c r="X33" s="27">
        <f t="shared" ca="1" si="1"/>
        <v>-25299</v>
      </c>
      <c r="Y33" s="27">
        <f t="shared" ca="1" si="1"/>
        <v>0</v>
      </c>
      <c r="Z33" s="27">
        <f t="shared" ca="1" si="1"/>
        <v>-149973.68000006676</v>
      </c>
      <c r="AA33" s="19">
        <f t="shared" ca="1" si="1"/>
        <v>41001.559999972582</v>
      </c>
      <c r="AB33" s="20">
        <f t="shared" ca="1" si="1"/>
        <v>134256.43999993801</v>
      </c>
      <c r="AC33" s="20">
        <f t="shared" ca="1" si="1"/>
        <v>-149973.68000006676</v>
      </c>
      <c r="AD33" s="16"/>
      <c r="AE33" s="26" t="s">
        <v>49</v>
      </c>
      <c r="AF33" s="27">
        <v>1432479625.8890853</v>
      </c>
      <c r="AG33" s="27">
        <v>67497164</v>
      </c>
      <c r="AH33" s="27">
        <v>1353018398.4999995</v>
      </c>
      <c r="AI33" s="27">
        <v>1060990089</v>
      </c>
      <c r="AJ33" s="27">
        <v>288045208</v>
      </c>
      <c r="AK33" s="27">
        <v>3983562</v>
      </c>
      <c r="AL33" s="27">
        <v>11964063.38908577</v>
      </c>
      <c r="AM33" s="19">
        <v>264885278.22999984</v>
      </c>
      <c r="AN33" s="20">
        <v>796104810.77000022</v>
      </c>
      <c r="AO33" s="20">
        <v>11964063.38908577</v>
      </c>
    </row>
    <row r="34" spans="1:41" x14ac:dyDescent="0.25">
      <c r="A34" s="3">
        <f ca="1">EOMONTH(A33+1,0)</f>
        <v>45961</v>
      </c>
      <c r="B34" s="30" t="s">
        <v>50</v>
      </c>
      <c r="C34" s="31">
        <v>1595693703.0987666</v>
      </c>
      <c r="D34" s="31">
        <v>67826211</v>
      </c>
      <c r="E34" s="31">
        <v>1514878532.5300016</v>
      </c>
      <c r="F34" s="31">
        <v>1230466877</v>
      </c>
      <c r="G34" s="31">
        <v>280841968</v>
      </c>
      <c r="H34" s="31">
        <v>3570199</v>
      </c>
      <c r="I34" s="31">
        <f t="shared" ca="1" si="7"/>
        <v>12988959.568764925</v>
      </c>
      <c r="J34" s="31">
        <v>334129614.22000003</v>
      </c>
      <c r="K34" s="32">
        <v>896337262.78000164</v>
      </c>
      <c r="L34" s="32">
        <f t="shared" ca="1" si="8"/>
        <v>12988959.568764925</v>
      </c>
      <c r="M34" s="16"/>
      <c r="N34" s="16"/>
      <c r="S34" s="33" t="s">
        <v>50</v>
      </c>
      <c r="T34" s="19">
        <f t="shared" ca="1" si="2"/>
        <v>0</v>
      </c>
      <c r="U34" s="19">
        <f t="shared" ca="1" si="1"/>
        <v>0</v>
      </c>
      <c r="V34" s="19">
        <f t="shared" ca="1" si="1"/>
        <v>577315.89999961853</v>
      </c>
      <c r="W34" s="19">
        <f t="shared" ca="1" si="1"/>
        <v>580017</v>
      </c>
      <c r="X34" s="19">
        <f t="shared" ca="1" si="1"/>
        <v>-2708</v>
      </c>
      <c r="Y34" s="19">
        <f t="shared" ca="1" si="1"/>
        <v>0</v>
      </c>
      <c r="Z34" s="19">
        <f t="shared" ca="1" si="1"/>
        <v>-577315.89999961853</v>
      </c>
      <c r="AA34" s="19">
        <f t="shared" ca="1" si="1"/>
        <v>451783.46000009775</v>
      </c>
      <c r="AB34" s="20">
        <f t="shared" ca="1" si="1"/>
        <v>128233.54000008106</v>
      </c>
      <c r="AC34" s="20">
        <f t="shared" ca="1" si="1"/>
        <v>-577315.89999961853</v>
      </c>
      <c r="AD34" s="16"/>
      <c r="AE34" s="30" t="s">
        <v>50</v>
      </c>
      <c r="AF34" s="31">
        <v>1595693703.0987666</v>
      </c>
      <c r="AG34" s="31">
        <v>67826211</v>
      </c>
      <c r="AH34" s="31">
        <v>1514301216.630002</v>
      </c>
      <c r="AI34" s="31">
        <v>1229886860</v>
      </c>
      <c r="AJ34" s="31">
        <v>280844676</v>
      </c>
      <c r="AK34" s="31">
        <v>3570199</v>
      </c>
      <c r="AL34" s="31">
        <v>13566275.468764544</v>
      </c>
      <c r="AM34" s="31">
        <v>333677830.75999993</v>
      </c>
      <c r="AN34" s="32">
        <v>896209029.24000156</v>
      </c>
      <c r="AO34" s="32">
        <v>13566275.468764544</v>
      </c>
    </row>
    <row r="35" spans="1:41" x14ac:dyDescent="0.25">
      <c r="A35" s="3">
        <f ca="1">EOMONTH(A34+1,0)</f>
        <v>45991</v>
      </c>
      <c r="B35" s="26" t="s">
        <v>51</v>
      </c>
      <c r="C35" s="27">
        <v>1362078826.2900002</v>
      </c>
      <c r="D35" s="27">
        <v>52464720</v>
      </c>
      <c r="E35" s="27">
        <v>1291624800.0200005</v>
      </c>
      <c r="F35" s="27">
        <v>1053588885</v>
      </c>
      <c r="G35" s="27">
        <v>235254193</v>
      </c>
      <c r="H35" s="27">
        <v>2782147</v>
      </c>
      <c r="I35" s="27">
        <f t="shared" ca="1" si="7"/>
        <v>17989306.269999743</v>
      </c>
      <c r="J35" s="19">
        <v>294335990.88999999</v>
      </c>
      <c r="K35" s="20">
        <v>759252894.10999739</v>
      </c>
      <c r="L35" s="20">
        <f t="shared" ca="1" si="8"/>
        <v>17989306.269999743</v>
      </c>
      <c r="M35" s="16"/>
      <c r="S35" s="26" t="s">
        <v>51</v>
      </c>
      <c r="T35" s="27">
        <f t="shared" ca="1" si="2"/>
        <v>0</v>
      </c>
      <c r="U35" s="27">
        <f t="shared" ca="1" si="1"/>
        <v>0</v>
      </c>
      <c r="V35" s="27">
        <f t="shared" ca="1" si="1"/>
        <v>4001.1000001430511</v>
      </c>
      <c r="W35" s="27">
        <f t="shared" ca="1" si="1"/>
        <v>3004</v>
      </c>
      <c r="X35" s="27">
        <f t="shared" ref="X35:AC71" ca="1" si="10">G35-AJ35</f>
        <v>-12</v>
      </c>
      <c r="Y35" s="27">
        <f t="shared" ca="1" si="10"/>
        <v>1000</v>
      </c>
      <c r="Z35" s="27">
        <f t="shared" ca="1" si="10"/>
        <v>-4001.1000001430511</v>
      </c>
      <c r="AA35" s="19">
        <f t="shared" ca="1" si="10"/>
        <v>-97018.909999966621</v>
      </c>
      <c r="AB35" s="20">
        <f t="shared" ca="1" si="10"/>
        <v>100022.91000008583</v>
      </c>
      <c r="AC35" s="20">
        <f t="shared" ca="1" si="10"/>
        <v>-4001.1000001430511</v>
      </c>
      <c r="AD35" s="16"/>
      <c r="AE35" s="26" t="s">
        <v>51</v>
      </c>
      <c r="AF35" s="27">
        <v>1362078826.2900002</v>
      </c>
      <c r="AG35" s="27">
        <v>52464720</v>
      </c>
      <c r="AH35" s="27">
        <v>1291620798.9200003</v>
      </c>
      <c r="AI35" s="27">
        <v>1053585881</v>
      </c>
      <c r="AJ35" s="27">
        <v>235254205</v>
      </c>
      <c r="AK35" s="27">
        <v>2781147</v>
      </c>
      <c r="AL35" s="27">
        <v>17993307.369999886</v>
      </c>
      <c r="AM35" s="19">
        <v>294433009.79999995</v>
      </c>
      <c r="AN35" s="20">
        <v>759152871.19999731</v>
      </c>
      <c r="AO35" s="20">
        <v>17993307.369999886</v>
      </c>
    </row>
    <row r="36" spans="1:41" x14ac:dyDescent="0.25">
      <c r="A36" s="3">
        <f ca="1">EOMONTH(A35+1,0)</f>
        <v>46022</v>
      </c>
      <c r="B36" s="30" t="s">
        <v>52</v>
      </c>
      <c r="C36" s="31">
        <v>1485602882.3061185</v>
      </c>
      <c r="D36" s="31">
        <v>64881016</v>
      </c>
      <c r="E36" s="31">
        <v>1392845908.5500007</v>
      </c>
      <c r="F36" s="31">
        <v>1108279233</v>
      </c>
      <c r="G36" s="31">
        <v>282002410</v>
      </c>
      <c r="H36" s="31">
        <v>2564664</v>
      </c>
      <c r="I36" s="31">
        <f t="shared" ca="1" si="7"/>
        <v>27875957.756117821</v>
      </c>
      <c r="J36" s="31">
        <v>409225808.31</v>
      </c>
      <c r="K36" s="32">
        <v>699053424.68999863</v>
      </c>
      <c r="L36" s="32">
        <f t="shared" ca="1" si="8"/>
        <v>27875957.756117821</v>
      </c>
      <c r="M36" s="16"/>
      <c r="S36" s="33" t="s">
        <v>52</v>
      </c>
      <c r="T36" s="19">
        <f t="shared" ca="1" si="2"/>
        <v>0</v>
      </c>
      <c r="U36" s="19">
        <f t="shared" ca="1" si="2"/>
        <v>-1000775</v>
      </c>
      <c r="V36" s="19">
        <f t="shared" ca="1" si="2"/>
        <v>1000777.7000000477</v>
      </c>
      <c r="W36" s="19">
        <f t="shared" ca="1" si="2"/>
        <v>1000777</v>
      </c>
      <c r="X36" s="19">
        <f t="shared" ca="1" si="10"/>
        <v>-5</v>
      </c>
      <c r="Y36" s="19">
        <f t="shared" ca="1" si="10"/>
        <v>0</v>
      </c>
      <c r="Z36" s="19">
        <f t="shared" ca="1" si="10"/>
        <v>-2.7000000476837158</v>
      </c>
      <c r="AA36" s="19">
        <f t="shared" ca="1" si="10"/>
        <v>1055460.6300001144</v>
      </c>
      <c r="AB36" s="20">
        <f t="shared" ca="1" si="10"/>
        <v>-54683.629999995232</v>
      </c>
      <c r="AC36" s="20">
        <f t="shared" ca="1" si="10"/>
        <v>-2.7000000476837158</v>
      </c>
      <c r="AD36" s="16"/>
      <c r="AE36" s="30" t="s">
        <v>52</v>
      </c>
      <c r="AF36" s="31">
        <v>1485602882.3061185</v>
      </c>
      <c r="AG36" s="31">
        <v>65881791</v>
      </c>
      <c r="AH36" s="31">
        <v>1391845130.8500006</v>
      </c>
      <c r="AI36" s="31">
        <v>1107278456</v>
      </c>
      <c r="AJ36" s="31">
        <v>282002415</v>
      </c>
      <c r="AK36" s="31">
        <v>2564664</v>
      </c>
      <c r="AL36" s="31">
        <v>27875960.456117868</v>
      </c>
      <c r="AM36" s="31">
        <v>408170347.67999989</v>
      </c>
      <c r="AN36" s="32">
        <v>699108108.31999862</v>
      </c>
      <c r="AO36" s="32">
        <v>27875960.456117868</v>
      </c>
    </row>
    <row r="37" spans="1:41" x14ac:dyDescent="0.25">
      <c r="A37" s="25">
        <f ca="1">A36</f>
        <v>46022</v>
      </c>
      <c r="B37" s="13" t="s">
        <v>53</v>
      </c>
      <c r="C37" s="14">
        <f ca="1">SUM(C38:C42)</f>
        <v>5159651854.0993099</v>
      </c>
      <c r="D37" s="14">
        <f t="shared" ref="D37:L37" ca="1" si="11">SUM(D38:D42)</f>
        <v>166812996</v>
      </c>
      <c r="E37" s="14">
        <f t="shared" ca="1" si="11"/>
        <v>4704801070.3399935</v>
      </c>
      <c r="F37" s="14">
        <f t="shared" ca="1" si="11"/>
        <v>3989466475</v>
      </c>
      <c r="G37" s="14">
        <f t="shared" ca="1" si="11"/>
        <v>702267049</v>
      </c>
      <c r="H37" s="14">
        <f t="shared" ca="1" si="11"/>
        <v>13069540</v>
      </c>
      <c r="I37" s="14">
        <f t="shared" ca="1" si="11"/>
        <v>288037787.75931537</v>
      </c>
      <c r="J37" s="14">
        <f t="shared" ca="1" si="11"/>
        <v>1104556736.049999</v>
      </c>
      <c r="K37" s="15">
        <f t="shared" ca="1" si="11"/>
        <v>2884909738.9499998</v>
      </c>
      <c r="L37" s="15">
        <f t="shared" ca="1" si="11"/>
        <v>288037787.75931537</v>
      </c>
      <c r="M37" s="16"/>
      <c r="S37" s="18" t="s">
        <v>53</v>
      </c>
      <c r="T37" s="19">
        <f t="shared" ca="1" si="2"/>
        <v>65971849.84953022</v>
      </c>
      <c r="U37" s="19">
        <f t="shared" ca="1" si="2"/>
        <v>1184486</v>
      </c>
      <c r="V37" s="19">
        <f t="shared" ca="1" si="2"/>
        <v>69233280.619998932</v>
      </c>
      <c r="W37" s="19">
        <f t="shared" ca="1" si="2"/>
        <v>63773400</v>
      </c>
      <c r="X37" s="19">
        <f t="shared" ca="1" si="10"/>
        <v>5214699</v>
      </c>
      <c r="Y37" s="19">
        <f t="shared" ca="1" si="10"/>
        <v>245177</v>
      </c>
      <c r="Z37" s="19">
        <f t="shared" ca="1" si="10"/>
        <v>-4445916.7704697847</v>
      </c>
      <c r="AA37" s="19">
        <f t="shared" ca="1" si="10"/>
        <v>14611150.450000048</v>
      </c>
      <c r="AB37" s="20">
        <f t="shared" ca="1" si="10"/>
        <v>49162249.550000668</v>
      </c>
      <c r="AC37" s="20">
        <f t="shared" ca="1" si="10"/>
        <v>-4445916.7704697847</v>
      </c>
      <c r="AD37" s="16"/>
      <c r="AE37" s="13" t="s">
        <v>53</v>
      </c>
      <c r="AF37" s="14">
        <v>5093680004.2497797</v>
      </c>
      <c r="AG37" s="14">
        <v>165628510</v>
      </c>
      <c r="AH37" s="14">
        <v>4635567789.7199945</v>
      </c>
      <c r="AI37" s="14">
        <v>3925693075</v>
      </c>
      <c r="AJ37" s="14">
        <v>697052350</v>
      </c>
      <c r="AK37" s="14">
        <v>12824363</v>
      </c>
      <c r="AL37" s="14">
        <v>292483704.52978516</v>
      </c>
      <c r="AM37" s="14">
        <v>1089945585.599999</v>
      </c>
      <c r="AN37" s="15">
        <v>2835747489.3999991</v>
      </c>
      <c r="AO37" s="15">
        <v>292483704.52978516</v>
      </c>
    </row>
    <row r="38" spans="1:41" x14ac:dyDescent="0.25">
      <c r="A38" s="3">
        <f ca="1">EOMONTH(A36+1,0)</f>
        <v>46053</v>
      </c>
      <c r="B38" s="26" t="s">
        <v>54</v>
      </c>
      <c r="C38" s="27">
        <v>1400456434.1794889</v>
      </c>
      <c r="D38" s="27">
        <v>60584218</v>
      </c>
      <c r="E38" s="27">
        <v>1317364330.599998</v>
      </c>
      <c r="F38" s="27">
        <v>1083565209</v>
      </c>
      <c r="G38" s="27">
        <v>231454801</v>
      </c>
      <c r="H38" s="27">
        <v>2344798</v>
      </c>
      <c r="I38" s="27">
        <f ca="1">C38-E38-D38</f>
        <v>22507885.5794909</v>
      </c>
      <c r="J38" s="19">
        <v>300481292.53999954</v>
      </c>
      <c r="K38" s="20">
        <v>783083916.46000004</v>
      </c>
      <c r="L38" s="20">
        <f t="shared" ref="L38:L43" ca="1" si="12">C38-E38-D38</f>
        <v>22507885.5794909</v>
      </c>
      <c r="M38" s="16"/>
      <c r="P38" s="35"/>
      <c r="S38" s="26" t="s">
        <v>54</v>
      </c>
      <c r="T38" s="27">
        <f t="shared" ca="1" si="2"/>
        <v>0</v>
      </c>
      <c r="U38" s="27">
        <f t="shared" ca="1" si="2"/>
        <v>0</v>
      </c>
      <c r="V38" s="27">
        <f t="shared" ca="1" si="2"/>
        <v>14000.959999799728</v>
      </c>
      <c r="W38" s="27">
        <f t="shared" ca="1" si="2"/>
        <v>11990</v>
      </c>
      <c r="X38" s="27">
        <f ca="1">G38-AJ38</f>
        <v>-3</v>
      </c>
      <c r="Y38" s="27">
        <f t="shared" ca="1" si="10"/>
        <v>2000</v>
      </c>
      <c r="Z38" s="27">
        <f ca="1">I38-AL38</f>
        <v>-14000.959999799728</v>
      </c>
      <c r="AA38" s="19">
        <f t="shared" ca="1" si="10"/>
        <v>32506.329999923706</v>
      </c>
      <c r="AB38" s="20">
        <f t="shared" ca="1" si="10"/>
        <v>-20516.329999804497</v>
      </c>
      <c r="AC38" s="20">
        <f t="shared" ca="1" si="10"/>
        <v>-14000.959999799728</v>
      </c>
      <c r="AD38" s="16"/>
      <c r="AE38" s="26" t="s">
        <v>54</v>
      </c>
      <c r="AF38" s="27">
        <v>1400456434.1794889</v>
      </c>
      <c r="AG38" s="27">
        <v>60584218</v>
      </c>
      <c r="AH38" s="27">
        <v>1317350329.6399982</v>
      </c>
      <c r="AI38" s="27">
        <v>1083553219</v>
      </c>
      <c r="AJ38" s="27">
        <v>231454804</v>
      </c>
      <c r="AK38" s="27">
        <v>2342798</v>
      </c>
      <c r="AL38" s="27">
        <v>22521886.5394907</v>
      </c>
      <c r="AM38" s="19">
        <v>300448786.20999962</v>
      </c>
      <c r="AN38" s="20">
        <v>783104432.78999984</v>
      </c>
      <c r="AO38" s="20">
        <v>22521886.5394907</v>
      </c>
    </row>
    <row r="39" spans="1:41" x14ac:dyDescent="0.25">
      <c r="A39" s="3">
        <f ca="1">EOMONTH(A38+1,0)</f>
        <v>46081</v>
      </c>
      <c r="B39" s="30" t="s">
        <v>55</v>
      </c>
      <c r="C39" s="31">
        <v>1322812098</v>
      </c>
      <c r="D39" s="31">
        <v>58065532</v>
      </c>
      <c r="E39" s="31">
        <v>1244340800.2899983</v>
      </c>
      <c r="F39" s="31">
        <v>990560081</v>
      </c>
      <c r="G39" s="31">
        <v>251180015</v>
      </c>
      <c r="H39" s="31">
        <v>2601244</v>
      </c>
      <c r="I39" s="31">
        <f ca="1">C39-E39-D39</f>
        <v>20405765.710001707</v>
      </c>
      <c r="J39" s="31">
        <v>311161579.29999971</v>
      </c>
      <c r="K39" s="32">
        <v>679398501.69999981</v>
      </c>
      <c r="L39" s="32">
        <f t="shared" ca="1" si="12"/>
        <v>20405765.710001707</v>
      </c>
      <c r="M39" s="16"/>
      <c r="S39" s="33" t="s">
        <v>55</v>
      </c>
      <c r="T39" s="19">
        <f t="shared" ca="1" si="2"/>
        <v>0</v>
      </c>
      <c r="U39" s="19">
        <f t="shared" ca="1" si="2"/>
        <v>0</v>
      </c>
      <c r="V39" s="19">
        <f t="shared" ca="1" si="2"/>
        <v>744666.86999988556</v>
      </c>
      <c r="W39" s="19">
        <f t="shared" ca="1" si="2"/>
        <v>746632</v>
      </c>
      <c r="X39" s="19">
        <f ca="1">G39-AJ39</f>
        <v>-1969</v>
      </c>
      <c r="Y39" s="19">
        <f t="shared" ca="1" si="10"/>
        <v>0</v>
      </c>
      <c r="Z39" s="19">
        <f ca="1">I39-AL39</f>
        <v>-744666.86999988556</v>
      </c>
      <c r="AA39" s="19">
        <f t="shared" ca="1" si="10"/>
        <v>346078.31999999285</v>
      </c>
      <c r="AB39" s="20">
        <f t="shared" ca="1" si="10"/>
        <v>400553.68000006676</v>
      </c>
      <c r="AC39" s="20">
        <f t="shared" ca="1" si="10"/>
        <v>-744666.86999988556</v>
      </c>
      <c r="AD39" s="16"/>
      <c r="AE39" s="30" t="s">
        <v>55</v>
      </c>
      <c r="AF39" s="31">
        <v>1322812098</v>
      </c>
      <c r="AG39" s="31">
        <v>58065532</v>
      </c>
      <c r="AH39" s="31">
        <v>1243596133.4199984</v>
      </c>
      <c r="AI39" s="31">
        <v>989813449</v>
      </c>
      <c r="AJ39" s="31">
        <v>251181984</v>
      </c>
      <c r="AK39" s="31">
        <v>2601244</v>
      </c>
      <c r="AL39" s="31">
        <v>21150432.580001593</v>
      </c>
      <c r="AM39" s="31">
        <v>310815500.97999972</v>
      </c>
      <c r="AN39" s="32">
        <v>678997948.01999974</v>
      </c>
      <c r="AO39" s="32">
        <v>21150432.580001593</v>
      </c>
    </row>
    <row r="40" spans="1:41" x14ac:dyDescent="0.25">
      <c r="A40" s="3">
        <f ca="1">EOMONTH(A39+1,0)</f>
        <v>46112</v>
      </c>
      <c r="B40" s="26" t="s">
        <v>56</v>
      </c>
      <c r="C40" s="27">
        <v>927813046.43959951</v>
      </c>
      <c r="D40" s="27">
        <v>25635088</v>
      </c>
      <c r="E40" s="27">
        <v>869005215.08999968</v>
      </c>
      <c r="F40" s="27">
        <v>794213519</v>
      </c>
      <c r="G40" s="27">
        <v>73284054</v>
      </c>
      <c r="H40" s="27">
        <v>1508149</v>
      </c>
      <c r="I40" s="27">
        <f ca="1">C40-E40-D40</f>
        <v>33172743.349599838</v>
      </c>
      <c r="J40" s="19">
        <v>198593644.57000008</v>
      </c>
      <c r="K40" s="20">
        <v>595619874.43000007</v>
      </c>
      <c r="L40" s="20">
        <f t="shared" ca="1" si="12"/>
        <v>33172743.349599838</v>
      </c>
      <c r="M40" s="16"/>
      <c r="O40" s="35"/>
      <c r="S40" s="33" t="s">
        <v>56</v>
      </c>
      <c r="T40" s="19">
        <f t="shared" ca="1" si="2"/>
        <v>0</v>
      </c>
      <c r="U40" s="19">
        <f t="shared" ca="1" si="2"/>
        <v>351</v>
      </c>
      <c r="V40" s="19">
        <f t="shared" ca="1" si="2"/>
        <v>195085.04999995232</v>
      </c>
      <c r="W40" s="19">
        <f t="shared" ca="1" si="2"/>
        <v>172040</v>
      </c>
      <c r="X40" s="19">
        <f ca="1">G40-AJ40</f>
        <v>-4</v>
      </c>
      <c r="Y40" s="19">
        <f t="shared" ca="1" si="10"/>
        <v>23045</v>
      </c>
      <c r="Z40" s="19">
        <f t="shared" ca="1" si="10"/>
        <v>-195436.04999995232</v>
      </c>
      <c r="AA40" s="19">
        <f t="shared" ca="1" si="10"/>
        <v>214903.60000005364</v>
      </c>
      <c r="AB40" s="20">
        <f t="shared" ca="1" si="10"/>
        <v>-42863.599999904633</v>
      </c>
      <c r="AC40" s="20">
        <f t="shared" ca="1" si="10"/>
        <v>-195436.04999995232</v>
      </c>
      <c r="AD40" s="16"/>
      <c r="AE40" s="26" t="s">
        <v>56</v>
      </c>
      <c r="AF40" s="27">
        <v>927813046.43959951</v>
      </c>
      <c r="AG40" s="27">
        <v>25634737</v>
      </c>
      <c r="AH40" s="27">
        <v>868810130.03999972</v>
      </c>
      <c r="AI40" s="27">
        <v>794041479</v>
      </c>
      <c r="AJ40" s="27">
        <v>73284058</v>
      </c>
      <c r="AK40" s="27">
        <v>1485104</v>
      </c>
      <c r="AL40" s="27">
        <v>33368179.399599791</v>
      </c>
      <c r="AM40" s="19">
        <v>198378740.97000003</v>
      </c>
      <c r="AN40" s="20">
        <v>595662738.02999997</v>
      </c>
      <c r="AO40" s="20">
        <v>33368179.399599791</v>
      </c>
    </row>
    <row r="41" spans="1:41" x14ac:dyDescent="0.25">
      <c r="A41" s="3">
        <f ca="1">EOMONTH(A40+1,0)</f>
        <v>46142</v>
      </c>
      <c r="B41" s="30" t="s">
        <v>57</v>
      </c>
      <c r="C41" s="31">
        <v>1224384235.0039408</v>
      </c>
      <c r="D41" s="31">
        <v>18094134</v>
      </c>
      <c r="E41" s="31">
        <v>1083233190.1599979</v>
      </c>
      <c r="F41" s="31">
        <v>953782470</v>
      </c>
      <c r="G41" s="31">
        <v>123532317</v>
      </c>
      <c r="H41" s="31">
        <v>5918824</v>
      </c>
      <c r="I41" s="31">
        <f ca="1">C41-E41-D41</f>
        <v>123056910.84394288</v>
      </c>
      <c r="J41" s="31">
        <v>253909462.27999973</v>
      </c>
      <c r="K41" s="32">
        <v>699873007.71999991</v>
      </c>
      <c r="L41" s="32">
        <f t="shared" ca="1" si="12"/>
        <v>123056910.84394288</v>
      </c>
      <c r="M41" s="16"/>
      <c r="O41" s="35"/>
      <c r="S41" s="33" t="s">
        <v>57</v>
      </c>
      <c r="T41" s="19">
        <f t="shared" ca="1" si="2"/>
        <v>0</v>
      </c>
      <c r="U41" s="19">
        <f t="shared" ca="1" si="2"/>
        <v>82184</v>
      </c>
      <c r="V41" s="19">
        <f t="shared" ca="1" si="2"/>
        <v>10763975.7900002</v>
      </c>
      <c r="W41" s="19">
        <f t="shared" ca="1" si="2"/>
        <v>8819968</v>
      </c>
      <c r="X41" s="19">
        <f ca="1">G41-AJ41</f>
        <v>1811847</v>
      </c>
      <c r="Y41" s="19">
        <f t="shared" ca="1" si="10"/>
        <v>132165</v>
      </c>
      <c r="Z41" s="19">
        <f t="shared" ca="1" si="10"/>
        <v>-10846159.7900002</v>
      </c>
      <c r="AA41" s="19">
        <f t="shared" ca="1" si="10"/>
        <v>883429.34000003338</v>
      </c>
      <c r="AB41" s="20">
        <f t="shared" ca="1" si="10"/>
        <v>7936538.660000205</v>
      </c>
      <c r="AC41" s="20">
        <f t="shared" ca="1" si="10"/>
        <v>-10846159.7900002</v>
      </c>
      <c r="AD41" s="16"/>
      <c r="AE41" s="30" t="s">
        <v>57</v>
      </c>
      <c r="AF41" s="31">
        <v>1224384235.0039408</v>
      </c>
      <c r="AG41" s="31">
        <v>18011950</v>
      </c>
      <c r="AH41" s="31">
        <v>1072469214.3699977</v>
      </c>
      <c r="AI41" s="31">
        <v>944962502</v>
      </c>
      <c r="AJ41" s="31">
        <v>121720470</v>
      </c>
      <c r="AK41" s="31">
        <v>5786659</v>
      </c>
      <c r="AL41" s="31">
        <v>133903070.63394308</v>
      </c>
      <c r="AM41" s="31">
        <v>253026032.9399997</v>
      </c>
      <c r="AN41" s="32">
        <v>691936469.0599997</v>
      </c>
      <c r="AO41" s="32">
        <v>133903070.63394308</v>
      </c>
    </row>
    <row r="42" spans="1:41" ht="15.75" thickBot="1" x14ac:dyDescent="0.3">
      <c r="A42" s="3">
        <f ca="1">EOMONTH(A41+1,0)</f>
        <v>46173</v>
      </c>
      <c r="B42" s="26" t="s">
        <v>58</v>
      </c>
      <c r="C42" s="27">
        <f ca="1">O12</f>
        <v>284186040.47628003</v>
      </c>
      <c r="D42" s="27">
        <v>4434024</v>
      </c>
      <c r="E42" s="27">
        <v>190857534.20000002</v>
      </c>
      <c r="F42" s="27">
        <v>167345196</v>
      </c>
      <c r="G42" s="27">
        <v>22815862</v>
      </c>
      <c r="H42" s="27">
        <v>696525</v>
      </c>
      <c r="I42" s="27">
        <f ca="1">C42-E42-D42</f>
        <v>88894482.276280016</v>
      </c>
      <c r="J42" s="19">
        <v>40410757.35999994</v>
      </c>
      <c r="K42" s="20">
        <v>126934438.64000002</v>
      </c>
      <c r="L42" s="20">
        <f ca="1">C42-E42-D42</f>
        <v>88894482.276280016</v>
      </c>
      <c r="M42" s="16"/>
      <c r="O42" s="35"/>
      <c r="S42" s="33" t="s">
        <v>58</v>
      </c>
      <c r="T42" s="19">
        <f t="shared" ca="1" si="2"/>
        <v>65971849.849530041</v>
      </c>
      <c r="U42" s="19">
        <f t="shared" ca="1" si="2"/>
        <v>1101951</v>
      </c>
      <c r="V42" s="19">
        <f t="shared" ca="1" si="2"/>
        <v>57515551.950000018</v>
      </c>
      <c r="W42" s="19">
        <f t="shared" ca="1" si="2"/>
        <v>54022770</v>
      </c>
      <c r="X42" s="19">
        <f ca="1">G42-AJ42</f>
        <v>3404828</v>
      </c>
      <c r="Y42" s="19">
        <f t="shared" ca="1" si="10"/>
        <v>87967</v>
      </c>
      <c r="Z42" s="19">
        <f t="shared" ca="1" si="10"/>
        <v>7354346.8995300233</v>
      </c>
      <c r="AA42" s="19">
        <f t="shared" ca="1" si="10"/>
        <v>13134232.859999966</v>
      </c>
      <c r="AB42" s="20">
        <f t="shared" ca="1" si="10"/>
        <v>40888537.14000003</v>
      </c>
      <c r="AC42" s="20">
        <f t="shared" ca="1" si="10"/>
        <v>7354346.8995300233</v>
      </c>
      <c r="AD42" s="16"/>
      <c r="AE42" s="26" t="s">
        <v>58</v>
      </c>
      <c r="AF42" s="27">
        <v>218214190.62674999</v>
      </c>
      <c r="AG42" s="27">
        <v>3332073</v>
      </c>
      <c r="AH42" s="27">
        <v>133341982.25</v>
      </c>
      <c r="AI42" s="27">
        <v>113322426</v>
      </c>
      <c r="AJ42" s="27">
        <v>19411034</v>
      </c>
      <c r="AK42" s="27">
        <v>608558</v>
      </c>
      <c r="AL42" s="27">
        <v>81540135.376749992</v>
      </c>
      <c r="AM42" s="19">
        <v>27276524.499999974</v>
      </c>
      <c r="AN42" s="20">
        <v>86045901.499999985</v>
      </c>
      <c r="AO42" s="20">
        <v>81540135.376749992</v>
      </c>
    </row>
    <row r="43" spans="1:41" ht="15.75" thickBot="1" x14ac:dyDescent="0.3">
      <c r="B43" s="36" t="s">
        <v>59</v>
      </c>
      <c r="C43" s="37">
        <f ca="1">SUM(C7:C11)+C24+C37</f>
        <v>49308305363.343788</v>
      </c>
      <c r="D43" s="37">
        <f ca="1">SUM(D7:D11)+D24+D37</f>
        <v>2858040038</v>
      </c>
      <c r="E43" s="37">
        <f t="shared" ref="E43:K43" ca="1" si="13">SUM(E7:E11)+E24+E37</f>
        <v>45969531189.160004</v>
      </c>
      <c r="F43" s="37">
        <f t="shared" ca="1" si="13"/>
        <v>33174870410</v>
      </c>
      <c r="G43" s="37">
        <f t="shared" ca="1" si="13"/>
        <v>12694474934</v>
      </c>
      <c r="H43" s="37">
        <f t="shared" ca="1" si="13"/>
        <v>100194082</v>
      </c>
      <c r="I43" s="37">
        <f t="shared" ca="1" si="13"/>
        <v>480734136.18378365</v>
      </c>
      <c r="J43" s="37">
        <f t="shared" ca="1" si="13"/>
        <v>8154976423.7599983</v>
      </c>
      <c r="K43" s="37">
        <f t="shared" ca="1" si="13"/>
        <v>25019893986.240005</v>
      </c>
      <c r="L43" s="38">
        <f t="shared" ca="1" si="12"/>
        <v>480734136.18378448</v>
      </c>
      <c r="M43" s="16"/>
      <c r="O43" s="35"/>
      <c r="S43" s="39" t="s">
        <v>59</v>
      </c>
      <c r="T43" s="40">
        <f t="shared" ca="1" si="2"/>
        <v>65971849.849533081</v>
      </c>
      <c r="U43" s="40">
        <f t="shared" ca="1" si="2"/>
        <v>183711</v>
      </c>
      <c r="V43" s="40">
        <f t="shared" ca="1" si="2"/>
        <v>71039517.960006714</v>
      </c>
      <c r="W43" s="40">
        <f t="shared" ca="1" si="2"/>
        <v>65409706</v>
      </c>
      <c r="X43" s="40">
        <f t="shared" ca="1" si="10"/>
        <v>5369765</v>
      </c>
      <c r="Y43" s="40">
        <f t="shared" ca="1" si="10"/>
        <v>259976</v>
      </c>
      <c r="Z43" s="40">
        <f t="shared" ca="1" si="10"/>
        <v>-5251379.1104696989</v>
      </c>
      <c r="AA43" s="40">
        <f t="shared" ca="1" si="10"/>
        <v>16496092.770000458</v>
      </c>
      <c r="AB43" s="40">
        <f t="shared" ca="1" si="10"/>
        <v>48913613.230003357</v>
      </c>
      <c r="AC43" s="41">
        <f t="shared" ca="1" si="10"/>
        <v>-5251379.1104736328</v>
      </c>
      <c r="AD43" s="16"/>
      <c r="AE43" s="36" t="s">
        <v>59</v>
      </c>
      <c r="AF43" s="37">
        <v>49242333513.494255</v>
      </c>
      <c r="AG43" s="37">
        <v>2857856327</v>
      </c>
      <c r="AH43" s="37">
        <v>45898491671.199997</v>
      </c>
      <c r="AI43" s="37">
        <v>33109460704</v>
      </c>
      <c r="AJ43" s="37">
        <v>12689105169</v>
      </c>
      <c r="AK43" s="37">
        <v>99934106</v>
      </c>
      <c r="AL43" s="37">
        <v>485985515.29425335</v>
      </c>
      <c r="AM43" s="37">
        <v>8138480330.9899979</v>
      </c>
      <c r="AN43" s="37">
        <v>24970980373.010002</v>
      </c>
      <c r="AO43" s="38">
        <v>485985515.29425812</v>
      </c>
    </row>
    <row r="44" spans="1:41" ht="26.65" customHeight="1" x14ac:dyDescent="0.25">
      <c r="C44" s="23"/>
      <c r="D44" s="23"/>
      <c r="E44" s="16"/>
      <c r="F44" s="16"/>
      <c r="G44" s="16"/>
      <c r="H44" s="16"/>
      <c r="I44" s="16"/>
      <c r="J44" s="16"/>
      <c r="K44" s="35"/>
      <c r="L44" s="35"/>
      <c r="M44" s="16"/>
      <c r="T44" s="23"/>
      <c r="U44" s="23"/>
      <c r="V44" s="16"/>
      <c r="W44" s="16"/>
      <c r="X44" s="16"/>
      <c r="Y44" s="16"/>
      <c r="Z44" s="16"/>
      <c r="AA44" s="16"/>
      <c r="AB44" s="35"/>
      <c r="AC44" s="35"/>
      <c r="AD44" s="16"/>
      <c r="AF44" s="23"/>
      <c r="AG44" s="23"/>
      <c r="AH44" s="16"/>
      <c r="AI44" s="16"/>
      <c r="AJ44" s="16"/>
      <c r="AK44" s="16"/>
      <c r="AL44" s="16"/>
      <c r="AM44" s="16"/>
      <c r="AN44" s="35"/>
      <c r="AO44" s="35"/>
    </row>
    <row r="45" spans="1:41" x14ac:dyDescent="0.25"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spans="1:41" ht="21.75" thickBot="1" x14ac:dyDescent="0.4">
      <c r="B46" s="5" t="str">
        <f ca="1">_xlfn.CONCAT("Sobha Summary as on-",TEXT(N2,"DD/MM/YYYY"))</f>
        <v>Sobha Summary as on-06/05/2026</v>
      </c>
      <c r="C46" s="6"/>
      <c r="D46" s="6"/>
      <c r="E46" s="6"/>
      <c r="F46" s="6"/>
      <c r="G46" s="6"/>
      <c r="H46" s="6"/>
      <c r="I46" s="6"/>
      <c r="J46" s="6"/>
      <c r="K46" s="6"/>
      <c r="L46" s="6"/>
      <c r="S46" s="5" t="str">
        <f ca="1">B46</f>
        <v>Sobha Summary as on-06/05/2026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E46" s="5" t="str">
        <f ca="1">CONCATENATE("Sobha Summary as on-",TEXT(TODAY()-3,"dd/mm/yyyy"))</f>
        <v>Sobha Summary as on-05/05/2026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41" ht="30" x14ac:dyDescent="0.25">
      <c r="B47" s="7" t="s">
        <v>6</v>
      </c>
      <c r="C47" s="8" t="s">
        <v>7</v>
      </c>
      <c r="D47" s="8" t="s">
        <v>8</v>
      </c>
      <c r="E47" s="8" t="s">
        <v>9</v>
      </c>
      <c r="F47" s="9" t="s">
        <v>10</v>
      </c>
      <c r="G47" s="8" t="s">
        <v>11</v>
      </c>
      <c r="H47" s="8" t="s">
        <v>12</v>
      </c>
      <c r="I47" s="8" t="s">
        <v>13</v>
      </c>
      <c r="J47" s="10" t="s">
        <v>60</v>
      </c>
      <c r="K47" s="11" t="s">
        <v>61</v>
      </c>
      <c r="L47" s="12" t="s">
        <v>16</v>
      </c>
      <c r="S47" s="7" t="s">
        <v>6</v>
      </c>
      <c r="T47" s="8" t="s">
        <v>7</v>
      </c>
      <c r="U47" s="8" t="s">
        <v>8</v>
      </c>
      <c r="V47" s="8" t="s">
        <v>9</v>
      </c>
      <c r="W47" s="9" t="s">
        <v>10</v>
      </c>
      <c r="X47" s="8" t="s">
        <v>11</v>
      </c>
      <c r="Y47" s="8" t="s">
        <v>12</v>
      </c>
      <c r="Z47" s="8" t="s">
        <v>13</v>
      </c>
      <c r="AA47" s="10" t="s">
        <v>60</v>
      </c>
      <c r="AB47" s="11" t="s">
        <v>61</v>
      </c>
      <c r="AC47" s="12" t="s">
        <v>16</v>
      </c>
      <c r="AE47" s="7" t="s">
        <v>6</v>
      </c>
      <c r="AF47" s="8" t="s">
        <v>7</v>
      </c>
      <c r="AG47" s="8" t="s">
        <v>8</v>
      </c>
      <c r="AH47" s="8" t="s">
        <v>9</v>
      </c>
      <c r="AI47" s="9" t="s">
        <v>10</v>
      </c>
      <c r="AJ47" s="8" t="s">
        <v>11</v>
      </c>
      <c r="AK47" s="8" t="s">
        <v>12</v>
      </c>
      <c r="AL47" s="8" t="s">
        <v>13</v>
      </c>
      <c r="AM47" s="10" t="s">
        <v>60</v>
      </c>
      <c r="AN47" s="11" t="s">
        <v>61</v>
      </c>
      <c r="AO47" s="12" t="s">
        <v>16</v>
      </c>
    </row>
    <row r="48" spans="1:41" x14ac:dyDescent="0.25">
      <c r="A48" s="3">
        <v>44196</v>
      </c>
      <c r="B48" s="13" t="s">
        <v>17</v>
      </c>
      <c r="C48" s="14">
        <f t="shared" ref="C48:C64" ca="1" si="14">C7-C90</f>
        <v>1771642300.650001</v>
      </c>
      <c r="D48" s="14">
        <v>64288549</v>
      </c>
      <c r="E48" s="14">
        <v>1707353751.650001</v>
      </c>
      <c r="F48" s="14">
        <v>1274263635</v>
      </c>
      <c r="G48" s="14">
        <v>431100953</v>
      </c>
      <c r="H48" s="14">
        <v>0</v>
      </c>
      <c r="I48" s="14">
        <f ca="1">C48-E48-D48</f>
        <v>0</v>
      </c>
      <c r="J48" s="14">
        <v>334031145.55999988</v>
      </c>
      <c r="K48" s="15">
        <v>940232489.44000006</v>
      </c>
      <c r="L48" s="15">
        <f t="shared" ref="L48:L84" ca="1" si="15">C48-E48-D48</f>
        <v>0</v>
      </c>
      <c r="S48" s="18" t="s">
        <v>17</v>
      </c>
      <c r="T48" s="19">
        <f t="shared" ref="T48:AC84" ca="1" si="16">C48-AF48</f>
        <v>0</v>
      </c>
      <c r="U48" s="19">
        <f t="shared" ca="1" si="16"/>
        <v>0</v>
      </c>
      <c r="V48" s="19">
        <f t="shared" ca="1" si="16"/>
        <v>0</v>
      </c>
      <c r="W48" s="19">
        <f t="shared" ca="1" si="16"/>
        <v>-322590</v>
      </c>
      <c r="X48" s="19">
        <f t="shared" ca="1" si="16"/>
        <v>322593</v>
      </c>
      <c r="Y48" s="19">
        <f t="shared" ca="1" si="16"/>
        <v>0</v>
      </c>
      <c r="Z48" s="19">
        <f t="shared" ca="1" si="16"/>
        <v>0</v>
      </c>
      <c r="AA48" s="19">
        <f t="shared" ca="1" si="16"/>
        <v>-98.779999971389771</v>
      </c>
      <c r="AB48" s="20">
        <f t="shared" ca="1" si="16"/>
        <v>-322491.21999979019</v>
      </c>
      <c r="AC48" s="20">
        <f t="shared" ca="1" si="16"/>
        <v>0</v>
      </c>
      <c r="AE48" s="13" t="s">
        <v>17</v>
      </c>
      <c r="AF48" s="14">
        <v>1771642300.650001</v>
      </c>
      <c r="AG48" s="14">
        <v>64288549</v>
      </c>
      <c r="AH48" s="14">
        <v>1707353751.650001</v>
      </c>
      <c r="AI48" s="14">
        <v>1274586225</v>
      </c>
      <c r="AJ48" s="14">
        <v>430778360</v>
      </c>
      <c r="AK48" s="14">
        <v>0</v>
      </c>
      <c r="AL48" s="14">
        <v>0</v>
      </c>
      <c r="AM48" s="14">
        <v>334031244.33999985</v>
      </c>
      <c r="AN48" s="15">
        <v>940554980.65999985</v>
      </c>
      <c r="AO48" s="15">
        <v>0</v>
      </c>
    </row>
    <row r="49" spans="1:41" x14ac:dyDescent="0.25">
      <c r="A49" s="3">
        <v>44561</v>
      </c>
      <c r="B49" s="13" t="s">
        <v>18</v>
      </c>
      <c r="C49" s="14">
        <f t="shared" ca="1" si="14"/>
        <v>1698298327</v>
      </c>
      <c r="D49" s="14">
        <v>130078450</v>
      </c>
      <c r="E49" s="14">
        <v>1566454545.9000003</v>
      </c>
      <c r="F49" s="14">
        <v>866125495</v>
      </c>
      <c r="G49" s="14">
        <v>699134658</v>
      </c>
      <c r="H49" s="14">
        <v>1194387</v>
      </c>
      <c r="I49" s="14">
        <f ca="1">C49-E49-D49</f>
        <v>1765331.0999996662</v>
      </c>
      <c r="J49" s="14">
        <v>217683374.13000035</v>
      </c>
      <c r="K49" s="15">
        <v>648442120.87000108</v>
      </c>
      <c r="L49" s="15">
        <f t="shared" ca="1" si="15"/>
        <v>1765331.0999996662</v>
      </c>
      <c r="S49" s="18" t="s">
        <v>18</v>
      </c>
      <c r="T49" s="19">
        <f t="shared" ca="1" si="16"/>
        <v>0</v>
      </c>
      <c r="U49" s="19">
        <f t="shared" ca="1" si="16"/>
        <v>0</v>
      </c>
      <c r="V49" s="19">
        <f t="shared" ca="1" si="16"/>
        <v>0</v>
      </c>
      <c r="W49" s="19">
        <f t="shared" ca="1" si="16"/>
        <v>-276</v>
      </c>
      <c r="X49" s="19">
        <f t="shared" ca="1" si="16"/>
        <v>277</v>
      </c>
      <c r="Y49" s="19">
        <f t="shared" ca="1" si="16"/>
        <v>0</v>
      </c>
      <c r="Z49" s="19">
        <f t="shared" ca="1" si="16"/>
        <v>0</v>
      </c>
      <c r="AA49" s="19">
        <f t="shared" ca="1" si="16"/>
        <v>2559.6599999964237</v>
      </c>
      <c r="AB49" s="20">
        <f t="shared" ca="1" si="16"/>
        <v>-2835.6599999666214</v>
      </c>
      <c r="AC49" s="20">
        <f t="shared" ca="1" si="16"/>
        <v>0</v>
      </c>
      <c r="AE49" s="13" t="s">
        <v>18</v>
      </c>
      <c r="AF49" s="14">
        <v>1698298327</v>
      </c>
      <c r="AG49" s="14">
        <v>130078450</v>
      </c>
      <c r="AH49" s="14">
        <v>1566454545.9000003</v>
      </c>
      <c r="AI49" s="14">
        <v>866125771</v>
      </c>
      <c r="AJ49" s="14">
        <v>699134381</v>
      </c>
      <c r="AK49" s="14">
        <v>1194387</v>
      </c>
      <c r="AL49" s="14">
        <v>1765331.0999996662</v>
      </c>
      <c r="AM49" s="14">
        <v>217680814.47000036</v>
      </c>
      <c r="AN49" s="15">
        <v>648444956.53000104</v>
      </c>
      <c r="AO49" s="15">
        <v>1765331.0999996662</v>
      </c>
    </row>
    <row r="50" spans="1:41" x14ac:dyDescent="0.25">
      <c r="A50" s="3">
        <f ca="1">EOMONTH(A49,12)</f>
        <v>44926</v>
      </c>
      <c r="B50" s="13" t="s">
        <v>20</v>
      </c>
      <c r="C50" s="14">
        <f t="shared" ca="1" si="14"/>
        <v>4272715411</v>
      </c>
      <c r="D50" s="14">
        <v>407978084</v>
      </c>
      <c r="E50" s="14">
        <v>3859644502.6600132</v>
      </c>
      <c r="F50" s="14">
        <v>2498323296</v>
      </c>
      <c r="G50" s="14">
        <v>1357599331</v>
      </c>
      <c r="H50" s="14">
        <v>3722293</v>
      </c>
      <c r="I50" s="14">
        <f ca="1">C50-E50-D50</f>
        <v>5092824.3399868011</v>
      </c>
      <c r="J50" s="14">
        <v>815001443.19000232</v>
      </c>
      <c r="K50" s="15">
        <v>1683321852.810009</v>
      </c>
      <c r="L50" s="15">
        <f t="shared" ca="1" si="15"/>
        <v>5092824.3399868011</v>
      </c>
      <c r="S50" s="18" t="s">
        <v>20</v>
      </c>
      <c r="T50" s="19">
        <f t="shared" ca="1" si="16"/>
        <v>0</v>
      </c>
      <c r="U50" s="19">
        <f t="shared" ca="1" si="16"/>
        <v>0</v>
      </c>
      <c r="V50" s="19">
        <f t="shared" ca="1" si="16"/>
        <v>0</v>
      </c>
      <c r="W50" s="19">
        <f t="shared" ca="1" si="16"/>
        <v>-13731</v>
      </c>
      <c r="X50" s="19">
        <f t="shared" ca="1" si="16"/>
        <v>13756</v>
      </c>
      <c r="Y50" s="19">
        <f t="shared" ca="1" si="16"/>
        <v>0</v>
      </c>
      <c r="Z50" s="19">
        <f t="shared" ca="1" si="16"/>
        <v>0</v>
      </c>
      <c r="AA50" s="19">
        <f t="shared" ca="1" si="16"/>
        <v>-11567.820000052452</v>
      </c>
      <c r="AB50" s="20">
        <f t="shared" ca="1" si="16"/>
        <v>-2163.1799998283386</v>
      </c>
      <c r="AC50" s="20">
        <f t="shared" ca="1" si="16"/>
        <v>0</v>
      </c>
      <c r="AE50" s="13" t="s">
        <v>20</v>
      </c>
      <c r="AF50" s="14">
        <v>4272715411</v>
      </c>
      <c r="AG50" s="14">
        <v>407978084</v>
      </c>
      <c r="AH50" s="14">
        <v>3859644502.6600132</v>
      </c>
      <c r="AI50" s="14">
        <v>2498337027</v>
      </c>
      <c r="AJ50" s="14">
        <v>1357585575</v>
      </c>
      <c r="AK50" s="14">
        <v>3722293</v>
      </c>
      <c r="AL50" s="14">
        <v>5092824.3399868011</v>
      </c>
      <c r="AM50" s="14">
        <v>815013011.01000237</v>
      </c>
      <c r="AN50" s="15">
        <v>1683324015.9900088</v>
      </c>
      <c r="AO50" s="15">
        <v>5092824.3399868011</v>
      </c>
    </row>
    <row r="51" spans="1:41" x14ac:dyDescent="0.25">
      <c r="A51" s="3">
        <f ca="1">EOMONTH(A50,12)</f>
        <v>45291</v>
      </c>
      <c r="B51" s="13" t="s">
        <v>22</v>
      </c>
      <c r="C51" s="14">
        <f t="shared" ca="1" si="14"/>
        <v>7825770561</v>
      </c>
      <c r="D51" s="14">
        <v>637652517</v>
      </c>
      <c r="E51" s="14">
        <v>7173179540.6599855</v>
      </c>
      <c r="F51" s="14">
        <v>4692684807</v>
      </c>
      <c r="G51" s="14">
        <v>2467593381</v>
      </c>
      <c r="H51" s="14">
        <v>12901651</v>
      </c>
      <c r="I51" s="14">
        <f ca="1">C51-E51-D51</f>
        <v>14938503.340014458</v>
      </c>
      <c r="J51" s="14">
        <v>964263867.2999959</v>
      </c>
      <c r="K51" s="15">
        <v>3728420939.6999974</v>
      </c>
      <c r="L51" s="15">
        <f t="shared" ca="1" si="15"/>
        <v>14938503.340014458</v>
      </c>
      <c r="S51" s="18" t="s">
        <v>22</v>
      </c>
      <c r="T51" s="19">
        <f t="shared" ca="1" si="16"/>
        <v>0</v>
      </c>
      <c r="U51" s="19">
        <f t="shared" ca="1" si="16"/>
        <v>0</v>
      </c>
      <c r="V51" s="19">
        <f t="shared" ca="1" si="16"/>
        <v>0</v>
      </c>
      <c r="W51" s="19">
        <f t="shared" ca="1" si="16"/>
        <v>-338716</v>
      </c>
      <c r="X51" s="19">
        <f t="shared" ca="1" si="16"/>
        <v>338717</v>
      </c>
      <c r="Y51" s="19">
        <f t="shared" ca="1" si="16"/>
        <v>0</v>
      </c>
      <c r="Z51" s="19">
        <f t="shared" ca="1" si="16"/>
        <v>0</v>
      </c>
      <c r="AA51" s="19">
        <f t="shared" ca="1" si="16"/>
        <v>-15880.520000338554</v>
      </c>
      <c r="AB51" s="20">
        <f t="shared" ca="1" si="16"/>
        <v>-322835.48000049591</v>
      </c>
      <c r="AC51" s="20">
        <f t="shared" ca="1" si="16"/>
        <v>0</v>
      </c>
      <c r="AE51" s="13" t="s">
        <v>22</v>
      </c>
      <c r="AF51" s="14">
        <v>7825770561</v>
      </c>
      <c r="AG51" s="14">
        <v>637652517</v>
      </c>
      <c r="AH51" s="14">
        <v>7173179540.6599855</v>
      </c>
      <c r="AI51" s="14">
        <v>4693023523</v>
      </c>
      <c r="AJ51" s="14">
        <v>2467254664</v>
      </c>
      <c r="AK51" s="14">
        <v>12901651</v>
      </c>
      <c r="AL51" s="14">
        <v>14938503.340014458</v>
      </c>
      <c r="AM51" s="14">
        <v>964279747.81999624</v>
      </c>
      <c r="AN51" s="15">
        <v>3728743775.1799979</v>
      </c>
      <c r="AO51" s="15">
        <v>14938503.340014458</v>
      </c>
    </row>
    <row r="52" spans="1:41" x14ac:dyDescent="0.25">
      <c r="A52" s="3">
        <v>45291</v>
      </c>
      <c r="B52" s="13" t="s">
        <v>24</v>
      </c>
      <c r="C52" s="14">
        <f t="shared" ca="1" si="14"/>
        <v>10211221822.160704</v>
      </c>
      <c r="D52" s="14">
        <f t="shared" ref="D52:K52" ca="1" si="17">SUM(D53:D64)</f>
        <v>637969011</v>
      </c>
      <c r="E52" s="14">
        <f t="shared" ca="1" si="17"/>
        <v>9521961030.3000031</v>
      </c>
      <c r="F52" s="14">
        <f t="shared" ca="1" si="17"/>
        <v>6854053368</v>
      </c>
      <c r="G52" s="14">
        <f t="shared" ca="1" si="17"/>
        <v>2649214564</v>
      </c>
      <c r="H52" s="14">
        <f t="shared" ca="1" si="17"/>
        <v>18694311</v>
      </c>
      <c r="I52" s="14">
        <f t="shared" ca="1" si="17"/>
        <v>43331493.870704517</v>
      </c>
      <c r="J52" s="14">
        <f t="shared" ca="1" si="17"/>
        <v>1417701548.1300001</v>
      </c>
      <c r="K52" s="15">
        <f t="shared" ca="1" si="17"/>
        <v>5436351819.8700018</v>
      </c>
      <c r="L52" s="15">
        <f t="shared" ca="1" si="15"/>
        <v>51291780.860700607</v>
      </c>
      <c r="S52" s="18" t="s">
        <v>24</v>
      </c>
      <c r="T52" s="19">
        <f t="shared" ca="1" si="16"/>
        <v>0</v>
      </c>
      <c r="U52" s="19">
        <f t="shared" ca="1" si="16"/>
        <v>0</v>
      </c>
      <c r="V52" s="19">
        <f t="shared" ca="1" si="16"/>
        <v>55677.370002746582</v>
      </c>
      <c r="W52" s="19">
        <f t="shared" ca="1" si="16"/>
        <v>449934</v>
      </c>
      <c r="X52" s="19">
        <f t="shared" ca="1" si="16"/>
        <v>-394244</v>
      </c>
      <c r="Y52" s="19">
        <f t="shared" ca="1" si="16"/>
        <v>0</v>
      </c>
      <c r="Z52" s="19">
        <f t="shared" ca="1" si="16"/>
        <v>-55679.440000206232</v>
      </c>
      <c r="AA52" s="19">
        <f t="shared" ca="1" si="16"/>
        <v>357170.19000005722</v>
      </c>
      <c r="AB52" s="20">
        <f t="shared" ca="1" si="16"/>
        <v>92763.810000419617</v>
      </c>
      <c r="AC52" s="20">
        <f t="shared" ca="1" si="16"/>
        <v>-55677.370002746582</v>
      </c>
      <c r="AE52" s="13" t="s">
        <v>24</v>
      </c>
      <c r="AF52" s="14">
        <v>10211221822.160704</v>
      </c>
      <c r="AG52" s="14">
        <v>637969011</v>
      </c>
      <c r="AH52" s="14">
        <v>9521905352.9300003</v>
      </c>
      <c r="AI52" s="14">
        <v>6853603434</v>
      </c>
      <c r="AJ52" s="14">
        <v>2649608808</v>
      </c>
      <c r="AK52" s="14">
        <v>18694311</v>
      </c>
      <c r="AL52" s="14">
        <v>43387173.310704723</v>
      </c>
      <c r="AM52" s="14">
        <v>1417344377.9400001</v>
      </c>
      <c r="AN52" s="15">
        <v>5436259056.0600014</v>
      </c>
      <c r="AO52" s="15">
        <v>51347458.230703354</v>
      </c>
    </row>
    <row r="53" spans="1:41" x14ac:dyDescent="0.25">
      <c r="A53" s="3">
        <v>45322</v>
      </c>
      <c r="B53" s="26" t="s">
        <v>26</v>
      </c>
      <c r="C53" s="27">
        <f t="shared" ca="1" si="14"/>
        <v>787663499.39969301</v>
      </c>
      <c r="D53" s="27">
        <v>51330740</v>
      </c>
      <c r="E53" s="27">
        <v>732224934.51000106</v>
      </c>
      <c r="F53" s="27">
        <v>518398287</v>
      </c>
      <c r="G53" s="27">
        <v>212004087</v>
      </c>
      <c r="H53" s="27">
        <v>1822587</v>
      </c>
      <c r="I53" s="27">
        <f t="shared" ref="I53:I64" ca="1" si="18">(C53-E53-D53)+IF(L95&lt;0,L95,0)+IF(L136&lt;0,L136,0)</f>
        <v>4107824.8896919489</v>
      </c>
      <c r="J53" s="27">
        <v>124909680.94000004</v>
      </c>
      <c r="K53" s="28">
        <v>393488606.06000024</v>
      </c>
      <c r="L53" s="28">
        <f t="shared" ca="1" si="15"/>
        <v>4107824.8896919489</v>
      </c>
      <c r="S53" s="26" t="s">
        <v>26</v>
      </c>
      <c r="T53" s="27">
        <f t="shared" ca="1" si="16"/>
        <v>0</v>
      </c>
      <c r="U53" s="27">
        <f t="shared" ca="1" si="16"/>
        <v>0</v>
      </c>
      <c r="V53" s="27">
        <f t="shared" ca="1" si="16"/>
        <v>0</v>
      </c>
      <c r="W53" s="27">
        <f t="shared" ca="1" si="16"/>
        <v>-5</v>
      </c>
      <c r="X53" s="27">
        <f t="shared" ca="1" si="16"/>
        <v>2</v>
      </c>
      <c r="Y53" s="27">
        <f t="shared" ca="1" si="16"/>
        <v>0</v>
      </c>
      <c r="Z53" s="27">
        <f t="shared" ca="1" si="16"/>
        <v>0</v>
      </c>
      <c r="AA53" s="27">
        <f t="shared" ca="1" si="16"/>
        <v>-1617.1300000101328</v>
      </c>
      <c r="AB53" s="28">
        <f t="shared" ca="1" si="16"/>
        <v>1612.1299999952316</v>
      </c>
      <c r="AC53" s="28">
        <f t="shared" ca="1" si="16"/>
        <v>0</v>
      </c>
      <c r="AE53" s="26" t="s">
        <v>26</v>
      </c>
      <c r="AF53" s="27">
        <v>787663499.39969301</v>
      </c>
      <c r="AG53" s="27">
        <v>51330740</v>
      </c>
      <c r="AH53" s="27">
        <v>732224934.51000106</v>
      </c>
      <c r="AI53" s="27">
        <v>518398292</v>
      </c>
      <c r="AJ53" s="27">
        <v>212004085</v>
      </c>
      <c r="AK53" s="27">
        <v>1822587</v>
      </c>
      <c r="AL53" s="27">
        <v>4107824.8896919489</v>
      </c>
      <c r="AM53" s="27">
        <v>124911298.07000005</v>
      </c>
      <c r="AN53" s="28">
        <v>393486993.93000025</v>
      </c>
      <c r="AO53" s="28">
        <v>4107824.8896919489</v>
      </c>
    </row>
    <row r="54" spans="1:41" x14ac:dyDescent="0.25">
      <c r="A54" s="3">
        <f ca="1">EOMONTH(A53+1,0)</f>
        <v>45351</v>
      </c>
      <c r="B54" s="30" t="s">
        <v>28</v>
      </c>
      <c r="C54" s="31">
        <f t="shared" ca="1" si="14"/>
        <v>842750909.42590988</v>
      </c>
      <c r="D54" s="31">
        <v>62367891</v>
      </c>
      <c r="E54" s="31">
        <v>774123023.0599997</v>
      </c>
      <c r="F54" s="31">
        <v>532780998</v>
      </c>
      <c r="G54" s="31">
        <v>238989502</v>
      </c>
      <c r="H54" s="31">
        <v>2352539</v>
      </c>
      <c r="I54" s="31">
        <f t="shared" ca="1" si="18"/>
        <v>6259995.3659101725</v>
      </c>
      <c r="J54" s="31">
        <v>110049258.10000004</v>
      </c>
      <c r="K54" s="32">
        <v>422731739.89999998</v>
      </c>
      <c r="L54" s="32">
        <f t="shared" ca="1" si="15"/>
        <v>6259995.3659101725</v>
      </c>
      <c r="N54" s="16"/>
      <c r="S54" s="33" t="s">
        <v>28</v>
      </c>
      <c r="T54" s="19">
        <f t="shared" ca="1" si="16"/>
        <v>0</v>
      </c>
      <c r="U54" s="19">
        <f t="shared" ca="1" si="16"/>
        <v>0</v>
      </c>
      <c r="V54" s="19">
        <f t="shared" ca="1" si="16"/>
        <v>0</v>
      </c>
      <c r="W54" s="19">
        <f t="shared" ca="1" si="16"/>
        <v>4</v>
      </c>
      <c r="X54" s="19">
        <f t="shared" ca="1" si="16"/>
        <v>0</v>
      </c>
      <c r="Y54" s="19">
        <f t="shared" ca="1" si="16"/>
        <v>0</v>
      </c>
      <c r="Z54" s="19">
        <f t="shared" ca="1" si="16"/>
        <v>0</v>
      </c>
      <c r="AA54" s="19">
        <f t="shared" ca="1" si="16"/>
        <v>-54997.289999991655</v>
      </c>
      <c r="AB54" s="20">
        <f t="shared" ca="1" si="16"/>
        <v>55001.290000081062</v>
      </c>
      <c r="AC54" s="20">
        <f t="shared" ca="1" si="16"/>
        <v>0</v>
      </c>
      <c r="AE54" s="30" t="s">
        <v>28</v>
      </c>
      <c r="AF54" s="31">
        <v>842750909.42590988</v>
      </c>
      <c r="AG54" s="31">
        <v>62367891</v>
      </c>
      <c r="AH54" s="31">
        <v>774123023.0599997</v>
      </c>
      <c r="AI54" s="31">
        <v>532780994</v>
      </c>
      <c r="AJ54" s="31">
        <v>238989502</v>
      </c>
      <c r="AK54" s="31">
        <v>2352539</v>
      </c>
      <c r="AL54" s="31">
        <v>6259995.3659101725</v>
      </c>
      <c r="AM54" s="31">
        <v>110104255.39000003</v>
      </c>
      <c r="AN54" s="32">
        <v>422676738.6099999</v>
      </c>
      <c r="AO54" s="32">
        <v>6259995.3659101725</v>
      </c>
    </row>
    <row r="55" spans="1:41" x14ac:dyDescent="0.25">
      <c r="A55" s="3">
        <f t="shared" ref="A55:A64" ca="1" si="19">EOMONTH(A54+1,0)</f>
        <v>45382</v>
      </c>
      <c r="B55" s="26" t="s">
        <v>29</v>
      </c>
      <c r="C55" s="27">
        <f t="shared" ca="1" si="14"/>
        <v>915678922.73391926</v>
      </c>
      <c r="D55" s="27">
        <v>63072708</v>
      </c>
      <c r="E55" s="27">
        <v>848027136.77999914</v>
      </c>
      <c r="F55" s="27">
        <v>520422396</v>
      </c>
      <c r="G55" s="27">
        <v>325419909</v>
      </c>
      <c r="H55" s="27">
        <v>2184784</v>
      </c>
      <c r="I55" s="27">
        <f t="shared" ca="1" si="18"/>
        <v>4491481.953920126</v>
      </c>
      <c r="J55" s="19">
        <v>120288787.40999994</v>
      </c>
      <c r="K55" s="20">
        <v>400133608.58999997</v>
      </c>
      <c r="L55" s="20">
        <f t="shared" ca="1" si="15"/>
        <v>4579077.953920126</v>
      </c>
      <c r="N55" s="16"/>
      <c r="S55" s="26" t="s">
        <v>29</v>
      </c>
      <c r="T55" s="27">
        <f t="shared" ca="1" si="16"/>
        <v>0</v>
      </c>
      <c r="U55" s="27">
        <f t="shared" ca="1" si="16"/>
        <v>0</v>
      </c>
      <c r="V55" s="27">
        <f t="shared" ca="1" si="16"/>
        <v>0</v>
      </c>
      <c r="W55" s="27">
        <f t="shared" ca="1" si="16"/>
        <v>-3</v>
      </c>
      <c r="X55" s="27">
        <f t="shared" ca="1" si="16"/>
        <v>1</v>
      </c>
      <c r="Y55" s="27">
        <f t="shared" ca="1" si="16"/>
        <v>0</v>
      </c>
      <c r="Z55" s="27">
        <f t="shared" ca="1" si="16"/>
        <v>0</v>
      </c>
      <c r="AA55" s="19">
        <f t="shared" ca="1" si="16"/>
        <v>-9821.8500000089407</v>
      </c>
      <c r="AB55" s="20">
        <f t="shared" ca="1" si="16"/>
        <v>9818.8499999642372</v>
      </c>
      <c r="AC55" s="20">
        <f t="shared" ca="1" si="16"/>
        <v>0</v>
      </c>
      <c r="AE55" s="26" t="s">
        <v>29</v>
      </c>
      <c r="AF55" s="27">
        <v>915678922.73391926</v>
      </c>
      <c r="AG55" s="27">
        <v>63072708</v>
      </c>
      <c r="AH55" s="27">
        <v>848027136.77999914</v>
      </c>
      <c r="AI55" s="27">
        <v>520422399</v>
      </c>
      <c r="AJ55" s="27">
        <v>325419908</v>
      </c>
      <c r="AK55" s="27">
        <v>2184784</v>
      </c>
      <c r="AL55" s="27">
        <v>4491481.953920126</v>
      </c>
      <c r="AM55" s="19">
        <v>120298609.25999995</v>
      </c>
      <c r="AN55" s="20">
        <v>400123789.74000001</v>
      </c>
      <c r="AO55" s="20">
        <v>4579077.953920126</v>
      </c>
    </row>
    <row r="56" spans="1:41" x14ac:dyDescent="0.25">
      <c r="A56" s="3">
        <f t="shared" ca="1" si="19"/>
        <v>45412</v>
      </c>
      <c r="B56" s="30" t="s">
        <v>30</v>
      </c>
      <c r="C56" s="31">
        <f t="shared" ca="1" si="14"/>
        <v>795900147.02475762</v>
      </c>
      <c r="D56" s="31">
        <v>55989228</v>
      </c>
      <c r="E56" s="31">
        <v>736259810.82000124</v>
      </c>
      <c r="F56" s="31">
        <v>487717181</v>
      </c>
      <c r="G56" s="31">
        <v>247240968</v>
      </c>
      <c r="H56" s="31">
        <v>1301619</v>
      </c>
      <c r="I56" s="31">
        <f t="shared" ca="1" si="18"/>
        <v>3651108.2047563791</v>
      </c>
      <c r="J56" s="31">
        <v>82130973.39000003</v>
      </c>
      <c r="K56" s="32">
        <v>405586207.61000055</v>
      </c>
      <c r="L56" s="32">
        <f t="shared" ca="1" si="15"/>
        <v>3651108.2047563791</v>
      </c>
      <c r="N56" s="16"/>
      <c r="S56" s="33" t="s">
        <v>30</v>
      </c>
      <c r="T56" s="19">
        <f t="shared" ca="1" si="16"/>
        <v>0</v>
      </c>
      <c r="U56" s="19">
        <f t="shared" ca="1" si="16"/>
        <v>0</v>
      </c>
      <c r="V56" s="19">
        <f t="shared" ca="1" si="16"/>
        <v>0</v>
      </c>
      <c r="W56" s="19">
        <f t="shared" ca="1" si="16"/>
        <v>420471</v>
      </c>
      <c r="X56" s="19">
        <f t="shared" ca="1" si="16"/>
        <v>-420468</v>
      </c>
      <c r="Y56" s="19">
        <f t="shared" ca="1" si="16"/>
        <v>0</v>
      </c>
      <c r="Z56" s="19">
        <f t="shared" ca="1" si="16"/>
        <v>0</v>
      </c>
      <c r="AA56" s="19">
        <f t="shared" ca="1" si="16"/>
        <v>419815.93000000715</v>
      </c>
      <c r="AB56" s="20">
        <f t="shared" ca="1" si="16"/>
        <v>655.07000005245209</v>
      </c>
      <c r="AC56" s="20">
        <f t="shared" ca="1" si="16"/>
        <v>0</v>
      </c>
      <c r="AE56" s="30" t="s">
        <v>30</v>
      </c>
      <c r="AF56" s="31">
        <v>795900147.02475762</v>
      </c>
      <c r="AG56" s="31">
        <v>55989228</v>
      </c>
      <c r="AH56" s="31">
        <v>736259810.82000124</v>
      </c>
      <c r="AI56" s="31">
        <v>487296710</v>
      </c>
      <c r="AJ56" s="31">
        <v>247661436</v>
      </c>
      <c r="AK56" s="31">
        <v>1301619</v>
      </c>
      <c r="AL56" s="31">
        <v>3651108.2047563791</v>
      </c>
      <c r="AM56" s="31">
        <v>81711157.460000023</v>
      </c>
      <c r="AN56" s="32">
        <v>405585552.5400005</v>
      </c>
      <c r="AO56" s="32">
        <v>3651108.2047563791</v>
      </c>
    </row>
    <row r="57" spans="1:41" x14ac:dyDescent="0.25">
      <c r="A57" s="3">
        <f t="shared" ca="1" si="19"/>
        <v>45443</v>
      </c>
      <c r="B57" s="26" t="s">
        <v>31</v>
      </c>
      <c r="C57" s="27">
        <f t="shared" ca="1" si="14"/>
        <v>894295198.64999998</v>
      </c>
      <c r="D57" s="27">
        <v>66293170</v>
      </c>
      <c r="E57" s="27">
        <v>826754833.97999966</v>
      </c>
      <c r="F57" s="27">
        <v>580599202</v>
      </c>
      <c r="G57" s="27">
        <v>243818421</v>
      </c>
      <c r="H57" s="27">
        <v>2337246</v>
      </c>
      <c r="I57" s="27">
        <f t="shared" ca="1" si="18"/>
        <v>1247194.6700003147</v>
      </c>
      <c r="J57" s="19">
        <v>120564647.27000007</v>
      </c>
      <c r="K57" s="20">
        <v>460034554.73000038</v>
      </c>
      <c r="L57" s="20">
        <f t="shared" ca="1" si="15"/>
        <v>1247194.6700003147</v>
      </c>
      <c r="N57" s="16"/>
      <c r="S57" s="26" t="s">
        <v>31</v>
      </c>
      <c r="T57" s="27">
        <f t="shared" ca="1" si="16"/>
        <v>0</v>
      </c>
      <c r="U57" s="27">
        <f t="shared" ca="1" si="16"/>
        <v>0</v>
      </c>
      <c r="V57" s="27">
        <f t="shared" ca="1" si="16"/>
        <v>0</v>
      </c>
      <c r="W57" s="27">
        <f t="shared" ca="1" si="16"/>
        <v>2</v>
      </c>
      <c r="X57" s="27">
        <f t="shared" ca="1" si="16"/>
        <v>0</v>
      </c>
      <c r="Y57" s="27">
        <f t="shared" ca="1" si="16"/>
        <v>0</v>
      </c>
      <c r="Z57" s="27">
        <f t="shared" ca="1" si="16"/>
        <v>0</v>
      </c>
      <c r="AA57" s="19">
        <f t="shared" ca="1" si="16"/>
        <v>12688.089999973774</v>
      </c>
      <c r="AB57" s="20">
        <f t="shared" ca="1" si="16"/>
        <v>-12686.089999973774</v>
      </c>
      <c r="AC57" s="20">
        <f t="shared" ca="1" si="16"/>
        <v>0</v>
      </c>
      <c r="AE57" s="26" t="s">
        <v>31</v>
      </c>
      <c r="AF57" s="27">
        <v>894295198.64999998</v>
      </c>
      <c r="AG57" s="27">
        <v>66293170</v>
      </c>
      <c r="AH57" s="27">
        <v>826754833.97999966</v>
      </c>
      <c r="AI57" s="27">
        <v>580599200</v>
      </c>
      <c r="AJ57" s="27">
        <v>243818421</v>
      </c>
      <c r="AK57" s="27">
        <v>2337246</v>
      </c>
      <c r="AL57" s="27">
        <v>1247194.6700003147</v>
      </c>
      <c r="AM57" s="19">
        <v>120551959.1800001</v>
      </c>
      <c r="AN57" s="20">
        <v>460047240.82000035</v>
      </c>
      <c r="AO57" s="20">
        <v>1247194.6700003147</v>
      </c>
    </row>
    <row r="58" spans="1:41" x14ac:dyDescent="0.25">
      <c r="A58" s="3">
        <f t="shared" ca="1" si="19"/>
        <v>45473</v>
      </c>
      <c r="B58" s="30" t="s">
        <v>33</v>
      </c>
      <c r="C58" s="31">
        <f t="shared" ca="1" si="14"/>
        <v>741292942.85000002</v>
      </c>
      <c r="D58" s="31">
        <v>43018017</v>
      </c>
      <c r="E58" s="31">
        <v>696360414.4300009</v>
      </c>
      <c r="F58" s="31">
        <v>502657372</v>
      </c>
      <c r="G58" s="31">
        <v>192285683</v>
      </c>
      <c r="H58" s="31">
        <v>1417459</v>
      </c>
      <c r="I58" s="31">
        <f t="shared" ca="1" si="18"/>
        <v>1914511.4199991226</v>
      </c>
      <c r="J58" s="31">
        <v>80140511.820000038</v>
      </c>
      <c r="K58" s="32">
        <v>422516860.17999989</v>
      </c>
      <c r="L58" s="32">
        <f t="shared" ca="1" si="15"/>
        <v>1914511.4199991226</v>
      </c>
      <c r="N58" s="16"/>
      <c r="S58" s="33" t="s">
        <v>33</v>
      </c>
      <c r="T58" s="19">
        <f t="shared" ca="1" si="16"/>
        <v>0</v>
      </c>
      <c r="U58" s="19">
        <f t="shared" ca="1" si="16"/>
        <v>0</v>
      </c>
      <c r="V58" s="19">
        <f t="shared" ca="1" si="16"/>
        <v>0</v>
      </c>
      <c r="W58" s="19">
        <f t="shared" ca="1" si="16"/>
        <v>-6</v>
      </c>
      <c r="X58" s="19">
        <f t="shared" ca="1" si="16"/>
        <v>2</v>
      </c>
      <c r="Y58" s="19">
        <f t="shared" ca="1" si="16"/>
        <v>0</v>
      </c>
      <c r="Z58" s="19">
        <f t="shared" ca="1" si="16"/>
        <v>0</v>
      </c>
      <c r="AA58" s="19">
        <f t="shared" ca="1" si="16"/>
        <v>-12002.210000008345</v>
      </c>
      <c r="AB58" s="20">
        <f t="shared" ca="1" si="16"/>
        <v>11996.209999918938</v>
      </c>
      <c r="AC58" s="20">
        <f t="shared" ca="1" si="16"/>
        <v>0</v>
      </c>
      <c r="AE58" s="30" t="s">
        <v>33</v>
      </c>
      <c r="AF58" s="31">
        <v>741292942.85000002</v>
      </c>
      <c r="AG58" s="31">
        <v>43018017</v>
      </c>
      <c r="AH58" s="31">
        <v>696360414.4300009</v>
      </c>
      <c r="AI58" s="31">
        <v>502657378</v>
      </c>
      <c r="AJ58" s="31">
        <v>192285681</v>
      </c>
      <c r="AK58" s="31">
        <v>1417459</v>
      </c>
      <c r="AL58" s="31">
        <v>1914511.4199991226</v>
      </c>
      <c r="AM58" s="31">
        <v>80152514.030000046</v>
      </c>
      <c r="AN58" s="32">
        <v>422504863.96999997</v>
      </c>
      <c r="AO58" s="32">
        <v>1914511.4199991226</v>
      </c>
    </row>
    <row r="59" spans="1:41" x14ac:dyDescent="0.25">
      <c r="A59" s="3">
        <f t="shared" ca="1" si="19"/>
        <v>45504</v>
      </c>
      <c r="B59" s="26" t="s">
        <v>34</v>
      </c>
      <c r="C59" s="27">
        <f t="shared" ca="1" si="14"/>
        <v>789039321.1596725</v>
      </c>
      <c r="D59" s="27">
        <v>48059793</v>
      </c>
      <c r="E59" s="27">
        <v>739447600.82000017</v>
      </c>
      <c r="F59" s="27">
        <v>569837728</v>
      </c>
      <c r="G59" s="27">
        <v>168440121</v>
      </c>
      <c r="H59" s="27">
        <v>1169899</v>
      </c>
      <c r="I59" s="27">
        <f t="shared" ca="1" si="18"/>
        <v>1531927.339672327</v>
      </c>
      <c r="J59" s="19">
        <v>104977267.05000001</v>
      </c>
      <c r="K59" s="20">
        <v>464860460.95000035</v>
      </c>
      <c r="L59" s="20">
        <f t="shared" ca="1" si="15"/>
        <v>1531927.339672327</v>
      </c>
      <c r="N59" s="16"/>
      <c r="S59" s="26" t="s">
        <v>34</v>
      </c>
      <c r="T59" s="27">
        <f t="shared" ca="1" si="16"/>
        <v>0</v>
      </c>
      <c r="U59" s="27">
        <f t="shared" ca="1" si="16"/>
        <v>0</v>
      </c>
      <c r="V59" s="27">
        <f t="shared" ca="1" si="16"/>
        <v>0</v>
      </c>
      <c r="W59" s="27">
        <f t="shared" ca="1" si="16"/>
        <v>7</v>
      </c>
      <c r="X59" s="27">
        <f t="shared" ca="1" si="16"/>
        <v>-3</v>
      </c>
      <c r="Y59" s="27">
        <f t="shared" ca="1" si="16"/>
        <v>0</v>
      </c>
      <c r="Z59" s="27">
        <f t="shared" ca="1" si="16"/>
        <v>0</v>
      </c>
      <c r="AA59" s="19">
        <f t="shared" ca="1" si="16"/>
        <v>6.0700000375509262</v>
      </c>
      <c r="AB59" s="20">
        <f t="shared" ca="1" si="16"/>
        <v>0.93000006675720215</v>
      </c>
      <c r="AC59" s="20">
        <f t="shared" ca="1" si="16"/>
        <v>0</v>
      </c>
      <c r="AE59" s="26" t="s">
        <v>34</v>
      </c>
      <c r="AF59" s="27">
        <v>789039321.1596725</v>
      </c>
      <c r="AG59" s="27">
        <v>48059793</v>
      </c>
      <c r="AH59" s="27">
        <v>739447600.82000017</v>
      </c>
      <c r="AI59" s="27">
        <v>569837721</v>
      </c>
      <c r="AJ59" s="27">
        <v>168440124</v>
      </c>
      <c r="AK59" s="27">
        <v>1169899</v>
      </c>
      <c r="AL59" s="27">
        <v>1531927.339672327</v>
      </c>
      <c r="AM59" s="19">
        <v>104977260.97999997</v>
      </c>
      <c r="AN59" s="20">
        <v>464860460.02000028</v>
      </c>
      <c r="AO59" s="20">
        <v>1531927.339672327</v>
      </c>
    </row>
    <row r="60" spans="1:41" x14ac:dyDescent="0.25">
      <c r="A60" s="3">
        <f t="shared" ca="1" si="19"/>
        <v>45535</v>
      </c>
      <c r="B60" s="30" t="s">
        <v>35</v>
      </c>
      <c r="C60" s="31">
        <f t="shared" ca="1" si="14"/>
        <v>787419415.61263299</v>
      </c>
      <c r="D60" s="31">
        <v>45030725</v>
      </c>
      <c r="E60" s="31">
        <v>732673644.32000017</v>
      </c>
      <c r="F60" s="31">
        <v>568239955</v>
      </c>
      <c r="G60" s="31">
        <v>163049430</v>
      </c>
      <c r="H60" s="31">
        <v>1384453</v>
      </c>
      <c r="I60" s="31">
        <f t="shared" ca="1" si="18"/>
        <v>4878399.5826328397</v>
      </c>
      <c r="J60" s="31">
        <v>128765071.60999994</v>
      </c>
      <c r="K60" s="32">
        <v>439474883.38999945</v>
      </c>
      <c r="L60" s="32">
        <f t="shared" ca="1" si="15"/>
        <v>9715046.2926328182</v>
      </c>
      <c r="N60" s="16"/>
      <c r="S60" s="33" t="s">
        <v>35</v>
      </c>
      <c r="T60" s="19">
        <f t="shared" ca="1" si="16"/>
        <v>0</v>
      </c>
      <c r="U60" s="19">
        <f t="shared" ca="1" si="16"/>
        <v>0</v>
      </c>
      <c r="V60" s="19">
        <f t="shared" ca="1" si="16"/>
        <v>0</v>
      </c>
      <c r="W60" s="19">
        <f t="shared" ca="1" si="16"/>
        <v>2</v>
      </c>
      <c r="X60" s="19">
        <f t="shared" ca="1" si="16"/>
        <v>0</v>
      </c>
      <c r="Y60" s="19">
        <f t="shared" ca="1" si="16"/>
        <v>0</v>
      </c>
      <c r="Z60" s="19">
        <f t="shared" ca="1" si="16"/>
        <v>4.0000006556510925E-2</v>
      </c>
      <c r="AA60" s="19">
        <f t="shared" ca="1" si="16"/>
        <v>-14598.500000029802</v>
      </c>
      <c r="AB60" s="20">
        <f t="shared" ca="1" si="16"/>
        <v>14600.499999940395</v>
      </c>
      <c r="AC60" s="20">
        <f t="shared" ca="1" si="16"/>
        <v>0</v>
      </c>
      <c r="AE60" s="30" t="s">
        <v>35</v>
      </c>
      <c r="AF60" s="31">
        <v>787419415.61263299</v>
      </c>
      <c r="AG60" s="31">
        <v>45030725</v>
      </c>
      <c r="AH60" s="31">
        <v>732673644.32000017</v>
      </c>
      <c r="AI60" s="31">
        <v>568239953</v>
      </c>
      <c r="AJ60" s="31">
        <v>163049430</v>
      </c>
      <c r="AK60" s="31">
        <v>1384453</v>
      </c>
      <c r="AL60" s="31">
        <v>4878399.5426328331</v>
      </c>
      <c r="AM60" s="31">
        <v>128779670.10999997</v>
      </c>
      <c r="AN60" s="32">
        <v>439460282.88999951</v>
      </c>
      <c r="AO60" s="32">
        <v>9715046.2926328182</v>
      </c>
    </row>
    <row r="61" spans="1:41" x14ac:dyDescent="0.25">
      <c r="A61" s="3">
        <f t="shared" ca="1" si="19"/>
        <v>45565</v>
      </c>
      <c r="B61" s="26" t="s">
        <v>36</v>
      </c>
      <c r="C61" s="27">
        <f t="shared" ca="1" si="14"/>
        <v>804404188.22654164</v>
      </c>
      <c r="D61" s="27">
        <v>45977307</v>
      </c>
      <c r="E61" s="27">
        <v>755920771.3799994</v>
      </c>
      <c r="F61" s="27">
        <v>575944308</v>
      </c>
      <c r="G61" s="27">
        <v>178988391</v>
      </c>
      <c r="H61" s="27">
        <v>988285</v>
      </c>
      <c r="I61" s="27">
        <f t="shared" ca="1" si="18"/>
        <v>1182838.7965421826</v>
      </c>
      <c r="J61" s="19">
        <v>111038071.31999993</v>
      </c>
      <c r="K61" s="20">
        <v>464906236.68000031</v>
      </c>
      <c r="L61" s="20">
        <f t="shared" ca="1" si="15"/>
        <v>2506109.8465422392</v>
      </c>
      <c r="N61" s="16"/>
      <c r="S61" s="26" t="s">
        <v>36</v>
      </c>
      <c r="T61" s="27">
        <f t="shared" ca="1" si="16"/>
        <v>0</v>
      </c>
      <c r="U61" s="27">
        <f t="shared" ca="1" si="16"/>
        <v>0</v>
      </c>
      <c r="V61" s="27">
        <f t="shared" ca="1" si="16"/>
        <v>0</v>
      </c>
      <c r="W61" s="27">
        <f t="shared" ca="1" si="16"/>
        <v>400</v>
      </c>
      <c r="X61" s="27">
        <f t="shared" ca="1" si="16"/>
        <v>-400</v>
      </c>
      <c r="Y61" s="27">
        <f t="shared" ca="1" si="16"/>
        <v>0</v>
      </c>
      <c r="Z61" s="27">
        <f t="shared" ca="1" si="16"/>
        <v>-0.92000003159046173</v>
      </c>
      <c r="AA61" s="19">
        <f t="shared" ca="1" si="16"/>
        <v>-4600.4199999719858</v>
      </c>
      <c r="AB61" s="20">
        <f t="shared" ca="1" si="16"/>
        <v>5000.4200000762939</v>
      </c>
      <c r="AC61" s="20">
        <f t="shared" ca="1" si="16"/>
        <v>0</v>
      </c>
      <c r="AE61" s="26" t="s">
        <v>36</v>
      </c>
      <c r="AF61" s="27">
        <v>804404188.22654164</v>
      </c>
      <c r="AG61" s="27">
        <v>45977307</v>
      </c>
      <c r="AH61" s="27">
        <v>755920771.3799994</v>
      </c>
      <c r="AI61" s="27">
        <v>575943908</v>
      </c>
      <c r="AJ61" s="27">
        <v>178988791</v>
      </c>
      <c r="AK61" s="27">
        <v>988285</v>
      </c>
      <c r="AL61" s="27">
        <v>1182839.7165422142</v>
      </c>
      <c r="AM61" s="19">
        <v>111042671.73999991</v>
      </c>
      <c r="AN61" s="20">
        <v>464901236.26000023</v>
      </c>
      <c r="AO61" s="20">
        <v>2506109.8465422392</v>
      </c>
    </row>
    <row r="62" spans="1:41" x14ac:dyDescent="0.25">
      <c r="A62" s="3">
        <f t="shared" ca="1" si="19"/>
        <v>45596</v>
      </c>
      <c r="B62" s="30" t="s">
        <v>37</v>
      </c>
      <c r="C62" s="31">
        <f t="shared" ca="1" si="14"/>
        <v>950807663.67699683</v>
      </c>
      <c r="D62" s="31">
        <v>43325977</v>
      </c>
      <c r="E62" s="31">
        <v>900857014.04000044</v>
      </c>
      <c r="F62" s="31">
        <v>699539368</v>
      </c>
      <c r="G62" s="31">
        <v>200269928</v>
      </c>
      <c r="H62" s="31">
        <v>1047902</v>
      </c>
      <c r="I62" s="31">
        <f t="shared" ca="1" si="18"/>
        <v>6624672.6369963884</v>
      </c>
      <c r="J62" s="31">
        <v>156724521.00000003</v>
      </c>
      <c r="K62" s="32">
        <v>542814847.00000036</v>
      </c>
      <c r="L62" s="32">
        <f t="shared" ca="1" si="15"/>
        <v>6624672.6369963884</v>
      </c>
      <c r="N62" s="16"/>
      <c r="S62" s="33" t="s">
        <v>37</v>
      </c>
      <c r="T62" s="19">
        <f t="shared" ca="1" si="16"/>
        <v>0</v>
      </c>
      <c r="U62" s="19">
        <f t="shared" ca="1" si="16"/>
        <v>0</v>
      </c>
      <c r="V62" s="19">
        <f t="shared" ca="1" si="16"/>
        <v>1452</v>
      </c>
      <c r="W62" s="19">
        <f t="shared" ca="1" si="16"/>
        <v>1451</v>
      </c>
      <c r="X62" s="19">
        <f t="shared" ca="1" si="16"/>
        <v>1</v>
      </c>
      <c r="Y62" s="19">
        <f t="shared" ca="1" si="16"/>
        <v>0</v>
      </c>
      <c r="Z62" s="19">
        <f t="shared" ca="1" si="16"/>
        <v>-1452</v>
      </c>
      <c r="AA62" s="19">
        <f t="shared" ca="1" si="16"/>
        <v>-2736.0199999809265</v>
      </c>
      <c r="AB62" s="20">
        <f t="shared" ca="1" si="16"/>
        <v>4187.0200001001358</v>
      </c>
      <c r="AC62" s="20">
        <f t="shared" ca="1" si="16"/>
        <v>-1452</v>
      </c>
      <c r="AE62" s="30" t="s">
        <v>37</v>
      </c>
      <c r="AF62" s="31">
        <v>950807663.67699683</v>
      </c>
      <c r="AG62" s="31">
        <v>43325977</v>
      </c>
      <c r="AH62" s="31">
        <v>900855562.04000044</v>
      </c>
      <c r="AI62" s="31">
        <v>699537917</v>
      </c>
      <c r="AJ62" s="31">
        <v>200269927</v>
      </c>
      <c r="AK62" s="31">
        <v>1047902</v>
      </c>
      <c r="AL62" s="31">
        <v>6626124.6369963884</v>
      </c>
      <c r="AM62" s="31">
        <v>156727257.02000001</v>
      </c>
      <c r="AN62" s="32">
        <v>542810659.98000026</v>
      </c>
      <c r="AO62" s="32">
        <v>6626124.6369963884</v>
      </c>
    </row>
    <row r="63" spans="1:41" x14ac:dyDescent="0.25">
      <c r="A63" s="3">
        <f t="shared" ca="1" si="19"/>
        <v>45626</v>
      </c>
      <c r="B63" s="26" t="s">
        <v>38</v>
      </c>
      <c r="C63" s="27">
        <f t="shared" ca="1" si="14"/>
        <v>969107183.11684847</v>
      </c>
      <c r="D63" s="27">
        <v>56642195</v>
      </c>
      <c r="E63" s="27">
        <v>909311717.6099999</v>
      </c>
      <c r="F63" s="27">
        <v>661044553</v>
      </c>
      <c r="G63" s="27">
        <v>246929839</v>
      </c>
      <c r="H63" s="27">
        <v>1337503</v>
      </c>
      <c r="I63" s="27">
        <f t="shared" ca="1" si="18"/>
        <v>3153270.5068485737</v>
      </c>
      <c r="J63" s="19">
        <v>140742007.98999998</v>
      </c>
      <c r="K63" s="20">
        <v>520302545.01000023</v>
      </c>
      <c r="L63" s="20">
        <f t="shared" ca="1" si="15"/>
        <v>3153270.5068485737</v>
      </c>
      <c r="N63" s="16"/>
      <c r="S63" s="26" t="s">
        <v>38</v>
      </c>
      <c r="T63" s="27">
        <f t="shared" ca="1" si="16"/>
        <v>0</v>
      </c>
      <c r="U63" s="27">
        <f t="shared" ca="1" si="16"/>
        <v>0</v>
      </c>
      <c r="V63" s="27">
        <f t="shared" ca="1" si="16"/>
        <v>47251.980000019073</v>
      </c>
      <c r="W63" s="27">
        <f t="shared" ca="1" si="16"/>
        <v>20628</v>
      </c>
      <c r="X63" s="27">
        <f t="shared" ca="1" si="16"/>
        <v>26625</v>
      </c>
      <c r="Y63" s="27">
        <f t="shared" ca="1" si="16"/>
        <v>0</v>
      </c>
      <c r="Z63" s="27">
        <f t="shared" ca="1" si="16"/>
        <v>-47251.980000019073</v>
      </c>
      <c r="AA63" s="19">
        <f t="shared" ca="1" si="16"/>
        <v>-3754.8999999761581</v>
      </c>
      <c r="AB63" s="20">
        <f t="shared" ca="1" si="16"/>
        <v>24382.900000035763</v>
      </c>
      <c r="AC63" s="20">
        <f t="shared" ca="1" si="16"/>
        <v>-47251.980000019073</v>
      </c>
      <c r="AE63" s="26" t="s">
        <v>38</v>
      </c>
      <c r="AF63" s="27">
        <v>969107183.11684847</v>
      </c>
      <c r="AG63" s="27">
        <v>56642195</v>
      </c>
      <c r="AH63" s="27">
        <v>909264465.62999988</v>
      </c>
      <c r="AI63" s="27">
        <v>661023925</v>
      </c>
      <c r="AJ63" s="27">
        <v>246903214</v>
      </c>
      <c r="AK63" s="27">
        <v>1337503</v>
      </c>
      <c r="AL63" s="27">
        <v>3200522.4868485928</v>
      </c>
      <c r="AM63" s="19">
        <v>140745762.88999996</v>
      </c>
      <c r="AN63" s="20">
        <v>520278162.11000019</v>
      </c>
      <c r="AO63" s="20">
        <v>3200522.4868485928</v>
      </c>
    </row>
    <row r="64" spans="1:41" x14ac:dyDescent="0.25">
      <c r="A64" s="3">
        <f t="shared" ca="1" si="19"/>
        <v>45657</v>
      </c>
      <c r="B64" s="30" t="s">
        <v>39</v>
      </c>
      <c r="C64" s="31">
        <f t="shared" ca="1" si="14"/>
        <v>932862430.28373444</v>
      </c>
      <c r="D64" s="31">
        <v>56861260</v>
      </c>
      <c r="E64" s="31">
        <v>870000128.55000019</v>
      </c>
      <c r="F64" s="31">
        <v>636872020</v>
      </c>
      <c r="G64" s="31">
        <v>231778285</v>
      </c>
      <c r="H64" s="31">
        <v>1350035</v>
      </c>
      <c r="I64" s="31">
        <f t="shared" ca="1" si="18"/>
        <v>4288268.5037341416</v>
      </c>
      <c r="J64" s="19">
        <v>137370750.22999993</v>
      </c>
      <c r="K64" s="32">
        <v>499501269.77000016</v>
      </c>
      <c r="L64" s="32">
        <f t="shared" ca="1" si="15"/>
        <v>6001041.7337342501</v>
      </c>
      <c r="N64" s="16"/>
      <c r="S64" s="33" t="s">
        <v>39</v>
      </c>
      <c r="T64" s="19">
        <f t="shared" ca="1" si="16"/>
        <v>0</v>
      </c>
      <c r="U64" s="19">
        <f t="shared" ca="1" si="16"/>
        <v>0</v>
      </c>
      <c r="V64" s="19">
        <f t="shared" ca="1" si="16"/>
        <v>6973.3900001049042</v>
      </c>
      <c r="W64" s="19">
        <f t="shared" ca="1" si="16"/>
        <v>6983</v>
      </c>
      <c r="X64" s="19">
        <f t="shared" ca="1" si="16"/>
        <v>-4</v>
      </c>
      <c r="Y64" s="19">
        <f t="shared" ca="1" si="16"/>
        <v>0</v>
      </c>
      <c r="Z64" s="19">
        <f t="shared" ca="1" si="16"/>
        <v>-6974.5800001621246</v>
      </c>
      <c r="AA64" s="19">
        <f t="shared" ca="1" si="16"/>
        <v>28788.420000016689</v>
      </c>
      <c r="AB64" s="20">
        <f t="shared" ca="1" si="16"/>
        <v>-21805.41999989748</v>
      </c>
      <c r="AC64" s="20">
        <f t="shared" ca="1" si="16"/>
        <v>-6973.3900001049042</v>
      </c>
      <c r="AE64" s="30" t="s">
        <v>39</v>
      </c>
      <c r="AF64" s="31">
        <v>932862430.28373444</v>
      </c>
      <c r="AG64" s="31">
        <v>56861260</v>
      </c>
      <c r="AH64" s="31">
        <v>869993155.16000009</v>
      </c>
      <c r="AI64" s="31">
        <v>636865037</v>
      </c>
      <c r="AJ64" s="31">
        <v>231778289</v>
      </c>
      <c r="AK64" s="31">
        <v>1350035</v>
      </c>
      <c r="AL64" s="31">
        <v>4295243.0837343037</v>
      </c>
      <c r="AM64" s="19">
        <v>137341961.80999991</v>
      </c>
      <c r="AN64" s="32">
        <v>499523075.19000006</v>
      </c>
      <c r="AO64" s="32">
        <v>6008015.123734355</v>
      </c>
    </row>
    <row r="65" spans="1:41" x14ac:dyDescent="0.25">
      <c r="A65" s="3">
        <f ca="1">A64</f>
        <v>45657</v>
      </c>
      <c r="B65" s="13" t="s">
        <v>40</v>
      </c>
      <c r="C65" s="14">
        <f ca="1">SUM(C66:C77)</f>
        <v>15000240290.006403</v>
      </c>
      <c r="D65" s="14">
        <f t="shared" ref="D65:K65" ca="1" si="20">SUM(D66:D77)</f>
        <v>813181258</v>
      </c>
      <c r="E65" s="14">
        <f t="shared" ca="1" si="20"/>
        <v>13992818717.120007</v>
      </c>
      <c r="F65" s="14">
        <f t="shared" ca="1" si="20"/>
        <v>11203404273</v>
      </c>
      <c r="G65" s="14">
        <f t="shared" ca="1" si="20"/>
        <v>2744869003</v>
      </c>
      <c r="H65" s="14">
        <f t="shared" ca="1" si="20"/>
        <v>44548872</v>
      </c>
      <c r="I65" s="14">
        <f t="shared" ca="1" si="20"/>
        <v>118941365.33660281</v>
      </c>
      <c r="J65" s="14">
        <f t="shared" ca="1" si="20"/>
        <v>2870314191.4500008</v>
      </c>
      <c r="K65" s="15">
        <f t="shared" ca="1" si="20"/>
        <v>8333090081.5499954</v>
      </c>
      <c r="L65" s="15">
        <f t="shared" ca="1" si="15"/>
        <v>194240314.88639641</v>
      </c>
      <c r="N65" s="16"/>
      <c r="S65" s="18" t="s">
        <v>40</v>
      </c>
      <c r="T65" s="19">
        <f t="shared" ca="1" si="16"/>
        <v>0</v>
      </c>
      <c r="U65" s="19">
        <f t="shared" ca="1" si="16"/>
        <v>-1000775</v>
      </c>
      <c r="V65" s="19">
        <f t="shared" ca="1" si="16"/>
        <v>1209815.8800010681</v>
      </c>
      <c r="W65" s="19">
        <f t="shared" ca="1" si="16"/>
        <v>1323041</v>
      </c>
      <c r="X65" s="19">
        <f t="shared" ca="1" si="16"/>
        <v>-126025</v>
      </c>
      <c r="Y65" s="19">
        <f t="shared" ca="1" si="16"/>
        <v>12799</v>
      </c>
      <c r="Z65" s="19">
        <f t="shared" ca="1" si="16"/>
        <v>-581324.6099998951</v>
      </c>
      <c r="AA65" s="19">
        <f t="shared" ca="1" si="16"/>
        <v>1180741.680000782</v>
      </c>
      <c r="AB65" s="20">
        <f t="shared" ca="1" si="16"/>
        <v>142299.31999969482</v>
      </c>
      <c r="AC65" s="20">
        <f t="shared" ca="1" si="16"/>
        <v>-209040.88000106812</v>
      </c>
      <c r="AE65" s="13" t="s">
        <v>40</v>
      </c>
      <c r="AF65" s="14">
        <v>15000240290.006403</v>
      </c>
      <c r="AG65" s="14">
        <v>814182033</v>
      </c>
      <c r="AH65" s="14">
        <v>13991608901.240005</v>
      </c>
      <c r="AI65" s="14">
        <v>11202081232</v>
      </c>
      <c r="AJ65" s="14">
        <v>2744995028</v>
      </c>
      <c r="AK65" s="14">
        <v>44536073</v>
      </c>
      <c r="AL65" s="14">
        <v>119522689.9466027</v>
      </c>
      <c r="AM65" s="14">
        <v>2869133449.77</v>
      </c>
      <c r="AN65" s="15">
        <v>8332947782.2299957</v>
      </c>
      <c r="AO65" s="15">
        <v>194449355.76639748</v>
      </c>
    </row>
    <row r="66" spans="1:41" x14ac:dyDescent="0.25">
      <c r="A66" s="3">
        <f ca="1">EOMONTH(A64+1,0)</f>
        <v>45688</v>
      </c>
      <c r="B66" s="26" t="s">
        <v>41</v>
      </c>
      <c r="C66" s="27">
        <v>992975393.70000005</v>
      </c>
      <c r="D66" s="27">
        <v>65693004</v>
      </c>
      <c r="E66" s="27">
        <v>920290380.86000025</v>
      </c>
      <c r="F66" s="27">
        <v>694381800</v>
      </c>
      <c r="G66" s="27">
        <v>222701983</v>
      </c>
      <c r="H66" s="27">
        <v>3206774</v>
      </c>
      <c r="I66" s="27">
        <f t="shared" ref="I66:I77" ca="1" si="21">(C66-E66-D66)+IF(L108&lt;0,L108,0)+IF(L149&lt;0,L149,0)</f>
        <v>5371812.0399996936</v>
      </c>
      <c r="J66" s="19">
        <v>154290525.73999989</v>
      </c>
      <c r="K66" s="20">
        <v>540091274.25999975</v>
      </c>
      <c r="L66" s="20">
        <f t="shared" ca="1" si="15"/>
        <v>6992008.839999795</v>
      </c>
      <c r="M66" s="16"/>
      <c r="N66" s="16"/>
      <c r="S66" s="26" t="s">
        <v>41</v>
      </c>
      <c r="T66" s="27">
        <f t="shared" ca="1" si="16"/>
        <v>0</v>
      </c>
      <c r="U66" s="27">
        <f t="shared" ca="1" si="16"/>
        <v>0</v>
      </c>
      <c r="V66" s="27">
        <f t="shared" ca="1" si="16"/>
        <v>0</v>
      </c>
      <c r="W66" s="27">
        <f t="shared" ca="1" si="16"/>
        <v>-996</v>
      </c>
      <c r="X66" s="27">
        <f t="shared" ca="1" si="16"/>
        <v>996</v>
      </c>
      <c r="Y66" s="27">
        <f t="shared" ca="1" si="16"/>
        <v>0</v>
      </c>
      <c r="Z66" s="27">
        <f t="shared" ca="1" si="16"/>
        <v>-1.4699999392032623</v>
      </c>
      <c r="AA66" s="19">
        <f t="shared" ca="1" si="16"/>
        <v>29436.630000025034</v>
      </c>
      <c r="AB66" s="20">
        <f t="shared" ca="1" si="16"/>
        <v>-30432.629999995232</v>
      </c>
      <c r="AC66" s="20">
        <f t="shared" ca="1" si="16"/>
        <v>0</v>
      </c>
      <c r="AD66" s="16"/>
      <c r="AE66" s="26" t="s">
        <v>41</v>
      </c>
      <c r="AF66" s="27">
        <v>992975393.70000005</v>
      </c>
      <c r="AG66" s="27">
        <v>65693004</v>
      </c>
      <c r="AH66" s="27">
        <v>920290380.86000025</v>
      </c>
      <c r="AI66" s="27">
        <v>694382796</v>
      </c>
      <c r="AJ66" s="27">
        <v>222700987</v>
      </c>
      <c r="AK66" s="27">
        <v>3206774</v>
      </c>
      <c r="AL66" s="27">
        <v>5371813.5099996328</v>
      </c>
      <c r="AM66" s="19">
        <v>154261089.10999987</v>
      </c>
      <c r="AN66" s="20">
        <v>540121706.88999975</v>
      </c>
      <c r="AO66" s="20">
        <v>6992008.839999795</v>
      </c>
    </row>
    <row r="67" spans="1:41" x14ac:dyDescent="0.25">
      <c r="A67" s="3">
        <f t="shared" ref="A67:A75" ca="1" si="22">EOMONTH(A66+1,0)</f>
        <v>45716</v>
      </c>
      <c r="B67" s="30" t="s">
        <v>42</v>
      </c>
      <c r="C67" s="31">
        <v>1043918861.2720916</v>
      </c>
      <c r="D67" s="31">
        <v>64905273</v>
      </c>
      <c r="E67" s="31">
        <v>974502289.77000105</v>
      </c>
      <c r="F67" s="31">
        <v>725560453</v>
      </c>
      <c r="G67" s="31">
        <v>246106484</v>
      </c>
      <c r="H67" s="31">
        <v>2835539</v>
      </c>
      <c r="I67" s="31">
        <f t="shared" ca="1" si="21"/>
        <v>4291001.30229038</v>
      </c>
      <c r="J67" s="31">
        <v>146285517.98999998</v>
      </c>
      <c r="K67" s="32">
        <v>579274935.01000023</v>
      </c>
      <c r="L67" s="32">
        <f t="shared" ca="1" si="15"/>
        <v>4511298.5020905733</v>
      </c>
      <c r="M67" s="16"/>
      <c r="N67" s="16"/>
      <c r="S67" s="33" t="s">
        <v>42</v>
      </c>
      <c r="T67" s="19">
        <f t="shared" ca="1" si="16"/>
        <v>0</v>
      </c>
      <c r="U67" s="19">
        <f t="shared" ca="1" si="16"/>
        <v>0</v>
      </c>
      <c r="V67" s="19">
        <f t="shared" ca="1" si="16"/>
        <v>0</v>
      </c>
      <c r="W67" s="19">
        <f t="shared" ca="1" si="16"/>
        <v>1</v>
      </c>
      <c r="X67" s="19">
        <f t="shared" ca="1" si="16"/>
        <v>-1</v>
      </c>
      <c r="Y67" s="19">
        <f t="shared" ca="1" si="16"/>
        <v>0</v>
      </c>
      <c r="Z67" s="19">
        <f t="shared" ca="1" si="16"/>
        <v>-2.0900002121925354</v>
      </c>
      <c r="AA67" s="19">
        <f t="shared" ca="1" si="16"/>
        <v>-39755.409999966621</v>
      </c>
      <c r="AB67" s="20">
        <f t="shared" ca="1" si="16"/>
        <v>39756.410000085831</v>
      </c>
      <c r="AC67" s="20">
        <f t="shared" ca="1" si="16"/>
        <v>0</v>
      </c>
      <c r="AD67" s="16"/>
      <c r="AE67" s="30" t="s">
        <v>42</v>
      </c>
      <c r="AF67" s="31">
        <v>1043918861.2720916</v>
      </c>
      <c r="AG67" s="31">
        <v>64905273</v>
      </c>
      <c r="AH67" s="31">
        <v>974502289.77000105</v>
      </c>
      <c r="AI67" s="31">
        <v>725560452</v>
      </c>
      <c r="AJ67" s="31">
        <v>246106485</v>
      </c>
      <c r="AK67" s="31">
        <v>2835539</v>
      </c>
      <c r="AL67" s="31">
        <v>4291003.3922905922</v>
      </c>
      <c r="AM67" s="31">
        <v>146325273.39999995</v>
      </c>
      <c r="AN67" s="32">
        <v>579235178.60000014</v>
      </c>
      <c r="AO67" s="32">
        <v>4511298.5020905733</v>
      </c>
    </row>
    <row r="68" spans="1:41" x14ac:dyDescent="0.25">
      <c r="A68" s="3">
        <f t="shared" ca="1" si="22"/>
        <v>45747</v>
      </c>
      <c r="B68" s="26" t="s">
        <v>43</v>
      </c>
      <c r="C68" s="27">
        <v>1122285352.2361078</v>
      </c>
      <c r="D68" s="27">
        <v>69441599</v>
      </c>
      <c r="E68" s="27">
        <v>1042447898.4900005</v>
      </c>
      <c r="F68" s="27">
        <v>766645715</v>
      </c>
      <c r="G68" s="27">
        <v>273396314</v>
      </c>
      <c r="H68" s="27">
        <v>2406057</v>
      </c>
      <c r="I68" s="27">
        <f t="shared" ca="1" si="21"/>
        <v>10395854.74610734</v>
      </c>
      <c r="J68" s="19">
        <v>164323397.44999993</v>
      </c>
      <c r="K68" s="20">
        <v>602322317.54999995</v>
      </c>
      <c r="L68" s="20">
        <f t="shared" ca="1" si="15"/>
        <v>10395854.74610734</v>
      </c>
      <c r="M68" s="16"/>
      <c r="N68" s="16"/>
      <c r="S68" s="26" t="s">
        <v>43</v>
      </c>
      <c r="T68" s="27">
        <f t="shared" ca="1" si="16"/>
        <v>0</v>
      </c>
      <c r="U68" s="27">
        <f t="shared" ca="1" si="16"/>
        <v>0</v>
      </c>
      <c r="V68" s="27">
        <f t="shared" ca="1" si="16"/>
        <v>0</v>
      </c>
      <c r="W68" s="27">
        <f t="shared" ca="1" si="16"/>
        <v>-9791</v>
      </c>
      <c r="X68" s="27">
        <f t="shared" ca="1" si="16"/>
        <v>-4</v>
      </c>
      <c r="Y68" s="27">
        <f t="shared" ca="1" si="16"/>
        <v>9799</v>
      </c>
      <c r="Z68" s="27">
        <f t="shared" ca="1" si="16"/>
        <v>0</v>
      </c>
      <c r="AA68" s="19">
        <f t="shared" ca="1" si="16"/>
        <v>-10805.719999998808</v>
      </c>
      <c r="AB68" s="20">
        <f t="shared" ca="1" si="16"/>
        <v>1014.7199999094009</v>
      </c>
      <c r="AC68" s="20">
        <f t="shared" ca="1" si="16"/>
        <v>0</v>
      </c>
      <c r="AD68" s="16"/>
      <c r="AE68" s="26" t="s">
        <v>43</v>
      </c>
      <c r="AF68" s="27">
        <v>1122285352.2361078</v>
      </c>
      <c r="AG68" s="27">
        <v>69441599</v>
      </c>
      <c r="AH68" s="27">
        <v>1042447898.4900005</v>
      </c>
      <c r="AI68" s="27">
        <v>766655506</v>
      </c>
      <c r="AJ68" s="27">
        <v>273396318</v>
      </c>
      <c r="AK68" s="27">
        <v>2396258</v>
      </c>
      <c r="AL68" s="27">
        <v>10395854.74610734</v>
      </c>
      <c r="AM68" s="19">
        <v>164334203.16999993</v>
      </c>
      <c r="AN68" s="20">
        <v>602321302.83000004</v>
      </c>
      <c r="AO68" s="20">
        <v>10395854.74610734</v>
      </c>
    </row>
    <row r="69" spans="1:41" x14ac:dyDescent="0.25">
      <c r="A69" s="3">
        <f t="shared" ca="1" si="22"/>
        <v>45777</v>
      </c>
      <c r="B69" s="30" t="s">
        <v>44</v>
      </c>
      <c r="C69" s="31">
        <v>1360656217.2716997</v>
      </c>
      <c r="D69" s="31">
        <v>79954589</v>
      </c>
      <c r="E69" s="31">
        <v>1272661526.4599998</v>
      </c>
      <c r="F69" s="31">
        <v>999158902</v>
      </c>
      <c r="G69" s="31">
        <v>271130831</v>
      </c>
      <c r="H69" s="31">
        <v>2372081</v>
      </c>
      <c r="I69" s="31">
        <f t="shared" ca="1" si="21"/>
        <v>8010101.8116998672</v>
      </c>
      <c r="J69" s="31">
        <v>216537733.24999997</v>
      </c>
      <c r="K69" s="32">
        <v>782621168.75</v>
      </c>
      <c r="L69" s="32">
        <f t="shared" ca="1" si="15"/>
        <v>8040101.8116998672</v>
      </c>
      <c r="M69" s="16"/>
      <c r="N69" s="16"/>
      <c r="P69" s="42"/>
      <c r="S69" s="33" t="s">
        <v>44</v>
      </c>
      <c r="T69" s="19">
        <f t="shared" ca="1" si="16"/>
        <v>0</v>
      </c>
      <c r="U69" s="19">
        <f t="shared" ca="1" si="16"/>
        <v>0</v>
      </c>
      <c r="V69" s="19">
        <f t="shared" ca="1" si="16"/>
        <v>0</v>
      </c>
      <c r="W69" s="19">
        <f t="shared" ca="1" si="16"/>
        <v>2</v>
      </c>
      <c r="X69" s="19">
        <f t="shared" ca="1" si="16"/>
        <v>0</v>
      </c>
      <c r="Y69" s="19">
        <f t="shared" ca="1" si="16"/>
        <v>0</v>
      </c>
      <c r="Z69" s="19">
        <f t="shared" ca="1" si="16"/>
        <v>0</v>
      </c>
      <c r="AA69" s="19">
        <f t="shared" ca="1" si="16"/>
        <v>38391.019999951124</v>
      </c>
      <c r="AB69" s="20">
        <f t="shared" ca="1" si="16"/>
        <v>-38389.020000100136</v>
      </c>
      <c r="AC69" s="20">
        <f t="shared" ca="1" si="16"/>
        <v>0</v>
      </c>
      <c r="AD69" s="16"/>
      <c r="AE69" s="30" t="s">
        <v>44</v>
      </c>
      <c r="AF69" s="31">
        <v>1360656217.2716997</v>
      </c>
      <c r="AG69" s="31">
        <v>79954589</v>
      </c>
      <c r="AH69" s="31">
        <v>1272661526.4599998</v>
      </c>
      <c r="AI69" s="31">
        <v>999158900</v>
      </c>
      <c r="AJ69" s="31">
        <v>271130831</v>
      </c>
      <c r="AK69" s="31">
        <v>2372081</v>
      </c>
      <c r="AL69" s="31">
        <v>8010101.8116998672</v>
      </c>
      <c r="AM69" s="31">
        <v>216499342.23000002</v>
      </c>
      <c r="AN69" s="32">
        <v>782659557.7700001</v>
      </c>
      <c r="AO69" s="32">
        <v>8040101.8116998672</v>
      </c>
    </row>
    <row r="70" spans="1:41" x14ac:dyDescent="0.25">
      <c r="A70" s="3">
        <f t="shared" ca="1" si="22"/>
        <v>45808</v>
      </c>
      <c r="B70" s="26" t="s">
        <v>45</v>
      </c>
      <c r="C70" s="27">
        <v>1623031286.7763</v>
      </c>
      <c r="D70" s="27">
        <v>79033925</v>
      </c>
      <c r="E70" s="27">
        <v>1519255069.0900025</v>
      </c>
      <c r="F70" s="27">
        <v>1227905435</v>
      </c>
      <c r="G70" s="27">
        <v>288050707</v>
      </c>
      <c r="H70" s="27">
        <v>3299225</v>
      </c>
      <c r="I70" s="27">
        <f t="shared" ca="1" si="21"/>
        <v>4488866.5862971395</v>
      </c>
      <c r="J70" s="19">
        <v>280550762.19000024</v>
      </c>
      <c r="K70" s="20">
        <v>947354672.80999947</v>
      </c>
      <c r="L70" s="20">
        <f t="shared" ca="1" si="15"/>
        <v>24742292.686297417</v>
      </c>
      <c r="M70" s="16"/>
      <c r="N70" s="16"/>
      <c r="O70" s="42"/>
      <c r="P70" s="42"/>
      <c r="S70" s="26" t="s">
        <v>45</v>
      </c>
      <c r="T70" s="27">
        <f t="shared" ca="1" si="16"/>
        <v>0</v>
      </c>
      <c r="U70" s="27">
        <f t="shared" ca="1" si="16"/>
        <v>0</v>
      </c>
      <c r="V70" s="27">
        <f t="shared" ca="1" si="16"/>
        <v>0</v>
      </c>
      <c r="W70" s="27">
        <f t="shared" ca="1" si="16"/>
        <v>99003</v>
      </c>
      <c r="X70" s="27">
        <f t="shared" ca="1" si="16"/>
        <v>-99008</v>
      </c>
      <c r="Y70" s="27">
        <f t="shared" ca="1" si="16"/>
        <v>0</v>
      </c>
      <c r="Z70" s="27">
        <f t="shared" ca="1" si="16"/>
        <v>-1003.2499998807907</v>
      </c>
      <c r="AA70" s="19">
        <f t="shared" ca="1" si="16"/>
        <v>7940</v>
      </c>
      <c r="AB70" s="20">
        <f t="shared" ca="1" si="16"/>
        <v>91062.999999880791</v>
      </c>
      <c r="AC70" s="20">
        <f t="shared" ca="1" si="16"/>
        <v>0</v>
      </c>
      <c r="AD70" s="16"/>
      <c r="AE70" s="26" t="s">
        <v>45</v>
      </c>
      <c r="AF70" s="27">
        <v>1623031286.7763</v>
      </c>
      <c r="AG70" s="27">
        <v>79033925</v>
      </c>
      <c r="AH70" s="27">
        <v>1519255069.0900025</v>
      </c>
      <c r="AI70" s="27">
        <v>1227806432</v>
      </c>
      <c r="AJ70" s="27">
        <v>288149715</v>
      </c>
      <c r="AK70" s="27">
        <v>3299225</v>
      </c>
      <c r="AL70" s="27">
        <v>4489869.8362970203</v>
      </c>
      <c r="AM70" s="19">
        <v>280542822.19000024</v>
      </c>
      <c r="AN70" s="20">
        <v>947263609.80999959</v>
      </c>
      <c r="AO70" s="20">
        <v>24742292.686297417</v>
      </c>
    </row>
    <row r="71" spans="1:41" x14ac:dyDescent="0.25">
      <c r="A71" s="3">
        <f t="shared" ca="1" si="22"/>
        <v>45838</v>
      </c>
      <c r="B71" s="30" t="s">
        <v>46</v>
      </c>
      <c r="C71" s="31">
        <v>1273263897.2305398</v>
      </c>
      <c r="D71" s="31">
        <v>68780924</v>
      </c>
      <c r="E71" s="31">
        <v>1193958774.5399992</v>
      </c>
      <c r="F71" s="31">
        <v>981452399</v>
      </c>
      <c r="G71" s="31">
        <v>208311689</v>
      </c>
      <c r="H71" s="31">
        <v>4195038</v>
      </c>
      <c r="I71" s="31">
        <f t="shared" ca="1" si="21"/>
        <v>3102040.5805406123</v>
      </c>
      <c r="J71" s="31">
        <v>227473648.45000005</v>
      </c>
      <c r="K71" s="32">
        <v>753978750.54999888</v>
      </c>
      <c r="L71" s="32">
        <f t="shared" ca="1" si="15"/>
        <v>10524198.690540552</v>
      </c>
      <c r="M71" s="16"/>
      <c r="N71" s="16"/>
      <c r="O71" s="43"/>
      <c r="P71" s="42"/>
      <c r="S71" s="33" t="s">
        <v>46</v>
      </c>
      <c r="T71" s="19">
        <f t="shared" ca="1" si="16"/>
        <v>0</v>
      </c>
      <c r="U71" s="19">
        <f t="shared" ca="1" si="16"/>
        <v>0</v>
      </c>
      <c r="V71" s="19">
        <f t="shared" ca="1" si="16"/>
        <v>0</v>
      </c>
      <c r="W71" s="19">
        <f t="shared" ca="1" si="16"/>
        <v>-2</v>
      </c>
      <c r="X71" s="19">
        <f t="shared" ca="1" si="16"/>
        <v>0</v>
      </c>
      <c r="Y71" s="19">
        <f t="shared" ca="1" si="16"/>
        <v>0</v>
      </c>
      <c r="Z71" s="19">
        <f t="shared" ca="1" si="16"/>
        <v>-3.0999997556209564</v>
      </c>
      <c r="AA71" s="19">
        <f t="shared" ca="1" si="16"/>
        <v>38489.460000008345</v>
      </c>
      <c r="AB71" s="20">
        <f t="shared" ca="1" si="16"/>
        <v>-38491.459999918938</v>
      </c>
      <c r="AC71" s="20">
        <f t="shared" ca="1" si="16"/>
        <v>0</v>
      </c>
      <c r="AD71" s="16"/>
      <c r="AE71" s="30" t="s">
        <v>46</v>
      </c>
      <c r="AF71" s="31">
        <v>1273263897.2305398</v>
      </c>
      <c r="AG71" s="31">
        <v>68780924</v>
      </c>
      <c r="AH71" s="31">
        <v>1193958774.5399992</v>
      </c>
      <c r="AI71" s="31">
        <v>981452401</v>
      </c>
      <c r="AJ71" s="31">
        <v>208311689</v>
      </c>
      <c r="AK71" s="31">
        <v>4195038</v>
      </c>
      <c r="AL71" s="31">
        <v>3102043.680540368</v>
      </c>
      <c r="AM71" s="31">
        <v>227435158.99000004</v>
      </c>
      <c r="AN71" s="32">
        <v>754017242.0099988</v>
      </c>
      <c r="AO71" s="32">
        <v>10524198.690540552</v>
      </c>
    </row>
    <row r="72" spans="1:41" x14ac:dyDescent="0.25">
      <c r="A72" s="3">
        <f t="shared" ca="1" si="22"/>
        <v>45869</v>
      </c>
      <c r="B72" s="26" t="s">
        <v>47</v>
      </c>
      <c r="C72" s="27">
        <v>1416007823.3425412</v>
      </c>
      <c r="D72" s="27">
        <v>70900193</v>
      </c>
      <c r="E72" s="27">
        <v>1330013488.3999987</v>
      </c>
      <c r="F72" s="27">
        <v>1111909117</v>
      </c>
      <c r="G72" s="27">
        <v>208232688</v>
      </c>
      <c r="H72" s="27">
        <v>9872005</v>
      </c>
      <c r="I72" s="27">
        <f t="shared" ca="1" si="21"/>
        <v>7256938.9325425588</v>
      </c>
      <c r="J72" s="19">
        <v>243547714.7400004</v>
      </c>
      <c r="K72" s="20">
        <v>868361402.26000106</v>
      </c>
      <c r="L72" s="20">
        <f t="shared" ca="1" si="15"/>
        <v>15094141.942542553</v>
      </c>
      <c r="M72" s="16"/>
      <c r="N72" s="16"/>
      <c r="O72" s="43"/>
      <c r="S72" s="26" t="s">
        <v>47</v>
      </c>
      <c r="T72" s="27">
        <f t="shared" ca="1" si="16"/>
        <v>0</v>
      </c>
      <c r="U72" s="27">
        <f t="shared" ca="1" si="16"/>
        <v>0</v>
      </c>
      <c r="V72" s="27">
        <f t="shared" ca="1" si="16"/>
        <v>0</v>
      </c>
      <c r="W72" s="27">
        <f t="shared" ca="1" si="16"/>
        <v>-2</v>
      </c>
      <c r="X72" s="27">
        <f t="shared" ca="1" si="16"/>
        <v>1</v>
      </c>
      <c r="Y72" s="27">
        <f t="shared" ca="1" si="16"/>
        <v>0</v>
      </c>
      <c r="Z72" s="27">
        <f t="shared" ca="1" si="16"/>
        <v>0</v>
      </c>
      <c r="AA72" s="19">
        <f t="shared" ca="1" si="16"/>
        <v>5057.1399999558926</v>
      </c>
      <c r="AB72" s="20">
        <f t="shared" ca="1" si="16"/>
        <v>-5059.1399998664856</v>
      </c>
      <c r="AC72" s="20">
        <f t="shared" ca="1" si="16"/>
        <v>0</v>
      </c>
      <c r="AD72" s="16"/>
      <c r="AE72" s="26" t="s">
        <v>47</v>
      </c>
      <c r="AF72" s="27">
        <v>1416007823.3425412</v>
      </c>
      <c r="AG72" s="27">
        <v>70900193</v>
      </c>
      <c r="AH72" s="27">
        <v>1330013488.3999987</v>
      </c>
      <c r="AI72" s="27">
        <v>1111909119</v>
      </c>
      <c r="AJ72" s="27">
        <v>208232687</v>
      </c>
      <c r="AK72" s="27">
        <v>9872005</v>
      </c>
      <c r="AL72" s="27">
        <v>7256938.9325425588</v>
      </c>
      <c r="AM72" s="19">
        <v>243542657.60000044</v>
      </c>
      <c r="AN72" s="20">
        <v>868366461.40000093</v>
      </c>
      <c r="AO72" s="20">
        <v>15094141.942542553</v>
      </c>
    </row>
    <row r="73" spans="1:41" x14ac:dyDescent="0.25">
      <c r="A73" s="3">
        <f t="shared" ca="1" si="22"/>
        <v>45900</v>
      </c>
      <c r="B73" s="30" t="s">
        <v>48</v>
      </c>
      <c r="C73" s="31">
        <v>1205906652.0531569</v>
      </c>
      <c r="D73" s="31">
        <v>61803640</v>
      </c>
      <c r="E73" s="31">
        <v>1125052194.2899995</v>
      </c>
      <c r="F73" s="31">
        <v>935826823</v>
      </c>
      <c r="G73" s="31">
        <v>184312099</v>
      </c>
      <c r="H73" s="31">
        <v>4913565</v>
      </c>
      <c r="I73" s="31">
        <f t="shared" ca="1" si="21"/>
        <v>10642379.543157369</v>
      </c>
      <c r="J73" s="31">
        <v>289128367.22000009</v>
      </c>
      <c r="K73" s="32">
        <v>646698455.77999866</v>
      </c>
      <c r="L73" s="32">
        <f t="shared" ca="1" si="15"/>
        <v>19050817.763157368</v>
      </c>
      <c r="M73" s="16"/>
      <c r="N73" s="16"/>
      <c r="O73" s="16"/>
      <c r="P73" s="42"/>
      <c r="S73" s="33" t="s">
        <v>48</v>
      </c>
      <c r="T73" s="19">
        <f t="shared" ca="1" si="16"/>
        <v>0</v>
      </c>
      <c r="U73" s="19">
        <f t="shared" ca="1" si="16"/>
        <v>0</v>
      </c>
      <c r="V73" s="19">
        <f t="shared" ca="1" si="16"/>
        <v>0</v>
      </c>
      <c r="W73" s="19">
        <f t="shared" ca="1" si="16"/>
        <v>-2990</v>
      </c>
      <c r="X73" s="19">
        <f t="shared" ca="1" si="16"/>
        <v>-3</v>
      </c>
      <c r="Y73" s="19">
        <f t="shared" ref="Y73:AC109" ca="1" si="23">H73-AK73</f>
        <v>3000</v>
      </c>
      <c r="Z73" s="19">
        <f t="shared" ca="1" si="23"/>
        <v>0</v>
      </c>
      <c r="AA73" s="19">
        <f t="shared" ca="1" si="23"/>
        <v>32049.399999976158</v>
      </c>
      <c r="AB73" s="20">
        <f t="shared" ca="1" si="23"/>
        <v>-35039.399999856949</v>
      </c>
      <c r="AC73" s="20">
        <f t="shared" ca="1" si="23"/>
        <v>0</v>
      </c>
      <c r="AD73" s="16"/>
      <c r="AE73" s="30" t="s">
        <v>48</v>
      </c>
      <c r="AF73" s="31">
        <v>1205906652.0531569</v>
      </c>
      <c r="AG73" s="31">
        <v>61803640</v>
      </c>
      <c r="AH73" s="31">
        <v>1125052194.2899995</v>
      </c>
      <c r="AI73" s="31">
        <v>935829813</v>
      </c>
      <c r="AJ73" s="31">
        <v>184312102</v>
      </c>
      <c r="AK73" s="31">
        <v>4910565</v>
      </c>
      <c r="AL73" s="31">
        <v>10642379.543157369</v>
      </c>
      <c r="AM73" s="31">
        <v>289096317.82000011</v>
      </c>
      <c r="AN73" s="32">
        <v>646733495.17999852</v>
      </c>
      <c r="AO73" s="32">
        <v>19050817.763157368</v>
      </c>
    </row>
    <row r="74" spans="1:41" x14ac:dyDescent="0.25">
      <c r="A74" s="3">
        <f t="shared" ca="1" si="22"/>
        <v>45930</v>
      </c>
      <c r="B74" s="26" t="s">
        <v>49</v>
      </c>
      <c r="C74" s="27">
        <v>1198805579.7490854</v>
      </c>
      <c r="D74" s="27">
        <v>67497164</v>
      </c>
      <c r="E74" s="27">
        <v>1114991212.6799994</v>
      </c>
      <c r="F74" s="27">
        <v>882390304</v>
      </c>
      <c r="G74" s="27">
        <v>229195990</v>
      </c>
      <c r="H74" s="27">
        <v>3405240</v>
      </c>
      <c r="I74" s="27">
        <f t="shared" ca="1" si="21"/>
        <v>11759855.569086071</v>
      </c>
      <c r="J74" s="19">
        <v>224223774.88999981</v>
      </c>
      <c r="K74" s="20">
        <v>658166529.11000013</v>
      </c>
      <c r="L74" s="20">
        <f t="shared" ca="1" si="15"/>
        <v>16317203.069086075</v>
      </c>
      <c r="M74" s="16"/>
      <c r="N74" s="16"/>
      <c r="O74" s="43"/>
      <c r="S74" s="26" t="s">
        <v>49</v>
      </c>
      <c r="T74" s="27">
        <f t="shared" ref="T74:AC110" ca="1" si="24">C74-AF74</f>
        <v>0</v>
      </c>
      <c r="U74" s="27">
        <f t="shared" ca="1" si="24"/>
        <v>0</v>
      </c>
      <c r="V74" s="27">
        <f t="shared" ca="1" si="24"/>
        <v>0</v>
      </c>
      <c r="W74" s="27">
        <f t="shared" ca="1" si="24"/>
        <v>25293</v>
      </c>
      <c r="X74" s="27">
        <f t="shared" ca="1" si="24"/>
        <v>-25297</v>
      </c>
      <c r="Y74" s="27">
        <f t="shared" ca="1" si="23"/>
        <v>0</v>
      </c>
      <c r="Z74" s="27">
        <f t="shared" ca="1" si="23"/>
        <v>0</v>
      </c>
      <c r="AA74" s="19">
        <f t="shared" ca="1" si="23"/>
        <v>40996.379999995232</v>
      </c>
      <c r="AB74" s="20">
        <f t="shared" ca="1" si="23"/>
        <v>-15703.380000114441</v>
      </c>
      <c r="AC74" s="20">
        <f t="shared" ca="1" si="23"/>
        <v>0</v>
      </c>
      <c r="AD74" s="16"/>
      <c r="AE74" s="26" t="s">
        <v>49</v>
      </c>
      <c r="AF74" s="27">
        <v>1198805579.7490854</v>
      </c>
      <c r="AG74" s="27">
        <v>67497164</v>
      </c>
      <c r="AH74" s="27">
        <v>1114991212.6799994</v>
      </c>
      <c r="AI74" s="27">
        <v>882365011</v>
      </c>
      <c r="AJ74" s="27">
        <v>229221287</v>
      </c>
      <c r="AK74" s="27">
        <v>3405240</v>
      </c>
      <c r="AL74" s="27">
        <v>11759855.569086071</v>
      </c>
      <c r="AM74" s="19">
        <v>224182778.50999981</v>
      </c>
      <c r="AN74" s="20">
        <v>658182232.49000025</v>
      </c>
      <c r="AO74" s="20">
        <v>16317203.069086075</v>
      </c>
    </row>
    <row r="75" spans="1:41" x14ac:dyDescent="0.25">
      <c r="A75" s="3">
        <f t="shared" ca="1" si="22"/>
        <v>45961</v>
      </c>
      <c r="B75" s="30" t="s">
        <v>50</v>
      </c>
      <c r="C75" s="31">
        <v>1341226774.3587663</v>
      </c>
      <c r="D75" s="31">
        <v>67826211</v>
      </c>
      <c r="E75" s="31">
        <v>1253219400.7800021</v>
      </c>
      <c r="F75" s="31">
        <v>1038038750</v>
      </c>
      <c r="G75" s="31">
        <v>211811729</v>
      </c>
      <c r="H75" s="31">
        <v>3369309</v>
      </c>
      <c r="I75" s="31">
        <f t="shared" ca="1" si="21"/>
        <v>11168298.678764205</v>
      </c>
      <c r="J75" s="31">
        <v>297784681.55000001</v>
      </c>
      <c r="K75" s="32">
        <v>740254068.45000148</v>
      </c>
      <c r="L75" s="32">
        <f t="shared" ca="1" si="15"/>
        <v>20181162.5787642</v>
      </c>
      <c r="M75" s="16"/>
      <c r="N75" s="16"/>
      <c r="P75" s="42"/>
      <c r="S75" s="33" t="s">
        <v>50</v>
      </c>
      <c r="T75" s="19">
        <f t="shared" ca="1" si="24"/>
        <v>0</v>
      </c>
      <c r="U75" s="19">
        <f t="shared" ca="1" si="24"/>
        <v>0</v>
      </c>
      <c r="V75" s="19">
        <f t="shared" ca="1" si="24"/>
        <v>206040</v>
      </c>
      <c r="W75" s="19">
        <f t="shared" ca="1" si="24"/>
        <v>208748</v>
      </c>
      <c r="X75" s="19">
        <f t="shared" ca="1" si="24"/>
        <v>-2708</v>
      </c>
      <c r="Y75" s="19">
        <f t="shared" ca="1" si="23"/>
        <v>0</v>
      </c>
      <c r="Z75" s="19">
        <f t="shared" ca="1" si="23"/>
        <v>-577313.8200000003</v>
      </c>
      <c r="AA75" s="19">
        <f t="shared" ca="1" si="23"/>
        <v>80505.510000050068</v>
      </c>
      <c r="AB75" s="20">
        <f t="shared" ca="1" si="23"/>
        <v>128242.48999989033</v>
      </c>
      <c r="AC75" s="20">
        <f t="shared" ca="1" si="23"/>
        <v>-206040</v>
      </c>
      <c r="AD75" s="16"/>
      <c r="AE75" s="30" t="s">
        <v>50</v>
      </c>
      <c r="AF75" s="31">
        <v>1341226774.3587663</v>
      </c>
      <c r="AG75" s="31">
        <v>67826211</v>
      </c>
      <c r="AH75" s="31">
        <v>1253013360.7800021</v>
      </c>
      <c r="AI75" s="31">
        <v>1037830002</v>
      </c>
      <c r="AJ75" s="31">
        <v>211814437</v>
      </c>
      <c r="AK75" s="31">
        <v>3369309</v>
      </c>
      <c r="AL75" s="31">
        <v>11745612.498764206</v>
      </c>
      <c r="AM75" s="31">
        <v>297704176.03999996</v>
      </c>
      <c r="AN75" s="32">
        <v>740125825.96000159</v>
      </c>
      <c r="AO75" s="32">
        <v>20387202.5787642</v>
      </c>
    </row>
    <row r="76" spans="1:41" x14ac:dyDescent="0.25">
      <c r="A76" s="3">
        <f ca="1">EOMONTH(A75+1,0)</f>
        <v>45991</v>
      </c>
      <c r="B76" s="26" t="s">
        <v>51</v>
      </c>
      <c r="C76" s="27">
        <v>1152893499.6400001</v>
      </c>
      <c r="D76" s="27">
        <v>52463720</v>
      </c>
      <c r="E76" s="27">
        <v>1075691508.9700003</v>
      </c>
      <c r="F76" s="27">
        <v>891883195</v>
      </c>
      <c r="G76" s="27">
        <v>181461838</v>
      </c>
      <c r="H76" s="27">
        <v>2346805</v>
      </c>
      <c r="I76" s="27">
        <f t="shared" ca="1" si="21"/>
        <v>15951811.599999838</v>
      </c>
      <c r="J76" s="19">
        <v>259833268.76999998</v>
      </c>
      <c r="K76" s="20">
        <v>632049926.2299974</v>
      </c>
      <c r="L76" s="20">
        <f t="shared" ca="1" si="15"/>
        <v>24738270.669999838</v>
      </c>
      <c r="M76" s="16"/>
      <c r="N76" s="16"/>
      <c r="O76" s="43"/>
      <c r="S76" s="26" t="s">
        <v>51</v>
      </c>
      <c r="T76" s="27">
        <f t="shared" ca="1" si="24"/>
        <v>0</v>
      </c>
      <c r="U76" s="27">
        <f t="shared" ca="1" si="24"/>
        <v>0</v>
      </c>
      <c r="V76" s="27">
        <f t="shared" ca="1" si="24"/>
        <v>3000</v>
      </c>
      <c r="W76" s="27">
        <f t="shared" ca="1" si="24"/>
        <v>3001</v>
      </c>
      <c r="X76" s="27">
        <f t="shared" ca="1" si="24"/>
        <v>-1</v>
      </c>
      <c r="Y76" s="27">
        <f t="shared" ca="1" si="23"/>
        <v>0</v>
      </c>
      <c r="Z76" s="27">
        <f t="shared" ca="1" si="23"/>
        <v>-3000</v>
      </c>
      <c r="AA76" s="19">
        <f t="shared" ca="1" si="23"/>
        <v>-97020.199999988079</v>
      </c>
      <c r="AB76" s="20">
        <f t="shared" ca="1" si="23"/>
        <v>100021.20000004768</v>
      </c>
      <c r="AC76" s="20">
        <f t="shared" ca="1" si="23"/>
        <v>-3000</v>
      </c>
      <c r="AD76" s="16"/>
      <c r="AE76" s="26" t="s">
        <v>51</v>
      </c>
      <c r="AF76" s="27">
        <v>1152893499.6400001</v>
      </c>
      <c r="AG76" s="27">
        <v>52463720</v>
      </c>
      <c r="AH76" s="27">
        <v>1075688508.9700003</v>
      </c>
      <c r="AI76" s="27">
        <v>891880194</v>
      </c>
      <c r="AJ76" s="27">
        <v>181461839</v>
      </c>
      <c r="AK76" s="27">
        <v>2346805</v>
      </c>
      <c r="AL76" s="27">
        <v>15954811.599999838</v>
      </c>
      <c r="AM76" s="19">
        <v>259930288.96999997</v>
      </c>
      <c r="AN76" s="20">
        <v>631949905.02999735</v>
      </c>
      <c r="AO76" s="20">
        <v>24741270.669999838</v>
      </c>
    </row>
    <row r="77" spans="1:41" x14ac:dyDescent="0.25">
      <c r="A77" s="3">
        <f ca="1">EOMONTH(A76+1,0)</f>
        <v>46022</v>
      </c>
      <c r="B77" s="30" t="s">
        <v>52</v>
      </c>
      <c r="C77" s="31">
        <v>1269268952.3761184</v>
      </c>
      <c r="D77" s="31">
        <v>64881016</v>
      </c>
      <c r="E77" s="31">
        <v>1170734972.7900007</v>
      </c>
      <c r="F77" s="31">
        <v>948251380</v>
      </c>
      <c r="G77" s="31">
        <v>220156651</v>
      </c>
      <c r="H77" s="31">
        <v>2327234</v>
      </c>
      <c r="I77" s="31">
        <f t="shared" ca="1" si="21"/>
        <v>26502403.946117736</v>
      </c>
      <c r="J77" s="31">
        <v>366334799.20999998</v>
      </c>
      <c r="K77" s="32">
        <v>581916580.78999853</v>
      </c>
      <c r="L77" s="32">
        <f t="shared" ca="1" si="15"/>
        <v>33652963.586117744</v>
      </c>
      <c r="M77" s="16"/>
      <c r="N77" s="16"/>
      <c r="P77" s="42"/>
      <c r="S77" s="33" t="s">
        <v>52</v>
      </c>
      <c r="T77" s="19">
        <f t="shared" ca="1" si="24"/>
        <v>0</v>
      </c>
      <c r="U77" s="19">
        <f t="shared" ca="1" si="24"/>
        <v>-1000775</v>
      </c>
      <c r="V77" s="19">
        <f t="shared" ca="1" si="24"/>
        <v>1000775.8800001144</v>
      </c>
      <c r="W77" s="19">
        <f t="shared" ca="1" si="24"/>
        <v>1000774</v>
      </c>
      <c r="X77" s="19">
        <f t="shared" ca="1" si="24"/>
        <v>0</v>
      </c>
      <c r="Y77" s="19">
        <f t="shared" ca="1" si="23"/>
        <v>0</v>
      </c>
      <c r="Z77" s="19">
        <f t="shared" ca="1" si="23"/>
        <v>-0.88000011444091797</v>
      </c>
      <c r="AA77" s="19">
        <f t="shared" ca="1" si="23"/>
        <v>1055457.4700001478</v>
      </c>
      <c r="AB77" s="20">
        <f t="shared" ca="1" si="23"/>
        <v>-54683.47000002861</v>
      </c>
      <c r="AC77" s="20">
        <f t="shared" ca="1" si="23"/>
        <v>-0.88000011444091797</v>
      </c>
      <c r="AD77" s="16"/>
      <c r="AE77" s="30" t="s">
        <v>52</v>
      </c>
      <c r="AF77" s="31">
        <v>1269268952.3761184</v>
      </c>
      <c r="AG77" s="31">
        <v>65881791</v>
      </c>
      <c r="AH77" s="31">
        <v>1169734196.9100006</v>
      </c>
      <c r="AI77" s="31">
        <v>947250606</v>
      </c>
      <c r="AJ77" s="31">
        <v>220156651</v>
      </c>
      <c r="AK77" s="31">
        <v>2327234</v>
      </c>
      <c r="AL77" s="31">
        <v>26502404.826117851</v>
      </c>
      <c r="AM77" s="31">
        <v>365279341.73999983</v>
      </c>
      <c r="AN77" s="32">
        <v>581971264.25999856</v>
      </c>
      <c r="AO77" s="32">
        <v>33652964.466117859</v>
      </c>
    </row>
    <row r="78" spans="1:41" x14ac:dyDescent="0.25">
      <c r="A78" s="3">
        <f ca="1">A77</f>
        <v>46022</v>
      </c>
      <c r="B78" s="13" t="s">
        <v>53</v>
      </c>
      <c r="C78" s="14">
        <f t="shared" ref="C78:L78" ca="1" si="25">SUM(C79:C83)</f>
        <v>4310319380.3693094</v>
      </c>
      <c r="D78" s="14">
        <f t="shared" ca="1" si="25"/>
        <v>160197490</v>
      </c>
      <c r="E78" s="14">
        <f t="shared" ca="1" si="25"/>
        <v>3838751595.1399946</v>
      </c>
      <c r="F78" s="14">
        <f t="shared" ca="1" si="25"/>
        <v>3308264455</v>
      </c>
      <c r="G78" s="14">
        <f t="shared" ca="1" si="25"/>
        <v>518783077</v>
      </c>
      <c r="H78" s="14">
        <f t="shared" ca="1" si="25"/>
        <v>11705626</v>
      </c>
      <c r="I78" s="14">
        <f t="shared" ca="1" si="25"/>
        <v>263958810.98931471</v>
      </c>
      <c r="J78" s="14">
        <f t="shared" ca="1" si="25"/>
        <v>958240673.67999899</v>
      </c>
      <c r="K78" s="15">
        <f t="shared" ca="1" si="25"/>
        <v>2350023781.3200002</v>
      </c>
      <c r="L78" s="15">
        <f t="shared" ca="1" si="25"/>
        <v>311370295.22931492</v>
      </c>
      <c r="N78" s="16"/>
      <c r="O78" s="43"/>
      <c r="S78" s="18" t="s">
        <v>53</v>
      </c>
      <c r="T78" s="19">
        <f t="shared" ca="1" si="24"/>
        <v>57633464.639530182</v>
      </c>
      <c r="U78" s="19">
        <f t="shared" ca="1" si="24"/>
        <v>505317</v>
      </c>
      <c r="V78" s="19">
        <f t="shared" ca="1" si="24"/>
        <v>56981170.000000954</v>
      </c>
      <c r="W78" s="19">
        <f t="shared" ca="1" si="24"/>
        <v>55647733</v>
      </c>
      <c r="X78" s="19">
        <f t="shared" ca="1" si="24"/>
        <v>1131708</v>
      </c>
      <c r="Y78" s="19">
        <f t="shared" ca="1" si="23"/>
        <v>201754</v>
      </c>
      <c r="Z78" s="19">
        <f t="shared" ca="1" si="23"/>
        <v>-1458973.3204702437</v>
      </c>
      <c r="AA78" s="19">
        <f t="shared" ca="1" si="23"/>
        <v>13925950.159999967</v>
      </c>
      <c r="AB78" s="20">
        <f t="shared" ca="1" si="23"/>
        <v>41721782.840001106</v>
      </c>
      <c r="AC78" s="20">
        <f t="shared" ca="1" si="23"/>
        <v>146977.63952970505</v>
      </c>
      <c r="AE78" s="13" t="s">
        <v>53</v>
      </c>
      <c r="AF78" s="14">
        <v>4252685915.7297792</v>
      </c>
      <c r="AG78" s="14">
        <v>159692173</v>
      </c>
      <c r="AH78" s="14">
        <v>3781770425.1399937</v>
      </c>
      <c r="AI78" s="14">
        <v>3252616722</v>
      </c>
      <c r="AJ78" s="14">
        <v>517651369</v>
      </c>
      <c r="AK78" s="14">
        <v>11503872</v>
      </c>
      <c r="AL78" s="14">
        <v>265417784.30978495</v>
      </c>
      <c r="AM78" s="14">
        <v>944314723.51999903</v>
      </c>
      <c r="AN78" s="15">
        <v>2308301998.4799991</v>
      </c>
      <c r="AO78" s="15">
        <v>311223317.58978522</v>
      </c>
    </row>
    <row r="79" spans="1:41" x14ac:dyDescent="0.25">
      <c r="A79" s="3">
        <f ca="1">EOMONTH(A77+1,0)</f>
        <v>46053</v>
      </c>
      <c r="B79" s="26" t="s">
        <v>54</v>
      </c>
      <c r="C79" s="27">
        <v>1192785012.5294888</v>
      </c>
      <c r="D79" s="27">
        <v>60504936</v>
      </c>
      <c r="E79" s="27">
        <v>1099887643.7499981</v>
      </c>
      <c r="F79" s="27">
        <v>904933142</v>
      </c>
      <c r="G79" s="27">
        <v>192967436</v>
      </c>
      <c r="H79" s="27">
        <v>1987427</v>
      </c>
      <c r="I79" s="27">
        <f ca="1">(C79-E79-D79)+IF(L121&lt;0,L121,0)+IF(L162&lt;0,L162,0)</f>
        <v>23421400.859490559</v>
      </c>
      <c r="J79" s="19">
        <v>264911360.13999957</v>
      </c>
      <c r="K79" s="20">
        <v>640021781.86000001</v>
      </c>
      <c r="L79" s="20">
        <f t="shared" ca="1" si="15"/>
        <v>32392432.779490709</v>
      </c>
      <c r="M79" s="16"/>
      <c r="N79" s="16"/>
      <c r="S79" s="26" t="s">
        <v>54</v>
      </c>
      <c r="T79" s="27">
        <f t="shared" ca="1" si="24"/>
        <v>0</v>
      </c>
      <c r="U79" s="27">
        <f t="shared" ca="1" si="24"/>
        <v>0</v>
      </c>
      <c r="V79" s="27">
        <f t="shared" ca="1" si="24"/>
        <v>12000</v>
      </c>
      <c r="W79" s="27">
        <f t="shared" ca="1" si="24"/>
        <v>11996</v>
      </c>
      <c r="X79" s="27">
        <f t="shared" ca="1" si="24"/>
        <v>1</v>
      </c>
      <c r="Y79" s="27">
        <f t="shared" ca="1" si="23"/>
        <v>0</v>
      </c>
      <c r="Z79" s="27">
        <f t="shared" ca="1" si="23"/>
        <v>-14000.95999994874</v>
      </c>
      <c r="AA79" s="19">
        <f t="shared" ca="1" si="23"/>
        <v>32350.839999973774</v>
      </c>
      <c r="AB79" s="20">
        <f t="shared" ca="1" si="23"/>
        <v>-20354.83999979496</v>
      </c>
      <c r="AC79" s="20">
        <f t="shared" ca="1" si="23"/>
        <v>-12000</v>
      </c>
      <c r="AD79" s="16"/>
      <c r="AE79" s="26" t="s">
        <v>54</v>
      </c>
      <c r="AF79" s="27">
        <v>1192785012.5294888</v>
      </c>
      <c r="AG79" s="27">
        <v>60504936</v>
      </c>
      <c r="AH79" s="27">
        <v>1099875643.7499981</v>
      </c>
      <c r="AI79" s="27">
        <v>904921146</v>
      </c>
      <c r="AJ79" s="27">
        <v>192967435</v>
      </c>
      <c r="AK79" s="27">
        <v>1987427</v>
      </c>
      <c r="AL79" s="27">
        <v>23435401.819490507</v>
      </c>
      <c r="AM79" s="19">
        <v>264879009.29999959</v>
      </c>
      <c r="AN79" s="20">
        <v>640042136.69999981</v>
      </c>
      <c r="AO79" s="20">
        <v>32404432.779490709</v>
      </c>
    </row>
    <row r="80" spans="1:41" x14ac:dyDescent="0.25">
      <c r="A80" s="3">
        <f ca="1">EOMONTH(A79+1,0)</f>
        <v>46081</v>
      </c>
      <c r="B80" s="30" t="s">
        <v>55</v>
      </c>
      <c r="C80" s="31">
        <v>1109678502</v>
      </c>
      <c r="D80" s="31">
        <v>58065532</v>
      </c>
      <c r="E80" s="31">
        <v>1024681537.6399984</v>
      </c>
      <c r="F80" s="31">
        <v>808300917</v>
      </c>
      <c r="G80" s="31">
        <v>214141693</v>
      </c>
      <c r="H80" s="31">
        <v>2239360</v>
      </c>
      <c r="I80" s="31">
        <f ca="1">(C80-E80-D80)+IF(L122&lt;0,L122,0)+IF(L163&lt;0,L163,0)</f>
        <v>20149679.350001562</v>
      </c>
      <c r="J80" s="31">
        <v>264402039.77999976</v>
      </c>
      <c r="K80" s="32">
        <v>543898877.21999979</v>
      </c>
      <c r="L80" s="32">
        <f t="shared" ca="1" si="15"/>
        <v>26931432.360001564</v>
      </c>
      <c r="M80" s="16"/>
      <c r="N80" s="16"/>
      <c r="S80" s="33" t="s">
        <v>55</v>
      </c>
      <c r="T80" s="19">
        <f t="shared" ca="1" si="24"/>
        <v>0</v>
      </c>
      <c r="U80" s="19">
        <f t="shared" ca="1" si="24"/>
        <v>0</v>
      </c>
      <c r="V80" s="19">
        <f t="shared" ca="1" si="24"/>
        <v>744665.05000007153</v>
      </c>
      <c r="W80" s="19">
        <f t="shared" ca="1" si="24"/>
        <v>746634</v>
      </c>
      <c r="X80" s="19">
        <f t="shared" ca="1" si="24"/>
        <v>-1967</v>
      </c>
      <c r="Y80" s="19">
        <f t="shared" ca="1" si="24"/>
        <v>0</v>
      </c>
      <c r="Z80" s="19">
        <f t="shared" ca="1" si="24"/>
        <v>-744665.05000007153</v>
      </c>
      <c r="AA80" s="19">
        <f t="shared" ca="1" si="24"/>
        <v>346074.43000006676</v>
      </c>
      <c r="AB80" s="20">
        <f t="shared" ca="1" si="24"/>
        <v>400559.57000005245</v>
      </c>
      <c r="AC80" s="20">
        <f t="shared" ca="1" si="24"/>
        <v>-744665.05000007153</v>
      </c>
      <c r="AD80" s="16"/>
      <c r="AE80" s="30" t="s">
        <v>55</v>
      </c>
      <c r="AF80" s="31">
        <v>1109678502</v>
      </c>
      <c r="AG80" s="31">
        <v>58065532</v>
      </c>
      <c r="AH80" s="31">
        <v>1023936872.5899984</v>
      </c>
      <c r="AI80" s="31">
        <v>807554283</v>
      </c>
      <c r="AJ80" s="31">
        <v>214143660</v>
      </c>
      <c r="AK80" s="31">
        <v>2239360</v>
      </c>
      <c r="AL80" s="31">
        <v>20894344.400001634</v>
      </c>
      <c r="AM80" s="31">
        <v>264055965.3499997</v>
      </c>
      <c r="AN80" s="32">
        <v>543498317.64999974</v>
      </c>
      <c r="AO80" s="32">
        <v>27676097.410001636</v>
      </c>
    </row>
    <row r="81" spans="1:41" x14ac:dyDescent="0.25">
      <c r="A81" s="3">
        <f ca="1">EOMONTH(A80+1,0)</f>
        <v>46112</v>
      </c>
      <c r="B81" s="26" t="s">
        <v>56</v>
      </c>
      <c r="C81" s="27">
        <v>783864982.23959959</v>
      </c>
      <c r="D81" s="27">
        <v>25634088</v>
      </c>
      <c r="E81" s="27">
        <v>722110454.31999958</v>
      </c>
      <c r="F81" s="27">
        <v>660532924</v>
      </c>
      <c r="G81" s="27">
        <v>60335028</v>
      </c>
      <c r="H81" s="27">
        <v>1242906</v>
      </c>
      <c r="I81" s="27">
        <f ca="1">(C81-E81-D81)+IF(L123&lt;0,L123,0)+IF(L164&lt;0,L164,0)</f>
        <v>31717973.449600007</v>
      </c>
      <c r="J81" s="19">
        <v>175850102.76000005</v>
      </c>
      <c r="K81" s="20">
        <v>484682821.24000007</v>
      </c>
      <c r="L81" s="20">
        <f t="shared" ca="1" si="15"/>
        <v>36120439.91960001</v>
      </c>
      <c r="M81" s="16"/>
      <c r="N81" s="16"/>
      <c r="P81" s="16">
        <v>0</v>
      </c>
      <c r="S81" s="33" t="s">
        <v>56</v>
      </c>
      <c r="T81" s="19">
        <f t="shared" ca="1" si="24"/>
        <v>0</v>
      </c>
      <c r="U81" s="19">
        <f t="shared" ca="1" si="24"/>
        <v>351</v>
      </c>
      <c r="V81" s="19">
        <f t="shared" ca="1" si="24"/>
        <v>193113.97999989986</v>
      </c>
      <c r="W81" s="19">
        <f t="shared" ca="1" si="24"/>
        <v>172040</v>
      </c>
      <c r="X81" s="19">
        <f t="shared" ca="1" si="24"/>
        <v>0</v>
      </c>
      <c r="Y81" s="19">
        <f t="shared" ca="1" si="24"/>
        <v>21075</v>
      </c>
      <c r="Z81" s="19">
        <f t="shared" ca="1" si="24"/>
        <v>-195434.97999989986</v>
      </c>
      <c r="AA81" s="19">
        <f t="shared" ca="1" si="24"/>
        <v>213899.30000001192</v>
      </c>
      <c r="AB81" s="20">
        <f t="shared" ca="1" si="24"/>
        <v>-41859.299999952316</v>
      </c>
      <c r="AC81" s="20">
        <f t="shared" ca="1" si="24"/>
        <v>-193464.97999989986</v>
      </c>
      <c r="AD81" s="16"/>
      <c r="AE81" s="26" t="s">
        <v>56</v>
      </c>
      <c r="AF81" s="27">
        <v>783864982.23959959</v>
      </c>
      <c r="AG81" s="27">
        <v>25633737</v>
      </c>
      <c r="AH81" s="27">
        <v>721917340.33999968</v>
      </c>
      <c r="AI81" s="27">
        <v>660360884</v>
      </c>
      <c r="AJ81" s="27">
        <v>60335028</v>
      </c>
      <c r="AK81" s="27">
        <v>1221831</v>
      </c>
      <c r="AL81" s="27">
        <v>31913408.429599907</v>
      </c>
      <c r="AM81" s="19">
        <v>175636203.46000004</v>
      </c>
      <c r="AN81" s="20">
        <v>484724680.54000002</v>
      </c>
      <c r="AO81" s="20">
        <v>36313904.89959991</v>
      </c>
    </row>
    <row r="82" spans="1:41" x14ac:dyDescent="0.25">
      <c r="A82" s="3">
        <f ca="1">EOMONTH(A81+1,0)</f>
        <v>46142</v>
      </c>
      <c r="B82" s="30" t="s">
        <v>57</v>
      </c>
      <c r="C82" s="31">
        <v>993014185.51394069</v>
      </c>
      <c r="D82" s="31">
        <v>13494810</v>
      </c>
      <c r="E82" s="31">
        <v>840558469.10999811</v>
      </c>
      <c r="F82" s="31">
        <v>790468768</v>
      </c>
      <c r="G82" s="31">
        <v>44495129</v>
      </c>
      <c r="H82" s="31">
        <v>5594901</v>
      </c>
      <c r="I82" s="31">
        <f ca="1">(C82-E82-D82)+IF(L124&lt;0,L124,0)+IF(L165&lt;0,L165,0)+IF(L206&lt;0,L206,0)</f>
        <v>111704673.56394255</v>
      </c>
      <c r="J82" s="31">
        <v>215092656.00999975</v>
      </c>
      <c r="K82" s="32">
        <v>575376111.98999989</v>
      </c>
      <c r="L82" s="32">
        <f t="shared" ca="1" si="15"/>
        <v>138960906.40394258</v>
      </c>
      <c r="M82" s="16"/>
      <c r="N82" s="16"/>
      <c r="O82" s="44"/>
      <c r="S82" s="33" t="s">
        <v>57</v>
      </c>
      <c r="T82" s="19">
        <f t="shared" ca="1" si="24"/>
        <v>0</v>
      </c>
      <c r="U82" s="19">
        <f t="shared" ca="1" si="24"/>
        <v>6531</v>
      </c>
      <c r="V82" s="19">
        <f t="shared" ca="1" si="24"/>
        <v>8338330.1300003529</v>
      </c>
      <c r="W82" s="19">
        <f t="shared" ca="1" si="24"/>
        <v>7955409</v>
      </c>
      <c r="X82" s="19">
        <f t="shared" ca="1" si="24"/>
        <v>275669</v>
      </c>
      <c r="Y82" s="19">
        <f t="shared" ca="1" si="24"/>
        <v>107265</v>
      </c>
      <c r="Z82" s="19">
        <f t="shared" ca="1" si="24"/>
        <v>-9946841.1300003529</v>
      </c>
      <c r="AA82" s="19">
        <f t="shared" ca="1" si="24"/>
        <v>881056.21000003815</v>
      </c>
      <c r="AB82" s="20">
        <f t="shared" ca="1" si="24"/>
        <v>7074352.7900002003</v>
      </c>
      <c r="AC82" s="20">
        <f t="shared" ca="1" si="24"/>
        <v>-8344861.1300003529</v>
      </c>
      <c r="AD82" s="16"/>
      <c r="AE82" s="30" t="s">
        <v>57</v>
      </c>
      <c r="AF82" s="31">
        <v>993014185.51394069</v>
      </c>
      <c r="AG82" s="31">
        <v>13488279</v>
      </c>
      <c r="AH82" s="31">
        <v>832220138.97999775</v>
      </c>
      <c r="AI82" s="31">
        <v>782513359</v>
      </c>
      <c r="AJ82" s="31">
        <v>44219460</v>
      </c>
      <c r="AK82" s="31">
        <v>5487636</v>
      </c>
      <c r="AL82" s="31">
        <v>121651514.6939429</v>
      </c>
      <c r="AM82" s="31">
        <v>214211599.79999971</v>
      </c>
      <c r="AN82" s="32">
        <v>568301759.19999969</v>
      </c>
      <c r="AO82" s="32">
        <v>147305767.53394294</v>
      </c>
    </row>
    <row r="83" spans="1:41" ht="15.75" thickBot="1" x14ac:dyDescent="0.3">
      <c r="A83" s="3">
        <f ca="1">EOMONTH(A82+1,0)</f>
        <v>46173</v>
      </c>
      <c r="B83" s="26" t="s">
        <v>58</v>
      </c>
      <c r="C83" s="27">
        <f ca="1">O8</f>
        <v>230976698.08628002</v>
      </c>
      <c r="D83" s="27">
        <v>2498124</v>
      </c>
      <c r="E83" s="27">
        <v>151513490.31999999</v>
      </c>
      <c r="F83" s="27">
        <v>144028704</v>
      </c>
      <c r="G83" s="27">
        <v>6843791</v>
      </c>
      <c r="H83" s="27">
        <v>641032</v>
      </c>
      <c r="I83" s="27">
        <f ca="1">(C83-E83-D83)+IF(L125&lt;0,L125,0)+IF(L166&lt;0,L166,0)+IF(L207&lt;0,L207,0)</f>
        <v>76965083.766280025</v>
      </c>
      <c r="J83" s="19">
        <v>37984514.989999935</v>
      </c>
      <c r="K83" s="20">
        <v>106044189.01000002</v>
      </c>
      <c r="L83" s="20">
        <f ca="1">C83-E83-D83</f>
        <v>76965083.766280025</v>
      </c>
      <c r="M83" s="16"/>
      <c r="N83" s="16"/>
      <c r="P83" s="16"/>
      <c r="S83" s="33" t="s">
        <v>58</v>
      </c>
      <c r="T83" s="19">
        <f t="shared" ca="1" si="24"/>
        <v>57633464.639530003</v>
      </c>
      <c r="U83" s="19">
        <f t="shared" ca="1" si="24"/>
        <v>498435</v>
      </c>
      <c r="V83" s="19">
        <f t="shared" ca="1" si="24"/>
        <v>47693060.839999989</v>
      </c>
      <c r="W83" s="19">
        <f t="shared" ca="1" si="24"/>
        <v>46761654</v>
      </c>
      <c r="X83" s="19">
        <f t="shared" ca="1" si="24"/>
        <v>858005</v>
      </c>
      <c r="Y83" s="19">
        <f t="shared" ca="1" si="24"/>
        <v>73414</v>
      </c>
      <c r="Z83" s="19">
        <f t="shared" ca="1" si="24"/>
        <v>9441968.7995300144</v>
      </c>
      <c r="AA83" s="19">
        <f t="shared" ca="1" si="24"/>
        <v>12452569.379999962</v>
      </c>
      <c r="AB83" s="20">
        <f t="shared" ca="1" si="24"/>
        <v>34309084.62000002</v>
      </c>
      <c r="AC83" s="20">
        <f t="shared" ca="1" si="24"/>
        <v>9441968.7995300144</v>
      </c>
      <c r="AD83" s="16"/>
      <c r="AE83" s="26" t="s">
        <v>58</v>
      </c>
      <c r="AF83" s="27">
        <v>173343233.44675002</v>
      </c>
      <c r="AG83" s="27">
        <v>1999689</v>
      </c>
      <c r="AH83" s="27">
        <v>103820429.48</v>
      </c>
      <c r="AI83" s="27">
        <v>97267050</v>
      </c>
      <c r="AJ83" s="27">
        <v>5985786</v>
      </c>
      <c r="AK83" s="27">
        <v>567618</v>
      </c>
      <c r="AL83" s="27">
        <v>67523114.966750011</v>
      </c>
      <c r="AM83" s="19">
        <v>25531945.609999973</v>
      </c>
      <c r="AN83" s="20">
        <v>71735104.390000001</v>
      </c>
      <c r="AO83" s="20">
        <v>67523114.966750011</v>
      </c>
    </row>
    <row r="84" spans="1:41" ht="15.75" thickBot="1" x14ac:dyDescent="0.3">
      <c r="B84" s="36" t="s">
        <v>59</v>
      </c>
      <c r="C84" s="37">
        <f ca="1">SUM(C48:C52)+C65+C78</f>
        <v>45090208092.186417</v>
      </c>
      <c r="D84" s="37">
        <f t="shared" ref="D84:K84" ca="1" si="26">SUM(D48:D52)+D65+D78</f>
        <v>2851345359</v>
      </c>
      <c r="E84" s="37">
        <f t="shared" ca="1" si="26"/>
        <v>41660163683.43</v>
      </c>
      <c r="F84" s="37">
        <f t="shared" ca="1" si="26"/>
        <v>30697119329</v>
      </c>
      <c r="G84" s="37">
        <f t="shared" ca="1" si="26"/>
        <v>10868294967</v>
      </c>
      <c r="H84" s="37">
        <f t="shared" ca="1" si="26"/>
        <v>92767140</v>
      </c>
      <c r="I84" s="37">
        <f t="shared" ca="1" si="26"/>
        <v>448028328.97662294</v>
      </c>
      <c r="J84" s="37">
        <f t="shared" ca="1" si="26"/>
        <v>7577236243.4399986</v>
      </c>
      <c r="K84" s="37">
        <f t="shared" ca="1" si="26"/>
        <v>23119883085.560005</v>
      </c>
      <c r="L84" s="38">
        <f t="shared" ca="1" si="15"/>
        <v>578699049.75641632</v>
      </c>
      <c r="N84" s="16"/>
      <c r="P84" s="42"/>
      <c r="S84" s="39" t="s">
        <v>59</v>
      </c>
      <c r="T84" s="40">
        <f t="shared" ca="1" si="24"/>
        <v>57633464.639526367</v>
      </c>
      <c r="U84" s="40">
        <f t="shared" ca="1" si="24"/>
        <v>-495458</v>
      </c>
      <c r="V84" s="40">
        <f t="shared" ca="1" si="24"/>
        <v>58246663.25</v>
      </c>
      <c r="W84" s="40">
        <f t="shared" ca="1" si="24"/>
        <v>56745395</v>
      </c>
      <c r="X84" s="40">
        <f t="shared" ca="1" si="24"/>
        <v>1286782</v>
      </c>
      <c r="Y84" s="40">
        <f t="shared" ca="1" si="23"/>
        <v>214553</v>
      </c>
      <c r="Z84" s="40">
        <f t="shared" ca="1" si="23"/>
        <v>-2095977.370470345</v>
      </c>
      <c r="AA84" s="40">
        <f t="shared" ca="1" si="23"/>
        <v>15438874.570001602</v>
      </c>
      <c r="AB84" s="40">
        <f t="shared" ca="1" si="23"/>
        <v>41306520.430000305</v>
      </c>
      <c r="AC84" s="41">
        <f t="shared" ca="1" si="23"/>
        <v>-117740.61047363281</v>
      </c>
      <c r="AE84" s="36" t="s">
        <v>59</v>
      </c>
      <c r="AF84" s="37">
        <v>45032574627.54689</v>
      </c>
      <c r="AG84" s="37">
        <v>2851840817</v>
      </c>
      <c r="AH84" s="37">
        <v>41601917020.18</v>
      </c>
      <c r="AI84" s="37">
        <v>30640373934</v>
      </c>
      <c r="AJ84" s="37">
        <v>10867008185</v>
      </c>
      <c r="AK84" s="37">
        <v>92552587</v>
      </c>
      <c r="AL84" s="37">
        <v>450124306.34709328</v>
      </c>
      <c r="AM84" s="37">
        <v>7561797368.869997</v>
      </c>
      <c r="AN84" s="37">
        <v>23078576565.130005</v>
      </c>
      <c r="AO84" s="38">
        <v>578816790.36688995</v>
      </c>
    </row>
    <row r="85" spans="1:41" x14ac:dyDescent="0.25">
      <c r="C85" s="16"/>
      <c r="D85" s="16"/>
      <c r="I85" s="35"/>
      <c r="J85" s="35"/>
      <c r="N85" s="16"/>
      <c r="O85" s="42"/>
      <c r="P85" s="42"/>
      <c r="T85" s="16"/>
      <c r="U85" s="16"/>
      <c r="AA85" s="35"/>
      <c r="AF85" s="16"/>
      <c r="AG85" s="16"/>
      <c r="AM85" s="35"/>
    </row>
    <row r="86" spans="1:41" x14ac:dyDescent="0.25">
      <c r="I86" s="45"/>
      <c r="J86" s="45"/>
      <c r="N86" s="42"/>
      <c r="O86" s="42"/>
      <c r="P86" s="42"/>
      <c r="AA86" s="45"/>
      <c r="AM86" s="45"/>
    </row>
    <row r="87" spans="1:41" x14ac:dyDescent="0.25">
      <c r="N87" s="42"/>
      <c r="O87" s="42"/>
      <c r="P87" s="42"/>
    </row>
    <row r="88" spans="1:41" ht="21.75" thickBot="1" x14ac:dyDescent="0.4">
      <c r="B88" s="5" t="str">
        <f ca="1">_xlfn.CONCAT("Siniya Summary as on-",TEXT(N2,"DD/MM/YYYY"))</f>
        <v>Siniya Summary as on-06/05/2026</v>
      </c>
      <c r="C88" s="6"/>
      <c r="D88" s="6"/>
      <c r="E88" s="6"/>
      <c r="F88" s="6"/>
      <c r="G88" s="6"/>
      <c r="H88" s="6"/>
      <c r="I88" s="6"/>
      <c r="J88" s="6"/>
      <c r="K88" s="6"/>
      <c r="L88" s="6"/>
      <c r="N88" s="42"/>
      <c r="O88" s="42"/>
      <c r="P88" s="42"/>
      <c r="S88" s="5" t="str">
        <f ca="1">B88</f>
        <v>Siniya Summary as on-06/05/2026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E88" s="5" t="str">
        <f ca="1">CONCATENATE("Siniya Summary as on-",TEXT(TODAY()-3,"dd/mm/yyyy"))</f>
        <v>Siniya Summary as on-05/05/2026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 ht="30" x14ac:dyDescent="0.25">
      <c r="B89" s="7" t="s">
        <v>6</v>
      </c>
      <c r="C89" s="8" t="s">
        <v>7</v>
      </c>
      <c r="D89" s="8" t="s">
        <v>8</v>
      </c>
      <c r="E89" s="8" t="s">
        <v>9</v>
      </c>
      <c r="F89" s="9" t="s">
        <v>10</v>
      </c>
      <c r="G89" s="8" t="s">
        <v>11</v>
      </c>
      <c r="H89" s="8" t="s">
        <v>12</v>
      </c>
      <c r="I89" s="8" t="s">
        <v>13</v>
      </c>
      <c r="J89" s="10" t="s">
        <v>62</v>
      </c>
      <c r="K89" s="11" t="s">
        <v>63</v>
      </c>
      <c r="L89" s="12" t="s">
        <v>16</v>
      </c>
      <c r="N89" s="42"/>
      <c r="O89" s="42"/>
      <c r="S89" s="7" t="s">
        <v>6</v>
      </c>
      <c r="T89" s="8" t="s">
        <v>7</v>
      </c>
      <c r="U89" s="8" t="s">
        <v>8</v>
      </c>
      <c r="V89" s="8" t="s">
        <v>9</v>
      </c>
      <c r="W89" s="9" t="s">
        <v>10</v>
      </c>
      <c r="X89" s="8" t="s">
        <v>11</v>
      </c>
      <c r="Y89" s="8" t="s">
        <v>12</v>
      </c>
      <c r="Z89" s="8" t="s">
        <v>13</v>
      </c>
      <c r="AA89" s="10" t="s">
        <v>62</v>
      </c>
      <c r="AB89" s="11" t="s">
        <v>63</v>
      </c>
      <c r="AC89" s="12" t="s">
        <v>16</v>
      </c>
      <c r="AE89" s="7" t="s">
        <v>6</v>
      </c>
      <c r="AF89" s="8" t="s">
        <v>7</v>
      </c>
      <c r="AG89" s="8" t="s">
        <v>8</v>
      </c>
      <c r="AH89" s="8" t="s">
        <v>9</v>
      </c>
      <c r="AI89" s="9" t="s">
        <v>10</v>
      </c>
      <c r="AJ89" s="8" t="s">
        <v>11</v>
      </c>
      <c r="AK89" s="8" t="s">
        <v>12</v>
      </c>
      <c r="AL89" s="8" t="s">
        <v>13</v>
      </c>
      <c r="AM89" s="10" t="s">
        <v>62</v>
      </c>
      <c r="AN89" s="11" t="s">
        <v>63</v>
      </c>
      <c r="AO89" s="12" t="s">
        <v>16</v>
      </c>
    </row>
    <row r="90" spans="1:41" x14ac:dyDescent="0.25">
      <c r="A90" s="3">
        <v>44196</v>
      </c>
      <c r="B90" s="13" t="s">
        <v>17</v>
      </c>
      <c r="C90" s="14"/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f ca="1">C90-E90-D90</f>
        <v>0</v>
      </c>
      <c r="J90" s="14">
        <v>0</v>
      </c>
      <c r="K90" s="15">
        <v>0</v>
      </c>
      <c r="L90" s="15">
        <f t="shared" ref="L90:L126" ca="1" si="27">C90-E90-D90</f>
        <v>0</v>
      </c>
      <c r="S90" s="18" t="s">
        <v>17</v>
      </c>
      <c r="T90" s="19">
        <f t="shared" ref="T90:AC126" ca="1" si="28">C90-AF90</f>
        <v>0</v>
      </c>
      <c r="U90" s="19">
        <f t="shared" ca="1" si="28"/>
        <v>0</v>
      </c>
      <c r="V90" s="19">
        <f t="shared" ca="1" si="28"/>
        <v>0</v>
      </c>
      <c r="W90" s="19">
        <f t="shared" ca="1" si="28"/>
        <v>0</v>
      </c>
      <c r="X90" s="19">
        <f t="shared" ca="1" si="28"/>
        <v>0</v>
      </c>
      <c r="Y90" s="19">
        <f t="shared" ca="1" si="28"/>
        <v>0</v>
      </c>
      <c r="Z90" s="19">
        <f t="shared" ca="1" si="28"/>
        <v>0</v>
      </c>
      <c r="AA90" s="19">
        <f t="shared" ca="1" si="28"/>
        <v>0</v>
      </c>
      <c r="AB90" s="20">
        <f t="shared" ca="1" si="28"/>
        <v>0</v>
      </c>
      <c r="AC90" s="20">
        <f t="shared" ca="1" si="28"/>
        <v>0</v>
      </c>
      <c r="AE90" s="13" t="s">
        <v>17</v>
      </c>
      <c r="AF90" s="14"/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5">
        <v>0</v>
      </c>
      <c r="AO90" s="15">
        <v>0</v>
      </c>
    </row>
    <row r="91" spans="1:41" x14ac:dyDescent="0.25">
      <c r="A91" s="3">
        <v>44561</v>
      </c>
      <c r="B91" s="13" t="s">
        <v>18</v>
      </c>
      <c r="C91" s="14"/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f ca="1">C91-E91-D91</f>
        <v>0</v>
      </c>
      <c r="J91" s="14">
        <v>0</v>
      </c>
      <c r="K91" s="15">
        <v>0</v>
      </c>
      <c r="L91" s="15">
        <f t="shared" ca="1" si="27"/>
        <v>0</v>
      </c>
      <c r="S91" s="18" t="s">
        <v>18</v>
      </c>
      <c r="T91" s="19">
        <f t="shared" ca="1" si="28"/>
        <v>0</v>
      </c>
      <c r="U91" s="19">
        <f t="shared" ca="1" si="28"/>
        <v>0</v>
      </c>
      <c r="V91" s="19">
        <f t="shared" ca="1" si="28"/>
        <v>0</v>
      </c>
      <c r="W91" s="19">
        <f t="shared" ca="1" si="28"/>
        <v>0</v>
      </c>
      <c r="X91" s="19">
        <f t="shared" ca="1" si="28"/>
        <v>0</v>
      </c>
      <c r="Y91" s="19">
        <f t="shared" ca="1" si="28"/>
        <v>0</v>
      </c>
      <c r="Z91" s="19">
        <f t="shared" ca="1" si="28"/>
        <v>0</v>
      </c>
      <c r="AA91" s="19">
        <f t="shared" ca="1" si="28"/>
        <v>0</v>
      </c>
      <c r="AB91" s="20">
        <f t="shared" ca="1" si="28"/>
        <v>0</v>
      </c>
      <c r="AC91" s="20">
        <f t="shared" ca="1" si="28"/>
        <v>0</v>
      </c>
      <c r="AE91" s="13" t="s">
        <v>18</v>
      </c>
      <c r="AF91" s="14"/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5">
        <v>0</v>
      </c>
      <c r="AO91" s="15">
        <v>0</v>
      </c>
    </row>
    <row r="92" spans="1:41" x14ac:dyDescent="0.25">
      <c r="A92" s="3">
        <f ca="1">EOMONTH(A91,12)</f>
        <v>44926</v>
      </c>
      <c r="B92" s="13" t="s">
        <v>20</v>
      </c>
      <c r="C92" s="14"/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f ca="1">C92-E92-D92</f>
        <v>0</v>
      </c>
      <c r="J92" s="14">
        <v>0</v>
      </c>
      <c r="K92" s="15">
        <v>0</v>
      </c>
      <c r="L92" s="15">
        <f t="shared" ca="1" si="27"/>
        <v>0</v>
      </c>
      <c r="S92" s="18" t="s">
        <v>20</v>
      </c>
      <c r="T92" s="19">
        <f t="shared" ca="1" si="28"/>
        <v>0</v>
      </c>
      <c r="U92" s="19">
        <f t="shared" ca="1" si="28"/>
        <v>0</v>
      </c>
      <c r="V92" s="19">
        <f t="shared" ca="1" si="28"/>
        <v>0</v>
      </c>
      <c r="W92" s="19">
        <f t="shared" ca="1" si="28"/>
        <v>0</v>
      </c>
      <c r="X92" s="19">
        <f t="shared" ca="1" si="28"/>
        <v>0</v>
      </c>
      <c r="Y92" s="19">
        <f t="shared" ca="1" si="28"/>
        <v>0</v>
      </c>
      <c r="Z92" s="19">
        <f t="shared" ca="1" si="28"/>
        <v>0</v>
      </c>
      <c r="AA92" s="19">
        <f t="shared" ca="1" si="28"/>
        <v>0</v>
      </c>
      <c r="AB92" s="20">
        <f t="shared" ca="1" si="28"/>
        <v>0</v>
      </c>
      <c r="AC92" s="20">
        <f t="shared" ca="1" si="28"/>
        <v>0</v>
      </c>
      <c r="AE92" s="13" t="s">
        <v>20</v>
      </c>
      <c r="AF92" s="14"/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5">
        <v>0</v>
      </c>
      <c r="AO92" s="15">
        <v>0</v>
      </c>
    </row>
    <row r="93" spans="1:41" x14ac:dyDescent="0.25">
      <c r="A93" s="3">
        <f ca="1">EOMONTH(A92,12)</f>
        <v>45291</v>
      </c>
      <c r="B93" s="13" t="s">
        <v>22</v>
      </c>
      <c r="C93" s="14"/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f ca="1">C93-E93-D93</f>
        <v>0</v>
      </c>
      <c r="J93" s="14">
        <v>0</v>
      </c>
      <c r="K93" s="15">
        <v>0</v>
      </c>
      <c r="L93" s="15">
        <f t="shared" ca="1" si="27"/>
        <v>0</v>
      </c>
      <c r="S93" s="18" t="s">
        <v>22</v>
      </c>
      <c r="T93" s="19">
        <f t="shared" ca="1" si="28"/>
        <v>0</v>
      </c>
      <c r="U93" s="19">
        <f t="shared" ca="1" si="28"/>
        <v>0</v>
      </c>
      <c r="V93" s="19">
        <f t="shared" ca="1" si="28"/>
        <v>0</v>
      </c>
      <c r="W93" s="19">
        <f t="shared" ca="1" si="28"/>
        <v>0</v>
      </c>
      <c r="X93" s="19">
        <f t="shared" ca="1" si="28"/>
        <v>0</v>
      </c>
      <c r="Y93" s="19">
        <f t="shared" ca="1" si="28"/>
        <v>0</v>
      </c>
      <c r="Z93" s="19">
        <f t="shared" ca="1" si="28"/>
        <v>0</v>
      </c>
      <c r="AA93" s="19">
        <f t="shared" ca="1" si="28"/>
        <v>0</v>
      </c>
      <c r="AB93" s="20">
        <f t="shared" ca="1" si="28"/>
        <v>0</v>
      </c>
      <c r="AC93" s="20">
        <f t="shared" ca="1" si="28"/>
        <v>0</v>
      </c>
      <c r="AE93" s="13" t="s">
        <v>22</v>
      </c>
      <c r="AF93" s="14"/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5">
        <v>0</v>
      </c>
      <c r="AO93" s="15">
        <v>0</v>
      </c>
    </row>
    <row r="94" spans="1:41" x14ac:dyDescent="0.25">
      <c r="A94" s="3">
        <v>45291</v>
      </c>
      <c r="B94" s="13" t="s">
        <v>24</v>
      </c>
      <c r="C94" s="14">
        <f t="shared" ref="C94:K94" ca="1" si="29">SUM(C95:C106)</f>
        <v>683865888.36715996</v>
      </c>
      <c r="D94" s="14">
        <f t="shared" ca="1" si="29"/>
        <v>12</v>
      </c>
      <c r="E94" s="14">
        <f t="shared" ca="1" si="29"/>
        <v>689996717.43000007</v>
      </c>
      <c r="F94" s="14">
        <f t="shared" ca="1" si="29"/>
        <v>123702503</v>
      </c>
      <c r="G94" s="14">
        <f t="shared" ca="1" si="29"/>
        <v>566269115</v>
      </c>
      <c r="H94" s="14">
        <f t="shared" ca="1" si="29"/>
        <v>24991</v>
      </c>
      <c r="I94" s="14">
        <f ca="1">SUM(I95:I106)</f>
        <v>1829445.9271600768</v>
      </c>
      <c r="J94" s="14">
        <f t="shared" ca="1" si="29"/>
        <v>33908997.18</v>
      </c>
      <c r="K94" s="15">
        <f t="shared" ca="1" si="29"/>
        <v>89793505.819999978</v>
      </c>
      <c r="L94" s="15">
        <f t="shared" ca="1" si="27"/>
        <v>-6130841.0628401041</v>
      </c>
      <c r="S94" s="18" t="s">
        <v>24</v>
      </c>
      <c r="T94" s="19">
        <f t="shared" ca="1" si="28"/>
        <v>0</v>
      </c>
      <c r="U94" s="19">
        <f t="shared" ca="1" si="28"/>
        <v>0</v>
      </c>
      <c r="V94" s="19">
        <f t="shared" ca="1" si="28"/>
        <v>17475.189999938011</v>
      </c>
      <c r="W94" s="19">
        <f t="shared" ca="1" si="28"/>
        <v>17452</v>
      </c>
      <c r="X94" s="19">
        <f t="shared" ca="1" si="28"/>
        <v>16</v>
      </c>
      <c r="Y94" s="19">
        <f t="shared" ca="1" si="28"/>
        <v>0</v>
      </c>
      <c r="Z94" s="19">
        <f t="shared" ca="1" si="28"/>
        <v>-17473.119999859482</v>
      </c>
      <c r="AA94" s="19">
        <f t="shared" ca="1" si="28"/>
        <v>-15.660000003874302</v>
      </c>
      <c r="AB94" s="20">
        <f t="shared" ca="1" si="28"/>
        <v>17467.65999995172</v>
      </c>
      <c r="AC94" s="20">
        <f t="shared" ca="1" si="28"/>
        <v>-17475.189999938011</v>
      </c>
      <c r="AE94" s="13" t="s">
        <v>24</v>
      </c>
      <c r="AF94" s="14">
        <v>683865888.36715996</v>
      </c>
      <c r="AG94" s="14">
        <v>12</v>
      </c>
      <c r="AH94" s="14">
        <v>689979242.24000013</v>
      </c>
      <c r="AI94" s="14">
        <v>123685051</v>
      </c>
      <c r="AJ94" s="14">
        <v>566269099</v>
      </c>
      <c r="AK94" s="14">
        <v>24991</v>
      </c>
      <c r="AL94" s="14">
        <v>1846919.0471599363</v>
      </c>
      <c r="AM94" s="14">
        <v>33909012.840000004</v>
      </c>
      <c r="AN94" s="15">
        <v>89776038.160000026</v>
      </c>
      <c r="AO94" s="15">
        <v>-6113365.8728401661</v>
      </c>
    </row>
    <row r="95" spans="1:41" x14ac:dyDescent="0.25">
      <c r="A95" s="3">
        <v>45322</v>
      </c>
      <c r="B95" s="26" t="s">
        <v>26</v>
      </c>
      <c r="C95" s="27"/>
      <c r="D95" s="27">
        <v>0</v>
      </c>
      <c r="E95" s="27">
        <v>0</v>
      </c>
      <c r="F95" s="27">
        <v>0</v>
      </c>
      <c r="G95" s="27">
        <v>0</v>
      </c>
      <c r="H95" s="27">
        <v>0</v>
      </c>
      <c r="I95" s="27">
        <f ca="1">C95-E95-D95</f>
        <v>0</v>
      </c>
      <c r="J95" s="27">
        <v>0</v>
      </c>
      <c r="K95" s="28">
        <v>0</v>
      </c>
      <c r="L95" s="28">
        <f t="shared" ca="1" si="27"/>
        <v>0</v>
      </c>
      <c r="S95" s="26" t="s">
        <v>26</v>
      </c>
      <c r="T95" s="27">
        <f t="shared" ca="1" si="28"/>
        <v>0</v>
      </c>
      <c r="U95" s="27">
        <f t="shared" ca="1" si="28"/>
        <v>0</v>
      </c>
      <c r="V95" s="27">
        <f t="shared" ca="1" si="28"/>
        <v>0</v>
      </c>
      <c r="W95" s="27">
        <f t="shared" ca="1" si="28"/>
        <v>0</v>
      </c>
      <c r="X95" s="27">
        <f t="shared" ca="1" si="28"/>
        <v>0</v>
      </c>
      <c r="Y95" s="27">
        <f t="shared" ca="1" si="28"/>
        <v>0</v>
      </c>
      <c r="Z95" s="27">
        <f t="shared" ca="1" si="28"/>
        <v>0</v>
      </c>
      <c r="AA95" s="27">
        <f t="shared" ca="1" si="28"/>
        <v>0</v>
      </c>
      <c r="AB95" s="28">
        <f t="shared" ca="1" si="28"/>
        <v>0</v>
      </c>
      <c r="AC95" s="28">
        <f t="shared" ca="1" si="28"/>
        <v>0</v>
      </c>
      <c r="AE95" s="26" t="s">
        <v>26</v>
      </c>
      <c r="AF95" s="27"/>
      <c r="AG95" s="27">
        <v>0</v>
      </c>
      <c r="AH95" s="27">
        <v>0</v>
      </c>
      <c r="AI95" s="27">
        <v>0</v>
      </c>
      <c r="AJ95" s="27">
        <v>0</v>
      </c>
      <c r="AK95" s="27">
        <v>0</v>
      </c>
      <c r="AL95" s="27">
        <v>0</v>
      </c>
      <c r="AM95" s="27">
        <v>0</v>
      </c>
      <c r="AN95" s="28">
        <v>0</v>
      </c>
      <c r="AO95" s="28">
        <v>0</v>
      </c>
    </row>
    <row r="96" spans="1:41" x14ac:dyDescent="0.25">
      <c r="A96" s="3">
        <f ca="1">EOMONTH(A95+1,0)</f>
        <v>45351</v>
      </c>
      <c r="B96" s="30" t="s">
        <v>28</v>
      </c>
      <c r="C96" s="31"/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1">
        <f t="shared" ref="I96:I101" ca="1" si="30">C96-E96-D96</f>
        <v>0</v>
      </c>
      <c r="J96" s="31">
        <v>0</v>
      </c>
      <c r="K96" s="32">
        <v>0</v>
      </c>
      <c r="L96" s="32">
        <f t="shared" ca="1" si="27"/>
        <v>0</v>
      </c>
      <c r="S96" s="33" t="s">
        <v>28</v>
      </c>
      <c r="T96" s="19">
        <f t="shared" ca="1" si="28"/>
        <v>0</v>
      </c>
      <c r="U96" s="19">
        <f t="shared" ca="1" si="28"/>
        <v>0</v>
      </c>
      <c r="V96" s="19">
        <f t="shared" ca="1" si="28"/>
        <v>0</v>
      </c>
      <c r="W96" s="19">
        <f t="shared" ca="1" si="28"/>
        <v>0</v>
      </c>
      <c r="X96" s="19">
        <f t="shared" ca="1" si="28"/>
        <v>0</v>
      </c>
      <c r="Y96" s="19">
        <f t="shared" ca="1" si="28"/>
        <v>0</v>
      </c>
      <c r="Z96" s="19">
        <f t="shared" ca="1" si="28"/>
        <v>0</v>
      </c>
      <c r="AA96" s="19">
        <f t="shared" ca="1" si="28"/>
        <v>0</v>
      </c>
      <c r="AB96" s="20">
        <f t="shared" ca="1" si="28"/>
        <v>0</v>
      </c>
      <c r="AC96" s="20">
        <f t="shared" ca="1" si="28"/>
        <v>0</v>
      </c>
      <c r="AE96" s="30" t="s">
        <v>28</v>
      </c>
      <c r="AF96" s="31"/>
      <c r="AG96" s="31">
        <v>0</v>
      </c>
      <c r="AH96" s="31">
        <v>0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2">
        <v>0</v>
      </c>
      <c r="AO96" s="32">
        <v>0</v>
      </c>
    </row>
    <row r="97" spans="1:41" x14ac:dyDescent="0.25">
      <c r="A97" s="3">
        <f t="shared" ref="A97:A106" ca="1" si="31">EOMONTH(A96+1,0)</f>
        <v>45382</v>
      </c>
      <c r="B97" s="26" t="s">
        <v>29</v>
      </c>
      <c r="C97" s="27"/>
      <c r="D97" s="27">
        <v>0</v>
      </c>
      <c r="E97" s="27">
        <v>87596</v>
      </c>
      <c r="F97" s="27">
        <v>0</v>
      </c>
      <c r="G97" s="27">
        <v>87596</v>
      </c>
      <c r="H97" s="27">
        <v>0</v>
      </c>
      <c r="I97" s="27">
        <f ca="1">IF(L97&lt;0,0,L97)</f>
        <v>0</v>
      </c>
      <c r="J97" s="19">
        <v>0</v>
      </c>
      <c r="K97" s="20">
        <v>0</v>
      </c>
      <c r="L97" s="20">
        <f t="shared" ca="1" si="27"/>
        <v>-87596</v>
      </c>
      <c r="S97" s="26" t="s">
        <v>29</v>
      </c>
      <c r="T97" s="27">
        <f t="shared" ca="1" si="28"/>
        <v>0</v>
      </c>
      <c r="U97" s="27">
        <f t="shared" ca="1" si="28"/>
        <v>0</v>
      </c>
      <c r="V97" s="27">
        <f t="shared" ca="1" si="28"/>
        <v>0</v>
      </c>
      <c r="W97" s="27">
        <f t="shared" ca="1" si="28"/>
        <v>0</v>
      </c>
      <c r="X97" s="27">
        <f t="shared" ca="1" si="28"/>
        <v>0</v>
      </c>
      <c r="Y97" s="27">
        <f t="shared" ca="1" si="28"/>
        <v>0</v>
      </c>
      <c r="Z97" s="27">
        <f t="shared" ca="1" si="28"/>
        <v>0</v>
      </c>
      <c r="AA97" s="19">
        <f t="shared" ca="1" si="28"/>
        <v>0</v>
      </c>
      <c r="AB97" s="20">
        <f t="shared" ca="1" si="28"/>
        <v>0</v>
      </c>
      <c r="AC97" s="20">
        <f t="shared" ca="1" si="28"/>
        <v>0</v>
      </c>
      <c r="AE97" s="26" t="s">
        <v>29</v>
      </c>
      <c r="AF97" s="27"/>
      <c r="AG97" s="27">
        <v>0</v>
      </c>
      <c r="AH97" s="27">
        <v>87596</v>
      </c>
      <c r="AI97" s="27">
        <v>0</v>
      </c>
      <c r="AJ97" s="27">
        <v>87596</v>
      </c>
      <c r="AK97" s="27">
        <v>0</v>
      </c>
      <c r="AL97" s="46">
        <v>0</v>
      </c>
      <c r="AM97" s="19">
        <v>0</v>
      </c>
      <c r="AN97" s="20">
        <v>0</v>
      </c>
      <c r="AO97" s="20">
        <v>-87596</v>
      </c>
    </row>
    <row r="98" spans="1:41" x14ac:dyDescent="0.25">
      <c r="A98" s="3">
        <f t="shared" ca="1" si="31"/>
        <v>45412</v>
      </c>
      <c r="B98" s="30" t="s">
        <v>30</v>
      </c>
      <c r="C98" s="31"/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f t="shared" ca="1" si="30"/>
        <v>0</v>
      </c>
      <c r="J98" s="31">
        <v>0</v>
      </c>
      <c r="K98" s="32">
        <v>0</v>
      </c>
      <c r="L98" s="32">
        <f t="shared" ca="1" si="27"/>
        <v>0</v>
      </c>
      <c r="S98" s="33" t="s">
        <v>30</v>
      </c>
      <c r="T98" s="19">
        <f t="shared" ca="1" si="28"/>
        <v>0</v>
      </c>
      <c r="U98" s="19">
        <f t="shared" ca="1" si="28"/>
        <v>0</v>
      </c>
      <c r="V98" s="19">
        <f t="shared" ca="1" si="28"/>
        <v>0</v>
      </c>
      <c r="W98" s="19">
        <f t="shared" ca="1" si="28"/>
        <v>0</v>
      </c>
      <c r="X98" s="19">
        <f t="shared" ca="1" si="28"/>
        <v>0</v>
      </c>
      <c r="Y98" s="19">
        <f t="shared" ca="1" si="28"/>
        <v>0</v>
      </c>
      <c r="Z98" s="19">
        <f t="shared" ca="1" si="28"/>
        <v>0</v>
      </c>
      <c r="AA98" s="19">
        <f t="shared" ca="1" si="28"/>
        <v>0</v>
      </c>
      <c r="AB98" s="20">
        <f t="shared" ca="1" si="28"/>
        <v>0</v>
      </c>
      <c r="AC98" s="20">
        <f t="shared" ca="1" si="28"/>
        <v>0</v>
      </c>
      <c r="AE98" s="30" t="s">
        <v>30</v>
      </c>
      <c r="AF98" s="31"/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2">
        <v>0</v>
      </c>
      <c r="AO98" s="32">
        <v>0</v>
      </c>
    </row>
    <row r="99" spans="1:41" x14ac:dyDescent="0.25">
      <c r="A99" s="3">
        <f t="shared" ca="1" si="31"/>
        <v>45443</v>
      </c>
      <c r="B99" s="26" t="s">
        <v>31</v>
      </c>
      <c r="C99" s="27"/>
      <c r="D99" s="27">
        <v>0</v>
      </c>
      <c r="E99" s="27">
        <v>0</v>
      </c>
      <c r="F99" s="27">
        <v>0</v>
      </c>
      <c r="G99" s="27">
        <v>0</v>
      </c>
      <c r="H99" s="27">
        <v>0</v>
      </c>
      <c r="I99" s="27">
        <f t="shared" ca="1" si="30"/>
        <v>0</v>
      </c>
      <c r="J99" s="19">
        <v>0</v>
      </c>
      <c r="K99" s="20">
        <v>0</v>
      </c>
      <c r="L99" s="20">
        <f t="shared" ca="1" si="27"/>
        <v>0</v>
      </c>
      <c r="S99" s="26" t="s">
        <v>31</v>
      </c>
      <c r="T99" s="27">
        <f t="shared" ca="1" si="28"/>
        <v>0</v>
      </c>
      <c r="U99" s="27">
        <f t="shared" ca="1" si="28"/>
        <v>0</v>
      </c>
      <c r="V99" s="27">
        <f t="shared" ca="1" si="28"/>
        <v>0</v>
      </c>
      <c r="W99" s="27">
        <f t="shared" ca="1" si="28"/>
        <v>0</v>
      </c>
      <c r="X99" s="27">
        <f t="shared" ca="1" si="28"/>
        <v>0</v>
      </c>
      <c r="Y99" s="27">
        <f t="shared" ca="1" si="28"/>
        <v>0</v>
      </c>
      <c r="Z99" s="27">
        <f t="shared" ca="1" si="28"/>
        <v>0</v>
      </c>
      <c r="AA99" s="19">
        <f t="shared" ca="1" si="28"/>
        <v>0</v>
      </c>
      <c r="AB99" s="20">
        <f t="shared" ca="1" si="28"/>
        <v>0</v>
      </c>
      <c r="AC99" s="20">
        <f t="shared" ca="1" si="28"/>
        <v>0</v>
      </c>
      <c r="AE99" s="26" t="s">
        <v>31</v>
      </c>
      <c r="AF99" s="27"/>
      <c r="AG99" s="27">
        <v>0</v>
      </c>
      <c r="AH99" s="27">
        <v>0</v>
      </c>
      <c r="AI99" s="27">
        <v>0</v>
      </c>
      <c r="AJ99" s="27">
        <v>0</v>
      </c>
      <c r="AK99" s="27">
        <v>0</v>
      </c>
      <c r="AL99" s="27">
        <v>0</v>
      </c>
      <c r="AM99" s="19">
        <v>0</v>
      </c>
      <c r="AN99" s="20">
        <v>0</v>
      </c>
      <c r="AO99" s="20">
        <v>0</v>
      </c>
    </row>
    <row r="100" spans="1:41" x14ac:dyDescent="0.25">
      <c r="A100" s="3">
        <f t="shared" ca="1" si="31"/>
        <v>45473</v>
      </c>
      <c r="B100" s="30" t="s">
        <v>33</v>
      </c>
      <c r="C100" s="31"/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1">
        <f t="shared" ca="1" si="30"/>
        <v>0</v>
      </c>
      <c r="J100" s="31">
        <v>0</v>
      </c>
      <c r="K100" s="32">
        <v>0</v>
      </c>
      <c r="L100" s="32">
        <f t="shared" ca="1" si="27"/>
        <v>0</v>
      </c>
      <c r="S100" s="33" t="s">
        <v>33</v>
      </c>
      <c r="T100" s="19">
        <f t="shared" ca="1" si="28"/>
        <v>0</v>
      </c>
      <c r="U100" s="19">
        <f t="shared" ca="1" si="28"/>
        <v>0</v>
      </c>
      <c r="V100" s="19">
        <f t="shared" ca="1" si="28"/>
        <v>0</v>
      </c>
      <c r="W100" s="19">
        <f t="shared" ca="1" si="28"/>
        <v>0</v>
      </c>
      <c r="X100" s="19">
        <f t="shared" ca="1" si="28"/>
        <v>0</v>
      </c>
      <c r="Y100" s="19">
        <f t="shared" ca="1" si="28"/>
        <v>0</v>
      </c>
      <c r="Z100" s="19">
        <f t="shared" ca="1" si="28"/>
        <v>0</v>
      </c>
      <c r="AA100" s="19">
        <f t="shared" ca="1" si="28"/>
        <v>0</v>
      </c>
      <c r="AB100" s="20">
        <f t="shared" ca="1" si="28"/>
        <v>0</v>
      </c>
      <c r="AC100" s="20">
        <f t="shared" ca="1" si="28"/>
        <v>0</v>
      </c>
      <c r="AE100" s="30" t="s">
        <v>33</v>
      </c>
      <c r="AF100" s="31"/>
      <c r="AG100" s="31">
        <v>0</v>
      </c>
      <c r="AH100" s="31">
        <v>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2">
        <v>0</v>
      </c>
      <c r="AO100" s="32">
        <v>0</v>
      </c>
    </row>
    <row r="101" spans="1:41" x14ac:dyDescent="0.25">
      <c r="A101" s="3">
        <f t="shared" ca="1" si="31"/>
        <v>45504</v>
      </c>
      <c r="B101" s="26" t="s">
        <v>34</v>
      </c>
      <c r="C101" s="27">
        <v>28055470.849999994</v>
      </c>
      <c r="D101" s="27">
        <v>0</v>
      </c>
      <c r="E101" s="27">
        <v>27460571.199999996</v>
      </c>
      <c r="F101" s="27">
        <v>1200256</v>
      </c>
      <c r="G101" s="27">
        <v>26260313</v>
      </c>
      <c r="H101" s="27">
        <v>0</v>
      </c>
      <c r="I101" s="27">
        <f t="shared" ca="1" si="30"/>
        <v>594899.64999999851</v>
      </c>
      <c r="J101" s="19">
        <v>1200256</v>
      </c>
      <c r="K101" s="20">
        <v>0</v>
      </c>
      <c r="L101" s="20">
        <f t="shared" ca="1" si="27"/>
        <v>594899.64999999851</v>
      </c>
      <c r="S101" s="26" t="s">
        <v>34</v>
      </c>
      <c r="T101" s="27">
        <f t="shared" ca="1" si="28"/>
        <v>0</v>
      </c>
      <c r="U101" s="27">
        <f t="shared" ca="1" si="28"/>
        <v>0</v>
      </c>
      <c r="V101" s="27">
        <f t="shared" ca="1" si="28"/>
        <v>0.34999999776482582</v>
      </c>
      <c r="W101" s="27">
        <f t="shared" ca="1" si="28"/>
        <v>0</v>
      </c>
      <c r="X101" s="27">
        <f t="shared" ca="1" si="28"/>
        <v>0</v>
      </c>
      <c r="Y101" s="27">
        <f t="shared" ca="1" si="28"/>
        <v>0</v>
      </c>
      <c r="Z101" s="27">
        <f t="shared" ca="1" si="28"/>
        <v>-0.34999999776482582</v>
      </c>
      <c r="AA101" s="19">
        <f t="shared" ca="1" si="28"/>
        <v>0.15000000013969839</v>
      </c>
      <c r="AB101" s="20">
        <f t="shared" ca="1" si="28"/>
        <v>-0.15000000013969839</v>
      </c>
      <c r="AC101" s="20">
        <f t="shared" ca="1" si="28"/>
        <v>-0.34999999776482582</v>
      </c>
      <c r="AE101" s="26" t="s">
        <v>34</v>
      </c>
      <c r="AF101" s="27">
        <v>28055470.849999994</v>
      </c>
      <c r="AG101" s="27">
        <v>0</v>
      </c>
      <c r="AH101" s="27">
        <v>27460570.849999998</v>
      </c>
      <c r="AI101" s="27">
        <v>1200256</v>
      </c>
      <c r="AJ101" s="27">
        <v>26260313</v>
      </c>
      <c r="AK101" s="27">
        <v>0</v>
      </c>
      <c r="AL101" s="27">
        <v>594899.99999999627</v>
      </c>
      <c r="AM101" s="19">
        <v>1200255.8499999999</v>
      </c>
      <c r="AN101" s="20">
        <v>0.15000000013969839</v>
      </c>
      <c r="AO101" s="20">
        <v>594899.99999999627</v>
      </c>
    </row>
    <row r="102" spans="1:41" x14ac:dyDescent="0.25">
      <c r="A102" s="3">
        <f t="shared" ca="1" si="31"/>
        <v>45535</v>
      </c>
      <c r="B102" s="30" t="s">
        <v>35</v>
      </c>
      <c r="C102" s="31">
        <v>85837642.38000001</v>
      </c>
      <c r="D102" s="31">
        <v>0</v>
      </c>
      <c r="E102" s="31">
        <v>90674289.089999989</v>
      </c>
      <c r="F102" s="31">
        <v>6192869</v>
      </c>
      <c r="G102" s="31">
        <v>84480405</v>
      </c>
      <c r="H102" s="31">
        <v>1000</v>
      </c>
      <c r="I102" s="31">
        <f ca="1">IF(L102&lt;0,0,L102)</f>
        <v>0</v>
      </c>
      <c r="J102" s="31">
        <v>5758693.2999999998</v>
      </c>
      <c r="K102" s="32">
        <v>434175.70000000013</v>
      </c>
      <c r="L102" s="32">
        <f t="shared" ca="1" si="27"/>
        <v>-4836646.7099999785</v>
      </c>
      <c r="S102" s="33" t="s">
        <v>35</v>
      </c>
      <c r="T102" s="19">
        <f t="shared" ca="1" si="28"/>
        <v>0</v>
      </c>
      <c r="U102" s="19">
        <f t="shared" ca="1" si="28"/>
        <v>0</v>
      </c>
      <c r="V102" s="19">
        <f t="shared" ca="1" si="28"/>
        <v>-4.0000006556510925E-2</v>
      </c>
      <c r="W102" s="19">
        <f t="shared" ca="1" si="28"/>
        <v>7</v>
      </c>
      <c r="X102" s="19">
        <f t="shared" ca="1" si="28"/>
        <v>-3</v>
      </c>
      <c r="Y102" s="19">
        <f t="shared" ca="1" si="28"/>
        <v>0</v>
      </c>
      <c r="Z102" s="19">
        <f t="shared" ca="1" si="28"/>
        <v>0</v>
      </c>
      <c r="AA102" s="19">
        <f t="shared" ca="1" si="28"/>
        <v>6.7000000001862645</v>
      </c>
      <c r="AB102" s="20">
        <f t="shared" ca="1" si="28"/>
        <v>0.29999999987194315</v>
      </c>
      <c r="AC102" s="20">
        <f t="shared" ca="1" si="28"/>
        <v>4.0000006556510925E-2</v>
      </c>
      <c r="AE102" s="30" t="s">
        <v>35</v>
      </c>
      <c r="AF102" s="31">
        <v>85837642.38000001</v>
      </c>
      <c r="AG102" s="31">
        <v>0</v>
      </c>
      <c r="AH102" s="31">
        <v>90674289.129999995</v>
      </c>
      <c r="AI102" s="31">
        <v>6192862</v>
      </c>
      <c r="AJ102" s="31">
        <v>84480408</v>
      </c>
      <c r="AK102" s="31">
        <v>1000</v>
      </c>
      <c r="AL102" s="46">
        <v>0</v>
      </c>
      <c r="AM102" s="31">
        <v>5758686.5999999996</v>
      </c>
      <c r="AN102" s="32">
        <v>434175.40000000026</v>
      </c>
      <c r="AO102" s="32">
        <v>-4836646.7499999851</v>
      </c>
    </row>
    <row r="103" spans="1:41" x14ac:dyDescent="0.25">
      <c r="A103" s="3">
        <f t="shared" ca="1" si="31"/>
        <v>45565</v>
      </c>
      <c r="B103" s="26" t="s">
        <v>36</v>
      </c>
      <c r="C103" s="27">
        <v>92750112.409999937</v>
      </c>
      <c r="D103" s="27">
        <v>0</v>
      </c>
      <c r="E103" s="27">
        <v>94073383.459999993</v>
      </c>
      <c r="F103" s="27">
        <v>7944855</v>
      </c>
      <c r="G103" s="27">
        <v>86117497</v>
      </c>
      <c r="H103" s="27">
        <v>11000</v>
      </c>
      <c r="I103" s="27">
        <f t="shared" ref="I103:I118" ca="1" si="32">IF(L103&lt;0,0,L103)</f>
        <v>0</v>
      </c>
      <c r="J103" s="19">
        <v>5078987.62</v>
      </c>
      <c r="K103" s="20">
        <v>2865867.3799999994</v>
      </c>
      <c r="L103" s="20">
        <f t="shared" ca="1" si="27"/>
        <v>-1323271.0500000566</v>
      </c>
      <c r="S103" s="26" t="s">
        <v>36</v>
      </c>
      <c r="T103" s="27">
        <f t="shared" ca="1" si="28"/>
        <v>0</v>
      </c>
      <c r="U103" s="27">
        <f t="shared" ca="1" si="28"/>
        <v>0</v>
      </c>
      <c r="V103" s="27">
        <f t="shared" ca="1" si="28"/>
        <v>0.92000003159046173</v>
      </c>
      <c r="W103" s="27">
        <f t="shared" ca="1" si="28"/>
        <v>2</v>
      </c>
      <c r="X103" s="27">
        <f t="shared" ca="1" si="28"/>
        <v>-2</v>
      </c>
      <c r="Y103" s="27">
        <f t="shared" ca="1" si="28"/>
        <v>0</v>
      </c>
      <c r="Z103" s="27">
        <f t="shared" ca="1" si="28"/>
        <v>0</v>
      </c>
      <c r="AA103" s="19">
        <f t="shared" ca="1" si="28"/>
        <v>0.83000000007450581</v>
      </c>
      <c r="AB103" s="20">
        <f t="shared" ca="1" si="28"/>
        <v>1.1699999994598329</v>
      </c>
      <c r="AC103" s="20">
        <f t="shared" ca="1" si="28"/>
        <v>-0.92000003159046173</v>
      </c>
      <c r="AE103" s="26" t="s">
        <v>36</v>
      </c>
      <c r="AF103" s="27">
        <v>92750112.409999937</v>
      </c>
      <c r="AG103" s="27">
        <v>0</v>
      </c>
      <c r="AH103" s="27">
        <v>94073382.539999962</v>
      </c>
      <c r="AI103" s="27">
        <v>7944853</v>
      </c>
      <c r="AJ103" s="27">
        <v>86117499</v>
      </c>
      <c r="AK103" s="27">
        <v>11000</v>
      </c>
      <c r="AL103" s="47">
        <v>0</v>
      </c>
      <c r="AM103" s="19">
        <v>5078986.79</v>
      </c>
      <c r="AN103" s="20">
        <v>2865866.21</v>
      </c>
      <c r="AO103" s="20">
        <v>-1323270.130000025</v>
      </c>
    </row>
    <row r="104" spans="1:41" x14ac:dyDescent="0.25">
      <c r="A104" s="3">
        <f t="shared" ca="1" si="31"/>
        <v>45596</v>
      </c>
      <c r="B104" s="30" t="s">
        <v>37</v>
      </c>
      <c r="C104" s="31">
        <v>157065570.9877001</v>
      </c>
      <c r="D104" s="31">
        <v>0</v>
      </c>
      <c r="E104" s="31">
        <v>156514387.74000001</v>
      </c>
      <c r="F104" s="31">
        <v>33409010</v>
      </c>
      <c r="G104" s="31">
        <v>123103346</v>
      </c>
      <c r="H104" s="31">
        <v>2000</v>
      </c>
      <c r="I104" s="31">
        <f t="shared" ca="1" si="32"/>
        <v>551183.24770009518</v>
      </c>
      <c r="J104" s="31">
        <v>7473146.2600000016</v>
      </c>
      <c r="K104" s="32">
        <v>25935863.740000002</v>
      </c>
      <c r="L104" s="32">
        <f t="shared" ca="1" si="27"/>
        <v>551183.24770009518</v>
      </c>
      <c r="S104" s="33" t="s">
        <v>37</v>
      </c>
      <c r="T104" s="19">
        <f t="shared" ca="1" si="28"/>
        <v>0</v>
      </c>
      <c r="U104" s="19">
        <f t="shared" ca="1" si="28"/>
        <v>0</v>
      </c>
      <c r="V104" s="19">
        <f t="shared" ca="1" si="28"/>
        <v>2.4299999475479126</v>
      </c>
      <c r="W104" s="19">
        <f t="shared" ca="1" si="28"/>
        <v>-13</v>
      </c>
      <c r="X104" s="19">
        <f t="shared" ca="1" si="28"/>
        <v>11</v>
      </c>
      <c r="Y104" s="19">
        <f t="shared" ca="1" si="28"/>
        <v>0</v>
      </c>
      <c r="Z104" s="19">
        <f t="shared" ca="1" si="28"/>
        <v>-2.4299999475479126</v>
      </c>
      <c r="AA104" s="19">
        <f t="shared" ca="1" si="28"/>
        <v>-11.769999999552965</v>
      </c>
      <c r="AB104" s="20">
        <f t="shared" ca="1" si="28"/>
        <v>-1.2299999967217445</v>
      </c>
      <c r="AC104" s="20">
        <f t="shared" ca="1" si="28"/>
        <v>-2.4299999475479126</v>
      </c>
      <c r="AE104" s="30" t="s">
        <v>37</v>
      </c>
      <c r="AF104" s="31">
        <v>157065570.9877001</v>
      </c>
      <c r="AG104" s="31">
        <v>0</v>
      </c>
      <c r="AH104" s="31">
        <v>156514385.31000006</v>
      </c>
      <c r="AI104" s="31">
        <v>33409023</v>
      </c>
      <c r="AJ104" s="31">
        <v>123103335</v>
      </c>
      <c r="AK104" s="31">
        <v>2000</v>
      </c>
      <c r="AL104" s="31">
        <v>551185.67770004272</v>
      </c>
      <c r="AM104" s="31">
        <v>7473158.0300000012</v>
      </c>
      <c r="AN104" s="32">
        <v>25935864.969999999</v>
      </c>
      <c r="AO104" s="32">
        <v>551185.67770004272</v>
      </c>
    </row>
    <row r="105" spans="1:41" x14ac:dyDescent="0.25">
      <c r="A105" s="3">
        <f t="shared" ca="1" si="31"/>
        <v>45626</v>
      </c>
      <c r="B105" s="26" t="s">
        <v>38</v>
      </c>
      <c r="C105" s="27">
        <v>159898358.29945996</v>
      </c>
      <c r="D105" s="27">
        <v>0</v>
      </c>
      <c r="E105" s="27">
        <v>159214995.26999998</v>
      </c>
      <c r="F105" s="27">
        <v>42234724</v>
      </c>
      <c r="G105" s="27">
        <v>116979243</v>
      </c>
      <c r="H105" s="27">
        <v>1000</v>
      </c>
      <c r="I105" s="27">
        <f t="shared" ca="1" si="32"/>
        <v>683363.02945998311</v>
      </c>
      <c r="J105" s="19">
        <v>7198207.1600000039</v>
      </c>
      <c r="K105" s="20">
        <v>35036516.839999989</v>
      </c>
      <c r="L105" s="20">
        <f t="shared" ca="1" si="27"/>
        <v>683363.02945998311</v>
      </c>
      <c r="S105" s="26" t="s">
        <v>38</v>
      </c>
      <c r="T105" s="27">
        <f t="shared" ca="1" si="28"/>
        <v>0</v>
      </c>
      <c r="U105" s="27">
        <f t="shared" ca="1" si="28"/>
        <v>0</v>
      </c>
      <c r="V105" s="27">
        <f t="shared" ca="1" si="28"/>
        <v>17470.339999914169</v>
      </c>
      <c r="W105" s="27">
        <f t="shared" ca="1" si="28"/>
        <v>17454</v>
      </c>
      <c r="X105" s="27">
        <f t="shared" ca="1" si="28"/>
        <v>12</v>
      </c>
      <c r="Y105" s="27">
        <f t="shared" ca="1" si="28"/>
        <v>0</v>
      </c>
      <c r="Z105" s="27">
        <f t="shared" ca="1" si="28"/>
        <v>-17470.339999914169</v>
      </c>
      <c r="AA105" s="19">
        <f t="shared" ca="1" si="28"/>
        <v>-11.199999997392297</v>
      </c>
      <c r="AB105" s="20">
        <f t="shared" ca="1" si="28"/>
        <v>17465.199999965727</v>
      </c>
      <c r="AC105" s="20">
        <f t="shared" ca="1" si="28"/>
        <v>-17470.339999914169</v>
      </c>
      <c r="AE105" s="26" t="s">
        <v>38</v>
      </c>
      <c r="AF105" s="27">
        <v>159898358.29945996</v>
      </c>
      <c r="AG105" s="27">
        <v>0</v>
      </c>
      <c r="AH105" s="27">
        <v>159197524.93000007</v>
      </c>
      <c r="AI105" s="27">
        <v>42217270</v>
      </c>
      <c r="AJ105" s="27">
        <v>116979231</v>
      </c>
      <c r="AK105" s="27">
        <v>1000</v>
      </c>
      <c r="AL105" s="27">
        <v>700833.36945989728</v>
      </c>
      <c r="AM105" s="19">
        <v>7198218.3600000013</v>
      </c>
      <c r="AN105" s="20">
        <v>35019051.640000023</v>
      </c>
      <c r="AO105" s="20">
        <v>700833.36945989728</v>
      </c>
    </row>
    <row r="106" spans="1:41" x14ac:dyDescent="0.25">
      <c r="A106" s="3">
        <f t="shared" ca="1" si="31"/>
        <v>45657</v>
      </c>
      <c r="B106" s="30" t="s">
        <v>39</v>
      </c>
      <c r="C106" s="31">
        <v>160258733.43999997</v>
      </c>
      <c r="D106" s="31">
        <v>12</v>
      </c>
      <c r="E106" s="31">
        <v>161971494.67000008</v>
      </c>
      <c r="F106" s="31">
        <v>32720789</v>
      </c>
      <c r="G106" s="31">
        <v>129240715</v>
      </c>
      <c r="H106" s="31">
        <v>9991</v>
      </c>
      <c r="I106" s="31">
        <f t="shared" ca="1" si="32"/>
        <v>0</v>
      </c>
      <c r="J106" s="31">
        <v>7199706.8399999933</v>
      </c>
      <c r="K106" s="32">
        <v>25521082.159999993</v>
      </c>
      <c r="L106" s="32">
        <f t="shared" ca="1" si="27"/>
        <v>-1712773.2300001085</v>
      </c>
      <c r="S106" s="33" t="s">
        <v>39</v>
      </c>
      <c r="T106" s="19">
        <f t="shared" ca="1" si="28"/>
        <v>0</v>
      </c>
      <c r="U106" s="19">
        <f t="shared" ca="1" si="28"/>
        <v>0</v>
      </c>
      <c r="V106" s="19">
        <f t="shared" ca="1" si="28"/>
        <v>1.190000057220459</v>
      </c>
      <c r="W106" s="19">
        <f t="shared" ca="1" si="28"/>
        <v>2</v>
      </c>
      <c r="X106" s="19">
        <f t="shared" ca="1" si="28"/>
        <v>-2</v>
      </c>
      <c r="Y106" s="19">
        <f t="shared" ca="1" si="28"/>
        <v>0</v>
      </c>
      <c r="Z106" s="19">
        <f t="shared" ca="1" si="28"/>
        <v>0</v>
      </c>
      <c r="AA106" s="19">
        <f t="shared" ca="1" si="28"/>
        <v>-0.37000000383704901</v>
      </c>
      <c r="AB106" s="20">
        <f t="shared" ca="1" si="28"/>
        <v>2.3699999861419201</v>
      </c>
      <c r="AC106" s="20">
        <f t="shared" ca="1" si="28"/>
        <v>-1.190000057220459</v>
      </c>
      <c r="AE106" s="30" t="s">
        <v>39</v>
      </c>
      <c r="AF106" s="31">
        <v>160258733.43999997</v>
      </c>
      <c r="AG106" s="31">
        <v>12</v>
      </c>
      <c r="AH106" s="31">
        <v>161971493.48000002</v>
      </c>
      <c r="AI106" s="31">
        <v>32720787</v>
      </c>
      <c r="AJ106" s="31">
        <v>129240717</v>
      </c>
      <c r="AK106" s="31">
        <v>9991</v>
      </c>
      <c r="AL106" s="46">
        <v>0</v>
      </c>
      <c r="AM106" s="31">
        <v>7199707.2099999972</v>
      </c>
      <c r="AN106" s="32">
        <v>25521079.790000007</v>
      </c>
      <c r="AO106" s="32">
        <v>-1712772.0400000513</v>
      </c>
    </row>
    <row r="107" spans="1:41" x14ac:dyDescent="0.25">
      <c r="A107" s="3">
        <f ca="1">A106</f>
        <v>45657</v>
      </c>
      <c r="B107" s="13" t="s">
        <v>40</v>
      </c>
      <c r="C107" s="14">
        <f ca="1">SUM(C108:C119)</f>
        <v>2506879636.1202002</v>
      </c>
      <c r="D107" s="14">
        <f t="shared" ref="D107:K107" ca="1" si="33">SUM(D108:D119)</f>
        <v>29811</v>
      </c>
      <c r="E107" s="14">
        <f t="shared" ca="1" si="33"/>
        <v>2502723309.1200008</v>
      </c>
      <c r="F107" s="14">
        <f t="shared" ca="1" si="33"/>
        <v>1568601391</v>
      </c>
      <c r="G107" s="14">
        <f t="shared" ca="1" si="33"/>
        <v>930383474</v>
      </c>
      <c r="H107" s="14">
        <f t="shared" ca="1" si="33"/>
        <v>3739203</v>
      </c>
      <c r="I107" s="14">
        <f ca="1">SUM(I108:I119)</f>
        <v>6797384.5099999905</v>
      </c>
      <c r="J107" s="14">
        <f t="shared" ca="1" si="33"/>
        <v>371080086.23999995</v>
      </c>
      <c r="K107" s="15">
        <f t="shared" ca="1" si="33"/>
        <v>1197521304.7600002</v>
      </c>
      <c r="L107" s="15">
        <f t="shared" ca="1" si="27"/>
        <v>4126516.0001993179</v>
      </c>
      <c r="S107" s="18" t="s">
        <v>40</v>
      </c>
      <c r="T107" s="19">
        <f t="shared" ca="1" si="28"/>
        <v>0</v>
      </c>
      <c r="U107" s="19">
        <f t="shared" ca="1" si="28"/>
        <v>0</v>
      </c>
      <c r="V107" s="19">
        <f t="shared" ca="1" si="28"/>
        <v>151995.07999992371</v>
      </c>
      <c r="W107" s="19">
        <f t="shared" ca="1" si="28"/>
        <v>149919</v>
      </c>
      <c r="X107" s="19">
        <f t="shared" ca="1" si="28"/>
        <v>-25</v>
      </c>
      <c r="Y107" s="19">
        <f t="shared" ca="1" si="28"/>
        <v>2000</v>
      </c>
      <c r="Z107" s="19">
        <f t="shared" ca="1" si="28"/>
        <v>-150985.16999980807</v>
      </c>
      <c r="AA107" s="19">
        <f t="shared" ca="1" si="28"/>
        <v>9.8799999356269836</v>
      </c>
      <c r="AB107" s="20">
        <f t="shared" ca="1" si="28"/>
        <v>149909.12000060081</v>
      </c>
      <c r="AC107" s="20">
        <f t="shared" ca="1" si="28"/>
        <v>-151995.07999992371</v>
      </c>
      <c r="AE107" s="13" t="s">
        <v>40</v>
      </c>
      <c r="AF107" s="14">
        <v>2506879636.1202002</v>
      </c>
      <c r="AG107" s="14">
        <v>29811</v>
      </c>
      <c r="AH107" s="14">
        <v>2502571314.0400009</v>
      </c>
      <c r="AI107" s="14">
        <v>1568451472</v>
      </c>
      <c r="AJ107" s="14">
        <v>930383499</v>
      </c>
      <c r="AK107" s="14">
        <v>3737203</v>
      </c>
      <c r="AL107" s="14">
        <v>6948369.6799997985</v>
      </c>
      <c r="AM107" s="14">
        <v>371080076.36000001</v>
      </c>
      <c r="AN107" s="15">
        <v>1197371395.6399996</v>
      </c>
      <c r="AO107" s="15">
        <v>4278511.0801992416</v>
      </c>
    </row>
    <row r="108" spans="1:41" x14ac:dyDescent="0.25">
      <c r="A108" s="3">
        <f ca="1">EOMONTH(A106+1,0)</f>
        <v>45688</v>
      </c>
      <c r="B108" s="26" t="s">
        <v>41</v>
      </c>
      <c r="C108" s="27">
        <v>187489167.10000011</v>
      </c>
      <c r="D108" s="27">
        <v>28788</v>
      </c>
      <c r="E108" s="27">
        <v>189080575.90000021</v>
      </c>
      <c r="F108" s="27">
        <v>72925503</v>
      </c>
      <c r="G108" s="27">
        <v>116146073</v>
      </c>
      <c r="H108" s="27">
        <v>9000</v>
      </c>
      <c r="I108" s="31">
        <f t="shared" ca="1" si="32"/>
        <v>0</v>
      </c>
      <c r="J108" s="19">
        <v>11186398.840000002</v>
      </c>
      <c r="K108" s="20">
        <v>61739104.160000004</v>
      </c>
      <c r="L108" s="20">
        <f t="shared" ca="1" si="27"/>
        <v>-1620196.8000001013</v>
      </c>
      <c r="M108" s="16"/>
      <c r="S108" s="26" t="s">
        <v>41</v>
      </c>
      <c r="T108" s="27">
        <f t="shared" ca="1" si="28"/>
        <v>0</v>
      </c>
      <c r="U108" s="27">
        <f t="shared" ca="1" si="28"/>
        <v>0</v>
      </c>
      <c r="V108" s="27">
        <f t="shared" ca="1" si="28"/>
        <v>1.4699999392032623</v>
      </c>
      <c r="W108" s="27">
        <f t="shared" ca="1" si="28"/>
        <v>0</v>
      </c>
      <c r="X108" s="27">
        <f t="shared" ca="1" si="28"/>
        <v>-5</v>
      </c>
      <c r="Y108" s="27">
        <f t="shared" ca="1" si="28"/>
        <v>0</v>
      </c>
      <c r="Z108" s="27">
        <f t="shared" ca="1" si="28"/>
        <v>0</v>
      </c>
      <c r="AA108" s="19">
        <f t="shared" ca="1" si="28"/>
        <v>2.9900000039488077</v>
      </c>
      <c r="AB108" s="20">
        <f t="shared" ca="1" si="28"/>
        <v>-2.9899999871850014</v>
      </c>
      <c r="AC108" s="20">
        <f t="shared" ca="1" si="28"/>
        <v>-1.4699999392032623</v>
      </c>
      <c r="AD108" s="16"/>
      <c r="AE108" s="26" t="s">
        <v>41</v>
      </c>
      <c r="AF108" s="27">
        <v>187489167.10000011</v>
      </c>
      <c r="AG108" s="27">
        <v>28788</v>
      </c>
      <c r="AH108" s="27">
        <v>189080574.43000028</v>
      </c>
      <c r="AI108" s="27">
        <v>72925503</v>
      </c>
      <c r="AJ108" s="27">
        <v>116146078</v>
      </c>
      <c r="AK108" s="27">
        <v>9000</v>
      </c>
      <c r="AL108" s="46">
        <v>0</v>
      </c>
      <c r="AM108" s="19">
        <v>11186395.849999998</v>
      </c>
      <c r="AN108" s="20">
        <v>61739107.149999991</v>
      </c>
      <c r="AO108" s="20">
        <v>-1620195.3300001621</v>
      </c>
    </row>
    <row r="109" spans="1:41" x14ac:dyDescent="0.25">
      <c r="A109" s="3">
        <f t="shared" ref="A109:A117" ca="1" si="34">EOMONTH(A108+1,0)</f>
        <v>45716</v>
      </c>
      <c r="B109" s="30" t="s">
        <v>42</v>
      </c>
      <c r="C109" s="31">
        <v>214851181.34019995</v>
      </c>
      <c r="D109" s="31">
        <v>0</v>
      </c>
      <c r="E109" s="31">
        <v>215071478.54000014</v>
      </c>
      <c r="F109" s="31">
        <v>82601616</v>
      </c>
      <c r="G109" s="31">
        <v>132445842</v>
      </c>
      <c r="H109" s="31">
        <v>24035</v>
      </c>
      <c r="I109" s="27">
        <f t="shared" ca="1" si="32"/>
        <v>0</v>
      </c>
      <c r="J109" s="31">
        <v>16113641.150000008</v>
      </c>
      <c r="K109" s="32">
        <v>66487974.849999994</v>
      </c>
      <c r="L109" s="32">
        <f t="shared" ca="1" si="27"/>
        <v>-220297.19980019331</v>
      </c>
      <c r="M109" s="16"/>
      <c r="S109" s="33" t="s">
        <v>42</v>
      </c>
      <c r="T109" s="19">
        <f t="shared" ca="1" si="28"/>
        <v>0</v>
      </c>
      <c r="U109" s="19">
        <f t="shared" ca="1" si="28"/>
        <v>0</v>
      </c>
      <c r="V109" s="19">
        <f t="shared" ca="1" si="28"/>
        <v>2.0900002121925354</v>
      </c>
      <c r="W109" s="19">
        <f t="shared" ca="1" si="28"/>
        <v>-10</v>
      </c>
      <c r="X109" s="19">
        <f t="shared" ca="1" si="28"/>
        <v>1</v>
      </c>
      <c r="Y109" s="19">
        <f t="shared" ca="1" si="28"/>
        <v>0</v>
      </c>
      <c r="Z109" s="19">
        <f t="shared" ca="1" si="28"/>
        <v>0</v>
      </c>
      <c r="AA109" s="19">
        <f t="shared" ca="1" si="28"/>
        <v>-8.5099999904632568</v>
      </c>
      <c r="AB109" s="20">
        <f t="shared" ca="1" si="28"/>
        <v>-1.4899999797344208</v>
      </c>
      <c r="AC109" s="20">
        <f t="shared" ca="1" si="28"/>
        <v>-2.0900002121925354</v>
      </c>
      <c r="AD109" s="16"/>
      <c r="AE109" s="30" t="s">
        <v>42</v>
      </c>
      <c r="AF109" s="31">
        <v>214851181.34019995</v>
      </c>
      <c r="AG109" s="31">
        <v>0</v>
      </c>
      <c r="AH109" s="31">
        <v>215071476.44999993</v>
      </c>
      <c r="AI109" s="31">
        <v>82601626</v>
      </c>
      <c r="AJ109" s="31">
        <v>132445841</v>
      </c>
      <c r="AK109" s="31">
        <v>24035</v>
      </c>
      <c r="AL109" s="31">
        <v>0</v>
      </c>
      <c r="AM109" s="31">
        <v>16113649.659999998</v>
      </c>
      <c r="AN109" s="32">
        <v>66487976.339999974</v>
      </c>
      <c r="AO109" s="32">
        <v>-220295.10979998112</v>
      </c>
    </row>
    <row r="110" spans="1:41" x14ac:dyDescent="0.25">
      <c r="A110" s="3">
        <f t="shared" ca="1" si="34"/>
        <v>45747</v>
      </c>
      <c r="B110" s="26" t="s">
        <v>43</v>
      </c>
      <c r="C110" s="27">
        <v>200794301.42000008</v>
      </c>
      <c r="D110" s="27">
        <v>23</v>
      </c>
      <c r="E110" s="27">
        <v>200043337.98000008</v>
      </c>
      <c r="F110" s="27">
        <v>92478265</v>
      </c>
      <c r="G110" s="27">
        <v>107530606</v>
      </c>
      <c r="H110" s="27">
        <v>34504</v>
      </c>
      <c r="I110" s="27">
        <f t="shared" ca="1" si="32"/>
        <v>750940.43999999762</v>
      </c>
      <c r="J110" s="19">
        <v>21692316.259999998</v>
      </c>
      <c r="K110" s="20">
        <v>70785948.740000039</v>
      </c>
      <c r="L110" s="20">
        <f t="shared" ca="1" si="27"/>
        <v>750940.43999999762</v>
      </c>
      <c r="M110" s="16"/>
      <c r="S110" s="26" t="s">
        <v>43</v>
      </c>
      <c r="T110" s="27">
        <f t="shared" ca="1" si="28"/>
        <v>0</v>
      </c>
      <c r="U110" s="27">
        <f t="shared" ca="1" si="28"/>
        <v>0</v>
      </c>
      <c r="V110" s="27">
        <f t="shared" ca="1" si="28"/>
        <v>1.2199999988079071</v>
      </c>
      <c r="W110" s="27">
        <f t="shared" ca="1" si="28"/>
        <v>-4</v>
      </c>
      <c r="X110" s="27">
        <f t="shared" ca="1" si="28"/>
        <v>-3</v>
      </c>
      <c r="Y110" s="27">
        <f t="shared" ca="1" si="28"/>
        <v>0</v>
      </c>
      <c r="Z110" s="27">
        <f t="shared" ca="1" si="28"/>
        <v>-1.2199999988079071</v>
      </c>
      <c r="AA110" s="19">
        <f t="shared" ca="1" si="28"/>
        <v>3.5300000086426735</v>
      </c>
      <c r="AB110" s="20">
        <f t="shared" ca="1" si="28"/>
        <v>-7.5299999415874481</v>
      </c>
      <c r="AC110" s="20">
        <f t="shared" ca="1" si="28"/>
        <v>-1.2199999988079071</v>
      </c>
      <c r="AD110" s="16"/>
      <c r="AE110" s="26" t="s">
        <v>43</v>
      </c>
      <c r="AF110" s="27">
        <v>200794301.42000008</v>
      </c>
      <c r="AG110" s="27">
        <v>23</v>
      </c>
      <c r="AH110" s="27">
        <v>200043336.76000008</v>
      </c>
      <c r="AI110" s="27">
        <v>92478269</v>
      </c>
      <c r="AJ110" s="27">
        <v>107530609</v>
      </c>
      <c r="AK110" s="27">
        <v>34504</v>
      </c>
      <c r="AL110" s="27">
        <v>750941.65999999642</v>
      </c>
      <c r="AM110" s="19">
        <v>21692312.729999989</v>
      </c>
      <c r="AN110" s="20">
        <v>70785956.269999981</v>
      </c>
      <c r="AO110" s="20">
        <v>750941.65999999642</v>
      </c>
    </row>
    <row r="111" spans="1:41" x14ac:dyDescent="0.25">
      <c r="A111" s="3">
        <f t="shared" ca="1" si="34"/>
        <v>45777</v>
      </c>
      <c r="B111" s="30" t="s">
        <v>44</v>
      </c>
      <c r="C111" s="31">
        <v>237532793.2899999</v>
      </c>
      <c r="D111" s="31">
        <v>0</v>
      </c>
      <c r="E111" s="31">
        <v>237517407.43000001</v>
      </c>
      <c r="F111" s="31">
        <v>141486752</v>
      </c>
      <c r="G111" s="31">
        <v>95961165</v>
      </c>
      <c r="H111" s="31">
        <v>69556</v>
      </c>
      <c r="I111" s="31">
        <f t="shared" ca="1" si="32"/>
        <v>15385.859999895096</v>
      </c>
      <c r="J111" s="31">
        <v>49729431.11999999</v>
      </c>
      <c r="K111" s="32">
        <v>91757320.879999936</v>
      </c>
      <c r="L111" s="32">
        <f t="shared" ca="1" si="27"/>
        <v>15385.859999895096</v>
      </c>
      <c r="M111" s="16"/>
      <c r="S111" s="33" t="s">
        <v>44</v>
      </c>
      <c r="T111" s="19">
        <f t="shared" ca="1" si="28"/>
        <v>0</v>
      </c>
      <c r="U111" s="19">
        <f t="shared" ca="1" si="28"/>
        <v>0</v>
      </c>
      <c r="V111" s="19">
        <f t="shared" ca="1" si="28"/>
        <v>1.8500001430511475</v>
      </c>
      <c r="W111" s="19">
        <f t="shared" ca="1" si="28"/>
        <v>-7</v>
      </c>
      <c r="X111" s="19">
        <f t="shared" ca="1" si="28"/>
        <v>0</v>
      </c>
      <c r="Y111" s="19">
        <f t="shared" ca="1" si="28"/>
        <v>0</v>
      </c>
      <c r="Z111" s="19">
        <f t="shared" ca="1" si="28"/>
        <v>-1.8500001430511475</v>
      </c>
      <c r="AA111" s="19">
        <f t="shared" ca="1" si="28"/>
        <v>3.2999999895691872</v>
      </c>
      <c r="AB111" s="20">
        <f t="shared" ca="1" si="28"/>
        <v>-10.300000101327896</v>
      </c>
      <c r="AC111" s="20">
        <f t="shared" ca="1" si="28"/>
        <v>-1.8500001430511475</v>
      </c>
      <c r="AD111" s="16"/>
      <c r="AE111" s="30" t="s">
        <v>44</v>
      </c>
      <c r="AF111" s="31">
        <v>237532793.2899999</v>
      </c>
      <c r="AG111" s="31">
        <v>0</v>
      </c>
      <c r="AH111" s="31">
        <v>237517405.57999986</v>
      </c>
      <c r="AI111" s="31">
        <v>141486759</v>
      </c>
      <c r="AJ111" s="31">
        <v>95961165</v>
      </c>
      <c r="AK111" s="31">
        <v>69556</v>
      </c>
      <c r="AL111" s="31">
        <v>15387.710000038147</v>
      </c>
      <c r="AM111" s="31">
        <v>49729427.82</v>
      </c>
      <c r="AN111" s="32">
        <v>91757331.180000037</v>
      </c>
      <c r="AO111" s="32">
        <v>15387.710000038147</v>
      </c>
    </row>
    <row r="112" spans="1:41" x14ac:dyDescent="0.25">
      <c r="A112" s="3">
        <f t="shared" ca="1" si="34"/>
        <v>45808</v>
      </c>
      <c r="B112" s="26" t="s">
        <v>45</v>
      </c>
      <c r="C112" s="27">
        <v>273664187.50999975</v>
      </c>
      <c r="D112" s="27">
        <v>0</v>
      </c>
      <c r="E112" s="27">
        <v>274140970.15000004</v>
      </c>
      <c r="F112" s="27">
        <v>140297082</v>
      </c>
      <c r="G112" s="27">
        <v>132799702</v>
      </c>
      <c r="H112" s="27">
        <v>1044200</v>
      </c>
      <c r="I112" s="27">
        <f t="shared" ca="1" si="32"/>
        <v>0</v>
      </c>
      <c r="J112" s="19">
        <v>48145649.609999962</v>
      </c>
      <c r="K112" s="20">
        <v>92151432.389999956</v>
      </c>
      <c r="L112" s="20">
        <f t="shared" ca="1" si="27"/>
        <v>-476782.64000028372</v>
      </c>
      <c r="M112" s="16"/>
      <c r="S112" s="26" t="s">
        <v>45</v>
      </c>
      <c r="T112" s="27">
        <f t="shared" ca="1" si="28"/>
        <v>0</v>
      </c>
      <c r="U112" s="27">
        <f t="shared" ca="1" si="28"/>
        <v>0</v>
      </c>
      <c r="V112" s="27">
        <f t="shared" ca="1" si="28"/>
        <v>1003.2499998807907</v>
      </c>
      <c r="W112" s="27">
        <f t="shared" ca="1" si="28"/>
        <v>-8</v>
      </c>
      <c r="X112" s="27">
        <f t="shared" ca="1" si="28"/>
        <v>-1</v>
      </c>
      <c r="Y112" s="27">
        <f t="shared" ca="1" si="28"/>
        <v>1000</v>
      </c>
      <c r="Z112" s="27">
        <f t="shared" ca="1" si="28"/>
        <v>0</v>
      </c>
      <c r="AA112" s="19">
        <f t="shared" ca="1" si="28"/>
        <v>-0.90000000596046448</v>
      </c>
      <c r="AB112" s="20">
        <f t="shared" ca="1" si="28"/>
        <v>-7.0999999493360519</v>
      </c>
      <c r="AC112" s="20">
        <f t="shared" ca="1" si="28"/>
        <v>-1003.2499998807907</v>
      </c>
      <c r="AD112" s="16"/>
      <c r="AE112" s="26" t="s">
        <v>45</v>
      </c>
      <c r="AF112" s="27">
        <v>273664187.50999975</v>
      </c>
      <c r="AG112" s="27">
        <v>0</v>
      </c>
      <c r="AH112" s="27">
        <v>274139966.90000015</v>
      </c>
      <c r="AI112" s="27">
        <v>140297090</v>
      </c>
      <c r="AJ112" s="27">
        <v>132799703</v>
      </c>
      <c r="AK112" s="27">
        <v>1043200</v>
      </c>
      <c r="AL112" s="27">
        <v>0</v>
      </c>
      <c r="AM112" s="19">
        <v>48145650.509999968</v>
      </c>
      <c r="AN112" s="20">
        <v>92151439.489999905</v>
      </c>
      <c r="AO112" s="20">
        <v>-475779.39000040293</v>
      </c>
    </row>
    <row r="113" spans="1:41" x14ac:dyDescent="0.25">
      <c r="A113" s="3">
        <f t="shared" ca="1" si="34"/>
        <v>45838</v>
      </c>
      <c r="B113" s="30" t="s">
        <v>46</v>
      </c>
      <c r="C113" s="31">
        <v>182015591.55000001</v>
      </c>
      <c r="D113" s="31">
        <v>0</v>
      </c>
      <c r="E113" s="31">
        <v>182369183.41999996</v>
      </c>
      <c r="F113" s="31">
        <v>110533742</v>
      </c>
      <c r="G113" s="31">
        <v>71368164</v>
      </c>
      <c r="H113" s="31">
        <v>467331</v>
      </c>
      <c r="I113" s="31">
        <f t="shared" ca="1" si="32"/>
        <v>0</v>
      </c>
      <c r="J113" s="31">
        <v>30008261.440000013</v>
      </c>
      <c r="K113" s="32">
        <v>80525480.559999987</v>
      </c>
      <c r="L113" s="32">
        <f t="shared" ca="1" si="27"/>
        <v>-353591.86999994516</v>
      </c>
      <c r="M113" s="16"/>
      <c r="S113" s="33" t="s">
        <v>46</v>
      </c>
      <c r="T113" s="19">
        <f t="shared" ca="1" si="28"/>
        <v>0</v>
      </c>
      <c r="U113" s="19">
        <f t="shared" ca="1" si="28"/>
        <v>0</v>
      </c>
      <c r="V113" s="19">
        <f t="shared" ca="1" si="28"/>
        <v>3.0999997556209564</v>
      </c>
      <c r="W113" s="19">
        <f t="shared" ca="1" si="28"/>
        <v>-5</v>
      </c>
      <c r="X113" s="19">
        <f t="shared" ca="1" si="28"/>
        <v>0</v>
      </c>
      <c r="Y113" s="19">
        <f t="shared" ca="1" si="28"/>
        <v>0</v>
      </c>
      <c r="Z113" s="19">
        <f t="shared" ca="1" si="28"/>
        <v>0</v>
      </c>
      <c r="AA113" s="19">
        <f t="shared" ca="1" si="28"/>
        <v>-8.3200000002980232</v>
      </c>
      <c r="AB113" s="20">
        <f t="shared" ca="1" si="28"/>
        <v>3.320000022649765</v>
      </c>
      <c r="AC113" s="20">
        <f t="shared" ca="1" si="28"/>
        <v>-3.0999997556209564</v>
      </c>
      <c r="AD113" s="16"/>
      <c r="AE113" s="30" t="s">
        <v>46</v>
      </c>
      <c r="AF113" s="31">
        <v>182015591.55000001</v>
      </c>
      <c r="AG113" s="31">
        <v>0</v>
      </c>
      <c r="AH113" s="31">
        <v>182369180.3200002</v>
      </c>
      <c r="AI113" s="31">
        <v>110533747</v>
      </c>
      <c r="AJ113" s="31">
        <v>71368164</v>
      </c>
      <c r="AK113" s="31">
        <v>467331</v>
      </c>
      <c r="AL113" s="31">
        <v>0</v>
      </c>
      <c r="AM113" s="31">
        <v>30008269.760000013</v>
      </c>
      <c r="AN113" s="32">
        <v>80525477.239999965</v>
      </c>
      <c r="AO113" s="32">
        <v>-353588.77000018954</v>
      </c>
    </row>
    <row r="114" spans="1:41" x14ac:dyDescent="0.25">
      <c r="A114" s="3">
        <f t="shared" ca="1" si="34"/>
        <v>45869</v>
      </c>
      <c r="B114" s="26" t="s">
        <v>47</v>
      </c>
      <c r="C114" s="27">
        <v>193022797.21000004</v>
      </c>
      <c r="D114" s="27">
        <v>0</v>
      </c>
      <c r="E114" s="27">
        <v>192950047.2800003</v>
      </c>
      <c r="F114" s="27">
        <v>149419111</v>
      </c>
      <c r="G114" s="27">
        <v>43227378</v>
      </c>
      <c r="H114" s="27">
        <v>303646</v>
      </c>
      <c r="I114" s="27">
        <f t="shared" ca="1" si="32"/>
        <v>72749.929999738932</v>
      </c>
      <c r="J114" s="19">
        <v>28052843.069999974</v>
      </c>
      <c r="K114" s="20">
        <v>121366267.92999992</v>
      </c>
      <c r="L114" s="20">
        <f t="shared" ca="1" si="27"/>
        <v>72749.929999738932</v>
      </c>
      <c r="M114" s="16"/>
      <c r="S114" s="26" t="s">
        <v>47</v>
      </c>
      <c r="T114" s="27">
        <f t="shared" ca="1" si="28"/>
        <v>0</v>
      </c>
      <c r="U114" s="27">
        <f t="shared" ca="1" si="28"/>
        <v>0</v>
      </c>
      <c r="V114" s="27">
        <f t="shared" ca="1" si="28"/>
        <v>1.9400002360343933</v>
      </c>
      <c r="W114" s="27">
        <f t="shared" ca="1" si="28"/>
        <v>-9</v>
      </c>
      <c r="X114" s="27">
        <f t="shared" ca="1" si="28"/>
        <v>1</v>
      </c>
      <c r="Y114" s="27">
        <f t="shared" ca="1" si="28"/>
        <v>0</v>
      </c>
      <c r="Z114" s="27">
        <f t="shared" ca="1" si="28"/>
        <v>-1.9400002360343933</v>
      </c>
      <c r="AA114" s="19">
        <f t="shared" ca="1" si="28"/>
        <v>-1.8100000135600567</v>
      </c>
      <c r="AB114" s="20">
        <f t="shared" ca="1" si="28"/>
        <v>-7.1899999529123306</v>
      </c>
      <c r="AC114" s="20">
        <f t="shared" ca="1" si="28"/>
        <v>-1.9400002360343933</v>
      </c>
      <c r="AD114" s="16"/>
      <c r="AE114" s="26" t="s">
        <v>47</v>
      </c>
      <c r="AF114" s="27">
        <v>193022797.21000004</v>
      </c>
      <c r="AG114" s="27">
        <v>0</v>
      </c>
      <c r="AH114" s="27">
        <v>192950045.34000006</v>
      </c>
      <c r="AI114" s="27">
        <v>149419120</v>
      </c>
      <c r="AJ114" s="27">
        <v>43227377</v>
      </c>
      <c r="AK114" s="27">
        <v>303646</v>
      </c>
      <c r="AL114" s="27">
        <v>72751.869999974966</v>
      </c>
      <c r="AM114" s="19">
        <v>28052844.879999988</v>
      </c>
      <c r="AN114" s="20">
        <v>121366275.11999987</v>
      </c>
      <c r="AO114" s="20">
        <v>72751.869999974966</v>
      </c>
    </row>
    <row r="115" spans="1:41" x14ac:dyDescent="0.25">
      <c r="A115" s="3">
        <f t="shared" ca="1" si="34"/>
        <v>45900</v>
      </c>
      <c r="B115" s="30" t="s">
        <v>48</v>
      </c>
      <c r="C115" s="31">
        <v>183941538.25999999</v>
      </c>
      <c r="D115" s="31">
        <v>0</v>
      </c>
      <c r="E115" s="31">
        <v>183269173.49000001</v>
      </c>
      <c r="F115" s="31">
        <v>152103727</v>
      </c>
      <c r="G115" s="31">
        <v>30709521</v>
      </c>
      <c r="H115" s="31">
        <v>456006</v>
      </c>
      <c r="I115" s="31">
        <f t="shared" ca="1" si="32"/>
        <v>672364.76999998093</v>
      </c>
      <c r="J115" s="31">
        <v>27481636.45999999</v>
      </c>
      <c r="K115" s="32">
        <v>124622090.53999996</v>
      </c>
      <c r="L115" s="32">
        <f t="shared" ca="1" si="27"/>
        <v>672364.76999998093</v>
      </c>
      <c r="M115" s="16"/>
      <c r="S115" s="33" t="s">
        <v>48</v>
      </c>
      <c r="T115" s="19">
        <f t="shared" ca="1" si="28"/>
        <v>0</v>
      </c>
      <c r="U115" s="19">
        <f t="shared" ca="1" si="28"/>
        <v>0</v>
      </c>
      <c r="V115" s="19">
        <f t="shared" ca="1" si="28"/>
        <v>1.479999840259552</v>
      </c>
      <c r="W115" s="19">
        <f t="shared" ca="1" si="28"/>
        <v>-4</v>
      </c>
      <c r="X115" s="19">
        <f t="shared" ca="1" si="28"/>
        <v>0</v>
      </c>
      <c r="Y115" s="19">
        <f t="shared" ref="Y115:AC151" ca="1" si="35">H115-AK115</f>
        <v>0</v>
      </c>
      <c r="Z115" s="19">
        <f t="shared" ca="1" si="35"/>
        <v>-1.479999840259552</v>
      </c>
      <c r="AA115" s="19">
        <f t="shared" ca="1" si="35"/>
        <v>6.0199999921023846</v>
      </c>
      <c r="AB115" s="20">
        <f t="shared" ca="1" si="35"/>
        <v>-10.019999995827675</v>
      </c>
      <c r="AC115" s="20">
        <f t="shared" ca="1" si="35"/>
        <v>-1.479999840259552</v>
      </c>
      <c r="AD115" s="16"/>
      <c r="AE115" s="30" t="s">
        <v>48</v>
      </c>
      <c r="AF115" s="31">
        <v>183941538.25999999</v>
      </c>
      <c r="AG115" s="31">
        <v>0</v>
      </c>
      <c r="AH115" s="31">
        <v>183269172.01000017</v>
      </c>
      <c r="AI115" s="31">
        <v>152103731</v>
      </c>
      <c r="AJ115" s="31">
        <v>30709521</v>
      </c>
      <c r="AK115" s="31">
        <v>456006</v>
      </c>
      <c r="AL115" s="31">
        <v>672366.24999982119</v>
      </c>
      <c r="AM115" s="31">
        <v>27481630.439999998</v>
      </c>
      <c r="AN115" s="32">
        <v>124622100.55999996</v>
      </c>
      <c r="AO115" s="32">
        <v>672366.24999982119</v>
      </c>
    </row>
    <row r="116" spans="1:41" x14ac:dyDescent="0.25">
      <c r="A116" s="3">
        <f t="shared" ca="1" si="34"/>
        <v>45930</v>
      </c>
      <c r="B116" s="26" t="s">
        <v>49</v>
      </c>
      <c r="C116" s="27">
        <v>218229716.00999999</v>
      </c>
      <c r="D116" s="27">
        <v>0</v>
      </c>
      <c r="E116" s="27">
        <v>218175481.87000006</v>
      </c>
      <c r="F116" s="27">
        <v>168462043</v>
      </c>
      <c r="G116" s="27">
        <v>49200814</v>
      </c>
      <c r="H116" s="27">
        <v>512734</v>
      </c>
      <c r="I116" s="27">
        <f t="shared" ca="1" si="32"/>
        <v>54234.13999992609</v>
      </c>
      <c r="J116" s="19">
        <v>36648489.029999994</v>
      </c>
      <c r="K116" s="20">
        <v>131813553.97</v>
      </c>
      <c r="L116" s="20">
        <f t="shared" ca="1" si="27"/>
        <v>54234.13999992609</v>
      </c>
      <c r="M116" s="16"/>
      <c r="S116" s="26" t="s">
        <v>49</v>
      </c>
      <c r="T116" s="27">
        <f t="shared" ref="T116:AC152" ca="1" si="36">C116-AF116</f>
        <v>0</v>
      </c>
      <c r="U116" s="27">
        <f t="shared" ca="1" si="36"/>
        <v>0</v>
      </c>
      <c r="V116" s="27">
        <f t="shared" ca="1" si="36"/>
        <v>149973.67999991775</v>
      </c>
      <c r="W116" s="27">
        <f t="shared" ca="1" si="36"/>
        <v>149965</v>
      </c>
      <c r="X116" s="27">
        <f t="shared" ca="1" si="36"/>
        <v>-2</v>
      </c>
      <c r="Y116" s="27">
        <f t="shared" ca="1" si="35"/>
        <v>0</v>
      </c>
      <c r="Z116" s="27">
        <f t="shared" ca="1" si="35"/>
        <v>-149973.67999991775</v>
      </c>
      <c r="AA116" s="19">
        <f t="shared" ca="1" si="35"/>
        <v>5.1799999549984932</v>
      </c>
      <c r="AB116" s="20">
        <f t="shared" ca="1" si="35"/>
        <v>149959.82000002265</v>
      </c>
      <c r="AC116" s="20">
        <f t="shared" ca="1" si="35"/>
        <v>-149973.67999991775</v>
      </c>
      <c r="AD116" s="16"/>
      <c r="AE116" s="26" t="s">
        <v>49</v>
      </c>
      <c r="AF116" s="27">
        <v>218229716.00999999</v>
      </c>
      <c r="AG116" s="27">
        <v>0</v>
      </c>
      <c r="AH116" s="27">
        <v>218025508.19000015</v>
      </c>
      <c r="AI116" s="27">
        <v>168312078</v>
      </c>
      <c r="AJ116" s="27">
        <v>49200816</v>
      </c>
      <c r="AK116" s="27">
        <v>512734</v>
      </c>
      <c r="AL116" s="27">
        <v>204207.81999984384</v>
      </c>
      <c r="AM116" s="19">
        <v>36648483.850000039</v>
      </c>
      <c r="AN116" s="20">
        <v>131663594.14999998</v>
      </c>
      <c r="AO116" s="20">
        <v>204207.81999984384</v>
      </c>
    </row>
    <row r="117" spans="1:41" x14ac:dyDescent="0.25">
      <c r="A117" s="3">
        <f t="shared" ca="1" si="34"/>
        <v>45961</v>
      </c>
      <c r="B117" s="30" t="s">
        <v>50</v>
      </c>
      <c r="C117" s="31">
        <v>232582385.56000012</v>
      </c>
      <c r="D117" s="31">
        <v>0</v>
      </c>
      <c r="E117" s="31">
        <v>230761724.66999966</v>
      </c>
      <c r="F117" s="31">
        <v>173336703</v>
      </c>
      <c r="G117" s="31">
        <v>57239187</v>
      </c>
      <c r="H117" s="31">
        <v>185950</v>
      </c>
      <c r="I117" s="31">
        <f t="shared" ca="1" si="32"/>
        <v>1820660.8900004625</v>
      </c>
      <c r="J117" s="31">
        <v>31395941.489999987</v>
      </c>
      <c r="K117" s="32">
        <v>141940761.51000011</v>
      </c>
      <c r="L117" s="32">
        <f t="shared" ca="1" si="27"/>
        <v>1820660.8900004625</v>
      </c>
      <c r="M117" s="16"/>
      <c r="S117" s="33" t="s">
        <v>50</v>
      </c>
      <c r="T117" s="19">
        <f t="shared" ca="1" si="36"/>
        <v>0</v>
      </c>
      <c r="U117" s="19">
        <f t="shared" ca="1" si="36"/>
        <v>0</v>
      </c>
      <c r="V117" s="19">
        <f t="shared" ca="1" si="36"/>
        <v>2.0799996554851532</v>
      </c>
      <c r="W117" s="19">
        <f t="shared" ca="1" si="36"/>
        <v>-5</v>
      </c>
      <c r="X117" s="19">
        <f t="shared" ca="1" si="36"/>
        <v>0</v>
      </c>
      <c r="Y117" s="19">
        <f t="shared" ca="1" si="35"/>
        <v>0</v>
      </c>
      <c r="Z117" s="19">
        <f t="shared" ca="1" si="35"/>
        <v>-2.0799996554851532</v>
      </c>
      <c r="AA117" s="19">
        <f t="shared" ca="1" si="35"/>
        <v>3.9500000067055225</v>
      </c>
      <c r="AB117" s="20">
        <f t="shared" ca="1" si="35"/>
        <v>-8.9499998688697815</v>
      </c>
      <c r="AC117" s="20">
        <f t="shared" ca="1" si="35"/>
        <v>-2.0799996554851532</v>
      </c>
      <c r="AD117" s="16"/>
      <c r="AE117" s="30" t="s">
        <v>50</v>
      </c>
      <c r="AF117" s="31">
        <v>232582385.56000012</v>
      </c>
      <c r="AG117" s="31">
        <v>0</v>
      </c>
      <c r="AH117" s="31">
        <v>230761722.59</v>
      </c>
      <c r="AI117" s="31">
        <v>173336708</v>
      </c>
      <c r="AJ117" s="31">
        <v>57239187</v>
      </c>
      <c r="AK117" s="31">
        <v>185950</v>
      </c>
      <c r="AL117" s="31">
        <v>1820662.970000118</v>
      </c>
      <c r="AM117" s="31">
        <v>31395937.53999998</v>
      </c>
      <c r="AN117" s="32">
        <v>141940770.45999998</v>
      </c>
      <c r="AO117" s="32">
        <v>1820662.970000118</v>
      </c>
    </row>
    <row r="118" spans="1:41" x14ac:dyDescent="0.25">
      <c r="A118" s="3">
        <f ca="1">EOMONTH(A117+1,0)</f>
        <v>45991</v>
      </c>
      <c r="B118" s="26" t="s">
        <v>51</v>
      </c>
      <c r="C118" s="27">
        <v>188532705.69999999</v>
      </c>
      <c r="D118" s="27">
        <v>1000</v>
      </c>
      <c r="E118" s="27">
        <v>186494211.03000009</v>
      </c>
      <c r="F118" s="27">
        <v>141983007</v>
      </c>
      <c r="G118" s="27">
        <v>44101033</v>
      </c>
      <c r="H118" s="27">
        <v>410257</v>
      </c>
      <c r="I118" s="27">
        <f t="shared" ca="1" si="32"/>
        <v>2037494.6699998975</v>
      </c>
      <c r="J118" s="19">
        <v>32072136.910000015</v>
      </c>
      <c r="K118" s="20">
        <v>109910870.09000005</v>
      </c>
      <c r="L118" s="20">
        <f t="shared" ca="1" si="27"/>
        <v>2037494.6699998975</v>
      </c>
      <c r="M118" s="16"/>
      <c r="S118" s="26" t="s">
        <v>51</v>
      </c>
      <c r="T118" s="27">
        <f t="shared" ca="1" si="36"/>
        <v>0</v>
      </c>
      <c r="U118" s="27">
        <f t="shared" ca="1" si="36"/>
        <v>0</v>
      </c>
      <c r="V118" s="27">
        <f t="shared" ca="1" si="36"/>
        <v>1001.1000000536442</v>
      </c>
      <c r="W118" s="27">
        <f t="shared" ca="1" si="36"/>
        <v>3</v>
      </c>
      <c r="X118" s="27">
        <f t="shared" ca="1" si="36"/>
        <v>-11</v>
      </c>
      <c r="Y118" s="27">
        <f t="shared" ca="1" si="35"/>
        <v>1000</v>
      </c>
      <c r="Z118" s="27">
        <f t="shared" ca="1" si="35"/>
        <v>-1001.1000000536442</v>
      </c>
      <c r="AA118" s="19">
        <f t="shared" ca="1" si="35"/>
        <v>1.2900000102818012</v>
      </c>
      <c r="AB118" s="20">
        <f t="shared" ca="1" si="35"/>
        <v>1.7100000083446503</v>
      </c>
      <c r="AC118" s="20">
        <f t="shared" ca="1" si="35"/>
        <v>-1001.1000000536442</v>
      </c>
      <c r="AD118" s="16"/>
      <c r="AE118" s="26" t="s">
        <v>51</v>
      </c>
      <c r="AF118" s="27">
        <v>188532705.69999999</v>
      </c>
      <c r="AG118" s="27">
        <v>1000</v>
      </c>
      <c r="AH118" s="27">
        <v>186493209.93000004</v>
      </c>
      <c r="AI118" s="27">
        <v>141983004</v>
      </c>
      <c r="AJ118" s="27">
        <v>44101044</v>
      </c>
      <c r="AK118" s="27">
        <v>409257</v>
      </c>
      <c r="AL118" s="27">
        <v>2038495.7699999511</v>
      </c>
      <c r="AM118" s="19">
        <v>32072135.620000005</v>
      </c>
      <c r="AN118" s="20">
        <v>109910868.38000004</v>
      </c>
      <c r="AO118" s="20">
        <v>2038495.7699999511</v>
      </c>
    </row>
    <row r="119" spans="1:41" x14ac:dyDescent="0.25">
      <c r="A119" s="3">
        <f ca="1">EOMONTH(A118+1,0)</f>
        <v>46022</v>
      </c>
      <c r="B119" s="30" t="s">
        <v>52</v>
      </c>
      <c r="C119" s="31">
        <v>194223271.17000005</v>
      </c>
      <c r="D119" s="31">
        <v>0</v>
      </c>
      <c r="E119" s="31">
        <v>192849717.35999995</v>
      </c>
      <c r="F119" s="31">
        <v>142973840</v>
      </c>
      <c r="G119" s="31">
        <v>49653989</v>
      </c>
      <c r="H119" s="31">
        <v>221984</v>
      </c>
      <c r="I119" s="31">
        <f ca="1">IF(L119&lt;0,0,L119)</f>
        <v>1373553.8100000918</v>
      </c>
      <c r="J119" s="31">
        <v>38553340.860000007</v>
      </c>
      <c r="K119" s="32">
        <v>104420499.14000006</v>
      </c>
      <c r="L119" s="32">
        <f t="shared" ca="1" si="27"/>
        <v>1373553.8100000918</v>
      </c>
      <c r="M119" s="16"/>
      <c r="S119" s="33" t="s">
        <v>52</v>
      </c>
      <c r="T119" s="19">
        <f t="shared" ca="1" si="36"/>
        <v>0</v>
      </c>
      <c r="U119" s="19">
        <f t="shared" ca="1" si="36"/>
        <v>0</v>
      </c>
      <c r="V119" s="19">
        <f t="shared" ca="1" si="36"/>
        <v>1.8199999630451202</v>
      </c>
      <c r="W119" s="19">
        <f t="shared" ca="1" si="36"/>
        <v>3</v>
      </c>
      <c r="X119" s="19">
        <f t="shared" ca="1" si="36"/>
        <v>-5</v>
      </c>
      <c r="Y119" s="19">
        <f t="shared" ca="1" si="35"/>
        <v>0</v>
      </c>
      <c r="Z119" s="19">
        <f t="shared" ca="1" si="35"/>
        <v>-1.8199999630451202</v>
      </c>
      <c r="AA119" s="19">
        <f t="shared" ca="1" si="35"/>
        <v>3.1599999740719795</v>
      </c>
      <c r="AB119" s="20">
        <f t="shared" ca="1" si="35"/>
        <v>-0.15999996662139893</v>
      </c>
      <c r="AC119" s="20">
        <f t="shared" ca="1" si="35"/>
        <v>-1.8199999630451202</v>
      </c>
      <c r="AD119" s="16"/>
      <c r="AE119" s="30" t="s">
        <v>52</v>
      </c>
      <c r="AF119" s="31">
        <v>194223271.17000005</v>
      </c>
      <c r="AG119" s="31">
        <v>0</v>
      </c>
      <c r="AH119" s="31">
        <v>192849715.53999999</v>
      </c>
      <c r="AI119" s="31">
        <v>142973837</v>
      </c>
      <c r="AJ119" s="31">
        <v>49653994</v>
      </c>
      <c r="AK119" s="31">
        <v>221984</v>
      </c>
      <c r="AL119" s="31">
        <v>1373555.6300000548</v>
      </c>
      <c r="AM119" s="31">
        <v>38553337.700000033</v>
      </c>
      <c r="AN119" s="32">
        <v>104420499.30000003</v>
      </c>
      <c r="AO119" s="32">
        <v>1373555.6300000548</v>
      </c>
    </row>
    <row r="120" spans="1:41" x14ac:dyDescent="0.25">
      <c r="A120" s="3">
        <f ca="1">A119</f>
        <v>46022</v>
      </c>
      <c r="B120" s="13" t="s">
        <v>53</v>
      </c>
      <c r="C120" s="14">
        <f t="shared" ref="C120:L120" ca="1" si="37">SUM(C121:C125)</f>
        <v>710581363.31999981</v>
      </c>
      <c r="D120" s="14">
        <f t="shared" ca="1" si="37"/>
        <v>2000</v>
      </c>
      <c r="E120" s="14">
        <f t="shared" ca="1" si="37"/>
        <v>688730387.17999995</v>
      </c>
      <c r="F120" s="14">
        <f t="shared" ca="1" si="37"/>
        <v>611554629</v>
      </c>
      <c r="G120" s="14">
        <f t="shared" ca="1" si="37"/>
        <v>76152480</v>
      </c>
      <c r="H120" s="14">
        <f t="shared" ca="1" si="37"/>
        <v>1023694</v>
      </c>
      <c r="I120" s="14">
        <f t="shared" ca="1" si="37"/>
        <v>22059466.360000145</v>
      </c>
      <c r="J120" s="14">
        <f t="shared" ca="1" si="37"/>
        <v>124890728.09999999</v>
      </c>
      <c r="K120" s="15">
        <f t="shared" ca="1" si="37"/>
        <v>486663900.89999998</v>
      </c>
      <c r="L120" s="15">
        <f t="shared" ca="1" si="37"/>
        <v>21848976.139999997</v>
      </c>
      <c r="S120" s="18" t="s">
        <v>53</v>
      </c>
      <c r="T120" s="19">
        <f t="shared" ca="1" si="36"/>
        <v>4197733.2099999189</v>
      </c>
      <c r="U120" s="19">
        <f t="shared" ca="1" si="36"/>
        <v>0</v>
      </c>
      <c r="V120" s="19">
        <f t="shared" ca="1" si="36"/>
        <v>7125811.8099998236</v>
      </c>
      <c r="W120" s="19">
        <f t="shared" ca="1" si="36"/>
        <v>6972573</v>
      </c>
      <c r="X120" s="19">
        <f t="shared" ca="1" si="36"/>
        <v>113758</v>
      </c>
      <c r="Y120" s="19">
        <f t="shared" ca="1" si="35"/>
        <v>39453</v>
      </c>
      <c r="Z120" s="19">
        <f t="shared" ca="1" si="35"/>
        <v>-2926077.6399998777</v>
      </c>
      <c r="AA120" s="19">
        <f t="shared" ca="1" si="35"/>
        <v>634071.47999997437</v>
      </c>
      <c r="AB120" s="20">
        <f t="shared" ca="1" si="35"/>
        <v>6338501.5199999213</v>
      </c>
      <c r="AC120" s="20">
        <f t="shared" ca="1" si="35"/>
        <v>-2928078.5999998264</v>
      </c>
      <c r="AE120" s="13" t="s">
        <v>53</v>
      </c>
      <c r="AF120" s="14">
        <v>706383630.1099999</v>
      </c>
      <c r="AG120" s="14">
        <v>2000</v>
      </c>
      <c r="AH120" s="14">
        <v>681604575.37000012</v>
      </c>
      <c r="AI120" s="14">
        <v>604582056</v>
      </c>
      <c r="AJ120" s="14">
        <v>76038722</v>
      </c>
      <c r="AK120" s="14">
        <v>984241</v>
      </c>
      <c r="AL120" s="14">
        <v>24985544.000000022</v>
      </c>
      <c r="AM120" s="14">
        <v>124256656.62000002</v>
      </c>
      <c r="AN120" s="15">
        <v>480325399.38000005</v>
      </c>
      <c r="AO120" s="15">
        <v>24777054.739999823</v>
      </c>
    </row>
    <row r="121" spans="1:41" x14ac:dyDescent="0.25">
      <c r="A121" s="3">
        <f ca="1">EOMONTH(A119+1,0)</f>
        <v>46053</v>
      </c>
      <c r="B121" s="26" t="s">
        <v>54</v>
      </c>
      <c r="C121" s="27">
        <v>193756278.99999991</v>
      </c>
      <c r="D121" s="27">
        <v>0</v>
      </c>
      <c r="E121" s="27">
        <v>193966769.22000006</v>
      </c>
      <c r="F121" s="27">
        <v>163262025</v>
      </c>
      <c r="G121" s="27">
        <v>30462306</v>
      </c>
      <c r="H121" s="27">
        <v>242544</v>
      </c>
      <c r="I121" s="27">
        <f ca="1">IF(L121&lt;0,0,L121)</f>
        <v>0</v>
      </c>
      <c r="J121" s="19">
        <v>33015404.509999994</v>
      </c>
      <c r="K121" s="20">
        <v>130246620.48999998</v>
      </c>
      <c r="L121" s="20">
        <f t="shared" ca="1" si="27"/>
        <v>-210490.22000014782</v>
      </c>
      <c r="M121" s="16"/>
      <c r="S121" s="26" t="s">
        <v>54</v>
      </c>
      <c r="T121" s="27">
        <f t="shared" ca="1" si="36"/>
        <v>0</v>
      </c>
      <c r="U121" s="27">
        <f t="shared" ca="1" si="36"/>
        <v>0</v>
      </c>
      <c r="V121" s="27">
        <f t="shared" ca="1" si="36"/>
        <v>2000.95999994874</v>
      </c>
      <c r="W121" s="27">
        <f t="shared" ca="1" si="36"/>
        <v>-6</v>
      </c>
      <c r="X121" s="27">
        <f t="shared" ca="1" si="36"/>
        <v>-4</v>
      </c>
      <c r="Y121" s="27">
        <f t="shared" ca="1" si="35"/>
        <v>2000</v>
      </c>
      <c r="Z121" s="27">
        <f t="shared" ca="1" si="35"/>
        <v>0</v>
      </c>
      <c r="AA121" s="19">
        <f t="shared" ca="1" si="35"/>
        <v>-1.2299999929964542</v>
      </c>
      <c r="AB121" s="20">
        <f t="shared" ca="1" si="35"/>
        <v>-4.7699999958276749</v>
      </c>
      <c r="AC121" s="20">
        <f t="shared" ca="1" si="35"/>
        <v>-2000.95999994874</v>
      </c>
      <c r="AD121" s="16"/>
      <c r="AE121" s="26" t="s">
        <v>54</v>
      </c>
      <c r="AF121" s="27">
        <v>193756278.99999991</v>
      </c>
      <c r="AG121" s="27">
        <v>0</v>
      </c>
      <c r="AH121" s="27">
        <v>193964768.26000011</v>
      </c>
      <c r="AI121" s="27">
        <v>163262031</v>
      </c>
      <c r="AJ121" s="27">
        <v>30462310</v>
      </c>
      <c r="AK121" s="27">
        <v>240544</v>
      </c>
      <c r="AL121" s="27">
        <v>0</v>
      </c>
      <c r="AM121" s="19">
        <v>33015405.739999987</v>
      </c>
      <c r="AN121" s="20">
        <v>130246625.25999998</v>
      </c>
      <c r="AO121" s="20">
        <v>-208489.26000019908</v>
      </c>
    </row>
    <row r="122" spans="1:41" x14ac:dyDescent="0.25">
      <c r="A122" s="3">
        <f ca="1">EOMONTH(A121+1,0)</f>
        <v>46081</v>
      </c>
      <c r="B122" s="30" t="s">
        <v>55</v>
      </c>
      <c r="C122" s="31">
        <v>195507751</v>
      </c>
      <c r="D122" s="31">
        <v>0</v>
      </c>
      <c r="E122" s="31">
        <v>194691404.15999991</v>
      </c>
      <c r="F122" s="31">
        <v>165339643</v>
      </c>
      <c r="G122" s="31">
        <v>29110679</v>
      </c>
      <c r="H122" s="31">
        <v>241188</v>
      </c>
      <c r="I122" s="31">
        <f ca="1">IF(L122&lt;0,0,L122)</f>
        <v>816346.84000009298</v>
      </c>
      <c r="J122" s="31">
        <v>39522665.519999973</v>
      </c>
      <c r="K122" s="32">
        <v>125816977.48000003</v>
      </c>
      <c r="L122" s="32">
        <f t="shared" ca="1" si="27"/>
        <v>816346.84000009298</v>
      </c>
      <c r="M122" s="16"/>
      <c r="S122" s="33" t="s">
        <v>55</v>
      </c>
      <c r="T122" s="19">
        <f t="shared" ca="1" si="36"/>
        <v>0</v>
      </c>
      <c r="U122" s="19">
        <f t="shared" ca="1" si="36"/>
        <v>0</v>
      </c>
      <c r="V122" s="19">
        <f t="shared" ca="1" si="36"/>
        <v>1.8199999332427979</v>
      </c>
      <c r="W122" s="19">
        <f t="shared" ca="1" si="36"/>
        <v>-2</v>
      </c>
      <c r="X122" s="19">
        <f t="shared" ca="1" si="36"/>
        <v>-2</v>
      </c>
      <c r="Y122" s="19">
        <f t="shared" ca="1" si="36"/>
        <v>0</v>
      </c>
      <c r="Z122" s="19">
        <f t="shared" ca="1" si="36"/>
        <v>-1.8199999332427979</v>
      </c>
      <c r="AA122" s="19">
        <f t="shared" ca="1" si="36"/>
        <v>3.8899999558925629</v>
      </c>
      <c r="AB122" s="20">
        <f t="shared" ca="1" si="36"/>
        <v>-5.8900000005960464</v>
      </c>
      <c r="AC122" s="20">
        <f t="shared" ca="1" si="36"/>
        <v>-1.8199999332427979</v>
      </c>
      <c r="AD122" s="16"/>
      <c r="AE122" s="30" t="s">
        <v>55</v>
      </c>
      <c r="AF122" s="31">
        <v>195507751</v>
      </c>
      <c r="AG122" s="31">
        <v>0</v>
      </c>
      <c r="AH122" s="31">
        <v>194691402.33999997</v>
      </c>
      <c r="AI122" s="31">
        <v>165339645</v>
      </c>
      <c r="AJ122" s="31">
        <v>29110681</v>
      </c>
      <c r="AK122" s="31">
        <v>241188</v>
      </c>
      <c r="AL122" s="31">
        <v>816348.66000002623</v>
      </c>
      <c r="AM122" s="31">
        <v>39522661.630000018</v>
      </c>
      <c r="AN122" s="32">
        <v>125816983.37000003</v>
      </c>
      <c r="AO122" s="32">
        <v>816348.66000002623</v>
      </c>
    </row>
    <row r="123" spans="1:41" x14ac:dyDescent="0.25">
      <c r="A123" s="3">
        <f ca="1">EOMONTH(A122+1,0)</f>
        <v>46112</v>
      </c>
      <c r="B123" s="26" t="s">
        <v>56</v>
      </c>
      <c r="C123" s="27">
        <v>135008920.91</v>
      </c>
      <c r="D123" s="27">
        <v>0</v>
      </c>
      <c r="E123" s="27">
        <v>133502736.01000005</v>
      </c>
      <c r="F123" s="27">
        <v>122731005</v>
      </c>
      <c r="G123" s="27">
        <v>10551429</v>
      </c>
      <c r="H123" s="27">
        <v>220397</v>
      </c>
      <c r="I123" s="27">
        <f ca="1">IF(L123&lt;0,0,L123)</f>
        <v>1506184.8999999464</v>
      </c>
      <c r="J123" s="19">
        <v>19025797.100000024</v>
      </c>
      <c r="K123" s="20">
        <v>103705207.89999999</v>
      </c>
      <c r="L123" s="20">
        <f t="shared" ca="1" si="27"/>
        <v>1506184.8999999464</v>
      </c>
      <c r="M123" s="16"/>
      <c r="S123" s="26" t="s">
        <v>56</v>
      </c>
      <c r="T123" s="27">
        <f t="shared" ca="1" si="36"/>
        <v>0</v>
      </c>
      <c r="U123" s="27">
        <f t="shared" ca="1" si="36"/>
        <v>0</v>
      </c>
      <c r="V123" s="27">
        <f t="shared" ca="1" si="36"/>
        <v>1.0700000077486038</v>
      </c>
      <c r="W123" s="27">
        <f t="shared" ca="1" si="36"/>
        <v>0</v>
      </c>
      <c r="X123" s="27">
        <f t="shared" ca="1" si="36"/>
        <v>-4</v>
      </c>
      <c r="Y123" s="27">
        <f t="shared" ca="1" si="36"/>
        <v>0</v>
      </c>
      <c r="Z123" s="27">
        <f t="shared" ca="1" si="36"/>
        <v>-1.0700000077486038</v>
      </c>
      <c r="AA123" s="19">
        <f t="shared" ca="1" si="36"/>
        <v>4.5600000210106373</v>
      </c>
      <c r="AB123" s="20">
        <f t="shared" ca="1" si="36"/>
        <v>-4.5600000321865082</v>
      </c>
      <c r="AC123" s="20">
        <f t="shared" ca="1" si="36"/>
        <v>-1.0700000077486038</v>
      </c>
      <c r="AD123" s="16"/>
      <c r="AE123" s="26" t="s">
        <v>56</v>
      </c>
      <c r="AF123" s="27">
        <v>135008920.91</v>
      </c>
      <c r="AG123" s="27">
        <v>0</v>
      </c>
      <c r="AH123" s="27">
        <v>133502734.94000004</v>
      </c>
      <c r="AI123" s="27">
        <v>122731005</v>
      </c>
      <c r="AJ123" s="27">
        <v>10551433</v>
      </c>
      <c r="AK123" s="27">
        <v>220397</v>
      </c>
      <c r="AL123" s="27">
        <v>1506185.9699999541</v>
      </c>
      <c r="AM123" s="19">
        <v>19025792.540000003</v>
      </c>
      <c r="AN123" s="20">
        <v>103705212.46000002</v>
      </c>
      <c r="AO123" s="20">
        <v>1506185.9699999541</v>
      </c>
    </row>
    <row r="124" spans="1:41" x14ac:dyDescent="0.25">
      <c r="A124" s="3">
        <f ca="1">EOMONTH(A123+1,0)</f>
        <v>46142</v>
      </c>
      <c r="B124" s="30" t="s">
        <v>57</v>
      </c>
      <c r="C124" s="31">
        <v>157439744.75</v>
      </c>
      <c r="D124" s="31">
        <v>0</v>
      </c>
      <c r="E124" s="31">
        <v>147231930.01999989</v>
      </c>
      <c r="F124" s="31">
        <v>141295620</v>
      </c>
      <c r="G124" s="31">
        <v>5661364</v>
      </c>
      <c r="H124" s="31">
        <v>275042</v>
      </c>
      <c r="I124" s="31">
        <f ca="1">IF(L124&lt;0,0,L124)</f>
        <v>10207814.730000108</v>
      </c>
      <c r="J124" s="31">
        <v>31506930.660000004</v>
      </c>
      <c r="K124" s="32">
        <v>109788689.33999997</v>
      </c>
      <c r="L124" s="32">
        <f ca="1">C124-E124-D124</f>
        <v>10207814.730000108</v>
      </c>
      <c r="M124" s="16"/>
      <c r="S124" s="26" t="s">
        <v>57</v>
      </c>
      <c r="T124" s="27">
        <f t="shared" ca="1" si="36"/>
        <v>0</v>
      </c>
      <c r="U124" s="27">
        <f t="shared" ca="1" si="36"/>
        <v>0</v>
      </c>
      <c r="V124" s="27">
        <f t="shared" ca="1" si="36"/>
        <v>898318.65999993682</v>
      </c>
      <c r="W124" s="27">
        <f t="shared" ca="1" si="36"/>
        <v>864412</v>
      </c>
      <c r="X124" s="27">
        <f t="shared" ca="1" si="36"/>
        <v>9998</v>
      </c>
      <c r="Y124" s="27">
        <f t="shared" ca="1" si="36"/>
        <v>23900</v>
      </c>
      <c r="Z124" s="27">
        <f t="shared" ca="1" si="36"/>
        <v>-898318.65999993682</v>
      </c>
      <c r="AA124" s="19">
        <f t="shared" ca="1" si="36"/>
        <v>2226.4600000008941</v>
      </c>
      <c r="AB124" s="20">
        <f t="shared" ca="1" si="36"/>
        <v>862185.53999997675</v>
      </c>
      <c r="AC124" s="20">
        <f t="shared" ca="1" si="36"/>
        <v>-898318.65999993682</v>
      </c>
      <c r="AD124" s="16"/>
      <c r="AE124" s="30" t="s">
        <v>57</v>
      </c>
      <c r="AF124" s="31">
        <v>157439744.75</v>
      </c>
      <c r="AG124" s="31">
        <v>0</v>
      </c>
      <c r="AH124" s="31">
        <v>146333611.35999995</v>
      </c>
      <c r="AI124" s="31">
        <v>140431208</v>
      </c>
      <c r="AJ124" s="31">
        <v>5651366</v>
      </c>
      <c r="AK124" s="31">
        <v>251142</v>
      </c>
      <c r="AL124" s="31">
        <v>11106133.390000045</v>
      </c>
      <c r="AM124" s="31">
        <v>31504704.200000003</v>
      </c>
      <c r="AN124" s="32">
        <v>108926503.8</v>
      </c>
      <c r="AO124" s="32">
        <v>11106133.390000045</v>
      </c>
    </row>
    <row r="125" spans="1:41" ht="15.75" thickBot="1" x14ac:dyDescent="0.3">
      <c r="A125" s="3">
        <f ca="1">EOMONTH(A124+1,0)</f>
        <v>46173</v>
      </c>
      <c r="B125" s="26" t="s">
        <v>58</v>
      </c>
      <c r="C125" s="27">
        <f ca="1">O9</f>
        <v>28868667.659999996</v>
      </c>
      <c r="D125" s="27">
        <v>2000</v>
      </c>
      <c r="E125" s="27">
        <v>19337547.77</v>
      </c>
      <c r="F125" s="27">
        <v>18926336</v>
      </c>
      <c r="G125" s="27">
        <v>366702</v>
      </c>
      <c r="H125" s="27">
        <v>44523</v>
      </c>
      <c r="I125" s="27">
        <f ca="1">IF(L125&lt;0,0,L125)</f>
        <v>9529119.8899999969</v>
      </c>
      <c r="J125" s="19">
        <v>1819930.3100000003</v>
      </c>
      <c r="K125" s="20">
        <v>17106405.690000005</v>
      </c>
      <c r="L125" s="20">
        <f ca="1">C125-E125-D125</f>
        <v>9529119.8899999969</v>
      </c>
      <c r="M125" s="16"/>
      <c r="S125" s="26" t="s">
        <v>58</v>
      </c>
      <c r="T125" s="27">
        <f t="shared" ca="1" si="36"/>
        <v>4197733.2099999972</v>
      </c>
      <c r="U125" s="27">
        <f t="shared" ca="1" si="36"/>
        <v>0</v>
      </c>
      <c r="V125" s="27">
        <f t="shared" ca="1" si="36"/>
        <v>6225489.2999999989</v>
      </c>
      <c r="W125" s="27">
        <f t="shared" ca="1" si="36"/>
        <v>6108169</v>
      </c>
      <c r="X125" s="27">
        <f t="shared" ca="1" si="36"/>
        <v>103770</v>
      </c>
      <c r="Y125" s="27">
        <f t="shared" ca="1" si="36"/>
        <v>13553</v>
      </c>
      <c r="Z125" s="27">
        <f t="shared" ca="1" si="36"/>
        <v>-2027756.0900000017</v>
      </c>
      <c r="AA125" s="19">
        <f t="shared" ca="1" si="36"/>
        <v>631837.80000000028</v>
      </c>
      <c r="AB125" s="20">
        <f t="shared" ca="1" si="36"/>
        <v>5476331.2000000048</v>
      </c>
      <c r="AC125" s="20">
        <f t="shared" ca="1" si="36"/>
        <v>-2027756.0900000017</v>
      </c>
      <c r="AD125" s="16"/>
      <c r="AE125" s="26" t="s">
        <v>58</v>
      </c>
      <c r="AF125" s="27">
        <v>24670934.449999999</v>
      </c>
      <c r="AG125" s="27">
        <v>2000</v>
      </c>
      <c r="AH125" s="27">
        <v>13112058.470000001</v>
      </c>
      <c r="AI125" s="27">
        <v>12818167</v>
      </c>
      <c r="AJ125" s="27">
        <v>262932</v>
      </c>
      <c r="AK125" s="27">
        <v>30970</v>
      </c>
      <c r="AL125" s="27">
        <v>11556875.979999999</v>
      </c>
      <c r="AM125" s="19">
        <v>1188092.51</v>
      </c>
      <c r="AN125" s="20">
        <v>11630074.49</v>
      </c>
      <c r="AO125" s="20">
        <v>11556875.979999999</v>
      </c>
    </row>
    <row r="126" spans="1:41" ht="15.75" thickBot="1" x14ac:dyDescent="0.3">
      <c r="B126" s="36" t="s">
        <v>59</v>
      </c>
      <c r="C126" s="37">
        <f t="shared" ref="C126:K126" ca="1" si="38">SUM(C90:C94)+C107+C120</f>
        <v>3901326887.8073597</v>
      </c>
      <c r="D126" s="37">
        <f t="shared" ca="1" si="38"/>
        <v>31823</v>
      </c>
      <c r="E126" s="37">
        <f t="shared" ca="1" si="38"/>
        <v>3881450413.730001</v>
      </c>
      <c r="F126" s="37">
        <f t="shared" ca="1" si="38"/>
        <v>2303858523</v>
      </c>
      <c r="G126" s="37">
        <f t="shared" ca="1" si="38"/>
        <v>1572805069</v>
      </c>
      <c r="H126" s="37">
        <f t="shared" ca="1" si="38"/>
        <v>4787888</v>
      </c>
      <c r="I126" s="37">
        <f t="shared" ca="1" si="38"/>
        <v>30686296.797160212</v>
      </c>
      <c r="J126" s="37">
        <f t="shared" ca="1" si="38"/>
        <v>529879811.51999998</v>
      </c>
      <c r="K126" s="37">
        <f t="shared" ca="1" si="38"/>
        <v>1773978711.48</v>
      </c>
      <c r="L126" s="38">
        <f t="shared" ca="1" si="27"/>
        <v>19844651.077358723</v>
      </c>
      <c r="S126" s="39" t="s">
        <v>59</v>
      </c>
      <c r="T126" s="40">
        <f t="shared" ca="1" si="36"/>
        <v>4197733.2100000381</v>
      </c>
      <c r="U126" s="40">
        <f t="shared" ca="1" si="36"/>
        <v>0</v>
      </c>
      <c r="V126" s="40">
        <f t="shared" ca="1" si="36"/>
        <v>7295282.0799994469</v>
      </c>
      <c r="W126" s="40">
        <f t="shared" ca="1" si="36"/>
        <v>7139944</v>
      </c>
      <c r="X126" s="40">
        <f t="shared" ca="1" si="36"/>
        <v>113749</v>
      </c>
      <c r="Y126" s="40">
        <f t="shared" ca="1" si="35"/>
        <v>41453</v>
      </c>
      <c r="Z126" s="40">
        <f t="shared" ca="1" si="35"/>
        <v>-3094535.9299995415</v>
      </c>
      <c r="AA126" s="40">
        <f t="shared" ca="1" si="35"/>
        <v>634065.69999992847</v>
      </c>
      <c r="AB126" s="40">
        <f t="shared" ca="1" si="35"/>
        <v>6505878.3000001907</v>
      </c>
      <c r="AC126" s="41">
        <f t="shared" ca="1" si="35"/>
        <v>-3097548.8699994087</v>
      </c>
      <c r="AE126" s="36" t="s">
        <v>59</v>
      </c>
      <c r="AF126" s="37">
        <v>3897129154.5973597</v>
      </c>
      <c r="AG126" s="37">
        <v>31823</v>
      </c>
      <c r="AH126" s="37">
        <v>3874155131.6500015</v>
      </c>
      <c r="AI126" s="37">
        <v>2296718579</v>
      </c>
      <c r="AJ126" s="37">
        <v>1572691320</v>
      </c>
      <c r="AK126" s="37">
        <v>4746435</v>
      </c>
      <c r="AL126" s="37">
        <v>33780832.727159753</v>
      </c>
      <c r="AM126" s="37">
        <v>529245745.82000005</v>
      </c>
      <c r="AN126" s="37">
        <v>1767472833.1799998</v>
      </c>
      <c r="AO126" s="38">
        <v>22942199.947358131</v>
      </c>
    </row>
    <row r="127" spans="1:41" x14ac:dyDescent="0.25">
      <c r="E127" s="16"/>
      <c r="V127" s="16"/>
      <c r="AH127" s="16"/>
    </row>
    <row r="128" spans="1:41" x14ac:dyDescent="0.25">
      <c r="I128" s="45"/>
    </row>
    <row r="129" spans="1:41" ht="21.75" thickBot="1" x14ac:dyDescent="0.4">
      <c r="B129" s="5" t="str">
        <f ca="1">_xlfn.CONCAT("Down Town Summary as on-",TEXT(N2,"DD/MM/YYYY"))</f>
        <v>Down Town Summary as on-06/05/2026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48"/>
      <c r="S129" s="5" t="str">
        <f ca="1">B129</f>
        <v>Down Town Summary as on-06/05/2026</v>
      </c>
      <c r="T129" s="6"/>
      <c r="U129" s="6"/>
      <c r="V129" s="6"/>
      <c r="W129" s="6"/>
      <c r="X129" s="6"/>
      <c r="Y129" s="6"/>
      <c r="Z129" s="6"/>
      <c r="AA129" s="6"/>
      <c r="AB129" s="6"/>
      <c r="AC129" s="6"/>
      <c r="AE129" s="5" t="str">
        <f ca="1">CONCATENATE("Down Town Summary as on-",TEXT(TODAY()-3,"dd/mm/yyyy"))</f>
        <v>Down Town Summary as on-05/05/2026</v>
      </c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 ht="40.15" customHeight="1" x14ac:dyDescent="0.25">
      <c r="B130" s="7" t="s">
        <v>6</v>
      </c>
      <c r="C130" s="8" t="s">
        <v>7</v>
      </c>
      <c r="D130" s="8" t="s">
        <v>8</v>
      </c>
      <c r="E130" s="8" t="s">
        <v>9</v>
      </c>
      <c r="F130" s="9" t="s">
        <v>10</v>
      </c>
      <c r="G130" s="8" t="s">
        <v>11</v>
      </c>
      <c r="H130" s="8" t="s">
        <v>12</v>
      </c>
      <c r="I130" s="8" t="s">
        <v>13</v>
      </c>
      <c r="J130" s="49" t="s">
        <v>64</v>
      </c>
      <c r="K130" s="50" t="s">
        <v>65</v>
      </c>
      <c r="L130" s="12" t="s">
        <v>16</v>
      </c>
      <c r="S130" s="7" t="s">
        <v>6</v>
      </c>
      <c r="T130" s="8" t="s">
        <v>7</v>
      </c>
      <c r="U130" s="8" t="s">
        <v>8</v>
      </c>
      <c r="V130" s="8" t="s">
        <v>9</v>
      </c>
      <c r="W130" s="9" t="s">
        <v>10</v>
      </c>
      <c r="X130" s="8" t="s">
        <v>11</v>
      </c>
      <c r="Y130" s="8" t="s">
        <v>12</v>
      </c>
      <c r="Z130" s="8" t="s">
        <v>13</v>
      </c>
      <c r="AA130" s="49" t="s">
        <v>64</v>
      </c>
      <c r="AB130" s="50" t="s">
        <v>65</v>
      </c>
      <c r="AC130" s="12" t="s">
        <v>16</v>
      </c>
      <c r="AE130" s="7" t="s">
        <v>6</v>
      </c>
      <c r="AF130" s="8" t="s">
        <v>7</v>
      </c>
      <c r="AG130" s="8" t="s">
        <v>8</v>
      </c>
      <c r="AH130" s="8" t="s">
        <v>9</v>
      </c>
      <c r="AI130" s="9" t="s">
        <v>10</v>
      </c>
      <c r="AJ130" s="8" t="s">
        <v>11</v>
      </c>
      <c r="AK130" s="8" t="s">
        <v>12</v>
      </c>
      <c r="AL130" s="8" t="s">
        <v>13</v>
      </c>
      <c r="AM130" s="49" t="s">
        <v>64</v>
      </c>
      <c r="AN130" s="50" t="s">
        <v>65</v>
      </c>
      <c r="AO130" s="12" t="s">
        <v>16</v>
      </c>
    </row>
    <row r="131" spans="1:41" x14ac:dyDescent="0.25">
      <c r="A131" s="3">
        <v>44196</v>
      </c>
      <c r="B131" s="13" t="s">
        <v>17</v>
      </c>
      <c r="C131" s="14"/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f ca="1">C131-E131-D131</f>
        <v>0</v>
      </c>
      <c r="J131" s="14">
        <v>0</v>
      </c>
      <c r="K131" s="15">
        <v>0</v>
      </c>
      <c r="L131" s="15">
        <f t="shared" ref="L131:L167" ca="1" si="39">C131-E131-D131</f>
        <v>0</v>
      </c>
      <c r="N131" t="s">
        <v>66</v>
      </c>
      <c r="S131" s="18" t="s">
        <v>17</v>
      </c>
      <c r="T131" s="19">
        <f t="shared" ref="T131:AC167" ca="1" si="40">C131-AF131</f>
        <v>0</v>
      </c>
      <c r="U131" s="19">
        <f t="shared" ca="1" si="40"/>
        <v>0</v>
      </c>
      <c r="V131" s="19">
        <f t="shared" ca="1" si="40"/>
        <v>0</v>
      </c>
      <c r="W131" s="19">
        <f t="shared" ca="1" si="40"/>
        <v>0</v>
      </c>
      <c r="X131" s="19">
        <f t="shared" ca="1" si="40"/>
        <v>0</v>
      </c>
      <c r="Y131" s="19">
        <f t="shared" ca="1" si="40"/>
        <v>0</v>
      </c>
      <c r="Z131" s="19">
        <f t="shared" ca="1" si="40"/>
        <v>0</v>
      </c>
      <c r="AA131" s="19">
        <f t="shared" ca="1" si="40"/>
        <v>0</v>
      </c>
      <c r="AB131" s="20">
        <f t="shared" ca="1" si="40"/>
        <v>0</v>
      </c>
      <c r="AC131" s="20">
        <f t="shared" ca="1" si="40"/>
        <v>0</v>
      </c>
      <c r="AE131" s="13" t="s">
        <v>17</v>
      </c>
      <c r="AF131" s="14"/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5">
        <v>0</v>
      </c>
      <c r="AO131" s="15">
        <v>0</v>
      </c>
    </row>
    <row r="132" spans="1:41" x14ac:dyDescent="0.25">
      <c r="A132" s="3">
        <v>44561</v>
      </c>
      <c r="B132" s="13" t="s">
        <v>18</v>
      </c>
      <c r="C132" s="14"/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f ca="1">C132-E132-D132</f>
        <v>0</v>
      </c>
      <c r="J132" s="14">
        <v>0</v>
      </c>
      <c r="K132" s="15">
        <v>0</v>
      </c>
      <c r="L132" s="15">
        <f t="shared" ca="1" si="39"/>
        <v>0</v>
      </c>
      <c r="S132" s="18" t="s">
        <v>18</v>
      </c>
      <c r="T132" s="19">
        <f t="shared" ca="1" si="40"/>
        <v>0</v>
      </c>
      <c r="U132" s="19">
        <f t="shared" ca="1" si="40"/>
        <v>0</v>
      </c>
      <c r="V132" s="19">
        <f t="shared" ca="1" si="40"/>
        <v>0</v>
      </c>
      <c r="W132" s="19">
        <f t="shared" ca="1" si="40"/>
        <v>0</v>
      </c>
      <c r="X132" s="19">
        <f t="shared" ca="1" si="40"/>
        <v>0</v>
      </c>
      <c r="Y132" s="19">
        <f t="shared" ca="1" si="40"/>
        <v>0</v>
      </c>
      <c r="Z132" s="19">
        <f t="shared" ca="1" si="40"/>
        <v>0</v>
      </c>
      <c r="AA132" s="19">
        <f t="shared" ca="1" si="40"/>
        <v>0</v>
      </c>
      <c r="AB132" s="20">
        <f t="shared" ca="1" si="40"/>
        <v>0</v>
      </c>
      <c r="AC132" s="20">
        <f t="shared" ca="1" si="40"/>
        <v>0</v>
      </c>
      <c r="AE132" s="13" t="s">
        <v>18</v>
      </c>
      <c r="AF132" s="14"/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5">
        <v>0</v>
      </c>
      <c r="AO132" s="15">
        <v>0</v>
      </c>
    </row>
    <row r="133" spans="1:41" x14ac:dyDescent="0.25">
      <c r="A133" s="3">
        <f ca="1">EOMONTH(A132,12)</f>
        <v>44926</v>
      </c>
      <c r="B133" s="13" t="s">
        <v>20</v>
      </c>
      <c r="C133" s="14"/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f ca="1">C133-E133-D133</f>
        <v>0</v>
      </c>
      <c r="J133" s="14">
        <v>0</v>
      </c>
      <c r="K133" s="15">
        <v>0</v>
      </c>
      <c r="L133" s="15">
        <f t="shared" ca="1" si="39"/>
        <v>0</v>
      </c>
      <c r="S133" s="18" t="s">
        <v>20</v>
      </c>
      <c r="T133" s="19">
        <f t="shared" ca="1" si="40"/>
        <v>0</v>
      </c>
      <c r="U133" s="19">
        <f t="shared" ca="1" si="40"/>
        <v>0</v>
      </c>
      <c r="V133" s="19">
        <f t="shared" ca="1" si="40"/>
        <v>0</v>
      </c>
      <c r="W133" s="19">
        <f t="shared" ca="1" si="40"/>
        <v>0</v>
      </c>
      <c r="X133" s="19">
        <f t="shared" ca="1" si="40"/>
        <v>0</v>
      </c>
      <c r="Y133" s="19">
        <f t="shared" ca="1" si="40"/>
        <v>0</v>
      </c>
      <c r="Z133" s="19">
        <f t="shared" ca="1" si="40"/>
        <v>0</v>
      </c>
      <c r="AA133" s="19">
        <f t="shared" ca="1" si="40"/>
        <v>0</v>
      </c>
      <c r="AB133" s="20">
        <f t="shared" ca="1" si="40"/>
        <v>0</v>
      </c>
      <c r="AC133" s="20">
        <f t="shared" ca="1" si="40"/>
        <v>0</v>
      </c>
      <c r="AE133" s="13" t="s">
        <v>20</v>
      </c>
      <c r="AF133" s="14"/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5">
        <v>0</v>
      </c>
      <c r="AO133" s="15">
        <v>0</v>
      </c>
    </row>
    <row r="134" spans="1:41" x14ac:dyDescent="0.25">
      <c r="A134" s="3">
        <f ca="1">EOMONTH(A133,12)</f>
        <v>45291</v>
      </c>
      <c r="B134" s="13" t="s">
        <v>22</v>
      </c>
      <c r="C134" s="14"/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f ca="1">C134-E134-D134</f>
        <v>0</v>
      </c>
      <c r="J134" s="14">
        <v>0</v>
      </c>
      <c r="K134" s="15">
        <v>0</v>
      </c>
      <c r="L134" s="15">
        <f t="shared" ca="1" si="39"/>
        <v>0</v>
      </c>
      <c r="S134" s="18" t="s">
        <v>22</v>
      </c>
      <c r="T134" s="19">
        <f t="shared" ca="1" si="40"/>
        <v>0</v>
      </c>
      <c r="U134" s="19">
        <f t="shared" ca="1" si="40"/>
        <v>0</v>
      </c>
      <c r="V134" s="19">
        <f t="shared" ca="1" si="40"/>
        <v>0</v>
      </c>
      <c r="W134" s="19">
        <f t="shared" ca="1" si="40"/>
        <v>0</v>
      </c>
      <c r="X134" s="19">
        <f t="shared" ca="1" si="40"/>
        <v>0</v>
      </c>
      <c r="Y134" s="19">
        <f t="shared" ca="1" si="40"/>
        <v>0</v>
      </c>
      <c r="Z134" s="19">
        <f t="shared" ca="1" si="40"/>
        <v>0</v>
      </c>
      <c r="AA134" s="19">
        <f t="shared" ca="1" si="40"/>
        <v>0</v>
      </c>
      <c r="AB134" s="20">
        <f t="shared" ca="1" si="40"/>
        <v>0</v>
      </c>
      <c r="AC134" s="20">
        <f t="shared" ca="1" si="40"/>
        <v>0</v>
      </c>
      <c r="AE134" s="13" t="s">
        <v>22</v>
      </c>
      <c r="AF134" s="14"/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5">
        <v>0</v>
      </c>
      <c r="AO134" s="15">
        <v>0</v>
      </c>
    </row>
    <row r="135" spans="1:41" x14ac:dyDescent="0.25">
      <c r="A135" s="3">
        <v>45291</v>
      </c>
      <c r="B135" s="13" t="s">
        <v>24</v>
      </c>
      <c r="C135" s="14">
        <f t="shared" ref="C135:H135" ca="1" si="41">SUM(C136:C147)</f>
        <v>0</v>
      </c>
      <c r="D135" s="14">
        <f t="shared" ca="1" si="41"/>
        <v>0</v>
      </c>
      <c r="E135" s="14">
        <f t="shared" ca="1" si="41"/>
        <v>0</v>
      </c>
      <c r="F135" s="14">
        <f t="shared" ca="1" si="41"/>
        <v>0</v>
      </c>
      <c r="G135" s="14">
        <f t="shared" ca="1" si="41"/>
        <v>0</v>
      </c>
      <c r="H135" s="14">
        <f t="shared" ca="1" si="41"/>
        <v>0</v>
      </c>
      <c r="I135" s="14">
        <f ca="1">SUM(I136:I147)</f>
        <v>0</v>
      </c>
      <c r="J135" s="14">
        <f ca="1">SUM(J136:J147)</f>
        <v>0</v>
      </c>
      <c r="K135" s="15">
        <f ca="1">SUM(K136:K147)</f>
        <v>0</v>
      </c>
      <c r="L135" s="15">
        <f t="shared" ca="1" si="39"/>
        <v>0</v>
      </c>
      <c r="S135" s="18" t="s">
        <v>24</v>
      </c>
      <c r="T135" s="19">
        <f t="shared" ca="1" si="40"/>
        <v>0</v>
      </c>
      <c r="U135" s="19">
        <f t="shared" ca="1" si="40"/>
        <v>0</v>
      </c>
      <c r="V135" s="19">
        <f t="shared" ca="1" si="40"/>
        <v>0</v>
      </c>
      <c r="W135" s="19">
        <f t="shared" ca="1" si="40"/>
        <v>0</v>
      </c>
      <c r="X135" s="19">
        <f t="shared" ca="1" si="40"/>
        <v>0</v>
      </c>
      <c r="Y135" s="19">
        <f t="shared" ca="1" si="40"/>
        <v>0</v>
      </c>
      <c r="Z135" s="19">
        <f t="shared" ca="1" si="40"/>
        <v>0</v>
      </c>
      <c r="AA135" s="19">
        <f t="shared" ca="1" si="40"/>
        <v>0</v>
      </c>
      <c r="AB135" s="20">
        <f t="shared" ca="1" si="40"/>
        <v>0</v>
      </c>
      <c r="AC135" s="20">
        <f t="shared" ca="1" si="40"/>
        <v>0</v>
      </c>
      <c r="AE135" s="13" t="s">
        <v>24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5">
        <v>0</v>
      </c>
      <c r="AO135" s="15">
        <v>0</v>
      </c>
    </row>
    <row r="136" spans="1:41" x14ac:dyDescent="0.25">
      <c r="A136" s="3">
        <v>45322</v>
      </c>
      <c r="B136" s="26" t="s">
        <v>26</v>
      </c>
      <c r="C136" s="27"/>
      <c r="D136" s="27"/>
      <c r="E136" s="27"/>
      <c r="F136" s="27"/>
      <c r="G136" s="27"/>
      <c r="H136" s="27"/>
      <c r="I136" s="27"/>
      <c r="J136" s="27"/>
      <c r="K136" s="28"/>
      <c r="L136" s="28">
        <f t="shared" ca="1" si="39"/>
        <v>0</v>
      </c>
      <c r="S136" s="26" t="s">
        <v>26</v>
      </c>
      <c r="T136" s="27">
        <f t="shared" ca="1" si="40"/>
        <v>0</v>
      </c>
      <c r="U136" s="27">
        <f t="shared" ca="1" si="40"/>
        <v>0</v>
      </c>
      <c r="V136" s="27">
        <f t="shared" ca="1" si="40"/>
        <v>0</v>
      </c>
      <c r="W136" s="27">
        <f t="shared" ca="1" si="40"/>
        <v>0</v>
      </c>
      <c r="X136" s="27">
        <f t="shared" ca="1" si="40"/>
        <v>0</v>
      </c>
      <c r="Y136" s="27">
        <f t="shared" ca="1" si="40"/>
        <v>0</v>
      </c>
      <c r="Z136" s="27">
        <f t="shared" ca="1" si="40"/>
        <v>0</v>
      </c>
      <c r="AA136" s="27">
        <f t="shared" ca="1" si="40"/>
        <v>0</v>
      </c>
      <c r="AB136" s="28">
        <f t="shared" ca="1" si="40"/>
        <v>0</v>
      </c>
      <c r="AC136" s="28">
        <f t="shared" ca="1" si="40"/>
        <v>0</v>
      </c>
      <c r="AE136" s="26" t="s">
        <v>26</v>
      </c>
      <c r="AF136" s="27"/>
      <c r="AG136" s="27"/>
      <c r="AH136" s="27"/>
      <c r="AI136" s="27"/>
      <c r="AJ136" s="27"/>
      <c r="AK136" s="27"/>
      <c r="AL136" s="27"/>
      <c r="AM136" s="27"/>
      <c r="AN136" s="28"/>
      <c r="AO136" s="28">
        <v>0</v>
      </c>
    </row>
    <row r="137" spans="1:41" x14ac:dyDescent="0.25">
      <c r="A137" s="3">
        <f ca="1">EOMONTH(A136+1,0)</f>
        <v>45351</v>
      </c>
      <c r="B137" s="30" t="s">
        <v>28</v>
      </c>
      <c r="C137" s="31"/>
      <c r="D137" s="31"/>
      <c r="E137" s="31"/>
      <c r="F137" s="31"/>
      <c r="G137" s="31"/>
      <c r="H137" s="31"/>
      <c r="I137" s="31"/>
      <c r="J137" s="31"/>
      <c r="K137" s="32"/>
      <c r="L137" s="32">
        <f t="shared" ca="1" si="39"/>
        <v>0</v>
      </c>
      <c r="S137" s="33" t="s">
        <v>28</v>
      </c>
      <c r="T137" s="19">
        <f t="shared" ca="1" si="40"/>
        <v>0</v>
      </c>
      <c r="U137" s="19">
        <f t="shared" ca="1" si="40"/>
        <v>0</v>
      </c>
      <c r="V137" s="19">
        <f t="shared" ca="1" si="40"/>
        <v>0</v>
      </c>
      <c r="W137" s="19">
        <f t="shared" ca="1" si="40"/>
        <v>0</v>
      </c>
      <c r="X137" s="19">
        <f t="shared" ca="1" si="40"/>
        <v>0</v>
      </c>
      <c r="Y137" s="19">
        <f t="shared" ca="1" si="40"/>
        <v>0</v>
      </c>
      <c r="Z137" s="19">
        <f t="shared" ca="1" si="40"/>
        <v>0</v>
      </c>
      <c r="AA137" s="19">
        <f t="shared" ca="1" si="40"/>
        <v>0</v>
      </c>
      <c r="AB137" s="20">
        <f t="shared" ca="1" si="40"/>
        <v>0</v>
      </c>
      <c r="AC137" s="20">
        <f t="shared" ca="1" si="40"/>
        <v>0</v>
      </c>
      <c r="AE137" s="30" t="s">
        <v>28</v>
      </c>
      <c r="AF137" s="31"/>
      <c r="AG137" s="31"/>
      <c r="AH137" s="31"/>
      <c r="AI137" s="31"/>
      <c r="AJ137" s="31"/>
      <c r="AK137" s="31"/>
      <c r="AL137" s="31"/>
      <c r="AM137" s="31"/>
      <c r="AN137" s="32"/>
      <c r="AO137" s="32">
        <v>0</v>
      </c>
    </row>
    <row r="138" spans="1:41" x14ac:dyDescent="0.25">
      <c r="A138" s="3">
        <f t="shared" ref="A138:A147" ca="1" si="42">EOMONTH(A137+1,0)</f>
        <v>45382</v>
      </c>
      <c r="B138" s="26" t="s">
        <v>29</v>
      </c>
      <c r="C138" s="27"/>
      <c r="D138" s="27"/>
      <c r="E138" s="27"/>
      <c r="F138" s="27"/>
      <c r="G138" s="27"/>
      <c r="H138" s="27"/>
      <c r="I138" s="27"/>
      <c r="J138" s="19"/>
      <c r="K138" s="20"/>
      <c r="L138" s="20">
        <f t="shared" ca="1" si="39"/>
        <v>0</v>
      </c>
      <c r="S138" s="26" t="s">
        <v>29</v>
      </c>
      <c r="T138" s="27">
        <f t="shared" ca="1" si="40"/>
        <v>0</v>
      </c>
      <c r="U138" s="27">
        <f t="shared" ca="1" si="40"/>
        <v>0</v>
      </c>
      <c r="V138" s="27">
        <f t="shared" ca="1" si="40"/>
        <v>0</v>
      </c>
      <c r="W138" s="27">
        <f t="shared" ca="1" si="40"/>
        <v>0</v>
      </c>
      <c r="X138" s="27">
        <f t="shared" ca="1" si="40"/>
        <v>0</v>
      </c>
      <c r="Y138" s="27">
        <f t="shared" ca="1" si="40"/>
        <v>0</v>
      </c>
      <c r="Z138" s="27">
        <f t="shared" ca="1" si="40"/>
        <v>0</v>
      </c>
      <c r="AA138" s="19">
        <f t="shared" ca="1" si="40"/>
        <v>0</v>
      </c>
      <c r="AB138" s="20">
        <f t="shared" ca="1" si="40"/>
        <v>0</v>
      </c>
      <c r="AC138" s="20">
        <f t="shared" ca="1" si="40"/>
        <v>0</v>
      </c>
      <c r="AE138" s="26" t="s">
        <v>29</v>
      </c>
      <c r="AF138" s="27"/>
      <c r="AG138" s="27"/>
      <c r="AH138" s="27"/>
      <c r="AI138" s="27"/>
      <c r="AJ138" s="27"/>
      <c r="AK138" s="27"/>
      <c r="AL138" s="27"/>
      <c r="AM138" s="19"/>
      <c r="AN138" s="20"/>
      <c r="AO138" s="20">
        <v>0</v>
      </c>
    </row>
    <row r="139" spans="1:41" x14ac:dyDescent="0.25">
      <c r="A139" s="3">
        <f t="shared" ca="1" si="42"/>
        <v>45412</v>
      </c>
      <c r="B139" s="30" t="s">
        <v>30</v>
      </c>
      <c r="C139" s="31"/>
      <c r="D139" s="31"/>
      <c r="E139" s="31"/>
      <c r="F139" s="31"/>
      <c r="G139" s="31"/>
      <c r="H139" s="31"/>
      <c r="I139" s="31"/>
      <c r="J139" s="31"/>
      <c r="K139" s="32"/>
      <c r="L139" s="32">
        <f t="shared" ca="1" si="39"/>
        <v>0</v>
      </c>
      <c r="S139" s="33" t="s">
        <v>30</v>
      </c>
      <c r="T139" s="19">
        <f t="shared" ca="1" si="40"/>
        <v>0</v>
      </c>
      <c r="U139" s="19">
        <f t="shared" ca="1" si="40"/>
        <v>0</v>
      </c>
      <c r="V139" s="19">
        <f t="shared" ca="1" si="40"/>
        <v>0</v>
      </c>
      <c r="W139" s="19">
        <f t="shared" ca="1" si="40"/>
        <v>0</v>
      </c>
      <c r="X139" s="19">
        <f t="shared" ca="1" si="40"/>
        <v>0</v>
      </c>
      <c r="Y139" s="19">
        <f t="shared" ca="1" si="40"/>
        <v>0</v>
      </c>
      <c r="Z139" s="19">
        <f t="shared" ca="1" si="40"/>
        <v>0</v>
      </c>
      <c r="AA139" s="19">
        <f t="shared" ca="1" si="40"/>
        <v>0</v>
      </c>
      <c r="AB139" s="20">
        <f t="shared" ca="1" si="40"/>
        <v>0</v>
      </c>
      <c r="AC139" s="20">
        <f t="shared" ca="1" si="40"/>
        <v>0</v>
      </c>
      <c r="AE139" s="30" t="s">
        <v>30</v>
      </c>
      <c r="AF139" s="31"/>
      <c r="AG139" s="31"/>
      <c r="AH139" s="31"/>
      <c r="AI139" s="31"/>
      <c r="AJ139" s="31"/>
      <c r="AK139" s="31"/>
      <c r="AL139" s="31"/>
      <c r="AM139" s="31"/>
      <c r="AN139" s="32"/>
      <c r="AO139" s="32">
        <v>0</v>
      </c>
    </row>
    <row r="140" spans="1:41" x14ac:dyDescent="0.25">
      <c r="A140" s="3">
        <f t="shared" ca="1" si="42"/>
        <v>45443</v>
      </c>
      <c r="B140" s="26" t="s">
        <v>31</v>
      </c>
      <c r="C140" s="27"/>
      <c r="D140" s="27"/>
      <c r="E140" s="27"/>
      <c r="F140" s="27"/>
      <c r="G140" s="27"/>
      <c r="H140" s="27"/>
      <c r="I140" s="27"/>
      <c r="J140" s="19"/>
      <c r="K140" s="20"/>
      <c r="L140" s="20">
        <f t="shared" ca="1" si="39"/>
        <v>0</v>
      </c>
      <c r="S140" s="26" t="s">
        <v>31</v>
      </c>
      <c r="T140" s="27">
        <f t="shared" ca="1" si="40"/>
        <v>0</v>
      </c>
      <c r="U140" s="27">
        <f t="shared" ca="1" si="40"/>
        <v>0</v>
      </c>
      <c r="V140" s="27">
        <f t="shared" ca="1" si="40"/>
        <v>0</v>
      </c>
      <c r="W140" s="27">
        <f t="shared" ca="1" si="40"/>
        <v>0</v>
      </c>
      <c r="X140" s="27">
        <f t="shared" ca="1" si="40"/>
        <v>0</v>
      </c>
      <c r="Y140" s="27">
        <f t="shared" ca="1" si="40"/>
        <v>0</v>
      </c>
      <c r="Z140" s="27">
        <f t="shared" ca="1" si="40"/>
        <v>0</v>
      </c>
      <c r="AA140" s="19">
        <f t="shared" ca="1" si="40"/>
        <v>0</v>
      </c>
      <c r="AB140" s="20">
        <f t="shared" ca="1" si="40"/>
        <v>0</v>
      </c>
      <c r="AC140" s="20">
        <f t="shared" ca="1" si="40"/>
        <v>0</v>
      </c>
      <c r="AE140" s="26" t="s">
        <v>31</v>
      </c>
      <c r="AF140" s="27"/>
      <c r="AG140" s="27"/>
      <c r="AH140" s="27"/>
      <c r="AI140" s="27"/>
      <c r="AJ140" s="27"/>
      <c r="AK140" s="27"/>
      <c r="AL140" s="27"/>
      <c r="AM140" s="19"/>
      <c r="AN140" s="20"/>
      <c r="AO140" s="20">
        <v>0</v>
      </c>
    </row>
    <row r="141" spans="1:41" x14ac:dyDescent="0.25">
      <c r="A141" s="3">
        <f t="shared" ca="1" si="42"/>
        <v>45473</v>
      </c>
      <c r="B141" s="30" t="s">
        <v>33</v>
      </c>
      <c r="C141" s="31"/>
      <c r="D141" s="31"/>
      <c r="E141" s="31"/>
      <c r="F141" s="31"/>
      <c r="G141" s="31"/>
      <c r="H141" s="31"/>
      <c r="I141" s="31"/>
      <c r="J141" s="31"/>
      <c r="K141" s="32"/>
      <c r="L141" s="32">
        <f t="shared" ca="1" si="39"/>
        <v>0</v>
      </c>
      <c r="S141" s="33" t="s">
        <v>33</v>
      </c>
      <c r="T141" s="19">
        <f t="shared" ca="1" si="40"/>
        <v>0</v>
      </c>
      <c r="U141" s="19">
        <f t="shared" ca="1" si="40"/>
        <v>0</v>
      </c>
      <c r="V141" s="19">
        <f t="shared" ca="1" si="40"/>
        <v>0</v>
      </c>
      <c r="W141" s="19">
        <f t="shared" ca="1" si="40"/>
        <v>0</v>
      </c>
      <c r="X141" s="19">
        <f t="shared" ca="1" si="40"/>
        <v>0</v>
      </c>
      <c r="Y141" s="19">
        <f t="shared" ca="1" si="40"/>
        <v>0</v>
      </c>
      <c r="Z141" s="19">
        <f t="shared" ca="1" si="40"/>
        <v>0</v>
      </c>
      <c r="AA141" s="19">
        <f t="shared" ca="1" si="40"/>
        <v>0</v>
      </c>
      <c r="AB141" s="20">
        <f t="shared" ca="1" si="40"/>
        <v>0</v>
      </c>
      <c r="AC141" s="20">
        <f t="shared" ca="1" si="40"/>
        <v>0</v>
      </c>
      <c r="AE141" s="30" t="s">
        <v>33</v>
      </c>
      <c r="AF141" s="31"/>
      <c r="AG141" s="31"/>
      <c r="AH141" s="31"/>
      <c r="AI141" s="31"/>
      <c r="AJ141" s="31"/>
      <c r="AK141" s="31"/>
      <c r="AL141" s="31"/>
      <c r="AM141" s="31"/>
      <c r="AN141" s="32"/>
      <c r="AO141" s="32">
        <v>0</v>
      </c>
    </row>
    <row r="142" spans="1:41" x14ac:dyDescent="0.25">
      <c r="A142" s="3">
        <f t="shared" ca="1" si="42"/>
        <v>45504</v>
      </c>
      <c r="B142" s="26" t="s">
        <v>34</v>
      </c>
      <c r="C142" s="27"/>
      <c r="D142" s="27"/>
      <c r="E142" s="27"/>
      <c r="F142" s="27" t="s">
        <v>32</v>
      </c>
      <c r="G142" s="27"/>
      <c r="H142" s="27"/>
      <c r="I142" s="27"/>
      <c r="J142" s="19"/>
      <c r="K142" s="20"/>
      <c r="L142" s="20">
        <f t="shared" ca="1" si="39"/>
        <v>0</v>
      </c>
      <c r="S142" s="26" t="s">
        <v>34</v>
      </c>
      <c r="T142" s="27">
        <f t="shared" ca="1" si="40"/>
        <v>0</v>
      </c>
      <c r="U142" s="27">
        <f t="shared" ca="1" si="40"/>
        <v>0</v>
      </c>
      <c r="V142" s="27">
        <f t="shared" ca="1" si="40"/>
        <v>0</v>
      </c>
      <c r="W142" s="27" t="e">
        <f ca="1">F142-AI142</f>
        <v>#VALUE!</v>
      </c>
      <c r="X142" s="27">
        <f t="shared" ca="1" si="40"/>
        <v>0</v>
      </c>
      <c r="Y142" s="27">
        <f t="shared" ca="1" si="40"/>
        <v>0</v>
      </c>
      <c r="Z142" s="27">
        <f t="shared" ca="1" si="40"/>
        <v>0</v>
      </c>
      <c r="AA142" s="19">
        <f t="shared" ca="1" si="40"/>
        <v>0</v>
      </c>
      <c r="AB142" s="20">
        <f t="shared" ca="1" si="40"/>
        <v>0</v>
      </c>
      <c r="AC142" s="20">
        <f t="shared" ca="1" si="40"/>
        <v>0</v>
      </c>
      <c r="AE142" s="26" t="s">
        <v>34</v>
      </c>
      <c r="AF142" s="27"/>
      <c r="AG142" s="27"/>
      <c r="AH142" s="27"/>
      <c r="AI142" s="27" t="s">
        <v>32</v>
      </c>
      <c r="AJ142" s="27"/>
      <c r="AK142" s="27"/>
      <c r="AL142" s="27"/>
      <c r="AM142" s="19"/>
      <c r="AN142" s="20"/>
      <c r="AO142" s="20">
        <v>0</v>
      </c>
    </row>
    <row r="143" spans="1:41" x14ac:dyDescent="0.25">
      <c r="A143" s="3">
        <f t="shared" ca="1" si="42"/>
        <v>45535</v>
      </c>
      <c r="B143" s="30" t="s">
        <v>35</v>
      </c>
      <c r="C143" s="31"/>
      <c r="D143" s="31"/>
      <c r="E143" s="31"/>
      <c r="F143" s="31"/>
      <c r="G143" s="31"/>
      <c r="H143" s="31"/>
      <c r="I143" s="31"/>
      <c r="J143" s="31"/>
      <c r="K143" s="32"/>
      <c r="L143" s="32">
        <f t="shared" ca="1" si="39"/>
        <v>0</v>
      </c>
      <c r="S143" s="33" t="s">
        <v>35</v>
      </c>
      <c r="T143" s="19">
        <f t="shared" ca="1" si="40"/>
        <v>0</v>
      </c>
      <c r="U143" s="19">
        <f t="shared" ca="1" si="40"/>
        <v>0</v>
      </c>
      <c r="V143" s="19">
        <f t="shared" ca="1" si="40"/>
        <v>0</v>
      </c>
      <c r="W143" s="19">
        <f t="shared" ca="1" si="40"/>
        <v>0</v>
      </c>
      <c r="X143" s="19">
        <f t="shared" ca="1" si="40"/>
        <v>0</v>
      </c>
      <c r="Y143" s="19">
        <f t="shared" ca="1" si="40"/>
        <v>0</v>
      </c>
      <c r="Z143" s="19">
        <f t="shared" ca="1" si="40"/>
        <v>0</v>
      </c>
      <c r="AA143" s="19">
        <f t="shared" ca="1" si="40"/>
        <v>0</v>
      </c>
      <c r="AB143" s="20">
        <f t="shared" ca="1" si="40"/>
        <v>0</v>
      </c>
      <c r="AC143" s="20">
        <f t="shared" ca="1" si="40"/>
        <v>0</v>
      </c>
      <c r="AE143" s="30" t="s">
        <v>35</v>
      </c>
      <c r="AF143" s="31"/>
      <c r="AG143" s="31"/>
      <c r="AH143" s="31"/>
      <c r="AI143" s="31"/>
      <c r="AJ143" s="31"/>
      <c r="AK143" s="31"/>
      <c r="AL143" s="31"/>
      <c r="AM143" s="31"/>
      <c r="AN143" s="32"/>
      <c r="AO143" s="32">
        <v>0</v>
      </c>
    </row>
    <row r="144" spans="1:41" x14ac:dyDescent="0.25">
      <c r="A144" s="3">
        <f t="shared" ca="1" si="42"/>
        <v>45565</v>
      </c>
      <c r="B144" s="26" t="s">
        <v>36</v>
      </c>
      <c r="C144" s="27"/>
      <c r="D144" s="27"/>
      <c r="E144" s="27"/>
      <c r="F144" s="27"/>
      <c r="G144" s="27"/>
      <c r="H144" s="27"/>
      <c r="I144" s="27"/>
      <c r="J144" s="19"/>
      <c r="K144" s="20"/>
      <c r="L144" s="20">
        <f t="shared" ca="1" si="39"/>
        <v>0</v>
      </c>
      <c r="S144" s="26" t="s">
        <v>36</v>
      </c>
      <c r="T144" s="27">
        <f t="shared" ca="1" si="40"/>
        <v>0</v>
      </c>
      <c r="U144" s="27">
        <f t="shared" ca="1" si="40"/>
        <v>0</v>
      </c>
      <c r="V144" s="27">
        <f t="shared" ca="1" si="40"/>
        <v>0</v>
      </c>
      <c r="W144" s="27">
        <f t="shared" ca="1" si="40"/>
        <v>0</v>
      </c>
      <c r="X144" s="27">
        <f t="shared" ca="1" si="40"/>
        <v>0</v>
      </c>
      <c r="Y144" s="27">
        <f t="shared" ca="1" si="40"/>
        <v>0</v>
      </c>
      <c r="Z144" s="27">
        <f t="shared" ca="1" si="40"/>
        <v>0</v>
      </c>
      <c r="AA144" s="19">
        <f t="shared" ca="1" si="40"/>
        <v>0</v>
      </c>
      <c r="AB144" s="20">
        <f t="shared" ca="1" si="40"/>
        <v>0</v>
      </c>
      <c r="AC144" s="20">
        <f t="shared" ca="1" si="40"/>
        <v>0</v>
      </c>
      <c r="AE144" s="26" t="s">
        <v>36</v>
      </c>
      <c r="AF144" s="27"/>
      <c r="AG144" s="27"/>
      <c r="AH144" s="27"/>
      <c r="AI144" s="27"/>
      <c r="AJ144" s="27"/>
      <c r="AK144" s="27"/>
      <c r="AL144" s="27"/>
      <c r="AM144" s="19"/>
      <c r="AN144" s="20"/>
      <c r="AO144" s="20">
        <v>0</v>
      </c>
    </row>
    <row r="145" spans="1:41" x14ac:dyDescent="0.25">
      <c r="A145" s="3">
        <f t="shared" ca="1" si="42"/>
        <v>45596</v>
      </c>
      <c r="B145" s="30" t="s">
        <v>37</v>
      </c>
      <c r="C145" s="31"/>
      <c r="D145" s="31"/>
      <c r="E145" s="31"/>
      <c r="F145" s="31"/>
      <c r="G145" s="31"/>
      <c r="H145" s="31"/>
      <c r="I145" s="31"/>
      <c r="J145" s="31"/>
      <c r="K145" s="32"/>
      <c r="L145" s="32">
        <f t="shared" ca="1" si="39"/>
        <v>0</v>
      </c>
      <c r="S145" s="33" t="s">
        <v>37</v>
      </c>
      <c r="T145" s="19">
        <f t="shared" ca="1" si="40"/>
        <v>0</v>
      </c>
      <c r="U145" s="19">
        <f t="shared" ca="1" si="40"/>
        <v>0</v>
      </c>
      <c r="V145" s="19">
        <f t="shared" ca="1" si="40"/>
        <v>0</v>
      </c>
      <c r="W145" s="19">
        <f t="shared" ca="1" si="40"/>
        <v>0</v>
      </c>
      <c r="X145" s="19">
        <f t="shared" ca="1" si="40"/>
        <v>0</v>
      </c>
      <c r="Y145" s="19">
        <f t="shared" ca="1" si="40"/>
        <v>0</v>
      </c>
      <c r="Z145" s="19">
        <f t="shared" ca="1" si="40"/>
        <v>0</v>
      </c>
      <c r="AA145" s="19">
        <f t="shared" ca="1" si="40"/>
        <v>0</v>
      </c>
      <c r="AB145" s="20">
        <f t="shared" ca="1" si="40"/>
        <v>0</v>
      </c>
      <c r="AC145" s="20">
        <f t="shared" ca="1" si="40"/>
        <v>0</v>
      </c>
      <c r="AE145" s="30" t="s">
        <v>37</v>
      </c>
      <c r="AF145" s="31"/>
      <c r="AG145" s="31"/>
      <c r="AH145" s="31"/>
      <c r="AI145" s="31"/>
      <c r="AJ145" s="31"/>
      <c r="AK145" s="31"/>
      <c r="AL145" s="31"/>
      <c r="AM145" s="31"/>
      <c r="AN145" s="32"/>
      <c r="AO145" s="32">
        <v>0</v>
      </c>
    </row>
    <row r="146" spans="1:41" x14ac:dyDescent="0.25">
      <c r="A146" s="3">
        <f t="shared" ca="1" si="42"/>
        <v>45626</v>
      </c>
      <c r="B146" s="26" t="s">
        <v>38</v>
      </c>
      <c r="C146" s="27"/>
      <c r="D146" s="27"/>
      <c r="E146" s="27"/>
      <c r="F146" s="27"/>
      <c r="G146" s="27"/>
      <c r="H146" s="27"/>
      <c r="I146" s="27"/>
      <c r="J146" s="19"/>
      <c r="K146" s="20"/>
      <c r="L146" s="20">
        <f t="shared" ca="1" si="39"/>
        <v>0</v>
      </c>
      <c r="S146" s="26" t="s">
        <v>38</v>
      </c>
      <c r="T146" s="27">
        <f t="shared" ca="1" si="40"/>
        <v>0</v>
      </c>
      <c r="U146" s="27">
        <f t="shared" ca="1" si="40"/>
        <v>0</v>
      </c>
      <c r="V146" s="27">
        <f t="shared" ca="1" si="40"/>
        <v>0</v>
      </c>
      <c r="W146" s="27">
        <f t="shared" ca="1" si="40"/>
        <v>0</v>
      </c>
      <c r="X146" s="27">
        <f t="shared" ca="1" si="40"/>
        <v>0</v>
      </c>
      <c r="Y146" s="27">
        <f t="shared" ca="1" si="40"/>
        <v>0</v>
      </c>
      <c r="Z146" s="27">
        <f t="shared" ca="1" si="40"/>
        <v>0</v>
      </c>
      <c r="AA146" s="19">
        <f t="shared" ca="1" si="40"/>
        <v>0</v>
      </c>
      <c r="AB146" s="20">
        <f t="shared" ca="1" si="40"/>
        <v>0</v>
      </c>
      <c r="AC146" s="20">
        <f t="shared" ca="1" si="40"/>
        <v>0</v>
      </c>
      <c r="AE146" s="26" t="s">
        <v>38</v>
      </c>
      <c r="AF146" s="27"/>
      <c r="AG146" s="27"/>
      <c r="AH146" s="27"/>
      <c r="AI146" s="27"/>
      <c r="AJ146" s="27"/>
      <c r="AK146" s="27"/>
      <c r="AL146" s="27"/>
      <c r="AM146" s="19"/>
      <c r="AN146" s="20"/>
      <c r="AO146" s="20">
        <v>0</v>
      </c>
    </row>
    <row r="147" spans="1:41" x14ac:dyDescent="0.25">
      <c r="A147" s="3">
        <f t="shared" ca="1" si="42"/>
        <v>45657</v>
      </c>
      <c r="B147" s="30" t="s">
        <v>39</v>
      </c>
      <c r="C147" s="31"/>
      <c r="D147" s="31"/>
      <c r="E147" s="31"/>
      <c r="F147" s="31"/>
      <c r="G147" s="31"/>
      <c r="H147" s="31"/>
      <c r="I147" s="31"/>
      <c r="J147" s="31"/>
      <c r="K147" s="32"/>
      <c r="L147" s="32">
        <f t="shared" ca="1" si="39"/>
        <v>0</v>
      </c>
      <c r="S147" s="33" t="s">
        <v>39</v>
      </c>
      <c r="T147" s="19">
        <f t="shared" ca="1" si="40"/>
        <v>0</v>
      </c>
      <c r="U147" s="19">
        <f t="shared" ca="1" si="40"/>
        <v>0</v>
      </c>
      <c r="V147" s="19">
        <f t="shared" ca="1" si="40"/>
        <v>0</v>
      </c>
      <c r="W147" s="19">
        <f t="shared" ca="1" si="40"/>
        <v>0</v>
      </c>
      <c r="X147" s="19">
        <f t="shared" ca="1" si="40"/>
        <v>0</v>
      </c>
      <c r="Y147" s="19">
        <f t="shared" ca="1" si="40"/>
        <v>0</v>
      </c>
      <c r="Z147" s="19">
        <f t="shared" ca="1" si="40"/>
        <v>0</v>
      </c>
      <c r="AA147" s="19">
        <f t="shared" ca="1" si="40"/>
        <v>0</v>
      </c>
      <c r="AB147" s="20">
        <f t="shared" ca="1" si="40"/>
        <v>0</v>
      </c>
      <c r="AC147" s="20">
        <f t="shared" ca="1" si="40"/>
        <v>0</v>
      </c>
      <c r="AE147" s="30" t="s">
        <v>39</v>
      </c>
      <c r="AF147" s="31"/>
      <c r="AG147" s="31"/>
      <c r="AH147" s="31"/>
      <c r="AI147" s="31"/>
      <c r="AJ147" s="31"/>
      <c r="AK147" s="31"/>
      <c r="AL147" s="31"/>
      <c r="AM147" s="31"/>
      <c r="AN147" s="32"/>
      <c r="AO147" s="32">
        <v>0</v>
      </c>
    </row>
    <row r="148" spans="1:41" x14ac:dyDescent="0.25">
      <c r="A148" s="3">
        <f ca="1">A147</f>
        <v>45657</v>
      </c>
      <c r="B148" s="13" t="s">
        <v>40</v>
      </c>
      <c r="C148" s="14">
        <f ca="1">SUM(C149:C160)</f>
        <v>178019272.94</v>
      </c>
      <c r="D148" s="14">
        <f t="shared" ref="D148:K148" ca="1" si="43">SUM(D149:D160)</f>
        <v>49350</v>
      </c>
      <c r="E148" s="14">
        <f t="shared" ca="1" si="43"/>
        <v>250598003.97999999</v>
      </c>
      <c r="F148" s="14">
        <f t="shared" ca="1" si="43"/>
        <v>104245167</v>
      </c>
      <c r="G148" s="14">
        <f t="shared" ca="1" si="43"/>
        <v>146043406</v>
      </c>
      <c r="H148" s="14">
        <f t="shared" ca="1" si="43"/>
        <v>309457</v>
      </c>
      <c r="I148" s="14">
        <f t="shared" ca="1" si="43"/>
        <v>0</v>
      </c>
      <c r="J148" s="14">
        <f t="shared" ca="1" si="43"/>
        <v>26435034.530000001</v>
      </c>
      <c r="K148" s="15">
        <f t="shared" ca="1" si="43"/>
        <v>77810132.469999999</v>
      </c>
      <c r="L148" s="15">
        <f t="shared" ca="1" si="39"/>
        <v>-72628081.039999992</v>
      </c>
      <c r="S148" s="18" t="s">
        <v>40</v>
      </c>
      <c r="T148" s="19">
        <f t="shared" ca="1" si="40"/>
        <v>0</v>
      </c>
      <c r="U148" s="19">
        <f t="shared" ca="1" si="40"/>
        <v>0</v>
      </c>
      <c r="V148" s="19">
        <f t="shared" ca="1" si="40"/>
        <v>371273.81999999285</v>
      </c>
      <c r="W148" s="19">
        <f t="shared" ca="1" si="40"/>
        <v>371916</v>
      </c>
      <c r="X148" s="19">
        <f t="shared" ca="1" si="40"/>
        <v>-643</v>
      </c>
      <c r="Y148" s="19">
        <f t="shared" ca="1" si="40"/>
        <v>0</v>
      </c>
      <c r="Z148" s="19">
        <f t="shared" ca="1" si="40"/>
        <v>0</v>
      </c>
      <c r="AA148" s="19">
        <f t="shared" ca="1" si="40"/>
        <v>372419.08000000194</v>
      </c>
      <c r="AB148" s="20">
        <f t="shared" ca="1" si="40"/>
        <v>-503.07999999821186</v>
      </c>
      <c r="AC148" s="20">
        <f t="shared" ca="1" si="40"/>
        <v>-371273.81999999285</v>
      </c>
      <c r="AE148" s="13" t="s">
        <v>40</v>
      </c>
      <c r="AF148" s="14">
        <v>178019272.94</v>
      </c>
      <c r="AG148" s="14">
        <v>49350</v>
      </c>
      <c r="AH148" s="14">
        <v>250226730.16</v>
      </c>
      <c r="AI148" s="14">
        <v>103873251</v>
      </c>
      <c r="AJ148" s="14">
        <v>146044049</v>
      </c>
      <c r="AK148" s="14">
        <v>309457</v>
      </c>
      <c r="AL148" s="14">
        <v>0</v>
      </c>
      <c r="AM148" s="14">
        <v>26062615.449999999</v>
      </c>
      <c r="AN148" s="15">
        <v>77810635.549999997</v>
      </c>
      <c r="AO148" s="15">
        <v>-72256807.219999999</v>
      </c>
    </row>
    <row r="149" spans="1:41" x14ac:dyDescent="0.25">
      <c r="A149" s="3">
        <f ca="1">EOMONTH(A147+1,0)</f>
        <v>45688</v>
      </c>
      <c r="B149" s="26" t="s">
        <v>41</v>
      </c>
      <c r="C149" s="27"/>
      <c r="D149" s="27">
        <v>0</v>
      </c>
      <c r="E149" s="27">
        <v>0</v>
      </c>
      <c r="F149" s="27">
        <v>0</v>
      </c>
      <c r="G149" s="27">
        <v>0</v>
      </c>
      <c r="H149" s="27">
        <v>0</v>
      </c>
      <c r="I149" s="19">
        <f ca="1">IF(L149&lt;0,0,L149)</f>
        <v>0</v>
      </c>
      <c r="J149" s="19">
        <v>0</v>
      </c>
      <c r="K149" s="20">
        <v>0</v>
      </c>
      <c r="L149" s="20">
        <f t="shared" ca="1" si="39"/>
        <v>0</v>
      </c>
      <c r="M149" s="16"/>
      <c r="S149" s="26" t="s">
        <v>41</v>
      </c>
      <c r="T149" s="27">
        <f t="shared" ca="1" si="40"/>
        <v>0</v>
      </c>
      <c r="U149" s="27">
        <f t="shared" ca="1" si="40"/>
        <v>0</v>
      </c>
      <c r="V149" s="27">
        <f t="shared" ca="1" si="40"/>
        <v>0</v>
      </c>
      <c r="W149" s="27">
        <f t="shared" ca="1" si="40"/>
        <v>0</v>
      </c>
      <c r="X149" s="27">
        <f t="shared" ca="1" si="40"/>
        <v>0</v>
      </c>
      <c r="Y149" s="27">
        <f t="shared" ca="1" si="40"/>
        <v>0</v>
      </c>
      <c r="Z149" s="27">
        <f t="shared" ca="1" si="40"/>
        <v>0</v>
      </c>
      <c r="AA149" s="19">
        <f t="shared" ca="1" si="40"/>
        <v>0</v>
      </c>
      <c r="AB149" s="20">
        <f t="shared" ca="1" si="40"/>
        <v>0</v>
      </c>
      <c r="AC149" s="20">
        <f t="shared" ca="1" si="40"/>
        <v>0</v>
      </c>
      <c r="AD149" s="16"/>
      <c r="AE149" s="26" t="s">
        <v>41</v>
      </c>
      <c r="AF149" s="27"/>
      <c r="AG149" s="27">
        <v>0</v>
      </c>
      <c r="AH149" s="27">
        <v>0</v>
      </c>
      <c r="AI149" s="27">
        <v>0</v>
      </c>
      <c r="AJ149" s="27">
        <v>0</v>
      </c>
      <c r="AK149" s="27">
        <v>0</v>
      </c>
      <c r="AL149" s="19">
        <v>0</v>
      </c>
      <c r="AM149" s="19">
        <v>0</v>
      </c>
      <c r="AN149" s="20">
        <v>0</v>
      </c>
      <c r="AO149" s="20">
        <v>0</v>
      </c>
    </row>
    <row r="150" spans="1:41" x14ac:dyDescent="0.25">
      <c r="A150" s="3">
        <f t="shared" ref="A150:A158" ca="1" si="44">EOMONTH(A149+1,0)</f>
        <v>45716</v>
      </c>
      <c r="B150" s="30" t="s">
        <v>42</v>
      </c>
      <c r="C150" s="31"/>
      <c r="D150" s="31">
        <v>0</v>
      </c>
      <c r="E150" s="31">
        <v>0</v>
      </c>
      <c r="F150" s="31">
        <v>0</v>
      </c>
      <c r="G150" s="31">
        <v>0</v>
      </c>
      <c r="H150" s="31">
        <v>0</v>
      </c>
      <c r="I150" s="31">
        <f t="shared" ref="I150:I160" ca="1" si="45">IF(L150&lt;0,0,L150)</f>
        <v>0</v>
      </c>
      <c r="J150" s="31">
        <v>0</v>
      </c>
      <c r="K150" s="32">
        <v>0</v>
      </c>
      <c r="L150" s="32">
        <f t="shared" ca="1" si="39"/>
        <v>0</v>
      </c>
      <c r="M150" s="16"/>
      <c r="S150" s="33" t="s">
        <v>42</v>
      </c>
      <c r="T150" s="19">
        <f t="shared" ca="1" si="40"/>
        <v>0</v>
      </c>
      <c r="U150" s="19">
        <f t="shared" ca="1" si="40"/>
        <v>0</v>
      </c>
      <c r="V150" s="19">
        <f t="shared" ca="1" si="40"/>
        <v>0</v>
      </c>
      <c r="W150" s="19">
        <f t="shared" ca="1" si="40"/>
        <v>0</v>
      </c>
      <c r="X150" s="19">
        <f t="shared" ca="1" si="40"/>
        <v>0</v>
      </c>
      <c r="Y150" s="19">
        <f t="shared" ca="1" si="40"/>
        <v>0</v>
      </c>
      <c r="Z150" s="19">
        <f t="shared" ca="1" si="40"/>
        <v>0</v>
      </c>
      <c r="AA150" s="19">
        <f t="shared" ca="1" si="40"/>
        <v>0</v>
      </c>
      <c r="AB150" s="20">
        <f t="shared" ca="1" si="40"/>
        <v>0</v>
      </c>
      <c r="AC150" s="20">
        <f t="shared" ca="1" si="40"/>
        <v>0</v>
      </c>
      <c r="AD150" s="16"/>
      <c r="AE150" s="30" t="s">
        <v>42</v>
      </c>
      <c r="AF150" s="31"/>
      <c r="AG150" s="31">
        <v>0</v>
      </c>
      <c r="AH150" s="31">
        <v>0</v>
      </c>
      <c r="AI150" s="31">
        <v>0</v>
      </c>
      <c r="AJ150" s="31">
        <v>0</v>
      </c>
      <c r="AK150" s="31">
        <v>0</v>
      </c>
      <c r="AL150" s="31">
        <v>0</v>
      </c>
      <c r="AM150" s="31">
        <v>0</v>
      </c>
      <c r="AN150" s="32">
        <v>0</v>
      </c>
      <c r="AO150" s="32">
        <v>0</v>
      </c>
    </row>
    <row r="151" spans="1:41" x14ac:dyDescent="0.25">
      <c r="A151" s="3">
        <f t="shared" ca="1" si="44"/>
        <v>45747</v>
      </c>
      <c r="B151" s="26" t="s">
        <v>43</v>
      </c>
      <c r="C151" s="27"/>
      <c r="D151" s="27">
        <v>0</v>
      </c>
      <c r="E151" s="27">
        <v>0</v>
      </c>
      <c r="F151" s="27">
        <v>0</v>
      </c>
      <c r="G151" s="27">
        <v>0</v>
      </c>
      <c r="H151" s="27">
        <v>0</v>
      </c>
      <c r="I151" s="19">
        <f t="shared" ca="1" si="45"/>
        <v>0</v>
      </c>
      <c r="J151" s="19">
        <v>0</v>
      </c>
      <c r="K151" s="20">
        <v>0</v>
      </c>
      <c r="L151" s="20">
        <f t="shared" ca="1" si="39"/>
        <v>0</v>
      </c>
      <c r="M151" s="16"/>
      <c r="S151" s="26" t="s">
        <v>43</v>
      </c>
      <c r="T151" s="27">
        <f t="shared" ca="1" si="40"/>
        <v>0</v>
      </c>
      <c r="U151" s="27">
        <f t="shared" ca="1" si="40"/>
        <v>0</v>
      </c>
      <c r="V151" s="27">
        <f t="shared" ca="1" si="40"/>
        <v>0</v>
      </c>
      <c r="W151" s="27">
        <f t="shared" ca="1" si="40"/>
        <v>0</v>
      </c>
      <c r="X151" s="27">
        <f t="shared" ca="1" si="40"/>
        <v>0</v>
      </c>
      <c r="Y151" s="27">
        <f t="shared" ca="1" si="40"/>
        <v>0</v>
      </c>
      <c r="Z151" s="27">
        <f t="shared" ca="1" si="40"/>
        <v>0</v>
      </c>
      <c r="AA151" s="19">
        <f t="shared" ca="1" si="40"/>
        <v>0</v>
      </c>
      <c r="AB151" s="20">
        <f t="shared" ca="1" si="40"/>
        <v>0</v>
      </c>
      <c r="AC151" s="20">
        <f t="shared" ca="1" si="40"/>
        <v>0</v>
      </c>
      <c r="AD151" s="16"/>
      <c r="AE151" s="26" t="s">
        <v>43</v>
      </c>
      <c r="AF151" s="27"/>
      <c r="AG151" s="27">
        <v>0</v>
      </c>
      <c r="AH151" s="27">
        <v>0</v>
      </c>
      <c r="AI151" s="27">
        <v>0</v>
      </c>
      <c r="AJ151" s="27">
        <v>0</v>
      </c>
      <c r="AK151" s="27">
        <v>0</v>
      </c>
      <c r="AL151" s="27">
        <v>0</v>
      </c>
      <c r="AM151" s="19">
        <v>0</v>
      </c>
      <c r="AN151" s="20">
        <v>0</v>
      </c>
      <c r="AO151" s="20">
        <v>0</v>
      </c>
    </row>
    <row r="152" spans="1:41" x14ac:dyDescent="0.25">
      <c r="A152" s="3">
        <f t="shared" ca="1" si="44"/>
        <v>45777</v>
      </c>
      <c r="B152" s="30" t="s">
        <v>44</v>
      </c>
      <c r="C152" s="31"/>
      <c r="D152" s="31">
        <v>0</v>
      </c>
      <c r="E152" s="31">
        <v>30000</v>
      </c>
      <c r="F152" s="31">
        <v>0</v>
      </c>
      <c r="G152" s="31">
        <v>30000</v>
      </c>
      <c r="H152" s="31">
        <v>0</v>
      </c>
      <c r="I152" s="31">
        <f ca="1">IF(L152&lt;0,0,L152)</f>
        <v>0</v>
      </c>
      <c r="J152" s="31">
        <v>0</v>
      </c>
      <c r="K152" s="32">
        <v>0</v>
      </c>
      <c r="L152" s="32">
        <f ca="1">C152-E152-D152</f>
        <v>-30000</v>
      </c>
      <c r="M152" s="16"/>
      <c r="S152" s="33" t="s">
        <v>44</v>
      </c>
      <c r="T152" s="19">
        <f t="shared" ca="1" si="40"/>
        <v>0</v>
      </c>
      <c r="U152" s="19">
        <f t="shared" ca="1" si="40"/>
        <v>0</v>
      </c>
      <c r="V152" s="19">
        <f t="shared" ca="1" si="40"/>
        <v>0</v>
      </c>
      <c r="W152" s="19">
        <f t="shared" ca="1" si="40"/>
        <v>0</v>
      </c>
      <c r="X152" s="19">
        <f t="shared" ca="1" si="40"/>
        <v>0</v>
      </c>
      <c r="Y152" s="19">
        <f t="shared" ca="1" si="40"/>
        <v>0</v>
      </c>
      <c r="Z152" s="19">
        <f t="shared" ca="1" si="40"/>
        <v>0</v>
      </c>
      <c r="AA152" s="19">
        <f t="shared" ca="1" si="40"/>
        <v>0</v>
      </c>
      <c r="AB152" s="20">
        <f t="shared" ca="1" si="40"/>
        <v>0</v>
      </c>
      <c r="AC152" s="20">
        <f t="shared" ca="1" si="40"/>
        <v>0</v>
      </c>
      <c r="AD152" s="16"/>
      <c r="AE152" s="30" t="s">
        <v>44</v>
      </c>
      <c r="AF152" s="31"/>
      <c r="AG152" s="31">
        <v>0</v>
      </c>
      <c r="AH152" s="31">
        <v>30000</v>
      </c>
      <c r="AI152" s="31">
        <v>0</v>
      </c>
      <c r="AJ152" s="31">
        <v>30000</v>
      </c>
      <c r="AK152" s="31">
        <v>0</v>
      </c>
      <c r="AL152" s="46">
        <v>0</v>
      </c>
      <c r="AM152" s="31">
        <v>0</v>
      </c>
      <c r="AN152" s="32">
        <v>0</v>
      </c>
      <c r="AO152" s="32">
        <v>-30000</v>
      </c>
    </row>
    <row r="153" spans="1:41" x14ac:dyDescent="0.25">
      <c r="A153" s="3">
        <f t="shared" ca="1" si="44"/>
        <v>45808</v>
      </c>
      <c r="B153" s="26" t="s">
        <v>45</v>
      </c>
      <c r="C153" s="27">
        <v>47753902.540000007</v>
      </c>
      <c r="D153" s="27">
        <v>0</v>
      </c>
      <c r="E153" s="27">
        <v>67530546</v>
      </c>
      <c r="F153" s="27">
        <v>2740915</v>
      </c>
      <c r="G153" s="27">
        <v>64784612</v>
      </c>
      <c r="H153" s="27">
        <v>5000</v>
      </c>
      <c r="I153" s="19">
        <f ca="1">IF(L153&lt;0,0,L153)</f>
        <v>0</v>
      </c>
      <c r="J153" s="19">
        <v>2293832.2099999995</v>
      </c>
      <c r="K153" s="20">
        <v>447082.79000000004</v>
      </c>
      <c r="L153" s="20">
        <f ca="1">C153-E153-D153</f>
        <v>-19776643.459999993</v>
      </c>
      <c r="M153" s="16"/>
      <c r="S153" s="26" t="s">
        <v>45</v>
      </c>
      <c r="T153" s="27">
        <f t="shared" ca="1" si="40"/>
        <v>0</v>
      </c>
      <c r="U153" s="27">
        <f t="shared" ca="1" si="40"/>
        <v>0</v>
      </c>
      <c r="V153" s="27">
        <f t="shared" ca="1" si="40"/>
        <v>0</v>
      </c>
      <c r="W153" s="27">
        <f t="shared" ca="1" si="40"/>
        <v>0</v>
      </c>
      <c r="X153" s="27">
        <f t="shared" ca="1" si="40"/>
        <v>-1</v>
      </c>
      <c r="Y153" s="27">
        <f t="shared" ca="1" si="40"/>
        <v>0</v>
      </c>
      <c r="Z153" s="27">
        <f t="shared" ca="1" si="40"/>
        <v>0</v>
      </c>
      <c r="AA153" s="19">
        <f t="shared" ca="1" si="40"/>
        <v>-0.17000000039115548</v>
      </c>
      <c r="AB153" s="20">
        <f t="shared" ca="1" si="40"/>
        <v>0.16999999992549419</v>
      </c>
      <c r="AC153" s="20">
        <f t="shared" ca="1" si="40"/>
        <v>0</v>
      </c>
      <c r="AD153" s="16"/>
      <c r="AE153" s="26" t="s">
        <v>45</v>
      </c>
      <c r="AF153" s="27">
        <v>47753902.540000007</v>
      </c>
      <c r="AG153" s="27">
        <v>0</v>
      </c>
      <c r="AH153" s="27">
        <v>67530546</v>
      </c>
      <c r="AI153" s="27">
        <v>2740915</v>
      </c>
      <c r="AJ153" s="27">
        <v>64784613</v>
      </c>
      <c r="AK153" s="27">
        <v>5000</v>
      </c>
      <c r="AL153" s="46">
        <v>0</v>
      </c>
      <c r="AM153" s="19">
        <v>2293832.38</v>
      </c>
      <c r="AN153" s="20">
        <v>447082.62000000011</v>
      </c>
      <c r="AO153" s="20">
        <v>-19776643.459999993</v>
      </c>
    </row>
    <row r="154" spans="1:41" x14ac:dyDescent="0.25">
      <c r="A154" s="3">
        <f t="shared" ca="1" si="44"/>
        <v>45838</v>
      </c>
      <c r="B154" s="30" t="s">
        <v>46</v>
      </c>
      <c r="C154" s="31">
        <v>16998834.420000002</v>
      </c>
      <c r="D154" s="31">
        <v>49350</v>
      </c>
      <c r="E154" s="31">
        <v>24018050.659999996</v>
      </c>
      <c r="F154" s="31">
        <v>7343674</v>
      </c>
      <c r="G154" s="31">
        <v>16673376</v>
      </c>
      <c r="H154" s="31">
        <v>1000</v>
      </c>
      <c r="I154" s="31">
        <f t="shared" ca="1" si="45"/>
        <v>0</v>
      </c>
      <c r="J154" s="31">
        <v>2686407.8200000003</v>
      </c>
      <c r="K154" s="32">
        <v>4657266.18</v>
      </c>
      <c r="L154" s="32">
        <f ca="1">C154-E154-D154</f>
        <v>-7068566.2399999946</v>
      </c>
      <c r="M154" s="16"/>
      <c r="S154" s="33" t="s">
        <v>46</v>
      </c>
      <c r="T154" s="19">
        <f t="shared" ca="1" si="40"/>
        <v>0</v>
      </c>
      <c r="U154" s="19">
        <f t="shared" ca="1" si="40"/>
        <v>0</v>
      </c>
      <c r="V154" s="19">
        <f t="shared" ca="1" si="40"/>
        <v>0</v>
      </c>
      <c r="W154" s="19">
        <f t="shared" ca="1" si="40"/>
        <v>1</v>
      </c>
      <c r="X154" s="19">
        <f t="shared" ca="1" si="40"/>
        <v>-1</v>
      </c>
      <c r="Y154" s="19">
        <f t="shared" ca="1" si="40"/>
        <v>0</v>
      </c>
      <c r="Z154" s="19">
        <f t="shared" ca="1" si="40"/>
        <v>0</v>
      </c>
      <c r="AA154" s="19">
        <f t="shared" ca="1" si="40"/>
        <v>0.69000000040978193</v>
      </c>
      <c r="AB154" s="20">
        <f t="shared" ca="1" si="40"/>
        <v>0.30999999959021807</v>
      </c>
      <c r="AC154" s="20">
        <f t="shared" ca="1" si="40"/>
        <v>0</v>
      </c>
      <c r="AD154" s="16"/>
      <c r="AE154" s="30" t="s">
        <v>46</v>
      </c>
      <c r="AF154" s="31">
        <v>16998834.420000002</v>
      </c>
      <c r="AG154" s="31">
        <v>49350</v>
      </c>
      <c r="AH154" s="31">
        <v>24018050.659999996</v>
      </c>
      <c r="AI154" s="31">
        <v>7343673</v>
      </c>
      <c r="AJ154" s="31">
        <v>16673377</v>
      </c>
      <c r="AK154" s="31">
        <v>1000</v>
      </c>
      <c r="AL154" s="46">
        <v>0</v>
      </c>
      <c r="AM154" s="31">
        <v>2686407.13</v>
      </c>
      <c r="AN154" s="32">
        <v>4657265.87</v>
      </c>
      <c r="AO154" s="32">
        <v>-7068566.2399999946</v>
      </c>
    </row>
    <row r="155" spans="1:41" x14ac:dyDescent="0.25">
      <c r="A155" s="3">
        <f t="shared" ca="1" si="44"/>
        <v>45869</v>
      </c>
      <c r="B155" s="26" t="s">
        <v>47</v>
      </c>
      <c r="C155" s="27">
        <v>16689744.610000003</v>
      </c>
      <c r="D155" s="27">
        <v>0</v>
      </c>
      <c r="E155" s="27">
        <v>24526947.619999997</v>
      </c>
      <c r="F155" s="27">
        <v>13214877</v>
      </c>
      <c r="G155" s="27">
        <v>11310067</v>
      </c>
      <c r="H155" s="27">
        <v>2000</v>
      </c>
      <c r="I155" s="27">
        <f t="shared" ca="1" si="45"/>
        <v>0</v>
      </c>
      <c r="J155" s="19">
        <v>2701832.0800000005</v>
      </c>
      <c r="K155" s="20">
        <v>10513044.920000006</v>
      </c>
      <c r="L155" s="20">
        <f ca="1">C155-E155-D155</f>
        <v>-7837203.0099999942</v>
      </c>
      <c r="M155" s="16"/>
      <c r="S155" s="26" t="s">
        <v>47</v>
      </c>
      <c r="T155" s="27">
        <f t="shared" ca="1" si="40"/>
        <v>0</v>
      </c>
      <c r="U155" s="27">
        <f t="shared" ca="1" si="40"/>
        <v>0</v>
      </c>
      <c r="V155" s="27">
        <f t="shared" ca="1" si="40"/>
        <v>0</v>
      </c>
      <c r="W155" s="27">
        <f t="shared" ca="1" si="40"/>
        <v>0</v>
      </c>
      <c r="X155" s="27">
        <f t="shared" ca="1" si="40"/>
        <v>0</v>
      </c>
      <c r="Y155" s="27">
        <f t="shared" ca="1" si="40"/>
        <v>0</v>
      </c>
      <c r="Z155" s="27">
        <f t="shared" ca="1" si="40"/>
        <v>0</v>
      </c>
      <c r="AA155" s="19">
        <f t="shared" ca="1" si="40"/>
        <v>1.2200000006705523</v>
      </c>
      <c r="AB155" s="20">
        <f t="shared" ca="1" si="40"/>
        <v>-1.2199999932199717</v>
      </c>
      <c r="AC155" s="20">
        <f t="shared" ca="1" si="40"/>
        <v>0</v>
      </c>
      <c r="AD155" s="16"/>
      <c r="AE155" s="26" t="s">
        <v>47</v>
      </c>
      <c r="AF155" s="27">
        <v>16689744.610000003</v>
      </c>
      <c r="AG155" s="27">
        <v>0</v>
      </c>
      <c r="AH155" s="27">
        <v>24526947.619999997</v>
      </c>
      <c r="AI155" s="27">
        <v>13214877</v>
      </c>
      <c r="AJ155" s="27">
        <v>11310067</v>
      </c>
      <c r="AK155" s="27">
        <v>2000</v>
      </c>
      <c r="AL155" s="27">
        <v>0</v>
      </c>
      <c r="AM155" s="19">
        <v>2701830.86</v>
      </c>
      <c r="AN155" s="20">
        <v>10513046.139999999</v>
      </c>
      <c r="AO155" s="20">
        <v>-7837203.0099999942</v>
      </c>
    </row>
    <row r="156" spans="1:41" x14ac:dyDescent="0.25">
      <c r="A156" s="3">
        <f t="shared" ca="1" si="44"/>
        <v>45900</v>
      </c>
      <c r="B156" s="30" t="s">
        <v>48</v>
      </c>
      <c r="C156" s="31">
        <v>16484638.350000001</v>
      </c>
      <c r="D156" s="31">
        <v>0</v>
      </c>
      <c r="E156" s="31">
        <v>24893076.57</v>
      </c>
      <c r="F156" s="31">
        <v>14764581</v>
      </c>
      <c r="G156" s="31">
        <v>9948102</v>
      </c>
      <c r="H156" s="31">
        <v>180398</v>
      </c>
      <c r="I156" s="31">
        <f t="shared" ca="1" si="45"/>
        <v>0</v>
      </c>
      <c r="J156" s="31">
        <v>2981701.9200000009</v>
      </c>
      <c r="K156" s="32">
        <v>11782879.079999998</v>
      </c>
      <c r="L156" s="32">
        <f ca="1">C156-E156-D156</f>
        <v>-8408438.2199999988</v>
      </c>
      <c r="M156" s="16"/>
      <c r="S156" s="33" t="s">
        <v>48</v>
      </c>
      <c r="T156" s="19">
        <f t="shared" ca="1" si="40"/>
        <v>0</v>
      </c>
      <c r="U156" s="19">
        <f t="shared" ca="1" si="40"/>
        <v>0</v>
      </c>
      <c r="V156" s="19">
        <f t="shared" ca="1" si="40"/>
        <v>0</v>
      </c>
      <c r="W156" s="19">
        <f t="shared" ca="1" si="40"/>
        <v>642</v>
      </c>
      <c r="X156" s="19">
        <f t="shared" ca="1" si="40"/>
        <v>-642</v>
      </c>
      <c r="Y156" s="19">
        <f t="shared" ca="1" si="40"/>
        <v>0</v>
      </c>
      <c r="Z156" s="19">
        <f t="shared" ref="Z156:AC192" ca="1" si="46">I156-AL156</f>
        <v>0</v>
      </c>
      <c r="AA156" s="19">
        <f t="shared" ca="1" si="46"/>
        <v>1140.7900000014342</v>
      </c>
      <c r="AB156" s="20">
        <f t="shared" ca="1" si="46"/>
        <v>-498.79000000096858</v>
      </c>
      <c r="AC156" s="20">
        <f t="shared" ca="1" si="46"/>
        <v>0</v>
      </c>
      <c r="AD156" s="16"/>
      <c r="AE156" s="30" t="s">
        <v>48</v>
      </c>
      <c r="AF156" s="31">
        <v>16484638.350000001</v>
      </c>
      <c r="AG156" s="31">
        <v>0</v>
      </c>
      <c r="AH156" s="31">
        <v>24893076.57</v>
      </c>
      <c r="AI156" s="31">
        <v>14763939</v>
      </c>
      <c r="AJ156" s="31">
        <v>9948744</v>
      </c>
      <c r="AK156" s="31">
        <v>180398</v>
      </c>
      <c r="AL156" s="31">
        <v>0</v>
      </c>
      <c r="AM156" s="31">
        <v>2980561.1299999994</v>
      </c>
      <c r="AN156" s="32">
        <v>11783377.869999999</v>
      </c>
      <c r="AO156" s="32">
        <v>-8408438.2199999988</v>
      </c>
    </row>
    <row r="157" spans="1:41" x14ac:dyDescent="0.25">
      <c r="A157" s="3">
        <f t="shared" ca="1" si="44"/>
        <v>45930</v>
      </c>
      <c r="B157" s="26" t="s">
        <v>49</v>
      </c>
      <c r="C157" s="27">
        <v>15444330.129999995</v>
      </c>
      <c r="D157" s="27">
        <v>0</v>
      </c>
      <c r="E157" s="27">
        <v>20001677.629999999</v>
      </c>
      <c r="F157" s="27">
        <v>10313000</v>
      </c>
      <c r="G157" s="27">
        <v>9623105</v>
      </c>
      <c r="H157" s="27">
        <v>65588</v>
      </c>
      <c r="I157" s="27">
        <f t="shared" ca="1" si="45"/>
        <v>0</v>
      </c>
      <c r="J157" s="19">
        <v>4054015.8699999992</v>
      </c>
      <c r="K157" s="20">
        <v>6258984.1299999999</v>
      </c>
      <c r="L157" s="20">
        <f t="shared" ca="1" si="39"/>
        <v>-4557347.5000000037</v>
      </c>
      <c r="M157" s="16"/>
      <c r="S157" s="26" t="s">
        <v>49</v>
      </c>
      <c r="T157" s="27">
        <f t="shared" ref="T157:AC193" ca="1" si="47">C157-AF157</f>
        <v>0</v>
      </c>
      <c r="U157" s="27">
        <f t="shared" ca="1" si="47"/>
        <v>0</v>
      </c>
      <c r="V157" s="27">
        <f t="shared" ca="1" si="47"/>
        <v>0</v>
      </c>
      <c r="W157" s="27">
        <f t="shared" ca="1" si="47"/>
        <v>-1</v>
      </c>
      <c r="X157" s="27">
        <f t="shared" ca="1" si="47"/>
        <v>1</v>
      </c>
      <c r="Y157" s="27">
        <f t="shared" ca="1" si="47"/>
        <v>0</v>
      </c>
      <c r="Z157" s="27">
        <f t="shared" ca="1" si="46"/>
        <v>0</v>
      </c>
      <c r="AA157" s="19">
        <f t="shared" ca="1" si="46"/>
        <v>-0.89000000106170774</v>
      </c>
      <c r="AB157" s="20">
        <f t="shared" ca="1" si="46"/>
        <v>-0.11000000033527613</v>
      </c>
      <c r="AC157" s="20">
        <f t="shared" ca="1" si="46"/>
        <v>0</v>
      </c>
      <c r="AD157" s="16"/>
      <c r="AE157" s="26" t="s">
        <v>49</v>
      </c>
      <c r="AF157" s="27">
        <v>15444330.129999995</v>
      </c>
      <c r="AG157" s="27">
        <v>0</v>
      </c>
      <c r="AH157" s="27">
        <v>20001677.629999999</v>
      </c>
      <c r="AI157" s="27">
        <v>10313001</v>
      </c>
      <c r="AJ157" s="27">
        <v>9623104</v>
      </c>
      <c r="AK157" s="27">
        <v>65588</v>
      </c>
      <c r="AL157" s="27">
        <v>0</v>
      </c>
      <c r="AM157" s="19">
        <v>4054016.7600000002</v>
      </c>
      <c r="AN157" s="20">
        <v>6258984.2400000002</v>
      </c>
      <c r="AO157" s="20">
        <v>-4557347.5000000037</v>
      </c>
    </row>
    <row r="158" spans="1:41" x14ac:dyDescent="0.25">
      <c r="A158" s="3">
        <f t="shared" ca="1" si="44"/>
        <v>45961</v>
      </c>
      <c r="B158" s="30" t="s">
        <v>50</v>
      </c>
      <c r="C158" s="31">
        <v>21884543.179999996</v>
      </c>
      <c r="D158" s="31">
        <v>0</v>
      </c>
      <c r="E158" s="31">
        <v>30897407.079999991</v>
      </c>
      <c r="F158" s="31">
        <v>19091424</v>
      </c>
      <c r="G158" s="31">
        <v>11791052</v>
      </c>
      <c r="H158" s="31">
        <v>14940</v>
      </c>
      <c r="I158" s="31">
        <f t="shared" ca="1" si="45"/>
        <v>0</v>
      </c>
      <c r="J158" s="31">
        <v>4948991.1800000006</v>
      </c>
      <c r="K158" s="32">
        <v>14142432.82</v>
      </c>
      <c r="L158" s="32">
        <f t="shared" ca="1" si="39"/>
        <v>-9012863.8999999948</v>
      </c>
      <c r="M158" s="16"/>
      <c r="S158" s="33" t="s">
        <v>50</v>
      </c>
      <c r="T158" s="19">
        <f t="shared" ca="1" si="47"/>
        <v>0</v>
      </c>
      <c r="U158" s="19">
        <f t="shared" ca="1" si="47"/>
        <v>0</v>
      </c>
      <c r="V158" s="19">
        <f t="shared" ca="1" si="47"/>
        <v>371273.8200000003</v>
      </c>
      <c r="W158" s="19">
        <f t="shared" ca="1" si="47"/>
        <v>371275</v>
      </c>
      <c r="X158" s="19">
        <f t="shared" ca="1" si="47"/>
        <v>-1</v>
      </c>
      <c r="Y158" s="19">
        <f t="shared" ca="1" si="47"/>
        <v>0</v>
      </c>
      <c r="Z158" s="19">
        <f t="shared" ca="1" si="46"/>
        <v>0</v>
      </c>
      <c r="AA158" s="19">
        <f t="shared" ca="1" si="46"/>
        <v>371276.19000000041</v>
      </c>
      <c r="AB158" s="20">
        <f t="shared" ca="1" si="46"/>
        <v>-1.1900000013411045</v>
      </c>
      <c r="AC158" s="20">
        <f t="shared" ca="1" si="46"/>
        <v>-371273.8200000003</v>
      </c>
      <c r="AD158" s="16"/>
      <c r="AE158" s="30" t="s">
        <v>50</v>
      </c>
      <c r="AF158" s="31">
        <v>21884543.179999996</v>
      </c>
      <c r="AG158" s="31">
        <v>0</v>
      </c>
      <c r="AH158" s="31">
        <v>30526133.25999999</v>
      </c>
      <c r="AI158" s="31">
        <v>18720149</v>
      </c>
      <c r="AJ158" s="31">
        <v>11791053</v>
      </c>
      <c r="AK158" s="31">
        <v>14940</v>
      </c>
      <c r="AL158" s="31">
        <v>0</v>
      </c>
      <c r="AM158" s="31">
        <v>4577714.99</v>
      </c>
      <c r="AN158" s="32">
        <v>14142434.010000002</v>
      </c>
      <c r="AO158" s="32">
        <v>-8641590.0799999945</v>
      </c>
    </row>
    <row r="159" spans="1:41" x14ac:dyDescent="0.25">
      <c r="A159" s="3">
        <f ca="1">EOMONTH(A158+1,0)</f>
        <v>45991</v>
      </c>
      <c r="B159" s="26" t="s">
        <v>51</v>
      </c>
      <c r="C159" s="27">
        <v>20652620.949999999</v>
      </c>
      <c r="D159" s="27">
        <v>0</v>
      </c>
      <c r="E159" s="27">
        <v>29439080.02</v>
      </c>
      <c r="F159" s="27">
        <v>19722683</v>
      </c>
      <c r="G159" s="27">
        <v>9691322</v>
      </c>
      <c r="H159" s="27">
        <v>25085</v>
      </c>
      <c r="I159" s="27">
        <f t="shared" ca="1" si="45"/>
        <v>0</v>
      </c>
      <c r="J159" s="19">
        <v>2430585.209999999</v>
      </c>
      <c r="K159" s="20">
        <v>17292097.790000007</v>
      </c>
      <c r="L159" s="20">
        <f t="shared" ca="1" si="39"/>
        <v>-8786459.0700000003</v>
      </c>
      <c r="M159" s="16"/>
      <c r="S159" s="26" t="s">
        <v>51</v>
      </c>
      <c r="T159" s="27">
        <f t="shared" ca="1" si="47"/>
        <v>0</v>
      </c>
      <c r="U159" s="27">
        <f t="shared" ca="1" si="47"/>
        <v>0</v>
      </c>
      <c r="V159" s="27">
        <f t="shared" ca="1" si="47"/>
        <v>0</v>
      </c>
      <c r="W159" s="27">
        <f t="shared" ca="1" si="47"/>
        <v>0</v>
      </c>
      <c r="X159" s="27">
        <f t="shared" ca="1" si="47"/>
        <v>0</v>
      </c>
      <c r="Y159" s="27">
        <f t="shared" ca="1" si="47"/>
        <v>0</v>
      </c>
      <c r="Z159" s="27">
        <f t="shared" ca="1" si="46"/>
        <v>0</v>
      </c>
      <c r="AA159" s="19">
        <f t="shared" ca="1" si="46"/>
        <v>1.599999999627471</v>
      </c>
      <c r="AB159" s="20">
        <f t="shared" ca="1" si="46"/>
        <v>-1.5999999865889549</v>
      </c>
      <c r="AC159" s="20">
        <f t="shared" ca="1" si="46"/>
        <v>0</v>
      </c>
      <c r="AD159" s="16"/>
      <c r="AE159" s="26" t="s">
        <v>51</v>
      </c>
      <c r="AF159" s="27">
        <v>20652620.949999999</v>
      </c>
      <c r="AG159" s="27">
        <v>0</v>
      </c>
      <c r="AH159" s="27">
        <v>29439080.02</v>
      </c>
      <c r="AI159" s="27">
        <v>19722683</v>
      </c>
      <c r="AJ159" s="27">
        <v>9691322</v>
      </c>
      <c r="AK159" s="27">
        <v>25085</v>
      </c>
      <c r="AL159" s="27">
        <v>0</v>
      </c>
      <c r="AM159" s="19">
        <v>2430583.6099999994</v>
      </c>
      <c r="AN159" s="20">
        <v>17292099.389999993</v>
      </c>
      <c r="AO159" s="20">
        <v>-8786459.0700000003</v>
      </c>
    </row>
    <row r="160" spans="1:41" x14ac:dyDescent="0.25">
      <c r="A160" s="3">
        <f ca="1">EOMONTH(A159+1,0)</f>
        <v>46022</v>
      </c>
      <c r="B160" s="30" t="s">
        <v>52</v>
      </c>
      <c r="C160" s="31">
        <v>22110658.759999994</v>
      </c>
      <c r="D160" s="31">
        <v>0</v>
      </c>
      <c r="E160" s="31">
        <v>29261218.400000002</v>
      </c>
      <c r="F160" s="31">
        <v>17054013</v>
      </c>
      <c r="G160" s="31">
        <v>12191770</v>
      </c>
      <c r="H160" s="31">
        <v>15446</v>
      </c>
      <c r="I160" s="31">
        <f t="shared" ca="1" si="45"/>
        <v>0</v>
      </c>
      <c r="J160" s="31">
        <v>4337668.24</v>
      </c>
      <c r="K160" s="32">
        <v>12716344.759999998</v>
      </c>
      <c r="L160" s="32">
        <f t="shared" ca="1" si="39"/>
        <v>-7150559.640000008</v>
      </c>
      <c r="M160" s="16"/>
      <c r="S160" s="33" t="s">
        <v>52</v>
      </c>
      <c r="T160" s="19">
        <f t="shared" ca="1" si="47"/>
        <v>0</v>
      </c>
      <c r="U160" s="19">
        <f t="shared" ca="1" si="47"/>
        <v>0</v>
      </c>
      <c r="V160" s="19">
        <f t="shared" ca="1" si="47"/>
        <v>0</v>
      </c>
      <c r="W160" s="19">
        <f t="shared" ca="1" si="47"/>
        <v>-1</v>
      </c>
      <c r="X160" s="19">
        <f t="shared" ca="1" si="47"/>
        <v>1</v>
      </c>
      <c r="Y160" s="19">
        <f t="shared" ca="1" si="47"/>
        <v>0</v>
      </c>
      <c r="Z160" s="19">
        <f t="shared" ca="1" si="46"/>
        <v>0</v>
      </c>
      <c r="AA160" s="19">
        <f t="shared" ca="1" si="46"/>
        <v>-0.34999999962747097</v>
      </c>
      <c r="AB160" s="20">
        <f t="shared" ca="1" si="46"/>
        <v>-0.65000000037252903</v>
      </c>
      <c r="AC160" s="20">
        <f t="shared" ca="1" si="46"/>
        <v>0</v>
      </c>
      <c r="AD160" s="16"/>
      <c r="AE160" s="30" t="s">
        <v>52</v>
      </c>
      <c r="AF160" s="31">
        <v>22110658.759999994</v>
      </c>
      <c r="AG160" s="31">
        <v>0</v>
      </c>
      <c r="AH160" s="31">
        <v>29261218.400000002</v>
      </c>
      <c r="AI160" s="31">
        <v>17054014</v>
      </c>
      <c r="AJ160" s="31">
        <v>12191769</v>
      </c>
      <c r="AK160" s="31">
        <v>15446</v>
      </c>
      <c r="AL160" s="31">
        <v>0</v>
      </c>
      <c r="AM160" s="31">
        <v>4337668.59</v>
      </c>
      <c r="AN160" s="32">
        <v>12716345.409999998</v>
      </c>
      <c r="AO160" s="32">
        <v>-7150559.640000008</v>
      </c>
    </row>
    <row r="161" spans="1:41" x14ac:dyDescent="0.25">
      <c r="A161" s="3">
        <f ca="1">A160</f>
        <v>46022</v>
      </c>
      <c r="B161" s="13" t="s">
        <v>53</v>
      </c>
      <c r="C161" s="14">
        <f t="shared" ref="C161:L161" ca="1" si="48">SUM(C162:C166)</f>
        <v>66409398.910000004</v>
      </c>
      <c r="D161" s="14">
        <f t="shared" ca="1" si="48"/>
        <v>1083</v>
      </c>
      <c r="E161" s="14">
        <f t="shared" ca="1" si="48"/>
        <v>83330772.170000002</v>
      </c>
      <c r="F161" s="14">
        <f t="shared" ca="1" si="48"/>
        <v>65319014</v>
      </c>
      <c r="G161" s="14">
        <f t="shared" ca="1" si="48"/>
        <v>17676573</v>
      </c>
      <c r="H161" s="14">
        <f t="shared" ca="1" si="48"/>
        <v>335220</v>
      </c>
      <c r="I161" s="14">
        <f t="shared" ca="1" si="48"/>
        <v>3022304.9200000083</v>
      </c>
      <c r="J161" s="14">
        <f t="shared" ca="1" si="48"/>
        <v>18636424.149999999</v>
      </c>
      <c r="K161" s="15">
        <f t="shared" ca="1" si="48"/>
        <v>46682589.850000001</v>
      </c>
      <c r="L161" s="15">
        <f t="shared" ca="1" si="48"/>
        <v>-16922456.259999998</v>
      </c>
      <c r="S161" s="18" t="s">
        <v>53</v>
      </c>
      <c r="T161" s="19">
        <f t="shared" ca="1" si="47"/>
        <v>2409676.5500000045</v>
      </c>
      <c r="U161" s="19">
        <f t="shared" ca="1" si="47"/>
        <v>0</v>
      </c>
      <c r="V161" s="19">
        <f t="shared" ca="1" si="47"/>
        <v>2947336.4200000018</v>
      </c>
      <c r="W161" s="19">
        <f t="shared" ca="1" si="47"/>
        <v>2937205</v>
      </c>
      <c r="X161" s="19">
        <f t="shared" ca="1" si="47"/>
        <v>2137</v>
      </c>
      <c r="Y161" s="19">
        <f t="shared" ca="1" si="47"/>
        <v>7997</v>
      </c>
      <c r="Z161" s="19">
        <f t="shared" ca="1" si="46"/>
        <v>-495181.66000000061</v>
      </c>
      <c r="AA161" s="19">
        <f t="shared" ca="1" si="46"/>
        <v>168588.53999999911</v>
      </c>
      <c r="AB161" s="20">
        <f t="shared" ca="1" si="46"/>
        <v>2768616.4599999934</v>
      </c>
      <c r="AC161" s="20">
        <f t="shared" ca="1" si="46"/>
        <v>-537659.87000000104</v>
      </c>
      <c r="AE161" s="13" t="s">
        <v>53</v>
      </c>
      <c r="AF161" s="14">
        <v>63999722.359999999</v>
      </c>
      <c r="AG161" s="14">
        <v>1083</v>
      </c>
      <c r="AH161" s="14">
        <v>80383435.75</v>
      </c>
      <c r="AI161" s="14">
        <v>62381809</v>
      </c>
      <c r="AJ161" s="14">
        <v>17674436</v>
      </c>
      <c r="AK161" s="14">
        <v>327223</v>
      </c>
      <c r="AL161" s="14">
        <v>3517486.5800000089</v>
      </c>
      <c r="AM161" s="14">
        <v>18467835.609999999</v>
      </c>
      <c r="AN161" s="15">
        <v>43913973.390000008</v>
      </c>
      <c r="AO161" s="15">
        <v>-16384796.389999997</v>
      </c>
    </row>
    <row r="162" spans="1:41" x14ac:dyDescent="0.25">
      <c r="A162" s="3">
        <f ca="1">EOMONTH(A160+1,0)</f>
        <v>46053</v>
      </c>
      <c r="B162" s="26" t="s">
        <v>54</v>
      </c>
      <c r="C162" s="27">
        <v>13915142.649999997</v>
      </c>
      <c r="D162" s="27">
        <v>0</v>
      </c>
      <c r="E162" s="27">
        <v>22675684.350000001</v>
      </c>
      <c r="F162" s="27">
        <v>15370043</v>
      </c>
      <c r="G162" s="27">
        <v>7190825</v>
      </c>
      <c r="H162" s="27">
        <v>114827</v>
      </c>
      <c r="I162" s="19">
        <f ca="1">IF(L162&lt;0,0,L162)</f>
        <v>0</v>
      </c>
      <c r="J162" s="19">
        <v>2554528.89</v>
      </c>
      <c r="K162" s="20">
        <v>12815514.109999999</v>
      </c>
      <c r="L162" s="20">
        <f t="shared" ca="1" si="39"/>
        <v>-8760541.7000000048</v>
      </c>
      <c r="M162" s="16"/>
      <c r="S162" s="26" t="s">
        <v>54</v>
      </c>
      <c r="T162" s="27">
        <f t="shared" ca="1" si="47"/>
        <v>0</v>
      </c>
      <c r="U162" s="27">
        <f t="shared" ca="1" si="47"/>
        <v>0</v>
      </c>
      <c r="V162" s="27">
        <f t="shared" ca="1" si="47"/>
        <v>0</v>
      </c>
      <c r="W162" s="27">
        <f t="shared" ca="1" si="47"/>
        <v>0</v>
      </c>
      <c r="X162" s="27">
        <f t="shared" ca="1" si="47"/>
        <v>0</v>
      </c>
      <c r="Y162" s="27">
        <f t="shared" ca="1" si="47"/>
        <v>0</v>
      </c>
      <c r="Z162" s="27">
        <f t="shared" ca="1" si="46"/>
        <v>0</v>
      </c>
      <c r="AA162" s="19">
        <f t="shared" ca="1" si="46"/>
        <v>743.91000000061467</v>
      </c>
      <c r="AB162" s="20">
        <f t="shared" ca="1" si="46"/>
        <v>-743.91000000201166</v>
      </c>
      <c r="AC162" s="20">
        <f t="shared" ca="1" si="46"/>
        <v>0</v>
      </c>
      <c r="AD162" s="16"/>
      <c r="AE162" s="26" t="s">
        <v>54</v>
      </c>
      <c r="AF162" s="27">
        <v>13915142.649999997</v>
      </c>
      <c r="AG162" s="27">
        <v>0</v>
      </c>
      <c r="AH162" s="27">
        <v>22675684.350000001</v>
      </c>
      <c r="AI162" s="27">
        <v>15370043</v>
      </c>
      <c r="AJ162" s="27">
        <v>7190825</v>
      </c>
      <c r="AK162" s="27">
        <v>114827</v>
      </c>
      <c r="AL162" s="19">
        <v>0</v>
      </c>
      <c r="AM162" s="19">
        <v>2553784.9799999995</v>
      </c>
      <c r="AN162" s="20">
        <v>12816258.020000001</v>
      </c>
      <c r="AO162" s="20">
        <v>-8760541.7000000048</v>
      </c>
    </row>
    <row r="163" spans="1:41" x14ac:dyDescent="0.25">
      <c r="A163" s="3">
        <f ca="1">EOMONTH(A162+1,0)</f>
        <v>46081</v>
      </c>
      <c r="B163" s="30" t="s">
        <v>55</v>
      </c>
      <c r="C163" s="31">
        <v>17625845</v>
      </c>
      <c r="D163" s="31">
        <v>0</v>
      </c>
      <c r="E163" s="31">
        <v>24407598.010000002</v>
      </c>
      <c r="F163" s="31">
        <v>16919522</v>
      </c>
      <c r="G163" s="31">
        <v>7367382</v>
      </c>
      <c r="H163" s="31">
        <v>120696</v>
      </c>
      <c r="I163" s="31">
        <f ca="1">IF(L163&lt;0,0,L163)</f>
        <v>0</v>
      </c>
      <c r="J163" s="31">
        <v>7236875.0000000009</v>
      </c>
      <c r="K163" s="32">
        <v>9682647.0000000019</v>
      </c>
      <c r="L163" s="32">
        <f t="shared" ca="1" si="39"/>
        <v>-6781753.0100000016</v>
      </c>
      <c r="M163" s="16"/>
      <c r="S163" s="33" t="s">
        <v>55</v>
      </c>
      <c r="T163" s="19">
        <f t="shared" ca="1" si="47"/>
        <v>0</v>
      </c>
      <c r="U163" s="19">
        <f t="shared" ca="1" si="47"/>
        <v>0</v>
      </c>
      <c r="V163" s="19">
        <f t="shared" ca="1" si="47"/>
        <v>0</v>
      </c>
      <c r="W163" s="19">
        <f t="shared" ca="1" si="47"/>
        <v>-139</v>
      </c>
      <c r="X163" s="19">
        <f t="shared" ca="1" si="47"/>
        <v>139</v>
      </c>
      <c r="Y163" s="19">
        <f t="shared" ca="1" si="47"/>
        <v>0</v>
      </c>
      <c r="Z163" s="19">
        <f t="shared" ca="1" si="47"/>
        <v>0</v>
      </c>
      <c r="AA163" s="19">
        <f t="shared" ca="1" si="47"/>
        <v>-138.09999999962747</v>
      </c>
      <c r="AB163" s="20">
        <f t="shared" ca="1" si="47"/>
        <v>-0.89999999850988388</v>
      </c>
      <c r="AC163" s="20">
        <f t="shared" ca="1" si="47"/>
        <v>0</v>
      </c>
      <c r="AD163" s="16"/>
      <c r="AE163" s="30" t="s">
        <v>55</v>
      </c>
      <c r="AF163" s="31">
        <v>17625845</v>
      </c>
      <c r="AG163" s="31">
        <v>0</v>
      </c>
      <c r="AH163" s="31">
        <v>24407598.010000002</v>
      </c>
      <c r="AI163" s="31">
        <v>16919661</v>
      </c>
      <c r="AJ163" s="31">
        <v>7367243</v>
      </c>
      <c r="AK163" s="31">
        <v>120696</v>
      </c>
      <c r="AL163" s="31">
        <v>0</v>
      </c>
      <c r="AM163" s="31">
        <v>7237013.1000000006</v>
      </c>
      <c r="AN163" s="32">
        <v>9682647.9000000004</v>
      </c>
      <c r="AO163" s="32">
        <v>-6781753.0100000016</v>
      </c>
    </row>
    <row r="164" spans="1:41" x14ac:dyDescent="0.25">
      <c r="A164" s="3">
        <f ca="1">EOMONTH(A163+1,0)</f>
        <v>46112</v>
      </c>
      <c r="B164" s="26" t="s">
        <v>56</v>
      </c>
      <c r="C164" s="27">
        <v>8939143.2899999991</v>
      </c>
      <c r="D164" s="27">
        <v>1000</v>
      </c>
      <c r="E164" s="27">
        <v>13340609.760000002</v>
      </c>
      <c r="F164" s="27">
        <v>10949590</v>
      </c>
      <c r="G164" s="27">
        <v>2346182</v>
      </c>
      <c r="H164" s="27">
        <v>44846</v>
      </c>
      <c r="I164" s="19">
        <f ca="1">IF(L164&lt;0,0,L164)</f>
        <v>0</v>
      </c>
      <c r="J164" s="19">
        <v>3717744.71</v>
      </c>
      <c r="K164" s="20">
        <v>7231845.2900000028</v>
      </c>
      <c r="L164" s="20">
        <f t="shared" ca="1" si="39"/>
        <v>-4402466.4700000025</v>
      </c>
      <c r="M164" s="16"/>
      <c r="S164" s="26" t="s">
        <v>56</v>
      </c>
      <c r="T164" s="27">
        <f t="shared" ca="1" si="47"/>
        <v>0</v>
      </c>
      <c r="U164" s="27">
        <f t="shared" ca="1" si="47"/>
        <v>0</v>
      </c>
      <c r="V164" s="27">
        <f t="shared" ca="1" si="47"/>
        <v>42478.210000000894</v>
      </c>
      <c r="W164" s="27">
        <f t="shared" ca="1" si="47"/>
        <v>39509</v>
      </c>
      <c r="X164" s="27">
        <f t="shared" ca="1" si="47"/>
        <v>0</v>
      </c>
      <c r="Y164" s="27">
        <f t="shared" ca="1" si="47"/>
        <v>2970</v>
      </c>
      <c r="Z164" s="27">
        <f t="shared" ca="1" si="47"/>
        <v>0</v>
      </c>
      <c r="AA164" s="19">
        <f t="shared" ca="1" si="47"/>
        <v>-4981.6299999998882</v>
      </c>
      <c r="AB164" s="20">
        <f t="shared" ca="1" si="47"/>
        <v>44490.630000001751</v>
      </c>
      <c r="AC164" s="20">
        <f t="shared" ca="1" si="47"/>
        <v>-42478.210000000894</v>
      </c>
      <c r="AD164" s="16"/>
      <c r="AE164" s="26" t="s">
        <v>56</v>
      </c>
      <c r="AF164" s="27">
        <v>8939143.2899999991</v>
      </c>
      <c r="AG164" s="27">
        <v>1000</v>
      </c>
      <c r="AH164" s="27">
        <v>13298131.550000001</v>
      </c>
      <c r="AI164" s="27">
        <v>10910081</v>
      </c>
      <c r="AJ164" s="27">
        <v>2346182</v>
      </c>
      <c r="AK164" s="27">
        <v>41876</v>
      </c>
      <c r="AL164" s="27">
        <v>0</v>
      </c>
      <c r="AM164" s="19">
        <v>3722726.34</v>
      </c>
      <c r="AN164" s="20">
        <v>7187354.6600000011</v>
      </c>
      <c r="AO164" s="20">
        <v>-4359988.2600000016</v>
      </c>
    </row>
    <row r="165" spans="1:41" x14ac:dyDescent="0.25">
      <c r="A165" s="3">
        <f ca="1">EOMONTH(A164+1,0)</f>
        <v>46142</v>
      </c>
      <c r="B165" s="30" t="s">
        <v>57</v>
      </c>
      <c r="C165" s="31">
        <v>20038063.980000004</v>
      </c>
      <c r="D165" s="31">
        <v>83</v>
      </c>
      <c r="E165" s="31">
        <v>18893558.429999996</v>
      </c>
      <c r="F165" s="31">
        <v>18077503</v>
      </c>
      <c r="G165" s="31">
        <v>770185</v>
      </c>
      <c r="H165" s="31">
        <v>45881</v>
      </c>
      <c r="I165" s="31">
        <f ca="1">IF(L165&lt;0,0,L165)</f>
        <v>1144422.5500000082</v>
      </c>
      <c r="J165" s="31">
        <v>4908763.1899999995</v>
      </c>
      <c r="K165" s="32">
        <v>13168739.810000001</v>
      </c>
      <c r="L165" s="32">
        <f t="shared" ca="1" si="39"/>
        <v>1144422.5500000082</v>
      </c>
      <c r="M165" s="16"/>
      <c r="S165" s="26" t="s">
        <v>57</v>
      </c>
      <c r="T165" s="27">
        <f t="shared" ca="1" si="47"/>
        <v>0</v>
      </c>
      <c r="U165" s="27">
        <f t="shared" ca="1" si="47"/>
        <v>0</v>
      </c>
      <c r="V165" s="27">
        <f t="shared" ca="1" si="47"/>
        <v>529134.8200000003</v>
      </c>
      <c r="W165" s="27">
        <f t="shared" ca="1" si="47"/>
        <v>526109</v>
      </c>
      <c r="X165" s="27">
        <f t="shared" ca="1" si="47"/>
        <v>-1</v>
      </c>
      <c r="Y165" s="27">
        <f t="shared" ca="1" si="47"/>
        <v>3027</v>
      </c>
      <c r="Z165" s="27">
        <f t="shared" ca="1" si="47"/>
        <v>-529134.8200000003</v>
      </c>
      <c r="AA165" s="19">
        <f t="shared" ca="1" si="47"/>
        <v>480.40999999921769</v>
      </c>
      <c r="AB165" s="20">
        <f t="shared" ca="1" si="47"/>
        <v>525628.58999999799</v>
      </c>
      <c r="AC165" s="20">
        <f t="shared" ca="1" si="47"/>
        <v>-529134.8200000003</v>
      </c>
      <c r="AD165" s="16"/>
      <c r="AE165" s="30" t="s">
        <v>57</v>
      </c>
      <c r="AF165" s="31">
        <v>20038063.980000004</v>
      </c>
      <c r="AG165" s="31">
        <v>83</v>
      </c>
      <c r="AH165" s="31">
        <v>18364423.609999996</v>
      </c>
      <c r="AI165" s="31">
        <v>17551394</v>
      </c>
      <c r="AJ165" s="31">
        <v>770186</v>
      </c>
      <c r="AK165" s="31">
        <v>42854</v>
      </c>
      <c r="AL165" s="31">
        <v>1673557.3700000085</v>
      </c>
      <c r="AM165" s="31">
        <v>4908282.78</v>
      </c>
      <c r="AN165" s="32">
        <v>12643111.220000003</v>
      </c>
      <c r="AO165" s="32">
        <v>1673557.3700000085</v>
      </c>
    </row>
    <row r="166" spans="1:41" ht="15.75" thickBot="1" x14ac:dyDescent="0.3">
      <c r="A166" s="3">
        <f ca="1">EOMONTH(A165+1,0)</f>
        <v>46173</v>
      </c>
      <c r="B166" s="26" t="s">
        <v>58</v>
      </c>
      <c r="C166" s="27">
        <f ca="1">O10</f>
        <v>5891203.9900000002</v>
      </c>
      <c r="D166" s="27">
        <v>0</v>
      </c>
      <c r="E166" s="27">
        <v>4013321.62</v>
      </c>
      <c r="F166" s="27">
        <v>4002356</v>
      </c>
      <c r="G166" s="27">
        <v>1999</v>
      </c>
      <c r="H166" s="27">
        <v>8970</v>
      </c>
      <c r="I166" s="19">
        <f ca="1">IF(L166&lt;0,0,L166)</f>
        <v>1877882.37</v>
      </c>
      <c r="J166" s="19">
        <v>218512.35999999996</v>
      </c>
      <c r="K166" s="20">
        <v>3783843.6399999997</v>
      </c>
      <c r="L166" s="20">
        <f ca="1">C166-E166-D166</f>
        <v>1877882.37</v>
      </c>
      <c r="M166" s="16"/>
      <c r="S166" s="26" t="s">
        <v>58</v>
      </c>
      <c r="T166" s="27">
        <f t="shared" ca="1" si="47"/>
        <v>2409676.5499999998</v>
      </c>
      <c r="U166" s="27">
        <f t="shared" ca="1" si="47"/>
        <v>0</v>
      </c>
      <c r="V166" s="27">
        <f t="shared" ca="1" si="47"/>
        <v>2375723.39</v>
      </c>
      <c r="W166" s="27">
        <f t="shared" ca="1" si="47"/>
        <v>2371726</v>
      </c>
      <c r="X166" s="27">
        <f t="shared" ca="1" si="47"/>
        <v>1999</v>
      </c>
      <c r="Y166" s="27">
        <f t="shared" ca="1" si="47"/>
        <v>2000</v>
      </c>
      <c r="Z166" s="27">
        <f t="shared" ca="1" si="47"/>
        <v>33953.159999999683</v>
      </c>
      <c r="AA166" s="19">
        <f t="shared" ca="1" si="47"/>
        <v>172483.94999999998</v>
      </c>
      <c r="AB166" s="20">
        <f t="shared" ca="1" si="47"/>
        <v>2199242.0499999998</v>
      </c>
      <c r="AC166" s="20">
        <f t="shared" ca="1" si="47"/>
        <v>33953.159999999683</v>
      </c>
      <c r="AD166" s="16"/>
      <c r="AE166" s="26" t="s">
        <v>58</v>
      </c>
      <c r="AF166" s="27">
        <v>3481527.4400000004</v>
      </c>
      <c r="AG166" s="27">
        <v>0</v>
      </c>
      <c r="AH166" s="27">
        <v>1637598.23</v>
      </c>
      <c r="AI166" s="27">
        <v>1630630</v>
      </c>
      <c r="AJ166" s="27">
        <v>0</v>
      </c>
      <c r="AK166" s="27">
        <v>6970</v>
      </c>
      <c r="AL166" s="27">
        <v>1843929.2100000004</v>
      </c>
      <c r="AM166" s="19">
        <v>46028.409999999974</v>
      </c>
      <c r="AN166" s="20">
        <v>1584601.59</v>
      </c>
      <c r="AO166" s="20">
        <v>1843929.2100000004</v>
      </c>
    </row>
    <row r="167" spans="1:41" ht="15.75" thickBot="1" x14ac:dyDescent="0.3">
      <c r="A167" s="3"/>
      <c r="B167" s="36" t="s">
        <v>59</v>
      </c>
      <c r="C167" s="37">
        <f ca="1">SUM(C131:C135)+C148+C161</f>
        <v>244428671.84999999</v>
      </c>
      <c r="D167" s="37">
        <f t="shared" ref="D167:K167" ca="1" si="49">SUM(D131:D135)+D148+D161</f>
        <v>50433</v>
      </c>
      <c r="E167" s="37">
        <f t="shared" ca="1" si="49"/>
        <v>333928776.14999998</v>
      </c>
      <c r="F167" s="37">
        <f t="shared" ca="1" si="49"/>
        <v>169564181</v>
      </c>
      <c r="G167" s="37">
        <f t="shared" ca="1" si="49"/>
        <v>163719979</v>
      </c>
      <c r="H167" s="37">
        <f t="shared" ca="1" si="49"/>
        <v>644677</v>
      </c>
      <c r="I167" s="37">
        <f t="shared" ca="1" si="49"/>
        <v>3022304.9200000083</v>
      </c>
      <c r="J167" s="37">
        <f t="shared" ca="1" si="49"/>
        <v>45071458.68</v>
      </c>
      <c r="K167" s="37">
        <f t="shared" ca="1" si="49"/>
        <v>124492722.31999999</v>
      </c>
      <c r="L167" s="38">
        <f t="shared" ca="1" si="39"/>
        <v>-89550537.299999982</v>
      </c>
      <c r="S167" s="39" t="s">
        <v>59</v>
      </c>
      <c r="T167" s="40">
        <f t="shared" ca="1" si="47"/>
        <v>2409676.5499999821</v>
      </c>
      <c r="U167" s="40">
        <f t="shared" ca="1" si="47"/>
        <v>0</v>
      </c>
      <c r="V167" s="40">
        <f t="shared" ca="1" si="47"/>
        <v>3318610.2400000095</v>
      </c>
      <c r="W167" s="40">
        <f t="shared" ca="1" si="47"/>
        <v>3309121</v>
      </c>
      <c r="X167" s="40">
        <f t="shared" ca="1" si="47"/>
        <v>1494</v>
      </c>
      <c r="Y167" s="40">
        <f t="shared" ca="1" si="47"/>
        <v>7997</v>
      </c>
      <c r="Z167" s="40">
        <f t="shared" ca="1" si="46"/>
        <v>-495181.66000000061</v>
      </c>
      <c r="AA167" s="40">
        <f t="shared" ca="1" si="46"/>
        <v>541007.61999999732</v>
      </c>
      <c r="AB167" s="40">
        <f t="shared" ca="1" si="46"/>
        <v>2768113.3799999952</v>
      </c>
      <c r="AC167" s="41">
        <f t="shared" ca="1" si="46"/>
        <v>-908933.69000002742</v>
      </c>
      <c r="AE167" s="36" t="s">
        <v>59</v>
      </c>
      <c r="AF167" s="37">
        <v>242018995.30000001</v>
      </c>
      <c r="AG167" s="37">
        <v>50433</v>
      </c>
      <c r="AH167" s="37">
        <v>330610165.90999997</v>
      </c>
      <c r="AI167" s="37">
        <v>166255060</v>
      </c>
      <c r="AJ167" s="37">
        <v>163718485</v>
      </c>
      <c r="AK167" s="37">
        <v>636680</v>
      </c>
      <c r="AL167" s="37">
        <v>3517486.5800000089</v>
      </c>
      <c r="AM167" s="37">
        <v>44530451.060000002</v>
      </c>
      <c r="AN167" s="37">
        <v>121724608.94</v>
      </c>
      <c r="AO167" s="38">
        <v>-88641603.609999955</v>
      </c>
    </row>
    <row r="170" spans="1:41" ht="21.75" thickBot="1" x14ac:dyDescent="0.4">
      <c r="B170" s="5" t="str">
        <f ca="1">_xlfn.CONCAT("Abu Dhabi Summary as on-",TEXT(N2,"DD/MM/YYYY"))</f>
        <v>Abu Dhabi Summary as on-06/05/2026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48"/>
      <c r="S170" s="5" t="str">
        <f ca="1">B170</f>
        <v>Abu Dhabi Summary as on-06/05/2026</v>
      </c>
      <c r="T170" s="6"/>
      <c r="U170" s="6"/>
      <c r="V170" s="6"/>
      <c r="W170" s="6"/>
      <c r="X170" s="6"/>
      <c r="Y170" s="6"/>
      <c r="Z170" s="6"/>
      <c r="AA170" s="6"/>
      <c r="AB170" s="6"/>
      <c r="AC170" s="6"/>
      <c r="AE170" s="5" t="str">
        <f ca="1">CONCATENATE("Abu Dhabi Summary as on-",TEXT(TODAY()-3,"dd/mm/yyyy"))</f>
        <v>Abu Dhabi Summary as on-05/05/2026</v>
      </c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1:41" ht="40.15" customHeight="1" x14ac:dyDescent="0.25">
      <c r="B171" s="7" t="s">
        <v>6</v>
      </c>
      <c r="C171" s="8" t="s">
        <v>7</v>
      </c>
      <c r="D171" s="8" t="s">
        <v>8</v>
      </c>
      <c r="E171" s="8" t="s">
        <v>9</v>
      </c>
      <c r="F171" s="9" t="s">
        <v>10</v>
      </c>
      <c r="G171" s="8" t="s">
        <v>11</v>
      </c>
      <c r="H171" s="8" t="s">
        <v>12</v>
      </c>
      <c r="I171" s="8" t="s">
        <v>13</v>
      </c>
      <c r="J171" s="49" t="s">
        <v>64</v>
      </c>
      <c r="K171" s="50" t="s">
        <v>65</v>
      </c>
      <c r="L171" s="12" t="s">
        <v>16</v>
      </c>
      <c r="S171" s="7" t="s">
        <v>6</v>
      </c>
      <c r="T171" s="8" t="s">
        <v>7</v>
      </c>
      <c r="U171" s="8" t="s">
        <v>8</v>
      </c>
      <c r="V171" s="8" t="s">
        <v>9</v>
      </c>
      <c r="W171" s="9" t="s">
        <v>10</v>
      </c>
      <c r="X171" s="8" t="s">
        <v>11</v>
      </c>
      <c r="Y171" s="8" t="s">
        <v>12</v>
      </c>
      <c r="Z171" s="8" t="s">
        <v>13</v>
      </c>
      <c r="AA171" s="49" t="s">
        <v>64</v>
      </c>
      <c r="AB171" s="50" t="s">
        <v>65</v>
      </c>
      <c r="AC171" s="12" t="s">
        <v>16</v>
      </c>
      <c r="AE171" s="7" t="s">
        <v>6</v>
      </c>
      <c r="AF171" s="8" t="s">
        <v>7</v>
      </c>
      <c r="AG171" s="8" t="s">
        <v>8</v>
      </c>
      <c r="AH171" s="8" t="s">
        <v>9</v>
      </c>
      <c r="AI171" s="9" t="s">
        <v>10</v>
      </c>
      <c r="AJ171" s="8" t="s">
        <v>11</v>
      </c>
      <c r="AK171" s="8" t="s">
        <v>12</v>
      </c>
      <c r="AL171" s="8" t="s">
        <v>13</v>
      </c>
      <c r="AM171" s="49" t="s">
        <v>64</v>
      </c>
      <c r="AN171" s="50" t="s">
        <v>65</v>
      </c>
      <c r="AO171" s="12" t="s">
        <v>16</v>
      </c>
    </row>
    <row r="172" spans="1:41" x14ac:dyDescent="0.25">
      <c r="A172" s="3">
        <v>44196</v>
      </c>
      <c r="B172" s="13" t="s">
        <v>17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f ca="1">C172-E172-D172</f>
        <v>0</v>
      </c>
      <c r="J172" s="14">
        <v>0</v>
      </c>
      <c r="K172" s="15">
        <v>0</v>
      </c>
      <c r="L172" s="15">
        <f t="shared" ref="L172:L206" ca="1" si="50">C172-E172-D172</f>
        <v>0</v>
      </c>
      <c r="N172" t="s">
        <v>66</v>
      </c>
      <c r="S172" s="18" t="s">
        <v>17</v>
      </c>
      <c r="T172" s="19">
        <f t="shared" ref="T172:AC208" ca="1" si="51">C172-AF172</f>
        <v>0</v>
      </c>
      <c r="U172" s="19">
        <f t="shared" ca="1" si="51"/>
        <v>0</v>
      </c>
      <c r="V172" s="19">
        <f t="shared" ca="1" si="51"/>
        <v>0</v>
      </c>
      <c r="W172" s="19">
        <f t="shared" ca="1" si="51"/>
        <v>0</v>
      </c>
      <c r="X172" s="19">
        <f t="shared" ca="1" si="51"/>
        <v>0</v>
      </c>
      <c r="Y172" s="19">
        <f t="shared" ca="1" si="51"/>
        <v>0</v>
      </c>
      <c r="Z172" s="19">
        <f t="shared" ca="1" si="51"/>
        <v>0</v>
      </c>
      <c r="AA172" s="19">
        <f t="shared" ca="1" si="51"/>
        <v>0</v>
      </c>
      <c r="AB172" s="20">
        <f t="shared" ca="1" si="51"/>
        <v>0</v>
      </c>
      <c r="AC172" s="20">
        <f t="shared" ca="1" si="51"/>
        <v>0</v>
      </c>
      <c r="AE172" s="13" t="s">
        <v>17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5">
        <v>0</v>
      </c>
      <c r="AO172" s="15">
        <v>0</v>
      </c>
    </row>
    <row r="173" spans="1:41" x14ac:dyDescent="0.25">
      <c r="A173" s="3">
        <v>44561</v>
      </c>
      <c r="B173" s="13" t="s">
        <v>18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f ca="1">C173-E173-D173</f>
        <v>0</v>
      </c>
      <c r="J173" s="14">
        <v>0</v>
      </c>
      <c r="K173" s="15">
        <v>0</v>
      </c>
      <c r="L173" s="15">
        <f t="shared" ca="1" si="50"/>
        <v>0</v>
      </c>
      <c r="S173" s="18" t="s">
        <v>18</v>
      </c>
      <c r="T173" s="19">
        <f t="shared" ca="1" si="51"/>
        <v>0</v>
      </c>
      <c r="U173" s="19">
        <f t="shared" ca="1" si="51"/>
        <v>0</v>
      </c>
      <c r="V173" s="19">
        <f t="shared" ca="1" si="51"/>
        <v>0</v>
      </c>
      <c r="W173" s="19">
        <f t="shared" ca="1" si="51"/>
        <v>0</v>
      </c>
      <c r="X173" s="19">
        <f t="shared" ca="1" si="51"/>
        <v>0</v>
      </c>
      <c r="Y173" s="19">
        <f t="shared" ca="1" si="51"/>
        <v>0</v>
      </c>
      <c r="Z173" s="19">
        <f t="shared" ca="1" si="51"/>
        <v>0</v>
      </c>
      <c r="AA173" s="19">
        <f t="shared" ca="1" si="51"/>
        <v>0</v>
      </c>
      <c r="AB173" s="20">
        <f t="shared" ca="1" si="51"/>
        <v>0</v>
      </c>
      <c r="AC173" s="20">
        <f t="shared" ca="1" si="51"/>
        <v>0</v>
      </c>
      <c r="AE173" s="13" t="s">
        <v>18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5">
        <v>0</v>
      </c>
      <c r="AO173" s="15">
        <v>0</v>
      </c>
    </row>
    <row r="174" spans="1:41" x14ac:dyDescent="0.25">
      <c r="A174" s="3">
        <f ca="1">EOMONTH(A173,12)</f>
        <v>44926</v>
      </c>
      <c r="B174" s="13" t="s">
        <v>20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f ca="1">C174-E174-D174</f>
        <v>0</v>
      </c>
      <c r="J174" s="14">
        <v>0</v>
      </c>
      <c r="K174" s="15">
        <v>0</v>
      </c>
      <c r="L174" s="15">
        <f t="shared" ca="1" si="50"/>
        <v>0</v>
      </c>
      <c r="S174" s="18" t="s">
        <v>20</v>
      </c>
      <c r="T174" s="19">
        <f t="shared" ca="1" si="51"/>
        <v>0</v>
      </c>
      <c r="U174" s="19">
        <f t="shared" ca="1" si="51"/>
        <v>0</v>
      </c>
      <c r="V174" s="19">
        <f t="shared" ca="1" si="51"/>
        <v>0</v>
      </c>
      <c r="W174" s="19">
        <f t="shared" ca="1" si="51"/>
        <v>0</v>
      </c>
      <c r="X174" s="19">
        <f t="shared" ca="1" si="51"/>
        <v>0</v>
      </c>
      <c r="Y174" s="19">
        <f t="shared" ca="1" si="51"/>
        <v>0</v>
      </c>
      <c r="Z174" s="19">
        <f t="shared" ca="1" si="51"/>
        <v>0</v>
      </c>
      <c r="AA174" s="19">
        <f t="shared" ca="1" si="51"/>
        <v>0</v>
      </c>
      <c r="AB174" s="20">
        <f t="shared" ca="1" si="51"/>
        <v>0</v>
      </c>
      <c r="AC174" s="20">
        <f t="shared" ca="1" si="51"/>
        <v>0</v>
      </c>
      <c r="AE174" s="13" t="s">
        <v>20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5">
        <v>0</v>
      </c>
      <c r="AO174" s="15">
        <v>0</v>
      </c>
    </row>
    <row r="175" spans="1:41" x14ac:dyDescent="0.25">
      <c r="A175" s="3">
        <f ca="1">EOMONTH(A174,12)</f>
        <v>45291</v>
      </c>
      <c r="B175" s="13" t="s">
        <v>22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f ca="1">C175-E175-D175</f>
        <v>0</v>
      </c>
      <c r="J175" s="14">
        <v>0</v>
      </c>
      <c r="K175" s="15">
        <v>0</v>
      </c>
      <c r="L175" s="15">
        <f t="shared" ca="1" si="50"/>
        <v>0</v>
      </c>
      <c r="S175" s="18" t="s">
        <v>22</v>
      </c>
      <c r="T175" s="19">
        <f t="shared" ca="1" si="51"/>
        <v>0</v>
      </c>
      <c r="U175" s="19">
        <f t="shared" ca="1" si="51"/>
        <v>0</v>
      </c>
      <c r="V175" s="19">
        <f t="shared" ca="1" si="51"/>
        <v>0</v>
      </c>
      <c r="W175" s="19">
        <f t="shared" ca="1" si="51"/>
        <v>0</v>
      </c>
      <c r="X175" s="19">
        <f t="shared" ca="1" si="51"/>
        <v>0</v>
      </c>
      <c r="Y175" s="19">
        <f t="shared" ca="1" si="51"/>
        <v>0</v>
      </c>
      <c r="Z175" s="19">
        <f t="shared" ca="1" si="51"/>
        <v>0</v>
      </c>
      <c r="AA175" s="19">
        <f t="shared" ca="1" si="51"/>
        <v>0</v>
      </c>
      <c r="AB175" s="20">
        <f t="shared" ca="1" si="51"/>
        <v>0</v>
      </c>
      <c r="AC175" s="20">
        <f t="shared" ca="1" si="51"/>
        <v>0</v>
      </c>
      <c r="AE175" s="13" t="s">
        <v>22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5">
        <v>0</v>
      </c>
      <c r="AO175" s="15">
        <v>0</v>
      </c>
    </row>
    <row r="176" spans="1:41" x14ac:dyDescent="0.25">
      <c r="A176" s="3">
        <v>45291</v>
      </c>
      <c r="B176" s="13" t="s">
        <v>24</v>
      </c>
      <c r="C176" s="14">
        <f t="shared" ref="C176:H176" ca="1" si="52">SUM(C177:C188)</f>
        <v>0</v>
      </c>
      <c r="D176" s="14">
        <f t="shared" ca="1" si="52"/>
        <v>0</v>
      </c>
      <c r="E176" s="14">
        <f t="shared" ca="1" si="52"/>
        <v>0</v>
      </c>
      <c r="F176" s="14">
        <f t="shared" ca="1" si="52"/>
        <v>0</v>
      </c>
      <c r="G176" s="14">
        <f t="shared" ca="1" si="52"/>
        <v>0</v>
      </c>
      <c r="H176" s="14">
        <f t="shared" ca="1" si="52"/>
        <v>0</v>
      </c>
      <c r="I176" s="14">
        <f ca="1">SUM(I177:I188)</f>
        <v>0</v>
      </c>
      <c r="J176" s="14">
        <f ca="1">SUM(J177:J188)</f>
        <v>0</v>
      </c>
      <c r="K176" s="15">
        <f ca="1">SUM(K177:K188)</f>
        <v>0</v>
      </c>
      <c r="L176" s="15">
        <f t="shared" ca="1" si="50"/>
        <v>0</v>
      </c>
      <c r="S176" s="18" t="s">
        <v>24</v>
      </c>
      <c r="T176" s="19">
        <f t="shared" ca="1" si="51"/>
        <v>0</v>
      </c>
      <c r="U176" s="19">
        <f t="shared" ca="1" si="51"/>
        <v>0</v>
      </c>
      <c r="V176" s="19">
        <f t="shared" ca="1" si="51"/>
        <v>0</v>
      </c>
      <c r="W176" s="19">
        <f t="shared" ca="1" si="51"/>
        <v>0</v>
      </c>
      <c r="X176" s="19">
        <f t="shared" ca="1" si="51"/>
        <v>0</v>
      </c>
      <c r="Y176" s="19">
        <f t="shared" ca="1" si="51"/>
        <v>0</v>
      </c>
      <c r="Z176" s="19">
        <f t="shared" ca="1" si="51"/>
        <v>0</v>
      </c>
      <c r="AA176" s="19">
        <f t="shared" ca="1" si="51"/>
        <v>0</v>
      </c>
      <c r="AB176" s="20">
        <f t="shared" ca="1" si="51"/>
        <v>0</v>
      </c>
      <c r="AC176" s="20">
        <f t="shared" ca="1" si="51"/>
        <v>0</v>
      </c>
      <c r="AE176" s="13" t="s">
        <v>24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5">
        <v>0</v>
      </c>
      <c r="AO176" s="15">
        <v>0</v>
      </c>
    </row>
    <row r="177" spans="1:41" x14ac:dyDescent="0.25">
      <c r="A177" s="3">
        <v>45322</v>
      </c>
      <c r="B177" s="26" t="s">
        <v>26</v>
      </c>
      <c r="C177" s="27"/>
      <c r="D177" s="27"/>
      <c r="E177" s="27"/>
      <c r="F177" s="27"/>
      <c r="G177" s="27"/>
      <c r="H177" s="27"/>
      <c r="I177" s="27"/>
      <c r="J177" s="27"/>
      <c r="K177" s="28"/>
      <c r="L177" s="28">
        <f t="shared" ca="1" si="50"/>
        <v>0</v>
      </c>
      <c r="S177" s="26" t="s">
        <v>26</v>
      </c>
      <c r="T177" s="27">
        <f t="shared" ca="1" si="51"/>
        <v>0</v>
      </c>
      <c r="U177" s="27">
        <f t="shared" ca="1" si="51"/>
        <v>0</v>
      </c>
      <c r="V177" s="27">
        <f t="shared" ca="1" si="51"/>
        <v>0</v>
      </c>
      <c r="W177" s="27">
        <f t="shared" ca="1" si="51"/>
        <v>0</v>
      </c>
      <c r="X177" s="27">
        <f t="shared" ca="1" si="51"/>
        <v>0</v>
      </c>
      <c r="Y177" s="27">
        <f t="shared" ca="1" si="51"/>
        <v>0</v>
      </c>
      <c r="Z177" s="27">
        <f t="shared" ca="1" si="51"/>
        <v>0</v>
      </c>
      <c r="AA177" s="27">
        <f t="shared" ca="1" si="51"/>
        <v>0</v>
      </c>
      <c r="AB177" s="28">
        <f t="shared" ca="1" si="51"/>
        <v>0</v>
      </c>
      <c r="AC177" s="28">
        <f t="shared" ca="1" si="51"/>
        <v>0</v>
      </c>
      <c r="AE177" s="26" t="s">
        <v>26</v>
      </c>
      <c r="AF177" s="27"/>
      <c r="AG177" s="27"/>
      <c r="AH177" s="27"/>
      <c r="AI177" s="27"/>
      <c r="AJ177" s="27"/>
      <c r="AK177" s="27"/>
      <c r="AL177" s="27"/>
      <c r="AM177" s="27"/>
      <c r="AN177" s="28"/>
      <c r="AO177" s="28">
        <v>0</v>
      </c>
    </row>
    <row r="178" spans="1:41" x14ac:dyDescent="0.25">
      <c r="A178" s="3">
        <f ca="1">EOMONTH(A177+1,0)</f>
        <v>45351</v>
      </c>
      <c r="B178" s="30" t="s">
        <v>28</v>
      </c>
      <c r="C178" s="31"/>
      <c r="D178" s="31"/>
      <c r="E178" s="31"/>
      <c r="F178" s="31"/>
      <c r="G178" s="31"/>
      <c r="H178" s="31"/>
      <c r="I178" s="31"/>
      <c r="J178" s="31"/>
      <c r="K178" s="32"/>
      <c r="L178" s="32">
        <f t="shared" ca="1" si="50"/>
        <v>0</v>
      </c>
      <c r="S178" s="33" t="s">
        <v>28</v>
      </c>
      <c r="T178" s="19">
        <f t="shared" ca="1" si="51"/>
        <v>0</v>
      </c>
      <c r="U178" s="19">
        <f t="shared" ca="1" si="51"/>
        <v>0</v>
      </c>
      <c r="V178" s="19">
        <f t="shared" ca="1" si="51"/>
        <v>0</v>
      </c>
      <c r="W178" s="19">
        <f t="shared" ca="1" si="51"/>
        <v>0</v>
      </c>
      <c r="X178" s="19">
        <f t="shared" ca="1" si="51"/>
        <v>0</v>
      </c>
      <c r="Y178" s="19">
        <f t="shared" ca="1" si="51"/>
        <v>0</v>
      </c>
      <c r="Z178" s="19">
        <f t="shared" ca="1" si="51"/>
        <v>0</v>
      </c>
      <c r="AA178" s="19">
        <f t="shared" ca="1" si="51"/>
        <v>0</v>
      </c>
      <c r="AB178" s="20">
        <f t="shared" ca="1" si="51"/>
        <v>0</v>
      </c>
      <c r="AC178" s="20">
        <f t="shared" ca="1" si="51"/>
        <v>0</v>
      </c>
      <c r="AE178" s="30" t="s">
        <v>28</v>
      </c>
      <c r="AF178" s="31"/>
      <c r="AG178" s="31"/>
      <c r="AH178" s="31"/>
      <c r="AI178" s="31"/>
      <c r="AJ178" s="31"/>
      <c r="AK178" s="31"/>
      <c r="AL178" s="31"/>
      <c r="AM178" s="31"/>
      <c r="AN178" s="32"/>
      <c r="AO178" s="32">
        <v>0</v>
      </c>
    </row>
    <row r="179" spans="1:41" x14ac:dyDescent="0.25">
      <c r="A179" s="3">
        <f t="shared" ref="A179:A188" ca="1" si="53">EOMONTH(A178+1,0)</f>
        <v>45382</v>
      </c>
      <c r="B179" s="26" t="s">
        <v>29</v>
      </c>
      <c r="C179" s="27"/>
      <c r="D179" s="27"/>
      <c r="E179" s="27"/>
      <c r="F179" s="27"/>
      <c r="G179" s="27"/>
      <c r="H179" s="27"/>
      <c r="I179" s="27"/>
      <c r="J179" s="19"/>
      <c r="K179" s="20"/>
      <c r="L179" s="20">
        <f t="shared" ca="1" si="50"/>
        <v>0</v>
      </c>
      <c r="S179" s="26" t="s">
        <v>29</v>
      </c>
      <c r="T179" s="27">
        <f t="shared" ca="1" si="51"/>
        <v>0</v>
      </c>
      <c r="U179" s="27">
        <f t="shared" ca="1" si="51"/>
        <v>0</v>
      </c>
      <c r="V179" s="27">
        <f t="shared" ca="1" si="51"/>
        <v>0</v>
      </c>
      <c r="W179" s="27">
        <f t="shared" ca="1" si="51"/>
        <v>0</v>
      </c>
      <c r="X179" s="27">
        <f t="shared" ca="1" si="51"/>
        <v>0</v>
      </c>
      <c r="Y179" s="27">
        <f t="shared" ca="1" si="51"/>
        <v>0</v>
      </c>
      <c r="Z179" s="27">
        <f t="shared" ca="1" si="51"/>
        <v>0</v>
      </c>
      <c r="AA179" s="19">
        <f t="shared" ca="1" si="51"/>
        <v>0</v>
      </c>
      <c r="AB179" s="20">
        <f t="shared" ca="1" si="51"/>
        <v>0</v>
      </c>
      <c r="AC179" s="20">
        <f t="shared" ca="1" si="51"/>
        <v>0</v>
      </c>
      <c r="AE179" s="26" t="s">
        <v>29</v>
      </c>
      <c r="AF179" s="27"/>
      <c r="AG179" s="27"/>
      <c r="AH179" s="27"/>
      <c r="AI179" s="27"/>
      <c r="AJ179" s="27"/>
      <c r="AK179" s="27"/>
      <c r="AL179" s="27"/>
      <c r="AM179" s="19"/>
      <c r="AN179" s="20"/>
      <c r="AO179" s="20">
        <v>0</v>
      </c>
    </row>
    <row r="180" spans="1:41" x14ac:dyDescent="0.25">
      <c r="A180" s="3">
        <f t="shared" ca="1" si="53"/>
        <v>45412</v>
      </c>
      <c r="B180" s="30" t="s">
        <v>30</v>
      </c>
      <c r="C180" s="31"/>
      <c r="D180" s="31"/>
      <c r="E180" s="31"/>
      <c r="F180" s="31"/>
      <c r="G180" s="31"/>
      <c r="H180" s="31"/>
      <c r="I180" s="31"/>
      <c r="J180" s="31"/>
      <c r="K180" s="32"/>
      <c r="L180" s="32">
        <f t="shared" ca="1" si="50"/>
        <v>0</v>
      </c>
      <c r="S180" s="33" t="s">
        <v>30</v>
      </c>
      <c r="T180" s="19">
        <f t="shared" ca="1" si="51"/>
        <v>0</v>
      </c>
      <c r="U180" s="19">
        <f t="shared" ca="1" si="51"/>
        <v>0</v>
      </c>
      <c r="V180" s="19">
        <f t="shared" ca="1" si="51"/>
        <v>0</v>
      </c>
      <c r="W180" s="19">
        <f t="shared" ca="1" si="51"/>
        <v>0</v>
      </c>
      <c r="X180" s="19">
        <f t="shared" ca="1" si="51"/>
        <v>0</v>
      </c>
      <c r="Y180" s="19">
        <f t="shared" ca="1" si="51"/>
        <v>0</v>
      </c>
      <c r="Z180" s="19">
        <f t="shared" ca="1" si="51"/>
        <v>0</v>
      </c>
      <c r="AA180" s="19">
        <f t="shared" ca="1" si="51"/>
        <v>0</v>
      </c>
      <c r="AB180" s="20">
        <f t="shared" ca="1" si="51"/>
        <v>0</v>
      </c>
      <c r="AC180" s="20">
        <f t="shared" ca="1" si="51"/>
        <v>0</v>
      </c>
      <c r="AE180" s="30" t="s">
        <v>30</v>
      </c>
      <c r="AF180" s="31"/>
      <c r="AG180" s="31"/>
      <c r="AH180" s="31"/>
      <c r="AI180" s="31"/>
      <c r="AJ180" s="31"/>
      <c r="AK180" s="31"/>
      <c r="AL180" s="31"/>
      <c r="AM180" s="31"/>
      <c r="AN180" s="32"/>
      <c r="AO180" s="32">
        <v>0</v>
      </c>
    </row>
    <row r="181" spans="1:41" x14ac:dyDescent="0.25">
      <c r="A181" s="3">
        <f t="shared" ca="1" si="53"/>
        <v>45443</v>
      </c>
      <c r="B181" s="26" t="s">
        <v>31</v>
      </c>
      <c r="C181" s="27"/>
      <c r="D181" s="27"/>
      <c r="E181" s="27"/>
      <c r="F181" s="27"/>
      <c r="G181" s="27"/>
      <c r="H181" s="27"/>
      <c r="I181" s="27"/>
      <c r="J181" s="19"/>
      <c r="K181" s="20"/>
      <c r="L181" s="20">
        <f t="shared" ca="1" si="50"/>
        <v>0</v>
      </c>
      <c r="S181" s="26" t="s">
        <v>31</v>
      </c>
      <c r="T181" s="27">
        <f t="shared" ca="1" si="51"/>
        <v>0</v>
      </c>
      <c r="U181" s="27">
        <f t="shared" ca="1" si="51"/>
        <v>0</v>
      </c>
      <c r="V181" s="27">
        <f t="shared" ca="1" si="51"/>
        <v>0</v>
      </c>
      <c r="W181" s="27">
        <f t="shared" ca="1" si="51"/>
        <v>0</v>
      </c>
      <c r="X181" s="27">
        <f t="shared" ca="1" si="51"/>
        <v>0</v>
      </c>
      <c r="Y181" s="27">
        <f t="shared" ca="1" si="51"/>
        <v>0</v>
      </c>
      <c r="Z181" s="27">
        <f t="shared" ca="1" si="51"/>
        <v>0</v>
      </c>
      <c r="AA181" s="19">
        <f t="shared" ca="1" si="51"/>
        <v>0</v>
      </c>
      <c r="AB181" s="20">
        <f t="shared" ca="1" si="51"/>
        <v>0</v>
      </c>
      <c r="AC181" s="20">
        <f t="shared" ca="1" si="51"/>
        <v>0</v>
      </c>
      <c r="AE181" s="26" t="s">
        <v>31</v>
      </c>
      <c r="AF181" s="27"/>
      <c r="AG181" s="27"/>
      <c r="AH181" s="27"/>
      <c r="AI181" s="27"/>
      <c r="AJ181" s="27"/>
      <c r="AK181" s="27"/>
      <c r="AL181" s="27"/>
      <c r="AM181" s="19"/>
      <c r="AN181" s="20"/>
      <c r="AO181" s="20">
        <v>0</v>
      </c>
    </row>
    <row r="182" spans="1:41" x14ac:dyDescent="0.25">
      <c r="A182" s="3">
        <f t="shared" ca="1" si="53"/>
        <v>45473</v>
      </c>
      <c r="B182" s="30" t="s">
        <v>33</v>
      </c>
      <c r="C182" s="31"/>
      <c r="D182" s="31"/>
      <c r="E182" s="31"/>
      <c r="F182" s="31"/>
      <c r="G182" s="31"/>
      <c r="H182" s="31"/>
      <c r="I182" s="31"/>
      <c r="J182" s="31"/>
      <c r="K182" s="32"/>
      <c r="L182" s="32">
        <f t="shared" ca="1" si="50"/>
        <v>0</v>
      </c>
      <c r="S182" s="33" t="s">
        <v>33</v>
      </c>
      <c r="T182" s="19">
        <f t="shared" ca="1" si="51"/>
        <v>0</v>
      </c>
      <c r="U182" s="19">
        <f t="shared" ca="1" si="51"/>
        <v>0</v>
      </c>
      <c r="V182" s="19">
        <f t="shared" ca="1" si="51"/>
        <v>0</v>
      </c>
      <c r="W182" s="19">
        <f t="shared" ca="1" si="51"/>
        <v>0</v>
      </c>
      <c r="X182" s="19">
        <f t="shared" ca="1" si="51"/>
        <v>0</v>
      </c>
      <c r="Y182" s="19">
        <f t="shared" ca="1" si="51"/>
        <v>0</v>
      </c>
      <c r="Z182" s="19">
        <f t="shared" ca="1" si="51"/>
        <v>0</v>
      </c>
      <c r="AA182" s="19">
        <f t="shared" ca="1" si="51"/>
        <v>0</v>
      </c>
      <c r="AB182" s="20">
        <f t="shared" ca="1" si="51"/>
        <v>0</v>
      </c>
      <c r="AC182" s="20">
        <f t="shared" ca="1" si="51"/>
        <v>0</v>
      </c>
      <c r="AE182" s="30" t="s">
        <v>33</v>
      </c>
      <c r="AF182" s="31"/>
      <c r="AG182" s="31"/>
      <c r="AH182" s="31"/>
      <c r="AI182" s="31"/>
      <c r="AJ182" s="31"/>
      <c r="AK182" s="31"/>
      <c r="AL182" s="31"/>
      <c r="AM182" s="31"/>
      <c r="AN182" s="32"/>
      <c r="AO182" s="32">
        <v>0</v>
      </c>
    </row>
    <row r="183" spans="1:41" x14ac:dyDescent="0.25">
      <c r="A183" s="3">
        <f t="shared" ca="1" si="53"/>
        <v>45504</v>
      </c>
      <c r="B183" s="26" t="s">
        <v>34</v>
      </c>
      <c r="C183" s="27"/>
      <c r="D183" s="27"/>
      <c r="E183" s="27"/>
      <c r="F183" s="27" t="s">
        <v>32</v>
      </c>
      <c r="G183" s="27"/>
      <c r="H183" s="27"/>
      <c r="I183" s="27"/>
      <c r="J183" s="19"/>
      <c r="K183" s="20"/>
      <c r="L183" s="20">
        <f t="shared" ca="1" si="50"/>
        <v>0</v>
      </c>
      <c r="S183" s="26" t="s">
        <v>34</v>
      </c>
      <c r="T183" s="27">
        <f t="shared" ca="1" si="51"/>
        <v>0</v>
      </c>
      <c r="U183" s="27">
        <f t="shared" ca="1" si="51"/>
        <v>0</v>
      </c>
      <c r="V183" s="27">
        <f t="shared" ca="1" si="51"/>
        <v>0</v>
      </c>
      <c r="W183" s="27" t="e">
        <f ca="1">F183-AI183</f>
        <v>#VALUE!</v>
      </c>
      <c r="X183" s="27">
        <f t="shared" ca="1" si="51"/>
        <v>0</v>
      </c>
      <c r="Y183" s="27">
        <f t="shared" ca="1" si="51"/>
        <v>0</v>
      </c>
      <c r="Z183" s="27">
        <f t="shared" ca="1" si="51"/>
        <v>0</v>
      </c>
      <c r="AA183" s="19">
        <f t="shared" ca="1" si="51"/>
        <v>0</v>
      </c>
      <c r="AB183" s="20">
        <f t="shared" ca="1" si="51"/>
        <v>0</v>
      </c>
      <c r="AC183" s="20">
        <f t="shared" ca="1" si="51"/>
        <v>0</v>
      </c>
      <c r="AE183" s="26" t="s">
        <v>34</v>
      </c>
      <c r="AF183" s="27"/>
      <c r="AG183" s="27"/>
      <c r="AH183" s="27"/>
      <c r="AI183" s="27" t="s">
        <v>32</v>
      </c>
      <c r="AJ183" s="27"/>
      <c r="AK183" s="27"/>
      <c r="AL183" s="27"/>
      <c r="AM183" s="19"/>
      <c r="AN183" s="20"/>
      <c r="AO183" s="20">
        <v>0</v>
      </c>
    </row>
    <row r="184" spans="1:41" x14ac:dyDescent="0.25">
      <c r="A184" s="3">
        <f t="shared" ca="1" si="53"/>
        <v>45535</v>
      </c>
      <c r="B184" s="30" t="s">
        <v>35</v>
      </c>
      <c r="C184" s="31"/>
      <c r="D184" s="31"/>
      <c r="E184" s="31"/>
      <c r="F184" s="31"/>
      <c r="G184" s="31"/>
      <c r="H184" s="31"/>
      <c r="I184" s="31"/>
      <c r="J184" s="31"/>
      <c r="K184" s="32"/>
      <c r="L184" s="32">
        <f t="shared" ca="1" si="50"/>
        <v>0</v>
      </c>
      <c r="S184" s="33" t="s">
        <v>35</v>
      </c>
      <c r="T184" s="19">
        <f t="shared" ca="1" si="51"/>
        <v>0</v>
      </c>
      <c r="U184" s="19">
        <f t="shared" ca="1" si="51"/>
        <v>0</v>
      </c>
      <c r="V184" s="19">
        <f t="shared" ca="1" si="51"/>
        <v>0</v>
      </c>
      <c r="W184" s="19">
        <f t="shared" ca="1" si="51"/>
        <v>0</v>
      </c>
      <c r="X184" s="19">
        <f t="shared" ca="1" si="51"/>
        <v>0</v>
      </c>
      <c r="Y184" s="19">
        <f t="shared" ca="1" si="51"/>
        <v>0</v>
      </c>
      <c r="Z184" s="19">
        <f t="shared" ca="1" si="51"/>
        <v>0</v>
      </c>
      <c r="AA184" s="19">
        <f t="shared" ca="1" si="51"/>
        <v>0</v>
      </c>
      <c r="AB184" s="20">
        <f t="shared" ca="1" si="51"/>
        <v>0</v>
      </c>
      <c r="AC184" s="20">
        <f t="shared" ca="1" si="51"/>
        <v>0</v>
      </c>
      <c r="AE184" s="30" t="s">
        <v>35</v>
      </c>
      <c r="AF184" s="31"/>
      <c r="AG184" s="31"/>
      <c r="AH184" s="31"/>
      <c r="AI184" s="31"/>
      <c r="AJ184" s="31"/>
      <c r="AK184" s="31"/>
      <c r="AL184" s="31"/>
      <c r="AM184" s="31"/>
      <c r="AN184" s="32"/>
      <c r="AO184" s="32">
        <v>0</v>
      </c>
    </row>
    <row r="185" spans="1:41" x14ac:dyDescent="0.25">
      <c r="A185" s="3">
        <f t="shared" ca="1" si="53"/>
        <v>45565</v>
      </c>
      <c r="B185" s="26" t="s">
        <v>36</v>
      </c>
      <c r="C185" s="27"/>
      <c r="D185" s="27"/>
      <c r="E185" s="27"/>
      <c r="F185" s="27"/>
      <c r="G185" s="27"/>
      <c r="H185" s="27"/>
      <c r="I185" s="27"/>
      <c r="J185" s="19"/>
      <c r="K185" s="20"/>
      <c r="L185" s="20">
        <f t="shared" ca="1" si="50"/>
        <v>0</v>
      </c>
      <c r="S185" s="26" t="s">
        <v>36</v>
      </c>
      <c r="T185" s="27">
        <f t="shared" ca="1" si="51"/>
        <v>0</v>
      </c>
      <c r="U185" s="27">
        <f t="shared" ca="1" si="51"/>
        <v>0</v>
      </c>
      <c r="V185" s="27">
        <f t="shared" ca="1" si="51"/>
        <v>0</v>
      </c>
      <c r="W185" s="27">
        <f t="shared" ca="1" si="51"/>
        <v>0</v>
      </c>
      <c r="X185" s="27">
        <f t="shared" ca="1" si="51"/>
        <v>0</v>
      </c>
      <c r="Y185" s="27">
        <f t="shared" ca="1" si="51"/>
        <v>0</v>
      </c>
      <c r="Z185" s="27">
        <f t="shared" ca="1" si="51"/>
        <v>0</v>
      </c>
      <c r="AA185" s="19">
        <f t="shared" ca="1" si="51"/>
        <v>0</v>
      </c>
      <c r="AB185" s="20">
        <f t="shared" ca="1" si="51"/>
        <v>0</v>
      </c>
      <c r="AC185" s="20">
        <f t="shared" ca="1" si="51"/>
        <v>0</v>
      </c>
      <c r="AE185" s="26" t="s">
        <v>36</v>
      </c>
      <c r="AF185" s="27"/>
      <c r="AG185" s="27"/>
      <c r="AH185" s="27"/>
      <c r="AI185" s="27"/>
      <c r="AJ185" s="27"/>
      <c r="AK185" s="27"/>
      <c r="AL185" s="27"/>
      <c r="AM185" s="19"/>
      <c r="AN185" s="20"/>
      <c r="AO185" s="20">
        <v>0</v>
      </c>
    </row>
    <row r="186" spans="1:41" x14ac:dyDescent="0.25">
      <c r="A186" s="3">
        <f t="shared" ca="1" si="53"/>
        <v>45596</v>
      </c>
      <c r="B186" s="30" t="s">
        <v>37</v>
      </c>
      <c r="C186" s="31"/>
      <c r="D186" s="31"/>
      <c r="E186" s="31"/>
      <c r="F186" s="31"/>
      <c r="G186" s="31"/>
      <c r="H186" s="31"/>
      <c r="I186" s="31"/>
      <c r="J186" s="31"/>
      <c r="K186" s="32"/>
      <c r="L186" s="32">
        <f t="shared" ca="1" si="50"/>
        <v>0</v>
      </c>
      <c r="S186" s="33" t="s">
        <v>37</v>
      </c>
      <c r="T186" s="19">
        <f t="shared" ca="1" si="51"/>
        <v>0</v>
      </c>
      <c r="U186" s="19">
        <f t="shared" ca="1" si="51"/>
        <v>0</v>
      </c>
      <c r="V186" s="19">
        <f t="shared" ca="1" si="51"/>
        <v>0</v>
      </c>
      <c r="W186" s="19">
        <f t="shared" ca="1" si="51"/>
        <v>0</v>
      </c>
      <c r="X186" s="19">
        <f t="shared" ca="1" si="51"/>
        <v>0</v>
      </c>
      <c r="Y186" s="19">
        <f t="shared" ca="1" si="51"/>
        <v>0</v>
      </c>
      <c r="Z186" s="19">
        <f t="shared" ca="1" si="51"/>
        <v>0</v>
      </c>
      <c r="AA186" s="19">
        <f t="shared" ca="1" si="51"/>
        <v>0</v>
      </c>
      <c r="AB186" s="20">
        <f t="shared" ca="1" si="51"/>
        <v>0</v>
      </c>
      <c r="AC186" s="20">
        <f t="shared" ca="1" si="51"/>
        <v>0</v>
      </c>
      <c r="AE186" s="30" t="s">
        <v>37</v>
      </c>
      <c r="AF186" s="31"/>
      <c r="AG186" s="31"/>
      <c r="AH186" s="31"/>
      <c r="AI186" s="31"/>
      <c r="AJ186" s="31"/>
      <c r="AK186" s="31"/>
      <c r="AL186" s="31"/>
      <c r="AM186" s="31"/>
      <c r="AN186" s="32"/>
      <c r="AO186" s="32">
        <v>0</v>
      </c>
    </row>
    <row r="187" spans="1:41" x14ac:dyDescent="0.25">
      <c r="A187" s="3">
        <f t="shared" ca="1" si="53"/>
        <v>45626</v>
      </c>
      <c r="B187" s="26" t="s">
        <v>38</v>
      </c>
      <c r="C187" s="27"/>
      <c r="D187" s="27"/>
      <c r="E187" s="27"/>
      <c r="F187" s="27"/>
      <c r="G187" s="27"/>
      <c r="H187" s="27"/>
      <c r="I187" s="27"/>
      <c r="J187" s="19"/>
      <c r="K187" s="20"/>
      <c r="L187" s="20">
        <f t="shared" ca="1" si="50"/>
        <v>0</v>
      </c>
      <c r="S187" s="26" t="s">
        <v>38</v>
      </c>
      <c r="T187" s="27">
        <f t="shared" ca="1" si="51"/>
        <v>0</v>
      </c>
      <c r="U187" s="27">
        <f t="shared" ca="1" si="51"/>
        <v>0</v>
      </c>
      <c r="V187" s="27">
        <f t="shared" ca="1" si="51"/>
        <v>0</v>
      </c>
      <c r="W187" s="27">
        <f t="shared" ca="1" si="51"/>
        <v>0</v>
      </c>
      <c r="X187" s="27">
        <f t="shared" ca="1" si="51"/>
        <v>0</v>
      </c>
      <c r="Y187" s="27">
        <f t="shared" ca="1" si="51"/>
        <v>0</v>
      </c>
      <c r="Z187" s="27">
        <f t="shared" ca="1" si="51"/>
        <v>0</v>
      </c>
      <c r="AA187" s="19">
        <f t="shared" ca="1" si="51"/>
        <v>0</v>
      </c>
      <c r="AB187" s="20">
        <f t="shared" ca="1" si="51"/>
        <v>0</v>
      </c>
      <c r="AC187" s="20">
        <f t="shared" ca="1" si="51"/>
        <v>0</v>
      </c>
      <c r="AE187" s="26" t="s">
        <v>38</v>
      </c>
      <c r="AF187" s="27"/>
      <c r="AG187" s="27"/>
      <c r="AH187" s="27"/>
      <c r="AI187" s="27"/>
      <c r="AJ187" s="27"/>
      <c r="AK187" s="27"/>
      <c r="AL187" s="27"/>
      <c r="AM187" s="19"/>
      <c r="AN187" s="20"/>
      <c r="AO187" s="20">
        <v>0</v>
      </c>
    </row>
    <row r="188" spans="1:41" x14ac:dyDescent="0.25">
      <c r="A188" s="3">
        <f t="shared" ca="1" si="53"/>
        <v>45657</v>
      </c>
      <c r="B188" s="30" t="s">
        <v>39</v>
      </c>
      <c r="C188" s="31"/>
      <c r="D188" s="31"/>
      <c r="E188" s="31"/>
      <c r="F188" s="31"/>
      <c r="G188" s="31"/>
      <c r="H188" s="31"/>
      <c r="I188" s="31"/>
      <c r="J188" s="31"/>
      <c r="K188" s="32"/>
      <c r="L188" s="32">
        <f t="shared" ca="1" si="50"/>
        <v>0</v>
      </c>
      <c r="S188" s="33" t="s">
        <v>39</v>
      </c>
      <c r="T188" s="19">
        <f t="shared" ca="1" si="51"/>
        <v>0</v>
      </c>
      <c r="U188" s="19">
        <f t="shared" ca="1" si="51"/>
        <v>0</v>
      </c>
      <c r="V188" s="19">
        <f t="shared" ca="1" si="51"/>
        <v>0</v>
      </c>
      <c r="W188" s="19">
        <f t="shared" ca="1" si="51"/>
        <v>0</v>
      </c>
      <c r="X188" s="19">
        <f t="shared" ca="1" si="51"/>
        <v>0</v>
      </c>
      <c r="Y188" s="19">
        <f t="shared" ca="1" si="51"/>
        <v>0</v>
      </c>
      <c r="Z188" s="19">
        <f t="shared" ca="1" si="51"/>
        <v>0</v>
      </c>
      <c r="AA188" s="19">
        <f t="shared" ca="1" si="51"/>
        <v>0</v>
      </c>
      <c r="AB188" s="20">
        <f t="shared" ca="1" si="51"/>
        <v>0</v>
      </c>
      <c r="AC188" s="20">
        <f t="shared" ca="1" si="51"/>
        <v>0</v>
      </c>
      <c r="AE188" s="30" t="s">
        <v>39</v>
      </c>
      <c r="AF188" s="31"/>
      <c r="AG188" s="31"/>
      <c r="AH188" s="31"/>
      <c r="AI188" s="31"/>
      <c r="AJ188" s="31"/>
      <c r="AK188" s="31"/>
      <c r="AL188" s="31"/>
      <c r="AM188" s="31"/>
      <c r="AN188" s="32"/>
      <c r="AO188" s="32">
        <v>0</v>
      </c>
    </row>
    <row r="189" spans="1:41" x14ac:dyDescent="0.25">
      <c r="A189" s="3">
        <f ca="1">A188</f>
        <v>45657</v>
      </c>
      <c r="B189" s="13" t="s">
        <v>40</v>
      </c>
      <c r="C189" s="14">
        <f ca="1">SUM(C190:C201)</f>
        <v>0</v>
      </c>
      <c r="D189" s="14">
        <f t="shared" ref="D189:K189" ca="1" si="54">SUM(D190:D201)</f>
        <v>0</v>
      </c>
      <c r="E189" s="14">
        <f t="shared" ca="1" si="54"/>
        <v>0</v>
      </c>
      <c r="F189" s="14">
        <f t="shared" ca="1" si="54"/>
        <v>0</v>
      </c>
      <c r="G189" s="14">
        <f t="shared" ca="1" si="54"/>
        <v>0</v>
      </c>
      <c r="H189" s="14">
        <f t="shared" ca="1" si="54"/>
        <v>0</v>
      </c>
      <c r="I189" s="14">
        <f t="shared" ca="1" si="54"/>
        <v>0</v>
      </c>
      <c r="J189" s="14">
        <f t="shared" ca="1" si="54"/>
        <v>0</v>
      </c>
      <c r="K189" s="15">
        <f t="shared" ca="1" si="54"/>
        <v>0</v>
      </c>
      <c r="L189" s="15">
        <f t="shared" ca="1" si="50"/>
        <v>0</v>
      </c>
      <c r="S189" s="18" t="s">
        <v>40</v>
      </c>
      <c r="T189" s="19">
        <f t="shared" ca="1" si="51"/>
        <v>0</v>
      </c>
      <c r="U189" s="19">
        <f t="shared" ca="1" si="51"/>
        <v>0</v>
      </c>
      <c r="V189" s="19">
        <f t="shared" ca="1" si="51"/>
        <v>0</v>
      </c>
      <c r="W189" s="19">
        <f t="shared" ca="1" si="51"/>
        <v>0</v>
      </c>
      <c r="X189" s="19">
        <f t="shared" ca="1" si="51"/>
        <v>0</v>
      </c>
      <c r="Y189" s="19">
        <f t="shared" ca="1" si="51"/>
        <v>0</v>
      </c>
      <c r="Z189" s="19">
        <f t="shared" ca="1" si="51"/>
        <v>0</v>
      </c>
      <c r="AA189" s="19">
        <f t="shared" ca="1" si="51"/>
        <v>0</v>
      </c>
      <c r="AB189" s="20">
        <f t="shared" ca="1" si="51"/>
        <v>0</v>
      </c>
      <c r="AC189" s="20">
        <f t="shared" ca="1" si="51"/>
        <v>0</v>
      </c>
      <c r="AE189" s="13" t="s">
        <v>40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5">
        <v>0</v>
      </c>
      <c r="AO189" s="15">
        <v>0</v>
      </c>
    </row>
    <row r="190" spans="1:41" x14ac:dyDescent="0.25">
      <c r="A190" s="3">
        <f ca="1">EOMONTH(A188+1,0)</f>
        <v>45688</v>
      </c>
      <c r="B190" s="26" t="s">
        <v>41</v>
      </c>
      <c r="C190" s="27">
        <v>0</v>
      </c>
      <c r="D190" s="27">
        <v>0</v>
      </c>
      <c r="E190" s="27">
        <v>0</v>
      </c>
      <c r="F190" s="27">
        <v>0</v>
      </c>
      <c r="G190" s="27">
        <v>0</v>
      </c>
      <c r="H190" s="27">
        <v>0</v>
      </c>
      <c r="I190" s="19">
        <f ca="1">IF(L190&lt;0,0,L190)</f>
        <v>0</v>
      </c>
      <c r="J190" s="19">
        <v>0</v>
      </c>
      <c r="K190" s="20">
        <v>0</v>
      </c>
      <c r="L190" s="20">
        <f t="shared" ca="1" si="50"/>
        <v>0</v>
      </c>
      <c r="M190" s="16"/>
      <c r="S190" s="26" t="s">
        <v>41</v>
      </c>
      <c r="T190" s="27">
        <f t="shared" ca="1" si="51"/>
        <v>0</v>
      </c>
      <c r="U190" s="27">
        <f t="shared" ca="1" si="51"/>
        <v>0</v>
      </c>
      <c r="V190" s="27">
        <f t="shared" ca="1" si="51"/>
        <v>0</v>
      </c>
      <c r="W190" s="27">
        <f t="shared" ca="1" si="51"/>
        <v>0</v>
      </c>
      <c r="X190" s="27">
        <f t="shared" ca="1" si="51"/>
        <v>0</v>
      </c>
      <c r="Y190" s="27">
        <f t="shared" ca="1" si="51"/>
        <v>0</v>
      </c>
      <c r="Z190" s="27">
        <f t="shared" ca="1" si="51"/>
        <v>0</v>
      </c>
      <c r="AA190" s="19">
        <f t="shared" ca="1" si="51"/>
        <v>0</v>
      </c>
      <c r="AB190" s="20">
        <f t="shared" ca="1" si="51"/>
        <v>0</v>
      </c>
      <c r="AC190" s="20">
        <f t="shared" ca="1" si="51"/>
        <v>0</v>
      </c>
      <c r="AD190" s="16"/>
      <c r="AE190" s="26" t="s">
        <v>41</v>
      </c>
      <c r="AF190" s="27">
        <v>0</v>
      </c>
      <c r="AG190" s="27">
        <v>0</v>
      </c>
      <c r="AH190" s="27">
        <v>0</v>
      </c>
      <c r="AI190" s="27">
        <v>0</v>
      </c>
      <c r="AJ190" s="27">
        <v>0</v>
      </c>
      <c r="AK190" s="27">
        <v>0</v>
      </c>
      <c r="AL190" s="19">
        <v>0</v>
      </c>
      <c r="AM190" s="19">
        <v>0</v>
      </c>
      <c r="AN190" s="20">
        <v>0</v>
      </c>
      <c r="AO190" s="20">
        <v>0</v>
      </c>
    </row>
    <row r="191" spans="1:41" x14ac:dyDescent="0.25">
      <c r="A191" s="3">
        <f t="shared" ref="A191:A199" ca="1" si="55">EOMONTH(A190+1,0)</f>
        <v>45716</v>
      </c>
      <c r="B191" s="30" t="s">
        <v>42</v>
      </c>
      <c r="C191" s="31">
        <v>0</v>
      </c>
      <c r="D191" s="31">
        <v>0</v>
      </c>
      <c r="E191" s="31">
        <v>0</v>
      </c>
      <c r="F191" s="31">
        <v>0</v>
      </c>
      <c r="G191" s="31">
        <v>0</v>
      </c>
      <c r="H191" s="31">
        <v>0</v>
      </c>
      <c r="I191" s="31">
        <f ca="1">IF(L191&lt;0,0,L191)</f>
        <v>0</v>
      </c>
      <c r="J191" s="31">
        <v>0</v>
      </c>
      <c r="K191" s="32">
        <v>0</v>
      </c>
      <c r="L191" s="32">
        <f t="shared" ca="1" si="50"/>
        <v>0</v>
      </c>
      <c r="M191" s="16"/>
      <c r="S191" s="33" t="s">
        <v>42</v>
      </c>
      <c r="T191" s="19">
        <f t="shared" ca="1" si="51"/>
        <v>0</v>
      </c>
      <c r="U191" s="19">
        <f t="shared" ca="1" si="51"/>
        <v>0</v>
      </c>
      <c r="V191" s="19">
        <f t="shared" ca="1" si="51"/>
        <v>0</v>
      </c>
      <c r="W191" s="19">
        <f t="shared" ca="1" si="51"/>
        <v>0</v>
      </c>
      <c r="X191" s="19">
        <f t="shared" ca="1" si="51"/>
        <v>0</v>
      </c>
      <c r="Y191" s="19">
        <f t="shared" ca="1" si="51"/>
        <v>0</v>
      </c>
      <c r="Z191" s="19">
        <f t="shared" ca="1" si="51"/>
        <v>0</v>
      </c>
      <c r="AA191" s="19">
        <f t="shared" ca="1" si="51"/>
        <v>0</v>
      </c>
      <c r="AB191" s="20">
        <f t="shared" ca="1" si="51"/>
        <v>0</v>
      </c>
      <c r="AC191" s="20">
        <f t="shared" ca="1" si="51"/>
        <v>0</v>
      </c>
      <c r="AD191" s="16"/>
      <c r="AE191" s="30" t="s">
        <v>42</v>
      </c>
      <c r="AF191" s="31">
        <v>0</v>
      </c>
      <c r="AG191" s="31">
        <v>0</v>
      </c>
      <c r="AH191" s="31">
        <v>0</v>
      </c>
      <c r="AI191" s="31">
        <v>0</v>
      </c>
      <c r="AJ191" s="31">
        <v>0</v>
      </c>
      <c r="AK191" s="31">
        <v>0</v>
      </c>
      <c r="AL191" s="31">
        <v>0</v>
      </c>
      <c r="AM191" s="31">
        <v>0</v>
      </c>
      <c r="AN191" s="32">
        <v>0</v>
      </c>
      <c r="AO191" s="32">
        <v>0</v>
      </c>
    </row>
    <row r="192" spans="1:41" x14ac:dyDescent="0.25">
      <c r="A192" s="3">
        <f t="shared" ca="1" si="55"/>
        <v>45747</v>
      </c>
      <c r="B192" s="26" t="s">
        <v>43</v>
      </c>
      <c r="C192" s="27">
        <v>0</v>
      </c>
      <c r="D192" s="27">
        <v>0</v>
      </c>
      <c r="E192" s="27">
        <v>0</v>
      </c>
      <c r="F192" s="27">
        <v>0</v>
      </c>
      <c r="G192" s="27">
        <v>0</v>
      </c>
      <c r="H192" s="27">
        <v>0</v>
      </c>
      <c r="I192" s="27">
        <f ca="1">IF(L192&lt;0,0,L192)</f>
        <v>0</v>
      </c>
      <c r="J192" s="19">
        <v>0</v>
      </c>
      <c r="K192" s="20">
        <v>0</v>
      </c>
      <c r="L192" s="20">
        <f t="shared" ca="1" si="50"/>
        <v>0</v>
      </c>
      <c r="M192" s="16"/>
      <c r="S192" s="26" t="s">
        <v>43</v>
      </c>
      <c r="T192" s="27">
        <f t="shared" ca="1" si="51"/>
        <v>0</v>
      </c>
      <c r="U192" s="27">
        <f t="shared" ca="1" si="51"/>
        <v>0</v>
      </c>
      <c r="V192" s="27">
        <f t="shared" ca="1" si="51"/>
        <v>0</v>
      </c>
      <c r="W192" s="27">
        <f t="shared" ca="1" si="51"/>
        <v>0</v>
      </c>
      <c r="X192" s="27">
        <f t="shared" ca="1" si="51"/>
        <v>0</v>
      </c>
      <c r="Y192" s="27">
        <f t="shared" ca="1" si="51"/>
        <v>0</v>
      </c>
      <c r="Z192" s="27">
        <f t="shared" ca="1" si="51"/>
        <v>0</v>
      </c>
      <c r="AA192" s="19">
        <f t="shared" ca="1" si="51"/>
        <v>0</v>
      </c>
      <c r="AB192" s="20">
        <f t="shared" ca="1" si="51"/>
        <v>0</v>
      </c>
      <c r="AC192" s="20">
        <f t="shared" ca="1" si="51"/>
        <v>0</v>
      </c>
      <c r="AD192" s="16"/>
      <c r="AE192" s="26" t="s">
        <v>43</v>
      </c>
      <c r="AF192" s="27">
        <v>0</v>
      </c>
      <c r="AG192" s="27">
        <v>0</v>
      </c>
      <c r="AH192" s="27">
        <v>0</v>
      </c>
      <c r="AI192" s="27">
        <v>0</v>
      </c>
      <c r="AJ192" s="27">
        <v>0</v>
      </c>
      <c r="AK192" s="27">
        <v>0</v>
      </c>
      <c r="AL192" s="27">
        <v>0</v>
      </c>
      <c r="AM192" s="19">
        <v>0</v>
      </c>
      <c r="AN192" s="20">
        <v>0</v>
      </c>
      <c r="AO192" s="20">
        <v>0</v>
      </c>
    </row>
    <row r="193" spans="1:41" x14ac:dyDescent="0.25">
      <c r="A193" s="3">
        <f t="shared" ca="1" si="55"/>
        <v>45777</v>
      </c>
      <c r="B193" s="30" t="s">
        <v>44</v>
      </c>
      <c r="C193" s="31">
        <v>0</v>
      </c>
      <c r="D193" s="31">
        <v>0</v>
      </c>
      <c r="E193" s="31">
        <v>0</v>
      </c>
      <c r="F193" s="31">
        <v>0</v>
      </c>
      <c r="G193" s="31">
        <v>0</v>
      </c>
      <c r="H193" s="31">
        <v>0</v>
      </c>
      <c r="I193" s="31">
        <f ca="1">IF(L193&lt;0,0,L193)</f>
        <v>0</v>
      </c>
      <c r="J193" s="31">
        <v>0</v>
      </c>
      <c r="K193" s="32">
        <v>0</v>
      </c>
      <c r="L193" s="32">
        <f t="shared" ca="1" si="50"/>
        <v>0</v>
      </c>
      <c r="M193" s="16"/>
      <c r="S193" s="33" t="s">
        <v>44</v>
      </c>
      <c r="T193" s="19">
        <f t="shared" ca="1" si="51"/>
        <v>0</v>
      </c>
      <c r="U193" s="19">
        <f t="shared" ca="1" si="51"/>
        <v>0</v>
      </c>
      <c r="V193" s="19">
        <f t="shared" ca="1" si="51"/>
        <v>0</v>
      </c>
      <c r="W193" s="19">
        <f t="shared" ca="1" si="51"/>
        <v>0</v>
      </c>
      <c r="X193" s="19">
        <f t="shared" ca="1" si="51"/>
        <v>0</v>
      </c>
      <c r="Y193" s="19">
        <f t="shared" ca="1" si="51"/>
        <v>0</v>
      </c>
      <c r="Z193" s="19">
        <f t="shared" ca="1" si="51"/>
        <v>0</v>
      </c>
      <c r="AA193" s="19">
        <f t="shared" ca="1" si="51"/>
        <v>0</v>
      </c>
      <c r="AB193" s="20">
        <f t="shared" ca="1" si="51"/>
        <v>0</v>
      </c>
      <c r="AC193" s="20">
        <f t="shared" ca="1" si="51"/>
        <v>0</v>
      </c>
      <c r="AD193" s="16"/>
      <c r="AE193" s="30" t="s">
        <v>44</v>
      </c>
      <c r="AF193" s="31">
        <v>0</v>
      </c>
      <c r="AG193" s="31">
        <v>0</v>
      </c>
      <c r="AH193" s="31">
        <v>0</v>
      </c>
      <c r="AI193" s="31">
        <v>0</v>
      </c>
      <c r="AJ193" s="31">
        <v>0</v>
      </c>
      <c r="AK193" s="31">
        <v>0</v>
      </c>
      <c r="AL193" s="46">
        <v>0</v>
      </c>
      <c r="AM193" s="31">
        <v>0</v>
      </c>
      <c r="AN193" s="32">
        <v>0</v>
      </c>
      <c r="AO193" s="32">
        <v>0</v>
      </c>
    </row>
    <row r="194" spans="1:41" x14ac:dyDescent="0.25">
      <c r="A194" s="3">
        <f t="shared" ca="1" si="55"/>
        <v>45808</v>
      </c>
      <c r="B194" s="26" t="s">
        <v>45</v>
      </c>
      <c r="C194" s="27">
        <v>0</v>
      </c>
      <c r="D194" s="27">
        <v>0</v>
      </c>
      <c r="E194" s="27">
        <v>0</v>
      </c>
      <c r="F194" s="27">
        <v>0</v>
      </c>
      <c r="G194" s="27">
        <v>0</v>
      </c>
      <c r="H194" s="27">
        <v>0</v>
      </c>
      <c r="I194" s="27">
        <f ca="1">IF(L194&lt;0,0,L194)</f>
        <v>0</v>
      </c>
      <c r="J194" s="19">
        <v>0</v>
      </c>
      <c r="K194" s="20">
        <v>0</v>
      </c>
      <c r="L194" s="20">
        <f t="shared" ca="1" si="50"/>
        <v>0</v>
      </c>
      <c r="M194" s="16"/>
      <c r="S194" s="26" t="s">
        <v>45</v>
      </c>
      <c r="T194" s="27">
        <f t="shared" ca="1" si="51"/>
        <v>0</v>
      </c>
      <c r="U194" s="27">
        <f t="shared" ca="1" si="51"/>
        <v>0</v>
      </c>
      <c r="V194" s="27">
        <f t="shared" ca="1" si="51"/>
        <v>0</v>
      </c>
      <c r="W194" s="27">
        <f t="shared" ca="1" si="51"/>
        <v>0</v>
      </c>
      <c r="X194" s="27">
        <f t="shared" ca="1" si="51"/>
        <v>0</v>
      </c>
      <c r="Y194" s="27">
        <f t="shared" ca="1" si="51"/>
        <v>0</v>
      </c>
      <c r="Z194" s="27">
        <f t="shared" ca="1" si="51"/>
        <v>0</v>
      </c>
      <c r="AA194" s="19">
        <f t="shared" ca="1" si="51"/>
        <v>0</v>
      </c>
      <c r="AB194" s="20">
        <f t="shared" ca="1" si="51"/>
        <v>0</v>
      </c>
      <c r="AC194" s="20">
        <f t="shared" ca="1" si="51"/>
        <v>0</v>
      </c>
      <c r="AD194" s="16"/>
      <c r="AE194" s="26" t="s">
        <v>45</v>
      </c>
      <c r="AF194" s="27">
        <v>0</v>
      </c>
      <c r="AG194" s="27">
        <v>0</v>
      </c>
      <c r="AH194" s="27">
        <v>0</v>
      </c>
      <c r="AI194" s="27">
        <v>0</v>
      </c>
      <c r="AJ194" s="27">
        <v>0</v>
      </c>
      <c r="AK194" s="27">
        <v>0</v>
      </c>
      <c r="AL194" s="46">
        <v>0</v>
      </c>
      <c r="AM194" s="19">
        <v>0</v>
      </c>
      <c r="AN194" s="20">
        <v>0</v>
      </c>
      <c r="AO194" s="20">
        <v>0</v>
      </c>
    </row>
    <row r="195" spans="1:41" x14ac:dyDescent="0.25">
      <c r="A195" s="3">
        <f t="shared" ca="1" si="55"/>
        <v>45838</v>
      </c>
      <c r="B195" s="30" t="s">
        <v>46</v>
      </c>
      <c r="C195" s="31">
        <v>0</v>
      </c>
      <c r="D195" s="31">
        <v>0</v>
      </c>
      <c r="E195" s="31">
        <v>0</v>
      </c>
      <c r="F195" s="31">
        <v>0</v>
      </c>
      <c r="G195" s="31">
        <v>0</v>
      </c>
      <c r="H195" s="31">
        <v>0</v>
      </c>
      <c r="I195" s="31">
        <f t="shared" ref="I195:I201" ca="1" si="56">IF(L195&lt;0,0,L195)</f>
        <v>0</v>
      </c>
      <c r="J195" s="31">
        <v>0</v>
      </c>
      <c r="K195" s="32">
        <v>0</v>
      </c>
      <c r="L195" s="32">
        <f t="shared" ca="1" si="50"/>
        <v>0</v>
      </c>
      <c r="M195" s="16"/>
      <c r="S195" s="33" t="s">
        <v>46</v>
      </c>
      <c r="T195" s="19">
        <f t="shared" ca="1" si="51"/>
        <v>0</v>
      </c>
      <c r="U195" s="19">
        <f t="shared" ca="1" si="51"/>
        <v>0</v>
      </c>
      <c r="V195" s="19">
        <f t="shared" ca="1" si="51"/>
        <v>0</v>
      </c>
      <c r="W195" s="19">
        <f t="shared" ca="1" si="51"/>
        <v>0</v>
      </c>
      <c r="X195" s="19">
        <f t="shared" ca="1" si="51"/>
        <v>0</v>
      </c>
      <c r="Y195" s="19">
        <f t="shared" ca="1" si="51"/>
        <v>0</v>
      </c>
      <c r="Z195" s="19">
        <f t="shared" ca="1" si="51"/>
        <v>0</v>
      </c>
      <c r="AA195" s="19">
        <f t="shared" ca="1" si="51"/>
        <v>0</v>
      </c>
      <c r="AB195" s="20">
        <f t="shared" ca="1" si="51"/>
        <v>0</v>
      </c>
      <c r="AC195" s="20">
        <f t="shared" ca="1" si="51"/>
        <v>0</v>
      </c>
      <c r="AD195" s="16"/>
      <c r="AE195" s="30" t="s">
        <v>46</v>
      </c>
      <c r="AF195" s="31">
        <v>0</v>
      </c>
      <c r="AG195" s="31">
        <v>0</v>
      </c>
      <c r="AH195" s="31">
        <v>0</v>
      </c>
      <c r="AI195" s="31">
        <v>0</v>
      </c>
      <c r="AJ195" s="31">
        <v>0</v>
      </c>
      <c r="AK195" s="31">
        <v>0</v>
      </c>
      <c r="AL195" s="46">
        <v>0</v>
      </c>
      <c r="AM195" s="31">
        <v>0</v>
      </c>
      <c r="AN195" s="32">
        <v>0</v>
      </c>
      <c r="AO195" s="32">
        <v>0</v>
      </c>
    </row>
    <row r="196" spans="1:41" x14ac:dyDescent="0.25">
      <c r="A196" s="3">
        <f t="shared" ca="1" si="55"/>
        <v>45869</v>
      </c>
      <c r="B196" s="26" t="s">
        <v>47</v>
      </c>
      <c r="C196" s="27">
        <v>0</v>
      </c>
      <c r="D196" s="27">
        <v>0</v>
      </c>
      <c r="E196" s="27">
        <v>0</v>
      </c>
      <c r="F196" s="27">
        <v>0</v>
      </c>
      <c r="G196" s="27">
        <v>0</v>
      </c>
      <c r="H196" s="27">
        <v>0</v>
      </c>
      <c r="I196" s="27">
        <f t="shared" ca="1" si="56"/>
        <v>0</v>
      </c>
      <c r="J196" s="19">
        <v>0</v>
      </c>
      <c r="K196" s="20">
        <v>0</v>
      </c>
      <c r="L196" s="20">
        <f t="shared" ca="1" si="50"/>
        <v>0</v>
      </c>
      <c r="M196" s="16"/>
      <c r="S196" s="26" t="s">
        <v>47</v>
      </c>
      <c r="T196" s="27">
        <f t="shared" ca="1" si="51"/>
        <v>0</v>
      </c>
      <c r="U196" s="27">
        <f t="shared" ca="1" si="51"/>
        <v>0</v>
      </c>
      <c r="V196" s="27">
        <f t="shared" ca="1" si="51"/>
        <v>0</v>
      </c>
      <c r="W196" s="27">
        <f t="shared" ca="1" si="51"/>
        <v>0</v>
      </c>
      <c r="X196" s="27">
        <f t="shared" ca="1" si="51"/>
        <v>0</v>
      </c>
      <c r="Y196" s="27">
        <f t="shared" ca="1" si="51"/>
        <v>0</v>
      </c>
      <c r="Z196" s="27">
        <f t="shared" ca="1" si="51"/>
        <v>0</v>
      </c>
      <c r="AA196" s="19">
        <f t="shared" ca="1" si="51"/>
        <v>0</v>
      </c>
      <c r="AB196" s="20">
        <f t="shared" ca="1" si="51"/>
        <v>0</v>
      </c>
      <c r="AC196" s="20">
        <f t="shared" ca="1" si="51"/>
        <v>0</v>
      </c>
      <c r="AD196" s="16"/>
      <c r="AE196" s="26" t="s">
        <v>47</v>
      </c>
      <c r="AF196" s="27">
        <v>0</v>
      </c>
      <c r="AG196" s="27">
        <v>0</v>
      </c>
      <c r="AH196" s="27">
        <v>0</v>
      </c>
      <c r="AI196" s="27">
        <v>0</v>
      </c>
      <c r="AJ196" s="27">
        <v>0</v>
      </c>
      <c r="AK196" s="27">
        <v>0</v>
      </c>
      <c r="AL196" s="27">
        <v>0</v>
      </c>
      <c r="AM196" s="19">
        <v>0</v>
      </c>
      <c r="AN196" s="20">
        <v>0</v>
      </c>
      <c r="AO196" s="20">
        <v>0</v>
      </c>
    </row>
    <row r="197" spans="1:41" x14ac:dyDescent="0.25">
      <c r="A197" s="3">
        <f t="shared" ca="1" si="55"/>
        <v>45900</v>
      </c>
      <c r="B197" s="30" t="s">
        <v>48</v>
      </c>
      <c r="C197" s="31">
        <v>0</v>
      </c>
      <c r="D197" s="31">
        <v>0</v>
      </c>
      <c r="E197" s="31">
        <v>0</v>
      </c>
      <c r="F197" s="31">
        <v>0</v>
      </c>
      <c r="G197" s="31">
        <v>0</v>
      </c>
      <c r="H197" s="31">
        <v>0</v>
      </c>
      <c r="I197" s="31">
        <f t="shared" ca="1" si="56"/>
        <v>0</v>
      </c>
      <c r="J197" s="31">
        <v>0</v>
      </c>
      <c r="K197" s="32">
        <v>0</v>
      </c>
      <c r="L197" s="32">
        <f t="shared" ca="1" si="50"/>
        <v>0</v>
      </c>
      <c r="M197" s="16"/>
      <c r="S197" s="33" t="s">
        <v>48</v>
      </c>
      <c r="T197" s="19">
        <f t="shared" ca="1" si="51"/>
        <v>0</v>
      </c>
      <c r="U197" s="19">
        <f t="shared" ca="1" si="51"/>
        <v>0</v>
      </c>
      <c r="V197" s="19">
        <f t="shared" ca="1" si="51"/>
        <v>0</v>
      </c>
      <c r="W197" s="19">
        <f t="shared" ca="1" si="51"/>
        <v>0</v>
      </c>
      <c r="X197" s="19">
        <f t="shared" ca="1" si="51"/>
        <v>0</v>
      </c>
      <c r="Y197" s="19">
        <f t="shared" ca="1" si="51"/>
        <v>0</v>
      </c>
      <c r="Z197" s="19">
        <f t="shared" ref="Z197:AC233" ca="1" si="57">I197-AL197</f>
        <v>0</v>
      </c>
      <c r="AA197" s="19">
        <f t="shared" ca="1" si="57"/>
        <v>0</v>
      </c>
      <c r="AB197" s="20">
        <f t="shared" ca="1" si="57"/>
        <v>0</v>
      </c>
      <c r="AC197" s="20">
        <f t="shared" ca="1" si="57"/>
        <v>0</v>
      </c>
      <c r="AD197" s="16"/>
      <c r="AE197" s="30" t="s">
        <v>48</v>
      </c>
      <c r="AF197" s="31">
        <v>0</v>
      </c>
      <c r="AG197" s="31">
        <v>0</v>
      </c>
      <c r="AH197" s="31">
        <v>0</v>
      </c>
      <c r="AI197" s="31">
        <v>0</v>
      </c>
      <c r="AJ197" s="31">
        <v>0</v>
      </c>
      <c r="AK197" s="31">
        <v>0</v>
      </c>
      <c r="AL197" s="31">
        <v>0</v>
      </c>
      <c r="AM197" s="31">
        <v>0</v>
      </c>
      <c r="AN197" s="32">
        <v>0</v>
      </c>
      <c r="AO197" s="32">
        <v>0</v>
      </c>
    </row>
    <row r="198" spans="1:41" x14ac:dyDescent="0.25">
      <c r="A198" s="3">
        <f t="shared" ca="1" si="55"/>
        <v>45930</v>
      </c>
      <c r="B198" s="26" t="s">
        <v>49</v>
      </c>
      <c r="C198" s="27">
        <v>0</v>
      </c>
      <c r="D198" s="27">
        <v>0</v>
      </c>
      <c r="E198" s="27">
        <v>0</v>
      </c>
      <c r="F198" s="27">
        <v>0</v>
      </c>
      <c r="G198" s="27">
        <v>0</v>
      </c>
      <c r="H198" s="27">
        <v>0</v>
      </c>
      <c r="I198" s="27">
        <f t="shared" ca="1" si="56"/>
        <v>0</v>
      </c>
      <c r="J198" s="19">
        <v>0</v>
      </c>
      <c r="K198" s="20">
        <v>0</v>
      </c>
      <c r="L198" s="20">
        <f t="shared" ca="1" si="50"/>
        <v>0</v>
      </c>
      <c r="M198" s="16"/>
      <c r="S198" s="26" t="s">
        <v>49</v>
      </c>
      <c r="T198" s="27">
        <f t="shared" ref="T198:AC234" ca="1" si="58">C198-AF198</f>
        <v>0</v>
      </c>
      <c r="U198" s="27">
        <f t="shared" ca="1" si="58"/>
        <v>0</v>
      </c>
      <c r="V198" s="27">
        <f t="shared" ca="1" si="58"/>
        <v>0</v>
      </c>
      <c r="W198" s="27">
        <f t="shared" ca="1" si="58"/>
        <v>0</v>
      </c>
      <c r="X198" s="27">
        <f t="shared" ca="1" si="58"/>
        <v>0</v>
      </c>
      <c r="Y198" s="27">
        <f t="shared" ca="1" si="58"/>
        <v>0</v>
      </c>
      <c r="Z198" s="27">
        <f t="shared" ca="1" si="57"/>
        <v>0</v>
      </c>
      <c r="AA198" s="19">
        <f t="shared" ca="1" si="57"/>
        <v>0</v>
      </c>
      <c r="AB198" s="20">
        <f t="shared" ca="1" si="57"/>
        <v>0</v>
      </c>
      <c r="AC198" s="20">
        <f t="shared" ca="1" si="57"/>
        <v>0</v>
      </c>
      <c r="AD198" s="16"/>
      <c r="AE198" s="26" t="s">
        <v>49</v>
      </c>
      <c r="AF198" s="27">
        <v>0</v>
      </c>
      <c r="AG198" s="27">
        <v>0</v>
      </c>
      <c r="AH198" s="27">
        <v>0</v>
      </c>
      <c r="AI198" s="27">
        <v>0</v>
      </c>
      <c r="AJ198" s="27">
        <v>0</v>
      </c>
      <c r="AK198" s="27">
        <v>0</v>
      </c>
      <c r="AL198" s="27">
        <v>0</v>
      </c>
      <c r="AM198" s="19">
        <v>0</v>
      </c>
      <c r="AN198" s="20">
        <v>0</v>
      </c>
      <c r="AO198" s="20">
        <v>0</v>
      </c>
    </row>
    <row r="199" spans="1:41" x14ac:dyDescent="0.25">
      <c r="A199" s="3">
        <f t="shared" ca="1" si="55"/>
        <v>45961</v>
      </c>
      <c r="B199" s="30" t="s">
        <v>50</v>
      </c>
      <c r="C199" s="31">
        <v>0</v>
      </c>
      <c r="D199" s="31">
        <v>0</v>
      </c>
      <c r="E199" s="31">
        <v>0</v>
      </c>
      <c r="F199" s="31">
        <v>0</v>
      </c>
      <c r="G199" s="31">
        <v>0</v>
      </c>
      <c r="H199" s="31">
        <v>0</v>
      </c>
      <c r="I199" s="31">
        <f t="shared" ca="1" si="56"/>
        <v>0</v>
      </c>
      <c r="J199" s="31">
        <v>0</v>
      </c>
      <c r="K199" s="32">
        <v>0</v>
      </c>
      <c r="L199" s="32">
        <f t="shared" ca="1" si="50"/>
        <v>0</v>
      </c>
      <c r="M199" s="16"/>
      <c r="S199" s="33" t="s">
        <v>50</v>
      </c>
      <c r="T199" s="19">
        <f t="shared" ca="1" si="58"/>
        <v>0</v>
      </c>
      <c r="U199" s="19">
        <f t="shared" ca="1" si="58"/>
        <v>0</v>
      </c>
      <c r="V199" s="19">
        <f t="shared" ca="1" si="58"/>
        <v>0</v>
      </c>
      <c r="W199" s="19">
        <f t="shared" ca="1" si="58"/>
        <v>0</v>
      </c>
      <c r="X199" s="19">
        <f t="shared" ca="1" si="58"/>
        <v>0</v>
      </c>
      <c r="Y199" s="19">
        <f t="shared" ca="1" si="58"/>
        <v>0</v>
      </c>
      <c r="Z199" s="19">
        <f t="shared" ca="1" si="57"/>
        <v>0</v>
      </c>
      <c r="AA199" s="19">
        <f t="shared" ca="1" si="57"/>
        <v>0</v>
      </c>
      <c r="AB199" s="20">
        <f t="shared" ca="1" si="57"/>
        <v>0</v>
      </c>
      <c r="AC199" s="20">
        <f t="shared" ca="1" si="57"/>
        <v>0</v>
      </c>
      <c r="AD199" s="16"/>
      <c r="AE199" s="30" t="s">
        <v>50</v>
      </c>
      <c r="AF199" s="31">
        <v>0</v>
      </c>
      <c r="AG199" s="31">
        <v>0</v>
      </c>
      <c r="AH199" s="31">
        <v>0</v>
      </c>
      <c r="AI199" s="31">
        <v>0</v>
      </c>
      <c r="AJ199" s="31">
        <v>0</v>
      </c>
      <c r="AK199" s="31">
        <v>0</v>
      </c>
      <c r="AL199" s="31">
        <v>0</v>
      </c>
      <c r="AM199" s="31">
        <v>0</v>
      </c>
      <c r="AN199" s="32">
        <v>0</v>
      </c>
      <c r="AO199" s="32">
        <v>0</v>
      </c>
    </row>
    <row r="200" spans="1:41" x14ac:dyDescent="0.25">
      <c r="A200" s="3">
        <f ca="1">EOMONTH(A199+1,0)</f>
        <v>45991</v>
      </c>
      <c r="B200" s="26" t="s">
        <v>51</v>
      </c>
      <c r="C200" s="27">
        <v>0</v>
      </c>
      <c r="D200" s="27">
        <v>0</v>
      </c>
      <c r="E200" s="27">
        <v>0</v>
      </c>
      <c r="F200" s="27">
        <v>0</v>
      </c>
      <c r="G200" s="27">
        <v>0</v>
      </c>
      <c r="H200" s="27">
        <v>0</v>
      </c>
      <c r="I200" s="27">
        <f t="shared" ca="1" si="56"/>
        <v>0</v>
      </c>
      <c r="J200" s="19">
        <v>0</v>
      </c>
      <c r="K200" s="20">
        <v>0</v>
      </c>
      <c r="L200" s="20">
        <f t="shared" ca="1" si="50"/>
        <v>0</v>
      </c>
      <c r="M200" s="16"/>
      <c r="S200" s="26" t="s">
        <v>51</v>
      </c>
      <c r="T200" s="27">
        <f t="shared" ca="1" si="58"/>
        <v>0</v>
      </c>
      <c r="U200" s="27">
        <f t="shared" ca="1" si="58"/>
        <v>0</v>
      </c>
      <c r="V200" s="27">
        <f t="shared" ca="1" si="58"/>
        <v>0</v>
      </c>
      <c r="W200" s="27">
        <f t="shared" ca="1" si="58"/>
        <v>0</v>
      </c>
      <c r="X200" s="27">
        <f t="shared" ca="1" si="58"/>
        <v>0</v>
      </c>
      <c r="Y200" s="27">
        <f t="shared" ca="1" si="58"/>
        <v>0</v>
      </c>
      <c r="Z200" s="27">
        <f t="shared" ca="1" si="57"/>
        <v>0</v>
      </c>
      <c r="AA200" s="19">
        <f t="shared" ca="1" si="57"/>
        <v>0</v>
      </c>
      <c r="AB200" s="20">
        <f t="shared" ca="1" si="57"/>
        <v>0</v>
      </c>
      <c r="AC200" s="20">
        <f t="shared" ca="1" si="57"/>
        <v>0</v>
      </c>
      <c r="AD200" s="16"/>
      <c r="AE200" s="26" t="s">
        <v>51</v>
      </c>
      <c r="AF200" s="27">
        <v>0</v>
      </c>
      <c r="AG200" s="27">
        <v>0</v>
      </c>
      <c r="AH200" s="27">
        <v>0</v>
      </c>
      <c r="AI200" s="27">
        <v>0</v>
      </c>
      <c r="AJ200" s="27">
        <v>0</v>
      </c>
      <c r="AK200" s="27">
        <v>0</v>
      </c>
      <c r="AL200" s="27">
        <v>0</v>
      </c>
      <c r="AM200" s="19">
        <v>0</v>
      </c>
      <c r="AN200" s="20">
        <v>0</v>
      </c>
      <c r="AO200" s="20">
        <v>0</v>
      </c>
    </row>
    <row r="201" spans="1:41" x14ac:dyDescent="0.25">
      <c r="A201" s="3">
        <f ca="1">EOMONTH(A200+1,0)</f>
        <v>46022</v>
      </c>
      <c r="B201" s="30" t="s">
        <v>52</v>
      </c>
      <c r="C201" s="31">
        <v>0</v>
      </c>
      <c r="D201" s="31">
        <v>0</v>
      </c>
      <c r="E201" s="31">
        <v>0</v>
      </c>
      <c r="F201" s="31">
        <v>0</v>
      </c>
      <c r="G201" s="31">
        <v>0</v>
      </c>
      <c r="H201" s="31">
        <v>0</v>
      </c>
      <c r="I201" s="31">
        <f t="shared" ca="1" si="56"/>
        <v>0</v>
      </c>
      <c r="J201" s="31">
        <v>0</v>
      </c>
      <c r="K201" s="32">
        <v>0</v>
      </c>
      <c r="L201" s="32">
        <f t="shared" ca="1" si="50"/>
        <v>0</v>
      </c>
      <c r="M201" s="16"/>
      <c r="S201" s="33" t="s">
        <v>52</v>
      </c>
      <c r="T201" s="19">
        <f t="shared" ca="1" si="58"/>
        <v>0</v>
      </c>
      <c r="U201" s="19">
        <f t="shared" ca="1" si="58"/>
        <v>0</v>
      </c>
      <c r="V201" s="19">
        <f t="shared" ca="1" si="58"/>
        <v>0</v>
      </c>
      <c r="W201" s="19">
        <f t="shared" ca="1" si="58"/>
        <v>0</v>
      </c>
      <c r="X201" s="19">
        <f t="shared" ca="1" si="58"/>
        <v>0</v>
      </c>
      <c r="Y201" s="19">
        <f t="shared" ca="1" si="58"/>
        <v>0</v>
      </c>
      <c r="Z201" s="19">
        <f t="shared" ca="1" si="57"/>
        <v>0</v>
      </c>
      <c r="AA201" s="19">
        <f t="shared" ca="1" si="57"/>
        <v>0</v>
      </c>
      <c r="AB201" s="20">
        <f t="shared" ca="1" si="57"/>
        <v>0</v>
      </c>
      <c r="AC201" s="20">
        <f t="shared" ca="1" si="57"/>
        <v>0</v>
      </c>
      <c r="AD201" s="16"/>
      <c r="AE201" s="30" t="s">
        <v>52</v>
      </c>
      <c r="AF201" s="31">
        <v>0</v>
      </c>
      <c r="AG201" s="31">
        <v>0</v>
      </c>
      <c r="AH201" s="31">
        <v>0</v>
      </c>
      <c r="AI201" s="31">
        <v>0</v>
      </c>
      <c r="AJ201" s="31">
        <v>0</v>
      </c>
      <c r="AK201" s="31">
        <v>0</v>
      </c>
      <c r="AL201" s="31">
        <v>0</v>
      </c>
      <c r="AM201" s="31">
        <v>0</v>
      </c>
      <c r="AN201" s="32">
        <v>0</v>
      </c>
      <c r="AO201" s="32">
        <v>0</v>
      </c>
    </row>
    <row r="202" spans="1:41" x14ac:dyDescent="0.25">
      <c r="A202" s="3">
        <f ca="1">A201</f>
        <v>46022</v>
      </c>
      <c r="B202" s="13" t="s">
        <v>53</v>
      </c>
      <c r="C202" s="14">
        <f t="shared" ref="C202:L202" ca="1" si="59">SUM(C203:C207)</f>
        <v>72341711.499999985</v>
      </c>
      <c r="D202" s="14">
        <f t="shared" ca="1" si="59"/>
        <v>6612423</v>
      </c>
      <c r="E202" s="14">
        <f t="shared" ca="1" si="59"/>
        <v>93988315.850000024</v>
      </c>
      <c r="F202" s="14">
        <f t="shared" ca="1" si="59"/>
        <v>4328377</v>
      </c>
      <c r="G202" s="14">
        <f t="shared" ca="1" si="59"/>
        <v>89654919</v>
      </c>
      <c r="H202" s="14">
        <f t="shared" ca="1" si="59"/>
        <v>5000</v>
      </c>
      <c r="I202" s="14">
        <f t="shared" ca="1" si="59"/>
        <v>522396.24999999814</v>
      </c>
      <c r="J202" s="14">
        <f t="shared" ca="1" si="59"/>
        <v>2788910.12</v>
      </c>
      <c r="K202" s="15">
        <f t="shared" ca="1" si="59"/>
        <v>1539466.8800000001</v>
      </c>
      <c r="L202" s="15">
        <f t="shared" ca="1" si="59"/>
        <v>-28259027.350000039</v>
      </c>
      <c r="S202" s="18" t="s">
        <v>53</v>
      </c>
      <c r="T202" s="19">
        <f t="shared" ca="1" si="58"/>
        <v>2636157.9200000018</v>
      </c>
      <c r="U202" s="19">
        <f t="shared" ca="1" si="58"/>
        <v>679169</v>
      </c>
      <c r="V202" s="19">
        <f t="shared" ca="1" si="58"/>
        <v>3969980.099999994</v>
      </c>
      <c r="W202" s="19">
        <f t="shared" ca="1" si="58"/>
        <v>746</v>
      </c>
      <c r="X202" s="19">
        <f t="shared" ca="1" si="58"/>
        <v>3969232</v>
      </c>
      <c r="Y202" s="19">
        <f t="shared" ca="1" si="58"/>
        <v>0</v>
      </c>
      <c r="Z202" s="19">
        <f t="shared" ca="1" si="57"/>
        <v>-411011.18000000343</v>
      </c>
      <c r="AA202" s="19">
        <f t="shared" ca="1" si="57"/>
        <v>746</v>
      </c>
      <c r="AB202" s="20">
        <f t="shared" ca="1" si="57"/>
        <v>0</v>
      </c>
      <c r="AC202" s="20">
        <f t="shared" ca="1" si="57"/>
        <v>-2012991.1800000072</v>
      </c>
      <c r="AE202" s="13" t="s">
        <v>53</v>
      </c>
      <c r="AF202" s="14">
        <v>69705553.579999983</v>
      </c>
      <c r="AG202" s="14">
        <v>5933254</v>
      </c>
      <c r="AH202" s="14">
        <v>90018335.75000003</v>
      </c>
      <c r="AI202" s="14">
        <v>4327631</v>
      </c>
      <c r="AJ202" s="14">
        <v>85685687</v>
      </c>
      <c r="AK202" s="14">
        <v>5000</v>
      </c>
      <c r="AL202" s="14">
        <v>933407.43000000156</v>
      </c>
      <c r="AM202" s="14">
        <v>2788164.12</v>
      </c>
      <c r="AN202" s="15">
        <v>1539466.8800000001</v>
      </c>
      <c r="AO202" s="15">
        <v>-26246036.170000032</v>
      </c>
    </row>
    <row r="203" spans="1:41" x14ac:dyDescent="0.25">
      <c r="A203" s="3">
        <f ca="1">EOMONTH(A201+1,0)</f>
        <v>46053</v>
      </c>
      <c r="B203" s="26" t="s">
        <v>54</v>
      </c>
      <c r="C203" s="27">
        <v>0</v>
      </c>
      <c r="D203" s="27">
        <v>79282</v>
      </c>
      <c r="E203" s="27">
        <v>834233.28</v>
      </c>
      <c r="F203" s="27">
        <v>-1</v>
      </c>
      <c r="G203" s="27">
        <v>834234</v>
      </c>
      <c r="H203" s="27">
        <v>0</v>
      </c>
      <c r="I203" s="19">
        <f ca="1">IF(L203&lt;0,0,L203)</f>
        <v>0</v>
      </c>
      <c r="J203" s="19">
        <v>-1</v>
      </c>
      <c r="K203" s="20">
        <v>0</v>
      </c>
      <c r="L203" s="20">
        <f t="shared" ca="1" si="50"/>
        <v>-913515.28</v>
      </c>
      <c r="M203" s="16"/>
      <c r="S203" s="26" t="s">
        <v>54</v>
      </c>
      <c r="T203" s="27">
        <f t="shared" ca="1" si="58"/>
        <v>0</v>
      </c>
      <c r="U203" s="27">
        <f t="shared" ca="1" si="58"/>
        <v>0</v>
      </c>
      <c r="V203" s="27">
        <f t="shared" ca="1" si="58"/>
        <v>0</v>
      </c>
      <c r="W203" s="27">
        <f t="shared" ca="1" si="58"/>
        <v>0</v>
      </c>
      <c r="X203" s="27">
        <f t="shared" ca="1" si="58"/>
        <v>0</v>
      </c>
      <c r="Y203" s="27">
        <f t="shared" ca="1" si="58"/>
        <v>0</v>
      </c>
      <c r="Z203" s="27">
        <f t="shared" ca="1" si="57"/>
        <v>0</v>
      </c>
      <c r="AA203" s="19">
        <f t="shared" ca="1" si="57"/>
        <v>0</v>
      </c>
      <c r="AB203" s="20">
        <f t="shared" ca="1" si="57"/>
        <v>0</v>
      </c>
      <c r="AC203" s="20">
        <f t="shared" ca="1" si="57"/>
        <v>0</v>
      </c>
      <c r="AD203" s="16"/>
      <c r="AE203" s="26" t="s">
        <v>54</v>
      </c>
      <c r="AF203" s="27">
        <v>0</v>
      </c>
      <c r="AG203" s="27">
        <v>79282</v>
      </c>
      <c r="AH203" s="27">
        <v>834233.28</v>
      </c>
      <c r="AI203" s="27">
        <v>-1</v>
      </c>
      <c r="AJ203" s="27">
        <v>834234</v>
      </c>
      <c r="AK203" s="27">
        <v>0</v>
      </c>
      <c r="AL203" s="19">
        <v>0</v>
      </c>
      <c r="AM203" s="19">
        <v>-1</v>
      </c>
      <c r="AN203" s="20">
        <v>0</v>
      </c>
      <c r="AO203" s="20">
        <v>-913515.28</v>
      </c>
    </row>
    <row r="204" spans="1:41" x14ac:dyDescent="0.25">
      <c r="A204" s="3">
        <f ca="1">EOMONTH(A203+1,0)</f>
        <v>46081</v>
      </c>
      <c r="B204" s="30" t="s">
        <v>55</v>
      </c>
      <c r="C204" s="31">
        <v>0</v>
      </c>
      <c r="D204" s="31">
        <v>0</v>
      </c>
      <c r="E204" s="31">
        <v>560260.48</v>
      </c>
      <c r="F204" s="31">
        <v>-1</v>
      </c>
      <c r="G204" s="31">
        <v>560261</v>
      </c>
      <c r="H204" s="31">
        <v>0</v>
      </c>
      <c r="I204" s="31">
        <f ca="1">IF(L204&lt;0,0,L204)</f>
        <v>0</v>
      </c>
      <c r="J204" s="31">
        <v>-1</v>
      </c>
      <c r="K204" s="32">
        <v>0</v>
      </c>
      <c r="L204" s="32">
        <f t="shared" ca="1" si="50"/>
        <v>-560260.48</v>
      </c>
      <c r="M204" s="16"/>
      <c r="S204" s="33" t="s">
        <v>55</v>
      </c>
      <c r="T204" s="19">
        <f t="shared" ca="1" si="58"/>
        <v>0</v>
      </c>
      <c r="U204" s="19">
        <f t="shared" ca="1" si="58"/>
        <v>0</v>
      </c>
      <c r="V204" s="19">
        <f t="shared" ca="1" si="58"/>
        <v>0</v>
      </c>
      <c r="W204" s="19">
        <f t="shared" ca="1" si="58"/>
        <v>0</v>
      </c>
      <c r="X204" s="19">
        <f t="shared" ca="1" si="58"/>
        <v>0</v>
      </c>
      <c r="Y204" s="19">
        <f t="shared" ca="1" si="58"/>
        <v>0</v>
      </c>
      <c r="Z204" s="19">
        <f t="shared" ca="1" si="57"/>
        <v>0</v>
      </c>
      <c r="AA204" s="19">
        <f t="shared" ca="1" si="57"/>
        <v>0</v>
      </c>
      <c r="AB204" s="20">
        <f t="shared" ca="1" si="57"/>
        <v>0</v>
      </c>
      <c r="AC204" s="20">
        <f t="shared" ca="1" si="57"/>
        <v>0</v>
      </c>
      <c r="AD204" s="16"/>
      <c r="AE204" s="30" t="s">
        <v>55</v>
      </c>
      <c r="AF204" s="31">
        <v>0</v>
      </c>
      <c r="AG204" s="31">
        <v>0</v>
      </c>
      <c r="AH204" s="31">
        <v>560260.48</v>
      </c>
      <c r="AI204" s="31">
        <v>-1</v>
      </c>
      <c r="AJ204" s="31">
        <v>560261</v>
      </c>
      <c r="AK204" s="31">
        <v>0</v>
      </c>
      <c r="AL204" s="31">
        <v>0</v>
      </c>
      <c r="AM204" s="31">
        <v>-1</v>
      </c>
      <c r="AN204" s="32">
        <v>0</v>
      </c>
      <c r="AO204" s="32">
        <v>-560260.48</v>
      </c>
    </row>
    <row r="205" spans="1:41" x14ac:dyDescent="0.25">
      <c r="A205" s="3">
        <f ca="1">EOMONTH(A204+1,0)</f>
        <v>46112</v>
      </c>
      <c r="B205" s="26" t="s">
        <v>56</v>
      </c>
      <c r="C205" s="27">
        <v>0</v>
      </c>
      <c r="D205" s="27">
        <v>0</v>
      </c>
      <c r="E205" s="27">
        <v>51415</v>
      </c>
      <c r="F205" s="27">
        <v>0</v>
      </c>
      <c r="G205" s="27">
        <v>51415</v>
      </c>
      <c r="H205" s="27">
        <v>0</v>
      </c>
      <c r="I205" s="19">
        <f ca="1">IF(L205&lt;0,0,L205)</f>
        <v>0</v>
      </c>
      <c r="J205" s="19">
        <v>0</v>
      </c>
      <c r="K205" s="20">
        <v>0</v>
      </c>
      <c r="L205" s="20">
        <f t="shared" ca="1" si="50"/>
        <v>-51415</v>
      </c>
      <c r="M205" s="16"/>
      <c r="S205" s="26" t="s">
        <v>56</v>
      </c>
      <c r="T205" s="27">
        <f t="shared" ca="1" si="58"/>
        <v>0</v>
      </c>
      <c r="U205" s="27">
        <f t="shared" ca="1" si="58"/>
        <v>0</v>
      </c>
      <c r="V205" s="27">
        <f t="shared" ca="1" si="58"/>
        <v>0</v>
      </c>
      <c r="W205" s="27">
        <f t="shared" ca="1" si="58"/>
        <v>0</v>
      </c>
      <c r="X205" s="27">
        <f t="shared" ca="1" si="58"/>
        <v>0</v>
      </c>
      <c r="Y205" s="27">
        <f t="shared" ca="1" si="58"/>
        <v>0</v>
      </c>
      <c r="Z205" s="27">
        <f t="shared" ca="1" si="57"/>
        <v>0</v>
      </c>
      <c r="AA205" s="19">
        <f t="shared" ca="1" si="57"/>
        <v>0</v>
      </c>
      <c r="AB205" s="20">
        <f t="shared" ca="1" si="57"/>
        <v>0</v>
      </c>
      <c r="AC205" s="20">
        <f t="shared" ca="1" si="57"/>
        <v>0</v>
      </c>
      <c r="AD205" s="16"/>
      <c r="AE205" s="26" t="s">
        <v>56</v>
      </c>
      <c r="AF205" s="27">
        <v>0</v>
      </c>
      <c r="AG205" s="27">
        <v>0</v>
      </c>
      <c r="AH205" s="27">
        <v>51415</v>
      </c>
      <c r="AI205" s="27">
        <v>0</v>
      </c>
      <c r="AJ205" s="27">
        <v>51415</v>
      </c>
      <c r="AK205" s="27">
        <v>0</v>
      </c>
      <c r="AL205" s="27">
        <v>0</v>
      </c>
      <c r="AM205" s="19">
        <v>0</v>
      </c>
      <c r="AN205" s="20">
        <v>0</v>
      </c>
      <c r="AO205" s="20">
        <v>-51415</v>
      </c>
    </row>
    <row r="206" spans="1:41" x14ac:dyDescent="0.25">
      <c r="A206" s="3">
        <f ca="1">EOMONTH(A205+1,0)</f>
        <v>46142</v>
      </c>
      <c r="B206" s="30" t="s">
        <v>57</v>
      </c>
      <c r="C206" s="31">
        <v>53892240.75999999</v>
      </c>
      <c r="D206" s="31">
        <v>4599241</v>
      </c>
      <c r="E206" s="31">
        <v>76549232.600000024</v>
      </c>
      <c r="F206" s="31">
        <v>3940579</v>
      </c>
      <c r="G206" s="31">
        <v>72605639</v>
      </c>
      <c r="H206" s="31">
        <v>3000</v>
      </c>
      <c r="I206" s="31">
        <f ca="1">IF(L206&lt;0,0,L206)</f>
        <v>0</v>
      </c>
      <c r="J206" s="31">
        <v>2401112.42</v>
      </c>
      <c r="K206" s="32">
        <v>1539466.58</v>
      </c>
      <c r="L206" s="32">
        <f t="shared" ca="1" si="50"/>
        <v>-27256232.840000033</v>
      </c>
      <c r="M206" s="16"/>
      <c r="S206" s="26" t="s">
        <v>57</v>
      </c>
      <c r="T206" s="27">
        <f t="shared" ca="1" si="58"/>
        <v>0</v>
      </c>
      <c r="U206" s="27">
        <f t="shared" ca="1" si="58"/>
        <v>75653</v>
      </c>
      <c r="V206" s="27">
        <f t="shared" ca="1" si="58"/>
        <v>1526327</v>
      </c>
      <c r="W206" s="27">
        <f t="shared" ca="1" si="58"/>
        <v>147</v>
      </c>
      <c r="X206" s="27">
        <f t="shared" ca="1" si="58"/>
        <v>1526180</v>
      </c>
      <c r="Y206" s="27">
        <f t="shared" ca="1" si="58"/>
        <v>0</v>
      </c>
      <c r="Z206" s="27">
        <f t="shared" ca="1" si="57"/>
        <v>0</v>
      </c>
      <c r="AA206" s="19">
        <f t="shared" ca="1" si="57"/>
        <v>147</v>
      </c>
      <c r="AB206" s="20">
        <f t="shared" ca="1" si="57"/>
        <v>0</v>
      </c>
      <c r="AC206" s="20">
        <f t="shared" ca="1" si="57"/>
        <v>-1601980</v>
      </c>
      <c r="AD206" s="16"/>
      <c r="AE206" s="30" t="s">
        <v>57</v>
      </c>
      <c r="AF206" s="31">
        <v>53892240.75999999</v>
      </c>
      <c r="AG206" s="31">
        <v>4523588</v>
      </c>
      <c r="AH206" s="31">
        <v>75022905.600000024</v>
      </c>
      <c r="AI206" s="31">
        <v>3940432</v>
      </c>
      <c r="AJ206" s="31">
        <v>71079459</v>
      </c>
      <c r="AK206" s="31">
        <v>3000</v>
      </c>
      <c r="AL206" s="31">
        <v>0</v>
      </c>
      <c r="AM206" s="31">
        <v>2400965.42</v>
      </c>
      <c r="AN206" s="32">
        <v>1539466.58</v>
      </c>
      <c r="AO206" s="32">
        <v>-25654252.840000033</v>
      </c>
    </row>
    <row r="207" spans="1:41" ht="15.75" thickBot="1" x14ac:dyDescent="0.3">
      <c r="A207" s="3">
        <f ca="1">EOMONTH(A206+1,0)</f>
        <v>46173</v>
      </c>
      <c r="B207" s="26" t="s">
        <v>58</v>
      </c>
      <c r="C207" s="27">
        <f ca="1">O11</f>
        <v>18449470.739999998</v>
      </c>
      <c r="D207" s="27">
        <v>1933900</v>
      </c>
      <c r="E207" s="27">
        <v>15993174.49</v>
      </c>
      <c r="F207" s="27">
        <v>387800</v>
      </c>
      <c r="G207" s="27">
        <v>15603370</v>
      </c>
      <c r="H207" s="27">
        <v>2000</v>
      </c>
      <c r="I207" s="19">
        <f ca="1">IF(L207&lt;0,0,L207)</f>
        <v>522396.24999999814</v>
      </c>
      <c r="J207" s="19">
        <v>387799.69999999995</v>
      </c>
      <c r="K207" s="20">
        <v>0.30000000004656613</v>
      </c>
      <c r="L207" s="20">
        <f ca="1">C207-E207-D207</f>
        <v>522396.24999999814</v>
      </c>
      <c r="M207" s="16"/>
      <c r="S207" s="26" t="s">
        <v>58</v>
      </c>
      <c r="T207" s="27">
        <f t="shared" ca="1" si="58"/>
        <v>2636157.9199999981</v>
      </c>
      <c r="U207" s="27">
        <f t="shared" ca="1" si="58"/>
        <v>603516</v>
      </c>
      <c r="V207" s="27">
        <f t="shared" ca="1" si="58"/>
        <v>2443653.1000000015</v>
      </c>
      <c r="W207" s="27">
        <f t="shared" ca="1" si="58"/>
        <v>599</v>
      </c>
      <c r="X207" s="27">
        <f t="shared" ca="1" si="58"/>
        <v>2443052</v>
      </c>
      <c r="Y207" s="27">
        <f t="shared" ca="1" si="58"/>
        <v>0</v>
      </c>
      <c r="Z207" s="27">
        <f t="shared" ca="1" si="58"/>
        <v>-411011.18000000343</v>
      </c>
      <c r="AA207" s="19">
        <f t="shared" ca="1" si="58"/>
        <v>599</v>
      </c>
      <c r="AB207" s="20">
        <f t="shared" ca="1" si="58"/>
        <v>0</v>
      </c>
      <c r="AC207" s="20">
        <f t="shared" ca="1" si="58"/>
        <v>-411011.18000000343</v>
      </c>
      <c r="AD207" s="16"/>
      <c r="AE207" s="26" t="s">
        <v>58</v>
      </c>
      <c r="AF207" s="27">
        <v>15813312.82</v>
      </c>
      <c r="AG207" s="27">
        <v>1330384</v>
      </c>
      <c r="AH207" s="27">
        <v>13549521.389999999</v>
      </c>
      <c r="AI207" s="27">
        <v>387201</v>
      </c>
      <c r="AJ207" s="27">
        <v>13160318</v>
      </c>
      <c r="AK207" s="27">
        <v>2000</v>
      </c>
      <c r="AL207" s="27">
        <v>933407.43000000156</v>
      </c>
      <c r="AM207" s="19">
        <v>387200.69999999995</v>
      </c>
      <c r="AN207" s="20">
        <v>0.30000000004656613</v>
      </c>
      <c r="AO207" s="20">
        <v>933407.43000000156</v>
      </c>
    </row>
    <row r="208" spans="1:41" ht="15.75" thickBot="1" x14ac:dyDescent="0.3">
      <c r="A208" s="3"/>
      <c r="B208" s="36" t="s">
        <v>59</v>
      </c>
      <c r="C208" s="37">
        <f ca="1">SUM(C172:C176)+C189+C202</f>
        <v>72341711.499999985</v>
      </c>
      <c r="D208" s="37">
        <f t="shared" ref="D208:K208" ca="1" si="60">SUM(D172:D176)+D189+D202</f>
        <v>6612423</v>
      </c>
      <c r="E208" s="37">
        <f t="shared" ca="1" si="60"/>
        <v>93988315.850000024</v>
      </c>
      <c r="F208" s="37">
        <f t="shared" ca="1" si="60"/>
        <v>4328377</v>
      </c>
      <c r="G208" s="37">
        <f t="shared" ca="1" si="60"/>
        <v>89654919</v>
      </c>
      <c r="H208" s="37">
        <f t="shared" ca="1" si="60"/>
        <v>5000</v>
      </c>
      <c r="I208" s="37">
        <f t="shared" ca="1" si="60"/>
        <v>522396.24999999814</v>
      </c>
      <c r="J208" s="37">
        <f t="shared" ca="1" si="60"/>
        <v>2788910.12</v>
      </c>
      <c r="K208" s="37">
        <f t="shared" ca="1" si="60"/>
        <v>1539466.8800000001</v>
      </c>
      <c r="L208" s="38">
        <f ca="1">C208-E208-D208</f>
        <v>-28259027.350000039</v>
      </c>
      <c r="S208" s="39" t="s">
        <v>59</v>
      </c>
      <c r="T208" s="40">
        <f t="shared" ca="1" si="58"/>
        <v>2636157.9200000018</v>
      </c>
      <c r="U208" s="40">
        <f t="shared" ca="1" si="58"/>
        <v>679169</v>
      </c>
      <c r="V208" s="40">
        <f t="shared" ca="1" si="58"/>
        <v>3969980.099999994</v>
      </c>
      <c r="W208" s="40">
        <f t="shared" ca="1" si="58"/>
        <v>746</v>
      </c>
      <c r="X208" s="40">
        <f t="shared" ca="1" si="58"/>
        <v>3969232</v>
      </c>
      <c r="Y208" s="40">
        <f t="shared" ca="1" si="58"/>
        <v>0</v>
      </c>
      <c r="Z208" s="40">
        <f t="shared" ca="1" si="57"/>
        <v>-411011.18000000343</v>
      </c>
      <c r="AA208" s="40">
        <f t="shared" ca="1" si="57"/>
        <v>746</v>
      </c>
      <c r="AB208" s="40">
        <f t="shared" ca="1" si="57"/>
        <v>0</v>
      </c>
      <c r="AC208" s="41">
        <f t="shared" ca="1" si="57"/>
        <v>-2012991.1799999923</v>
      </c>
      <c r="AE208" s="36" t="s">
        <v>59</v>
      </c>
      <c r="AF208" s="37">
        <v>69705553.579999983</v>
      </c>
      <c r="AG208" s="37">
        <v>5933254</v>
      </c>
      <c r="AH208" s="37">
        <v>90018335.75000003</v>
      </c>
      <c r="AI208" s="37">
        <v>4327631</v>
      </c>
      <c r="AJ208" s="37">
        <v>85685687</v>
      </c>
      <c r="AK208" s="37">
        <v>5000</v>
      </c>
      <c r="AL208" s="37">
        <v>933407.43000000156</v>
      </c>
      <c r="AM208" s="37">
        <v>2788164.12</v>
      </c>
      <c r="AN208" s="37">
        <v>1539466.8800000001</v>
      </c>
      <c r="AO208" s="38">
        <v>-26246036.170000046</v>
      </c>
    </row>
  </sheetData>
  <mergeCells count="18">
    <mergeCell ref="B129:L129"/>
    <mergeCell ref="S129:AC129"/>
    <mergeCell ref="AE129:AO129"/>
    <mergeCell ref="B170:L170"/>
    <mergeCell ref="S170:AC170"/>
    <mergeCell ref="AE170:AO170"/>
    <mergeCell ref="B46:L46"/>
    <mergeCell ref="S46:AC46"/>
    <mergeCell ref="AE46:AO46"/>
    <mergeCell ref="B88:L88"/>
    <mergeCell ref="S88:AC88"/>
    <mergeCell ref="AE88:AO88"/>
    <mergeCell ref="S4:AC4"/>
    <mergeCell ref="AE4:AO4"/>
    <mergeCell ref="B5:L5"/>
    <mergeCell ref="S5:AC5"/>
    <mergeCell ref="AE5:AO5"/>
    <mergeCell ref="N7:O7"/>
  </mergeCells>
  <conditionalFormatting sqref="B1:L4 B5 B6:L43 B44:J44 M44 B45:L45 B46 B47:L84 B85:H85 K85 L85:L87 B86:K87 B88 B89:L128 B129 B130:L169 B170 B171:L1048576">
    <cfRule type="cellIs" dxfId="15" priority="13" operator="lessThan">
      <formula>0</formula>
    </cfRule>
  </conditionalFormatting>
  <conditionalFormatting sqref="S6:AC43 S47:AC84 S89:AC128 S130:AC167 S4:S5 AE4:AE5 S44:AA44 AD44:AM44 S45:AC45 AE45:AO45 S46 AE46 S85:Z85 AB85 AE85:AL85 AN85 AC85:AC87 AO85:AO87 S86:AB87 AE86:AN87 S88 AE88 S129 AE129">
    <cfRule type="cellIs" dxfId="14" priority="12" operator="lessThan">
      <formula>0</formula>
    </cfRule>
  </conditionalFormatting>
  <conditionalFormatting sqref="S171:AC208 S170 AE170">
    <cfRule type="cellIs" dxfId="13" priority="3" operator="lessThan">
      <formula>0</formula>
    </cfRule>
  </conditionalFormatting>
  <conditionalFormatting sqref="T7:AC43">
    <cfRule type="cellIs" dxfId="12" priority="11" operator="lessThan">
      <formula>0</formula>
    </cfRule>
  </conditionalFormatting>
  <conditionalFormatting sqref="T48:AC84">
    <cfRule type="cellIs" dxfId="11" priority="10" operator="lessThan">
      <formula>0</formula>
    </cfRule>
  </conditionalFormatting>
  <conditionalFormatting sqref="T90:AC126">
    <cfRule type="cellIs" dxfId="10" priority="9" operator="lessThan">
      <formula>0</formula>
    </cfRule>
  </conditionalFormatting>
  <conditionalFormatting sqref="T131:AC167">
    <cfRule type="cellIs" dxfId="9" priority="8" operator="lessThan">
      <formula>0</formula>
    </cfRule>
  </conditionalFormatting>
  <conditionalFormatting sqref="T172:AC208">
    <cfRule type="cellIs" dxfId="8" priority="2" operator="lessThan">
      <formula>0</formula>
    </cfRule>
  </conditionalFormatting>
  <conditionalFormatting sqref="AE6:AO43">
    <cfRule type="cellIs" dxfId="7" priority="7" operator="lessThan">
      <formula>0</formula>
    </cfRule>
  </conditionalFormatting>
  <conditionalFormatting sqref="AE47:AO84">
    <cfRule type="cellIs" dxfId="6" priority="6" operator="lessThan">
      <formula>0</formula>
    </cfRule>
  </conditionalFormatting>
  <conditionalFormatting sqref="AE89:AO128">
    <cfRule type="cellIs" dxfId="5" priority="5" operator="lessThan">
      <formula>0</formula>
    </cfRule>
  </conditionalFormatting>
  <conditionalFormatting sqref="AE130:AO167">
    <cfRule type="cellIs" dxfId="4" priority="4" operator="lessThan">
      <formula>0</formula>
    </cfRule>
  </conditionalFormatting>
  <conditionalFormatting sqref="AE171:AO208">
    <cfRule type="cellIs" dxfId="3" priority="1" operator="lessThan">
      <formula>0</formula>
    </cfRule>
  </conditionalFormatting>
  <printOptions horizontalCentered="1" verticalCentered="1"/>
  <pageMargins left="0.25" right="0.25" top="0.75" bottom="0.75" header="0.3" footer="0.3"/>
  <pageSetup paperSize="8" scale="34" fitToWidth="0" orientation="portrait" r:id="rId1"/>
  <headerFooter>
    <oddHeader>&amp;L&amp;"Aptos Narrow,Regular"SOBHA LLC&amp;C&amp;"Aptos Narrow,Bold"&amp;18Receipt status&amp;R&amp;D</oddHeader>
    <oddFooter>&amp;LCOLLECTION&amp;R&amp;P/&amp;N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DAEB-5A7D-40AB-8D16-D226A486A407}">
  <sheetPr>
    <pageSetUpPr fitToPage="1"/>
  </sheetPr>
  <dimension ref="A1:BA144"/>
  <sheetViews>
    <sheetView showGridLines="0" view="pageBreakPreview" zoomScale="80" zoomScaleNormal="85" zoomScaleSheetLayoutView="80" workbookViewId="0">
      <pane xSplit="1" ySplit="4" topLeftCell="B5" activePane="bottomRight" state="frozen"/>
      <selection activeCell="B6" sqref="B6:I6"/>
      <selection pane="topRight" activeCell="B6" sqref="B6:I6"/>
      <selection pane="bottomLeft" activeCell="B6" sqref="B6:I6"/>
      <selection pane="bottomRight" activeCell="B6" sqref="B6:I6"/>
    </sheetView>
  </sheetViews>
  <sheetFormatPr defaultColWidth="8.7109375" defaultRowHeight="15" outlineLevelRow="1" outlineLevelCol="1" x14ac:dyDescent="0.25"/>
  <cols>
    <col min="1" max="1" width="14.5703125" style="51" bestFit="1" customWidth="1"/>
    <col min="2" max="6" width="16.28515625" style="51" customWidth="1"/>
    <col min="7" max="7" width="16" style="51" bestFit="1" customWidth="1"/>
    <col min="8" max="9" width="15" style="51" bestFit="1" customWidth="1"/>
    <col min="10" max="10" width="13.5703125" style="51" hidden="1" customWidth="1"/>
    <col min="11" max="11" width="22.7109375" style="51" hidden="1" customWidth="1"/>
    <col min="12" max="12" width="14.42578125" style="51" customWidth="1"/>
    <col min="13" max="13" width="15.5703125" style="51" bestFit="1" customWidth="1"/>
    <col min="14" max="14" width="16" style="51" bestFit="1" customWidth="1"/>
    <col min="15" max="18" width="15" style="51" bestFit="1" customWidth="1"/>
    <col min="19" max="28" width="15" style="51" customWidth="1"/>
    <col min="29" max="30" width="16" style="51" hidden="1" customWidth="1" outlineLevel="1"/>
    <col min="31" max="31" width="16" style="51" bestFit="1" customWidth="1" collapsed="1"/>
    <col min="32" max="32" width="15.7109375" style="51" bestFit="1" customWidth="1"/>
    <col min="33" max="33" width="14.42578125" style="51" hidden="1" customWidth="1" outlineLevel="1"/>
    <col min="34" max="35" width="15" style="51" hidden="1" customWidth="1" outlineLevel="1"/>
    <col min="36" max="36" width="15" style="51" bestFit="1" customWidth="1" collapsed="1"/>
    <col min="37" max="38" width="15" style="51" bestFit="1" customWidth="1"/>
    <col min="39" max="39" width="13.7109375" style="51" customWidth="1"/>
    <col min="40" max="40" width="15.5703125" style="51" bestFit="1" customWidth="1"/>
    <col min="41" max="41" width="13.28515625" style="51" bestFit="1" customWidth="1"/>
    <col min="42" max="42" width="13.7109375" style="53" customWidth="1"/>
    <col min="43" max="44" width="9.7109375" style="53" bestFit="1" customWidth="1"/>
    <col min="45" max="45" width="13.7109375" style="54" bestFit="1" customWidth="1"/>
    <col min="46" max="46" width="15.28515625" style="54" bestFit="1" customWidth="1"/>
    <col min="47" max="48" width="11.28515625" style="53" bestFit="1" customWidth="1"/>
    <col min="49" max="49" width="2.28515625" customWidth="1"/>
    <col min="50" max="50" width="17.28515625" style="54" customWidth="1"/>
    <col min="51" max="51" width="8.7109375" style="51"/>
    <col min="52" max="52" width="12" style="51" bestFit="1" customWidth="1"/>
    <col min="53" max="16384" width="8.7109375" style="51"/>
  </cols>
  <sheetData>
    <row r="1" spans="1:53" ht="15.75" thickBot="1" x14ac:dyDescent="0.3">
      <c r="M1" s="52">
        <v>0.55000000000000004</v>
      </c>
    </row>
    <row r="2" spans="1:53" ht="27" customHeight="1" thickBot="1" x14ac:dyDescent="0.55000000000000004">
      <c r="A2" s="55"/>
      <c r="B2" s="56" t="s">
        <v>67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 t="s">
        <v>67</v>
      </c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8"/>
      <c r="AD2" s="58"/>
      <c r="AE2" s="57" t="s">
        <v>67</v>
      </c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9"/>
      <c r="AX2" s="60"/>
    </row>
    <row r="3" spans="1:53" ht="23.65" customHeight="1" thickBot="1" x14ac:dyDescent="0.3">
      <c r="A3" s="61">
        <v>2025</v>
      </c>
      <c r="B3" s="62" t="s">
        <v>68</v>
      </c>
      <c r="C3" s="63"/>
      <c r="D3" s="63"/>
      <c r="E3" s="63"/>
      <c r="F3" s="63"/>
      <c r="G3" s="63"/>
      <c r="H3" s="64"/>
      <c r="I3" s="65"/>
      <c r="J3" s="66"/>
      <c r="K3" s="66"/>
      <c r="L3" s="65"/>
      <c r="N3" s="67" t="s">
        <v>69</v>
      </c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9"/>
      <c r="AC3" s="66"/>
      <c r="AD3" s="66"/>
      <c r="AE3" s="70" t="s">
        <v>70</v>
      </c>
      <c r="AF3" s="71"/>
      <c r="AG3" s="71"/>
      <c r="AH3" s="71"/>
      <c r="AI3" s="71"/>
      <c r="AJ3" s="72"/>
      <c r="AK3" s="72"/>
      <c r="AL3" s="72"/>
      <c r="AM3" s="72"/>
      <c r="AN3" s="72"/>
      <c r="AO3" s="72"/>
      <c r="AP3" s="71"/>
      <c r="AQ3" s="71"/>
      <c r="AR3" s="71"/>
      <c r="AS3" s="71"/>
      <c r="AT3" s="71"/>
      <c r="AU3" s="71"/>
      <c r="AV3" s="73"/>
      <c r="AX3" s="66"/>
    </row>
    <row r="4" spans="1:53" ht="66.599999999999994" customHeight="1" thickBot="1" x14ac:dyDescent="0.3">
      <c r="A4" s="74" t="s">
        <v>71</v>
      </c>
      <c r="B4" s="75" t="s">
        <v>72</v>
      </c>
      <c r="C4" s="76" t="s">
        <v>73</v>
      </c>
      <c r="D4" s="76" t="s">
        <v>74</v>
      </c>
      <c r="E4" s="76" t="s">
        <v>75</v>
      </c>
      <c r="F4" s="76" t="s">
        <v>76</v>
      </c>
      <c r="G4" s="77" t="s">
        <v>77</v>
      </c>
      <c r="H4" s="78" t="s">
        <v>78</v>
      </c>
      <c r="I4" s="79" t="s">
        <v>79</v>
      </c>
      <c r="J4" s="80" t="s">
        <v>80</v>
      </c>
      <c r="K4" s="80" t="s">
        <v>81</v>
      </c>
      <c r="L4" s="79" t="s">
        <v>82</v>
      </c>
      <c r="M4" s="81" t="s">
        <v>83</v>
      </c>
      <c r="N4" s="82" t="s">
        <v>84</v>
      </c>
      <c r="O4" s="83" t="s">
        <v>85</v>
      </c>
      <c r="P4" s="84" t="s">
        <v>86</v>
      </c>
      <c r="Q4" s="84" t="s">
        <v>87</v>
      </c>
      <c r="R4" s="84" t="s">
        <v>88</v>
      </c>
      <c r="S4" s="85" t="s">
        <v>89</v>
      </c>
      <c r="T4" s="85" t="s">
        <v>90</v>
      </c>
      <c r="U4" s="85" t="s">
        <v>91</v>
      </c>
      <c r="V4" s="86" t="s">
        <v>92</v>
      </c>
      <c r="W4" s="86" t="s">
        <v>93</v>
      </c>
      <c r="X4" s="86" t="s">
        <v>94</v>
      </c>
      <c r="Y4" s="87" t="s">
        <v>95</v>
      </c>
      <c r="Z4" s="88" t="s">
        <v>96</v>
      </c>
      <c r="AA4" s="89" t="s">
        <v>97</v>
      </c>
      <c r="AB4" s="90" t="s">
        <v>98</v>
      </c>
      <c r="AC4" s="91" t="s">
        <v>99</v>
      </c>
      <c r="AD4" s="81" t="s">
        <v>100</v>
      </c>
      <c r="AE4" s="82" t="s">
        <v>101</v>
      </c>
      <c r="AF4" s="83" t="s">
        <v>102</v>
      </c>
      <c r="AG4" s="92" t="s">
        <v>103</v>
      </c>
      <c r="AH4" s="92" t="s">
        <v>104</v>
      </c>
      <c r="AI4" s="93" t="s">
        <v>105</v>
      </c>
      <c r="AJ4" s="84" t="s">
        <v>106</v>
      </c>
      <c r="AK4" s="84" t="s">
        <v>107</v>
      </c>
      <c r="AL4" s="94" t="s">
        <v>108</v>
      </c>
      <c r="AM4" s="85" t="s">
        <v>89</v>
      </c>
      <c r="AN4" s="85" t="s">
        <v>90</v>
      </c>
      <c r="AO4" s="95" t="s">
        <v>91</v>
      </c>
      <c r="AP4" s="86" t="s">
        <v>92</v>
      </c>
      <c r="AQ4" s="86" t="s">
        <v>93</v>
      </c>
      <c r="AR4" s="96" t="s">
        <v>94</v>
      </c>
      <c r="AS4" s="87" t="s">
        <v>95</v>
      </c>
      <c r="AT4" s="88" t="s">
        <v>96</v>
      </c>
      <c r="AU4" s="89" t="s">
        <v>97</v>
      </c>
      <c r="AV4" s="90" t="s">
        <v>98</v>
      </c>
      <c r="AX4" s="97" t="s">
        <v>109</v>
      </c>
    </row>
    <row r="5" spans="1:53" ht="18" customHeight="1" x14ac:dyDescent="0.25">
      <c r="A5" s="98" t="s">
        <v>110</v>
      </c>
      <c r="B5" s="99">
        <v>197502693.67000005</v>
      </c>
      <c r="C5" s="100">
        <v>188138132.23390001</v>
      </c>
      <c r="D5" s="100">
        <v>66983200.699374005</v>
      </c>
      <c r="E5" s="100">
        <v>43572120.716792986</v>
      </c>
      <c r="F5" s="100">
        <v>89598232.594375998</v>
      </c>
      <c r="G5" s="101">
        <v>489537723.38094097</v>
      </c>
      <c r="H5" s="102">
        <v>1075332103.2953839</v>
      </c>
      <c r="I5" s="102">
        <v>471924139.62999994</v>
      </c>
      <c r="J5" s="103">
        <f ca="1">SUM(H5:I5)-SUM(S5:T5)</f>
        <v>945425864.50538373</v>
      </c>
      <c r="K5" s="104">
        <f ca="1">H6-J5</f>
        <v>182321539.48097014</v>
      </c>
      <c r="L5" s="105">
        <v>299192888.43786186</v>
      </c>
      <c r="M5" s="103">
        <f t="shared" ref="M5:M12" ca="1" si="0">L5*$M$1</f>
        <v>164556088.64082405</v>
      </c>
      <c r="N5" s="103">
        <f ca="1">SUM(H5:I5)</f>
        <v>1547256242.9253838</v>
      </c>
      <c r="O5" s="105">
        <f ca="1">$N5-$M5</f>
        <v>1382700154.2845597</v>
      </c>
      <c r="P5" s="103">
        <f ca="1">SUM($I5,$B5)</f>
        <v>669426833.29999995</v>
      </c>
      <c r="Q5" s="104">
        <f ca="1">SUM($C5:$G5)</f>
        <v>877829409.62538409</v>
      </c>
      <c r="R5" s="105">
        <f ca="1">SUM($D5:$G5)</f>
        <v>689691277.39148402</v>
      </c>
      <c r="S5" s="103">
        <v>427185348.13999999</v>
      </c>
      <c r="T5" s="104">
        <v>174645030.28000009</v>
      </c>
      <c r="U5" s="105">
        <v>92402395.390000045</v>
      </c>
      <c r="V5" s="106">
        <f ca="1">S5/P5</f>
        <v>0.63813597975173963</v>
      </c>
      <c r="W5" s="106">
        <f ca="1">T5/Q5</f>
        <v>0.1989509902095104</v>
      </c>
      <c r="X5" s="106">
        <f ca="1">U5/R5</f>
        <v>0.1339764593507399</v>
      </c>
      <c r="Y5" s="103">
        <f ca="1">SUM(S5:T5)</f>
        <v>601830378.42000008</v>
      </c>
      <c r="Z5" s="104">
        <f t="shared" ref="Z5:Z16" ca="1" si="1">SUM(S5:T5)+MAX(0,$M$1*$AX5)</f>
        <v>604784875.04199994</v>
      </c>
      <c r="AA5" s="107">
        <f ca="1">Y5/N5</f>
        <v>0.38896619817938149</v>
      </c>
      <c r="AB5" s="108">
        <f ca="1">Z5/O5</f>
        <v>0.43739408950520386</v>
      </c>
      <c r="AC5" s="109"/>
      <c r="AD5" s="109"/>
      <c r="AE5" s="103">
        <f t="shared" ref="AE5:AE15" ca="1" si="2">N5-SUM(AC5:AD5)</f>
        <v>1547256242.9253838</v>
      </c>
      <c r="AF5" s="104">
        <f t="shared" ref="AF5:AF15" ca="1" si="3">AE5-M5</f>
        <v>1382700154.2845597</v>
      </c>
      <c r="AG5" s="103"/>
      <c r="AH5" s="104"/>
      <c r="AI5" s="103"/>
      <c r="AJ5" s="103">
        <f ca="1">P5-AG5</f>
        <v>669426833.29999995</v>
      </c>
      <c r="AK5" s="104">
        <f ca="1">Q5-AH5</f>
        <v>877829409.62538409</v>
      </c>
      <c r="AL5" s="105">
        <f ca="1">R5-AI5</f>
        <v>689691277.39148402</v>
      </c>
      <c r="AM5" s="103">
        <v>427185348.13999999</v>
      </c>
      <c r="AN5" s="104">
        <v>174645030.28000009</v>
      </c>
      <c r="AO5" s="105">
        <v>92402395.390000045</v>
      </c>
      <c r="AP5" s="106">
        <f t="shared" ref="AP5:AR16" ca="1" si="4">AM5/AJ5</f>
        <v>0.63813597975173963</v>
      </c>
      <c r="AQ5" s="106">
        <f t="shared" ca="1" si="4"/>
        <v>0.1989509902095104</v>
      </c>
      <c r="AR5" s="106">
        <f t="shared" ca="1" si="4"/>
        <v>0.1339764593507399</v>
      </c>
      <c r="AS5" s="102">
        <f t="shared" ref="AS5:AS16" ca="1" si="5">SUM(AM5:AN5)</f>
        <v>601830378.42000008</v>
      </c>
      <c r="AT5" s="102">
        <f t="shared" ref="AT5:AT16" ca="1" si="6">SUM(AM5:AN5)+MAX(0,$M$1*$AX5)</f>
        <v>604784875.04199994</v>
      </c>
      <c r="AU5" s="107">
        <f t="shared" ref="AU5:AV16" ca="1" si="7">AS5/AE5</f>
        <v>0.38896619817938149</v>
      </c>
      <c r="AV5" s="108">
        <f t="shared" ca="1" si="7"/>
        <v>0.43739408950520386</v>
      </c>
      <c r="AW5" s="110"/>
      <c r="AX5" s="111">
        <f ca="1">Summary!I25</f>
        <v>5371812.0399997234</v>
      </c>
      <c r="BA5" s="112"/>
    </row>
    <row r="6" spans="1:53" x14ac:dyDescent="0.25">
      <c r="A6" s="98" t="s">
        <v>111</v>
      </c>
      <c r="B6" s="113">
        <v>220145179.25</v>
      </c>
      <c r="C6" s="114">
        <v>132908339.08731198</v>
      </c>
      <c r="D6" s="114">
        <v>126630433.83148098</v>
      </c>
      <c r="E6" s="114">
        <v>50311982.865235001</v>
      </c>
      <c r="F6" s="114">
        <v>75956631.851532996</v>
      </c>
      <c r="G6" s="115">
        <v>521794837.10079294</v>
      </c>
      <c r="H6" s="116">
        <v>1127747403.9863539</v>
      </c>
      <c r="I6" s="116">
        <v>613153334.48000014</v>
      </c>
      <c r="J6" s="117">
        <f t="shared" ref="J6:J16" ca="1" si="8">SUM(H6:I6)-SUM(S6:T6)</f>
        <v>1095137828.606353</v>
      </c>
      <c r="K6" s="118">
        <f t="shared" ref="K6:K12" ca="1" si="9">H7-J6</f>
        <v>66217053.79008317</v>
      </c>
      <c r="L6" s="119">
        <v>349011381.83926231</v>
      </c>
      <c r="M6" s="117">
        <f t="shared" ca="1" si="0"/>
        <v>191956260.0115943</v>
      </c>
      <c r="N6" s="117">
        <f t="shared" ref="N6:N14" ca="1" si="10">SUM(H6:I6)</f>
        <v>1740900738.4663539</v>
      </c>
      <c r="O6" s="119">
        <f t="shared" ref="O6:O15" ca="1" si="11">$N6-$M6</f>
        <v>1548944478.4547596</v>
      </c>
      <c r="P6" s="117">
        <f t="shared" ref="P6:P15" ca="1" si="12">SUM($I6,$B6)</f>
        <v>833298513.73000014</v>
      </c>
      <c r="Q6" s="118">
        <f t="shared" ref="Q6:Q15" ca="1" si="13">SUM($C6:$G6)</f>
        <v>907602224.73635387</v>
      </c>
      <c r="R6" s="119">
        <f t="shared" ref="R6:R15" ca="1" si="14">SUM($D6:$G6)</f>
        <v>774693885.64904189</v>
      </c>
      <c r="S6" s="117">
        <v>491589568.49000078</v>
      </c>
      <c r="T6" s="118">
        <v>154173341.37000009</v>
      </c>
      <c r="U6" s="119">
        <v>101233251.59000009</v>
      </c>
      <c r="V6" s="120">
        <f t="shared" ref="V6:X15" ca="1" si="15">S6/P6</f>
        <v>0.58993213163138125</v>
      </c>
      <c r="W6" s="120">
        <f t="shared" ca="1" si="15"/>
        <v>0.16986884470758692</v>
      </c>
      <c r="X6" s="120">
        <f t="shared" ca="1" si="15"/>
        <v>0.13067516533344836</v>
      </c>
      <c r="Y6" s="117">
        <f t="shared" ref="Y6:Y15" ca="1" si="16">SUM(S6:T6)</f>
        <v>645762909.86000085</v>
      </c>
      <c r="Z6" s="118">
        <f t="shared" ca="1" si="1"/>
        <v>648122960.57626057</v>
      </c>
      <c r="AA6" s="121">
        <f t="shared" ref="AA6:AB15" ca="1" si="17">Y6/N6</f>
        <v>0.37093608819356672</v>
      </c>
      <c r="AB6" s="122">
        <f t="shared" ca="1" si="17"/>
        <v>0.41842878785612359</v>
      </c>
      <c r="AC6" s="123"/>
      <c r="AD6" s="123"/>
      <c r="AE6" s="117">
        <f t="shared" ca="1" si="2"/>
        <v>1740900738.4663539</v>
      </c>
      <c r="AF6" s="118">
        <f t="shared" ca="1" si="3"/>
        <v>1548944478.4547596</v>
      </c>
      <c r="AG6" s="117"/>
      <c r="AH6" s="118"/>
      <c r="AI6" s="117"/>
      <c r="AJ6" s="117">
        <f t="shared" ref="AJ6:AL15" ca="1" si="18">P6-AG6</f>
        <v>833298513.73000014</v>
      </c>
      <c r="AK6" s="118">
        <f t="shared" ca="1" si="18"/>
        <v>907602224.73635387</v>
      </c>
      <c r="AL6" s="119">
        <f t="shared" ca="1" si="18"/>
        <v>774693885.64904189</v>
      </c>
      <c r="AM6" s="117">
        <v>491589568.49000078</v>
      </c>
      <c r="AN6" s="118">
        <v>154173341.37000009</v>
      </c>
      <c r="AO6" s="119">
        <v>101233251.59000009</v>
      </c>
      <c r="AP6" s="120">
        <f t="shared" ca="1" si="4"/>
        <v>0.58993213163138125</v>
      </c>
      <c r="AQ6" s="120">
        <f t="shared" ca="1" si="4"/>
        <v>0.16986884470758692</v>
      </c>
      <c r="AR6" s="120">
        <f t="shared" ca="1" si="4"/>
        <v>0.13067516533344836</v>
      </c>
      <c r="AS6" s="116">
        <f t="shared" ca="1" si="5"/>
        <v>645762909.86000085</v>
      </c>
      <c r="AT6" s="116">
        <f t="shared" ca="1" si="6"/>
        <v>648122960.57626057</v>
      </c>
      <c r="AU6" s="121">
        <f t="shared" ca="1" si="7"/>
        <v>0.37093608819356672</v>
      </c>
      <c r="AV6" s="122">
        <f t="shared" ca="1" si="7"/>
        <v>0.41842878785612359</v>
      </c>
      <c r="AW6" s="124"/>
      <c r="AX6" s="125">
        <f ca="1">Summary!I26</f>
        <v>4291001.3022904396</v>
      </c>
      <c r="BA6" s="112"/>
    </row>
    <row r="7" spans="1:53" ht="18" customHeight="1" x14ac:dyDescent="0.25">
      <c r="A7" s="98" t="s">
        <v>112</v>
      </c>
      <c r="B7" s="126">
        <v>364612164.54000008</v>
      </c>
      <c r="C7" s="127">
        <v>155829210.346957</v>
      </c>
      <c r="D7" s="127">
        <v>105285353.787009</v>
      </c>
      <c r="E7" s="127">
        <v>136685997.33486998</v>
      </c>
      <c r="F7" s="127">
        <v>102553278.152358</v>
      </c>
      <c r="G7" s="128">
        <v>296388878.23524201</v>
      </c>
      <c r="H7" s="129">
        <v>1161354882.3964362</v>
      </c>
      <c r="I7" s="129">
        <v>690060562.70000005</v>
      </c>
      <c r="J7" s="130">
        <f t="shared" ca="1" si="8"/>
        <v>1178307178.8064363</v>
      </c>
      <c r="K7" s="131">
        <f t="shared" ca="1" si="9"/>
        <v>103979000.72661781</v>
      </c>
      <c r="L7" s="132">
        <v>365855519.84266466</v>
      </c>
      <c r="M7" s="130">
        <f t="shared" ca="1" si="0"/>
        <v>201220535.91346559</v>
      </c>
      <c r="N7" s="130">
        <f t="shared" ca="1" si="10"/>
        <v>1851415445.0964363</v>
      </c>
      <c r="O7" s="132">
        <f t="shared" ca="1" si="11"/>
        <v>1650194909.1829708</v>
      </c>
      <c r="P7" s="130">
        <f t="shared" ca="1" si="12"/>
        <v>1054672727.2400001</v>
      </c>
      <c r="Q7" s="131">
        <f t="shared" ca="1" si="13"/>
        <v>796742717.85643601</v>
      </c>
      <c r="R7" s="132">
        <f t="shared" ca="1" si="14"/>
        <v>640913507.50947905</v>
      </c>
      <c r="S7" s="130">
        <v>531149896.82999998</v>
      </c>
      <c r="T7" s="131">
        <v>141958369.46000004</v>
      </c>
      <c r="U7" s="132">
        <v>81586110.520000026</v>
      </c>
      <c r="V7" s="120">
        <f t="shared" ca="1" si="15"/>
        <v>0.50361584509725554</v>
      </c>
      <c r="W7" s="120">
        <f t="shared" ca="1" si="15"/>
        <v>0.17817341317147667</v>
      </c>
      <c r="X7" s="120">
        <f t="shared" ca="1" si="15"/>
        <v>0.12729660018718419</v>
      </c>
      <c r="Y7" s="130">
        <f t="shared" ca="1" si="16"/>
        <v>673108266.28999996</v>
      </c>
      <c r="Z7" s="131">
        <f t="shared" ca="1" si="1"/>
        <v>679239003.64235902</v>
      </c>
      <c r="AA7" s="133">
        <f t="shared" ca="1" si="17"/>
        <v>0.36356414119411173</v>
      </c>
      <c r="AB7" s="134">
        <f t="shared" ca="1" si="17"/>
        <v>0.4116113798815787</v>
      </c>
      <c r="AC7" s="135"/>
      <c r="AD7" s="135"/>
      <c r="AE7" s="130">
        <f t="shared" ca="1" si="2"/>
        <v>1851415445.0964363</v>
      </c>
      <c r="AF7" s="131">
        <f t="shared" ca="1" si="3"/>
        <v>1650194909.1829708</v>
      </c>
      <c r="AG7" s="130"/>
      <c r="AH7" s="131"/>
      <c r="AI7" s="130"/>
      <c r="AJ7" s="130">
        <f t="shared" ca="1" si="18"/>
        <v>1054672727.2400001</v>
      </c>
      <c r="AK7" s="131">
        <f t="shared" ca="1" si="18"/>
        <v>796742717.85643601</v>
      </c>
      <c r="AL7" s="132">
        <f t="shared" ca="1" si="18"/>
        <v>640913507.50947905</v>
      </c>
      <c r="AM7" s="130">
        <v>531149896.82999998</v>
      </c>
      <c r="AN7" s="131">
        <v>141958369.46000004</v>
      </c>
      <c r="AO7" s="132">
        <v>81586110.520000026</v>
      </c>
      <c r="AP7" s="120">
        <f t="shared" ca="1" si="4"/>
        <v>0.50361584509725554</v>
      </c>
      <c r="AQ7" s="120">
        <f t="shared" ca="1" si="4"/>
        <v>0.17817341317147667</v>
      </c>
      <c r="AR7" s="120">
        <f t="shared" ca="1" si="4"/>
        <v>0.12729660018718419</v>
      </c>
      <c r="AS7" s="129">
        <f t="shared" ca="1" si="5"/>
        <v>673108266.28999996</v>
      </c>
      <c r="AT7" s="129">
        <f t="shared" ca="1" si="6"/>
        <v>679239003.64235902</v>
      </c>
      <c r="AU7" s="133">
        <f t="shared" ca="1" si="7"/>
        <v>0.36356414119411173</v>
      </c>
      <c r="AV7" s="134">
        <f t="shared" ca="1" si="7"/>
        <v>0.4116113798815787</v>
      </c>
      <c r="AW7" s="124"/>
      <c r="AX7" s="136">
        <f ca="1">Summary!I27</f>
        <v>11146795.186107397</v>
      </c>
      <c r="BA7" s="112"/>
    </row>
    <row r="8" spans="1:53" x14ac:dyDescent="0.25">
      <c r="A8" s="98" t="s">
        <v>113</v>
      </c>
      <c r="B8" s="113">
        <v>408087797.36000001</v>
      </c>
      <c r="C8" s="114">
        <v>221889209.21405804</v>
      </c>
      <c r="D8" s="114">
        <v>99350205.397625014</v>
      </c>
      <c r="E8" s="114">
        <v>81719241.187250003</v>
      </c>
      <c r="F8" s="114">
        <v>159024407.63951999</v>
      </c>
      <c r="G8" s="115">
        <v>312215318.73460096</v>
      </c>
      <c r="H8" s="116">
        <v>1282286179.5330541</v>
      </c>
      <c r="I8" s="116">
        <v>1369494058.4200001</v>
      </c>
      <c r="J8" s="117">
        <f t="shared" ca="1" si="8"/>
        <v>1777401748.3230553</v>
      </c>
      <c r="K8" s="118">
        <f t="shared" ca="1" si="9"/>
        <v>47742599.80646801</v>
      </c>
      <c r="L8" s="119">
        <v>481704435.12188113</v>
      </c>
      <c r="M8" s="117">
        <f t="shared" ca="1" si="0"/>
        <v>264937439.31703463</v>
      </c>
      <c r="N8" s="117">
        <f t="shared" ca="1" si="10"/>
        <v>2651780237.9530544</v>
      </c>
      <c r="O8" s="119">
        <f t="shared" ca="1" si="11"/>
        <v>2386842798.6360197</v>
      </c>
      <c r="P8" s="117">
        <f t="shared" ca="1" si="12"/>
        <v>1777581855.7800002</v>
      </c>
      <c r="Q8" s="118">
        <f t="shared" ca="1" si="13"/>
        <v>874198382.17305398</v>
      </c>
      <c r="R8" s="119">
        <f t="shared" ca="1" si="14"/>
        <v>652309172.95899606</v>
      </c>
      <c r="S8" s="117">
        <v>713632223.83999932</v>
      </c>
      <c r="T8" s="118">
        <v>160746265.78999999</v>
      </c>
      <c r="U8" s="119">
        <v>84031968.12999998</v>
      </c>
      <c r="V8" s="120">
        <f t="shared" ca="1" si="15"/>
        <v>0.40146236952157605</v>
      </c>
      <c r="W8" s="120">
        <f t="shared" ca="1" si="15"/>
        <v>0.1838784754902224</v>
      </c>
      <c r="X8" s="120">
        <f t="shared" ca="1" si="15"/>
        <v>0.1288223002427136</v>
      </c>
      <c r="Y8" s="117">
        <f t="shared" ca="1" si="16"/>
        <v>874378489.62999928</v>
      </c>
      <c r="Z8" s="118">
        <f t="shared" ca="1" si="1"/>
        <v>878792507.84943414</v>
      </c>
      <c r="AA8" s="121">
        <f t="shared" ca="1" si="17"/>
        <v>0.3297326366324172</v>
      </c>
      <c r="AB8" s="122">
        <f t="shared" ca="1" si="17"/>
        <v>0.36818198012522113</v>
      </c>
      <c r="AC8" s="123">
        <v>614496205.57000005</v>
      </c>
      <c r="AD8" s="123"/>
      <c r="AE8" s="117">
        <f t="shared" ca="1" si="2"/>
        <v>2037284032.3830543</v>
      </c>
      <c r="AF8" s="118">
        <f t="shared" ca="1" si="3"/>
        <v>1772346593.0660195</v>
      </c>
      <c r="AG8" s="117">
        <v>614496205.57000005</v>
      </c>
      <c r="AH8" s="118">
        <v>0</v>
      </c>
      <c r="AI8" s="117">
        <v>0</v>
      </c>
      <c r="AJ8" s="117">
        <f t="shared" ca="1" si="18"/>
        <v>1163085650.21</v>
      </c>
      <c r="AK8" s="118">
        <f t="shared" ca="1" si="18"/>
        <v>874198382.17305398</v>
      </c>
      <c r="AL8" s="119">
        <f t="shared" ca="1" si="18"/>
        <v>652309172.95899606</v>
      </c>
      <c r="AM8" s="117">
        <v>588178582.51999891</v>
      </c>
      <c r="AN8" s="118">
        <v>160684571.13999996</v>
      </c>
      <c r="AO8" s="119">
        <v>83970273.479999959</v>
      </c>
      <c r="AP8" s="120">
        <f t="shared" ca="1" si="4"/>
        <v>0.50570530417411719</v>
      </c>
      <c r="AQ8" s="120">
        <f t="shared" ca="1" si="4"/>
        <v>0.18380790266458222</v>
      </c>
      <c r="AR8" s="120">
        <f t="shared" ca="1" si="4"/>
        <v>0.12872772139489491</v>
      </c>
      <c r="AS8" s="116">
        <f t="shared" ca="1" si="5"/>
        <v>748863153.65999889</v>
      </c>
      <c r="AT8" s="116">
        <f t="shared" ca="1" si="6"/>
        <v>753277171.87943375</v>
      </c>
      <c r="AU8" s="121">
        <f t="shared" ca="1" si="7"/>
        <v>0.36757916017436104</v>
      </c>
      <c r="AV8" s="122">
        <f t="shared" ca="1" si="7"/>
        <v>0.42501685326475774</v>
      </c>
      <c r="AW8" s="124"/>
      <c r="AX8" s="125">
        <f ca="1">Summary!I28</f>
        <v>8025487.6716997623</v>
      </c>
      <c r="BA8" s="112"/>
    </row>
    <row r="9" spans="1:53" ht="18" customHeight="1" x14ac:dyDescent="0.25">
      <c r="A9" s="98" t="s">
        <v>114</v>
      </c>
      <c r="B9" s="126">
        <v>372058618.89999998</v>
      </c>
      <c r="C9" s="127">
        <v>742255624.1724627</v>
      </c>
      <c r="D9" s="127">
        <v>145692462.39587501</v>
      </c>
      <c r="E9" s="127">
        <v>88755039.59271799</v>
      </c>
      <c r="F9" s="127">
        <v>131733739.01692997</v>
      </c>
      <c r="G9" s="128">
        <v>344648864.05153799</v>
      </c>
      <c r="H9" s="129">
        <v>1825144348.1295233</v>
      </c>
      <c r="I9" s="129">
        <v>853756798.75999999</v>
      </c>
      <c r="J9" s="130">
        <f t="shared" ca="1" si="8"/>
        <v>1638947958.899523</v>
      </c>
      <c r="K9" s="131">
        <f t="shared" ca="1" si="9"/>
        <v>109706671.72867513</v>
      </c>
      <c r="L9" s="132">
        <v>380017832.76796091</v>
      </c>
      <c r="M9" s="130">
        <f t="shared" ca="1" si="0"/>
        <v>209009808.0223785</v>
      </c>
      <c r="N9" s="130">
        <f t="shared" ca="1" si="10"/>
        <v>2678901146.8895235</v>
      </c>
      <c r="O9" s="132">
        <f t="shared" ca="1" si="11"/>
        <v>2469891338.8671451</v>
      </c>
      <c r="P9" s="130">
        <f t="shared" ca="1" si="12"/>
        <v>1225815417.6599998</v>
      </c>
      <c r="Q9" s="131">
        <f t="shared" ca="1" si="13"/>
        <v>1453085729.2295237</v>
      </c>
      <c r="R9" s="132">
        <f t="shared" ca="1" si="14"/>
        <v>710830105.05706096</v>
      </c>
      <c r="S9" s="130">
        <v>747093097.4800005</v>
      </c>
      <c r="T9" s="131">
        <v>292860090.50999999</v>
      </c>
      <c r="U9" s="132">
        <v>112943090.99999999</v>
      </c>
      <c r="V9" s="120">
        <f t="shared" ca="1" si="15"/>
        <v>0.60946622690237617</v>
      </c>
      <c r="W9" s="120">
        <f t="shared" ca="1" si="15"/>
        <v>0.20154357352699662</v>
      </c>
      <c r="X9" s="120">
        <f t="shared" ca="1" si="15"/>
        <v>0.1588890090564378</v>
      </c>
      <c r="Y9" s="130">
        <f t="shared" ca="1" si="16"/>
        <v>1039953187.9900005</v>
      </c>
      <c r="Z9" s="131">
        <f t="shared" ca="1" si="1"/>
        <v>1042422064.6124638</v>
      </c>
      <c r="AA9" s="133">
        <f t="shared" ca="1" si="17"/>
        <v>0.38820140459363045</v>
      </c>
      <c r="AB9" s="134">
        <f t="shared" ca="1" si="17"/>
        <v>0.42205179159443801</v>
      </c>
      <c r="AC9" s="135">
        <v>497311205.20999968</v>
      </c>
      <c r="AD9" s="135">
        <v>249933598.78999993</v>
      </c>
      <c r="AE9" s="130">
        <f t="shared" ca="1" si="2"/>
        <v>1931656342.889524</v>
      </c>
      <c r="AF9" s="131">
        <f t="shared" ca="1" si="3"/>
        <v>1722646534.8671455</v>
      </c>
      <c r="AG9" s="130">
        <f ca="1">3021.78000000026+216961946.79</f>
        <v>216964968.56999999</v>
      </c>
      <c r="AH9" s="131">
        <f ca="1">495145716.35+9088610.67</f>
        <v>504234327.02000004</v>
      </c>
      <c r="AI9" s="130">
        <f ca="1">2162467.08+23883041.33</f>
        <v>26045508.409999996</v>
      </c>
      <c r="AJ9" s="130">
        <f t="shared" ca="1" si="18"/>
        <v>1008850449.0899999</v>
      </c>
      <c r="AK9" s="131">
        <f t="shared" ca="1" si="18"/>
        <v>948851402.20952368</v>
      </c>
      <c r="AL9" s="132">
        <f t="shared" ca="1" si="18"/>
        <v>684784596.64706099</v>
      </c>
      <c r="AM9" s="130">
        <v>631349681.26999986</v>
      </c>
      <c r="AN9" s="131">
        <v>187152579.10999998</v>
      </c>
      <c r="AO9" s="132">
        <v>109550966.89999999</v>
      </c>
      <c r="AP9" s="120">
        <f t="shared" ca="1" si="4"/>
        <v>0.62581097311250433</v>
      </c>
      <c r="AQ9" s="120">
        <f t="shared" ca="1" si="4"/>
        <v>0.19724118937295229</v>
      </c>
      <c r="AR9" s="120">
        <f t="shared" ca="1" si="4"/>
        <v>0.15997872533406696</v>
      </c>
      <c r="AS9" s="129">
        <f t="shared" ca="1" si="5"/>
        <v>818502260.37999988</v>
      </c>
      <c r="AT9" s="129">
        <f t="shared" ca="1" si="6"/>
        <v>820971137.00246322</v>
      </c>
      <c r="AU9" s="133">
        <f t="shared" ca="1" si="7"/>
        <v>0.42373078596145092</v>
      </c>
      <c r="AV9" s="134">
        <f t="shared" ca="1" si="7"/>
        <v>0.4765755019301034</v>
      </c>
      <c r="AW9" s="124"/>
      <c r="AX9" s="136">
        <f ca="1">Summary!I29</f>
        <v>4488866.5862970352</v>
      </c>
      <c r="BA9" s="112"/>
    </row>
    <row r="10" spans="1:53" x14ac:dyDescent="0.25">
      <c r="A10" s="98" t="s">
        <v>115</v>
      </c>
      <c r="B10" s="113">
        <v>459383979.44999999</v>
      </c>
      <c r="C10" s="114">
        <v>551529259.19026399</v>
      </c>
      <c r="D10" s="114">
        <v>144251431.46826905</v>
      </c>
      <c r="E10" s="114">
        <v>102334202.871576</v>
      </c>
      <c r="F10" s="114">
        <v>117221029.25330998</v>
      </c>
      <c r="G10" s="115">
        <v>373934728.39477903</v>
      </c>
      <c r="H10" s="116">
        <v>1748654630.6281981</v>
      </c>
      <c r="I10" s="116">
        <v>799273763.57000005</v>
      </c>
      <c r="J10" s="117">
        <f t="shared" ca="1" si="8"/>
        <v>1708766896.9081984</v>
      </c>
      <c r="K10" s="118">
        <f ca="1">H11-J10</f>
        <v>-8609024.9826045036</v>
      </c>
      <c r="L10" s="119">
        <v>407886076.15063882</v>
      </c>
      <c r="M10" s="117">
        <f t="shared" ca="1" si="0"/>
        <v>224337341.88285136</v>
      </c>
      <c r="N10" s="117">
        <f t="shared" ca="1" si="10"/>
        <v>2547928394.1981983</v>
      </c>
      <c r="O10" s="119">
        <f t="shared" ca="1" si="11"/>
        <v>2323591052.3153467</v>
      </c>
      <c r="P10" s="117">
        <f t="shared" ca="1" si="12"/>
        <v>1258657743.02</v>
      </c>
      <c r="Q10" s="118">
        <f t="shared" ca="1" si="13"/>
        <v>1289270651.1781981</v>
      </c>
      <c r="R10" s="119">
        <f t="shared" ca="1" si="14"/>
        <v>737741391.98793411</v>
      </c>
      <c r="S10" s="117">
        <v>583017361.29999983</v>
      </c>
      <c r="T10" s="118">
        <v>256144135.99000004</v>
      </c>
      <c r="U10" s="119">
        <v>160570634.36000001</v>
      </c>
      <c r="V10" s="120">
        <f t="shared" ca="1" si="15"/>
        <v>0.46320563674531473</v>
      </c>
      <c r="W10" s="120">
        <f t="shared" ca="1" si="15"/>
        <v>0.19867367317787238</v>
      </c>
      <c r="X10" s="120">
        <f t="shared" ca="1" si="15"/>
        <v>0.21765165422984178</v>
      </c>
      <c r="Y10" s="117">
        <f t="shared" ca="1" si="16"/>
        <v>839161497.28999984</v>
      </c>
      <c r="Z10" s="118">
        <f t="shared" ca="1" si="1"/>
        <v>840867619.60929716</v>
      </c>
      <c r="AA10" s="121">
        <f t="shared" ca="1" si="17"/>
        <v>0.3293505026282631</v>
      </c>
      <c r="AB10" s="122">
        <f t="shared" ca="1" si="17"/>
        <v>0.3618827929172016</v>
      </c>
      <c r="AC10" s="123">
        <v>372190403.82999998</v>
      </c>
      <c r="AD10" s="123">
        <v>164886895.88</v>
      </c>
      <c r="AE10" s="117">
        <f t="shared" ca="1" si="2"/>
        <v>2010851094.4881983</v>
      </c>
      <c r="AF10" s="118">
        <f t="shared" ca="1" si="3"/>
        <v>1786513752.6053469</v>
      </c>
      <c r="AG10" s="117">
        <f ca="1">21003407.51+129637510.72</f>
        <v>150640918.22999999</v>
      </c>
      <c r="AH10" s="118">
        <f ca="1">349060664.78+10237800.22</f>
        <v>359298465</v>
      </c>
      <c r="AI10" s="117">
        <f ca="1">2126331.54+25011584.94</f>
        <v>27137916.48</v>
      </c>
      <c r="AJ10" s="117">
        <f t="shared" ca="1" si="18"/>
        <v>1108016824.79</v>
      </c>
      <c r="AK10" s="118">
        <f t="shared" ca="1" si="18"/>
        <v>929972186.1781981</v>
      </c>
      <c r="AL10" s="119">
        <f t="shared" ca="1" si="18"/>
        <v>710603475.50793409</v>
      </c>
      <c r="AM10" s="117">
        <v>576031038.42999995</v>
      </c>
      <c r="AN10" s="118">
        <v>144744183.10999992</v>
      </c>
      <c r="AO10" s="119">
        <v>87691785.949999899</v>
      </c>
      <c r="AP10" s="120">
        <f t="shared" ca="1" si="4"/>
        <v>0.51987571446775993</v>
      </c>
      <c r="AQ10" s="120">
        <f t="shared" ca="1" si="4"/>
        <v>0.15564356145406755</v>
      </c>
      <c r="AR10" s="120">
        <f t="shared" ca="1" si="4"/>
        <v>0.12340466796523682</v>
      </c>
      <c r="AS10" s="116">
        <f t="shared" ca="1" si="5"/>
        <v>720775221.53999984</v>
      </c>
      <c r="AT10" s="116">
        <f t="shared" ca="1" si="6"/>
        <v>722481343.85929716</v>
      </c>
      <c r="AU10" s="121">
        <f t="shared" ca="1" si="7"/>
        <v>0.35844286208743442</v>
      </c>
      <c r="AV10" s="122">
        <f t="shared" ca="1" si="7"/>
        <v>0.40440849828649383</v>
      </c>
      <c r="AW10" s="124"/>
      <c r="AX10" s="125">
        <f ca="1">Summary!I30</f>
        <v>3102040.580540657</v>
      </c>
      <c r="BA10" s="112"/>
    </row>
    <row r="11" spans="1:53" ht="18" customHeight="1" x14ac:dyDescent="0.25">
      <c r="A11" s="98" t="s">
        <v>116</v>
      </c>
      <c r="B11" s="126">
        <v>352267125.4799999</v>
      </c>
      <c r="C11" s="127">
        <v>290095390.85112691</v>
      </c>
      <c r="D11" s="127">
        <v>123356392.46636999</v>
      </c>
      <c r="E11" s="127">
        <v>407058549.40987009</v>
      </c>
      <c r="F11" s="127">
        <v>137851855.56105998</v>
      </c>
      <c r="G11" s="128">
        <v>389528558.15716708</v>
      </c>
      <c r="H11" s="129">
        <v>1700157871.9255939</v>
      </c>
      <c r="I11" s="129">
        <v>611221334.29999995</v>
      </c>
      <c r="J11" s="130">
        <f t="shared" ca="1" si="8"/>
        <v>1311107491.1155934</v>
      </c>
      <c r="K11" s="131">
        <f t="shared" ca="1" si="9"/>
        <v>207920592.45867443</v>
      </c>
      <c r="L11" s="132">
        <v>408965619.9397999</v>
      </c>
      <c r="M11" s="130">
        <f t="shared" ca="1" si="0"/>
        <v>224931090.96688998</v>
      </c>
      <c r="N11" s="130">
        <f t="shared" ca="1" si="10"/>
        <v>2311379206.2255936</v>
      </c>
      <c r="O11" s="132">
        <f t="shared" ca="1" si="11"/>
        <v>2086448115.2587037</v>
      </c>
      <c r="P11" s="130">
        <f t="shared" ca="1" si="12"/>
        <v>963488459.77999985</v>
      </c>
      <c r="Q11" s="131">
        <f t="shared" ca="1" si="13"/>
        <v>1347890746.4455938</v>
      </c>
      <c r="R11" s="132">
        <f t="shared" ca="1" si="14"/>
        <v>1057795355.5944672</v>
      </c>
      <c r="S11" s="130">
        <v>631038222.83999944</v>
      </c>
      <c r="T11" s="131">
        <v>369233492.2700007</v>
      </c>
      <c r="U11" s="132">
        <v>304110348.46000069</v>
      </c>
      <c r="V11" s="120">
        <f t="shared" ca="1" si="15"/>
        <v>0.65495151128648588</v>
      </c>
      <c r="W11" s="120">
        <f t="shared" ca="1" si="15"/>
        <v>0.27393428825271959</v>
      </c>
      <c r="X11" s="120">
        <f t="shared" ca="1" si="15"/>
        <v>0.28749450151356987</v>
      </c>
      <c r="Y11" s="130">
        <f t="shared" ca="1" si="16"/>
        <v>1000271715.1100001</v>
      </c>
      <c r="Z11" s="131">
        <f t="shared" ca="1" si="1"/>
        <v>1004303043.9843985</v>
      </c>
      <c r="AA11" s="133">
        <f t="shared" ca="1" si="17"/>
        <v>0.43275967544218374</v>
      </c>
      <c r="AB11" s="134">
        <f t="shared" ca="1" si="17"/>
        <v>0.4813458032527555</v>
      </c>
      <c r="AC11" s="135">
        <v>293221001.20000005</v>
      </c>
      <c r="AD11" s="135">
        <v>106732331.84999996</v>
      </c>
      <c r="AE11" s="130">
        <f t="shared" ca="1" si="2"/>
        <v>1911425873.1755936</v>
      </c>
      <c r="AF11" s="131">
        <f t="shared" ca="1" si="3"/>
        <v>1686494782.2087035</v>
      </c>
      <c r="AG11" s="130">
        <f ca="1">994+324445.18</f>
        <v>325439.18</v>
      </c>
      <c r="AH11" s="131">
        <f ca="1">10000000+77990412.19</f>
        <v>87990412.189999998</v>
      </c>
      <c r="AI11" s="130">
        <f ca="1">283220007.52+28417474.48</f>
        <v>311637482</v>
      </c>
      <c r="AJ11" s="130">
        <f t="shared" ca="1" si="18"/>
        <v>963163020.5999999</v>
      </c>
      <c r="AK11" s="131">
        <f t="shared" ca="1" si="18"/>
        <v>1259900334.2555938</v>
      </c>
      <c r="AL11" s="132">
        <f t="shared" ca="1" si="18"/>
        <v>746157873.59446716</v>
      </c>
      <c r="AM11" s="130">
        <v>626953806.65999985</v>
      </c>
      <c r="AN11" s="131">
        <v>155978509.72999993</v>
      </c>
      <c r="AO11" s="132">
        <v>96075221.24999994</v>
      </c>
      <c r="AP11" s="120">
        <f t="shared" ca="1" si="4"/>
        <v>0.65093218204062753</v>
      </c>
      <c r="AQ11" s="120">
        <f t="shared" ca="1" si="4"/>
        <v>0.12380226077339609</v>
      </c>
      <c r="AR11" s="120">
        <f t="shared" ca="1" si="4"/>
        <v>0.12875991080436727</v>
      </c>
      <c r="AS11" s="129">
        <f t="shared" ca="1" si="5"/>
        <v>782932316.38999975</v>
      </c>
      <c r="AT11" s="129">
        <f t="shared" ca="1" si="6"/>
        <v>786963645.2643981</v>
      </c>
      <c r="AU11" s="133">
        <f t="shared" ca="1" si="7"/>
        <v>0.40960642386265089</v>
      </c>
      <c r="AV11" s="134">
        <f t="shared" ca="1" si="7"/>
        <v>0.46662678922359774</v>
      </c>
      <c r="AW11" s="124"/>
      <c r="AX11" s="136">
        <f ca="1">Summary!I31</f>
        <v>7329688.8625423908</v>
      </c>
      <c r="BA11" s="112"/>
    </row>
    <row r="12" spans="1:53" x14ac:dyDescent="0.25">
      <c r="A12" s="98" t="s">
        <v>117</v>
      </c>
      <c r="B12" s="113">
        <v>326935992.11000001</v>
      </c>
      <c r="C12" s="114">
        <v>207378394.43325198</v>
      </c>
      <c r="D12" s="114">
        <v>199082435.86577898</v>
      </c>
      <c r="E12" s="114">
        <v>98889819.428770006</v>
      </c>
      <c r="F12" s="114">
        <v>273483001.46592999</v>
      </c>
      <c r="G12" s="115">
        <v>413258440.27053702</v>
      </c>
      <c r="H12" s="116">
        <v>1519028083.5742679</v>
      </c>
      <c r="I12" s="116">
        <v>697639628.11000001</v>
      </c>
      <c r="J12" s="117">
        <f t="shared" ca="1" si="8"/>
        <v>1433564286.2842679</v>
      </c>
      <c r="K12" s="118">
        <f t="shared" ca="1" si="9"/>
        <v>47468203.288796186</v>
      </c>
      <c r="L12" s="119">
        <v>338474184.10783982</v>
      </c>
      <c r="M12" s="117">
        <f t="shared" ca="1" si="0"/>
        <v>186160801.25931191</v>
      </c>
      <c r="N12" s="117">
        <f t="shared" ca="1" si="10"/>
        <v>2216667711.684268</v>
      </c>
      <c r="O12" s="119">
        <f t="shared" ca="1" si="11"/>
        <v>2030506910.4249561</v>
      </c>
      <c r="P12" s="117">
        <f t="shared" ca="1" si="12"/>
        <v>1024575620.22</v>
      </c>
      <c r="Q12" s="118">
        <f t="shared" ca="1" si="13"/>
        <v>1192092091.464268</v>
      </c>
      <c r="R12" s="119">
        <f t="shared" ca="1" si="14"/>
        <v>984713697.03101599</v>
      </c>
      <c r="S12" s="117">
        <v>578490424.1400001</v>
      </c>
      <c r="T12" s="118">
        <v>204613001.25999993</v>
      </c>
      <c r="U12" s="119">
        <v>155850207.76999995</v>
      </c>
      <c r="V12" s="120">
        <f t="shared" ca="1" si="15"/>
        <v>0.56461466847687125</v>
      </c>
      <c r="W12" s="120">
        <f t="shared" ca="1" si="15"/>
        <v>0.17164194169652625</v>
      </c>
      <c r="X12" s="120">
        <f t="shared" ca="1" si="15"/>
        <v>0.1582695642803586</v>
      </c>
      <c r="Y12" s="117">
        <f t="shared" ca="1" si="16"/>
        <v>783103425.4000001</v>
      </c>
      <c r="Z12" s="118">
        <f t="shared" ca="1" si="1"/>
        <v>789326534.77223659</v>
      </c>
      <c r="AA12" s="121">
        <f t="shared" ca="1" si="17"/>
        <v>0.35327957423306472</v>
      </c>
      <c r="AB12" s="122">
        <f t="shared" ca="1" si="17"/>
        <v>0.38873373477317635</v>
      </c>
      <c r="AC12" s="135"/>
      <c r="AD12" s="135">
        <v>77530379.984999985</v>
      </c>
      <c r="AE12" s="117">
        <f t="shared" ca="1" si="2"/>
        <v>2139137331.6992681</v>
      </c>
      <c r="AF12" s="118">
        <f t="shared" ca="1" si="3"/>
        <v>1952976530.4399562</v>
      </c>
      <c r="AG12" s="117">
        <v>12648.049999999301</v>
      </c>
      <c r="AH12" s="118">
        <v>297360.53000000003</v>
      </c>
      <c r="AI12" s="117">
        <v>77220371.405000001</v>
      </c>
      <c r="AJ12" s="117">
        <f t="shared" ca="1" si="18"/>
        <v>1024562972.1700001</v>
      </c>
      <c r="AK12" s="118">
        <f t="shared" ca="1" si="18"/>
        <v>1191794730.934268</v>
      </c>
      <c r="AL12" s="119">
        <f t="shared" ca="1" si="18"/>
        <v>907493325.62601602</v>
      </c>
      <c r="AM12" s="117">
        <v>577800632.25000024</v>
      </c>
      <c r="AN12" s="118">
        <v>176050477.96999988</v>
      </c>
      <c r="AO12" s="119">
        <v>127287684.4799999</v>
      </c>
      <c r="AP12" s="120">
        <f t="shared" ca="1" si="4"/>
        <v>0.56394838379356249</v>
      </c>
      <c r="AQ12" s="120">
        <f t="shared" ca="1" si="4"/>
        <v>0.14771879200371271</v>
      </c>
      <c r="AR12" s="120">
        <f t="shared" ca="1" si="4"/>
        <v>0.14026294286207897</v>
      </c>
      <c r="AS12" s="116">
        <f t="shared" ca="1" si="5"/>
        <v>753851110.22000015</v>
      </c>
      <c r="AT12" s="116">
        <f t="shared" ca="1" si="6"/>
        <v>760074219.59223664</v>
      </c>
      <c r="AU12" s="121">
        <f t="shared" ca="1" si="7"/>
        <v>0.35240893562507408</v>
      </c>
      <c r="AV12" s="122">
        <f t="shared" ca="1" si="7"/>
        <v>0.3891875850761049</v>
      </c>
      <c r="AW12" s="124"/>
      <c r="AX12" s="125">
        <f ca="1">Summary!I32</f>
        <v>11314744.31315732</v>
      </c>
      <c r="BA12" s="112"/>
    </row>
    <row r="13" spans="1:53" ht="18" customHeight="1" x14ac:dyDescent="0.25">
      <c r="A13" s="98" t="s">
        <v>118</v>
      </c>
      <c r="B13" s="126">
        <v>336523540.12999994</v>
      </c>
      <c r="C13" s="127">
        <v>177150280.86557999</v>
      </c>
      <c r="D13" s="127">
        <v>159071119.92542797</v>
      </c>
      <c r="E13" s="127">
        <v>131740420.64187902</v>
      </c>
      <c r="F13" s="127">
        <v>238453307.13490003</v>
      </c>
      <c r="G13" s="128">
        <v>438093820.87527704</v>
      </c>
      <c r="H13" s="129">
        <v>1481032489.5730641</v>
      </c>
      <c r="I13" s="129">
        <v>803939853.5</v>
      </c>
      <c r="J13" s="130">
        <f t="shared" ca="1" si="8"/>
        <v>1489124099.8630643</v>
      </c>
      <c r="K13" s="131">
        <f ca="1">H14-J13</f>
        <v>-29010526.629037142</v>
      </c>
      <c r="L13" s="132">
        <v>351834684.67049855</v>
      </c>
      <c r="M13" s="130">
        <f ca="1">L13*$M$1</f>
        <v>193509076.56877422</v>
      </c>
      <c r="N13" s="130">
        <f ca="1">SUM(H13:I13)</f>
        <v>2284972343.0730639</v>
      </c>
      <c r="O13" s="132">
        <f t="shared" ca="1" si="11"/>
        <v>2091463266.5042896</v>
      </c>
      <c r="P13" s="130">
        <f t="shared" ca="1" si="12"/>
        <v>1140463393.6299999</v>
      </c>
      <c r="Q13" s="131">
        <f t="shared" ca="1" si="13"/>
        <v>1144508949.4430642</v>
      </c>
      <c r="R13" s="132">
        <f t="shared" ca="1" si="14"/>
        <v>967358668.57748413</v>
      </c>
      <c r="S13" s="130">
        <v>632912458.95999968</v>
      </c>
      <c r="T13" s="131">
        <v>162935784.25000003</v>
      </c>
      <c r="U13" s="132">
        <v>104467457.75000003</v>
      </c>
      <c r="V13" s="120">
        <f ca="1">S13/P13</f>
        <v>0.55496078391915071</v>
      </c>
      <c r="W13" s="120">
        <f ca="1">T13/Q13</f>
        <v>0.14236304952380416</v>
      </c>
      <c r="X13" s="120">
        <f ca="1">U13/R13</f>
        <v>0.10799247594857556</v>
      </c>
      <c r="Y13" s="130">
        <f ca="1">SUM(S13:T13)</f>
        <v>795848243.20999968</v>
      </c>
      <c r="Z13" s="131">
        <f t="shared" ca="1" si="1"/>
        <v>802345992.54999685</v>
      </c>
      <c r="AA13" s="133">
        <f ca="1">Y13/N13</f>
        <v>0.34829666346843474</v>
      </c>
      <c r="AB13" s="134">
        <f ca="1">Z13/O13</f>
        <v>0.38362901486242823</v>
      </c>
      <c r="AC13" s="135"/>
      <c r="AD13" s="135"/>
      <c r="AE13" s="130">
        <f ca="1">N13-SUM(AC13:AD13)</f>
        <v>2284972343.0730639</v>
      </c>
      <c r="AF13" s="131">
        <f ca="1">AE13-M13</f>
        <v>2091463266.5042896</v>
      </c>
      <c r="AG13" s="130"/>
      <c r="AH13" s="131"/>
      <c r="AI13" s="130"/>
      <c r="AJ13" s="130">
        <f ca="1">P13-AG13</f>
        <v>1140463393.6299999</v>
      </c>
      <c r="AK13" s="131">
        <f ca="1">Q13-AH13</f>
        <v>1144508949.4430642</v>
      </c>
      <c r="AL13" s="132">
        <f ca="1">R13-AI13</f>
        <v>967358668.57748413</v>
      </c>
      <c r="AM13" s="130">
        <v>632912458.95999968</v>
      </c>
      <c r="AN13" s="131">
        <v>162935784.25000003</v>
      </c>
      <c r="AO13" s="132">
        <v>104467457.75000003</v>
      </c>
      <c r="AP13" s="120">
        <f t="shared" ca="1" si="4"/>
        <v>0.55496078391915071</v>
      </c>
      <c r="AQ13" s="120">
        <f t="shared" ca="1" si="4"/>
        <v>0.14236304952380416</v>
      </c>
      <c r="AR13" s="120">
        <f t="shared" ca="1" si="4"/>
        <v>0.10799247594857556</v>
      </c>
      <c r="AS13" s="129">
        <f t="shared" ca="1" si="5"/>
        <v>795848243.20999968</v>
      </c>
      <c r="AT13" s="129">
        <f t="shared" ca="1" si="6"/>
        <v>802345992.54999685</v>
      </c>
      <c r="AU13" s="133">
        <f t="shared" ca="1" si="7"/>
        <v>0.34829666346843474</v>
      </c>
      <c r="AV13" s="134">
        <f t="shared" ca="1" si="7"/>
        <v>0.38362901486242823</v>
      </c>
      <c r="AW13" s="124"/>
      <c r="AX13" s="136">
        <f ca="1">Summary!I33</f>
        <v>11814089.709085703</v>
      </c>
      <c r="BA13" s="112"/>
    </row>
    <row r="14" spans="1:53" x14ac:dyDescent="0.25">
      <c r="A14" s="98" t="s">
        <v>119</v>
      </c>
      <c r="B14" s="113">
        <v>339683872.44999987</v>
      </c>
      <c r="C14" s="114">
        <v>170669684.67061293</v>
      </c>
      <c r="D14" s="114">
        <v>131856885.48315001</v>
      </c>
      <c r="E14" s="114">
        <v>111019207.45048004</v>
      </c>
      <c r="F14" s="114">
        <v>205321856.27202609</v>
      </c>
      <c r="G14" s="115">
        <v>501562066.9077583</v>
      </c>
      <c r="H14" s="116">
        <f ca="1">SUM(B14:G14)</f>
        <v>1460113573.2340271</v>
      </c>
      <c r="I14" s="116">
        <v>792874023.3700006</v>
      </c>
      <c r="J14" s="117">
        <f t="shared" ca="1" si="8"/>
        <v>1356711164.4840264</v>
      </c>
      <c r="K14" s="118">
        <f ca="1">H15-J14</f>
        <v>129108535.12744665</v>
      </c>
      <c r="L14" s="119">
        <v>358164864.67958176</v>
      </c>
      <c r="M14" s="117">
        <f ca="1">L14*$M$1</f>
        <v>196990675.57376999</v>
      </c>
      <c r="N14" s="117">
        <f t="shared" ca="1" si="10"/>
        <v>2252987596.6040277</v>
      </c>
      <c r="O14" s="119">
        <f t="shared" ca="1" si="11"/>
        <v>2055996921.0302577</v>
      </c>
      <c r="P14" s="117">
        <f t="shared" ca="1" si="12"/>
        <v>1132557895.8200004</v>
      </c>
      <c r="Q14" s="118">
        <f t="shared" ca="1" si="13"/>
        <v>1120429700.7840273</v>
      </c>
      <c r="R14" s="119">
        <f t="shared" ca="1" si="14"/>
        <v>949760016.11341453</v>
      </c>
      <c r="S14" s="117">
        <v>683417369.45000112</v>
      </c>
      <c r="T14" s="118">
        <v>212859062.67000005</v>
      </c>
      <c r="U14" s="119">
        <v>145233257.84000006</v>
      </c>
      <c r="V14" s="120">
        <f t="shared" ca="1" si="15"/>
        <v>0.60342819733307296</v>
      </c>
      <c r="W14" s="120">
        <f t="shared" ca="1" si="15"/>
        <v>0.18997984659015255</v>
      </c>
      <c r="X14" s="120">
        <f t="shared" ca="1" si="15"/>
        <v>0.15291574226752583</v>
      </c>
      <c r="Y14" s="117">
        <f t="shared" ca="1" si="16"/>
        <v>896276432.1200012</v>
      </c>
      <c r="Z14" s="118">
        <f t="shared" ca="1" si="1"/>
        <v>903420359.88282192</v>
      </c>
      <c r="AA14" s="121">
        <f t="shared" ca="1" si="17"/>
        <v>0.39781685148687734</v>
      </c>
      <c r="AB14" s="122">
        <f t="shared" ca="1" si="17"/>
        <v>0.43940744786238251</v>
      </c>
      <c r="AC14" s="135"/>
      <c r="AD14" s="135"/>
      <c r="AE14" s="117">
        <f t="shared" ca="1" si="2"/>
        <v>2252987596.6040277</v>
      </c>
      <c r="AF14" s="118">
        <f t="shared" ca="1" si="3"/>
        <v>2055996921.0302577</v>
      </c>
      <c r="AG14" s="117"/>
      <c r="AH14" s="118"/>
      <c r="AI14" s="117"/>
      <c r="AJ14" s="117">
        <f t="shared" ca="1" si="18"/>
        <v>1132557895.8200004</v>
      </c>
      <c r="AK14" s="118">
        <f t="shared" ca="1" si="18"/>
        <v>1120429700.7840273</v>
      </c>
      <c r="AL14" s="119">
        <f t="shared" ca="1" si="18"/>
        <v>949760016.11341453</v>
      </c>
      <c r="AM14" s="117">
        <v>683417369.45000112</v>
      </c>
      <c r="AN14" s="118">
        <v>212859062.67000005</v>
      </c>
      <c r="AO14" s="119">
        <v>145233257.84000006</v>
      </c>
      <c r="AP14" s="120">
        <f t="shared" ca="1" si="4"/>
        <v>0.60342819733307296</v>
      </c>
      <c r="AQ14" s="120">
        <f t="shared" ca="1" si="4"/>
        <v>0.18997984659015255</v>
      </c>
      <c r="AR14" s="120">
        <f t="shared" ca="1" si="4"/>
        <v>0.15291574226752583</v>
      </c>
      <c r="AS14" s="116">
        <f t="shared" ca="1" si="5"/>
        <v>896276432.1200012</v>
      </c>
      <c r="AT14" s="116">
        <f t="shared" ca="1" si="6"/>
        <v>903420359.88282192</v>
      </c>
      <c r="AU14" s="121">
        <f t="shared" ca="1" si="7"/>
        <v>0.39781685148687734</v>
      </c>
      <c r="AV14" s="122">
        <f t="shared" ca="1" si="7"/>
        <v>0.43940744786238251</v>
      </c>
      <c r="AW14" s="124"/>
      <c r="AX14" s="125">
        <f ca="1">Summary!I34</f>
        <v>12988959.568764925</v>
      </c>
      <c r="BA14" s="112"/>
    </row>
    <row r="15" spans="1:53" x14ac:dyDescent="0.25">
      <c r="A15" s="98" t="s">
        <v>120</v>
      </c>
      <c r="B15" s="126">
        <v>269703054.3100003</v>
      </c>
      <c r="C15" s="127">
        <v>267075623.60883147</v>
      </c>
      <c r="D15" s="127">
        <v>122325103.86721012</v>
      </c>
      <c r="E15" s="127">
        <v>98442362.929938525</v>
      </c>
      <c r="F15" s="127">
        <v>180896204.24943513</v>
      </c>
      <c r="G15" s="128">
        <v>547377350.64605761</v>
      </c>
      <c r="H15" s="129">
        <f ca="1">SUM(B15:G15)</f>
        <v>1485819699.6114731</v>
      </c>
      <c r="I15" s="129">
        <v>778915025.75</v>
      </c>
      <c r="J15" s="130">
        <f t="shared" ca="1" si="8"/>
        <v>1505425014.5914717</v>
      </c>
      <c r="K15" s="131">
        <f ca="1">H16-J15</f>
        <v>-5698218.2014718056</v>
      </c>
      <c r="L15" s="132">
        <v>406062128.02958238</v>
      </c>
      <c r="M15" s="130">
        <f ca="1">L15*$M$1</f>
        <v>223334170.41627032</v>
      </c>
      <c r="N15" s="130">
        <f ca="1">SUM(H15:I15)</f>
        <v>2264734725.3614731</v>
      </c>
      <c r="O15" s="132">
        <f t="shared" ca="1" si="11"/>
        <v>2041400554.9452028</v>
      </c>
      <c r="P15" s="130">
        <f t="shared" ca="1" si="12"/>
        <v>1048618080.0600003</v>
      </c>
      <c r="Q15" s="131">
        <f t="shared" ca="1" si="13"/>
        <v>1216116645.3014729</v>
      </c>
      <c r="R15" s="132">
        <f t="shared" ca="1" si="14"/>
        <v>949041021.69264138</v>
      </c>
      <c r="S15" s="130">
        <v>585941361.31000137</v>
      </c>
      <c r="T15" s="131">
        <v>173368349.46000001</v>
      </c>
      <c r="U15" s="132">
        <v>83873480.699999988</v>
      </c>
      <c r="V15" s="120">
        <f t="shared" ca="1" si="15"/>
        <v>0.55877480319285999</v>
      </c>
      <c r="W15" s="120">
        <f t="shared" ca="1" si="15"/>
        <v>0.14255898077689935</v>
      </c>
      <c r="X15" s="120">
        <f t="shared" ca="1" si="15"/>
        <v>8.8377086746376121E-2</v>
      </c>
      <c r="Y15" s="130">
        <f t="shared" ca="1" si="16"/>
        <v>759309710.77000141</v>
      </c>
      <c r="Z15" s="131">
        <f t="shared" ca="1" si="1"/>
        <v>769203829.21850133</v>
      </c>
      <c r="AA15" s="133">
        <f t="shared" ca="1" si="17"/>
        <v>0.33527534252330959</v>
      </c>
      <c r="AB15" s="134">
        <f t="shared" ca="1" si="17"/>
        <v>0.37680200848145112</v>
      </c>
      <c r="AC15" s="135"/>
      <c r="AD15" s="135"/>
      <c r="AE15" s="130">
        <f t="shared" ca="1" si="2"/>
        <v>2264734725.3614731</v>
      </c>
      <c r="AF15" s="131">
        <f t="shared" ca="1" si="3"/>
        <v>2041400554.9452028</v>
      </c>
      <c r="AG15" s="130"/>
      <c r="AH15" s="131"/>
      <c r="AI15" s="130"/>
      <c r="AJ15" s="130">
        <f t="shared" ca="1" si="18"/>
        <v>1048618080.0600003</v>
      </c>
      <c r="AK15" s="131">
        <f t="shared" ca="1" si="18"/>
        <v>1216116645.3014729</v>
      </c>
      <c r="AL15" s="132">
        <f t="shared" ca="1" si="18"/>
        <v>949041021.69264138</v>
      </c>
      <c r="AM15" s="130">
        <v>585941361.31000137</v>
      </c>
      <c r="AN15" s="131">
        <v>173368349.46000001</v>
      </c>
      <c r="AO15" s="132">
        <v>83873480.699999988</v>
      </c>
      <c r="AP15" s="120">
        <f t="shared" ca="1" si="4"/>
        <v>0.55877480319285999</v>
      </c>
      <c r="AQ15" s="120">
        <f t="shared" ca="1" si="4"/>
        <v>0.14255898077689935</v>
      </c>
      <c r="AR15" s="120">
        <f t="shared" ca="1" si="4"/>
        <v>8.8377086746376121E-2</v>
      </c>
      <c r="AS15" s="129">
        <f t="shared" ca="1" si="5"/>
        <v>759309710.77000141</v>
      </c>
      <c r="AT15" s="129">
        <f t="shared" ca="1" si="6"/>
        <v>769203829.21850133</v>
      </c>
      <c r="AU15" s="133">
        <f t="shared" ca="1" si="7"/>
        <v>0.33527534252330959</v>
      </c>
      <c r="AV15" s="134">
        <f t="shared" ca="1" si="7"/>
        <v>0.37680200848145112</v>
      </c>
      <c r="AW15" s="124"/>
      <c r="AX15" s="136">
        <f ca="1">Summary!I35</f>
        <v>17989306.269999743</v>
      </c>
    </row>
    <row r="16" spans="1:53" x14ac:dyDescent="0.25">
      <c r="A16" s="98" t="s">
        <v>121</v>
      </c>
      <c r="B16" s="113">
        <v>310536076.55999994</v>
      </c>
      <c r="C16" s="114">
        <v>174129078.84999999</v>
      </c>
      <c r="D16" s="114">
        <v>182324575.84</v>
      </c>
      <c r="E16" s="114">
        <v>105947909.98</v>
      </c>
      <c r="F16" s="114">
        <v>151932032.33000001</v>
      </c>
      <c r="G16" s="115">
        <v>574857122.82999992</v>
      </c>
      <c r="H16" s="116">
        <f ca="1">SUM(B16:G16)</f>
        <v>1499726796.3899999</v>
      </c>
      <c r="I16" s="116">
        <v>737273897.00999999</v>
      </c>
      <c r="J16" s="117">
        <f t="shared" ca="1" si="8"/>
        <v>1537955727.1099997</v>
      </c>
      <c r="K16" s="118">
        <f ca="1">H17-J16</f>
        <v>-1537955727.1099997</v>
      </c>
      <c r="L16" s="119">
        <v>461990051.26958323</v>
      </c>
      <c r="M16" s="117">
        <f ca="1">L16*$M$1</f>
        <v>254094528.1982708</v>
      </c>
      <c r="N16" s="117">
        <f ca="1">SUM(H16:I16)</f>
        <v>2237000693.3999996</v>
      </c>
      <c r="O16" s="119">
        <f ca="1">$N16-$M16</f>
        <v>1982906165.2017288</v>
      </c>
      <c r="P16" s="117">
        <f ca="1">SUM($I16,$B16)</f>
        <v>1047809973.5699999</v>
      </c>
      <c r="Q16" s="118">
        <f ca="1">SUM($C16:$G16)</f>
        <v>1189190719.8299999</v>
      </c>
      <c r="R16" s="119">
        <f ca="1">SUM($D16:$G16)</f>
        <v>1015061640.9799999</v>
      </c>
      <c r="S16" s="117">
        <v>535031071.89999986</v>
      </c>
      <c r="T16" s="118">
        <v>164013894.39000005</v>
      </c>
      <c r="U16" s="119">
        <v>103771668.78000006</v>
      </c>
      <c r="V16" s="120">
        <f ca="1">S16/P16</f>
        <v>0.51061841879314451</v>
      </c>
      <c r="W16" s="120">
        <f ca="1">T16/Q16</f>
        <v>0.13792059730624753</v>
      </c>
      <c r="X16" s="120">
        <f ca="1">U16/R16</f>
        <v>0.10223188877457021</v>
      </c>
      <c r="Y16" s="117">
        <f ca="1">SUM(S16:T16)</f>
        <v>699044966.28999996</v>
      </c>
      <c r="Z16" s="118">
        <f t="shared" ca="1" si="1"/>
        <v>714376743.05586481</v>
      </c>
      <c r="AA16" s="121">
        <f ca="1">Y16/N16</f>
        <v>0.31249206509074751</v>
      </c>
      <c r="AB16" s="122">
        <f ca="1">Z16/O16</f>
        <v>0.36026754850660747</v>
      </c>
      <c r="AC16" s="135"/>
      <c r="AD16" s="135"/>
      <c r="AE16" s="117">
        <f ca="1">N16-SUM(AC16:AD16)</f>
        <v>2237000693.3999996</v>
      </c>
      <c r="AF16" s="118">
        <f ca="1">AE16-M16</f>
        <v>1982906165.2017288</v>
      </c>
      <c r="AG16" s="117">
        <f ca="1">AC16+AD16</f>
        <v>0</v>
      </c>
      <c r="AH16" s="118">
        <v>0</v>
      </c>
      <c r="AI16" s="117">
        <v>0</v>
      </c>
      <c r="AJ16" s="117">
        <f ca="1">P16-AG16</f>
        <v>1047809973.5699999</v>
      </c>
      <c r="AK16" s="118">
        <f ca="1">Q16-AH16</f>
        <v>1189190719.8299999</v>
      </c>
      <c r="AL16" s="119">
        <f ca="1">R16-AI16</f>
        <v>1015061640.9799999</v>
      </c>
      <c r="AM16" s="117">
        <v>535031071.89999986</v>
      </c>
      <c r="AN16" s="118">
        <v>164013894.39000005</v>
      </c>
      <c r="AO16" s="119">
        <v>103771668.78000006</v>
      </c>
      <c r="AP16" s="120">
        <f t="shared" ca="1" si="4"/>
        <v>0.51061841879314451</v>
      </c>
      <c r="AQ16" s="120">
        <f t="shared" ca="1" si="4"/>
        <v>0.13792059730624753</v>
      </c>
      <c r="AR16" s="120">
        <f t="shared" ca="1" si="4"/>
        <v>0.10223188877457021</v>
      </c>
      <c r="AS16" s="116">
        <f t="shared" ca="1" si="5"/>
        <v>699044966.28999996</v>
      </c>
      <c r="AT16" s="116">
        <f t="shared" ca="1" si="6"/>
        <v>714376743.05586481</v>
      </c>
      <c r="AU16" s="121">
        <f t="shared" ca="1" si="7"/>
        <v>0.31249206509074751</v>
      </c>
      <c r="AV16" s="122">
        <f t="shared" ca="1" si="7"/>
        <v>0.36026754850660747</v>
      </c>
      <c r="AW16" s="124"/>
      <c r="AX16" s="125">
        <f ca="1">Summary!I36</f>
        <v>27875957.756117821</v>
      </c>
      <c r="BA16" s="112"/>
    </row>
    <row r="17" spans="1:53" ht="15.75" thickBot="1" x14ac:dyDescent="0.3"/>
    <row r="18" spans="1:53" ht="27" customHeight="1" thickBot="1" x14ac:dyDescent="0.55000000000000004">
      <c r="A18" s="55"/>
      <c r="B18" s="56" t="s">
        <v>67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67</v>
      </c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8"/>
      <c r="AD18" s="58"/>
      <c r="AE18" s="57" t="s">
        <v>67</v>
      </c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9"/>
      <c r="AX18" s="60"/>
    </row>
    <row r="19" spans="1:53" ht="23.65" customHeight="1" thickBot="1" x14ac:dyDescent="0.3">
      <c r="A19" s="61">
        <v>2026</v>
      </c>
      <c r="B19" s="62" t="s">
        <v>68</v>
      </c>
      <c r="C19" s="63"/>
      <c r="D19" s="63"/>
      <c r="E19" s="63"/>
      <c r="F19" s="63"/>
      <c r="G19" s="63"/>
      <c r="H19" s="64"/>
      <c r="I19" s="65"/>
      <c r="J19" s="66"/>
      <c r="K19" s="66"/>
      <c r="L19" s="65"/>
      <c r="N19" s="67" t="s">
        <v>69</v>
      </c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9"/>
      <c r="AC19" s="66"/>
      <c r="AD19" s="66"/>
      <c r="AE19" s="70" t="s">
        <v>70</v>
      </c>
      <c r="AF19" s="71"/>
      <c r="AG19" s="71"/>
      <c r="AH19" s="71"/>
      <c r="AI19" s="71"/>
      <c r="AJ19" s="72"/>
      <c r="AK19" s="72"/>
      <c r="AL19" s="72"/>
      <c r="AM19" s="72"/>
      <c r="AN19" s="72"/>
      <c r="AO19" s="72"/>
      <c r="AP19" s="71"/>
      <c r="AQ19" s="71"/>
      <c r="AR19" s="71"/>
      <c r="AS19" s="71"/>
      <c r="AT19" s="71"/>
      <c r="AU19" s="71"/>
      <c r="AV19" s="73"/>
      <c r="AX19" s="66"/>
    </row>
    <row r="20" spans="1:53" ht="66.599999999999994" customHeight="1" thickBot="1" x14ac:dyDescent="0.3">
      <c r="A20" s="74" t="s">
        <v>71</v>
      </c>
      <c r="B20" s="75" t="s">
        <v>72</v>
      </c>
      <c r="C20" s="76" t="s">
        <v>73</v>
      </c>
      <c r="D20" s="76" t="s">
        <v>74</v>
      </c>
      <c r="E20" s="76" t="s">
        <v>75</v>
      </c>
      <c r="F20" s="76" t="s">
        <v>76</v>
      </c>
      <c r="G20" s="77" t="s">
        <v>77</v>
      </c>
      <c r="H20" s="78" t="s">
        <v>78</v>
      </c>
      <c r="I20" s="79" t="s">
        <v>79</v>
      </c>
      <c r="J20" s="80" t="s">
        <v>80</v>
      </c>
      <c r="K20" s="80" t="s">
        <v>81</v>
      </c>
      <c r="L20" s="79" t="s">
        <v>82</v>
      </c>
      <c r="M20" s="81" t="s">
        <v>83</v>
      </c>
      <c r="N20" s="82" t="s">
        <v>84</v>
      </c>
      <c r="O20" s="83" t="s">
        <v>85</v>
      </c>
      <c r="P20" s="84" t="s">
        <v>86</v>
      </c>
      <c r="Q20" s="84" t="s">
        <v>87</v>
      </c>
      <c r="R20" s="84" t="s">
        <v>88</v>
      </c>
      <c r="S20" s="85" t="s">
        <v>89</v>
      </c>
      <c r="T20" s="85" t="s">
        <v>90</v>
      </c>
      <c r="U20" s="85" t="s">
        <v>91</v>
      </c>
      <c r="V20" s="86" t="s">
        <v>92</v>
      </c>
      <c r="W20" s="86" t="s">
        <v>93</v>
      </c>
      <c r="X20" s="86" t="s">
        <v>94</v>
      </c>
      <c r="Y20" s="87" t="s">
        <v>95</v>
      </c>
      <c r="Z20" s="88" t="s">
        <v>96</v>
      </c>
      <c r="AA20" s="89" t="s">
        <v>97</v>
      </c>
      <c r="AB20" s="90" t="s">
        <v>98</v>
      </c>
      <c r="AC20" s="91" t="s">
        <v>99</v>
      </c>
      <c r="AD20" s="81" t="s">
        <v>100</v>
      </c>
      <c r="AE20" s="82" t="s">
        <v>101</v>
      </c>
      <c r="AF20" s="83" t="s">
        <v>102</v>
      </c>
      <c r="AG20" s="92" t="s">
        <v>103</v>
      </c>
      <c r="AH20" s="92" t="s">
        <v>104</v>
      </c>
      <c r="AI20" s="93" t="s">
        <v>105</v>
      </c>
      <c r="AJ20" s="84" t="s">
        <v>106</v>
      </c>
      <c r="AK20" s="84" t="s">
        <v>107</v>
      </c>
      <c r="AL20" s="94" t="s">
        <v>108</v>
      </c>
      <c r="AM20" s="85" t="s">
        <v>89</v>
      </c>
      <c r="AN20" s="85" t="s">
        <v>90</v>
      </c>
      <c r="AO20" s="95" t="s">
        <v>91</v>
      </c>
      <c r="AP20" s="86" t="s">
        <v>92</v>
      </c>
      <c r="AQ20" s="86" t="s">
        <v>93</v>
      </c>
      <c r="AR20" s="96" t="s">
        <v>94</v>
      </c>
      <c r="AS20" s="87" t="s">
        <v>95</v>
      </c>
      <c r="AT20" s="88" t="s">
        <v>96</v>
      </c>
      <c r="AU20" s="89" t="s">
        <v>97</v>
      </c>
      <c r="AV20" s="90" t="s">
        <v>98</v>
      </c>
      <c r="AX20" s="97" t="s">
        <v>109</v>
      </c>
    </row>
    <row r="21" spans="1:53" ht="18" customHeight="1" x14ac:dyDescent="0.25">
      <c r="A21" s="98" t="s">
        <v>110</v>
      </c>
      <c r="B21" s="99">
        <v>305621240.61000001</v>
      </c>
      <c r="C21" s="100">
        <f ca="1">135583166.97-8225540</f>
        <v>127357626.97</v>
      </c>
      <c r="D21" s="100">
        <v>145890417.92000002</v>
      </c>
      <c r="E21" s="100">
        <f ca="1">160971832.04-25351475</f>
        <v>135620357.03999999</v>
      </c>
      <c r="F21" s="100">
        <v>156974902.59</v>
      </c>
      <c r="G21" s="101">
        <f ca="1">577975134.52-75281821</f>
        <v>502693313.51999998</v>
      </c>
      <c r="H21" s="102">
        <f ca="1">SUM(B21:G21)</f>
        <v>1374157858.6500001</v>
      </c>
      <c r="I21" s="102">
        <v>922003473.26000023</v>
      </c>
      <c r="J21" s="103">
        <f ca="1">SUM(H21:I21)-SUM(S21:T21)</f>
        <v>1513085874.1300004</v>
      </c>
      <c r="K21" s="104">
        <f ca="1">H22-J21</f>
        <v>-90618906.7900002</v>
      </c>
      <c r="L21" s="105">
        <v>508232313.83446956</v>
      </c>
      <c r="M21" s="103">
        <f ca="1">L21*$M$1</f>
        <v>279527772.6089583</v>
      </c>
      <c r="N21" s="103">
        <f ca="1">SUM(H21:I21)</f>
        <v>2296161331.9100003</v>
      </c>
      <c r="O21" s="105">
        <f ca="1">$N21-$M21</f>
        <v>2016633559.3010421</v>
      </c>
      <c r="P21" s="103">
        <f ca="1">SUM($I21,$B21)</f>
        <v>1227624713.8700004</v>
      </c>
      <c r="Q21" s="104">
        <f ca="1">SUM($C21:$G21)</f>
        <v>1068536618.04</v>
      </c>
      <c r="R21" s="105">
        <f ca="1">SUM($D21:$G21)</f>
        <v>941178991.07000005</v>
      </c>
      <c r="S21" s="103">
        <v>629758193.62999988</v>
      </c>
      <c r="T21" s="104">
        <v>153317264.15000013</v>
      </c>
      <c r="U21" s="105">
        <v>112594678.13000011</v>
      </c>
      <c r="V21" s="106">
        <f t="shared" ref="V21:X24" ca="1" si="19">S21/P21</f>
        <v>0.51298917862669247</v>
      </c>
      <c r="W21" s="106">
        <f t="shared" ca="1" si="19"/>
        <v>0.14348339735069407</v>
      </c>
      <c r="X21" s="106">
        <f t="shared" ca="1" si="19"/>
        <v>0.11963152513848017</v>
      </c>
      <c r="Y21" s="103">
        <f ca="1">SUM(S21:T21)</f>
        <v>783075457.77999997</v>
      </c>
      <c r="Z21" s="104">
        <f ca="1">SUM(S21:T21)+MAX(0,$M$1*$AX21)</f>
        <v>795454794.84871995</v>
      </c>
      <c r="AA21" s="107">
        <f t="shared" ref="AA21:AB23" ca="1" si="20">Y21/N21</f>
        <v>0.34103677598673765</v>
      </c>
      <c r="AB21" s="108">
        <f t="shared" ca="1" si="20"/>
        <v>0.39444686972501919</v>
      </c>
      <c r="AC21" s="109"/>
      <c r="AD21" s="109"/>
      <c r="AE21" s="103">
        <f ca="1">N21-SUM(AC21:AD21)</f>
        <v>2296161331.9100003</v>
      </c>
      <c r="AF21" s="104">
        <f ca="1">AE21-M21</f>
        <v>2016633559.3010421</v>
      </c>
      <c r="AG21" s="103"/>
      <c r="AH21" s="104"/>
      <c r="AI21" s="103"/>
      <c r="AJ21" s="103">
        <f t="shared" ref="AJ21:AL24" ca="1" si="21">P21-AG21</f>
        <v>1227624713.8700004</v>
      </c>
      <c r="AK21" s="104">
        <f t="shared" ca="1" si="21"/>
        <v>1068536618.04</v>
      </c>
      <c r="AL21" s="105">
        <f t="shared" ca="1" si="21"/>
        <v>941178991.07000005</v>
      </c>
      <c r="AM21" s="103">
        <v>629758193.62999988</v>
      </c>
      <c r="AN21" s="104">
        <v>153317264.15000013</v>
      </c>
      <c r="AO21" s="105">
        <v>112594678.13000011</v>
      </c>
      <c r="AP21" s="106">
        <f t="shared" ref="AP21:AR24" ca="1" si="22">AM21/AJ21</f>
        <v>0.51298917862669247</v>
      </c>
      <c r="AQ21" s="106">
        <f t="shared" ca="1" si="22"/>
        <v>0.14348339735069407</v>
      </c>
      <c r="AR21" s="106">
        <f t="shared" ca="1" si="22"/>
        <v>0.11963152513848017</v>
      </c>
      <c r="AS21" s="102">
        <f ca="1">SUM(AM21:AN21)</f>
        <v>783075457.77999997</v>
      </c>
      <c r="AT21" s="102">
        <f ca="1">SUM(AM21:AN21)+MAX(0,$M$1*$AX21)</f>
        <v>795454794.84871995</v>
      </c>
      <c r="AU21" s="107">
        <f t="shared" ref="AU21:AV23" ca="1" si="23">AS21/AE21</f>
        <v>0.34103677598673765</v>
      </c>
      <c r="AV21" s="108">
        <f t="shared" ca="1" si="23"/>
        <v>0.39444686972501919</v>
      </c>
      <c r="AW21" s="110"/>
      <c r="AX21" s="111">
        <f ca="1">Summary!I38</f>
        <v>22507885.5794909</v>
      </c>
      <c r="BA21" s="112"/>
    </row>
    <row r="22" spans="1:53" outlineLevel="1" x14ac:dyDescent="0.25">
      <c r="A22" s="98" t="s">
        <v>111</v>
      </c>
      <c r="B22" s="113">
        <f ca="1">511219008.49-185965093.28</f>
        <v>325253915.21000004</v>
      </c>
      <c r="C22" s="114">
        <v>146258062.36000001</v>
      </c>
      <c r="D22" s="114">
        <v>97293659.110000014</v>
      </c>
      <c r="E22" s="114">
        <v>120275419.03999999</v>
      </c>
      <c r="F22" s="114">
        <v>209855848.83000001</v>
      </c>
      <c r="G22" s="115">
        <v>523530062.78999996</v>
      </c>
      <c r="H22" s="116">
        <f ca="1">SUM(B22:G22)</f>
        <v>1422466967.3400002</v>
      </c>
      <c r="I22" s="116">
        <v>637326923.23000002</v>
      </c>
      <c r="J22" s="117"/>
      <c r="K22" s="118"/>
      <c r="L22" s="119">
        <v>520039534</v>
      </c>
      <c r="M22" s="117">
        <f ca="1">L22*$M$1</f>
        <v>286021743.70000005</v>
      </c>
      <c r="N22" s="117">
        <f ca="1">SUM(H22:I22)</f>
        <v>2059793890.5700002</v>
      </c>
      <c r="O22" s="119">
        <f ca="1">$N22-$M22</f>
        <v>1773772146.8700001</v>
      </c>
      <c r="P22" s="117">
        <f ca="1">SUM($I22,$B22)</f>
        <v>962580838.44000006</v>
      </c>
      <c r="Q22" s="118">
        <f ca="1">SUM($C22:$G22)</f>
        <v>1097213052.1300001</v>
      </c>
      <c r="R22" s="119">
        <f ca="1">SUM($D22:$G22)</f>
        <v>950954989.76999998</v>
      </c>
      <c r="S22" s="117">
        <v>523770732.48999941</v>
      </c>
      <c r="T22" s="118">
        <v>155623353.07000002</v>
      </c>
      <c r="U22" s="119">
        <v>107223271.53999999</v>
      </c>
      <c r="V22" s="120">
        <f t="shared" ca="1" si="19"/>
        <v>0.54413168387898181</v>
      </c>
      <c r="W22" s="120">
        <f t="shared" ca="1" si="19"/>
        <v>0.14183512743299143</v>
      </c>
      <c r="X22" s="120">
        <f t="shared" ca="1" si="19"/>
        <v>0.11275325614089605</v>
      </c>
      <c r="Y22" s="117">
        <f ca="1">SUM(S22:T22)</f>
        <v>679394085.55999947</v>
      </c>
      <c r="Z22" s="118">
        <f ca="1">SUM(S22:T22)+MAX(0,$M$1*$AX22)</f>
        <v>690617256.70050037</v>
      </c>
      <c r="AA22" s="121">
        <f t="shared" ca="1" si="20"/>
        <v>0.329835955272201</v>
      </c>
      <c r="AB22" s="122">
        <f t="shared" ca="1" si="20"/>
        <v>0.38934947643594708</v>
      </c>
      <c r="AC22" s="123"/>
      <c r="AD22" s="123"/>
      <c r="AE22" s="117">
        <f ca="1">N22-SUM(AC22:AD22)</f>
        <v>2059793890.5700002</v>
      </c>
      <c r="AF22" s="118">
        <f ca="1">AE22-M22</f>
        <v>1773772146.8700001</v>
      </c>
      <c r="AG22" s="117"/>
      <c r="AH22" s="118"/>
      <c r="AI22" s="117"/>
      <c r="AJ22" s="117">
        <f t="shared" ca="1" si="21"/>
        <v>962580838.44000006</v>
      </c>
      <c r="AK22" s="118">
        <f t="shared" ca="1" si="21"/>
        <v>1097213052.1300001</v>
      </c>
      <c r="AL22" s="119">
        <f t="shared" ca="1" si="21"/>
        <v>950954989.76999998</v>
      </c>
      <c r="AM22" s="117">
        <v>523770732.48999941</v>
      </c>
      <c r="AN22" s="118">
        <v>155623353.07000002</v>
      </c>
      <c r="AO22" s="119">
        <v>107223271.53999999</v>
      </c>
      <c r="AP22" s="120">
        <f t="shared" ca="1" si="22"/>
        <v>0.54413168387898181</v>
      </c>
      <c r="AQ22" s="120">
        <f t="shared" ca="1" si="22"/>
        <v>0.14183512743299143</v>
      </c>
      <c r="AR22" s="120">
        <f t="shared" ca="1" si="22"/>
        <v>0.11275325614089605</v>
      </c>
      <c r="AS22" s="116">
        <f ca="1">SUM(AM22:AN22)</f>
        <v>679394085.55999947</v>
      </c>
      <c r="AT22" s="116">
        <f ca="1">SUM(AM22:AN22)+MAX(0,$M$1*$AX22)</f>
        <v>690617256.70050037</v>
      </c>
      <c r="AU22" s="121">
        <f t="shared" ca="1" si="23"/>
        <v>0.329835955272201</v>
      </c>
      <c r="AV22" s="122">
        <f t="shared" ca="1" si="23"/>
        <v>0.38934947643594708</v>
      </c>
      <c r="AW22" s="124"/>
      <c r="AX22" s="125">
        <f ca="1">Summary!I39</f>
        <v>20405765.710001707</v>
      </c>
      <c r="BA22" s="112"/>
    </row>
    <row r="23" spans="1:53" ht="18" customHeight="1" outlineLevel="1" x14ac:dyDescent="0.25">
      <c r="A23" s="98" t="s">
        <v>112</v>
      </c>
      <c r="B23" s="126">
        <v>285882403.38</v>
      </c>
      <c r="C23" s="127">
        <v>172434160.98000002</v>
      </c>
      <c r="D23" s="127">
        <v>113673299.71000001</v>
      </c>
      <c r="E23" s="127">
        <v>73246334.270000011</v>
      </c>
      <c r="F23" s="127">
        <v>185174796.66</v>
      </c>
      <c r="G23" s="128">
        <v>484805152.51000005</v>
      </c>
      <c r="H23" s="129">
        <f ca="1">SUM(B23:G23)</f>
        <v>1315216147.51</v>
      </c>
      <c r="I23" s="129">
        <v>903416644.25000072</v>
      </c>
      <c r="J23" s="130"/>
      <c r="K23" s="131"/>
      <c r="L23" s="132">
        <v>444402541.033961</v>
      </c>
      <c r="M23" s="130">
        <f ca="1">L23*$M$1</f>
        <v>244421397.56867856</v>
      </c>
      <c r="N23" s="130">
        <f ca="1">SUM(H23:I23)</f>
        <v>2218632791.7600007</v>
      </c>
      <c r="O23" s="132">
        <f ca="1">$N23-$M23</f>
        <v>1974211394.1913221</v>
      </c>
      <c r="P23" s="130">
        <f ca="1">SUM($I23,$B23)</f>
        <v>1189299047.6300006</v>
      </c>
      <c r="Q23" s="131">
        <f ca="1">SUM($C23:$G23)</f>
        <v>1029333744.1300001</v>
      </c>
      <c r="R23" s="132">
        <f ca="1">SUM($D23:$G23)</f>
        <v>856899583.1500001</v>
      </c>
      <c r="S23" s="130">
        <v>500404120.96999985</v>
      </c>
      <c r="T23" s="131">
        <v>95151358.609999999</v>
      </c>
      <c r="U23" s="132">
        <v>51861784.570000015</v>
      </c>
      <c r="V23" s="120">
        <f t="shared" ca="1" si="19"/>
        <v>0.42075550465393052</v>
      </c>
      <c r="W23" s="120">
        <f t="shared" ca="1" si="19"/>
        <v>9.243975450394136E-2</v>
      </c>
      <c r="X23" s="120">
        <f t="shared" ca="1" si="19"/>
        <v>6.0522592833286065E-2</v>
      </c>
      <c r="Y23" s="130">
        <f ca="1">SUM(S23:T23)</f>
        <v>595555479.5799998</v>
      </c>
      <c r="Z23" s="131">
        <f ca="1">SUM(S23:T23)+MAX(0,$M$1*$AX23)</f>
        <v>613800488.42227972</v>
      </c>
      <c r="AA23" s="133">
        <f t="shared" ca="1" si="20"/>
        <v>0.2684335514159405</v>
      </c>
      <c r="AB23" s="134">
        <f t="shared" ca="1" si="20"/>
        <v>0.31090920163273861</v>
      </c>
      <c r="AC23" s="135"/>
      <c r="AD23" s="135"/>
      <c r="AE23" s="130">
        <f ca="1">N23-SUM(AC23:AD23)</f>
        <v>2218632791.7600007</v>
      </c>
      <c r="AF23" s="131">
        <f ca="1">AE23-M23</f>
        <v>1974211394.1913221</v>
      </c>
      <c r="AG23" s="130"/>
      <c r="AH23" s="131"/>
      <c r="AI23" s="130"/>
      <c r="AJ23" s="130">
        <f t="shared" ca="1" si="21"/>
        <v>1189299047.6300006</v>
      </c>
      <c r="AK23" s="131">
        <f t="shared" ca="1" si="21"/>
        <v>1029333744.1300001</v>
      </c>
      <c r="AL23" s="132">
        <f t="shared" ca="1" si="21"/>
        <v>856899583.1500001</v>
      </c>
      <c r="AM23" s="130">
        <v>500404120.96999985</v>
      </c>
      <c r="AN23" s="131">
        <v>95151358.609999999</v>
      </c>
      <c r="AO23" s="132">
        <v>51861784.570000015</v>
      </c>
      <c r="AP23" s="120">
        <f t="shared" ca="1" si="22"/>
        <v>0.42075550465393052</v>
      </c>
      <c r="AQ23" s="120">
        <f t="shared" ca="1" si="22"/>
        <v>9.243975450394136E-2</v>
      </c>
      <c r="AR23" s="120">
        <f t="shared" ca="1" si="22"/>
        <v>6.0522592833286065E-2</v>
      </c>
      <c r="AS23" s="129">
        <f ca="1">SUM(AM23:AN23)</f>
        <v>595555479.5799998</v>
      </c>
      <c r="AT23" s="129">
        <f ca="1">SUM(AM23:AN23)+MAX(0,$M$1*$AX23)</f>
        <v>613800488.42227972</v>
      </c>
      <c r="AU23" s="133">
        <f t="shared" ca="1" si="23"/>
        <v>0.2684335514159405</v>
      </c>
      <c r="AV23" s="134">
        <f t="shared" ca="1" si="23"/>
        <v>0.31090920163273861</v>
      </c>
      <c r="AW23" s="124"/>
      <c r="AX23" s="136">
        <f ca="1">Summary!I40</f>
        <v>33172743.349599838</v>
      </c>
      <c r="BA23" s="112"/>
    </row>
    <row r="24" spans="1:53" outlineLevel="1" x14ac:dyDescent="0.25">
      <c r="A24" s="98" t="s">
        <v>113</v>
      </c>
      <c r="B24" s="113">
        <v>643787932.81000006</v>
      </c>
      <c r="C24" s="114">
        <v>198414709.32999998</v>
      </c>
      <c r="D24" s="114">
        <v>126331113.78999999</v>
      </c>
      <c r="E24" s="114">
        <v>95688953.950000003</v>
      </c>
      <c r="F24" s="114">
        <v>169248634.08000001</v>
      </c>
      <c r="G24" s="115">
        <v>488412056.58999997</v>
      </c>
      <c r="H24" s="116">
        <f ca="1">SUM(B24:G24)</f>
        <v>1721883400.55</v>
      </c>
      <c r="I24" s="116">
        <v>850923128.77999997</v>
      </c>
      <c r="J24" s="117"/>
      <c r="K24" s="118"/>
      <c r="L24" s="119">
        <v>379618136.51356137</v>
      </c>
      <c r="M24" s="117">
        <f ca="1">L24*$M$1</f>
        <v>208789975.08245876</v>
      </c>
      <c r="N24" s="117">
        <f ca="1">SUM(H24:I24)</f>
        <v>2572806529.3299999</v>
      </c>
      <c r="O24" s="119">
        <f ca="1">$N24-$M24</f>
        <v>2364016554.247541</v>
      </c>
      <c r="P24" s="117">
        <f ca="1">SUM($I24,$B24)</f>
        <v>1494711061.5900002</v>
      </c>
      <c r="Q24" s="118">
        <f ca="1">SUM($C24:$G24)</f>
        <v>1078095467.74</v>
      </c>
      <c r="R24" s="119">
        <f ca="1">SUM($D24:$G24)</f>
        <v>879680758.41000009</v>
      </c>
      <c r="S24" s="117">
        <v>567493348.05000019</v>
      </c>
      <c r="T24" s="118">
        <v>130835785.92999998</v>
      </c>
      <c r="U24" s="119">
        <v>60539093.409999996</v>
      </c>
      <c r="V24" s="120">
        <f t="shared" ca="1" si="19"/>
        <v>0.37966759103684472</v>
      </c>
      <c r="W24" s="120">
        <f t="shared" ca="1" si="19"/>
        <v>0.12135825615172062</v>
      </c>
      <c r="X24" s="120">
        <f t="shared" ca="1" si="19"/>
        <v>6.8819390251780452E-2</v>
      </c>
      <c r="Y24" s="117">
        <f ca="1">SUM(S24:T24)</f>
        <v>698329133.98000014</v>
      </c>
      <c r="Z24" s="118">
        <f ca="1">SUM(S24:T24)+MAX(0,$M$1*$AX24)</f>
        <v>766010434.94416869</v>
      </c>
      <c r="AA24" s="121">
        <f ca="1">Y24/N24</f>
        <v>0.27142699072745913</v>
      </c>
      <c r="AB24" s="122">
        <f ca="1">Z24/O24</f>
        <v>0.32402921780215171</v>
      </c>
      <c r="AC24" s="123"/>
      <c r="AD24" s="123"/>
      <c r="AE24" s="117">
        <f ca="1">N24-SUM(AC24:AD24)</f>
        <v>2572806529.3299999</v>
      </c>
      <c r="AF24" s="118">
        <f ca="1">AE24-M24</f>
        <v>2364016554.247541</v>
      </c>
      <c r="AG24" s="117"/>
      <c r="AH24" s="118"/>
      <c r="AI24" s="117"/>
      <c r="AJ24" s="117">
        <f t="shared" ca="1" si="21"/>
        <v>1494711061.5900002</v>
      </c>
      <c r="AK24" s="118">
        <f t="shared" ca="1" si="21"/>
        <v>1078095467.74</v>
      </c>
      <c r="AL24" s="119">
        <f t="shared" ca="1" si="21"/>
        <v>879680758.41000009</v>
      </c>
      <c r="AM24" s="117">
        <v>567493348.05000019</v>
      </c>
      <c r="AN24" s="118">
        <v>130835785.92999998</v>
      </c>
      <c r="AO24" s="119">
        <v>60539093.409999996</v>
      </c>
      <c r="AP24" s="120">
        <f ca="1">AM24/AJ24</f>
        <v>0.37966759103684472</v>
      </c>
      <c r="AQ24" s="120">
        <f t="shared" ca="1" si="22"/>
        <v>0.12135825615172062</v>
      </c>
      <c r="AR24" s="120">
        <f t="shared" ca="1" si="22"/>
        <v>6.8819390251780452E-2</v>
      </c>
      <c r="AS24" s="116">
        <f ca="1">SUM(AM24:AN24)</f>
        <v>698329133.98000014</v>
      </c>
      <c r="AT24" s="116">
        <f ca="1">SUM(AM24:AN24)+MAX(0,$M$1*$AX24)</f>
        <v>766010434.94416869</v>
      </c>
      <c r="AU24" s="121">
        <f ca="1">AS24/AE24</f>
        <v>0.27142699072745913</v>
      </c>
      <c r="AV24" s="122">
        <f ca="1">AT24/AF24</f>
        <v>0.32402921780215171</v>
      </c>
      <c r="AW24" s="124"/>
      <c r="AX24" s="125">
        <f ca="1">Summary!I41</f>
        <v>123056910.84394288</v>
      </c>
      <c r="BA24" s="112"/>
    </row>
    <row r="25" spans="1:53" ht="18" customHeight="1" outlineLevel="1" x14ac:dyDescent="0.25">
      <c r="A25" s="98" t="s">
        <v>114</v>
      </c>
      <c r="B25" s="126">
        <v>427897482.03999996</v>
      </c>
      <c r="C25" s="127">
        <v>425976659.38</v>
      </c>
      <c r="D25" s="127">
        <v>153208599.34999999</v>
      </c>
      <c r="E25" s="127">
        <v>121033440.37</v>
      </c>
      <c r="F25" s="127">
        <v>126028368.53000002</v>
      </c>
      <c r="G25" s="128">
        <v>566038407.63999999</v>
      </c>
      <c r="H25" s="129">
        <v>1820182957.3099999</v>
      </c>
      <c r="I25" s="129">
        <v>904711335.81999993</v>
      </c>
      <c r="J25" s="130"/>
      <c r="K25" s="131"/>
      <c r="L25" s="132">
        <v>488795644.53250295</v>
      </c>
      <c r="M25" s="130">
        <f ca="1">L25*$M$1</f>
        <v>268837604.49287665</v>
      </c>
      <c r="N25" s="130">
        <f ca="1">SUM(H25:I25)</f>
        <v>2724894293.1300001</v>
      </c>
      <c r="O25" s="132">
        <f ca="1">$N25-$M25</f>
        <v>2456056688.6371236</v>
      </c>
      <c r="P25" s="130">
        <f ca="1">SUM($I25,$B25)</f>
        <v>1332608817.8599999</v>
      </c>
      <c r="Q25" s="131">
        <f ca="1">SUM($C25:$G25)</f>
        <v>1392285475.27</v>
      </c>
      <c r="R25" s="132">
        <f ca="1">SUM($D25:$G25)</f>
        <v>966308815.8900001</v>
      </c>
      <c r="S25" s="130">
        <v>100440780.71000001</v>
      </c>
      <c r="T25" s="131">
        <v>26493657.629999995</v>
      </c>
      <c r="U25" s="132">
        <v>15295862.539999999</v>
      </c>
      <c r="V25" s="120">
        <f ca="1">S25/P25</f>
        <v>7.5371541418505036E-2</v>
      </c>
      <c r="W25" s="120">
        <f ca="1">T25/Q25</f>
        <v>1.9028897521797528E-2</v>
      </c>
      <c r="X25" s="120">
        <f ca="1">U25/R25</f>
        <v>1.582916588203952E-2</v>
      </c>
      <c r="Y25" s="130">
        <f ca="1">SUM(S25:T25)</f>
        <v>126934438.34</v>
      </c>
      <c r="Z25" s="131">
        <f ca="1">SUM(S25:T25)+MAX(0,$M$1*$AX25)</f>
        <v>175826403.59195402</v>
      </c>
      <c r="AA25" s="133">
        <f ca="1">Y25/N25</f>
        <v>4.6583252297172389E-2</v>
      </c>
      <c r="AB25" s="134">
        <f ca="1">Z25/O25</f>
        <v>7.1588902815399119E-2</v>
      </c>
      <c r="AC25" s="135"/>
      <c r="AD25" s="135"/>
      <c r="AE25" s="130">
        <f ca="1">N25-SUM(AC25:AD25)</f>
        <v>2724894293.1300001</v>
      </c>
      <c r="AF25" s="131">
        <f ca="1">AE25-M25</f>
        <v>2456056688.6371236</v>
      </c>
      <c r="AG25" s="130"/>
      <c r="AH25" s="131"/>
      <c r="AI25" s="130"/>
      <c r="AJ25" s="130">
        <f ca="1">P25-AG25</f>
        <v>1332608817.8599999</v>
      </c>
      <c r="AK25" s="131">
        <f ca="1">Q25-AH25</f>
        <v>1392285475.27</v>
      </c>
      <c r="AL25" s="132">
        <f ca="1">R25-AI25</f>
        <v>966308815.8900001</v>
      </c>
      <c r="AM25" s="130">
        <v>100440780.71000001</v>
      </c>
      <c r="AN25" s="131">
        <v>26493657.629999995</v>
      </c>
      <c r="AO25" s="132">
        <v>15295862.539999999</v>
      </c>
      <c r="AP25" s="120">
        <f ca="1">AM25/AJ25</f>
        <v>7.5371541418505036E-2</v>
      </c>
      <c r="AQ25" s="120">
        <f ca="1">AN25/AK25</f>
        <v>1.9028897521797528E-2</v>
      </c>
      <c r="AR25" s="120">
        <f ca="1">AO25/AL25</f>
        <v>1.582916588203952E-2</v>
      </c>
      <c r="AS25" s="129">
        <f ca="1">SUM(AM25:AN25)</f>
        <v>126934438.34</v>
      </c>
      <c r="AT25" s="129">
        <f ca="1">SUM(AM25:AN25)+MAX(0,$M$1*$AX25)</f>
        <v>175826403.59195402</v>
      </c>
      <c r="AU25" s="133">
        <f ca="1">AS25/AE25</f>
        <v>4.6583252297172389E-2</v>
      </c>
      <c r="AV25" s="134">
        <f ca="1">AT25/AF25</f>
        <v>7.1588902815399119E-2</v>
      </c>
      <c r="AW25" s="124"/>
      <c r="AX25" s="136">
        <f ca="1">Summary!I42</f>
        <v>88894482.276280016</v>
      </c>
      <c r="BA25" s="112"/>
    </row>
    <row r="26" spans="1:53" outlineLevel="1" x14ac:dyDescent="0.25">
      <c r="A26" s="98" t="s">
        <v>115</v>
      </c>
      <c r="B26" s="113"/>
      <c r="C26" s="114"/>
      <c r="D26" s="114"/>
      <c r="E26" s="114"/>
      <c r="F26" s="114"/>
      <c r="G26" s="115"/>
      <c r="H26" s="116"/>
      <c r="I26" s="116"/>
      <c r="J26" s="117"/>
      <c r="K26" s="118"/>
      <c r="L26" s="119"/>
      <c r="M26" s="117"/>
      <c r="N26" s="117"/>
      <c r="O26" s="119"/>
      <c r="P26" s="117"/>
      <c r="Q26" s="118"/>
      <c r="R26" s="119"/>
      <c r="S26" s="117"/>
      <c r="T26" s="118"/>
      <c r="U26" s="119"/>
      <c r="V26" s="120"/>
      <c r="W26" s="120"/>
      <c r="X26" s="120"/>
      <c r="Y26" s="117"/>
      <c r="Z26" s="118"/>
      <c r="AA26" s="121"/>
      <c r="AB26" s="122"/>
      <c r="AC26" s="123"/>
      <c r="AD26" s="123"/>
      <c r="AE26" s="117"/>
      <c r="AF26" s="118"/>
      <c r="AG26" s="117"/>
      <c r="AH26" s="118"/>
      <c r="AI26" s="117"/>
      <c r="AJ26" s="117"/>
      <c r="AK26" s="118"/>
      <c r="AL26" s="119"/>
      <c r="AM26" s="117"/>
      <c r="AN26" s="118"/>
      <c r="AO26" s="119"/>
      <c r="AP26" s="120"/>
      <c r="AQ26" s="120"/>
      <c r="AR26" s="120"/>
      <c r="AS26" s="116"/>
      <c r="AT26" s="116"/>
      <c r="AU26" s="121"/>
      <c r="AV26" s="122"/>
      <c r="AW26" s="124"/>
      <c r="AX26" s="125"/>
      <c r="BA26" s="112"/>
    </row>
    <row r="27" spans="1:53" ht="18" customHeight="1" outlineLevel="1" x14ac:dyDescent="0.25">
      <c r="A27" s="98" t="s">
        <v>116</v>
      </c>
      <c r="B27" s="126"/>
      <c r="C27" s="127"/>
      <c r="D27" s="127"/>
      <c r="E27" s="127"/>
      <c r="F27" s="127"/>
      <c r="G27" s="128"/>
      <c r="H27" s="129"/>
      <c r="I27" s="129"/>
      <c r="J27" s="130"/>
      <c r="K27" s="131"/>
      <c r="L27" s="132"/>
      <c r="M27" s="130"/>
      <c r="N27" s="130"/>
      <c r="O27" s="132"/>
      <c r="P27" s="130"/>
      <c r="Q27" s="131"/>
      <c r="R27" s="132"/>
      <c r="S27" s="130"/>
      <c r="T27" s="131"/>
      <c r="U27" s="132"/>
      <c r="V27" s="120"/>
      <c r="W27" s="120"/>
      <c r="X27" s="120"/>
      <c r="Y27" s="130"/>
      <c r="Z27" s="131"/>
      <c r="AA27" s="133"/>
      <c r="AB27" s="134"/>
      <c r="AC27" s="135"/>
      <c r="AD27" s="135"/>
      <c r="AE27" s="130"/>
      <c r="AF27" s="131"/>
      <c r="AG27" s="130"/>
      <c r="AH27" s="131"/>
      <c r="AI27" s="130"/>
      <c r="AJ27" s="130"/>
      <c r="AK27" s="131"/>
      <c r="AL27" s="132"/>
      <c r="AM27" s="130"/>
      <c r="AN27" s="131"/>
      <c r="AO27" s="132"/>
      <c r="AP27" s="120"/>
      <c r="AQ27" s="120"/>
      <c r="AR27" s="120"/>
      <c r="AS27" s="129"/>
      <c r="AT27" s="129"/>
      <c r="AU27" s="133"/>
      <c r="AV27" s="134"/>
      <c r="AW27" s="124"/>
      <c r="AX27" s="136"/>
      <c r="BA27" s="112"/>
    </row>
    <row r="28" spans="1:53" outlineLevel="1" x14ac:dyDescent="0.25">
      <c r="A28" s="98" t="s">
        <v>117</v>
      </c>
      <c r="B28" s="113"/>
      <c r="C28" s="114"/>
      <c r="D28" s="114"/>
      <c r="E28" s="114"/>
      <c r="F28" s="114"/>
      <c r="G28" s="115"/>
      <c r="H28" s="116"/>
      <c r="I28" s="116"/>
      <c r="J28" s="117"/>
      <c r="K28" s="118"/>
      <c r="L28" s="119"/>
      <c r="M28" s="117"/>
      <c r="N28" s="117"/>
      <c r="O28" s="119"/>
      <c r="P28" s="117"/>
      <c r="Q28" s="118"/>
      <c r="R28" s="119"/>
      <c r="S28" s="117"/>
      <c r="T28" s="118"/>
      <c r="U28" s="119"/>
      <c r="V28" s="120"/>
      <c r="W28" s="120"/>
      <c r="X28" s="120"/>
      <c r="Y28" s="117"/>
      <c r="Z28" s="118"/>
      <c r="AA28" s="121"/>
      <c r="AB28" s="122"/>
      <c r="AC28" s="135"/>
      <c r="AD28" s="135"/>
      <c r="AE28" s="117"/>
      <c r="AF28" s="118"/>
      <c r="AG28" s="117"/>
      <c r="AH28" s="118"/>
      <c r="AI28" s="117"/>
      <c r="AJ28" s="117"/>
      <c r="AK28" s="118"/>
      <c r="AL28" s="119"/>
      <c r="AM28" s="117"/>
      <c r="AN28" s="118"/>
      <c r="AO28" s="119"/>
      <c r="AP28" s="120"/>
      <c r="AQ28" s="120"/>
      <c r="AR28" s="120"/>
      <c r="AS28" s="116"/>
      <c r="AT28" s="116"/>
      <c r="AU28" s="121"/>
      <c r="AV28" s="122"/>
      <c r="AW28" s="124"/>
      <c r="AX28" s="125"/>
      <c r="BA28" s="112"/>
    </row>
    <row r="29" spans="1:53" ht="18" customHeight="1" outlineLevel="1" x14ac:dyDescent="0.25">
      <c r="A29" s="98" t="s">
        <v>118</v>
      </c>
      <c r="B29" s="126"/>
      <c r="C29" s="127"/>
      <c r="D29" s="127"/>
      <c r="E29" s="127"/>
      <c r="F29" s="127"/>
      <c r="G29" s="128"/>
      <c r="H29" s="129"/>
      <c r="I29" s="129"/>
      <c r="J29" s="130"/>
      <c r="K29" s="131"/>
      <c r="L29" s="132"/>
      <c r="M29" s="130"/>
      <c r="N29" s="130"/>
      <c r="O29" s="132"/>
      <c r="P29" s="130"/>
      <c r="Q29" s="131"/>
      <c r="R29" s="132"/>
      <c r="S29" s="130"/>
      <c r="T29" s="131"/>
      <c r="U29" s="132"/>
      <c r="V29" s="120"/>
      <c r="W29" s="120"/>
      <c r="X29" s="120"/>
      <c r="Y29" s="130"/>
      <c r="Z29" s="131"/>
      <c r="AA29" s="133"/>
      <c r="AB29" s="134"/>
      <c r="AC29" s="135"/>
      <c r="AD29" s="135"/>
      <c r="AE29" s="130"/>
      <c r="AF29" s="131"/>
      <c r="AG29" s="130"/>
      <c r="AH29" s="131"/>
      <c r="AI29" s="130"/>
      <c r="AJ29" s="130"/>
      <c r="AK29" s="131"/>
      <c r="AL29" s="132"/>
      <c r="AM29" s="130"/>
      <c r="AN29" s="131"/>
      <c r="AO29" s="132"/>
      <c r="AP29" s="120"/>
      <c r="AQ29" s="120"/>
      <c r="AR29" s="120"/>
      <c r="AS29" s="129"/>
      <c r="AT29" s="129"/>
      <c r="AU29" s="133"/>
      <c r="AV29" s="134"/>
      <c r="AW29" s="124"/>
      <c r="AX29" s="136"/>
      <c r="BA29" s="112"/>
    </row>
    <row r="30" spans="1:53" outlineLevel="1" x14ac:dyDescent="0.25">
      <c r="A30" s="98" t="s">
        <v>119</v>
      </c>
      <c r="B30" s="113"/>
      <c r="C30" s="114"/>
      <c r="D30" s="114"/>
      <c r="E30" s="114"/>
      <c r="F30" s="114"/>
      <c r="G30" s="115"/>
      <c r="H30" s="116"/>
      <c r="I30" s="116"/>
      <c r="J30" s="117"/>
      <c r="K30" s="118"/>
      <c r="L30" s="119"/>
      <c r="M30" s="117"/>
      <c r="N30" s="117"/>
      <c r="O30" s="119"/>
      <c r="P30" s="117"/>
      <c r="Q30" s="118"/>
      <c r="R30" s="119"/>
      <c r="S30" s="117"/>
      <c r="T30" s="118"/>
      <c r="U30" s="119"/>
      <c r="V30" s="120"/>
      <c r="W30" s="120"/>
      <c r="X30" s="120"/>
      <c r="Y30" s="117"/>
      <c r="Z30" s="118"/>
      <c r="AA30" s="121"/>
      <c r="AB30" s="122"/>
      <c r="AC30" s="135"/>
      <c r="AD30" s="135"/>
      <c r="AE30" s="117"/>
      <c r="AF30" s="118"/>
      <c r="AG30" s="117"/>
      <c r="AH30" s="118"/>
      <c r="AI30" s="117"/>
      <c r="AJ30" s="117"/>
      <c r="AK30" s="118"/>
      <c r="AL30" s="119"/>
      <c r="AM30" s="117"/>
      <c r="AN30" s="118"/>
      <c r="AO30" s="119"/>
      <c r="AP30" s="120"/>
      <c r="AQ30" s="120"/>
      <c r="AR30" s="120"/>
      <c r="AS30" s="116"/>
      <c r="AT30" s="116"/>
      <c r="AU30" s="121"/>
      <c r="AV30" s="122"/>
      <c r="AW30" s="124"/>
      <c r="AX30" s="125"/>
      <c r="BA30" s="112"/>
    </row>
    <row r="31" spans="1:53" outlineLevel="1" x14ac:dyDescent="0.25">
      <c r="A31" s="98" t="s">
        <v>120</v>
      </c>
      <c r="B31" s="126"/>
      <c r="C31" s="127"/>
      <c r="D31" s="127"/>
      <c r="E31" s="127"/>
      <c r="F31" s="127"/>
      <c r="G31" s="128"/>
      <c r="H31" s="129"/>
      <c r="I31" s="129"/>
      <c r="J31" s="130"/>
      <c r="K31" s="131"/>
      <c r="L31" s="132"/>
      <c r="M31" s="130"/>
      <c r="N31" s="130"/>
      <c r="O31" s="132"/>
      <c r="P31" s="130"/>
      <c r="Q31" s="131"/>
      <c r="R31" s="132"/>
      <c r="S31" s="130"/>
      <c r="T31" s="131"/>
      <c r="U31" s="132"/>
      <c r="V31" s="120"/>
      <c r="W31" s="120"/>
      <c r="X31" s="120"/>
      <c r="Y31" s="130"/>
      <c r="Z31" s="131"/>
      <c r="AA31" s="133"/>
      <c r="AB31" s="134"/>
      <c r="AC31" s="135"/>
      <c r="AD31" s="135"/>
      <c r="AE31" s="130"/>
      <c r="AF31" s="131"/>
      <c r="AG31" s="130"/>
      <c r="AH31" s="131"/>
      <c r="AI31" s="130"/>
      <c r="AJ31" s="130"/>
      <c r="AK31" s="131"/>
      <c r="AL31" s="132"/>
      <c r="AM31" s="130"/>
      <c r="AN31" s="131"/>
      <c r="AO31" s="132"/>
      <c r="AP31" s="120"/>
      <c r="AQ31" s="120"/>
      <c r="AR31" s="120"/>
      <c r="AS31" s="129"/>
      <c r="AT31" s="129"/>
      <c r="AU31" s="133"/>
      <c r="AV31" s="134"/>
      <c r="AW31" s="124"/>
      <c r="AX31" s="136"/>
    </row>
    <row r="32" spans="1:53" outlineLevel="1" x14ac:dyDescent="0.25">
      <c r="A32" s="98" t="s">
        <v>121</v>
      </c>
      <c r="B32" s="113"/>
      <c r="C32" s="114"/>
      <c r="D32" s="114"/>
      <c r="E32" s="114"/>
      <c r="F32" s="114"/>
      <c r="G32" s="115"/>
      <c r="H32" s="116"/>
      <c r="I32" s="116"/>
      <c r="J32" s="117"/>
      <c r="K32" s="118"/>
      <c r="L32" s="119"/>
      <c r="M32" s="117"/>
      <c r="N32" s="117"/>
      <c r="O32" s="119"/>
      <c r="P32" s="117"/>
      <c r="Q32" s="118"/>
      <c r="R32" s="119"/>
      <c r="S32" s="117"/>
      <c r="T32" s="118"/>
      <c r="U32" s="119"/>
      <c r="V32" s="120"/>
      <c r="W32" s="120"/>
      <c r="X32" s="120"/>
      <c r="Y32" s="117"/>
      <c r="Z32" s="118"/>
      <c r="AA32" s="121"/>
      <c r="AB32" s="122"/>
      <c r="AC32" s="135"/>
      <c r="AD32" s="135"/>
      <c r="AE32" s="117"/>
      <c r="AF32" s="118"/>
      <c r="AG32" s="117"/>
      <c r="AH32" s="118"/>
      <c r="AI32" s="117"/>
      <c r="AJ32" s="117"/>
      <c r="AK32" s="118"/>
      <c r="AL32" s="119"/>
      <c r="AM32" s="117"/>
      <c r="AN32" s="118"/>
      <c r="AO32" s="119"/>
      <c r="AP32" s="120"/>
      <c r="AQ32" s="120"/>
      <c r="AR32" s="120"/>
      <c r="AS32" s="116"/>
      <c r="AT32" s="116"/>
      <c r="AU32" s="121"/>
      <c r="AV32" s="122"/>
      <c r="AW32" s="124"/>
      <c r="AX32" s="125"/>
      <c r="BA32" s="112"/>
    </row>
    <row r="33" spans="1:53" ht="15.75" thickBot="1" x14ac:dyDescent="0.3"/>
    <row r="34" spans="1:53" ht="32.65" customHeight="1" thickBot="1" x14ac:dyDescent="0.55000000000000004">
      <c r="B34" s="137" t="s">
        <v>19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 t="s">
        <v>19</v>
      </c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9"/>
      <c r="AD34" s="139"/>
      <c r="AE34" s="138" t="s">
        <v>19</v>
      </c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40"/>
    </row>
    <row r="35" spans="1:53" ht="23.65" customHeight="1" thickBot="1" x14ac:dyDescent="0.3">
      <c r="A35" s="61">
        <v>2025</v>
      </c>
      <c r="B35" s="62" t="s">
        <v>68</v>
      </c>
      <c r="C35" s="63"/>
      <c r="D35" s="63"/>
      <c r="E35" s="63"/>
      <c r="F35" s="63"/>
      <c r="G35" s="63"/>
      <c r="H35" s="64"/>
      <c r="I35" s="65"/>
      <c r="J35" s="66"/>
      <c r="K35" s="66"/>
      <c r="L35" s="65"/>
      <c r="N35" s="67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9"/>
      <c r="AC35" s="66"/>
      <c r="AD35" s="66"/>
      <c r="AE35" s="70"/>
      <c r="AF35" s="71"/>
      <c r="AG35" s="71"/>
      <c r="AH35" s="71"/>
      <c r="AI35" s="71"/>
      <c r="AJ35" s="72"/>
      <c r="AK35" s="72"/>
      <c r="AL35" s="72"/>
      <c r="AM35" s="72"/>
      <c r="AN35" s="72"/>
      <c r="AO35" s="72"/>
      <c r="AP35" s="71"/>
      <c r="AQ35" s="71"/>
      <c r="AR35" s="71"/>
      <c r="AS35" s="71"/>
      <c r="AT35" s="71"/>
      <c r="AU35" s="71"/>
      <c r="AV35" s="73"/>
      <c r="AX35" s="66"/>
    </row>
    <row r="36" spans="1:53" ht="66.599999999999994" customHeight="1" thickBot="1" x14ac:dyDescent="0.3">
      <c r="A36" s="74" t="s">
        <v>71</v>
      </c>
      <c r="B36" s="141" t="s">
        <v>72</v>
      </c>
      <c r="C36" s="142" t="s">
        <v>73</v>
      </c>
      <c r="D36" s="142" t="s">
        <v>74</v>
      </c>
      <c r="E36" s="142" t="s">
        <v>75</v>
      </c>
      <c r="F36" s="142" t="s">
        <v>76</v>
      </c>
      <c r="G36" s="143" t="s">
        <v>77</v>
      </c>
      <c r="H36" s="144" t="s">
        <v>78</v>
      </c>
      <c r="I36" s="145" t="s">
        <v>79</v>
      </c>
      <c r="J36" s="146" t="s">
        <v>80</v>
      </c>
      <c r="K36" s="146" t="s">
        <v>81</v>
      </c>
      <c r="L36" s="145" t="s">
        <v>82</v>
      </c>
      <c r="M36" s="146" t="s">
        <v>83</v>
      </c>
      <c r="N36" s="147" t="s">
        <v>84</v>
      </c>
      <c r="O36" s="148" t="s">
        <v>85</v>
      </c>
      <c r="P36" s="149" t="s">
        <v>86</v>
      </c>
      <c r="Q36" s="149" t="s">
        <v>87</v>
      </c>
      <c r="R36" s="149" t="s">
        <v>88</v>
      </c>
      <c r="S36" s="150" t="s">
        <v>89</v>
      </c>
      <c r="T36" s="150" t="s">
        <v>90</v>
      </c>
      <c r="U36" s="150" t="s">
        <v>91</v>
      </c>
      <c r="V36" s="151" t="s">
        <v>92</v>
      </c>
      <c r="W36" s="151" t="s">
        <v>93</v>
      </c>
      <c r="X36" s="151" t="s">
        <v>94</v>
      </c>
      <c r="Y36" s="152" t="s">
        <v>95</v>
      </c>
      <c r="Z36" s="153" t="s">
        <v>96</v>
      </c>
      <c r="AA36" s="154" t="s">
        <v>97</v>
      </c>
      <c r="AB36" s="155" t="s">
        <v>98</v>
      </c>
      <c r="AC36" s="91" t="s">
        <v>99</v>
      </c>
      <c r="AD36" s="146" t="s">
        <v>122</v>
      </c>
      <c r="AE36" s="148" t="s">
        <v>101</v>
      </c>
      <c r="AF36" s="148" t="s">
        <v>102</v>
      </c>
      <c r="AG36" s="156" t="s">
        <v>103</v>
      </c>
      <c r="AH36" s="156" t="s">
        <v>104</v>
      </c>
      <c r="AI36" s="156" t="s">
        <v>105</v>
      </c>
      <c r="AJ36" s="157" t="s">
        <v>106</v>
      </c>
      <c r="AK36" s="149" t="s">
        <v>107</v>
      </c>
      <c r="AL36" s="149" t="s">
        <v>108</v>
      </c>
      <c r="AM36" s="150" t="s">
        <v>89</v>
      </c>
      <c r="AN36" s="150" t="s">
        <v>90</v>
      </c>
      <c r="AO36" s="150" t="s">
        <v>91</v>
      </c>
      <c r="AP36" s="151" t="s">
        <v>92</v>
      </c>
      <c r="AQ36" s="151" t="s">
        <v>93</v>
      </c>
      <c r="AR36" s="158" t="s">
        <v>94</v>
      </c>
      <c r="AS36" s="152" t="s">
        <v>95</v>
      </c>
      <c r="AT36" s="153" t="s">
        <v>96</v>
      </c>
      <c r="AU36" s="154" t="s">
        <v>97</v>
      </c>
      <c r="AV36" s="155" t="s">
        <v>98</v>
      </c>
      <c r="AX36" s="97" t="s">
        <v>109</v>
      </c>
    </row>
    <row r="37" spans="1:53" ht="18" customHeight="1" x14ac:dyDescent="0.25">
      <c r="A37" s="98" t="s">
        <v>110</v>
      </c>
      <c r="B37" s="99">
        <v>180702725.10000005</v>
      </c>
      <c r="C37" s="100">
        <v>169143793.38931501</v>
      </c>
      <c r="D37" s="100">
        <v>57914727.586810008</v>
      </c>
      <c r="E37" s="100">
        <v>42080669.303229988</v>
      </c>
      <c r="F37" s="100">
        <v>86697494.605275005</v>
      </c>
      <c r="G37" s="101">
        <v>489537723.38094097</v>
      </c>
      <c r="H37" s="102">
        <f t="shared" ref="H37:H46" ca="1" si="24">SUM(B37:G37)</f>
        <v>1026077133.365571</v>
      </c>
      <c r="I37" s="102">
        <v>436804988.43999994</v>
      </c>
      <c r="J37" s="103">
        <f ca="1">SUM(H37:I37)-SUM(S37:T37)</f>
        <v>922790847.54557097</v>
      </c>
      <c r="K37" s="104">
        <f ca="1">H38-J37</f>
        <v>145716182.89023006</v>
      </c>
      <c r="L37" s="105">
        <v>299192888.43786198</v>
      </c>
      <c r="M37" s="103">
        <f t="shared" ref="M37:M46" ca="1" si="25">L37*$M$1</f>
        <v>164556088.64082411</v>
      </c>
      <c r="N37" s="103">
        <f t="shared" ref="N37:N44" ca="1" si="26">SUM(H37:I37)</f>
        <v>1462882121.8055711</v>
      </c>
      <c r="O37" s="105">
        <f ca="1">$N37-$M37</f>
        <v>1298326033.164747</v>
      </c>
      <c r="P37" s="103">
        <f ca="1">SUM($I37,$B37)</f>
        <v>617507713.53999996</v>
      </c>
      <c r="Q37" s="104">
        <f ca="1">SUM($C37:$G37)</f>
        <v>845374408.26557088</v>
      </c>
      <c r="R37" s="105">
        <f ca="1">SUM($D37:$G37)</f>
        <v>676230614.87625599</v>
      </c>
      <c r="S37" s="103">
        <v>384860033.11000001</v>
      </c>
      <c r="T37" s="104">
        <v>155231241.1500001</v>
      </c>
      <c r="U37" s="105">
        <v>88285950.950000048</v>
      </c>
      <c r="V37" s="106">
        <f ca="1">S37/P37</f>
        <v>0.62324732901505719</v>
      </c>
      <c r="W37" s="106">
        <f ca="1">T37/Q37</f>
        <v>0.18362424936482682</v>
      </c>
      <c r="X37" s="106">
        <f ca="1">U37/R37</f>
        <v>0.13055598047147801</v>
      </c>
      <c r="Y37" s="103">
        <f ca="1">SUM(S37:T37)</f>
        <v>540091274.26000011</v>
      </c>
      <c r="Z37" s="104">
        <f t="shared" ref="Z37:Z48" ca="1" si="27">SUM(S37:T37)+MAX(0,$M$1*$AX37)</f>
        <v>543045770.88199997</v>
      </c>
      <c r="AA37" s="107">
        <f ca="1">Y37/N37</f>
        <v>0.36919671531250187</v>
      </c>
      <c r="AB37" s="108">
        <f ca="1">Z37/O37</f>
        <v>0.41826610343651016</v>
      </c>
      <c r="AC37" s="109"/>
      <c r="AD37" s="109"/>
      <c r="AE37" s="103">
        <f ca="1">N37-SUM(AC37:AD37)</f>
        <v>1462882121.8055711</v>
      </c>
      <c r="AF37" s="104">
        <f ca="1">AE37-M37</f>
        <v>1298326033.164747</v>
      </c>
      <c r="AG37" s="103"/>
      <c r="AH37" s="104"/>
      <c r="AI37" s="103"/>
      <c r="AJ37" s="103">
        <f ca="1">P37-AG37</f>
        <v>617507713.53999996</v>
      </c>
      <c r="AK37" s="104">
        <f ca="1">Q37-AH37</f>
        <v>845374408.26557088</v>
      </c>
      <c r="AL37" s="105">
        <f ca="1">R37-AI37</f>
        <v>676230614.87625599</v>
      </c>
      <c r="AM37" s="103">
        <v>384860033.11000001</v>
      </c>
      <c r="AN37" s="104">
        <v>155231241.1500001</v>
      </c>
      <c r="AO37" s="105">
        <v>88285950.950000048</v>
      </c>
      <c r="AP37" s="106">
        <f t="shared" ref="AP37:AR48" ca="1" si="28">AM37/AJ37</f>
        <v>0.62324732901505719</v>
      </c>
      <c r="AQ37" s="106">
        <f t="shared" ca="1" si="28"/>
        <v>0.18362424936482682</v>
      </c>
      <c r="AR37" s="106">
        <f t="shared" ca="1" si="28"/>
        <v>0.13055598047147801</v>
      </c>
      <c r="AS37" s="102">
        <f t="shared" ref="AS37:AS48" ca="1" si="29">SUM(AM37:AN37)</f>
        <v>540091274.26000011</v>
      </c>
      <c r="AT37" s="102">
        <f t="shared" ref="AT37:AT48" ca="1" si="30">SUM(AM37:AN37)+MAX(0,$M$1*$AX37)</f>
        <v>543045770.88199997</v>
      </c>
      <c r="AU37" s="107">
        <f t="shared" ref="AU37:AV48" ca="1" si="31">AS37/AE37</f>
        <v>0.36919671531250187</v>
      </c>
      <c r="AV37" s="108">
        <f t="shared" ca="1" si="31"/>
        <v>0.41826610343651016</v>
      </c>
      <c r="AW37" s="110"/>
      <c r="AX37" s="111">
        <f ca="1">Summary!I66</f>
        <v>5371812.0399996936</v>
      </c>
      <c r="BA37" s="112"/>
    </row>
    <row r="38" spans="1:53" x14ac:dyDescent="0.25">
      <c r="A38" s="98" t="s">
        <v>111</v>
      </c>
      <c r="B38" s="113">
        <v>199498526.06999999</v>
      </c>
      <c r="C38" s="114">
        <v>114177625.74950999</v>
      </c>
      <c r="D38" s="114">
        <v>117396542.41427498</v>
      </c>
      <c r="E38" s="114">
        <v>43320224.589685</v>
      </c>
      <c r="F38" s="114">
        <v>74056881.519239992</v>
      </c>
      <c r="G38" s="115">
        <v>520057230.09309095</v>
      </c>
      <c r="H38" s="116">
        <f t="shared" ca="1" si="24"/>
        <v>1068507030.435801</v>
      </c>
      <c r="I38" s="116">
        <v>545103986.16000009</v>
      </c>
      <c r="J38" s="117">
        <f t="shared" ref="J38:J48" ca="1" si="32">SUM(H38:I38)-SUM(S38:T38)</f>
        <v>1034336081.5858003</v>
      </c>
      <c r="K38" s="118">
        <f t="shared" ref="K38:K44" ca="1" si="33">H39-J38</f>
        <v>56653983.183389544</v>
      </c>
      <c r="L38" s="119">
        <v>349011381.83926231</v>
      </c>
      <c r="M38" s="117">
        <f t="shared" ca="1" si="25"/>
        <v>191956260.0115943</v>
      </c>
      <c r="N38" s="117">
        <f t="shared" ca="1" si="26"/>
        <v>1613611016.5958011</v>
      </c>
      <c r="O38" s="119">
        <f t="shared" ref="O38:O48" ca="1" si="34">$N38-$M38</f>
        <v>1421654756.5842068</v>
      </c>
      <c r="P38" s="117">
        <f t="shared" ref="P38:P48" ca="1" si="35">SUM($I38,$B38)</f>
        <v>744602512.23000002</v>
      </c>
      <c r="Q38" s="118">
        <f t="shared" ref="Q38:Q48" ca="1" si="36">SUM($C38:$G38)</f>
        <v>869008504.36580086</v>
      </c>
      <c r="R38" s="119">
        <f t="shared" ref="R38:R48" ca="1" si="37">SUM($D38:$G38)</f>
        <v>754830878.61629093</v>
      </c>
      <c r="S38" s="117">
        <v>438685295.51000077</v>
      </c>
      <c r="T38" s="118">
        <v>140589639.50000009</v>
      </c>
      <c r="U38" s="119">
        <v>93074319.970000088</v>
      </c>
      <c r="V38" s="120">
        <f t="shared" ref="V38:X47" ca="1" si="38">S38/P38</f>
        <v>0.58915366024778526</v>
      </c>
      <c r="W38" s="120">
        <f t="shared" ca="1" si="38"/>
        <v>0.16178166127683857</v>
      </c>
      <c r="X38" s="120">
        <f t="shared" ca="1" si="38"/>
        <v>0.12330486550923586</v>
      </c>
      <c r="Y38" s="117">
        <f t="shared" ref="Y38:Y47" ca="1" si="39">SUM(S38:T38)</f>
        <v>579274935.01000082</v>
      </c>
      <c r="Z38" s="118">
        <f t="shared" ca="1" si="27"/>
        <v>581634985.72626054</v>
      </c>
      <c r="AA38" s="121">
        <f t="shared" ref="AA38:AB47" ca="1" si="40">Y38/N38</f>
        <v>0.35899292273802402</v>
      </c>
      <c r="AB38" s="122">
        <f t="shared" ca="1" si="40"/>
        <v>0.40912534005355006</v>
      </c>
      <c r="AC38" s="123"/>
      <c r="AD38" s="123"/>
      <c r="AE38" s="117">
        <f t="shared" ref="AE38:AE47" ca="1" si="41">N38-SUM(AC38:AD38)</f>
        <v>1613611016.5958011</v>
      </c>
      <c r="AF38" s="118">
        <f t="shared" ref="AF38:AF47" ca="1" si="42">AE38-M38</f>
        <v>1421654756.5842068</v>
      </c>
      <c r="AG38" s="117"/>
      <c r="AH38" s="118"/>
      <c r="AI38" s="117"/>
      <c r="AJ38" s="117">
        <f t="shared" ref="AJ38:AL47" ca="1" si="43">P38-AG38</f>
        <v>744602512.23000002</v>
      </c>
      <c r="AK38" s="118">
        <f t="shared" ca="1" si="43"/>
        <v>869008504.36580086</v>
      </c>
      <c r="AL38" s="119">
        <f t="shared" ca="1" si="43"/>
        <v>754830878.61629093</v>
      </c>
      <c r="AM38" s="117">
        <v>438685295.51000077</v>
      </c>
      <c r="AN38" s="118">
        <v>140589639.50000009</v>
      </c>
      <c r="AO38" s="119">
        <v>93074319.970000088</v>
      </c>
      <c r="AP38" s="120">
        <f t="shared" ca="1" si="28"/>
        <v>0.58915366024778526</v>
      </c>
      <c r="AQ38" s="120">
        <f t="shared" ca="1" si="28"/>
        <v>0.16178166127683857</v>
      </c>
      <c r="AR38" s="120">
        <f t="shared" ca="1" si="28"/>
        <v>0.12330486550923586</v>
      </c>
      <c r="AS38" s="116">
        <f t="shared" ca="1" si="29"/>
        <v>579274935.01000082</v>
      </c>
      <c r="AT38" s="116">
        <f t="shared" ca="1" si="30"/>
        <v>581634985.72626054</v>
      </c>
      <c r="AU38" s="121">
        <f t="shared" ca="1" si="31"/>
        <v>0.35899292273802402</v>
      </c>
      <c r="AV38" s="122">
        <f t="shared" ca="1" si="31"/>
        <v>0.40912534005355006</v>
      </c>
      <c r="AW38" s="124"/>
      <c r="AX38" s="125">
        <f ca="1">Summary!I67</f>
        <v>4291001.30229038</v>
      </c>
      <c r="BA38" s="112"/>
    </row>
    <row r="39" spans="1:53" ht="18" customHeight="1" x14ac:dyDescent="0.25">
      <c r="A39" s="98" t="s">
        <v>112</v>
      </c>
      <c r="B39" s="126">
        <v>324657881.12000006</v>
      </c>
      <c r="C39" s="127">
        <v>145724851.90773499</v>
      </c>
      <c r="D39" s="127">
        <v>97499362.108099997</v>
      </c>
      <c r="E39" s="127">
        <v>131444452.49574998</v>
      </c>
      <c r="F39" s="127">
        <v>95980993.708959997</v>
      </c>
      <c r="G39" s="128">
        <v>295682523.42864501</v>
      </c>
      <c r="H39" s="129">
        <f t="shared" ca="1" si="24"/>
        <v>1090990064.7691898</v>
      </c>
      <c r="I39" s="129">
        <v>616562861.51999998</v>
      </c>
      <c r="J39" s="130">
        <f t="shared" ca="1" si="32"/>
        <v>1105230608.7391896</v>
      </c>
      <c r="K39" s="131">
        <f t="shared" ca="1" si="33"/>
        <v>86256938.611165524</v>
      </c>
      <c r="L39" s="132">
        <v>344255796.31530488</v>
      </c>
      <c r="M39" s="130">
        <f t="shared" ca="1" si="25"/>
        <v>189340687.9734177</v>
      </c>
      <c r="N39" s="130">
        <f t="shared" ca="1" si="26"/>
        <v>1707552926.2891898</v>
      </c>
      <c r="O39" s="132">
        <f t="shared" ca="1" si="34"/>
        <v>1518212238.3157721</v>
      </c>
      <c r="P39" s="130">
        <f t="shared" ca="1" si="35"/>
        <v>941220742.6400001</v>
      </c>
      <c r="Q39" s="131">
        <f t="shared" ca="1" si="36"/>
        <v>766332183.64918995</v>
      </c>
      <c r="R39" s="132">
        <f t="shared" ca="1" si="37"/>
        <v>620607331.74145496</v>
      </c>
      <c r="S39" s="130">
        <v>474327215.26999998</v>
      </c>
      <c r="T39" s="131">
        <v>127995102.28000005</v>
      </c>
      <c r="U39" s="132">
        <v>77234947.630000025</v>
      </c>
      <c r="V39" s="120">
        <f t="shared" ca="1" si="38"/>
        <v>0.503948960941484</v>
      </c>
      <c r="W39" s="120">
        <f t="shared" ca="1" si="38"/>
        <v>0.16702300257115835</v>
      </c>
      <c r="X39" s="120">
        <f t="shared" ca="1" si="38"/>
        <v>0.12445058844740833</v>
      </c>
      <c r="Y39" s="130">
        <f t="shared" ca="1" si="39"/>
        <v>602322317.55000007</v>
      </c>
      <c r="Z39" s="131">
        <f t="shared" ca="1" si="27"/>
        <v>608040037.66035914</v>
      </c>
      <c r="AA39" s="133">
        <f t="shared" ca="1" si="40"/>
        <v>0.35274005758577071</v>
      </c>
      <c r="AB39" s="134">
        <f t="shared" ca="1" si="40"/>
        <v>0.4004973891758955</v>
      </c>
      <c r="AC39" s="135"/>
      <c r="AD39" s="135"/>
      <c r="AE39" s="130">
        <f t="shared" ca="1" si="41"/>
        <v>1707552926.2891898</v>
      </c>
      <c r="AF39" s="131">
        <f t="shared" ca="1" si="42"/>
        <v>1518212238.3157721</v>
      </c>
      <c r="AG39" s="130"/>
      <c r="AH39" s="131"/>
      <c r="AI39" s="130"/>
      <c r="AJ39" s="130">
        <f t="shared" ca="1" si="43"/>
        <v>941220742.6400001</v>
      </c>
      <c r="AK39" s="131">
        <f t="shared" ca="1" si="43"/>
        <v>766332183.64918995</v>
      </c>
      <c r="AL39" s="132">
        <f t="shared" ca="1" si="43"/>
        <v>620607331.74145496</v>
      </c>
      <c r="AM39" s="130">
        <v>474327215.26999998</v>
      </c>
      <c r="AN39" s="131">
        <v>127995102.28000005</v>
      </c>
      <c r="AO39" s="132">
        <v>77234947.630000025</v>
      </c>
      <c r="AP39" s="120">
        <f t="shared" ca="1" si="28"/>
        <v>0.503948960941484</v>
      </c>
      <c r="AQ39" s="120">
        <f t="shared" ca="1" si="28"/>
        <v>0.16702300257115835</v>
      </c>
      <c r="AR39" s="120">
        <f t="shared" ca="1" si="28"/>
        <v>0.12445058844740833</v>
      </c>
      <c r="AS39" s="129">
        <f t="shared" ca="1" si="29"/>
        <v>602322317.55000007</v>
      </c>
      <c r="AT39" s="129">
        <f t="shared" ca="1" si="30"/>
        <v>608040037.66035914</v>
      </c>
      <c r="AU39" s="133">
        <f t="shared" ca="1" si="31"/>
        <v>0.35274005758577071</v>
      </c>
      <c r="AV39" s="134">
        <f t="shared" ca="1" si="31"/>
        <v>0.4004973891758955</v>
      </c>
      <c r="AW39" s="124"/>
      <c r="AX39" s="136">
        <f ca="1">Summary!I68</f>
        <v>10395854.74610734</v>
      </c>
      <c r="BA39" s="112"/>
    </row>
    <row r="40" spans="1:53" x14ac:dyDescent="0.25">
      <c r="A40" s="98" t="s">
        <v>113</v>
      </c>
      <c r="B40" s="113">
        <v>364127787.91000003</v>
      </c>
      <c r="C40" s="114">
        <v>192950876.29076505</v>
      </c>
      <c r="D40" s="114">
        <v>95813371.927000016</v>
      </c>
      <c r="E40" s="114">
        <v>76527712.874050006</v>
      </c>
      <c r="F40" s="114">
        <v>150907338.36039999</v>
      </c>
      <c r="G40" s="115">
        <v>311160459.98813999</v>
      </c>
      <c r="H40" s="116">
        <f t="shared" ca="1" si="24"/>
        <v>1191487547.3503551</v>
      </c>
      <c r="I40" s="116">
        <v>1276706880.72</v>
      </c>
      <c r="J40" s="117">
        <f t="shared" ca="1" si="32"/>
        <v>1685573259.3203561</v>
      </c>
      <c r="K40" s="118">
        <f t="shared" ca="1" si="33"/>
        <v>47312388.822416782</v>
      </c>
      <c r="L40" s="119">
        <v>451240762.80452126</v>
      </c>
      <c r="M40" s="117">
        <f t="shared" ca="1" si="25"/>
        <v>248182419.54248673</v>
      </c>
      <c r="N40" s="117">
        <f t="shared" ca="1" si="26"/>
        <v>2468194428.0703554</v>
      </c>
      <c r="O40" s="119">
        <f t="shared" ca="1" si="34"/>
        <v>2220012008.5278687</v>
      </c>
      <c r="P40" s="117">
        <f t="shared" ca="1" si="35"/>
        <v>1640834668.6300001</v>
      </c>
      <c r="Q40" s="118">
        <f t="shared" ca="1" si="36"/>
        <v>827359759.44035506</v>
      </c>
      <c r="R40" s="119">
        <f t="shared" ca="1" si="37"/>
        <v>634408883.14959002</v>
      </c>
      <c r="S40" s="117">
        <v>637298894.91999936</v>
      </c>
      <c r="T40" s="118">
        <v>145322273.82999998</v>
      </c>
      <c r="U40" s="119">
        <v>80275843.649999976</v>
      </c>
      <c r="V40" s="120">
        <f t="shared" ca="1" si="38"/>
        <v>0.38839921358567236</v>
      </c>
      <c r="W40" s="120">
        <f t="shared" ca="1" si="38"/>
        <v>0.17564580845495709</v>
      </c>
      <c r="X40" s="120">
        <f t="shared" ca="1" si="38"/>
        <v>0.12653644326583521</v>
      </c>
      <c r="Y40" s="117">
        <f t="shared" ca="1" si="39"/>
        <v>782621168.74999928</v>
      </c>
      <c r="Z40" s="118">
        <f t="shared" ca="1" si="27"/>
        <v>787026724.74643421</v>
      </c>
      <c r="AA40" s="121">
        <f t="shared" ca="1" si="40"/>
        <v>0.31708246313555444</v>
      </c>
      <c r="AB40" s="122">
        <f t="shared" ca="1" si="40"/>
        <v>0.35451462502147735</v>
      </c>
      <c r="AC40" s="123">
        <v>614496205.57000005</v>
      </c>
      <c r="AD40" s="123"/>
      <c r="AE40" s="117">
        <f t="shared" ca="1" si="41"/>
        <v>1853698222.5003552</v>
      </c>
      <c r="AF40" s="118">
        <f t="shared" ca="1" si="42"/>
        <v>1605515802.9578686</v>
      </c>
      <c r="AG40" s="117">
        <v>614496205.57000005</v>
      </c>
      <c r="AH40" s="118">
        <v>0</v>
      </c>
      <c r="AI40" s="117">
        <v>0</v>
      </c>
      <c r="AJ40" s="117">
        <f t="shared" ca="1" si="43"/>
        <v>1026338463.0600001</v>
      </c>
      <c r="AK40" s="118">
        <f t="shared" ca="1" si="43"/>
        <v>827359759.44035506</v>
      </c>
      <c r="AL40" s="119">
        <f t="shared" ca="1" si="43"/>
        <v>634408883.14959002</v>
      </c>
      <c r="AM40" s="117">
        <v>511845253.59999901</v>
      </c>
      <c r="AN40" s="118">
        <v>145322273.82999998</v>
      </c>
      <c r="AO40" s="119">
        <v>80214148.999999955</v>
      </c>
      <c r="AP40" s="120">
        <f t="shared" ca="1" si="28"/>
        <v>0.49870999872103244</v>
      </c>
      <c r="AQ40" s="120">
        <f t="shared" ca="1" si="28"/>
        <v>0.17564580845495709</v>
      </c>
      <c r="AR40" s="120">
        <f t="shared" ca="1" si="28"/>
        <v>0.12643919580975652</v>
      </c>
      <c r="AS40" s="116">
        <f t="shared" ca="1" si="29"/>
        <v>657167527.42999899</v>
      </c>
      <c r="AT40" s="116">
        <f t="shared" ca="1" si="30"/>
        <v>661573083.42643392</v>
      </c>
      <c r="AU40" s="121">
        <f t="shared" ca="1" si="31"/>
        <v>0.3545169971321333</v>
      </c>
      <c r="AV40" s="122">
        <f t="shared" ca="1" si="31"/>
        <v>0.4120626419295324</v>
      </c>
      <c r="AW40" s="124"/>
      <c r="AX40" s="125">
        <f ca="1">Summary!I69</f>
        <v>8010101.8116998672</v>
      </c>
      <c r="BA40" s="112"/>
    </row>
    <row r="41" spans="1:53" ht="18" customHeight="1" x14ac:dyDescent="0.25">
      <c r="A41" s="98" t="s">
        <v>114</v>
      </c>
      <c r="B41" s="126">
        <v>335487100.90999997</v>
      </c>
      <c r="C41" s="127">
        <v>718008437.19641972</v>
      </c>
      <c r="D41" s="127">
        <v>131777191.94517501</v>
      </c>
      <c r="E41" s="127">
        <v>83948557.894549996</v>
      </c>
      <c r="F41" s="127">
        <v>123841575.78900997</v>
      </c>
      <c r="G41" s="128">
        <v>339822784.40761799</v>
      </c>
      <c r="H41" s="129">
        <f t="shared" ca="1" si="24"/>
        <v>1732885648.1427729</v>
      </c>
      <c r="I41" s="129">
        <v>775953892.13999999</v>
      </c>
      <c r="J41" s="130">
        <f t="shared" ca="1" si="32"/>
        <v>1561484867.4727726</v>
      </c>
      <c r="K41" s="131">
        <f t="shared" ca="1" si="33"/>
        <v>104102356.34565163</v>
      </c>
      <c r="L41" s="132">
        <v>380017832.76796091</v>
      </c>
      <c r="M41" s="130">
        <f t="shared" ca="1" si="25"/>
        <v>209009808.0223785</v>
      </c>
      <c r="N41" s="130">
        <f t="shared" ca="1" si="26"/>
        <v>2508839540.282773</v>
      </c>
      <c r="O41" s="132">
        <f t="shared" ca="1" si="34"/>
        <v>2299829732.2603946</v>
      </c>
      <c r="P41" s="130">
        <f t="shared" ca="1" si="35"/>
        <v>1111440993.05</v>
      </c>
      <c r="Q41" s="131">
        <f t="shared" ca="1" si="36"/>
        <v>1397398547.2327726</v>
      </c>
      <c r="R41" s="132">
        <f t="shared" ca="1" si="37"/>
        <v>679390110.03635299</v>
      </c>
      <c r="S41" s="130">
        <v>670235892.90000057</v>
      </c>
      <c r="T41" s="131">
        <v>277118779.90999997</v>
      </c>
      <c r="U41" s="132">
        <v>105911115.77999999</v>
      </c>
      <c r="V41" s="120">
        <f t="shared" ca="1" si="38"/>
        <v>0.6030332668050592</v>
      </c>
      <c r="W41" s="120">
        <f t="shared" ca="1" si="38"/>
        <v>0.19831048233073534</v>
      </c>
      <c r="X41" s="120">
        <f t="shared" ca="1" si="38"/>
        <v>0.15589145943607108</v>
      </c>
      <c r="Y41" s="130">
        <f t="shared" ca="1" si="39"/>
        <v>947354672.81000054</v>
      </c>
      <c r="Z41" s="131">
        <f t="shared" ca="1" si="27"/>
        <v>949823549.432464</v>
      </c>
      <c r="AA41" s="133">
        <f t="shared" ca="1" si="40"/>
        <v>0.37760672119478139</v>
      </c>
      <c r="AB41" s="134">
        <f t="shared" ca="1" si="40"/>
        <v>0.41299733458916849</v>
      </c>
      <c r="AC41" s="135">
        <v>497311205.20999968</v>
      </c>
      <c r="AD41" s="135">
        <v>249933598.78999993</v>
      </c>
      <c r="AE41" s="130">
        <f t="shared" ca="1" si="41"/>
        <v>1761594736.2827735</v>
      </c>
      <c r="AF41" s="131">
        <f t="shared" ca="1" si="42"/>
        <v>1552584928.2603951</v>
      </c>
      <c r="AG41" s="130">
        <v>216964968.56999999</v>
      </c>
      <c r="AH41" s="131">
        <v>504234327.02000004</v>
      </c>
      <c r="AI41" s="130">
        <v>26045508.409999996</v>
      </c>
      <c r="AJ41" s="130">
        <f t="shared" ca="1" si="43"/>
        <v>894476024.48000002</v>
      </c>
      <c r="AK41" s="131">
        <f t="shared" ca="1" si="43"/>
        <v>893164220.21277261</v>
      </c>
      <c r="AL41" s="132">
        <f t="shared" ca="1" si="43"/>
        <v>653344601.62635303</v>
      </c>
      <c r="AM41" s="130">
        <v>554492476.68999994</v>
      </c>
      <c r="AN41" s="131">
        <v>171411268.50999999</v>
      </c>
      <c r="AO41" s="132">
        <v>102518991.67999999</v>
      </c>
      <c r="AP41" s="120">
        <f t="shared" ca="1" si="28"/>
        <v>0.619907590046756</v>
      </c>
      <c r="AQ41" s="120">
        <f t="shared" ca="1" si="28"/>
        <v>0.1919146161824147</v>
      </c>
      <c r="AR41" s="120">
        <f t="shared" ca="1" si="28"/>
        <v>0.15691411764144411</v>
      </c>
      <c r="AS41" s="129">
        <f t="shared" ca="1" si="29"/>
        <v>725903745.19999993</v>
      </c>
      <c r="AT41" s="129">
        <f t="shared" ca="1" si="30"/>
        <v>728372621.82246339</v>
      </c>
      <c r="AU41" s="133">
        <f t="shared" ca="1" si="31"/>
        <v>0.41207193132954328</v>
      </c>
      <c r="AV41" s="134">
        <f t="shared" ca="1" si="31"/>
        <v>0.46913544538821056</v>
      </c>
      <c r="AW41" s="124"/>
      <c r="AX41" s="136">
        <f ca="1">Summary!I70</f>
        <v>4488866.5862971395</v>
      </c>
      <c r="BA41" s="112"/>
    </row>
    <row r="42" spans="1:53" x14ac:dyDescent="0.25">
      <c r="A42" s="98" t="s">
        <v>115</v>
      </c>
      <c r="B42" s="113">
        <v>428495730.88999999</v>
      </c>
      <c r="C42" s="114">
        <v>534281557.313115</v>
      </c>
      <c r="D42" s="114">
        <v>133405108.36949505</v>
      </c>
      <c r="E42" s="114">
        <v>90238118.099079996</v>
      </c>
      <c r="F42" s="114">
        <v>112591736.68850999</v>
      </c>
      <c r="G42" s="115">
        <v>366574972.458224</v>
      </c>
      <c r="H42" s="116">
        <f t="shared" ca="1" si="24"/>
        <v>1665587223.8184242</v>
      </c>
      <c r="I42" s="116">
        <v>712694346.03000009</v>
      </c>
      <c r="J42" s="117">
        <f t="shared" ca="1" si="32"/>
        <v>1624302819.2984247</v>
      </c>
      <c r="K42" s="118">
        <f ca="1">H43-J42</f>
        <v>-12379856.74127984</v>
      </c>
      <c r="L42" s="119">
        <v>374759289.27327913</v>
      </c>
      <c r="M42" s="117">
        <f t="shared" ca="1" si="25"/>
        <v>206117609.10030353</v>
      </c>
      <c r="N42" s="117">
        <f t="shared" ca="1" si="26"/>
        <v>2378281569.8484244</v>
      </c>
      <c r="O42" s="119">
        <f t="shared" ca="1" si="34"/>
        <v>2172163960.7481208</v>
      </c>
      <c r="P42" s="117">
        <f t="shared" ca="1" si="35"/>
        <v>1141190076.9200001</v>
      </c>
      <c r="Q42" s="118">
        <f t="shared" ca="1" si="36"/>
        <v>1237091492.9284239</v>
      </c>
      <c r="R42" s="119">
        <f t="shared" ca="1" si="37"/>
        <v>702809935.615309</v>
      </c>
      <c r="S42" s="117">
        <v>511417571.44999981</v>
      </c>
      <c r="T42" s="118">
        <v>242561179.10000002</v>
      </c>
      <c r="U42" s="119">
        <v>155063501.84</v>
      </c>
      <c r="V42" s="120">
        <f t="shared" ca="1" si="38"/>
        <v>0.44814407502585679</v>
      </c>
      <c r="W42" s="120">
        <f t="shared" ca="1" si="38"/>
        <v>0.19607375888246789</v>
      </c>
      <c r="X42" s="120">
        <f t="shared" ca="1" si="38"/>
        <v>0.2206336222384821</v>
      </c>
      <c r="Y42" s="117">
        <f t="shared" ca="1" si="39"/>
        <v>753978750.54999983</v>
      </c>
      <c r="Z42" s="118">
        <f t="shared" ca="1" si="27"/>
        <v>755684872.86929715</v>
      </c>
      <c r="AA42" s="121">
        <f t="shared" ca="1" si="40"/>
        <v>0.31702669696845581</v>
      </c>
      <c r="AB42" s="122">
        <f t="shared" ca="1" si="40"/>
        <v>0.34789495016252353</v>
      </c>
      <c r="AC42" s="123">
        <v>372190403.82999998</v>
      </c>
      <c r="AD42" s="123">
        <v>164886895.88</v>
      </c>
      <c r="AE42" s="117">
        <f t="shared" ca="1" si="41"/>
        <v>1841204270.1384244</v>
      </c>
      <c r="AF42" s="118">
        <f t="shared" ca="1" si="42"/>
        <v>1635086661.0381207</v>
      </c>
      <c r="AG42" s="117">
        <v>150640918.22999999</v>
      </c>
      <c r="AH42" s="118">
        <v>359298465</v>
      </c>
      <c r="AI42" s="117">
        <v>27137916.48</v>
      </c>
      <c r="AJ42" s="117">
        <f t="shared" ca="1" si="43"/>
        <v>990549158.69000006</v>
      </c>
      <c r="AK42" s="118">
        <f t="shared" ca="1" si="43"/>
        <v>877793027.92842388</v>
      </c>
      <c r="AL42" s="119">
        <f t="shared" ca="1" si="43"/>
        <v>675672019.13530898</v>
      </c>
      <c r="AM42" s="117">
        <v>504431248.57999986</v>
      </c>
      <c r="AN42" s="118">
        <v>131161226.21999991</v>
      </c>
      <c r="AO42" s="119">
        <v>82184653.429999903</v>
      </c>
      <c r="AP42" s="120">
        <f t="shared" ca="1" si="28"/>
        <v>0.50924403312512978</v>
      </c>
      <c r="AQ42" s="120">
        <f t="shared" ca="1" si="28"/>
        <v>0.14942158578034972</v>
      </c>
      <c r="AR42" s="120">
        <f t="shared" ca="1" si="28"/>
        <v>0.12163394532035778</v>
      </c>
      <c r="AS42" s="116">
        <f t="shared" ca="1" si="29"/>
        <v>635592474.79999971</v>
      </c>
      <c r="AT42" s="116">
        <f t="shared" ca="1" si="30"/>
        <v>637298597.11929703</v>
      </c>
      <c r="AU42" s="121">
        <f t="shared" ca="1" si="31"/>
        <v>0.34520475816201263</v>
      </c>
      <c r="AV42" s="122">
        <f t="shared" ca="1" si="31"/>
        <v>0.38976441573725179</v>
      </c>
      <c r="AW42" s="124"/>
      <c r="AX42" s="125">
        <f ca="1">Summary!I71</f>
        <v>3102040.5805406123</v>
      </c>
      <c r="BA42" s="112"/>
    </row>
    <row r="43" spans="1:53" ht="18" customHeight="1" x14ac:dyDescent="0.25">
      <c r="A43" s="98" t="s">
        <v>116</v>
      </c>
      <c r="B43" s="126">
        <v>325742997.57999992</v>
      </c>
      <c r="C43" s="127">
        <v>267850254.75092992</v>
      </c>
      <c r="D43" s="127">
        <v>112977945.900225</v>
      </c>
      <c r="E43" s="127">
        <v>399168210.29987007</v>
      </c>
      <c r="F43" s="127">
        <v>126849407.88105997</v>
      </c>
      <c r="G43" s="128">
        <v>379334146.14506006</v>
      </c>
      <c r="H43" s="129">
        <f t="shared" ca="1" si="24"/>
        <v>1611922962.5571449</v>
      </c>
      <c r="I43" s="129">
        <v>502389137.21999997</v>
      </c>
      <c r="J43" s="130">
        <f t="shared" ca="1" si="32"/>
        <v>1245950697.5171447</v>
      </c>
      <c r="K43" s="131">
        <f t="shared" ca="1" si="33"/>
        <v>153529890.37524509</v>
      </c>
      <c r="L43" s="132">
        <v>379139681.6624403</v>
      </c>
      <c r="M43" s="130">
        <f t="shared" ca="1" si="25"/>
        <v>208526824.91434219</v>
      </c>
      <c r="N43" s="130">
        <f t="shared" ca="1" si="26"/>
        <v>2114312099.7771449</v>
      </c>
      <c r="O43" s="132">
        <f t="shared" ca="1" si="34"/>
        <v>1905785274.8628027</v>
      </c>
      <c r="P43" s="130">
        <f t="shared" ca="1" si="35"/>
        <v>828132134.79999995</v>
      </c>
      <c r="Q43" s="131">
        <f t="shared" ca="1" si="36"/>
        <v>1286179964.9771452</v>
      </c>
      <c r="R43" s="132">
        <f t="shared" ca="1" si="37"/>
        <v>1018329710.2262151</v>
      </c>
      <c r="S43" s="130">
        <v>513844865.42999953</v>
      </c>
      <c r="T43" s="131">
        <v>354516536.83000076</v>
      </c>
      <c r="U43" s="132">
        <v>298177789.54000074</v>
      </c>
      <c r="V43" s="120">
        <f t="shared" ca="1" si="38"/>
        <v>0.6204865671033245</v>
      </c>
      <c r="W43" s="120">
        <f t="shared" ca="1" si="38"/>
        <v>0.27563525049645782</v>
      </c>
      <c r="X43" s="120">
        <f t="shared" ca="1" si="38"/>
        <v>0.29281065508121384</v>
      </c>
      <c r="Y43" s="130">
        <f t="shared" ca="1" si="39"/>
        <v>868361402.26000023</v>
      </c>
      <c r="Z43" s="131">
        <f t="shared" ca="1" si="27"/>
        <v>872352718.67289865</v>
      </c>
      <c r="AA43" s="133">
        <f t="shared" ca="1" si="40"/>
        <v>0.41070634858095367</v>
      </c>
      <c r="AB43" s="134">
        <f t="shared" ca="1" si="40"/>
        <v>0.45773924805652577</v>
      </c>
      <c r="AC43" s="135">
        <v>293221001.20000005</v>
      </c>
      <c r="AD43" s="135">
        <v>293221001.20000005</v>
      </c>
      <c r="AE43" s="130">
        <f t="shared" ca="1" si="41"/>
        <v>1527870097.3771448</v>
      </c>
      <c r="AF43" s="131">
        <f t="shared" ca="1" si="42"/>
        <v>1319343272.4628026</v>
      </c>
      <c r="AG43" s="130">
        <v>325439.18</v>
      </c>
      <c r="AH43" s="131">
        <v>87990412.189999998</v>
      </c>
      <c r="AI43" s="130">
        <v>311637482</v>
      </c>
      <c r="AJ43" s="130">
        <f t="shared" ca="1" si="43"/>
        <v>827806695.62</v>
      </c>
      <c r="AK43" s="131">
        <f t="shared" ca="1" si="43"/>
        <v>1198189552.7871451</v>
      </c>
      <c r="AL43" s="132">
        <f t="shared" ca="1" si="43"/>
        <v>706692228.22621512</v>
      </c>
      <c r="AM43" s="130">
        <v>509760449.24999994</v>
      </c>
      <c r="AN43" s="131">
        <v>141261554.28999996</v>
      </c>
      <c r="AO43" s="132">
        <v>90142662.329999939</v>
      </c>
      <c r="AP43" s="120">
        <f t="shared" ca="1" si="28"/>
        <v>0.61579647995986087</v>
      </c>
      <c r="AQ43" s="120">
        <f t="shared" ca="1" si="28"/>
        <v>0.11789583205879835</v>
      </c>
      <c r="AR43" s="120">
        <f t="shared" ca="1" si="28"/>
        <v>0.12755575727252075</v>
      </c>
      <c r="AS43" s="129">
        <f t="shared" ca="1" si="29"/>
        <v>651022003.53999996</v>
      </c>
      <c r="AT43" s="129">
        <f t="shared" ca="1" si="30"/>
        <v>655013319.95289838</v>
      </c>
      <c r="AU43" s="133">
        <f t="shared" ca="1" si="31"/>
        <v>0.42609774525831262</v>
      </c>
      <c r="AV43" s="134">
        <f t="shared" ca="1" si="31"/>
        <v>0.49646921587752724</v>
      </c>
      <c r="AW43" s="124"/>
      <c r="AX43" s="136">
        <f ca="1">Summary!I72</f>
        <v>7256938.9325425588</v>
      </c>
      <c r="BA43" s="112"/>
    </row>
    <row r="44" spans="1:53" x14ac:dyDescent="0.25">
      <c r="A44" s="98" t="s">
        <v>117</v>
      </c>
      <c r="B44" s="113">
        <v>270949782.11000001</v>
      </c>
      <c r="C44" s="114">
        <v>191893843.25855997</v>
      </c>
      <c r="D44" s="114">
        <v>184728506.05389997</v>
      </c>
      <c r="E44" s="114">
        <v>90522283.585570008</v>
      </c>
      <c r="F44" s="114">
        <v>259534318.52592999</v>
      </c>
      <c r="G44" s="115">
        <v>401851854.35843003</v>
      </c>
      <c r="H44" s="116">
        <f t="shared" ca="1" si="24"/>
        <v>1399480587.8923898</v>
      </c>
      <c r="I44" s="116">
        <v>550489260.31000006</v>
      </c>
      <c r="J44" s="117">
        <f t="shared" ca="1" si="32"/>
        <v>1303271392.4223895</v>
      </c>
      <c r="K44" s="118">
        <f t="shared" ca="1" si="33"/>
        <v>41674088.922700405</v>
      </c>
      <c r="L44" s="119">
        <v>318914637.93048048</v>
      </c>
      <c r="M44" s="117">
        <f t="shared" ca="1" si="25"/>
        <v>175403050.86176428</v>
      </c>
      <c r="N44" s="117">
        <f t="shared" ca="1" si="26"/>
        <v>1949969848.2023897</v>
      </c>
      <c r="O44" s="119">
        <f t="shared" ca="1" si="34"/>
        <v>1774566797.3406255</v>
      </c>
      <c r="P44" s="117">
        <f t="shared" ca="1" si="35"/>
        <v>821439042.42000008</v>
      </c>
      <c r="Q44" s="118">
        <f t="shared" ca="1" si="36"/>
        <v>1128530805.7823901</v>
      </c>
      <c r="R44" s="119">
        <f t="shared" ca="1" si="37"/>
        <v>936636962.52382994</v>
      </c>
      <c r="S44" s="117">
        <v>455396311.74000019</v>
      </c>
      <c r="T44" s="118">
        <v>191302144.0399999</v>
      </c>
      <c r="U44" s="119">
        <v>149395107.87999994</v>
      </c>
      <c r="V44" s="120">
        <f t="shared" ca="1" si="38"/>
        <v>0.55438844299192314</v>
      </c>
      <c r="W44" s="120">
        <f t="shared" ca="1" si="38"/>
        <v>0.16951433054357215</v>
      </c>
      <c r="X44" s="120">
        <f t="shared" ca="1" si="38"/>
        <v>0.15950161466769899</v>
      </c>
      <c r="Y44" s="117">
        <f t="shared" ca="1" si="39"/>
        <v>646698455.78000009</v>
      </c>
      <c r="Z44" s="118">
        <f t="shared" ca="1" si="27"/>
        <v>652551764.52873659</v>
      </c>
      <c r="AA44" s="121">
        <f t="shared" ca="1" si="40"/>
        <v>0.331645361786578</v>
      </c>
      <c r="AB44" s="122">
        <f t="shared" ca="1" si="40"/>
        <v>0.36772454297389867</v>
      </c>
      <c r="AC44" s="135"/>
      <c r="AD44" s="135">
        <v>77530379.984999985</v>
      </c>
      <c r="AE44" s="117">
        <f t="shared" ca="1" si="41"/>
        <v>1872439468.2173898</v>
      </c>
      <c r="AF44" s="118">
        <f t="shared" ca="1" si="42"/>
        <v>1697036417.3556256</v>
      </c>
      <c r="AG44" s="117">
        <v>12648.049999999301</v>
      </c>
      <c r="AH44" s="118">
        <v>297360.53000000003</v>
      </c>
      <c r="AI44" s="117">
        <v>77220371.405000001</v>
      </c>
      <c r="AJ44" s="117">
        <f t="shared" ca="1" si="43"/>
        <v>821426394.37000012</v>
      </c>
      <c r="AK44" s="118">
        <f t="shared" ca="1" si="43"/>
        <v>1128233445.2523901</v>
      </c>
      <c r="AL44" s="119">
        <f t="shared" ca="1" si="43"/>
        <v>859416591.11882997</v>
      </c>
      <c r="AM44" s="117">
        <v>454706519.85000032</v>
      </c>
      <c r="AN44" s="118">
        <v>162739620.74999988</v>
      </c>
      <c r="AO44" s="119">
        <v>120832584.5899999</v>
      </c>
      <c r="AP44" s="120">
        <f t="shared" ca="1" si="28"/>
        <v>0.55355723040619031</v>
      </c>
      <c r="AQ44" s="120">
        <f t="shared" ca="1" si="28"/>
        <v>0.14424286164783423</v>
      </c>
      <c r="AR44" s="120">
        <f t="shared" ca="1" si="28"/>
        <v>0.1405983848097396</v>
      </c>
      <c r="AS44" s="116">
        <f t="shared" ca="1" si="29"/>
        <v>617446140.60000014</v>
      </c>
      <c r="AT44" s="116">
        <f t="shared" ca="1" si="30"/>
        <v>623299449.34873664</v>
      </c>
      <c r="AU44" s="121">
        <f t="shared" ca="1" si="31"/>
        <v>0.32975492723822181</v>
      </c>
      <c r="AV44" s="122">
        <f t="shared" ca="1" si="31"/>
        <v>0.3672870204635803</v>
      </c>
      <c r="AW44" s="124"/>
      <c r="AX44" s="125">
        <f ca="1">Summary!I73</f>
        <v>10642379.543157369</v>
      </c>
      <c r="BA44" s="112"/>
    </row>
    <row r="45" spans="1:53" ht="18" customHeight="1" x14ac:dyDescent="0.25">
      <c r="A45" s="98" t="s">
        <v>118</v>
      </c>
      <c r="B45" s="126">
        <v>269905792.81999993</v>
      </c>
      <c r="C45" s="127">
        <v>157682204.47691998</v>
      </c>
      <c r="D45" s="127">
        <v>148125592.55889997</v>
      </c>
      <c r="E45" s="127">
        <v>122414796.79440002</v>
      </c>
      <c r="F45" s="127">
        <v>225608644.19170004</v>
      </c>
      <c r="G45" s="128">
        <v>421208450.50317001</v>
      </c>
      <c r="H45" s="129">
        <f t="shared" ca="1" si="24"/>
        <v>1344945481.3450899</v>
      </c>
      <c r="I45" s="129">
        <v>680777934.77999997</v>
      </c>
      <c r="J45" s="130">
        <f t="shared" ca="1" si="32"/>
        <v>1367556887.0150902</v>
      </c>
      <c r="K45" s="131">
        <f ca="1">H46-J45</f>
        <v>-41607930.034471989</v>
      </c>
      <c r="L45" s="132">
        <v>332880109.09313923</v>
      </c>
      <c r="M45" s="130">
        <f ca="1">L45*$M$1</f>
        <v>183084060.0012266</v>
      </c>
      <c r="N45" s="130">
        <f ca="1">SUM(H45:I45)</f>
        <v>2025723416.1250899</v>
      </c>
      <c r="O45" s="132">
        <f t="shared" ca="1" si="34"/>
        <v>1842639356.1238632</v>
      </c>
      <c r="P45" s="130">
        <f t="shared" ca="1" si="35"/>
        <v>950683727.5999999</v>
      </c>
      <c r="Q45" s="131">
        <f t="shared" ca="1" si="36"/>
        <v>1075039688.52509</v>
      </c>
      <c r="R45" s="132">
        <f t="shared" ca="1" si="37"/>
        <v>917357484.04817009</v>
      </c>
      <c r="S45" s="130">
        <v>514900370.39999962</v>
      </c>
      <c r="T45" s="131">
        <v>143266158.71000004</v>
      </c>
      <c r="U45" s="132">
        <v>94893650.030000031</v>
      </c>
      <c r="V45" s="120">
        <f ca="1">S45/P45</f>
        <v>0.54161058557283304</v>
      </c>
      <c r="W45" s="120">
        <f ca="1">T45/Q45</f>
        <v>0.13326592519254363</v>
      </c>
      <c r="X45" s="120">
        <f ca="1">U45/R45</f>
        <v>0.10344238934122786</v>
      </c>
      <c r="Y45" s="130">
        <f ca="1">SUM(S45:T45)</f>
        <v>658166529.10999966</v>
      </c>
      <c r="Z45" s="131">
        <f t="shared" ca="1" si="27"/>
        <v>664634449.672997</v>
      </c>
      <c r="AA45" s="133">
        <f ca="1">Y45/N45</f>
        <v>0.32490443851854917</v>
      </c>
      <c r="AB45" s="134">
        <f ca="1">Z45/O45</f>
        <v>0.3606969792890497</v>
      </c>
      <c r="AC45" s="135"/>
      <c r="AD45" s="135"/>
      <c r="AE45" s="130">
        <f ca="1">N45-SUM(AC45:AD45)</f>
        <v>2025723416.1250899</v>
      </c>
      <c r="AF45" s="131">
        <f ca="1">AE45-M45</f>
        <v>1842639356.1238632</v>
      </c>
      <c r="AG45" s="130"/>
      <c r="AH45" s="131"/>
      <c r="AI45" s="130"/>
      <c r="AJ45" s="130">
        <f ca="1">P45-AG45</f>
        <v>950683727.5999999</v>
      </c>
      <c r="AK45" s="131">
        <f ca="1">Q45-AH45</f>
        <v>1075039688.52509</v>
      </c>
      <c r="AL45" s="132">
        <f ca="1">R45-AI45</f>
        <v>917357484.04817009</v>
      </c>
      <c r="AM45" s="130">
        <v>514900370.39999962</v>
      </c>
      <c r="AN45" s="131">
        <v>143266158.71000004</v>
      </c>
      <c r="AO45" s="132">
        <v>94893650.030000031</v>
      </c>
      <c r="AP45" s="120">
        <f t="shared" ca="1" si="28"/>
        <v>0.54161058557283304</v>
      </c>
      <c r="AQ45" s="120">
        <f t="shared" ca="1" si="28"/>
        <v>0.13326592519254363</v>
      </c>
      <c r="AR45" s="120">
        <f t="shared" ca="1" si="28"/>
        <v>0.10344238934122786</v>
      </c>
      <c r="AS45" s="129">
        <f t="shared" ca="1" si="29"/>
        <v>658166529.10999966</v>
      </c>
      <c r="AT45" s="129">
        <f t="shared" ca="1" si="30"/>
        <v>664634449.672997</v>
      </c>
      <c r="AU45" s="133">
        <f t="shared" ca="1" si="31"/>
        <v>0.32490443851854917</v>
      </c>
      <c r="AV45" s="134">
        <f t="shared" ca="1" si="31"/>
        <v>0.3606969792890497</v>
      </c>
      <c r="AW45" s="124"/>
      <c r="AX45" s="136">
        <f ca="1">Summary!I74</f>
        <v>11759855.569086071</v>
      </c>
      <c r="BA45" s="112"/>
    </row>
    <row r="46" spans="1:53" x14ac:dyDescent="0.25">
      <c r="A46" s="98" t="s">
        <v>119</v>
      </c>
      <c r="B46" s="113">
        <v>297726494.12999976</v>
      </c>
      <c r="C46" s="114">
        <v>137162120.18139705</v>
      </c>
      <c r="D46" s="114">
        <v>116195095.05583996</v>
      </c>
      <c r="E46" s="114">
        <v>103155334.94047998</v>
      </c>
      <c r="F46" s="114">
        <v>190385359.59998009</v>
      </c>
      <c r="G46" s="115">
        <v>481324553.07292134</v>
      </c>
      <c r="H46" s="116">
        <f t="shared" ca="1" si="24"/>
        <v>1325948956.9806182</v>
      </c>
      <c r="I46" s="116">
        <v>645473469.41000247</v>
      </c>
      <c r="J46" s="117">
        <f t="shared" ca="1" si="32"/>
        <v>1231168357.9406195</v>
      </c>
      <c r="K46" s="118">
        <f ca="1">H47-J46</f>
        <v>111960868.70323873</v>
      </c>
      <c r="L46" s="119">
        <v>333972768.88222343</v>
      </c>
      <c r="M46" s="117">
        <f t="shared" ca="1" si="25"/>
        <v>183685022.88522291</v>
      </c>
      <c r="N46" s="117">
        <f ca="1">SUM(H46:I46)</f>
        <v>1971422426.3906207</v>
      </c>
      <c r="O46" s="119">
        <f t="shared" ca="1" si="34"/>
        <v>1787737403.5053978</v>
      </c>
      <c r="P46" s="117">
        <f t="shared" ca="1" si="35"/>
        <v>943199963.54000223</v>
      </c>
      <c r="Q46" s="118">
        <f t="shared" ca="1" si="36"/>
        <v>1028222462.8506184</v>
      </c>
      <c r="R46" s="119">
        <f t="shared" ca="1" si="37"/>
        <v>891060342.6692214</v>
      </c>
      <c r="S46" s="117">
        <v>548540986.38000107</v>
      </c>
      <c r="T46" s="118">
        <v>191713082.07000005</v>
      </c>
      <c r="U46" s="119">
        <v>135849475.37000006</v>
      </c>
      <c r="V46" s="120">
        <f t="shared" ca="1" si="38"/>
        <v>0.58157443552184451</v>
      </c>
      <c r="W46" s="120">
        <f t="shared" ca="1" si="38"/>
        <v>0.18645097631742014</v>
      </c>
      <c r="X46" s="120">
        <f t="shared" ca="1" si="38"/>
        <v>0.15245822181139307</v>
      </c>
      <c r="Y46" s="117">
        <f t="shared" ca="1" si="39"/>
        <v>740254068.45000112</v>
      </c>
      <c r="Z46" s="118">
        <f t="shared" ca="1" si="27"/>
        <v>746396632.72332144</v>
      </c>
      <c r="AA46" s="121">
        <f t="shared" ca="1" si="40"/>
        <v>0.3754923645691175</v>
      </c>
      <c r="AB46" s="122">
        <f t="shared" ca="1" si="40"/>
        <v>0.41750909907673572</v>
      </c>
      <c r="AC46" s="135"/>
      <c r="AD46" s="135"/>
      <c r="AE46" s="117">
        <f t="shared" ca="1" si="41"/>
        <v>1971422426.3906207</v>
      </c>
      <c r="AF46" s="118">
        <f t="shared" ca="1" si="42"/>
        <v>1787737403.5053978</v>
      </c>
      <c r="AG46" s="117"/>
      <c r="AH46" s="118"/>
      <c r="AI46" s="117"/>
      <c r="AJ46" s="117">
        <f t="shared" ca="1" si="43"/>
        <v>943199963.54000223</v>
      </c>
      <c r="AK46" s="118">
        <f t="shared" ca="1" si="43"/>
        <v>1028222462.8506184</v>
      </c>
      <c r="AL46" s="119">
        <f t="shared" ca="1" si="43"/>
        <v>891060342.6692214</v>
      </c>
      <c r="AM46" s="117">
        <v>548540986.38000107</v>
      </c>
      <c r="AN46" s="118">
        <v>191713082.07000005</v>
      </c>
      <c r="AO46" s="119">
        <v>135849475.37000006</v>
      </c>
      <c r="AP46" s="120">
        <f t="shared" ca="1" si="28"/>
        <v>0.58157443552184451</v>
      </c>
      <c r="AQ46" s="120">
        <f t="shared" ca="1" si="28"/>
        <v>0.18645097631742014</v>
      </c>
      <c r="AR46" s="120">
        <f t="shared" ca="1" si="28"/>
        <v>0.15245822181139307</v>
      </c>
      <c r="AS46" s="116">
        <f t="shared" ca="1" si="29"/>
        <v>740254068.45000112</v>
      </c>
      <c r="AT46" s="116">
        <f t="shared" ca="1" si="30"/>
        <v>746396632.72332144</v>
      </c>
      <c r="AU46" s="121">
        <f t="shared" ca="1" si="31"/>
        <v>0.3754923645691175</v>
      </c>
      <c r="AV46" s="122">
        <f t="shared" ca="1" si="31"/>
        <v>0.41750909907673572</v>
      </c>
      <c r="AW46" s="124"/>
      <c r="AX46" s="125">
        <f ca="1">Summary!I75</f>
        <v>11168298.678764205</v>
      </c>
      <c r="BA46" s="112"/>
    </row>
    <row r="47" spans="1:53" ht="18" customHeight="1" x14ac:dyDescent="0.25">
      <c r="A47" s="98" t="s">
        <v>120</v>
      </c>
      <c r="B47" s="126">
        <v>220294985.57000029</v>
      </c>
      <c r="C47" s="127">
        <v>244727129.19373488</v>
      </c>
      <c r="D47" s="127">
        <v>101425607.64721014</v>
      </c>
      <c r="E47" s="127">
        <v>84130647.41660665</v>
      </c>
      <c r="F47" s="127">
        <v>167939127.44986826</v>
      </c>
      <c r="G47" s="128">
        <v>524611729.36643797</v>
      </c>
      <c r="H47" s="129">
        <f ca="1">SUM(B47:G47)</f>
        <v>1343129226.6438582</v>
      </c>
      <c r="I47" s="129">
        <v>635846240.66999996</v>
      </c>
      <c r="J47" s="130">
        <f t="shared" ca="1" si="32"/>
        <v>1346925541.0838566</v>
      </c>
      <c r="K47" s="131">
        <f ca="1">H48-J47</f>
        <v>7097774.6961433887</v>
      </c>
      <c r="L47" s="132">
        <v>375298288.73222399</v>
      </c>
      <c r="M47" s="130">
        <f ca="1">L47*$M$1</f>
        <v>206414058.8027232</v>
      </c>
      <c r="N47" s="130">
        <f ca="1">SUM(H47:I47)</f>
        <v>1978975467.313858</v>
      </c>
      <c r="O47" s="132">
        <f t="shared" ca="1" si="34"/>
        <v>1772561408.5111349</v>
      </c>
      <c r="P47" s="130">
        <f t="shared" ca="1" si="35"/>
        <v>856141226.24000025</v>
      </c>
      <c r="Q47" s="131">
        <f t="shared" ca="1" si="36"/>
        <v>1122834241.0738578</v>
      </c>
      <c r="R47" s="132">
        <f t="shared" ca="1" si="37"/>
        <v>878107111.88012302</v>
      </c>
      <c r="S47" s="130">
        <v>480168139.13000131</v>
      </c>
      <c r="T47" s="131">
        <v>151881787.10000002</v>
      </c>
      <c r="U47" s="132">
        <v>71860841.089999974</v>
      </c>
      <c r="V47" s="120">
        <f t="shared" ca="1" si="38"/>
        <v>0.56085155627746486</v>
      </c>
      <c r="W47" s="120">
        <f t="shared" ca="1" si="38"/>
        <v>0.13526643697180371</v>
      </c>
      <c r="X47" s="120">
        <f t="shared" ca="1" si="38"/>
        <v>8.1836076849597636E-2</v>
      </c>
      <c r="Y47" s="130">
        <f t="shared" ca="1" si="39"/>
        <v>632049926.23000133</v>
      </c>
      <c r="Z47" s="131">
        <f t="shared" ca="1" si="27"/>
        <v>640823422.61000121</v>
      </c>
      <c r="AA47" s="133">
        <f t="shared" ca="1" si="40"/>
        <v>0.31938239592626572</v>
      </c>
      <c r="AB47" s="134">
        <f t="shared" ca="1" si="40"/>
        <v>0.36152396161454381</v>
      </c>
      <c r="AC47" s="135"/>
      <c r="AD47" s="135"/>
      <c r="AE47" s="130">
        <f t="shared" ca="1" si="41"/>
        <v>1978975467.313858</v>
      </c>
      <c r="AF47" s="131">
        <f t="shared" ca="1" si="42"/>
        <v>1772561408.5111349</v>
      </c>
      <c r="AG47" s="130"/>
      <c r="AH47" s="131"/>
      <c r="AI47" s="130"/>
      <c r="AJ47" s="130">
        <f t="shared" ca="1" si="43"/>
        <v>856141226.24000025</v>
      </c>
      <c r="AK47" s="131">
        <f t="shared" ca="1" si="43"/>
        <v>1122834241.0738578</v>
      </c>
      <c r="AL47" s="132">
        <f t="shared" ca="1" si="43"/>
        <v>878107111.88012302</v>
      </c>
      <c r="AM47" s="130">
        <v>480168139.13000131</v>
      </c>
      <c r="AN47" s="131">
        <v>151881787.10000002</v>
      </c>
      <c r="AO47" s="132">
        <v>71860841.089999974</v>
      </c>
      <c r="AP47" s="120">
        <f t="shared" ca="1" si="28"/>
        <v>0.56085155627746486</v>
      </c>
      <c r="AQ47" s="120">
        <f t="shared" ca="1" si="28"/>
        <v>0.13526643697180371</v>
      </c>
      <c r="AR47" s="120">
        <f t="shared" ca="1" si="28"/>
        <v>8.1836076849597636E-2</v>
      </c>
      <c r="AS47" s="129">
        <f t="shared" ca="1" si="29"/>
        <v>632049926.23000133</v>
      </c>
      <c r="AT47" s="129">
        <f t="shared" ca="1" si="30"/>
        <v>640823422.61000121</v>
      </c>
      <c r="AU47" s="133">
        <f t="shared" ca="1" si="31"/>
        <v>0.31938239592626572</v>
      </c>
      <c r="AV47" s="134">
        <f t="shared" ca="1" si="31"/>
        <v>0.36152396161454381</v>
      </c>
      <c r="AW47" s="124"/>
      <c r="AX47" s="136">
        <f ca="1">Summary!I76</f>
        <v>15951811.599999838</v>
      </c>
      <c r="BA47" s="112"/>
    </row>
    <row r="48" spans="1:53" x14ac:dyDescent="0.25">
      <c r="A48" s="98" t="s">
        <v>121</v>
      </c>
      <c r="B48" s="113">
        <v>251703447.25999999</v>
      </c>
      <c r="C48" s="114">
        <v>147006911.28999999</v>
      </c>
      <c r="D48" s="114">
        <v>168697462.23000005</v>
      </c>
      <c r="E48" s="114">
        <v>90072997.310000002</v>
      </c>
      <c r="F48" s="114">
        <v>136540123.07000002</v>
      </c>
      <c r="G48" s="115">
        <v>560002374.62</v>
      </c>
      <c r="H48" s="116">
        <f ca="1">SUM(B48:G48)</f>
        <v>1354023315.78</v>
      </c>
      <c r="I48" s="116">
        <v>623918810.92000008</v>
      </c>
      <c r="J48" s="117">
        <f t="shared" ca="1" si="32"/>
        <v>1396025545.9100001</v>
      </c>
      <c r="K48" s="118"/>
      <c r="L48" s="119">
        <v>425412431.30099171</v>
      </c>
      <c r="M48" s="117">
        <f ca="1">L48*$M$1</f>
        <v>233976837.21554548</v>
      </c>
      <c r="N48" s="117">
        <f ca="1">SUM(H48:I48)</f>
        <v>1977942126.7</v>
      </c>
      <c r="O48" s="119">
        <f t="shared" ca="1" si="34"/>
        <v>1743965289.4844546</v>
      </c>
      <c r="P48" s="117">
        <f t="shared" ca="1" si="35"/>
        <v>875622258.18000007</v>
      </c>
      <c r="Q48" s="118">
        <f t="shared" ca="1" si="36"/>
        <v>1102319868.52</v>
      </c>
      <c r="R48" s="119">
        <f t="shared" ca="1" si="37"/>
        <v>955312957.23000002</v>
      </c>
      <c r="S48" s="117">
        <v>435332791.19999987</v>
      </c>
      <c r="T48" s="118">
        <v>146583789.59000006</v>
      </c>
      <c r="U48" s="119">
        <v>93907575.860000059</v>
      </c>
      <c r="V48" s="120">
        <f ca="1">S48/P48</f>
        <v>0.4971696266662391</v>
      </c>
      <c r="W48" s="120">
        <f ca="1">T48/Q48</f>
        <v>0.13297754470016659</v>
      </c>
      <c r="X48" s="120">
        <f ca="1">U48/R48</f>
        <v>9.8300326766520535E-2</v>
      </c>
      <c r="Y48" s="117">
        <f ca="1">SUM(S48:T48)</f>
        <v>581916580.78999996</v>
      </c>
      <c r="Z48" s="118">
        <f t="shared" ca="1" si="27"/>
        <v>596492902.9603647</v>
      </c>
      <c r="AA48" s="121">
        <f ca="1">Y48/N48</f>
        <v>0.29420303705289397</v>
      </c>
      <c r="AB48" s="122">
        <f ca="1">Z48/O48</f>
        <v>0.34203255452217057</v>
      </c>
      <c r="AC48" s="135"/>
      <c r="AD48" s="135"/>
      <c r="AE48" s="117">
        <f ca="1">N48-SUM(AC48:AD48)</f>
        <v>1977942126.7</v>
      </c>
      <c r="AF48" s="118">
        <f ca="1">AE48-M48</f>
        <v>1743965289.4844546</v>
      </c>
      <c r="AG48" s="117">
        <f ca="1">AC48+AD48</f>
        <v>0</v>
      </c>
      <c r="AH48" s="118">
        <v>0</v>
      </c>
      <c r="AI48" s="117">
        <v>0</v>
      </c>
      <c r="AJ48" s="117">
        <f ca="1">P48-AG48</f>
        <v>875622258.18000007</v>
      </c>
      <c r="AK48" s="118">
        <f ca="1">Q48-AH48</f>
        <v>1102319868.52</v>
      </c>
      <c r="AL48" s="119">
        <f ca="1">R48-AI48</f>
        <v>955312957.23000002</v>
      </c>
      <c r="AM48" s="117">
        <v>435332791.19999987</v>
      </c>
      <c r="AN48" s="118">
        <v>146583789.59000006</v>
      </c>
      <c r="AO48" s="119">
        <v>93907575.860000059</v>
      </c>
      <c r="AP48" s="120">
        <f t="shared" ca="1" si="28"/>
        <v>0.4971696266662391</v>
      </c>
      <c r="AQ48" s="120">
        <f t="shared" ca="1" si="28"/>
        <v>0.13297754470016659</v>
      </c>
      <c r="AR48" s="120">
        <f t="shared" ca="1" si="28"/>
        <v>9.8300326766520535E-2</v>
      </c>
      <c r="AS48" s="116">
        <f t="shared" ca="1" si="29"/>
        <v>581916580.78999996</v>
      </c>
      <c r="AT48" s="116">
        <f t="shared" ca="1" si="30"/>
        <v>596492902.9603647</v>
      </c>
      <c r="AU48" s="121">
        <f t="shared" ca="1" si="31"/>
        <v>0.29420303705289397</v>
      </c>
      <c r="AV48" s="122">
        <f t="shared" ca="1" si="31"/>
        <v>0.34203255452217057</v>
      </c>
      <c r="AW48" s="124"/>
      <c r="AX48" s="125">
        <f ca="1">Summary!I77</f>
        <v>26502403.946117736</v>
      </c>
      <c r="BA48" s="112"/>
    </row>
    <row r="49" spans="1:53" ht="15.75" thickBot="1" x14ac:dyDescent="0.3"/>
    <row r="50" spans="1:53" ht="32.65" customHeight="1" thickBot="1" x14ac:dyDescent="0.55000000000000004">
      <c r="B50" s="137" t="s">
        <v>19</v>
      </c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 t="s">
        <v>19</v>
      </c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9"/>
      <c r="AD50" s="139"/>
      <c r="AE50" s="138" t="s">
        <v>19</v>
      </c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40"/>
    </row>
    <row r="51" spans="1:53" ht="23.65" customHeight="1" thickBot="1" x14ac:dyDescent="0.3">
      <c r="A51" s="61">
        <v>2026</v>
      </c>
      <c r="B51" s="62" t="s">
        <v>68</v>
      </c>
      <c r="C51" s="63"/>
      <c r="D51" s="63"/>
      <c r="E51" s="63"/>
      <c r="F51" s="63"/>
      <c r="G51" s="63"/>
      <c r="H51" s="64"/>
      <c r="I51" s="65"/>
      <c r="J51" s="66"/>
      <c r="K51" s="66"/>
      <c r="L51" s="65"/>
      <c r="N51" s="67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9"/>
      <c r="AC51" s="66"/>
      <c r="AD51" s="66"/>
      <c r="AE51" s="70"/>
      <c r="AF51" s="71"/>
      <c r="AG51" s="71"/>
      <c r="AH51" s="71"/>
      <c r="AI51" s="71"/>
      <c r="AJ51" s="72"/>
      <c r="AK51" s="72"/>
      <c r="AL51" s="72"/>
      <c r="AM51" s="72"/>
      <c r="AN51" s="72"/>
      <c r="AO51" s="72"/>
      <c r="AP51" s="71"/>
      <c r="AQ51" s="71"/>
      <c r="AR51" s="71"/>
      <c r="AS51" s="71"/>
      <c r="AT51" s="71"/>
      <c r="AU51" s="71"/>
      <c r="AV51" s="73"/>
      <c r="AX51" s="66"/>
    </row>
    <row r="52" spans="1:53" ht="66.599999999999994" customHeight="1" thickBot="1" x14ac:dyDescent="0.3">
      <c r="A52" s="74" t="s">
        <v>71</v>
      </c>
      <c r="B52" s="141" t="s">
        <v>72</v>
      </c>
      <c r="C52" s="142" t="s">
        <v>73</v>
      </c>
      <c r="D52" s="142" t="s">
        <v>74</v>
      </c>
      <c r="E52" s="142" t="s">
        <v>75</v>
      </c>
      <c r="F52" s="142" t="s">
        <v>76</v>
      </c>
      <c r="G52" s="143" t="s">
        <v>77</v>
      </c>
      <c r="H52" s="144" t="s">
        <v>78</v>
      </c>
      <c r="I52" s="145" t="s">
        <v>79</v>
      </c>
      <c r="J52" s="146" t="s">
        <v>80</v>
      </c>
      <c r="K52" s="146" t="s">
        <v>81</v>
      </c>
      <c r="L52" s="145" t="s">
        <v>82</v>
      </c>
      <c r="M52" s="146" t="s">
        <v>83</v>
      </c>
      <c r="N52" s="147" t="s">
        <v>84</v>
      </c>
      <c r="O52" s="148" t="s">
        <v>85</v>
      </c>
      <c r="P52" s="149" t="s">
        <v>86</v>
      </c>
      <c r="Q52" s="149" t="s">
        <v>87</v>
      </c>
      <c r="R52" s="149" t="s">
        <v>88</v>
      </c>
      <c r="S52" s="150" t="s">
        <v>89</v>
      </c>
      <c r="T52" s="150" t="s">
        <v>90</v>
      </c>
      <c r="U52" s="150" t="s">
        <v>91</v>
      </c>
      <c r="V52" s="151" t="s">
        <v>92</v>
      </c>
      <c r="W52" s="151" t="s">
        <v>93</v>
      </c>
      <c r="X52" s="151" t="s">
        <v>94</v>
      </c>
      <c r="Y52" s="152" t="s">
        <v>95</v>
      </c>
      <c r="Z52" s="153" t="s">
        <v>96</v>
      </c>
      <c r="AA52" s="154" t="s">
        <v>97</v>
      </c>
      <c r="AB52" s="155" t="s">
        <v>98</v>
      </c>
      <c r="AC52" s="91" t="s">
        <v>99</v>
      </c>
      <c r="AD52" s="146" t="s">
        <v>122</v>
      </c>
      <c r="AE52" s="148" t="s">
        <v>101</v>
      </c>
      <c r="AF52" s="148" t="s">
        <v>102</v>
      </c>
      <c r="AG52" s="156" t="s">
        <v>103</v>
      </c>
      <c r="AH52" s="156" t="s">
        <v>104</v>
      </c>
      <c r="AI52" s="156" t="s">
        <v>105</v>
      </c>
      <c r="AJ52" s="157" t="s">
        <v>106</v>
      </c>
      <c r="AK52" s="149" t="s">
        <v>107</v>
      </c>
      <c r="AL52" s="149" t="s">
        <v>108</v>
      </c>
      <c r="AM52" s="150" t="s">
        <v>89</v>
      </c>
      <c r="AN52" s="150" t="s">
        <v>90</v>
      </c>
      <c r="AO52" s="150" t="s">
        <v>91</v>
      </c>
      <c r="AP52" s="151" t="s">
        <v>92</v>
      </c>
      <c r="AQ52" s="151" t="s">
        <v>93</v>
      </c>
      <c r="AR52" s="158" t="s">
        <v>94</v>
      </c>
      <c r="AS52" s="152" t="s">
        <v>95</v>
      </c>
      <c r="AT52" s="153" t="s">
        <v>96</v>
      </c>
      <c r="AU52" s="154" t="s">
        <v>97</v>
      </c>
      <c r="AV52" s="155" t="s">
        <v>98</v>
      </c>
      <c r="AX52" s="97" t="s">
        <v>109</v>
      </c>
    </row>
    <row r="53" spans="1:53" ht="18" customHeight="1" x14ac:dyDescent="0.25">
      <c r="A53" s="98" t="s">
        <v>110</v>
      </c>
      <c r="B53" s="99">
        <v>265290271.90000001</v>
      </c>
      <c r="C53" s="100">
        <f ca="1">108724728.15-8225540</f>
        <v>100499188.15000001</v>
      </c>
      <c r="D53" s="100">
        <v>127508994.16</v>
      </c>
      <c r="E53" s="100">
        <f ca="1">149371795.45-25351475</f>
        <v>124020320.44999999</v>
      </c>
      <c r="F53" s="100">
        <v>134700712.65000001</v>
      </c>
      <c r="G53" s="101">
        <f ca="1">561660267.7-75281821</f>
        <v>486378446.70000005</v>
      </c>
      <c r="H53" s="102">
        <f ca="1">SUM(B53:G53)</f>
        <v>1238397934.0100002</v>
      </c>
      <c r="I53" s="102">
        <v>780367039.99000013</v>
      </c>
      <c r="J53" s="103">
        <f ca="1">SUM(H53:I53)-SUM(S53:T53)</f>
        <v>1378743192.1400003</v>
      </c>
      <c r="K53" s="104">
        <f ca="1">H54-J53</f>
        <v>-115557865.8300004</v>
      </c>
      <c r="L53" s="105">
        <v>474118465.75711</v>
      </c>
      <c r="M53" s="103">
        <f ca="1">L53*$M$1</f>
        <v>260765156.16641054</v>
      </c>
      <c r="N53" s="103">
        <f ca="1">SUM(H53:I53)</f>
        <v>2018764974.0000005</v>
      </c>
      <c r="O53" s="105">
        <f ca="1">$N53-$M53</f>
        <v>1757999817.83359</v>
      </c>
      <c r="P53" s="103">
        <f ca="1">SUM($I53,$B53)</f>
        <v>1045657311.8900001</v>
      </c>
      <c r="Q53" s="104">
        <f ca="1">SUM($C53:$G53)</f>
        <v>973107662.11000001</v>
      </c>
      <c r="R53" s="105">
        <f ca="1">SUM($D53:$G53)</f>
        <v>872608473.96000004</v>
      </c>
      <c r="S53" s="103">
        <v>504144687.09999996</v>
      </c>
      <c r="T53" s="104">
        <v>135877094.76000011</v>
      </c>
      <c r="U53" s="105">
        <v>102836326.67000011</v>
      </c>
      <c r="V53" s="106">
        <f t="shared" ref="V53:X56" ca="1" si="44">S53/P53</f>
        <v>0.48213184316453611</v>
      </c>
      <c r="W53" s="106">
        <f t="shared" ca="1" si="44"/>
        <v>0.13963212915760659</v>
      </c>
      <c r="X53" s="106">
        <f t="shared" ca="1" si="44"/>
        <v>0.11784933305004104</v>
      </c>
      <c r="Y53" s="103">
        <f ca="1">SUM(S53:T53)</f>
        <v>640021781.86000013</v>
      </c>
      <c r="Z53" s="104">
        <f ca="1">SUM(S53:T53)+MAX(0,$M$1*$AX53)</f>
        <v>652903552.33271992</v>
      </c>
      <c r="AA53" s="107">
        <f t="shared" ref="AA53:AB55" ca="1" si="45">Y53/N53</f>
        <v>0.31703630194844068</v>
      </c>
      <c r="AB53" s="108">
        <f t="shared" ca="1" si="45"/>
        <v>0.3713899999928913</v>
      </c>
      <c r="AC53" s="109"/>
      <c r="AD53" s="109"/>
      <c r="AE53" s="103">
        <f ca="1">N53-SUM(AC53:AD53)</f>
        <v>2018764974.0000005</v>
      </c>
      <c r="AF53" s="104">
        <f ca="1">AE53-M53</f>
        <v>1757999817.83359</v>
      </c>
      <c r="AG53" s="103"/>
      <c r="AH53" s="104"/>
      <c r="AI53" s="103"/>
      <c r="AJ53" s="103">
        <f t="shared" ref="AJ53:AL56" ca="1" si="46">P53-AG53</f>
        <v>1045657311.8900001</v>
      </c>
      <c r="AK53" s="104">
        <f t="shared" ca="1" si="46"/>
        <v>973107662.11000001</v>
      </c>
      <c r="AL53" s="105">
        <f t="shared" ca="1" si="46"/>
        <v>872608473.96000004</v>
      </c>
      <c r="AM53" s="103">
        <v>504144687.09999996</v>
      </c>
      <c r="AN53" s="104">
        <v>135877094.76000011</v>
      </c>
      <c r="AO53" s="105">
        <v>102836326.67000011</v>
      </c>
      <c r="AP53" s="106">
        <f t="shared" ref="AP53:AR56" ca="1" si="47">AM53/AJ53</f>
        <v>0.48213184316453611</v>
      </c>
      <c r="AQ53" s="106">
        <f t="shared" ca="1" si="47"/>
        <v>0.13963212915760659</v>
      </c>
      <c r="AR53" s="106">
        <f t="shared" ca="1" si="47"/>
        <v>0.11784933305004104</v>
      </c>
      <c r="AS53" s="102">
        <f ca="1">SUM(AM53:AN53)</f>
        <v>640021781.86000013</v>
      </c>
      <c r="AT53" s="102">
        <f ca="1">SUM(AM53:AN53)+MAX(0,$M$1*$AX53)</f>
        <v>652903552.33271992</v>
      </c>
      <c r="AU53" s="107">
        <f t="shared" ref="AU53:AV55" ca="1" si="48">AS53/AE53</f>
        <v>0.31703630194844068</v>
      </c>
      <c r="AV53" s="108">
        <f t="shared" ca="1" si="48"/>
        <v>0.3713899999928913</v>
      </c>
      <c r="AW53" s="110"/>
      <c r="AX53" s="111">
        <f ca="1">Summary!I79</f>
        <v>23421400.859490559</v>
      </c>
      <c r="BA53" s="112"/>
    </row>
    <row r="54" spans="1:53" outlineLevel="1" x14ac:dyDescent="0.25">
      <c r="A54" s="98" t="s">
        <v>111</v>
      </c>
      <c r="B54" s="113">
        <f ca="1">449186286.38-185965093.28</f>
        <v>263221193.09999999</v>
      </c>
      <c r="C54" s="114">
        <v>125473067.87000002</v>
      </c>
      <c r="D54" s="114">
        <v>75048495.870000005</v>
      </c>
      <c r="E54" s="114">
        <v>106535638.00999999</v>
      </c>
      <c r="F54" s="114">
        <v>187889358.16</v>
      </c>
      <c r="G54" s="115">
        <v>505017573.29999995</v>
      </c>
      <c r="H54" s="116">
        <f ca="1">SUM(B54:G54)</f>
        <v>1263185326.3099999</v>
      </c>
      <c r="I54" s="116">
        <v>497503448.32999998</v>
      </c>
      <c r="J54" s="117">
        <f ca="1">SUM(H54:I54)-SUM(S54:T54)</f>
        <v>1216789897.4200003</v>
      </c>
      <c r="K54" s="118">
        <f ca="1">H55-J54</f>
        <v>-49146558.250000238</v>
      </c>
      <c r="L54" s="119">
        <v>407427908</v>
      </c>
      <c r="M54" s="117">
        <f ca="1">L54*$M$1</f>
        <v>224085349.40000001</v>
      </c>
      <c r="N54" s="117">
        <f ca="1">SUM(H54:I54)</f>
        <v>1760688774.6399999</v>
      </c>
      <c r="O54" s="119">
        <f ca="1">$N54-$M54</f>
        <v>1536603425.2399998</v>
      </c>
      <c r="P54" s="117">
        <f ca="1">SUM($I54,$B54)</f>
        <v>760724641.42999995</v>
      </c>
      <c r="Q54" s="118">
        <f ca="1">SUM($C54:$G54)</f>
        <v>999964133.20999992</v>
      </c>
      <c r="R54" s="119">
        <f ca="1">SUM($D54:$G54)</f>
        <v>874491065.33999991</v>
      </c>
      <c r="S54" s="117">
        <v>402569067.67999953</v>
      </c>
      <c r="T54" s="118">
        <v>141329809.54000002</v>
      </c>
      <c r="U54" s="119">
        <v>99606533.810000002</v>
      </c>
      <c r="V54" s="120">
        <f t="shared" ca="1" si="44"/>
        <v>0.52919157045216203</v>
      </c>
      <c r="W54" s="120">
        <f t="shared" ca="1" si="44"/>
        <v>0.14133487876841649</v>
      </c>
      <c r="X54" s="120">
        <f t="shared" ca="1" si="44"/>
        <v>0.11390228872295366</v>
      </c>
      <c r="Y54" s="117">
        <f ca="1">SUM(S54:T54)</f>
        <v>543898877.21999955</v>
      </c>
      <c r="Z54" s="118">
        <f ca="1">SUM(S54:T54)+MAX(0,$M$1*$AX54)</f>
        <v>554981200.86250043</v>
      </c>
      <c r="AA54" s="121">
        <f t="shared" ca="1" si="45"/>
        <v>0.3089125602741507</v>
      </c>
      <c r="AB54" s="122">
        <f t="shared" ca="1" si="45"/>
        <v>0.36117399697701358</v>
      </c>
      <c r="AC54" s="123"/>
      <c r="AD54" s="123"/>
      <c r="AE54" s="117">
        <f ca="1">N54-SUM(AC54:AD54)</f>
        <v>1760688774.6399999</v>
      </c>
      <c r="AF54" s="118">
        <f ca="1">AE54-M54</f>
        <v>1536603425.2399998</v>
      </c>
      <c r="AG54" s="117"/>
      <c r="AH54" s="118"/>
      <c r="AI54" s="117"/>
      <c r="AJ54" s="117">
        <f t="shared" ca="1" si="46"/>
        <v>760724641.42999995</v>
      </c>
      <c r="AK54" s="118">
        <f t="shared" ca="1" si="46"/>
        <v>999964133.20999992</v>
      </c>
      <c r="AL54" s="119">
        <f t="shared" ca="1" si="46"/>
        <v>874491065.33999991</v>
      </c>
      <c r="AM54" s="117">
        <v>402569067.67999953</v>
      </c>
      <c r="AN54" s="118">
        <v>141329809.54000002</v>
      </c>
      <c r="AO54" s="119">
        <v>99606533.810000002</v>
      </c>
      <c r="AP54" s="120">
        <f t="shared" ca="1" si="47"/>
        <v>0.52919157045216203</v>
      </c>
      <c r="AQ54" s="120">
        <f t="shared" ca="1" si="47"/>
        <v>0.14133487876841649</v>
      </c>
      <c r="AR54" s="120">
        <f t="shared" ca="1" si="47"/>
        <v>0.11390228872295366</v>
      </c>
      <c r="AS54" s="116">
        <f ca="1">SUM(AM54:AN54)</f>
        <v>543898877.21999955</v>
      </c>
      <c r="AT54" s="116">
        <f ca="1">SUM(AM54:AN54)+MAX(0,$M$1*$AX54)</f>
        <v>554981200.86250043</v>
      </c>
      <c r="AU54" s="121">
        <f t="shared" ca="1" si="48"/>
        <v>0.3089125602741507</v>
      </c>
      <c r="AV54" s="122">
        <f t="shared" ca="1" si="48"/>
        <v>0.36117399697701358</v>
      </c>
      <c r="AW54" s="124"/>
      <c r="AX54" s="125">
        <f ca="1">Summary!I80</f>
        <v>20149679.350001562</v>
      </c>
      <c r="BA54" s="112"/>
    </row>
    <row r="55" spans="1:53" ht="18" customHeight="1" outlineLevel="1" x14ac:dyDescent="0.25">
      <c r="A55" s="98" t="s">
        <v>112</v>
      </c>
      <c r="B55" s="126">
        <v>226630441.33000001</v>
      </c>
      <c r="C55" s="127">
        <v>149656325.36000001</v>
      </c>
      <c r="D55" s="127">
        <v>93755665.270000011</v>
      </c>
      <c r="E55" s="127">
        <v>60142890.660000011</v>
      </c>
      <c r="F55" s="127">
        <v>168945993.94</v>
      </c>
      <c r="G55" s="128">
        <v>468512022.61000001</v>
      </c>
      <c r="H55" s="129">
        <f ca="1">SUM(B55:G55)</f>
        <v>1167643339.1700001</v>
      </c>
      <c r="I55" s="129">
        <v>749585236.35000062</v>
      </c>
      <c r="J55" s="130">
        <f ca="1">SUM(H55:I55)-SUM(S55:T55)</f>
        <v>1432545754.2800007</v>
      </c>
      <c r="K55" s="131">
        <f ca="1">H56-J55</f>
        <v>96164263.739999294</v>
      </c>
      <c r="L55" s="132">
        <v>331011703.59680116</v>
      </c>
      <c r="M55" s="130">
        <f ca="1">L55*$M$1</f>
        <v>182056436.97824064</v>
      </c>
      <c r="N55" s="130">
        <f ca="1">SUM(H55:I55)</f>
        <v>1917228575.5200007</v>
      </c>
      <c r="O55" s="132">
        <f ca="1">$N55-$M55</f>
        <v>1735172138.54176</v>
      </c>
      <c r="P55" s="130">
        <f ca="1">SUM($I55,$B55)</f>
        <v>976215677.68000066</v>
      </c>
      <c r="Q55" s="131">
        <f ca="1">SUM($C55:$G55)</f>
        <v>941012897.84000003</v>
      </c>
      <c r="R55" s="132">
        <f ca="1">SUM($D55:$G55)</f>
        <v>791356572.48000002</v>
      </c>
      <c r="S55" s="130">
        <v>400834331.02999985</v>
      </c>
      <c r="T55" s="131">
        <v>83848490.210000008</v>
      </c>
      <c r="U55" s="132">
        <v>46941347.190000013</v>
      </c>
      <c r="V55" s="120">
        <f t="shared" ca="1" si="44"/>
        <v>0.41060017800840076</v>
      </c>
      <c r="W55" s="120">
        <f t="shared" ca="1" si="44"/>
        <v>8.9104506859008781E-2</v>
      </c>
      <c r="X55" s="120">
        <f t="shared" ca="1" si="44"/>
        <v>5.9317567860582045E-2</v>
      </c>
      <c r="Y55" s="130">
        <f ca="1">SUM(S55:T55)</f>
        <v>484682821.23999989</v>
      </c>
      <c r="Z55" s="131">
        <f ca="1">SUM(S55:T55)+MAX(0,$M$1*$AX55)</f>
        <v>502127706.63727987</v>
      </c>
      <c r="AA55" s="133">
        <f t="shared" ca="1" si="45"/>
        <v>0.25280387921849207</v>
      </c>
      <c r="AB55" s="134">
        <f t="shared" ca="1" si="45"/>
        <v>0.28938207079515949</v>
      </c>
      <c r="AC55" s="135"/>
      <c r="AD55" s="135"/>
      <c r="AE55" s="130">
        <f ca="1">N55-SUM(AC55:AD55)</f>
        <v>1917228575.5200007</v>
      </c>
      <c r="AF55" s="131">
        <f ca="1">AE55-M55</f>
        <v>1735172138.54176</v>
      </c>
      <c r="AG55" s="130"/>
      <c r="AH55" s="131"/>
      <c r="AI55" s="130"/>
      <c r="AJ55" s="130">
        <f t="shared" ca="1" si="46"/>
        <v>976215677.68000066</v>
      </c>
      <c r="AK55" s="131">
        <f t="shared" ca="1" si="46"/>
        <v>941012897.84000003</v>
      </c>
      <c r="AL55" s="132">
        <f t="shared" ca="1" si="46"/>
        <v>791356572.48000002</v>
      </c>
      <c r="AM55" s="130">
        <v>400834331.02999985</v>
      </c>
      <c r="AN55" s="131">
        <v>83848490.210000008</v>
      </c>
      <c r="AO55" s="132">
        <v>46941347.190000013</v>
      </c>
      <c r="AP55" s="120">
        <f t="shared" ca="1" si="47"/>
        <v>0.41060017800840076</v>
      </c>
      <c r="AQ55" s="120">
        <f t="shared" ca="1" si="47"/>
        <v>8.9104506859008781E-2</v>
      </c>
      <c r="AR55" s="120">
        <f t="shared" ca="1" si="47"/>
        <v>5.9317567860582045E-2</v>
      </c>
      <c r="AS55" s="129">
        <f ca="1">SUM(AM55:AN55)</f>
        <v>484682821.23999989</v>
      </c>
      <c r="AT55" s="129">
        <f ca="1">SUM(AM55:AN55)+MAX(0,$M$1*$AX55)</f>
        <v>502127706.63727987</v>
      </c>
      <c r="AU55" s="133">
        <f t="shared" ca="1" si="48"/>
        <v>0.25280387921849207</v>
      </c>
      <c r="AV55" s="134">
        <f t="shared" ca="1" si="48"/>
        <v>0.28938207079515949</v>
      </c>
      <c r="AW55" s="124"/>
      <c r="AX55" s="136">
        <f ca="1">Summary!I81</f>
        <v>31717973.449600007</v>
      </c>
      <c r="BA55" s="112"/>
    </row>
    <row r="56" spans="1:53" outlineLevel="1" x14ac:dyDescent="0.25">
      <c r="A56" s="98" t="s">
        <v>113</v>
      </c>
      <c r="B56" s="113">
        <v>569006244.03000009</v>
      </c>
      <c r="C56" s="114">
        <v>158106858.18000001</v>
      </c>
      <c r="D56" s="114">
        <v>109779595.63</v>
      </c>
      <c r="E56" s="114">
        <v>77897428.079999998</v>
      </c>
      <c r="F56" s="114">
        <v>148181333.45000002</v>
      </c>
      <c r="G56" s="115">
        <v>465738558.64999998</v>
      </c>
      <c r="H56" s="116">
        <f ca="1">SUM(B56:G56)</f>
        <v>1528710018.02</v>
      </c>
      <c r="I56" s="116">
        <v>686400018.61000001</v>
      </c>
      <c r="J56" s="117">
        <f ca="1">SUM(H56:I56)-SUM(S56:T56)</f>
        <v>1639733924.6399999</v>
      </c>
      <c r="K56" s="118"/>
      <c r="L56" s="119">
        <v>452271504.47640097</v>
      </c>
      <c r="M56" s="117">
        <f ca="1">L56*$M$1</f>
        <v>248749327.46202055</v>
      </c>
      <c r="N56" s="117">
        <f ca="1">SUM(H56:I56)</f>
        <v>2215110036.6300001</v>
      </c>
      <c r="O56" s="119">
        <f ca="1">$N56-$M56</f>
        <v>1966360709.1679795</v>
      </c>
      <c r="P56" s="117">
        <f ca="1">SUM($I56,$B56)</f>
        <v>1255406262.6400001</v>
      </c>
      <c r="Q56" s="118">
        <f ca="1">SUM($C56:$G56)</f>
        <v>959703773.99000001</v>
      </c>
      <c r="R56" s="119">
        <f ca="1">SUM($D56:$G56)</f>
        <v>801596915.80999994</v>
      </c>
      <c r="S56" s="117">
        <v>459712141.34000027</v>
      </c>
      <c r="T56" s="118">
        <v>115663970.64999998</v>
      </c>
      <c r="U56" s="119">
        <v>53821123.639999993</v>
      </c>
      <c r="V56" s="120">
        <f t="shared" ca="1" si="44"/>
        <v>0.36618595511326296</v>
      </c>
      <c r="W56" s="120">
        <f t="shared" ca="1" si="44"/>
        <v>0.12052049161912036</v>
      </c>
      <c r="X56" s="120">
        <f t="shared" ca="1" si="44"/>
        <v>6.714237864253092E-2</v>
      </c>
      <c r="Y56" s="117">
        <f ca="1">SUM(S56:T56)</f>
        <v>575376111.99000025</v>
      </c>
      <c r="Z56" s="118">
        <f ca="1">SUM(S56:T56)+MAX(0,$M$1*$AX56)</f>
        <v>636813682.45016861</v>
      </c>
      <c r="AA56" s="121">
        <f ca="1">Y56/N56</f>
        <v>0.25975057783827282</v>
      </c>
      <c r="AB56" s="122">
        <f ca="1">Z56/O56</f>
        <v>0.32385394982776161</v>
      </c>
      <c r="AC56" s="123"/>
      <c r="AD56" s="123"/>
      <c r="AE56" s="117">
        <f ca="1">N56-SUM(AC56:AD56)</f>
        <v>2215110036.6300001</v>
      </c>
      <c r="AF56" s="118">
        <f ca="1">AE56-M56</f>
        <v>1966360709.1679795</v>
      </c>
      <c r="AG56" s="117"/>
      <c r="AH56" s="118"/>
      <c r="AI56" s="117"/>
      <c r="AJ56" s="117">
        <f t="shared" ca="1" si="46"/>
        <v>1255406262.6400001</v>
      </c>
      <c r="AK56" s="118">
        <f t="shared" ca="1" si="46"/>
        <v>959703773.99000001</v>
      </c>
      <c r="AL56" s="119">
        <f t="shared" ca="1" si="46"/>
        <v>801596915.80999994</v>
      </c>
      <c r="AM56" s="117">
        <v>459712141.34000027</v>
      </c>
      <c r="AN56" s="118">
        <v>115663970.64999998</v>
      </c>
      <c r="AO56" s="119">
        <v>53821123.639999993</v>
      </c>
      <c r="AP56" s="120">
        <f t="shared" ca="1" si="47"/>
        <v>0.36618595511326296</v>
      </c>
      <c r="AQ56" s="120">
        <f t="shared" ca="1" si="47"/>
        <v>0.12052049161912036</v>
      </c>
      <c r="AR56" s="120">
        <f t="shared" ca="1" si="47"/>
        <v>6.714237864253092E-2</v>
      </c>
      <c r="AS56" s="116">
        <f ca="1">SUM(AM56:AN56)</f>
        <v>575376111.99000025</v>
      </c>
      <c r="AT56" s="116">
        <f ca="1">SUM(AM56:AN56)+MAX(0,$M$1*$AX56)</f>
        <v>636813682.45016861</v>
      </c>
      <c r="AU56" s="121">
        <f ca="1">AS56/AE56</f>
        <v>0.25975057783827282</v>
      </c>
      <c r="AV56" s="122">
        <f ca="1">AT56/AF56</f>
        <v>0.32385394982776161</v>
      </c>
      <c r="AW56" s="124"/>
      <c r="AX56" s="125">
        <f ca="1">Summary!I82</f>
        <v>111704673.56394255</v>
      </c>
      <c r="BA56" s="112"/>
    </row>
    <row r="57" spans="1:53" ht="18" customHeight="1" outlineLevel="1" x14ac:dyDescent="0.25">
      <c r="A57" s="98" t="s">
        <v>114</v>
      </c>
      <c r="B57" s="126">
        <v>356838868.77000004</v>
      </c>
      <c r="C57" s="127">
        <v>381828481.99999994</v>
      </c>
      <c r="D57" s="127">
        <v>119548314.42</v>
      </c>
      <c r="E57" s="127">
        <v>102759370.72000001</v>
      </c>
      <c r="F57" s="127">
        <v>99919199.960000008</v>
      </c>
      <c r="G57" s="128">
        <v>535051092.07000005</v>
      </c>
      <c r="H57" s="129">
        <v>1595945327.9400003</v>
      </c>
      <c r="I57" s="129">
        <v>734423082.23999989</v>
      </c>
      <c r="J57" s="130"/>
      <c r="K57" s="131"/>
      <c r="L57" s="132">
        <v>451787882.43534291</v>
      </c>
      <c r="M57" s="130">
        <f ca="1">L57*$M$1</f>
        <v>248483335.33943862</v>
      </c>
      <c r="N57" s="130">
        <f ca="1">SUM(H57:I57)</f>
        <v>2330368410.1800003</v>
      </c>
      <c r="O57" s="132">
        <f ca="1">$N57-$M57</f>
        <v>2081885074.8405616</v>
      </c>
      <c r="P57" s="130">
        <f ca="1">SUM($I57,$B57)</f>
        <v>1091261951.01</v>
      </c>
      <c r="Q57" s="131">
        <f ca="1">SUM($C57:$G57)</f>
        <v>1239106459.1700001</v>
      </c>
      <c r="R57" s="132">
        <f ca="1">SUM($D57:$G57)</f>
        <v>857277977.17000008</v>
      </c>
      <c r="S57" s="130">
        <v>81179763.159999996</v>
      </c>
      <c r="T57" s="131">
        <v>24864425.849999998</v>
      </c>
      <c r="U57" s="132">
        <v>14299684.17</v>
      </c>
      <c r="V57" s="120">
        <f ca="1">S57/P57</f>
        <v>7.4390720839176486E-2</v>
      </c>
      <c r="W57" s="120">
        <f ca="1">T57/Q57</f>
        <v>2.0066416138815966E-2</v>
      </c>
      <c r="X57" s="120">
        <f ca="1">U57/R57</f>
        <v>1.6680335376403052E-2</v>
      </c>
      <c r="Y57" s="130">
        <f ca="1">SUM(S57:T57)</f>
        <v>106044189.00999999</v>
      </c>
      <c r="Z57" s="131">
        <f ca="1">SUM(S57:T57)+MAX(0,$M$1*$AX57)</f>
        <v>148374985.08145401</v>
      </c>
      <c r="AA57" s="133">
        <f ca="1">Y57/N57</f>
        <v>4.5505332352925698E-2</v>
      </c>
      <c r="AB57" s="134">
        <f ca="1">Z57/O57</f>
        <v>7.1269536860874561E-2</v>
      </c>
      <c r="AC57" s="135"/>
      <c r="AD57" s="135"/>
      <c r="AE57" s="130">
        <f ca="1">N57-SUM(AC57:AD57)</f>
        <v>2330368410.1800003</v>
      </c>
      <c r="AF57" s="131">
        <f ca="1">AE57-M57</f>
        <v>2081885074.8405616</v>
      </c>
      <c r="AG57" s="130"/>
      <c r="AH57" s="131"/>
      <c r="AI57" s="130"/>
      <c r="AJ57" s="130">
        <f ca="1">P57-AG57</f>
        <v>1091261951.01</v>
      </c>
      <c r="AK57" s="131">
        <f ca="1">Q57-AH57</f>
        <v>1239106459.1700001</v>
      </c>
      <c r="AL57" s="132">
        <f ca="1">R57-AI57</f>
        <v>857277977.17000008</v>
      </c>
      <c r="AM57" s="130">
        <v>81179763.159999996</v>
      </c>
      <c r="AN57" s="131">
        <v>24864425.849999998</v>
      </c>
      <c r="AO57" s="132">
        <v>14299684.17</v>
      </c>
      <c r="AP57" s="120">
        <f ca="1">AM57/AJ57</f>
        <v>7.4390720839176486E-2</v>
      </c>
      <c r="AQ57" s="120">
        <f ca="1">AN57/AK57</f>
        <v>2.0066416138815966E-2</v>
      </c>
      <c r="AR57" s="120">
        <f ca="1">AO57/AL57</f>
        <v>1.6680335376403052E-2</v>
      </c>
      <c r="AS57" s="129">
        <f ca="1">SUM(AM57:AN57)</f>
        <v>106044189.00999999</v>
      </c>
      <c r="AT57" s="129">
        <f ca="1">SUM(AM57:AN57)+MAX(0,$M$1*$AX57)</f>
        <v>148374985.08145401</v>
      </c>
      <c r="AU57" s="133">
        <f ca="1">AS57/AE57</f>
        <v>4.5505332352925698E-2</v>
      </c>
      <c r="AV57" s="134">
        <f ca="1">AT57/AF57</f>
        <v>7.1269536860874561E-2</v>
      </c>
      <c r="AW57" s="124"/>
      <c r="AX57" s="136">
        <f ca="1">Summary!I83</f>
        <v>76965083.766280025</v>
      </c>
      <c r="BA57" s="112"/>
    </row>
    <row r="58" spans="1:53" outlineLevel="1" x14ac:dyDescent="0.25">
      <c r="A58" s="98" t="s">
        <v>115</v>
      </c>
      <c r="B58" s="113"/>
      <c r="C58" s="114"/>
      <c r="D58" s="114"/>
      <c r="E58" s="114"/>
      <c r="F58" s="114"/>
      <c r="G58" s="115"/>
      <c r="H58" s="116"/>
      <c r="I58" s="116"/>
      <c r="J58" s="117"/>
      <c r="K58" s="118"/>
      <c r="L58" s="119"/>
      <c r="M58" s="117"/>
      <c r="N58" s="117"/>
      <c r="O58" s="119"/>
      <c r="P58" s="117"/>
      <c r="Q58" s="118"/>
      <c r="R58" s="119"/>
      <c r="S58" s="117"/>
      <c r="T58" s="118"/>
      <c r="U58" s="119"/>
      <c r="V58" s="120"/>
      <c r="W58" s="120"/>
      <c r="X58" s="120"/>
      <c r="Y58" s="117"/>
      <c r="Z58" s="118"/>
      <c r="AA58" s="121"/>
      <c r="AB58" s="122"/>
      <c r="AC58" s="123"/>
      <c r="AD58" s="123"/>
      <c r="AE58" s="117"/>
      <c r="AF58" s="118"/>
      <c r="AG58" s="117"/>
      <c r="AH58" s="118"/>
      <c r="AI58" s="117"/>
      <c r="AJ58" s="117"/>
      <c r="AK58" s="118"/>
      <c r="AL58" s="119"/>
      <c r="AM58" s="117"/>
      <c r="AN58" s="118"/>
      <c r="AO58" s="119"/>
      <c r="AP58" s="120"/>
      <c r="AQ58" s="120"/>
      <c r="AR58" s="120"/>
      <c r="AS58" s="116"/>
      <c r="AT58" s="116"/>
      <c r="AU58" s="121"/>
      <c r="AV58" s="122"/>
      <c r="AW58" s="124"/>
      <c r="AX58" s="125"/>
      <c r="BA58" s="112"/>
    </row>
    <row r="59" spans="1:53" ht="18" customHeight="1" outlineLevel="1" x14ac:dyDescent="0.25">
      <c r="A59" s="98" t="s">
        <v>116</v>
      </c>
      <c r="B59" s="126"/>
      <c r="C59" s="127"/>
      <c r="D59" s="127"/>
      <c r="E59" s="127"/>
      <c r="F59" s="127"/>
      <c r="G59" s="128"/>
      <c r="H59" s="129"/>
      <c r="I59" s="129"/>
      <c r="J59" s="130"/>
      <c r="K59" s="131"/>
      <c r="L59" s="132"/>
      <c r="M59" s="130"/>
      <c r="N59" s="130"/>
      <c r="O59" s="132"/>
      <c r="P59" s="130"/>
      <c r="Q59" s="131"/>
      <c r="R59" s="132"/>
      <c r="S59" s="130"/>
      <c r="T59" s="131"/>
      <c r="U59" s="132"/>
      <c r="V59" s="120"/>
      <c r="W59" s="120"/>
      <c r="X59" s="120"/>
      <c r="Y59" s="130"/>
      <c r="Z59" s="131"/>
      <c r="AA59" s="133"/>
      <c r="AB59" s="134"/>
      <c r="AC59" s="135"/>
      <c r="AD59" s="135"/>
      <c r="AE59" s="130"/>
      <c r="AF59" s="131"/>
      <c r="AG59" s="130"/>
      <c r="AH59" s="131"/>
      <c r="AI59" s="130"/>
      <c r="AJ59" s="130"/>
      <c r="AK59" s="131"/>
      <c r="AL59" s="132"/>
      <c r="AM59" s="130"/>
      <c r="AN59" s="131"/>
      <c r="AO59" s="132"/>
      <c r="AP59" s="120"/>
      <c r="AQ59" s="120"/>
      <c r="AR59" s="120"/>
      <c r="AS59" s="129"/>
      <c r="AT59" s="129"/>
      <c r="AU59" s="133"/>
      <c r="AV59" s="134"/>
      <c r="AW59" s="124"/>
      <c r="AX59" s="136"/>
      <c r="BA59" s="112"/>
    </row>
    <row r="60" spans="1:53" outlineLevel="1" x14ac:dyDescent="0.25">
      <c r="A60" s="98" t="s">
        <v>117</v>
      </c>
      <c r="B60" s="113"/>
      <c r="C60" s="114"/>
      <c r="D60" s="114"/>
      <c r="E60" s="114"/>
      <c r="F60" s="114"/>
      <c r="G60" s="115"/>
      <c r="H60" s="116"/>
      <c r="I60" s="116"/>
      <c r="J60" s="117"/>
      <c r="K60" s="118"/>
      <c r="L60" s="119"/>
      <c r="M60" s="117"/>
      <c r="N60" s="117"/>
      <c r="O60" s="119"/>
      <c r="P60" s="117"/>
      <c r="Q60" s="118"/>
      <c r="R60" s="119"/>
      <c r="S60" s="117"/>
      <c r="T60" s="118"/>
      <c r="U60" s="119"/>
      <c r="V60" s="120"/>
      <c r="W60" s="120"/>
      <c r="X60" s="120"/>
      <c r="Y60" s="117"/>
      <c r="Z60" s="118"/>
      <c r="AA60" s="121"/>
      <c r="AB60" s="122"/>
      <c r="AC60" s="135"/>
      <c r="AD60" s="135"/>
      <c r="AE60" s="117"/>
      <c r="AF60" s="118"/>
      <c r="AG60" s="117"/>
      <c r="AH60" s="118"/>
      <c r="AI60" s="117"/>
      <c r="AJ60" s="117"/>
      <c r="AK60" s="118"/>
      <c r="AL60" s="119"/>
      <c r="AM60" s="117"/>
      <c r="AN60" s="118"/>
      <c r="AO60" s="119"/>
      <c r="AP60" s="120"/>
      <c r="AQ60" s="120"/>
      <c r="AR60" s="120"/>
      <c r="AS60" s="116"/>
      <c r="AT60" s="116"/>
      <c r="AU60" s="121"/>
      <c r="AV60" s="122"/>
      <c r="AW60" s="124"/>
      <c r="AX60" s="125"/>
      <c r="BA60" s="112"/>
    </row>
    <row r="61" spans="1:53" ht="18" customHeight="1" outlineLevel="1" x14ac:dyDescent="0.25">
      <c r="A61" s="98" t="s">
        <v>118</v>
      </c>
      <c r="B61" s="126"/>
      <c r="C61" s="127"/>
      <c r="D61" s="127"/>
      <c r="E61" s="127"/>
      <c r="F61" s="127"/>
      <c r="G61" s="128"/>
      <c r="H61" s="129"/>
      <c r="I61" s="129"/>
      <c r="J61" s="130"/>
      <c r="K61" s="131"/>
      <c r="L61" s="132"/>
      <c r="M61" s="130"/>
      <c r="N61" s="130"/>
      <c r="O61" s="132"/>
      <c r="P61" s="130"/>
      <c r="Q61" s="131"/>
      <c r="R61" s="132"/>
      <c r="S61" s="130"/>
      <c r="T61" s="131"/>
      <c r="U61" s="132"/>
      <c r="V61" s="120"/>
      <c r="W61" s="120"/>
      <c r="X61" s="120"/>
      <c r="Y61" s="130"/>
      <c r="Z61" s="131"/>
      <c r="AA61" s="133"/>
      <c r="AB61" s="134"/>
      <c r="AC61" s="135"/>
      <c r="AD61" s="135"/>
      <c r="AE61" s="130"/>
      <c r="AF61" s="131"/>
      <c r="AG61" s="130"/>
      <c r="AH61" s="131"/>
      <c r="AI61" s="130"/>
      <c r="AJ61" s="130"/>
      <c r="AK61" s="131"/>
      <c r="AL61" s="132"/>
      <c r="AM61" s="130"/>
      <c r="AN61" s="131"/>
      <c r="AO61" s="132"/>
      <c r="AP61" s="120"/>
      <c r="AQ61" s="120"/>
      <c r="AR61" s="120"/>
      <c r="AS61" s="129"/>
      <c r="AT61" s="129"/>
      <c r="AU61" s="133"/>
      <c r="AV61" s="134"/>
      <c r="AW61" s="124"/>
      <c r="AX61" s="136"/>
      <c r="BA61" s="112"/>
    </row>
    <row r="62" spans="1:53" outlineLevel="1" x14ac:dyDescent="0.25">
      <c r="A62" s="98" t="s">
        <v>119</v>
      </c>
      <c r="B62" s="113"/>
      <c r="C62" s="114"/>
      <c r="D62" s="114"/>
      <c r="E62" s="114"/>
      <c r="F62" s="114"/>
      <c r="G62" s="115"/>
      <c r="H62" s="116"/>
      <c r="I62" s="116"/>
      <c r="J62" s="117"/>
      <c r="K62" s="118"/>
      <c r="L62" s="119"/>
      <c r="M62" s="117"/>
      <c r="N62" s="117"/>
      <c r="O62" s="119"/>
      <c r="P62" s="117"/>
      <c r="Q62" s="118"/>
      <c r="R62" s="119"/>
      <c r="S62" s="117"/>
      <c r="T62" s="118"/>
      <c r="U62" s="119"/>
      <c r="V62" s="120"/>
      <c r="W62" s="120"/>
      <c r="X62" s="120"/>
      <c r="Y62" s="117"/>
      <c r="Z62" s="118"/>
      <c r="AA62" s="121"/>
      <c r="AB62" s="122"/>
      <c r="AC62" s="135"/>
      <c r="AD62" s="135"/>
      <c r="AE62" s="117"/>
      <c r="AF62" s="118"/>
      <c r="AG62" s="117"/>
      <c r="AH62" s="118"/>
      <c r="AI62" s="117"/>
      <c r="AJ62" s="117"/>
      <c r="AK62" s="118"/>
      <c r="AL62" s="119"/>
      <c r="AM62" s="117"/>
      <c r="AN62" s="118"/>
      <c r="AO62" s="119"/>
      <c r="AP62" s="120"/>
      <c r="AQ62" s="120"/>
      <c r="AR62" s="120"/>
      <c r="AS62" s="116"/>
      <c r="AT62" s="116"/>
      <c r="AU62" s="121"/>
      <c r="AV62" s="122"/>
      <c r="AW62" s="124"/>
      <c r="AX62" s="125"/>
      <c r="BA62" s="112"/>
    </row>
    <row r="63" spans="1:53" ht="18" customHeight="1" outlineLevel="1" x14ac:dyDescent="0.25">
      <c r="A63" s="98" t="s">
        <v>120</v>
      </c>
      <c r="B63" s="126"/>
      <c r="C63" s="127"/>
      <c r="D63" s="127"/>
      <c r="E63" s="127"/>
      <c r="F63" s="127"/>
      <c r="G63" s="128"/>
      <c r="H63" s="129"/>
      <c r="I63" s="129"/>
      <c r="J63" s="130"/>
      <c r="K63" s="131"/>
      <c r="L63" s="132"/>
      <c r="M63" s="130"/>
      <c r="N63" s="130"/>
      <c r="O63" s="132"/>
      <c r="P63" s="130"/>
      <c r="Q63" s="131"/>
      <c r="R63" s="132"/>
      <c r="S63" s="130"/>
      <c r="T63" s="131"/>
      <c r="U63" s="132"/>
      <c r="V63" s="120"/>
      <c r="W63" s="120"/>
      <c r="X63" s="120"/>
      <c r="Y63" s="130"/>
      <c r="Z63" s="131"/>
      <c r="AA63" s="133"/>
      <c r="AB63" s="134"/>
      <c r="AC63" s="135"/>
      <c r="AD63" s="135"/>
      <c r="AE63" s="130"/>
      <c r="AF63" s="131"/>
      <c r="AG63" s="130"/>
      <c r="AH63" s="131"/>
      <c r="AI63" s="130"/>
      <c r="AJ63" s="130"/>
      <c r="AK63" s="131"/>
      <c r="AL63" s="132"/>
      <c r="AM63" s="130"/>
      <c r="AN63" s="131"/>
      <c r="AO63" s="132"/>
      <c r="AP63" s="120"/>
      <c r="AQ63" s="120"/>
      <c r="AR63" s="120"/>
      <c r="AS63" s="129"/>
      <c r="AT63" s="129"/>
      <c r="AU63" s="133"/>
      <c r="AV63" s="134"/>
      <c r="AW63" s="124"/>
      <c r="AX63" s="136"/>
      <c r="BA63" s="112"/>
    </row>
    <row r="64" spans="1:53" outlineLevel="1" x14ac:dyDescent="0.25">
      <c r="A64" s="98" t="s">
        <v>121</v>
      </c>
      <c r="B64" s="113"/>
      <c r="C64" s="114"/>
      <c r="D64" s="114"/>
      <c r="E64" s="114"/>
      <c r="F64" s="114"/>
      <c r="G64" s="115"/>
      <c r="H64" s="116"/>
      <c r="I64" s="116"/>
      <c r="J64" s="117"/>
      <c r="K64" s="118"/>
      <c r="L64" s="119"/>
      <c r="M64" s="117"/>
      <c r="N64" s="117"/>
      <c r="O64" s="119"/>
      <c r="P64" s="117"/>
      <c r="Q64" s="118"/>
      <c r="R64" s="119"/>
      <c r="S64" s="117"/>
      <c r="T64" s="118"/>
      <c r="U64" s="119"/>
      <c r="V64" s="120"/>
      <c r="W64" s="120"/>
      <c r="X64" s="120"/>
      <c r="Y64" s="117"/>
      <c r="Z64" s="118"/>
      <c r="AA64" s="121"/>
      <c r="AB64" s="122"/>
      <c r="AC64" s="135"/>
      <c r="AD64" s="135"/>
      <c r="AE64" s="117"/>
      <c r="AF64" s="118"/>
      <c r="AG64" s="117"/>
      <c r="AH64" s="118"/>
      <c r="AI64" s="117"/>
      <c r="AJ64" s="117"/>
      <c r="AK64" s="118"/>
      <c r="AL64" s="119"/>
      <c r="AM64" s="117"/>
      <c r="AN64" s="118"/>
      <c r="AO64" s="119"/>
      <c r="AP64" s="120"/>
      <c r="AQ64" s="120"/>
      <c r="AR64" s="120"/>
      <c r="AS64" s="116"/>
      <c r="AT64" s="116"/>
      <c r="AU64" s="121"/>
      <c r="AV64" s="122"/>
      <c r="AW64" s="124"/>
      <c r="AX64" s="125"/>
      <c r="BA64" s="112"/>
    </row>
    <row r="65" spans="1:53" ht="15.75" thickBot="1" x14ac:dyDescent="0.3"/>
    <row r="66" spans="1:53" ht="32.65" customHeight="1" thickBot="1" x14ac:dyDescent="0.55000000000000004">
      <c r="B66" s="159" t="s">
        <v>21</v>
      </c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 t="s">
        <v>21</v>
      </c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1"/>
      <c r="AD66" s="161"/>
      <c r="AE66" s="160" t="s">
        <v>21</v>
      </c>
      <c r="AF66" s="160"/>
      <c r="AG66" s="160"/>
      <c r="AH66" s="160"/>
      <c r="AI66" s="160"/>
      <c r="AJ66" s="160"/>
      <c r="AK66" s="160"/>
      <c r="AL66" s="160"/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1"/>
      <c r="AX66" s="162"/>
    </row>
    <row r="67" spans="1:53" ht="23.65" customHeight="1" thickBot="1" x14ac:dyDescent="0.3">
      <c r="A67" s="61">
        <v>2025</v>
      </c>
      <c r="B67" s="62" t="s">
        <v>68</v>
      </c>
      <c r="C67" s="63"/>
      <c r="D67" s="63"/>
      <c r="E67" s="63"/>
      <c r="F67" s="63"/>
      <c r="G67" s="63"/>
      <c r="H67" s="64"/>
      <c r="I67" s="65"/>
      <c r="J67" s="66"/>
      <c r="K67" s="66"/>
      <c r="L67" s="65"/>
      <c r="N67" s="67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9"/>
      <c r="AC67" s="66"/>
      <c r="AD67" s="66"/>
      <c r="AE67" s="70"/>
      <c r="AF67" s="71"/>
      <c r="AG67" s="71"/>
      <c r="AH67" s="71"/>
      <c r="AI67" s="71"/>
      <c r="AJ67" s="72"/>
      <c r="AK67" s="72"/>
      <c r="AL67" s="72"/>
      <c r="AM67" s="72"/>
      <c r="AN67" s="72"/>
      <c r="AO67" s="72"/>
      <c r="AP67" s="71"/>
      <c r="AQ67" s="71"/>
      <c r="AR67" s="71"/>
      <c r="AS67" s="71"/>
      <c r="AT67" s="71"/>
      <c r="AU67" s="71"/>
      <c r="AV67" s="73"/>
      <c r="AX67" s="66"/>
    </row>
    <row r="68" spans="1:53" ht="66.599999999999994" customHeight="1" thickBot="1" x14ac:dyDescent="0.3">
      <c r="A68" s="74" t="s">
        <v>71</v>
      </c>
      <c r="B68" s="141" t="s">
        <v>72</v>
      </c>
      <c r="C68" s="142" t="s">
        <v>73</v>
      </c>
      <c r="D68" s="142" t="s">
        <v>74</v>
      </c>
      <c r="E68" s="142" t="s">
        <v>75</v>
      </c>
      <c r="F68" s="142" t="s">
        <v>76</v>
      </c>
      <c r="G68" s="143" t="s">
        <v>77</v>
      </c>
      <c r="H68" s="144" t="s">
        <v>78</v>
      </c>
      <c r="I68" s="145" t="s">
        <v>79</v>
      </c>
      <c r="J68" s="146" t="s">
        <v>80</v>
      </c>
      <c r="K68" s="146" t="s">
        <v>81</v>
      </c>
      <c r="L68" s="145" t="s">
        <v>82</v>
      </c>
      <c r="M68" s="146" t="s">
        <v>83</v>
      </c>
      <c r="N68" s="147" t="s">
        <v>84</v>
      </c>
      <c r="O68" s="148" t="s">
        <v>85</v>
      </c>
      <c r="P68" s="149" t="s">
        <v>86</v>
      </c>
      <c r="Q68" s="149" t="s">
        <v>87</v>
      </c>
      <c r="R68" s="149" t="s">
        <v>88</v>
      </c>
      <c r="S68" s="150" t="s">
        <v>89</v>
      </c>
      <c r="T68" s="150" t="s">
        <v>90</v>
      </c>
      <c r="U68" s="150" t="s">
        <v>91</v>
      </c>
      <c r="V68" s="151" t="s">
        <v>92</v>
      </c>
      <c r="W68" s="151" t="s">
        <v>93</v>
      </c>
      <c r="X68" s="151" t="s">
        <v>94</v>
      </c>
      <c r="Y68" s="152" t="s">
        <v>95</v>
      </c>
      <c r="Z68" s="153" t="s">
        <v>96</v>
      </c>
      <c r="AA68" s="154" t="s">
        <v>97</v>
      </c>
      <c r="AB68" s="155" t="s">
        <v>98</v>
      </c>
      <c r="AC68" s="146" t="s">
        <v>123</v>
      </c>
      <c r="AD68" s="146" t="s">
        <v>122</v>
      </c>
      <c r="AE68" s="148" t="s">
        <v>101</v>
      </c>
      <c r="AF68" s="148" t="s">
        <v>102</v>
      </c>
      <c r="AG68" s="156" t="s">
        <v>103</v>
      </c>
      <c r="AH68" s="156" t="s">
        <v>104</v>
      </c>
      <c r="AI68" s="156" t="s">
        <v>105</v>
      </c>
      <c r="AJ68" s="157" t="s">
        <v>106</v>
      </c>
      <c r="AK68" s="149" t="s">
        <v>107</v>
      </c>
      <c r="AL68" s="149" t="s">
        <v>108</v>
      </c>
      <c r="AM68" s="150" t="s">
        <v>89</v>
      </c>
      <c r="AN68" s="150" t="s">
        <v>90</v>
      </c>
      <c r="AO68" s="150" t="s">
        <v>91</v>
      </c>
      <c r="AP68" s="151" t="s">
        <v>92</v>
      </c>
      <c r="AQ68" s="151" t="s">
        <v>93</v>
      </c>
      <c r="AR68" s="158" t="s">
        <v>94</v>
      </c>
      <c r="AS68" s="152" t="s">
        <v>95</v>
      </c>
      <c r="AT68" s="153" t="s">
        <v>96</v>
      </c>
      <c r="AU68" s="154" t="s">
        <v>97</v>
      </c>
      <c r="AV68" s="155" t="s">
        <v>98</v>
      </c>
      <c r="AX68" s="97" t="s">
        <v>109</v>
      </c>
    </row>
    <row r="69" spans="1:53" ht="18" customHeight="1" x14ac:dyDescent="0.25">
      <c r="A69" s="98" t="s">
        <v>110</v>
      </c>
      <c r="B69" s="99">
        <v>16799968.57</v>
      </c>
      <c r="C69" s="100">
        <v>18994338.844584998</v>
      </c>
      <c r="D69" s="100">
        <v>9068473.1125640012</v>
      </c>
      <c r="E69" s="100">
        <v>1491451.4135629998</v>
      </c>
      <c r="F69" s="100">
        <v>2900737.9891010001</v>
      </c>
      <c r="G69" s="101">
        <v>0</v>
      </c>
      <c r="H69" s="102">
        <f ca="1">SUM(B69:G69)</f>
        <v>49254969.92981299</v>
      </c>
      <c r="I69" s="102">
        <v>35119151.18999999</v>
      </c>
      <c r="J69" s="103">
        <f t="shared" ref="J69:J78" ca="1" si="49">SUM(H69:I69)-SUM(S69:T69)</f>
        <v>22635016.959813006</v>
      </c>
      <c r="K69" s="104">
        <f ca="1">H70-J69</f>
        <v>36605356.590739995</v>
      </c>
      <c r="L69" s="105">
        <v>0</v>
      </c>
      <c r="M69" s="103">
        <f t="shared" ref="M69:M76" ca="1" si="50">L69*$M$1</f>
        <v>0</v>
      </c>
      <c r="N69" s="103">
        <f t="shared" ref="N69:N76" ca="1" si="51">SUM(H69:I69)</f>
        <v>84374121.11981298</v>
      </c>
      <c r="O69" s="105">
        <f t="shared" ref="O69:O79" ca="1" si="52">$N69-$M69</f>
        <v>84374121.11981298</v>
      </c>
      <c r="P69" s="103">
        <f t="shared" ref="P69:P79" ca="1" si="53">SUM($I69,$B69)</f>
        <v>51919119.75999999</v>
      </c>
      <c r="Q69" s="104">
        <f t="shared" ref="Q69:Q79" ca="1" si="54">SUM($C69:$G69)</f>
        <v>32455001.359812997</v>
      </c>
      <c r="R69" s="105">
        <f t="shared" ref="R69:R79" ca="1" si="55">SUM($D69:$G69)</f>
        <v>13460662.515228001</v>
      </c>
      <c r="S69" s="103">
        <v>42325315.029999971</v>
      </c>
      <c r="T69" s="104">
        <v>19413789.130000003</v>
      </c>
      <c r="U69" s="105">
        <v>4116444.4400000004</v>
      </c>
      <c r="V69" s="106">
        <f ca="1">S69/P69</f>
        <v>0.81521634468480786</v>
      </c>
      <c r="W69" s="106">
        <f ca="1">T69/Q69</f>
        <v>0.59817557592337334</v>
      </c>
      <c r="X69" s="106">
        <f ca="1">U69/R69</f>
        <v>0.30581291488016143</v>
      </c>
      <c r="Y69" s="103">
        <f ca="1">SUM(S69:T69)</f>
        <v>61739104.159999974</v>
      </c>
      <c r="Z69" s="104">
        <f t="shared" ref="Z69:Z80" ca="1" si="56">SUM(S69:T69)+MAX(0,$M$1*$AX69)</f>
        <v>61739104.159999974</v>
      </c>
      <c r="AA69" s="107">
        <f ca="1">Y69/N69</f>
        <v>0.73173033793536268</v>
      </c>
      <c r="AB69" s="108">
        <f ca="1">Z69/O69</f>
        <v>0.73173033793536268</v>
      </c>
      <c r="AC69" s="109"/>
      <c r="AD69" s="109"/>
      <c r="AE69" s="103">
        <f ca="1">N69-SUM(AC69:AD69)</f>
        <v>84374121.11981298</v>
      </c>
      <c r="AF69" s="104">
        <f ca="1">AE69-M69</f>
        <v>84374121.11981298</v>
      </c>
      <c r="AG69" s="103"/>
      <c r="AH69" s="104"/>
      <c r="AI69" s="103"/>
      <c r="AJ69" s="103">
        <f ca="1">P69-AG69</f>
        <v>51919119.75999999</v>
      </c>
      <c r="AK69" s="104">
        <f ca="1">Q69-AH69</f>
        <v>32455001.359812997</v>
      </c>
      <c r="AL69" s="105">
        <f ca="1">R69-AI69</f>
        <v>13460662.515228001</v>
      </c>
      <c r="AM69" s="103">
        <v>42325315.029999971</v>
      </c>
      <c r="AN69" s="104">
        <v>19413789.130000003</v>
      </c>
      <c r="AO69" s="105">
        <v>4116444.4400000004</v>
      </c>
      <c r="AP69" s="106">
        <f t="shared" ref="AP69:AR80" ca="1" si="57">AM69/AJ69</f>
        <v>0.81521634468480786</v>
      </c>
      <c r="AQ69" s="106">
        <f t="shared" ca="1" si="57"/>
        <v>0.59817557592337334</v>
      </c>
      <c r="AR69" s="106">
        <f t="shared" ca="1" si="57"/>
        <v>0.30581291488016143</v>
      </c>
      <c r="AS69" s="102">
        <f t="shared" ref="AS69:AS80" ca="1" si="58">SUM(AM69:AN69)</f>
        <v>61739104.159999974</v>
      </c>
      <c r="AT69" s="102">
        <f t="shared" ref="AT69:AT80" ca="1" si="59">SUM(AM69:AN69)+MAX(0,$M$1*$AX69)</f>
        <v>61739104.159999974</v>
      </c>
      <c r="AU69" s="107">
        <f t="shared" ref="AU69:AV80" ca="1" si="60">AS69/AE69</f>
        <v>0.73173033793536268</v>
      </c>
      <c r="AV69" s="108">
        <f t="shared" ca="1" si="60"/>
        <v>0.73173033793536268</v>
      </c>
      <c r="AW69" s="110"/>
      <c r="AX69" s="111">
        <f ca="1">Summary!I108</f>
        <v>0</v>
      </c>
      <c r="BA69" s="112"/>
    </row>
    <row r="70" spans="1:53" x14ac:dyDescent="0.25">
      <c r="A70" s="98" t="s">
        <v>111</v>
      </c>
      <c r="B70" s="113">
        <v>20646653.18</v>
      </c>
      <c r="C70" s="114">
        <v>18730713.337802</v>
      </c>
      <c r="D70" s="114">
        <v>9233891.4172060005</v>
      </c>
      <c r="E70" s="114">
        <v>6991758.2755500004</v>
      </c>
      <c r="F70" s="114">
        <v>1899750.3322930001</v>
      </c>
      <c r="G70" s="115">
        <v>1737607.007702</v>
      </c>
      <c r="H70" s="116">
        <f t="shared" ref="H70:H75" ca="1" si="61">SUM(B70:G70)</f>
        <v>59240373.550553001</v>
      </c>
      <c r="I70" s="116">
        <v>68049348.320000008</v>
      </c>
      <c r="J70" s="117">
        <f t="shared" ca="1" si="49"/>
        <v>60801747.020553</v>
      </c>
      <c r="K70" s="118">
        <f t="shared" ref="K70:K77" ca="1" si="62">H71-J70</f>
        <v>9563070.6066929922</v>
      </c>
      <c r="L70" s="119">
        <v>0</v>
      </c>
      <c r="M70" s="117">
        <f t="shared" ca="1" si="50"/>
        <v>0</v>
      </c>
      <c r="N70" s="117">
        <f t="shared" ca="1" si="51"/>
        <v>127289721.87055302</v>
      </c>
      <c r="O70" s="119">
        <f t="shared" ca="1" si="52"/>
        <v>127289721.87055302</v>
      </c>
      <c r="P70" s="117">
        <f t="shared" ca="1" si="53"/>
        <v>88696001.5</v>
      </c>
      <c r="Q70" s="118">
        <f t="shared" ca="1" si="54"/>
        <v>38593720.370553009</v>
      </c>
      <c r="R70" s="119">
        <f t="shared" ca="1" si="55"/>
        <v>19863007.032751001</v>
      </c>
      <c r="S70" s="117">
        <v>52904272.980000019</v>
      </c>
      <c r="T70" s="118">
        <v>13583701.869999999</v>
      </c>
      <c r="U70" s="119">
        <v>8158931.6200000001</v>
      </c>
      <c r="V70" s="120">
        <f t="shared" ref="V70:X80" ca="1" si="63">S70/P70</f>
        <v>0.59646739520721259</v>
      </c>
      <c r="W70" s="120">
        <f t="shared" ca="1" si="63"/>
        <v>0.35196663445704907</v>
      </c>
      <c r="X70" s="120">
        <f t="shared" ca="1" si="63"/>
        <v>0.4107601435445899</v>
      </c>
      <c r="Y70" s="117">
        <f t="shared" ref="Y70:Y76" ca="1" si="64">SUM(S70:T70)</f>
        <v>66487974.850000016</v>
      </c>
      <c r="Z70" s="118">
        <f t="shared" ca="1" si="56"/>
        <v>66487974.850000016</v>
      </c>
      <c r="AA70" s="121">
        <f t="shared" ref="AA70:AB80" ca="1" si="65">Y70/N70</f>
        <v>0.52233576971450069</v>
      </c>
      <c r="AB70" s="122">
        <f t="shared" ca="1" si="65"/>
        <v>0.52233576971450069</v>
      </c>
      <c r="AC70" s="123"/>
      <c r="AD70" s="123"/>
      <c r="AE70" s="117">
        <f t="shared" ref="AE70:AE76" ca="1" si="66">N70-SUM(AC70:AD70)</f>
        <v>127289721.87055302</v>
      </c>
      <c r="AF70" s="118">
        <f t="shared" ref="AF70:AF76" ca="1" si="67">AE70-M70</f>
        <v>127289721.87055302</v>
      </c>
      <c r="AG70" s="117"/>
      <c r="AH70" s="118"/>
      <c r="AI70" s="117"/>
      <c r="AJ70" s="117">
        <f t="shared" ref="AJ70:AL80" ca="1" si="68">P70-AG70</f>
        <v>88696001.5</v>
      </c>
      <c r="AK70" s="118">
        <f t="shared" ca="1" si="68"/>
        <v>38593720.370553009</v>
      </c>
      <c r="AL70" s="119">
        <f t="shared" ca="1" si="68"/>
        <v>19863007.032751001</v>
      </c>
      <c r="AM70" s="117">
        <v>52904272.980000019</v>
      </c>
      <c r="AN70" s="118">
        <v>13583701.869999999</v>
      </c>
      <c r="AO70" s="119">
        <v>8158931.6200000001</v>
      </c>
      <c r="AP70" s="120">
        <f t="shared" ca="1" si="57"/>
        <v>0.59646739520721259</v>
      </c>
      <c r="AQ70" s="120">
        <f t="shared" ca="1" si="57"/>
        <v>0.35196663445704907</v>
      </c>
      <c r="AR70" s="120">
        <f t="shared" ca="1" si="57"/>
        <v>0.4107601435445899</v>
      </c>
      <c r="AS70" s="116">
        <f t="shared" ca="1" si="58"/>
        <v>66487974.850000016</v>
      </c>
      <c r="AT70" s="116">
        <f t="shared" ca="1" si="59"/>
        <v>66487974.850000016</v>
      </c>
      <c r="AU70" s="121">
        <f t="shared" ca="1" si="60"/>
        <v>0.52233576971450069</v>
      </c>
      <c r="AV70" s="122">
        <f t="shared" ca="1" si="60"/>
        <v>0.52233576971450069</v>
      </c>
      <c r="AW70" s="124"/>
      <c r="AX70" s="125">
        <f ca="1">Summary!I109</f>
        <v>0</v>
      </c>
      <c r="BA70" s="112"/>
    </row>
    <row r="71" spans="1:53" ht="18" customHeight="1" x14ac:dyDescent="0.25">
      <c r="A71" s="98" t="s">
        <v>112</v>
      </c>
      <c r="B71" s="126">
        <v>39954283.420000002</v>
      </c>
      <c r="C71" s="127">
        <v>10104358.439222001</v>
      </c>
      <c r="D71" s="127">
        <v>7785991.678909</v>
      </c>
      <c r="E71" s="127">
        <v>5241544.8391200006</v>
      </c>
      <c r="F71" s="127">
        <v>6572284.4433980007</v>
      </c>
      <c r="G71" s="128">
        <v>706354.80659700022</v>
      </c>
      <c r="H71" s="129">
        <f t="shared" ca="1" si="61"/>
        <v>70364817.627245992</v>
      </c>
      <c r="I71" s="129">
        <v>73497701.180000007</v>
      </c>
      <c r="J71" s="130">
        <f t="shared" ca="1" si="49"/>
        <v>73076570.067245975</v>
      </c>
      <c r="K71" s="131">
        <f t="shared" ca="1" si="62"/>
        <v>17722062.115453035</v>
      </c>
      <c r="L71" s="132">
        <v>21599723.527359776</v>
      </c>
      <c r="M71" s="130">
        <f t="shared" ca="1" si="50"/>
        <v>11879847.940047879</v>
      </c>
      <c r="N71" s="130">
        <f t="shared" ca="1" si="51"/>
        <v>143862518.807246</v>
      </c>
      <c r="O71" s="132">
        <f t="shared" ca="1" si="52"/>
        <v>131982670.86719812</v>
      </c>
      <c r="P71" s="130">
        <f t="shared" ca="1" si="53"/>
        <v>113451984.60000001</v>
      </c>
      <c r="Q71" s="131">
        <f t="shared" ca="1" si="54"/>
        <v>30410534.207246006</v>
      </c>
      <c r="R71" s="132">
        <f t="shared" ca="1" si="55"/>
        <v>20306175.768024005</v>
      </c>
      <c r="S71" s="130">
        <v>56822681.560000017</v>
      </c>
      <c r="T71" s="131">
        <v>13963267.180000003</v>
      </c>
      <c r="U71" s="132">
        <v>4351162.8900000006</v>
      </c>
      <c r="V71" s="120">
        <f t="shared" ca="1" si="63"/>
        <v>0.50085224829112429</v>
      </c>
      <c r="W71" s="120">
        <f t="shared" ca="1" si="63"/>
        <v>0.45915889161437146</v>
      </c>
      <c r="X71" s="120">
        <f t="shared" ca="1" si="63"/>
        <v>0.21427781083485678</v>
      </c>
      <c r="Y71" s="130">
        <f t="shared" ca="1" si="64"/>
        <v>70785948.740000024</v>
      </c>
      <c r="Z71" s="131">
        <f t="shared" ca="1" si="56"/>
        <v>71198965.982000023</v>
      </c>
      <c r="AA71" s="133">
        <f t="shared" ca="1" si="65"/>
        <v>0.49203885297491895</v>
      </c>
      <c r="AB71" s="134">
        <f t="shared" ca="1" si="65"/>
        <v>0.53945692653576405</v>
      </c>
      <c r="AC71" s="135"/>
      <c r="AD71" s="135"/>
      <c r="AE71" s="130">
        <f t="shared" ca="1" si="66"/>
        <v>143862518.807246</v>
      </c>
      <c r="AF71" s="131">
        <f t="shared" ca="1" si="67"/>
        <v>131982670.86719812</v>
      </c>
      <c r="AG71" s="130"/>
      <c r="AH71" s="131"/>
      <c r="AI71" s="130"/>
      <c r="AJ71" s="130">
        <f t="shared" ca="1" si="68"/>
        <v>113451984.60000001</v>
      </c>
      <c r="AK71" s="131">
        <f t="shared" ca="1" si="68"/>
        <v>30410534.207246006</v>
      </c>
      <c r="AL71" s="132">
        <f t="shared" ca="1" si="68"/>
        <v>20306175.768024005</v>
      </c>
      <c r="AM71" s="130">
        <v>56822681.560000017</v>
      </c>
      <c r="AN71" s="131">
        <v>13963267.180000003</v>
      </c>
      <c r="AO71" s="132">
        <v>4351162.8900000006</v>
      </c>
      <c r="AP71" s="120">
        <f t="shared" ca="1" si="57"/>
        <v>0.50085224829112429</v>
      </c>
      <c r="AQ71" s="120">
        <f t="shared" ca="1" si="57"/>
        <v>0.45915889161437146</v>
      </c>
      <c r="AR71" s="120">
        <f t="shared" ca="1" si="57"/>
        <v>0.21427781083485678</v>
      </c>
      <c r="AS71" s="129">
        <f t="shared" ca="1" si="58"/>
        <v>70785948.740000024</v>
      </c>
      <c r="AT71" s="129">
        <f t="shared" ca="1" si="59"/>
        <v>71198965.982000023</v>
      </c>
      <c r="AU71" s="133">
        <f t="shared" ca="1" si="60"/>
        <v>0.49203885297491895</v>
      </c>
      <c r="AV71" s="134">
        <f t="shared" ca="1" si="60"/>
        <v>0.53945692653576405</v>
      </c>
      <c r="AW71" s="124"/>
      <c r="AX71" s="136">
        <f ca="1">Summary!I110</f>
        <v>750940.43999999762</v>
      </c>
      <c r="BA71" s="112"/>
    </row>
    <row r="72" spans="1:53" x14ac:dyDescent="0.25">
      <c r="A72" s="98" t="s">
        <v>113</v>
      </c>
      <c r="B72" s="113">
        <v>43960009.449999996</v>
      </c>
      <c r="C72" s="114">
        <v>28938332.923293009</v>
      </c>
      <c r="D72" s="114">
        <v>3536833.4706249996</v>
      </c>
      <c r="E72" s="114">
        <v>5191528.3132000007</v>
      </c>
      <c r="F72" s="114">
        <v>8117069.2791200001</v>
      </c>
      <c r="G72" s="115">
        <v>1054858.7464610001</v>
      </c>
      <c r="H72" s="116">
        <f t="shared" ca="1" si="61"/>
        <v>90798632.18269901</v>
      </c>
      <c r="I72" s="116">
        <v>92787177.700000018</v>
      </c>
      <c r="J72" s="117">
        <f t="shared" ca="1" si="49"/>
        <v>91828489.002699107</v>
      </c>
      <c r="K72" s="118">
        <f t="shared" ca="1" si="62"/>
        <v>430210.98405188322</v>
      </c>
      <c r="L72" s="119">
        <v>30463672.317359846</v>
      </c>
      <c r="M72" s="117">
        <f t="shared" ca="1" si="50"/>
        <v>16755019.774547916</v>
      </c>
      <c r="N72" s="117">
        <f t="shared" ca="1" si="51"/>
        <v>183585809.88269901</v>
      </c>
      <c r="O72" s="119">
        <f t="shared" ca="1" si="52"/>
        <v>166830790.10815111</v>
      </c>
      <c r="P72" s="117">
        <f t="shared" ca="1" si="53"/>
        <v>136747187.15000001</v>
      </c>
      <c r="Q72" s="118">
        <f t="shared" ca="1" si="54"/>
        <v>46838622.732698999</v>
      </c>
      <c r="R72" s="119">
        <f t="shared" ca="1" si="55"/>
        <v>17900289.809406001</v>
      </c>
      <c r="S72" s="117">
        <v>76333328.919999912</v>
      </c>
      <c r="T72" s="118">
        <v>15423991.959999999</v>
      </c>
      <c r="U72" s="119">
        <v>3756124.4800000004</v>
      </c>
      <c r="V72" s="120">
        <f t="shared" ca="1" si="63"/>
        <v>0.55820767147677242</v>
      </c>
      <c r="W72" s="120">
        <f t="shared" ca="1" si="63"/>
        <v>0.32930071509622327</v>
      </c>
      <c r="X72" s="120">
        <f t="shared" ca="1" si="63"/>
        <v>0.20983595908186264</v>
      </c>
      <c r="Y72" s="117">
        <f t="shared" ca="1" si="64"/>
        <v>91757320.879999906</v>
      </c>
      <c r="Z72" s="118">
        <f t="shared" ca="1" si="56"/>
        <v>91765783.102999851</v>
      </c>
      <c r="AA72" s="121">
        <f t="shared" ca="1" si="65"/>
        <v>0.49980617204906885</v>
      </c>
      <c r="AB72" s="122">
        <f t="shared" ca="1" si="65"/>
        <v>0.55005303903141023</v>
      </c>
      <c r="AC72" s="123"/>
      <c r="AD72" s="123"/>
      <c r="AE72" s="117">
        <f t="shared" ca="1" si="66"/>
        <v>183585809.88269901</v>
      </c>
      <c r="AF72" s="118">
        <f t="shared" ca="1" si="67"/>
        <v>166830790.10815111</v>
      </c>
      <c r="AG72" s="117"/>
      <c r="AH72" s="118"/>
      <c r="AI72" s="117"/>
      <c r="AJ72" s="117">
        <f t="shared" ca="1" si="68"/>
        <v>136747187.15000001</v>
      </c>
      <c r="AK72" s="118">
        <f t="shared" ca="1" si="68"/>
        <v>46838622.732698999</v>
      </c>
      <c r="AL72" s="119">
        <f t="shared" ca="1" si="68"/>
        <v>17900289.809406001</v>
      </c>
      <c r="AM72" s="117">
        <v>76333328.919999912</v>
      </c>
      <c r="AN72" s="118">
        <v>15423991.959999999</v>
      </c>
      <c r="AO72" s="119">
        <v>3756124.4800000004</v>
      </c>
      <c r="AP72" s="120">
        <f t="shared" ca="1" si="57"/>
        <v>0.55820767147677242</v>
      </c>
      <c r="AQ72" s="120">
        <f t="shared" ca="1" si="57"/>
        <v>0.32930071509622327</v>
      </c>
      <c r="AR72" s="120">
        <f t="shared" ca="1" si="57"/>
        <v>0.20983595908186264</v>
      </c>
      <c r="AS72" s="116">
        <f t="shared" ca="1" si="58"/>
        <v>91757320.879999906</v>
      </c>
      <c r="AT72" s="116">
        <f t="shared" ca="1" si="59"/>
        <v>91765783.102999851</v>
      </c>
      <c r="AU72" s="121">
        <f t="shared" ca="1" si="60"/>
        <v>0.49980617204906885</v>
      </c>
      <c r="AV72" s="122">
        <f t="shared" ca="1" si="60"/>
        <v>0.55005303903141023</v>
      </c>
      <c r="AW72" s="124"/>
      <c r="AX72" s="125">
        <f ca="1">Summary!I111</f>
        <v>15385.859999895096</v>
      </c>
      <c r="BA72" s="112"/>
    </row>
    <row r="73" spans="1:53" ht="18" customHeight="1" x14ac:dyDescent="0.25">
      <c r="A73" s="98" t="s">
        <v>114</v>
      </c>
      <c r="B73" s="126">
        <v>36571517.989999995</v>
      </c>
      <c r="C73" s="127">
        <v>24247186.976043001</v>
      </c>
      <c r="D73" s="127">
        <v>13915270.4507</v>
      </c>
      <c r="E73" s="127">
        <v>4806481.6981680011</v>
      </c>
      <c r="F73" s="127">
        <v>7892163.2279200004</v>
      </c>
      <c r="G73" s="128">
        <v>4826079.6439200006</v>
      </c>
      <c r="H73" s="129">
        <f t="shared" ca="1" si="61"/>
        <v>92258699.98675099</v>
      </c>
      <c r="I73" s="129">
        <v>76789912.689999998</v>
      </c>
      <c r="J73" s="130">
        <f t="shared" ca="1" si="49"/>
        <v>76897180.286750972</v>
      </c>
      <c r="K73" s="131">
        <f t="shared" ca="1" si="62"/>
        <v>5690400.6830230206</v>
      </c>
      <c r="L73" s="132">
        <v>0</v>
      </c>
      <c r="M73" s="130">
        <f t="shared" ca="1" si="50"/>
        <v>0</v>
      </c>
      <c r="N73" s="130">
        <f t="shared" ca="1" si="51"/>
        <v>169048612.67675099</v>
      </c>
      <c r="O73" s="132">
        <f t="shared" ca="1" si="52"/>
        <v>169048612.67675099</v>
      </c>
      <c r="P73" s="130">
        <f t="shared" ca="1" si="53"/>
        <v>113361430.67999999</v>
      </c>
      <c r="Q73" s="131">
        <f t="shared" ca="1" si="54"/>
        <v>55687181.99675101</v>
      </c>
      <c r="R73" s="132">
        <f t="shared" ca="1" si="55"/>
        <v>31439995.020708002</v>
      </c>
      <c r="S73" s="130">
        <v>76410121.790000007</v>
      </c>
      <c r="T73" s="131">
        <v>15741310.600000001</v>
      </c>
      <c r="U73" s="132">
        <v>7031975.2199999988</v>
      </c>
      <c r="V73" s="120">
        <f t="shared" ca="1" si="63"/>
        <v>0.67403985051752535</v>
      </c>
      <c r="W73" s="120">
        <f t="shared" ca="1" si="63"/>
        <v>0.28267385842793064</v>
      </c>
      <c r="X73" s="120">
        <f t="shared" ca="1" si="63"/>
        <v>0.22366336939202366</v>
      </c>
      <c r="Y73" s="130">
        <f t="shared" ca="1" si="64"/>
        <v>92151432.390000015</v>
      </c>
      <c r="Z73" s="131">
        <f t="shared" ca="1" si="56"/>
        <v>92151432.390000015</v>
      </c>
      <c r="AA73" s="133">
        <f t="shared" ca="1" si="65"/>
        <v>0.54511794525169432</v>
      </c>
      <c r="AB73" s="134">
        <f t="shared" ca="1" si="65"/>
        <v>0.54511794525169432</v>
      </c>
      <c r="AC73" s="135"/>
      <c r="AD73" s="135"/>
      <c r="AE73" s="130">
        <f t="shared" ca="1" si="66"/>
        <v>169048612.67675099</v>
      </c>
      <c r="AF73" s="131">
        <f t="shared" ca="1" si="67"/>
        <v>169048612.67675099</v>
      </c>
      <c r="AG73" s="130"/>
      <c r="AH73" s="131"/>
      <c r="AI73" s="130"/>
      <c r="AJ73" s="130">
        <f t="shared" ca="1" si="68"/>
        <v>113361430.67999999</v>
      </c>
      <c r="AK73" s="131">
        <f t="shared" ca="1" si="68"/>
        <v>55687181.99675101</v>
      </c>
      <c r="AL73" s="132">
        <f t="shared" ca="1" si="68"/>
        <v>31439995.020708002</v>
      </c>
      <c r="AM73" s="130">
        <v>76410121.790000007</v>
      </c>
      <c r="AN73" s="131">
        <v>15741310.600000001</v>
      </c>
      <c r="AO73" s="132">
        <v>7031975.2199999988</v>
      </c>
      <c r="AP73" s="120">
        <f t="shared" ca="1" si="57"/>
        <v>0.67403985051752535</v>
      </c>
      <c r="AQ73" s="120">
        <f t="shared" ca="1" si="57"/>
        <v>0.28267385842793064</v>
      </c>
      <c r="AR73" s="120">
        <f t="shared" ca="1" si="57"/>
        <v>0.22366336939202366</v>
      </c>
      <c r="AS73" s="129">
        <f t="shared" ca="1" si="58"/>
        <v>92151432.390000015</v>
      </c>
      <c r="AT73" s="129">
        <f t="shared" ca="1" si="59"/>
        <v>92151432.390000015</v>
      </c>
      <c r="AU73" s="133">
        <f t="shared" ca="1" si="60"/>
        <v>0.54511794525169432</v>
      </c>
      <c r="AV73" s="134">
        <f t="shared" ca="1" si="60"/>
        <v>0.54511794525169432</v>
      </c>
      <c r="AW73" s="124"/>
      <c r="AX73" s="136">
        <f ca="1">Summary!I112</f>
        <v>0</v>
      </c>
      <c r="BA73" s="112"/>
    </row>
    <row r="74" spans="1:53" x14ac:dyDescent="0.25">
      <c r="A74" s="98" t="s">
        <v>115</v>
      </c>
      <c r="B74" s="113">
        <v>30888248.560000002</v>
      </c>
      <c r="C74" s="114">
        <v>16767876.037149001</v>
      </c>
      <c r="D74" s="114">
        <v>10846323.098774003</v>
      </c>
      <c r="E74" s="114">
        <v>12096084.772496</v>
      </c>
      <c r="F74" s="114">
        <v>4629292.5647999998</v>
      </c>
      <c r="G74" s="115">
        <v>7359755.936555</v>
      </c>
      <c r="H74" s="116">
        <f t="shared" ca="1" si="61"/>
        <v>82587580.969773993</v>
      </c>
      <c r="I74" s="116">
        <v>84066836.420000017</v>
      </c>
      <c r="J74" s="117">
        <f t="shared" ca="1" si="49"/>
        <v>86128936.829773992</v>
      </c>
      <c r="K74" s="118">
        <f t="shared" ca="1" si="62"/>
        <v>-1525018.4634539932</v>
      </c>
      <c r="L74" s="119">
        <v>33126786.877359714</v>
      </c>
      <c r="M74" s="117">
        <f t="shared" ca="1" si="50"/>
        <v>18219732.782547843</v>
      </c>
      <c r="N74" s="117">
        <f t="shared" ca="1" si="51"/>
        <v>166654417.38977402</v>
      </c>
      <c r="O74" s="119">
        <f t="shared" ca="1" si="52"/>
        <v>148434684.60722619</v>
      </c>
      <c r="P74" s="117">
        <f t="shared" ca="1" si="53"/>
        <v>114955084.98000002</v>
      </c>
      <c r="Q74" s="118">
        <f t="shared" ca="1" si="54"/>
        <v>51699332.409774005</v>
      </c>
      <c r="R74" s="119">
        <f t="shared" ca="1" si="55"/>
        <v>34931456.372625001</v>
      </c>
      <c r="S74" s="117">
        <v>69436245.860000029</v>
      </c>
      <c r="T74" s="118">
        <v>11089234.699999996</v>
      </c>
      <c r="U74" s="119">
        <v>5507132.5199999968</v>
      </c>
      <c r="V74" s="120">
        <f t="shared" ca="1" si="63"/>
        <v>0.60402935522235146</v>
      </c>
      <c r="W74" s="120">
        <f t="shared" ca="1" si="63"/>
        <v>0.21449473683926182</v>
      </c>
      <c r="X74" s="120">
        <f t="shared" ca="1" si="63"/>
        <v>0.15765539407385867</v>
      </c>
      <c r="Y74" s="117">
        <f t="shared" ca="1" si="64"/>
        <v>80525480.560000032</v>
      </c>
      <c r="Z74" s="118">
        <f t="shared" ca="1" si="56"/>
        <v>80525480.560000032</v>
      </c>
      <c r="AA74" s="121">
        <f t="shared" ca="1" si="65"/>
        <v>0.4831883956106951</v>
      </c>
      <c r="AB74" s="122">
        <f t="shared" ca="1" si="65"/>
        <v>0.54249773745994023</v>
      </c>
      <c r="AC74" s="123"/>
      <c r="AD74" s="123"/>
      <c r="AE74" s="117">
        <f t="shared" ca="1" si="66"/>
        <v>166654417.38977402</v>
      </c>
      <c r="AF74" s="118">
        <f t="shared" ca="1" si="67"/>
        <v>148434684.60722619</v>
      </c>
      <c r="AG74" s="117"/>
      <c r="AH74" s="118"/>
      <c r="AI74" s="117"/>
      <c r="AJ74" s="117">
        <f t="shared" ca="1" si="68"/>
        <v>114955084.98000002</v>
      </c>
      <c r="AK74" s="118">
        <f t="shared" ca="1" si="68"/>
        <v>51699332.409774005</v>
      </c>
      <c r="AL74" s="119">
        <f t="shared" ca="1" si="68"/>
        <v>34931456.372625001</v>
      </c>
      <c r="AM74" s="117">
        <v>69436245.860000029</v>
      </c>
      <c r="AN74" s="118">
        <v>11089234.699999996</v>
      </c>
      <c r="AO74" s="119">
        <v>5507132.5199999968</v>
      </c>
      <c r="AP74" s="120">
        <f t="shared" ca="1" si="57"/>
        <v>0.60402935522235146</v>
      </c>
      <c r="AQ74" s="120">
        <f t="shared" ca="1" si="57"/>
        <v>0.21449473683926182</v>
      </c>
      <c r="AR74" s="120">
        <f t="shared" ca="1" si="57"/>
        <v>0.15765539407385867</v>
      </c>
      <c r="AS74" s="116">
        <f t="shared" ca="1" si="58"/>
        <v>80525480.560000032</v>
      </c>
      <c r="AT74" s="116">
        <f t="shared" ca="1" si="59"/>
        <v>80525480.560000032</v>
      </c>
      <c r="AU74" s="121">
        <f t="shared" ca="1" si="60"/>
        <v>0.4831883956106951</v>
      </c>
      <c r="AV74" s="122">
        <f t="shared" ca="1" si="60"/>
        <v>0.54249773745994023</v>
      </c>
      <c r="AW74" s="124"/>
      <c r="AX74" s="125">
        <f ca="1">Summary!I113</f>
        <v>0</v>
      </c>
      <c r="BA74" s="112"/>
    </row>
    <row r="75" spans="1:53" ht="18" customHeight="1" x14ac:dyDescent="0.25">
      <c r="A75" s="98" t="s">
        <v>116</v>
      </c>
      <c r="B75" s="126">
        <v>24759927.690000001</v>
      </c>
      <c r="C75" s="127">
        <v>20511978.548067998</v>
      </c>
      <c r="D75" s="127">
        <v>10244813.326145001</v>
      </c>
      <c r="E75" s="127">
        <v>7890339.1099999994</v>
      </c>
      <c r="F75" s="127">
        <v>11002447.68</v>
      </c>
      <c r="G75" s="128">
        <v>10194412.012106998</v>
      </c>
      <c r="H75" s="129">
        <f t="shared" ca="1" si="61"/>
        <v>84603918.366319999</v>
      </c>
      <c r="I75" s="129">
        <v>101961672.94999999</v>
      </c>
      <c r="J75" s="130">
        <f t="shared" ca="1" si="49"/>
        <v>65199323.386320084</v>
      </c>
      <c r="K75" s="131">
        <f t="shared" ca="1" si="62"/>
        <v>49010647.221823931</v>
      </c>
      <c r="L75" s="132">
        <v>29825938.277359586</v>
      </c>
      <c r="M75" s="130">
        <f t="shared" ca="1" si="50"/>
        <v>16404266.052547773</v>
      </c>
      <c r="N75" s="130">
        <f t="shared" ca="1" si="51"/>
        <v>186565591.31632</v>
      </c>
      <c r="O75" s="132">
        <f t="shared" ca="1" si="52"/>
        <v>170161325.26377222</v>
      </c>
      <c r="P75" s="130">
        <f t="shared" ca="1" si="53"/>
        <v>126721600.63999999</v>
      </c>
      <c r="Q75" s="131">
        <f t="shared" ca="1" si="54"/>
        <v>59843990.676319994</v>
      </c>
      <c r="R75" s="132">
        <f t="shared" ca="1" si="55"/>
        <v>39332012.128252</v>
      </c>
      <c r="S75" s="130">
        <v>107739328.98999992</v>
      </c>
      <c r="T75" s="131">
        <v>13626938.939999998</v>
      </c>
      <c r="U75" s="132">
        <v>5777989.7199999969</v>
      </c>
      <c r="V75" s="120">
        <f t="shared" ca="1" si="63"/>
        <v>0.85020492517352042</v>
      </c>
      <c r="W75" s="120">
        <f t="shared" ca="1" si="63"/>
        <v>0.22770772446818319</v>
      </c>
      <c r="X75" s="120">
        <f t="shared" ca="1" si="63"/>
        <v>0.14690297819393008</v>
      </c>
      <c r="Y75" s="130">
        <f t="shared" ca="1" si="64"/>
        <v>121366267.92999992</v>
      </c>
      <c r="Z75" s="131">
        <f t="shared" ca="1" si="56"/>
        <v>121406280.39149977</v>
      </c>
      <c r="AA75" s="133">
        <f t="shared" ca="1" si="65"/>
        <v>0.65052868041580447</v>
      </c>
      <c r="AB75" s="134">
        <f t="shared" ca="1" si="65"/>
        <v>0.71347752024911781</v>
      </c>
      <c r="AC75" s="135"/>
      <c r="AD75" s="135"/>
      <c r="AE75" s="130">
        <f t="shared" ca="1" si="66"/>
        <v>186565591.31632</v>
      </c>
      <c r="AF75" s="131">
        <f t="shared" ca="1" si="67"/>
        <v>170161325.26377222</v>
      </c>
      <c r="AG75" s="130"/>
      <c r="AH75" s="131"/>
      <c r="AI75" s="130"/>
      <c r="AJ75" s="130">
        <f t="shared" ca="1" si="68"/>
        <v>126721600.63999999</v>
      </c>
      <c r="AK75" s="131">
        <f t="shared" ca="1" si="68"/>
        <v>59843990.676319994</v>
      </c>
      <c r="AL75" s="132">
        <f t="shared" ca="1" si="68"/>
        <v>39332012.128252</v>
      </c>
      <c r="AM75" s="130">
        <v>107739328.98999992</v>
      </c>
      <c r="AN75" s="131">
        <v>13626938.939999998</v>
      </c>
      <c r="AO75" s="132">
        <v>5777989.7199999969</v>
      </c>
      <c r="AP75" s="120">
        <f t="shared" ca="1" si="57"/>
        <v>0.85020492517352042</v>
      </c>
      <c r="AQ75" s="120">
        <f t="shared" ca="1" si="57"/>
        <v>0.22770772446818319</v>
      </c>
      <c r="AR75" s="120">
        <f t="shared" ca="1" si="57"/>
        <v>0.14690297819393008</v>
      </c>
      <c r="AS75" s="129">
        <f t="shared" ca="1" si="58"/>
        <v>121366267.92999992</v>
      </c>
      <c r="AT75" s="129">
        <f t="shared" ca="1" si="59"/>
        <v>121406280.39149977</v>
      </c>
      <c r="AU75" s="133">
        <f t="shared" ca="1" si="60"/>
        <v>0.65052868041580447</v>
      </c>
      <c r="AV75" s="134">
        <f t="shared" ca="1" si="60"/>
        <v>0.71347752024911781</v>
      </c>
      <c r="AW75" s="124"/>
      <c r="AX75" s="136">
        <f ca="1">Summary!I114</f>
        <v>72749.929999738932</v>
      </c>
      <c r="BA75" s="112"/>
    </row>
    <row r="76" spans="1:53" x14ac:dyDescent="0.25">
      <c r="A76" s="98" t="s">
        <v>117</v>
      </c>
      <c r="B76" s="113">
        <v>52631898.510000005</v>
      </c>
      <c r="C76" s="114">
        <v>14088606.383968998</v>
      </c>
      <c r="D76" s="114">
        <v>13871294.258868001</v>
      </c>
      <c r="E76" s="114">
        <v>8262902.6031999998</v>
      </c>
      <c r="F76" s="114">
        <v>13948682.939999999</v>
      </c>
      <c r="G76" s="115">
        <v>11406585.912107</v>
      </c>
      <c r="H76" s="116">
        <f ca="1">SUM(B76:G76)</f>
        <v>114209970.60814402</v>
      </c>
      <c r="I76" s="116">
        <v>136595493.94</v>
      </c>
      <c r="J76" s="117">
        <f t="shared" ca="1" si="49"/>
        <v>126183374.00814408</v>
      </c>
      <c r="K76" s="118">
        <f t="shared" ca="1" si="62"/>
        <v>3677103.5860589147</v>
      </c>
      <c r="L76" s="119">
        <v>19559546.177359369</v>
      </c>
      <c r="M76" s="117">
        <f t="shared" ca="1" si="50"/>
        <v>10757750.397547653</v>
      </c>
      <c r="N76" s="117">
        <f t="shared" ca="1" si="51"/>
        <v>250805464.54814401</v>
      </c>
      <c r="O76" s="119">
        <f t="shared" ca="1" si="52"/>
        <v>240047714.15059635</v>
      </c>
      <c r="P76" s="117">
        <f t="shared" ca="1" si="53"/>
        <v>189227392.44999999</v>
      </c>
      <c r="Q76" s="118">
        <f t="shared" ca="1" si="54"/>
        <v>61578072.098143995</v>
      </c>
      <c r="R76" s="119">
        <f t="shared" ca="1" si="55"/>
        <v>47489465.714175001</v>
      </c>
      <c r="S76" s="117">
        <v>112265876.15999994</v>
      </c>
      <c r="T76" s="118">
        <v>12356214.380000001</v>
      </c>
      <c r="U76" s="119">
        <v>6071170.1100000003</v>
      </c>
      <c r="V76" s="120">
        <f t="shared" ca="1" si="63"/>
        <v>0.59328554236493125</v>
      </c>
      <c r="W76" s="120">
        <f t="shared" ca="1" si="63"/>
        <v>0.20065932496727881</v>
      </c>
      <c r="X76" s="120">
        <f t="shared" ca="1" si="63"/>
        <v>0.12784245976866893</v>
      </c>
      <c r="Y76" s="117">
        <f t="shared" ca="1" si="64"/>
        <v>124622090.53999993</v>
      </c>
      <c r="Z76" s="118">
        <f t="shared" ca="1" si="56"/>
        <v>124991891.16349992</v>
      </c>
      <c r="AA76" s="121">
        <f t="shared" ca="1" si="65"/>
        <v>0.49688746122227245</v>
      </c>
      <c r="AB76" s="122">
        <f t="shared" ca="1" si="65"/>
        <v>0.52069602747845789</v>
      </c>
      <c r="AC76" s="135"/>
      <c r="AD76" s="135"/>
      <c r="AE76" s="117">
        <f t="shared" ca="1" si="66"/>
        <v>250805464.54814401</v>
      </c>
      <c r="AF76" s="118">
        <f t="shared" ca="1" si="67"/>
        <v>240047714.15059635</v>
      </c>
      <c r="AG76" s="117"/>
      <c r="AH76" s="118"/>
      <c r="AI76" s="117"/>
      <c r="AJ76" s="117">
        <f t="shared" ca="1" si="68"/>
        <v>189227392.44999999</v>
      </c>
      <c r="AK76" s="118">
        <f t="shared" ca="1" si="68"/>
        <v>61578072.098143995</v>
      </c>
      <c r="AL76" s="119">
        <f t="shared" ca="1" si="68"/>
        <v>47489465.714175001</v>
      </c>
      <c r="AM76" s="117">
        <v>112265876.15999994</v>
      </c>
      <c r="AN76" s="118">
        <v>12356214.380000001</v>
      </c>
      <c r="AO76" s="119">
        <v>6071170.1100000003</v>
      </c>
      <c r="AP76" s="120">
        <f t="shared" ca="1" si="57"/>
        <v>0.59328554236493125</v>
      </c>
      <c r="AQ76" s="120">
        <f t="shared" ca="1" si="57"/>
        <v>0.20065932496727881</v>
      </c>
      <c r="AR76" s="120">
        <f t="shared" ca="1" si="57"/>
        <v>0.12784245976866893</v>
      </c>
      <c r="AS76" s="116">
        <f t="shared" ca="1" si="58"/>
        <v>124622090.53999993</v>
      </c>
      <c r="AT76" s="116">
        <f t="shared" ca="1" si="59"/>
        <v>124991891.16349992</v>
      </c>
      <c r="AU76" s="121">
        <f t="shared" ca="1" si="60"/>
        <v>0.49688746122227245</v>
      </c>
      <c r="AV76" s="122">
        <f t="shared" ca="1" si="60"/>
        <v>0.52069602747845789</v>
      </c>
      <c r="AW76" s="124"/>
      <c r="AX76" s="125">
        <f ca="1">Summary!I115</f>
        <v>672364.76999998093</v>
      </c>
      <c r="BA76" s="112"/>
    </row>
    <row r="77" spans="1:53" ht="18" customHeight="1" x14ac:dyDescent="0.25">
      <c r="A77" s="98" t="s">
        <v>118</v>
      </c>
      <c r="B77" s="126">
        <v>63602277.419999994</v>
      </c>
      <c r="C77" s="127">
        <v>17250160.7775</v>
      </c>
      <c r="D77" s="127">
        <v>10360999.113527998</v>
      </c>
      <c r="E77" s="127">
        <v>8917006.9678680003</v>
      </c>
      <c r="F77" s="127">
        <v>12844662.9432</v>
      </c>
      <c r="G77" s="128">
        <v>16885370.372106999</v>
      </c>
      <c r="H77" s="129">
        <f ca="1">SUM(B77:G77)</f>
        <v>129860477.594203</v>
      </c>
      <c r="I77" s="129">
        <v>119659408.10999998</v>
      </c>
      <c r="J77" s="130">
        <f t="shared" ca="1" si="49"/>
        <v>117706331.73420295</v>
      </c>
      <c r="K77" s="131">
        <f t="shared" ca="1" si="62"/>
        <v>12201489.211817056</v>
      </c>
      <c r="L77" s="132">
        <v>18954575.577359319</v>
      </c>
      <c r="M77" s="130">
        <f ca="1">L77*$M$1</f>
        <v>10425016.567547627</v>
      </c>
      <c r="N77" s="130">
        <f ca="1">SUM(H77:I77)</f>
        <v>249519885.70420298</v>
      </c>
      <c r="O77" s="132">
        <f t="shared" ca="1" si="52"/>
        <v>239094869.13665536</v>
      </c>
      <c r="P77" s="130">
        <f t="shared" ca="1" si="53"/>
        <v>183261685.52999997</v>
      </c>
      <c r="Q77" s="131">
        <f t="shared" ca="1" si="54"/>
        <v>66258200.174203001</v>
      </c>
      <c r="R77" s="132">
        <f t="shared" ca="1" si="55"/>
        <v>49008039.396702997</v>
      </c>
      <c r="S77" s="130">
        <v>114373514.60000002</v>
      </c>
      <c r="T77" s="131">
        <v>17440039.369999997</v>
      </c>
      <c r="U77" s="132">
        <v>8200695.3199999938</v>
      </c>
      <c r="V77" s="120">
        <f t="shared" ca="1" si="63"/>
        <v>0.62409943611086705</v>
      </c>
      <c r="W77" s="120">
        <f t="shared" ca="1" si="63"/>
        <v>0.26321329773744911</v>
      </c>
      <c r="X77" s="120">
        <f t="shared" ca="1" si="63"/>
        <v>0.16733367465729904</v>
      </c>
      <c r="Y77" s="130">
        <f ca="1">SUM(S77:T77)</f>
        <v>131813553.97000003</v>
      </c>
      <c r="Z77" s="131">
        <f t="shared" ca="1" si="56"/>
        <v>131843382.74699999</v>
      </c>
      <c r="AA77" s="133">
        <f t="shared" ca="1" si="65"/>
        <v>0.528268733363642</v>
      </c>
      <c r="AB77" s="134">
        <f t="shared" ca="1" si="65"/>
        <v>0.55142706835605293</v>
      </c>
      <c r="AC77" s="135"/>
      <c r="AD77" s="135"/>
      <c r="AE77" s="130">
        <f ca="1">N77-SUM(AC77:AD77)</f>
        <v>249519885.70420298</v>
      </c>
      <c r="AF77" s="131">
        <f ca="1">AE77-M77</f>
        <v>239094869.13665536</v>
      </c>
      <c r="AG77" s="130"/>
      <c r="AH77" s="131"/>
      <c r="AI77" s="130"/>
      <c r="AJ77" s="130">
        <f t="shared" ca="1" si="68"/>
        <v>183261685.52999997</v>
      </c>
      <c r="AK77" s="131">
        <f t="shared" ca="1" si="68"/>
        <v>66258200.174203001</v>
      </c>
      <c r="AL77" s="132">
        <f t="shared" ca="1" si="68"/>
        <v>49008039.396702997</v>
      </c>
      <c r="AM77" s="130">
        <v>114373514.60000002</v>
      </c>
      <c r="AN77" s="131">
        <v>17440039.369999997</v>
      </c>
      <c r="AO77" s="132">
        <v>8200695.3199999938</v>
      </c>
      <c r="AP77" s="120">
        <f t="shared" ca="1" si="57"/>
        <v>0.62409943611086705</v>
      </c>
      <c r="AQ77" s="120">
        <f t="shared" ca="1" si="57"/>
        <v>0.26321329773744911</v>
      </c>
      <c r="AR77" s="120">
        <f t="shared" ca="1" si="57"/>
        <v>0.16733367465729904</v>
      </c>
      <c r="AS77" s="129">
        <f t="shared" ca="1" si="58"/>
        <v>131813553.97000003</v>
      </c>
      <c r="AT77" s="129">
        <f t="shared" ca="1" si="59"/>
        <v>131843382.74699999</v>
      </c>
      <c r="AU77" s="133">
        <f t="shared" ca="1" si="60"/>
        <v>0.528268733363642</v>
      </c>
      <c r="AV77" s="134">
        <f t="shared" ca="1" si="60"/>
        <v>0.55142706835605293</v>
      </c>
      <c r="AW77" s="124"/>
      <c r="AX77" s="136">
        <f ca="1">Summary!I116</f>
        <v>54234.13999992609</v>
      </c>
      <c r="BA77" s="112"/>
    </row>
    <row r="78" spans="1:53" x14ac:dyDescent="0.25">
      <c r="A78" s="98" t="s">
        <v>119</v>
      </c>
      <c r="B78" s="113">
        <v>41124244.310000032</v>
      </c>
      <c r="C78" s="114">
        <v>31536691.921247993</v>
      </c>
      <c r="D78" s="114">
        <v>14759141.257499998</v>
      </c>
      <c r="E78" s="114">
        <v>7630181.7599999988</v>
      </c>
      <c r="F78" s="114">
        <v>14620047.862434994</v>
      </c>
      <c r="G78" s="115">
        <v>20237513.834836993</v>
      </c>
      <c r="H78" s="116">
        <f ca="1">SUM(B78:G78)</f>
        <v>129907820.94602001</v>
      </c>
      <c r="I78" s="116">
        <v>138320213.79000008</v>
      </c>
      <c r="J78" s="117">
        <f t="shared" ca="1" si="49"/>
        <v>126287273.22602001</v>
      </c>
      <c r="K78" s="118">
        <f ca="1">H79-J78</f>
        <v>10703359.591594964</v>
      </c>
      <c r="L78" s="119">
        <v>24192095.79735915</v>
      </c>
      <c r="M78" s="117">
        <f ca="1">L78*$M$1</f>
        <v>13305652.688547533</v>
      </c>
      <c r="N78" s="117">
        <f ca="1">SUM(H78:I78)</f>
        <v>268228034.73602009</v>
      </c>
      <c r="O78" s="119">
        <f t="shared" ca="1" si="52"/>
        <v>254922382.04747257</v>
      </c>
      <c r="P78" s="117">
        <f t="shared" ca="1" si="53"/>
        <v>179444458.10000011</v>
      </c>
      <c r="Q78" s="118">
        <f t="shared" ca="1" si="54"/>
        <v>88783576.636019975</v>
      </c>
      <c r="R78" s="119">
        <f t="shared" ca="1" si="55"/>
        <v>57246884.714771986</v>
      </c>
      <c r="S78" s="117">
        <v>121978046.27000009</v>
      </c>
      <c r="T78" s="118">
        <v>19962715.240000002</v>
      </c>
      <c r="U78" s="119">
        <v>8728650.4999999963</v>
      </c>
      <c r="V78" s="120">
        <f t="shared" ca="1" si="63"/>
        <v>0.67975376649427999</v>
      </c>
      <c r="W78" s="120">
        <f t="shared" ca="1" si="63"/>
        <v>0.22484693674641873</v>
      </c>
      <c r="X78" s="120">
        <f t="shared" ca="1" si="63"/>
        <v>0.15247380784980349</v>
      </c>
      <c r="Y78" s="117">
        <f ca="1">SUM(S78:T78)</f>
        <v>141940761.51000008</v>
      </c>
      <c r="Z78" s="118">
        <f t="shared" ca="1" si="56"/>
        <v>142942124.99950033</v>
      </c>
      <c r="AA78" s="121">
        <f t="shared" ca="1" si="65"/>
        <v>0.52917944110388315</v>
      </c>
      <c r="AB78" s="122">
        <f t="shared" ca="1" si="65"/>
        <v>0.56072802965132007</v>
      </c>
      <c r="AC78" s="135"/>
      <c r="AD78" s="135"/>
      <c r="AE78" s="117">
        <f ca="1">N78-SUM(AC78:AD78)</f>
        <v>268228034.73602009</v>
      </c>
      <c r="AF78" s="118">
        <f ca="1">AE78-M78</f>
        <v>254922382.04747257</v>
      </c>
      <c r="AG78" s="117"/>
      <c r="AH78" s="118"/>
      <c r="AI78" s="117"/>
      <c r="AJ78" s="117">
        <f t="shared" ca="1" si="68"/>
        <v>179444458.10000011</v>
      </c>
      <c r="AK78" s="118">
        <f t="shared" ca="1" si="68"/>
        <v>88783576.636019975</v>
      </c>
      <c r="AL78" s="119">
        <f t="shared" ca="1" si="68"/>
        <v>57246884.714771986</v>
      </c>
      <c r="AM78" s="117">
        <v>121978046.27000009</v>
      </c>
      <c r="AN78" s="118">
        <v>19962715.240000002</v>
      </c>
      <c r="AO78" s="119">
        <v>8728650.4999999963</v>
      </c>
      <c r="AP78" s="120">
        <f t="shared" ca="1" si="57"/>
        <v>0.67975376649427999</v>
      </c>
      <c r="AQ78" s="120">
        <f t="shared" ca="1" si="57"/>
        <v>0.22484693674641873</v>
      </c>
      <c r="AR78" s="120">
        <f t="shared" ca="1" si="57"/>
        <v>0.15247380784980349</v>
      </c>
      <c r="AS78" s="116">
        <f t="shared" ca="1" si="58"/>
        <v>141940761.51000008</v>
      </c>
      <c r="AT78" s="116">
        <f t="shared" ca="1" si="59"/>
        <v>142942124.99950033</v>
      </c>
      <c r="AU78" s="121">
        <f t="shared" ca="1" si="60"/>
        <v>0.52917944110388315</v>
      </c>
      <c r="AV78" s="122">
        <f t="shared" ca="1" si="60"/>
        <v>0.56072802965132007</v>
      </c>
      <c r="AW78" s="124"/>
      <c r="AX78" s="125">
        <f ca="1">Summary!I117</f>
        <v>1820660.8900004625</v>
      </c>
      <c r="BA78" s="112"/>
    </row>
    <row r="79" spans="1:53" ht="18" customHeight="1" x14ac:dyDescent="0.25">
      <c r="A79" s="98" t="s">
        <v>120</v>
      </c>
      <c r="B79" s="126">
        <v>45305639.640000008</v>
      </c>
      <c r="C79" s="127">
        <v>21961005.955096591</v>
      </c>
      <c r="D79" s="127">
        <v>20155938.999999985</v>
      </c>
      <c r="E79" s="127">
        <v>14070433.233331876</v>
      </c>
      <c r="F79" s="127">
        <v>12734627.739566863</v>
      </c>
      <c r="G79" s="128">
        <v>22762987.24961964</v>
      </c>
      <c r="H79" s="129">
        <f ca="1">SUM(B79:G79)</f>
        <v>136990632.81761497</v>
      </c>
      <c r="I79" s="129">
        <v>120199920.37</v>
      </c>
      <c r="J79" s="130">
        <f ca="1">SUM(H79:I79)-SUM(S79:T79)</f>
        <v>147279683.09761491</v>
      </c>
      <c r="K79" s="131">
        <f ca="1">H80-J79</f>
        <v>-14451538.067614898</v>
      </c>
      <c r="L79" s="132">
        <v>30763839.297358882</v>
      </c>
      <c r="M79" s="130">
        <f ca="1">L79*$M$1</f>
        <v>16920111.613547385</v>
      </c>
      <c r="N79" s="130">
        <f ca="1">SUM(H79:I79)</f>
        <v>257190553.18761498</v>
      </c>
      <c r="O79" s="132">
        <f t="shared" ca="1" si="52"/>
        <v>240270441.57406759</v>
      </c>
      <c r="P79" s="130">
        <f t="shared" ca="1" si="53"/>
        <v>165505560.01000002</v>
      </c>
      <c r="Q79" s="131">
        <f t="shared" ca="1" si="54"/>
        <v>91684993.177614957</v>
      </c>
      <c r="R79" s="132">
        <f t="shared" ca="1" si="55"/>
        <v>69723987.222518355</v>
      </c>
      <c r="S79" s="130">
        <v>88811729.290000066</v>
      </c>
      <c r="T79" s="131">
        <v>21099140.799999997</v>
      </c>
      <c r="U79" s="132">
        <v>11840826.350000003</v>
      </c>
      <c r="V79" s="120">
        <f t="shared" ca="1" si="63"/>
        <v>0.53660873558951117</v>
      </c>
      <c r="W79" s="120">
        <f t="shared" ca="1" si="63"/>
        <v>0.23012643693091736</v>
      </c>
      <c r="X79" s="120">
        <f t="shared" ca="1" si="63"/>
        <v>0.16982428604105762</v>
      </c>
      <c r="Y79" s="130">
        <f ca="1">SUM(S79:T79)</f>
        <v>109910870.09000006</v>
      </c>
      <c r="Z79" s="131">
        <f t="shared" ca="1" si="56"/>
        <v>111031492.1585</v>
      </c>
      <c r="AA79" s="133">
        <f t="shared" ca="1" si="65"/>
        <v>0.42735189425803849</v>
      </c>
      <c r="AB79" s="134">
        <f t="shared" ca="1" si="65"/>
        <v>0.46211049278932043</v>
      </c>
      <c r="AC79" s="135"/>
      <c r="AD79" s="135"/>
      <c r="AE79" s="130">
        <f ca="1">N79-SUM(AC79:AD79)</f>
        <v>257190553.18761498</v>
      </c>
      <c r="AF79" s="131">
        <f ca="1">AE79-M79</f>
        <v>240270441.57406759</v>
      </c>
      <c r="AG79" s="130"/>
      <c r="AH79" s="131"/>
      <c r="AI79" s="130"/>
      <c r="AJ79" s="130">
        <f t="shared" ca="1" si="68"/>
        <v>165505560.01000002</v>
      </c>
      <c r="AK79" s="131">
        <f t="shared" ca="1" si="68"/>
        <v>91684993.177614957</v>
      </c>
      <c r="AL79" s="132">
        <f t="shared" ca="1" si="68"/>
        <v>69723987.222518355</v>
      </c>
      <c r="AM79" s="130">
        <v>88811729.290000066</v>
      </c>
      <c r="AN79" s="131">
        <v>21099140.799999997</v>
      </c>
      <c r="AO79" s="132">
        <v>11840826.350000003</v>
      </c>
      <c r="AP79" s="120">
        <f t="shared" ca="1" si="57"/>
        <v>0.53660873558951117</v>
      </c>
      <c r="AQ79" s="120">
        <f t="shared" ca="1" si="57"/>
        <v>0.23012643693091736</v>
      </c>
      <c r="AR79" s="120">
        <f t="shared" ca="1" si="57"/>
        <v>0.16982428604105762</v>
      </c>
      <c r="AS79" s="129">
        <f t="shared" ca="1" si="58"/>
        <v>109910870.09000006</v>
      </c>
      <c r="AT79" s="129">
        <f t="shared" ca="1" si="59"/>
        <v>111031492.1585</v>
      </c>
      <c r="AU79" s="133">
        <f t="shared" ca="1" si="60"/>
        <v>0.42735189425803849</v>
      </c>
      <c r="AV79" s="134">
        <f t="shared" ca="1" si="60"/>
        <v>0.46211049278932043</v>
      </c>
      <c r="AW79" s="124"/>
      <c r="AX79" s="136">
        <f ca="1">Summary!I118</f>
        <v>2037494.6699998975</v>
      </c>
      <c r="BA79" s="112"/>
    </row>
    <row r="80" spans="1:53" x14ac:dyDescent="0.25">
      <c r="A80" s="98" t="s">
        <v>121</v>
      </c>
      <c r="B80" s="113">
        <v>48899760.160000019</v>
      </c>
      <c r="C80" s="114">
        <v>25601507.689999998</v>
      </c>
      <c r="D80" s="114">
        <v>13239625.149999997</v>
      </c>
      <c r="E80" s="114">
        <v>15198510.719999999</v>
      </c>
      <c r="F80" s="114">
        <v>15070627.130000003</v>
      </c>
      <c r="G80" s="115">
        <v>14818114.179999998</v>
      </c>
      <c r="H80" s="116">
        <f ca="1">SUM(B80:G80)</f>
        <v>132828145.03000002</v>
      </c>
      <c r="I80" s="116">
        <v>103711299.84000002</v>
      </c>
      <c r="J80" s="117">
        <f ca="1">SUM(H80:I80)-SUM(S80:T80)</f>
        <v>132118945.73000002</v>
      </c>
      <c r="K80" s="118"/>
      <c r="L80" s="119">
        <v>35861332.467358992</v>
      </c>
      <c r="M80" s="117">
        <f ca="1">L80*$M$1</f>
        <v>19723732.857047446</v>
      </c>
      <c r="N80" s="117">
        <f ca="1">SUM(H80:I80)</f>
        <v>236539444.87000003</v>
      </c>
      <c r="O80" s="119">
        <f ca="1">$N80-$M80</f>
        <v>216815712.0129526</v>
      </c>
      <c r="P80" s="117">
        <f ca="1">SUM($I80,$B80)</f>
        <v>152611060.00000003</v>
      </c>
      <c r="Q80" s="118">
        <f ca="1">SUM($C80:$G80)</f>
        <v>83928384.86999999</v>
      </c>
      <c r="R80" s="119">
        <f ca="1">SUM($D80:$G80)</f>
        <v>58326877.18</v>
      </c>
      <c r="S80" s="117">
        <v>89534934.950000018</v>
      </c>
      <c r="T80" s="118">
        <v>14885564.189999998</v>
      </c>
      <c r="U80" s="119">
        <v>9636414.8299999963</v>
      </c>
      <c r="V80" s="120">
        <f t="shared" ca="1" si="63"/>
        <v>0.58668706547218796</v>
      </c>
      <c r="W80" s="120">
        <f t="shared" ca="1" si="63"/>
        <v>0.17736030799421243</v>
      </c>
      <c r="X80" s="120">
        <f t="shared" ca="1" si="63"/>
        <v>0.16521396817219414</v>
      </c>
      <c r="Y80" s="117">
        <f ca="1">SUM(S80:T80)</f>
        <v>104420499.14000002</v>
      </c>
      <c r="Z80" s="118">
        <f t="shared" ca="1" si="56"/>
        <v>105175953.73550007</v>
      </c>
      <c r="AA80" s="121">
        <f t="shared" ca="1" si="65"/>
        <v>0.44145068150214267</v>
      </c>
      <c r="AB80" s="122">
        <f t="shared" ca="1" si="65"/>
        <v>0.48509378199130165</v>
      </c>
      <c r="AC80" s="135"/>
      <c r="AD80" s="135"/>
      <c r="AE80" s="117">
        <f ca="1">N80-SUM(AC80:AD80)</f>
        <v>236539444.87000003</v>
      </c>
      <c r="AF80" s="118">
        <f ca="1">AE80-M80</f>
        <v>216815712.0129526</v>
      </c>
      <c r="AG80" s="117"/>
      <c r="AH80" s="118"/>
      <c r="AI80" s="117"/>
      <c r="AJ80" s="117">
        <f t="shared" ca="1" si="68"/>
        <v>152611060.00000003</v>
      </c>
      <c r="AK80" s="118">
        <f t="shared" ca="1" si="68"/>
        <v>83928384.86999999</v>
      </c>
      <c r="AL80" s="119">
        <f t="shared" ca="1" si="68"/>
        <v>58326877.18</v>
      </c>
      <c r="AM80" s="117">
        <v>89534934.950000018</v>
      </c>
      <c r="AN80" s="118">
        <v>14885564.189999998</v>
      </c>
      <c r="AO80" s="119">
        <v>9636414.8299999963</v>
      </c>
      <c r="AP80" s="120">
        <f t="shared" ca="1" si="57"/>
        <v>0.58668706547218796</v>
      </c>
      <c r="AQ80" s="120">
        <f t="shared" ca="1" si="57"/>
        <v>0.17736030799421243</v>
      </c>
      <c r="AR80" s="120">
        <f t="shared" ca="1" si="57"/>
        <v>0.16521396817219414</v>
      </c>
      <c r="AS80" s="116">
        <f t="shared" ca="1" si="58"/>
        <v>104420499.14000002</v>
      </c>
      <c r="AT80" s="116">
        <f t="shared" ca="1" si="59"/>
        <v>105175953.73550007</v>
      </c>
      <c r="AU80" s="121">
        <f t="shared" ca="1" si="60"/>
        <v>0.44145068150214267</v>
      </c>
      <c r="AV80" s="122">
        <f t="shared" ca="1" si="60"/>
        <v>0.48509378199130165</v>
      </c>
      <c r="AW80" s="124"/>
      <c r="AX80" s="125">
        <f ca="1">Summary!I119</f>
        <v>1373553.8100000918</v>
      </c>
      <c r="BA80" s="112"/>
    </row>
    <row r="81" spans="1:53" ht="15.75" thickBot="1" x14ac:dyDescent="0.3"/>
    <row r="82" spans="1:53" ht="32.65" customHeight="1" thickBot="1" x14ac:dyDescent="0.55000000000000004">
      <c r="B82" s="159" t="s">
        <v>21</v>
      </c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 t="s">
        <v>21</v>
      </c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1"/>
      <c r="AD82" s="161"/>
      <c r="AE82" s="160" t="s">
        <v>21</v>
      </c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1"/>
      <c r="AX82" s="162"/>
    </row>
    <row r="83" spans="1:53" ht="23.65" customHeight="1" thickBot="1" x14ac:dyDescent="0.3">
      <c r="A83" s="61">
        <v>2026</v>
      </c>
      <c r="B83" s="62" t="s">
        <v>68</v>
      </c>
      <c r="C83" s="63"/>
      <c r="D83" s="63"/>
      <c r="E83" s="63"/>
      <c r="F83" s="63"/>
      <c r="G83" s="63"/>
      <c r="H83" s="64"/>
      <c r="I83" s="65"/>
      <c r="J83" s="66"/>
      <c r="K83" s="66"/>
      <c r="L83" s="65"/>
      <c r="N83" s="67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9"/>
      <c r="AC83" s="66"/>
      <c r="AD83" s="66"/>
      <c r="AE83" s="70"/>
      <c r="AF83" s="71"/>
      <c r="AG83" s="71"/>
      <c r="AH83" s="71"/>
      <c r="AI83" s="71"/>
      <c r="AJ83" s="72"/>
      <c r="AK83" s="72"/>
      <c r="AL83" s="72"/>
      <c r="AM83" s="72"/>
      <c r="AN83" s="72"/>
      <c r="AO83" s="72"/>
      <c r="AP83" s="71"/>
      <c r="AQ83" s="71"/>
      <c r="AR83" s="71"/>
      <c r="AS83" s="71"/>
      <c r="AT83" s="71"/>
      <c r="AU83" s="71"/>
      <c r="AV83" s="73"/>
      <c r="AX83" s="66"/>
    </row>
    <row r="84" spans="1:53" ht="66.599999999999994" customHeight="1" thickBot="1" x14ac:dyDescent="0.3">
      <c r="A84" s="74" t="s">
        <v>71</v>
      </c>
      <c r="B84" s="141" t="s">
        <v>72</v>
      </c>
      <c r="C84" s="142" t="s">
        <v>73</v>
      </c>
      <c r="D84" s="142" t="s">
        <v>74</v>
      </c>
      <c r="E84" s="142" t="s">
        <v>75</v>
      </c>
      <c r="F84" s="142" t="s">
        <v>76</v>
      </c>
      <c r="G84" s="143" t="s">
        <v>77</v>
      </c>
      <c r="H84" s="144" t="s">
        <v>78</v>
      </c>
      <c r="I84" s="145" t="s">
        <v>79</v>
      </c>
      <c r="J84" s="146" t="s">
        <v>80</v>
      </c>
      <c r="K84" s="146" t="s">
        <v>81</v>
      </c>
      <c r="L84" s="145" t="s">
        <v>82</v>
      </c>
      <c r="M84" s="146" t="s">
        <v>83</v>
      </c>
      <c r="N84" s="147" t="s">
        <v>84</v>
      </c>
      <c r="O84" s="148" t="s">
        <v>85</v>
      </c>
      <c r="P84" s="149" t="s">
        <v>86</v>
      </c>
      <c r="Q84" s="149" t="s">
        <v>87</v>
      </c>
      <c r="R84" s="149" t="s">
        <v>88</v>
      </c>
      <c r="S84" s="150" t="s">
        <v>89</v>
      </c>
      <c r="T84" s="150" t="s">
        <v>90</v>
      </c>
      <c r="U84" s="150" t="s">
        <v>91</v>
      </c>
      <c r="V84" s="151" t="s">
        <v>92</v>
      </c>
      <c r="W84" s="151" t="s">
        <v>93</v>
      </c>
      <c r="X84" s="151" t="s">
        <v>94</v>
      </c>
      <c r="Y84" s="152" t="s">
        <v>95</v>
      </c>
      <c r="Z84" s="153" t="s">
        <v>96</v>
      </c>
      <c r="AA84" s="154" t="s">
        <v>97</v>
      </c>
      <c r="AB84" s="155" t="s">
        <v>98</v>
      </c>
      <c r="AC84" s="146" t="s">
        <v>123</v>
      </c>
      <c r="AD84" s="146" t="s">
        <v>122</v>
      </c>
      <c r="AE84" s="148" t="s">
        <v>101</v>
      </c>
      <c r="AF84" s="148" t="s">
        <v>102</v>
      </c>
      <c r="AG84" s="156" t="s">
        <v>103</v>
      </c>
      <c r="AH84" s="156" t="s">
        <v>104</v>
      </c>
      <c r="AI84" s="156" t="s">
        <v>105</v>
      </c>
      <c r="AJ84" s="157" t="s">
        <v>106</v>
      </c>
      <c r="AK84" s="149" t="s">
        <v>107</v>
      </c>
      <c r="AL84" s="149" t="s">
        <v>108</v>
      </c>
      <c r="AM84" s="150" t="s">
        <v>89</v>
      </c>
      <c r="AN84" s="150" t="s">
        <v>90</v>
      </c>
      <c r="AO84" s="150" t="s">
        <v>91</v>
      </c>
      <c r="AP84" s="151" t="s">
        <v>92</v>
      </c>
      <c r="AQ84" s="151" t="s">
        <v>93</v>
      </c>
      <c r="AR84" s="158" t="s">
        <v>94</v>
      </c>
      <c r="AS84" s="152" t="s">
        <v>95</v>
      </c>
      <c r="AT84" s="153" t="s">
        <v>96</v>
      </c>
      <c r="AU84" s="154" t="s">
        <v>97</v>
      </c>
      <c r="AV84" s="155" t="s">
        <v>98</v>
      </c>
      <c r="AX84" s="97" t="s">
        <v>109</v>
      </c>
    </row>
    <row r="85" spans="1:53" ht="18" customHeight="1" x14ac:dyDescent="0.25">
      <c r="A85" s="98" t="s">
        <v>110</v>
      </c>
      <c r="B85" s="99">
        <v>37999151.049999997</v>
      </c>
      <c r="C85" s="100">
        <v>24598582.640000001</v>
      </c>
      <c r="D85" s="100">
        <v>16459429.220000001</v>
      </c>
      <c r="E85" s="100">
        <v>11240908.700000001</v>
      </c>
      <c r="F85" s="100">
        <v>21363369.68</v>
      </c>
      <c r="G85" s="101">
        <v>16222120.749999998</v>
      </c>
      <c r="H85" s="102">
        <f ca="1">SUM(B85:G85)</f>
        <v>127883562.03999999</v>
      </c>
      <c r="I85" s="102">
        <v>129758636.57000002</v>
      </c>
      <c r="J85" s="103">
        <f ca="1">SUM(H85:I85)-SUM(S85:T85)</f>
        <v>127395578.12000002</v>
      </c>
      <c r="K85" s="104">
        <f ca="1">H86-J85</f>
        <v>22482973.319999978</v>
      </c>
      <c r="L85" s="105">
        <v>34113848.077359617</v>
      </c>
      <c r="M85" s="103">
        <f ca="1">L85*$M$1</f>
        <v>18762616.442547791</v>
      </c>
      <c r="N85" s="103">
        <f ca="1">SUM(H85:I85)</f>
        <v>257642198.61000001</v>
      </c>
      <c r="O85" s="105">
        <f ca="1">$N85-$M85</f>
        <v>238879582.16745222</v>
      </c>
      <c r="P85" s="103">
        <f ca="1">SUM($I85,$B85)</f>
        <v>167757787.62</v>
      </c>
      <c r="Q85" s="104">
        <f ca="1">SUM($C85:$G85)</f>
        <v>89884410.99000001</v>
      </c>
      <c r="R85" s="105">
        <f ca="1">SUM($D85:$G85)</f>
        <v>65285828.350000001</v>
      </c>
      <c r="S85" s="103">
        <v>113769491.50999999</v>
      </c>
      <c r="T85" s="104">
        <v>16477128.980000008</v>
      </c>
      <c r="U85" s="105">
        <v>9069277.5800000057</v>
      </c>
      <c r="V85" s="106">
        <f t="shared" ref="V85:X88" ca="1" si="69">S85/P85</f>
        <v>0.67817710953429644</v>
      </c>
      <c r="W85" s="106">
        <f t="shared" ca="1" si="69"/>
        <v>0.18331464598275171</v>
      </c>
      <c r="X85" s="106">
        <f t="shared" ca="1" si="69"/>
        <v>0.13891648171145562</v>
      </c>
      <c r="Y85" s="103">
        <f ca="1">SUM(S85:T85)</f>
        <v>130246620.48999999</v>
      </c>
      <c r="Z85" s="104">
        <f ca="1">SUM(S85:T85)+MAX(0,$M$1*$AX85)</f>
        <v>130246620.48999999</v>
      </c>
      <c r="AA85" s="107">
        <f t="shared" ref="AA85:AB87" ca="1" si="70">Y85/N85</f>
        <v>0.50553294915464464</v>
      </c>
      <c r="AB85" s="108">
        <f t="shared" ca="1" si="70"/>
        <v>0.54523965300097688</v>
      </c>
      <c r="AC85" s="109"/>
      <c r="AD85" s="109"/>
      <c r="AE85" s="103">
        <f ca="1">N85-SUM(AC85:AD85)</f>
        <v>257642198.61000001</v>
      </c>
      <c r="AF85" s="104">
        <f ca="1">AE85-M85</f>
        <v>238879582.16745222</v>
      </c>
      <c r="AG85" s="103"/>
      <c r="AH85" s="104"/>
      <c r="AI85" s="103"/>
      <c r="AJ85" s="103">
        <f t="shared" ref="AJ85:AL88" ca="1" si="71">P85-AG85</f>
        <v>167757787.62</v>
      </c>
      <c r="AK85" s="104">
        <f t="shared" ca="1" si="71"/>
        <v>89884410.99000001</v>
      </c>
      <c r="AL85" s="105">
        <f t="shared" ca="1" si="71"/>
        <v>65285828.350000001</v>
      </c>
      <c r="AM85" s="103">
        <v>113769491.50999999</v>
      </c>
      <c r="AN85" s="104">
        <v>16477128.980000008</v>
      </c>
      <c r="AO85" s="105">
        <v>9069277.5800000057</v>
      </c>
      <c r="AP85" s="106">
        <f t="shared" ref="AP85:AR88" ca="1" si="72">AM85/AJ85</f>
        <v>0.67817710953429644</v>
      </c>
      <c r="AQ85" s="106">
        <f t="shared" ca="1" si="72"/>
        <v>0.18331464598275171</v>
      </c>
      <c r="AR85" s="106">
        <f t="shared" ca="1" si="72"/>
        <v>0.13891648171145562</v>
      </c>
      <c r="AS85" s="102">
        <f ca="1">SUM(AM85:AN85)</f>
        <v>130246620.48999999</v>
      </c>
      <c r="AT85" s="102">
        <f ca="1">SUM(AM85:AN85)+MAX(0,$M$1*$AX85)</f>
        <v>130246620.48999999</v>
      </c>
      <c r="AU85" s="107">
        <f t="shared" ref="AU85:AV87" ca="1" si="73">AS85/AE85</f>
        <v>0.50553294915464464</v>
      </c>
      <c r="AV85" s="108">
        <f t="shared" ca="1" si="73"/>
        <v>0.54523965300097688</v>
      </c>
      <c r="AW85" s="110"/>
      <c r="AX85" s="111">
        <f ca="1">Summary!I121</f>
        <v>0</v>
      </c>
      <c r="BA85" s="112"/>
    </row>
    <row r="86" spans="1:53" outlineLevel="1" x14ac:dyDescent="0.25">
      <c r="A86" s="98" t="s">
        <v>111</v>
      </c>
      <c r="B86" s="113">
        <v>58122724.859999999</v>
      </c>
      <c r="C86" s="114">
        <v>19593035.880000003</v>
      </c>
      <c r="D86" s="114">
        <v>20236450.579999998</v>
      </c>
      <c r="E86" s="114">
        <v>12412199.34</v>
      </c>
      <c r="F86" s="114">
        <v>21131977.399999999</v>
      </c>
      <c r="G86" s="115">
        <v>18382163.379999995</v>
      </c>
      <c r="H86" s="116">
        <f ca="1">SUM(B86:G86)</f>
        <v>149878551.44</v>
      </c>
      <c r="I86" s="116">
        <v>130487484.88</v>
      </c>
      <c r="J86" s="117">
        <f ca="1">SUM(H86:I86)-SUM(S86:T86)</f>
        <v>154549058.84000009</v>
      </c>
      <c r="K86" s="118">
        <f ca="1">H87-J86</f>
        <v>-16596156.420000106</v>
      </c>
      <c r="L86" s="119">
        <v>41315236</v>
      </c>
      <c r="M86" s="117">
        <f ca="1">L86*$M$1</f>
        <v>22723379.800000001</v>
      </c>
      <c r="N86" s="117">
        <f ca="1">SUM(H86:I86)</f>
        <v>280366036.31999999</v>
      </c>
      <c r="O86" s="119">
        <f ca="1">$N86-$M86</f>
        <v>257642656.51999998</v>
      </c>
      <c r="P86" s="117">
        <f ca="1">SUM($I86,$B86)</f>
        <v>188610209.74000001</v>
      </c>
      <c r="Q86" s="118">
        <f ca="1">SUM($C86:$G86)</f>
        <v>91755826.579999983</v>
      </c>
      <c r="R86" s="119">
        <f ca="1">SUM($D86:$G86)</f>
        <v>72162790.699999988</v>
      </c>
      <c r="S86" s="117">
        <v>112277320.2799999</v>
      </c>
      <c r="T86" s="118">
        <v>13539657.199999997</v>
      </c>
      <c r="U86" s="119">
        <v>7326982.2399999965</v>
      </c>
      <c r="V86" s="120">
        <f t="shared" ca="1" si="69"/>
        <v>0.59528760630071231</v>
      </c>
      <c r="W86" s="120">
        <f t="shared" ca="1" si="69"/>
        <v>0.14756182473267845</v>
      </c>
      <c r="X86" s="120">
        <f t="shared" ca="1" si="69"/>
        <v>0.10153407551074653</v>
      </c>
      <c r="Y86" s="117">
        <f ca="1">SUM(S86:T86)</f>
        <v>125816977.4799999</v>
      </c>
      <c r="Z86" s="118">
        <f ca="1">SUM(S86:T86)+MAX(0,$M$1*$AX86)</f>
        <v>126265968.24199995</v>
      </c>
      <c r="AA86" s="121">
        <f t="shared" ca="1" si="70"/>
        <v>0.44875969689993689</v>
      </c>
      <c r="AB86" s="122">
        <f t="shared" ca="1" si="70"/>
        <v>0.49008176653464341</v>
      </c>
      <c r="AC86" s="123"/>
      <c r="AD86" s="123"/>
      <c r="AE86" s="117">
        <f ca="1">N86-SUM(AC86:AD86)</f>
        <v>280366036.31999999</v>
      </c>
      <c r="AF86" s="118">
        <f ca="1">AE86-M86</f>
        <v>257642656.51999998</v>
      </c>
      <c r="AG86" s="117"/>
      <c r="AH86" s="118"/>
      <c r="AI86" s="117"/>
      <c r="AJ86" s="117">
        <f t="shared" ca="1" si="71"/>
        <v>188610209.74000001</v>
      </c>
      <c r="AK86" s="118">
        <f t="shared" ca="1" si="71"/>
        <v>91755826.579999983</v>
      </c>
      <c r="AL86" s="119">
        <f t="shared" ca="1" si="71"/>
        <v>72162790.699999988</v>
      </c>
      <c r="AM86" s="117">
        <v>112277320.2799999</v>
      </c>
      <c r="AN86" s="118">
        <v>13539657.199999997</v>
      </c>
      <c r="AO86" s="119">
        <v>7326982.2399999965</v>
      </c>
      <c r="AP86" s="120">
        <f t="shared" ca="1" si="72"/>
        <v>0.59528760630071231</v>
      </c>
      <c r="AQ86" s="120">
        <f t="shared" ca="1" si="72"/>
        <v>0.14756182473267845</v>
      </c>
      <c r="AR86" s="120">
        <f t="shared" ca="1" si="72"/>
        <v>0.10153407551074653</v>
      </c>
      <c r="AS86" s="116">
        <f ca="1">SUM(AM86:AN86)</f>
        <v>125816977.4799999</v>
      </c>
      <c r="AT86" s="116">
        <f ca="1">SUM(AM86:AN86)+MAX(0,$M$1*$AX86)</f>
        <v>126265968.24199995</v>
      </c>
      <c r="AU86" s="121">
        <f t="shared" ca="1" si="73"/>
        <v>0.44875969689993689</v>
      </c>
      <c r="AV86" s="122">
        <f t="shared" ca="1" si="73"/>
        <v>0.49008176653464341</v>
      </c>
      <c r="AW86" s="124"/>
      <c r="AX86" s="125">
        <f ca="1">Summary!I122</f>
        <v>816346.84000009298</v>
      </c>
      <c r="BA86" s="112"/>
    </row>
    <row r="87" spans="1:53" ht="18" customHeight="1" outlineLevel="1" x14ac:dyDescent="0.25">
      <c r="A87" s="98" t="s">
        <v>112</v>
      </c>
      <c r="B87" s="126">
        <v>55462510.829999998</v>
      </c>
      <c r="C87" s="127">
        <v>21042019.599999998</v>
      </c>
      <c r="D87" s="127">
        <v>19168818.469999999</v>
      </c>
      <c r="E87" s="127">
        <v>11024066.960000001</v>
      </c>
      <c r="F87" s="127">
        <v>15562185.9</v>
      </c>
      <c r="G87" s="128">
        <v>15693300.66</v>
      </c>
      <c r="H87" s="129">
        <f ca="1">SUM(B87:G87)</f>
        <v>137952902.41999999</v>
      </c>
      <c r="I87" s="129">
        <v>146091773.95000005</v>
      </c>
      <c r="J87" s="130">
        <f ca="1">SUM(H87:I87)-SUM(S87:T87)</f>
        <v>180339468.47</v>
      </c>
      <c r="K87" s="131">
        <f ca="1">H88-J87</f>
        <v>3090882.6299999952</v>
      </c>
      <c r="L87" s="132">
        <v>27880730.037159503</v>
      </c>
      <c r="M87" s="130">
        <f ca="1">L87*$M$1</f>
        <v>15334401.520437727</v>
      </c>
      <c r="N87" s="130">
        <f ca="1">SUM(H87:I87)</f>
        <v>284044676.37</v>
      </c>
      <c r="O87" s="132">
        <f ca="1">$N87-$M87</f>
        <v>268710274.84956229</v>
      </c>
      <c r="P87" s="130">
        <f ca="1">SUM($I87,$B87)</f>
        <v>201554284.78000003</v>
      </c>
      <c r="Q87" s="131">
        <f ca="1">SUM($C87:$G87)</f>
        <v>82490391.589999989</v>
      </c>
      <c r="R87" s="132">
        <f ca="1">SUM($D87:$G87)</f>
        <v>61448371.989999995</v>
      </c>
      <c r="S87" s="130">
        <v>93176213.549999997</v>
      </c>
      <c r="T87" s="131">
        <v>10528994.350000003</v>
      </c>
      <c r="U87" s="132">
        <v>4323032.5500000026</v>
      </c>
      <c r="V87" s="120">
        <f t="shared" ca="1" si="69"/>
        <v>0.46228842840877055</v>
      </c>
      <c r="W87" s="120">
        <f t="shared" ca="1" si="69"/>
        <v>0.12763903949361777</v>
      </c>
      <c r="X87" s="120">
        <f t="shared" ca="1" si="69"/>
        <v>7.0352271508568626E-2</v>
      </c>
      <c r="Y87" s="130">
        <f ca="1">SUM(S87:T87)</f>
        <v>103705207.90000001</v>
      </c>
      <c r="Z87" s="131">
        <f ca="1">SUM(S87:T87)+MAX(0,$M$1*$AX87)</f>
        <v>104533609.59499998</v>
      </c>
      <c r="AA87" s="133">
        <f t="shared" ca="1" si="70"/>
        <v>0.36510174816623692</v>
      </c>
      <c r="AB87" s="134">
        <f t="shared" ca="1" si="70"/>
        <v>0.38901977102856683</v>
      </c>
      <c r="AC87" s="135"/>
      <c r="AD87" s="135"/>
      <c r="AE87" s="130">
        <f ca="1">N87-SUM(AC87:AD87)</f>
        <v>284044676.37</v>
      </c>
      <c r="AF87" s="131">
        <f ca="1">AE87-M87</f>
        <v>268710274.84956229</v>
      </c>
      <c r="AG87" s="130"/>
      <c r="AH87" s="131"/>
      <c r="AI87" s="130"/>
      <c r="AJ87" s="130">
        <f t="shared" ca="1" si="71"/>
        <v>201554284.78000003</v>
      </c>
      <c r="AK87" s="131">
        <f t="shared" ca="1" si="71"/>
        <v>82490391.589999989</v>
      </c>
      <c r="AL87" s="132">
        <f t="shared" ca="1" si="71"/>
        <v>61448371.989999995</v>
      </c>
      <c r="AM87" s="130">
        <v>93176213.549999997</v>
      </c>
      <c r="AN87" s="131">
        <v>10528994.350000003</v>
      </c>
      <c r="AO87" s="132">
        <v>4323032.5500000026</v>
      </c>
      <c r="AP87" s="120">
        <f t="shared" ca="1" si="72"/>
        <v>0.46228842840877055</v>
      </c>
      <c r="AQ87" s="120">
        <f t="shared" ca="1" si="72"/>
        <v>0.12763903949361777</v>
      </c>
      <c r="AR87" s="120">
        <f t="shared" ca="1" si="72"/>
        <v>7.0352271508568626E-2</v>
      </c>
      <c r="AS87" s="129">
        <f ca="1">SUM(AM87:AN87)</f>
        <v>103705207.90000001</v>
      </c>
      <c r="AT87" s="129">
        <f ca="1">SUM(AM87:AN87)+MAX(0,$M$1*$AX87)</f>
        <v>104533609.59499998</v>
      </c>
      <c r="AU87" s="133">
        <f t="shared" ca="1" si="73"/>
        <v>0.36510174816623692</v>
      </c>
      <c r="AV87" s="134">
        <f t="shared" ca="1" si="73"/>
        <v>0.38901977102856683</v>
      </c>
      <c r="AW87" s="124"/>
      <c r="AX87" s="136">
        <f ca="1">Summary!I123</f>
        <v>1506184.8999999464</v>
      </c>
      <c r="BA87" s="112"/>
    </row>
    <row r="88" spans="1:53" outlineLevel="1" x14ac:dyDescent="0.25">
      <c r="A88" s="98" t="s">
        <v>113</v>
      </c>
      <c r="B88" s="113">
        <v>72066767.689999998</v>
      </c>
      <c r="C88" s="114">
        <v>38357646.329999998</v>
      </c>
      <c r="D88" s="114">
        <v>15186908.050000001</v>
      </c>
      <c r="E88" s="114">
        <v>17156578.509999998</v>
      </c>
      <c r="F88" s="114">
        <v>19003640.799999997</v>
      </c>
      <c r="G88" s="115">
        <v>21658809.719999999</v>
      </c>
      <c r="H88" s="116">
        <f ca="1">SUM(B88:G88)</f>
        <v>183430351.09999999</v>
      </c>
      <c r="I88" s="116">
        <v>145752269.87</v>
      </c>
      <c r="J88" s="117">
        <f ca="1">SUM(H88:I88)-SUM(S88:T88)</f>
        <v>219393931.63000011</v>
      </c>
      <c r="K88" s="118"/>
      <c r="L88" s="119">
        <v>18400570.967159752</v>
      </c>
      <c r="M88" s="117">
        <f ca="1">L88*$M$1</f>
        <v>10120314.031937864</v>
      </c>
      <c r="N88" s="117">
        <f ca="1">SUM(H88:I88)</f>
        <v>329182620.97000003</v>
      </c>
      <c r="O88" s="119">
        <f ca="1">$N88-$M88</f>
        <v>319062306.93806219</v>
      </c>
      <c r="P88" s="117">
        <f ca="1">SUM($I88,$B88)</f>
        <v>217819037.56</v>
      </c>
      <c r="Q88" s="118">
        <f ca="1">SUM($C88:$G88)</f>
        <v>111363583.40999998</v>
      </c>
      <c r="R88" s="119">
        <f ca="1">SUM($D88:$G88)</f>
        <v>73005937.079999998</v>
      </c>
      <c r="S88" s="117">
        <v>95202184.339999929</v>
      </c>
      <c r="T88" s="118">
        <v>14586505</v>
      </c>
      <c r="U88" s="119">
        <v>6356087.2300000014</v>
      </c>
      <c r="V88" s="120">
        <f t="shared" ca="1" si="69"/>
        <v>0.43707008077186882</v>
      </c>
      <c r="W88" s="120">
        <f t="shared" ca="1" si="69"/>
        <v>0.13098092350618626</v>
      </c>
      <c r="X88" s="120">
        <f t="shared" ca="1" si="69"/>
        <v>8.70626072922671E-2</v>
      </c>
      <c r="Y88" s="117">
        <f ca="1">SUM(S88:T88)</f>
        <v>109788689.33999993</v>
      </c>
      <c r="Z88" s="118">
        <f ca="1">SUM(S88:T88)+MAX(0,$M$1*$AX88)</f>
        <v>115402987.44149999</v>
      </c>
      <c r="AA88" s="121">
        <f ca="1">Y88/N88</f>
        <v>0.33351909349432363</v>
      </c>
      <c r="AB88" s="122">
        <f ca="1">Z88/O88</f>
        <v>0.36169420496261423</v>
      </c>
      <c r="AC88" s="123"/>
      <c r="AD88" s="123"/>
      <c r="AE88" s="117">
        <f ca="1">N88-SUM(AC88:AD88)</f>
        <v>329182620.97000003</v>
      </c>
      <c r="AF88" s="118">
        <f ca="1">AE88-M88</f>
        <v>319062306.93806219</v>
      </c>
      <c r="AG88" s="117"/>
      <c r="AH88" s="118"/>
      <c r="AI88" s="117"/>
      <c r="AJ88" s="117">
        <f t="shared" ca="1" si="71"/>
        <v>217819037.56</v>
      </c>
      <c r="AK88" s="118">
        <f t="shared" ca="1" si="71"/>
        <v>111363583.40999998</v>
      </c>
      <c r="AL88" s="119">
        <f t="shared" ca="1" si="71"/>
        <v>73005937.079999998</v>
      </c>
      <c r="AM88" s="117">
        <v>95202184.339999929</v>
      </c>
      <c r="AN88" s="118">
        <v>14586505</v>
      </c>
      <c r="AO88" s="119">
        <v>6356087.2300000014</v>
      </c>
      <c r="AP88" s="120">
        <f t="shared" ca="1" si="72"/>
        <v>0.43707008077186882</v>
      </c>
      <c r="AQ88" s="120">
        <f t="shared" ca="1" si="72"/>
        <v>0.13098092350618626</v>
      </c>
      <c r="AR88" s="120">
        <f t="shared" ca="1" si="72"/>
        <v>8.70626072922671E-2</v>
      </c>
      <c r="AS88" s="116">
        <f ca="1">SUM(AM88:AN88)</f>
        <v>109788689.33999993</v>
      </c>
      <c r="AT88" s="116">
        <f ca="1">SUM(AM88:AN88)+MAX(0,$M$1*$AX88)</f>
        <v>115402987.44149999</v>
      </c>
      <c r="AU88" s="121">
        <f ca="1">AS88/AE88</f>
        <v>0.33351909349432363</v>
      </c>
      <c r="AV88" s="122">
        <f ca="1">AT88/AF88</f>
        <v>0.36169420496261423</v>
      </c>
      <c r="AW88" s="124"/>
      <c r="AX88" s="125">
        <f ca="1">Summary!I124</f>
        <v>10207814.730000108</v>
      </c>
      <c r="BA88" s="112"/>
    </row>
    <row r="89" spans="1:53" ht="18" customHeight="1" outlineLevel="1" x14ac:dyDescent="0.25">
      <c r="A89" s="98" t="s">
        <v>114</v>
      </c>
      <c r="B89" s="126">
        <v>61588360.469999999</v>
      </c>
      <c r="C89" s="127">
        <v>43005251.750000007</v>
      </c>
      <c r="D89" s="127">
        <v>32501959.25</v>
      </c>
      <c r="E89" s="127">
        <v>16761497.850000001</v>
      </c>
      <c r="F89" s="127">
        <v>23864508.890000001</v>
      </c>
      <c r="G89" s="128">
        <v>29765138.579999998</v>
      </c>
      <c r="H89" s="129">
        <v>207486716.78999999</v>
      </c>
      <c r="I89" s="129">
        <v>133818807.17000002</v>
      </c>
      <c r="J89" s="130"/>
      <c r="K89" s="131"/>
      <c r="L89" s="132">
        <v>30940247.947159778</v>
      </c>
      <c r="M89" s="130">
        <f ca="1">L89*$M$1</f>
        <v>17017136.37093788</v>
      </c>
      <c r="N89" s="130">
        <f ca="1">SUM(H89:I89)</f>
        <v>341305523.96000004</v>
      </c>
      <c r="O89" s="132">
        <f ca="1">$N89-$M89</f>
        <v>324288387.58906215</v>
      </c>
      <c r="P89" s="130">
        <f ca="1">SUM($I89,$B89)</f>
        <v>195407167.64000002</v>
      </c>
      <c r="Q89" s="131">
        <f ca="1">SUM($C89:$G89)</f>
        <v>145898356.31999999</v>
      </c>
      <c r="R89" s="132">
        <f ca="1">SUM($D89:$G89)</f>
        <v>102893104.57000001</v>
      </c>
      <c r="S89" s="130">
        <v>15527314.490000008</v>
      </c>
      <c r="T89" s="131">
        <v>1579091.2</v>
      </c>
      <c r="U89" s="132">
        <v>946037.7899999998</v>
      </c>
      <c r="V89" s="120">
        <f ca="1">S89/P89</f>
        <v>7.9461335413274534E-2</v>
      </c>
      <c r="W89" s="120">
        <f ca="1">T89/Q89</f>
        <v>1.0823228169456323E-2</v>
      </c>
      <c r="X89" s="120">
        <f ca="1">U89/R89</f>
        <v>9.1943750162227188E-3</v>
      </c>
      <c r="Y89" s="130">
        <f ca="1">SUM(S89:T89)</f>
        <v>17106405.690000009</v>
      </c>
      <c r="Z89" s="131">
        <f ca="1">SUM(S89:T89)+MAX(0,$M$1*$AX89)</f>
        <v>22347421.629500009</v>
      </c>
      <c r="AA89" s="133">
        <f ca="1">Y89/N89</f>
        <v>5.012050637658249E-2</v>
      </c>
      <c r="AB89" s="134">
        <f ca="1">Z89/O89</f>
        <v>6.8912185834475934E-2</v>
      </c>
      <c r="AC89" s="135"/>
      <c r="AD89" s="135"/>
      <c r="AE89" s="130">
        <f ca="1">N89-SUM(AC89:AD89)</f>
        <v>341305523.96000004</v>
      </c>
      <c r="AF89" s="131">
        <f ca="1">AE89-M89</f>
        <v>324288387.58906215</v>
      </c>
      <c r="AG89" s="130"/>
      <c r="AH89" s="131"/>
      <c r="AI89" s="130"/>
      <c r="AJ89" s="130">
        <f ca="1">P89-AG89</f>
        <v>195407167.64000002</v>
      </c>
      <c r="AK89" s="131">
        <f ca="1">Q89-AH89</f>
        <v>145898356.31999999</v>
      </c>
      <c r="AL89" s="132">
        <f ca="1">R89-AI89</f>
        <v>102893104.57000001</v>
      </c>
      <c r="AM89" s="130">
        <v>15527314.490000008</v>
      </c>
      <c r="AN89" s="131">
        <v>1579091.2</v>
      </c>
      <c r="AO89" s="132">
        <v>946037.7899999998</v>
      </c>
      <c r="AP89" s="120">
        <f ca="1">AM89/AJ89</f>
        <v>7.9461335413274534E-2</v>
      </c>
      <c r="AQ89" s="120">
        <f ca="1">AN89/AK89</f>
        <v>1.0823228169456323E-2</v>
      </c>
      <c r="AR89" s="120">
        <f ca="1">AO89/AL89</f>
        <v>9.1943750162227188E-3</v>
      </c>
      <c r="AS89" s="129">
        <f ca="1">SUM(AM89:AN89)</f>
        <v>17106405.690000009</v>
      </c>
      <c r="AT89" s="129">
        <f ca="1">SUM(AM89:AN89)+MAX(0,$M$1*$AX89)</f>
        <v>22347421.629500009</v>
      </c>
      <c r="AU89" s="133">
        <f ca="1">AS89/AE89</f>
        <v>5.012050637658249E-2</v>
      </c>
      <c r="AV89" s="134">
        <f ca="1">AT89/AF89</f>
        <v>6.8912185834475934E-2</v>
      </c>
      <c r="AW89" s="124"/>
      <c r="AX89" s="136">
        <f ca="1">Summary!I125</f>
        <v>9529119.8899999969</v>
      </c>
      <c r="BA89" s="112"/>
    </row>
    <row r="90" spans="1:53" outlineLevel="1" x14ac:dyDescent="0.25">
      <c r="A90" s="98" t="s">
        <v>115</v>
      </c>
      <c r="B90" s="113"/>
      <c r="C90" s="114"/>
      <c r="D90" s="114"/>
      <c r="E90" s="114"/>
      <c r="F90" s="114"/>
      <c r="G90" s="115"/>
      <c r="H90" s="116"/>
      <c r="I90" s="116"/>
      <c r="J90" s="117"/>
      <c r="K90" s="118"/>
      <c r="L90" s="119"/>
      <c r="M90" s="117"/>
      <c r="N90" s="117"/>
      <c r="O90" s="119"/>
      <c r="P90" s="117"/>
      <c r="Q90" s="118"/>
      <c r="R90" s="119"/>
      <c r="S90" s="117"/>
      <c r="T90" s="118"/>
      <c r="U90" s="119"/>
      <c r="V90" s="120"/>
      <c r="W90" s="120"/>
      <c r="X90" s="120"/>
      <c r="Y90" s="117"/>
      <c r="Z90" s="118"/>
      <c r="AA90" s="121"/>
      <c r="AB90" s="122"/>
      <c r="AC90" s="123"/>
      <c r="AD90" s="123"/>
      <c r="AE90" s="117"/>
      <c r="AF90" s="118"/>
      <c r="AG90" s="117"/>
      <c r="AH90" s="118"/>
      <c r="AI90" s="117"/>
      <c r="AJ90" s="117"/>
      <c r="AK90" s="118"/>
      <c r="AL90" s="119"/>
      <c r="AM90" s="117"/>
      <c r="AN90" s="118"/>
      <c r="AO90" s="119"/>
      <c r="AP90" s="120"/>
      <c r="AQ90" s="120"/>
      <c r="AR90" s="120"/>
      <c r="AS90" s="116"/>
      <c r="AT90" s="116"/>
      <c r="AU90" s="121"/>
      <c r="AV90" s="122"/>
      <c r="AW90" s="124"/>
      <c r="AX90" s="125"/>
      <c r="BA90" s="112"/>
    </row>
    <row r="91" spans="1:53" ht="18" customHeight="1" outlineLevel="1" x14ac:dyDescent="0.25">
      <c r="A91" s="98" t="s">
        <v>116</v>
      </c>
      <c r="B91" s="126"/>
      <c r="C91" s="127"/>
      <c r="D91" s="127"/>
      <c r="E91" s="127"/>
      <c r="F91" s="127"/>
      <c r="G91" s="128"/>
      <c r="H91" s="129"/>
      <c r="I91" s="129"/>
      <c r="J91" s="130"/>
      <c r="K91" s="131"/>
      <c r="L91" s="132"/>
      <c r="M91" s="130"/>
      <c r="N91" s="130"/>
      <c r="O91" s="132"/>
      <c r="P91" s="130"/>
      <c r="Q91" s="131"/>
      <c r="R91" s="132"/>
      <c r="S91" s="130"/>
      <c r="T91" s="131"/>
      <c r="U91" s="132"/>
      <c r="V91" s="120"/>
      <c r="W91" s="120"/>
      <c r="X91" s="120"/>
      <c r="Y91" s="130"/>
      <c r="Z91" s="131"/>
      <c r="AA91" s="133"/>
      <c r="AB91" s="134"/>
      <c r="AC91" s="135"/>
      <c r="AD91" s="135"/>
      <c r="AE91" s="130"/>
      <c r="AF91" s="131"/>
      <c r="AG91" s="130"/>
      <c r="AH91" s="131"/>
      <c r="AI91" s="130"/>
      <c r="AJ91" s="130"/>
      <c r="AK91" s="131"/>
      <c r="AL91" s="132"/>
      <c r="AM91" s="130"/>
      <c r="AN91" s="131"/>
      <c r="AO91" s="132"/>
      <c r="AP91" s="120"/>
      <c r="AQ91" s="120"/>
      <c r="AR91" s="120"/>
      <c r="AS91" s="129"/>
      <c r="AT91" s="129"/>
      <c r="AU91" s="133"/>
      <c r="AV91" s="134"/>
      <c r="AW91" s="124"/>
      <c r="AX91" s="136"/>
      <c r="BA91" s="112"/>
    </row>
    <row r="92" spans="1:53" outlineLevel="1" x14ac:dyDescent="0.25">
      <c r="A92" s="98" t="s">
        <v>117</v>
      </c>
      <c r="B92" s="113"/>
      <c r="C92" s="114"/>
      <c r="D92" s="114"/>
      <c r="E92" s="114"/>
      <c r="F92" s="114"/>
      <c r="G92" s="115"/>
      <c r="H92" s="116"/>
      <c r="I92" s="116"/>
      <c r="J92" s="117"/>
      <c r="K92" s="118"/>
      <c r="L92" s="119"/>
      <c r="M92" s="117"/>
      <c r="N92" s="117"/>
      <c r="O92" s="119"/>
      <c r="P92" s="117"/>
      <c r="Q92" s="118"/>
      <c r="R92" s="119"/>
      <c r="S92" s="117"/>
      <c r="T92" s="118"/>
      <c r="U92" s="119"/>
      <c r="V92" s="120"/>
      <c r="W92" s="120"/>
      <c r="X92" s="120"/>
      <c r="Y92" s="117"/>
      <c r="Z92" s="118"/>
      <c r="AA92" s="121"/>
      <c r="AB92" s="122"/>
      <c r="AC92" s="135"/>
      <c r="AD92" s="135"/>
      <c r="AE92" s="117"/>
      <c r="AF92" s="118"/>
      <c r="AG92" s="117"/>
      <c r="AH92" s="118"/>
      <c r="AI92" s="117"/>
      <c r="AJ92" s="117"/>
      <c r="AK92" s="118"/>
      <c r="AL92" s="119"/>
      <c r="AM92" s="117"/>
      <c r="AN92" s="118"/>
      <c r="AO92" s="119"/>
      <c r="AP92" s="120"/>
      <c r="AQ92" s="120"/>
      <c r="AR92" s="120"/>
      <c r="AS92" s="116"/>
      <c r="AT92" s="116"/>
      <c r="AU92" s="121"/>
      <c r="AV92" s="122"/>
      <c r="AW92" s="124"/>
      <c r="AX92" s="125"/>
      <c r="BA92" s="112"/>
    </row>
    <row r="93" spans="1:53" ht="18" customHeight="1" outlineLevel="1" x14ac:dyDescent="0.25">
      <c r="A93" s="98" t="s">
        <v>118</v>
      </c>
      <c r="B93" s="126"/>
      <c r="C93" s="127"/>
      <c r="D93" s="127"/>
      <c r="E93" s="127"/>
      <c r="F93" s="127"/>
      <c r="G93" s="128"/>
      <c r="H93" s="129"/>
      <c r="I93" s="129"/>
      <c r="J93" s="130"/>
      <c r="K93" s="131"/>
      <c r="L93" s="132"/>
      <c r="M93" s="130"/>
      <c r="N93" s="130"/>
      <c r="O93" s="132"/>
      <c r="P93" s="130"/>
      <c r="Q93" s="131"/>
      <c r="R93" s="132"/>
      <c r="S93" s="130"/>
      <c r="T93" s="131"/>
      <c r="U93" s="132"/>
      <c r="V93" s="120"/>
      <c r="W93" s="120"/>
      <c r="X93" s="120"/>
      <c r="Y93" s="130"/>
      <c r="Z93" s="131"/>
      <c r="AA93" s="133"/>
      <c r="AB93" s="134"/>
      <c r="AC93" s="135"/>
      <c r="AD93" s="135"/>
      <c r="AE93" s="130"/>
      <c r="AF93" s="131"/>
      <c r="AG93" s="130"/>
      <c r="AH93" s="131"/>
      <c r="AI93" s="130"/>
      <c r="AJ93" s="130"/>
      <c r="AK93" s="131"/>
      <c r="AL93" s="132"/>
      <c r="AM93" s="130"/>
      <c r="AN93" s="131"/>
      <c r="AO93" s="132"/>
      <c r="AP93" s="120"/>
      <c r="AQ93" s="120"/>
      <c r="AR93" s="120"/>
      <c r="AS93" s="129"/>
      <c r="AT93" s="129"/>
      <c r="AU93" s="133"/>
      <c r="AV93" s="134"/>
      <c r="AW93" s="124"/>
      <c r="AX93" s="136"/>
      <c r="BA93" s="112"/>
    </row>
    <row r="94" spans="1:53" outlineLevel="1" x14ac:dyDescent="0.25">
      <c r="A94" s="98" t="s">
        <v>119</v>
      </c>
      <c r="B94" s="113"/>
      <c r="C94" s="114"/>
      <c r="D94" s="114"/>
      <c r="E94" s="114"/>
      <c r="F94" s="114"/>
      <c r="G94" s="115"/>
      <c r="H94" s="116"/>
      <c r="I94" s="116"/>
      <c r="J94" s="117"/>
      <c r="K94" s="118"/>
      <c r="L94" s="119"/>
      <c r="M94" s="117"/>
      <c r="N94" s="117"/>
      <c r="O94" s="119"/>
      <c r="P94" s="117"/>
      <c r="Q94" s="118"/>
      <c r="R94" s="119"/>
      <c r="S94" s="117"/>
      <c r="T94" s="118"/>
      <c r="U94" s="119"/>
      <c r="V94" s="120"/>
      <c r="W94" s="120"/>
      <c r="X94" s="120"/>
      <c r="Y94" s="117"/>
      <c r="Z94" s="118"/>
      <c r="AA94" s="121"/>
      <c r="AB94" s="122"/>
      <c r="AC94" s="135"/>
      <c r="AD94" s="135"/>
      <c r="AE94" s="117"/>
      <c r="AF94" s="118"/>
      <c r="AG94" s="117"/>
      <c r="AH94" s="118"/>
      <c r="AI94" s="117"/>
      <c r="AJ94" s="117"/>
      <c r="AK94" s="118"/>
      <c r="AL94" s="119"/>
      <c r="AM94" s="117"/>
      <c r="AN94" s="118"/>
      <c r="AO94" s="119"/>
      <c r="AP94" s="120"/>
      <c r="AQ94" s="120"/>
      <c r="AR94" s="120"/>
      <c r="AS94" s="116"/>
      <c r="AT94" s="116"/>
      <c r="AU94" s="121"/>
      <c r="AV94" s="122"/>
      <c r="AW94" s="124"/>
      <c r="AX94" s="125"/>
      <c r="BA94" s="112"/>
    </row>
    <row r="95" spans="1:53" ht="18" customHeight="1" outlineLevel="1" x14ac:dyDescent="0.25">
      <c r="A95" s="98" t="s">
        <v>120</v>
      </c>
      <c r="B95" s="126"/>
      <c r="C95" s="127"/>
      <c r="D95" s="127"/>
      <c r="E95" s="127"/>
      <c r="F95" s="127"/>
      <c r="G95" s="128"/>
      <c r="H95" s="129"/>
      <c r="I95" s="129"/>
      <c r="J95" s="130"/>
      <c r="K95" s="131"/>
      <c r="L95" s="132"/>
      <c r="M95" s="130"/>
      <c r="N95" s="130"/>
      <c r="O95" s="132"/>
      <c r="P95" s="130"/>
      <c r="Q95" s="131"/>
      <c r="R95" s="132"/>
      <c r="S95" s="130"/>
      <c r="T95" s="131"/>
      <c r="U95" s="132"/>
      <c r="V95" s="120"/>
      <c r="W95" s="120"/>
      <c r="X95" s="120"/>
      <c r="Y95" s="130"/>
      <c r="Z95" s="131"/>
      <c r="AA95" s="133"/>
      <c r="AB95" s="134"/>
      <c r="AC95" s="135"/>
      <c r="AD95" s="135"/>
      <c r="AE95" s="130"/>
      <c r="AF95" s="131"/>
      <c r="AG95" s="130"/>
      <c r="AH95" s="131"/>
      <c r="AI95" s="130"/>
      <c r="AJ95" s="130"/>
      <c r="AK95" s="131"/>
      <c r="AL95" s="132"/>
      <c r="AM95" s="130"/>
      <c r="AN95" s="131"/>
      <c r="AO95" s="132"/>
      <c r="AP95" s="120"/>
      <c r="AQ95" s="120"/>
      <c r="AR95" s="120"/>
      <c r="AS95" s="129"/>
      <c r="AT95" s="129"/>
      <c r="AU95" s="133"/>
      <c r="AV95" s="134"/>
      <c r="AW95" s="124"/>
      <c r="AX95" s="136"/>
      <c r="BA95" s="112"/>
    </row>
    <row r="96" spans="1:53" outlineLevel="1" x14ac:dyDescent="0.25">
      <c r="A96" s="98" t="s">
        <v>121</v>
      </c>
      <c r="B96" s="113"/>
      <c r="C96" s="114"/>
      <c r="D96" s="114"/>
      <c r="E96" s="114"/>
      <c r="F96" s="114"/>
      <c r="G96" s="115"/>
      <c r="H96" s="116"/>
      <c r="I96" s="116"/>
      <c r="J96" s="117"/>
      <c r="K96" s="118"/>
      <c r="L96" s="119"/>
      <c r="M96" s="117"/>
      <c r="N96" s="117"/>
      <c r="O96" s="119"/>
      <c r="P96" s="117"/>
      <c r="Q96" s="118"/>
      <c r="R96" s="119"/>
      <c r="S96" s="117"/>
      <c r="T96" s="118"/>
      <c r="U96" s="119"/>
      <c r="V96" s="120"/>
      <c r="W96" s="120"/>
      <c r="X96" s="120"/>
      <c r="Y96" s="117"/>
      <c r="Z96" s="118"/>
      <c r="AA96" s="121"/>
      <c r="AB96" s="122"/>
      <c r="AC96" s="135"/>
      <c r="AD96" s="135"/>
      <c r="AE96" s="117"/>
      <c r="AF96" s="118"/>
      <c r="AG96" s="117"/>
      <c r="AH96" s="118"/>
      <c r="AI96" s="117"/>
      <c r="AJ96" s="117"/>
      <c r="AK96" s="118"/>
      <c r="AL96" s="119"/>
      <c r="AM96" s="117"/>
      <c r="AN96" s="118"/>
      <c r="AO96" s="119"/>
      <c r="AP96" s="120"/>
      <c r="AQ96" s="120"/>
      <c r="AR96" s="120"/>
      <c r="AS96" s="116"/>
      <c r="AT96" s="116"/>
      <c r="AU96" s="121"/>
      <c r="AV96" s="122"/>
      <c r="AW96" s="124"/>
      <c r="AX96" s="125"/>
      <c r="BA96" s="112"/>
    </row>
    <row r="97" spans="1:53" ht="24.6" customHeight="1" thickBot="1" x14ac:dyDescent="0.3">
      <c r="A97" s="163"/>
      <c r="B97" s="164"/>
      <c r="C97" s="165"/>
      <c r="D97" s="165"/>
      <c r="E97" s="165"/>
      <c r="F97" s="165"/>
      <c r="G97" s="165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7"/>
      <c r="W97" s="167"/>
      <c r="X97" s="167"/>
      <c r="Y97" s="166"/>
      <c r="Z97" s="166"/>
      <c r="AA97" s="167"/>
      <c r="AB97" s="167"/>
      <c r="AC97" s="135"/>
      <c r="AD97" s="135"/>
      <c r="AE97" s="166"/>
      <c r="AF97" s="166"/>
      <c r="AG97" s="166"/>
      <c r="AH97" s="166"/>
      <c r="AI97" s="166"/>
      <c r="AJ97" s="166"/>
      <c r="AK97" s="166"/>
      <c r="AL97" s="166"/>
      <c r="AM97" s="166"/>
      <c r="AN97" s="166"/>
      <c r="AO97" s="166"/>
      <c r="AP97" s="167"/>
      <c r="AQ97" s="167"/>
      <c r="AR97" s="167"/>
      <c r="AS97" s="166"/>
      <c r="AT97" s="166"/>
      <c r="AU97" s="167"/>
      <c r="AV97" s="167"/>
      <c r="AW97" s="124"/>
      <c r="AX97" s="168"/>
    </row>
    <row r="98" spans="1:53" ht="32.65" customHeight="1" thickBot="1" x14ac:dyDescent="0.55000000000000004">
      <c r="B98" s="169" t="s">
        <v>124</v>
      </c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 t="s">
        <v>124</v>
      </c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1"/>
      <c r="AD98" s="171"/>
      <c r="AE98" s="170" t="s">
        <v>124</v>
      </c>
      <c r="AF98" s="170"/>
      <c r="AG98" s="170"/>
      <c r="AH98" s="170"/>
      <c r="AI98" s="170"/>
      <c r="AJ98" s="170"/>
      <c r="AK98" s="170"/>
      <c r="AL98" s="170"/>
      <c r="AM98" s="170"/>
      <c r="AN98" s="170"/>
      <c r="AO98" s="170"/>
      <c r="AP98" s="170"/>
      <c r="AQ98" s="170"/>
      <c r="AR98" s="170"/>
      <c r="AS98" s="170"/>
      <c r="AT98" s="170"/>
      <c r="AU98" s="170"/>
      <c r="AV98" s="170"/>
      <c r="AW98" s="171"/>
      <c r="AX98" s="172"/>
    </row>
    <row r="99" spans="1:53" ht="23.65" customHeight="1" thickBot="1" x14ac:dyDescent="0.3">
      <c r="A99" s="61">
        <v>2025</v>
      </c>
      <c r="B99" s="62" t="s">
        <v>68</v>
      </c>
      <c r="C99" s="63"/>
      <c r="D99" s="63"/>
      <c r="E99" s="63"/>
      <c r="F99" s="63"/>
      <c r="G99" s="63"/>
      <c r="H99" s="64"/>
      <c r="I99" s="65"/>
      <c r="J99" s="66"/>
      <c r="K99" s="66"/>
      <c r="L99" s="65"/>
      <c r="N99" s="67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9"/>
      <c r="AC99" s="66"/>
      <c r="AD99" s="66"/>
      <c r="AE99" s="70"/>
      <c r="AF99" s="71"/>
      <c r="AG99" s="71"/>
      <c r="AH99" s="71"/>
      <c r="AI99" s="71"/>
      <c r="AJ99" s="72"/>
      <c r="AK99" s="72"/>
      <c r="AL99" s="72"/>
      <c r="AM99" s="72"/>
      <c r="AN99" s="72"/>
      <c r="AO99" s="72"/>
      <c r="AP99" s="71"/>
      <c r="AQ99" s="71"/>
      <c r="AR99" s="71"/>
      <c r="AS99" s="71"/>
      <c r="AT99" s="71"/>
      <c r="AU99" s="71"/>
      <c r="AV99" s="73"/>
      <c r="AX99" s="66"/>
    </row>
    <row r="100" spans="1:53" ht="66.599999999999994" customHeight="1" thickBot="1" x14ac:dyDescent="0.3">
      <c r="A100" s="74" t="s">
        <v>71</v>
      </c>
      <c r="B100" s="141" t="s">
        <v>72</v>
      </c>
      <c r="C100" s="142" t="s">
        <v>73</v>
      </c>
      <c r="D100" s="142" t="s">
        <v>74</v>
      </c>
      <c r="E100" s="142" t="s">
        <v>75</v>
      </c>
      <c r="F100" s="142" t="s">
        <v>76</v>
      </c>
      <c r="G100" s="143" t="s">
        <v>77</v>
      </c>
      <c r="H100" s="144" t="s">
        <v>78</v>
      </c>
      <c r="I100" s="145" t="s">
        <v>79</v>
      </c>
      <c r="J100" s="146" t="s">
        <v>80</v>
      </c>
      <c r="K100" s="146" t="s">
        <v>81</v>
      </c>
      <c r="L100" s="145" t="s">
        <v>82</v>
      </c>
      <c r="M100" s="146" t="s">
        <v>83</v>
      </c>
      <c r="N100" s="147" t="s">
        <v>84</v>
      </c>
      <c r="O100" s="148" t="s">
        <v>85</v>
      </c>
      <c r="P100" s="149" t="s">
        <v>86</v>
      </c>
      <c r="Q100" s="149" t="s">
        <v>87</v>
      </c>
      <c r="R100" s="149" t="s">
        <v>88</v>
      </c>
      <c r="S100" s="150" t="s">
        <v>89</v>
      </c>
      <c r="T100" s="150" t="s">
        <v>90</v>
      </c>
      <c r="U100" s="150" t="s">
        <v>91</v>
      </c>
      <c r="V100" s="151" t="s">
        <v>92</v>
      </c>
      <c r="W100" s="151" t="s">
        <v>93</v>
      </c>
      <c r="X100" s="151" t="s">
        <v>94</v>
      </c>
      <c r="Y100" s="152" t="s">
        <v>95</v>
      </c>
      <c r="Z100" s="153" t="s">
        <v>96</v>
      </c>
      <c r="AA100" s="154" t="s">
        <v>97</v>
      </c>
      <c r="AB100" s="155" t="s">
        <v>98</v>
      </c>
      <c r="AC100" s="146" t="s">
        <v>123</v>
      </c>
      <c r="AD100" s="146" t="s">
        <v>122</v>
      </c>
      <c r="AE100" s="148" t="s">
        <v>101</v>
      </c>
      <c r="AF100" s="148" t="s">
        <v>102</v>
      </c>
      <c r="AG100" s="156" t="s">
        <v>103</v>
      </c>
      <c r="AH100" s="156" t="s">
        <v>104</v>
      </c>
      <c r="AI100" s="156" t="s">
        <v>105</v>
      </c>
      <c r="AJ100" s="157" t="s">
        <v>106</v>
      </c>
      <c r="AK100" s="149" t="s">
        <v>107</v>
      </c>
      <c r="AL100" s="149" t="s">
        <v>108</v>
      </c>
      <c r="AM100" s="150" t="s">
        <v>89</v>
      </c>
      <c r="AN100" s="150" t="s">
        <v>90</v>
      </c>
      <c r="AO100" s="150" t="s">
        <v>91</v>
      </c>
      <c r="AP100" s="151" t="s">
        <v>92</v>
      </c>
      <c r="AQ100" s="151" t="s">
        <v>93</v>
      </c>
      <c r="AR100" s="158" t="s">
        <v>94</v>
      </c>
      <c r="AS100" s="152" t="s">
        <v>95</v>
      </c>
      <c r="AT100" s="153" t="s">
        <v>96</v>
      </c>
      <c r="AU100" s="154" t="s">
        <v>97</v>
      </c>
      <c r="AV100" s="155" t="s">
        <v>98</v>
      </c>
      <c r="AX100" s="97" t="s">
        <v>109</v>
      </c>
    </row>
    <row r="101" spans="1:53" ht="18" customHeight="1" x14ac:dyDescent="0.25">
      <c r="A101" s="98" t="s">
        <v>110</v>
      </c>
      <c r="B101" s="99"/>
      <c r="C101" s="100"/>
      <c r="D101" s="100"/>
      <c r="E101" s="100"/>
      <c r="F101" s="100"/>
      <c r="G101" s="101"/>
      <c r="H101" s="102"/>
      <c r="I101" s="102"/>
      <c r="J101" s="103">
        <f t="shared" ref="J101:J110" ca="1" si="74">SUM(H101:I101)-SUM(S101:T101)</f>
        <v>0</v>
      </c>
      <c r="K101" s="104">
        <f ca="1">H102-J101</f>
        <v>0</v>
      </c>
      <c r="L101" s="105">
        <v>0</v>
      </c>
      <c r="M101" s="102">
        <f t="shared" ref="M101:M110" ca="1" si="75">L101*$M$1</f>
        <v>0</v>
      </c>
      <c r="N101" s="103">
        <f t="shared" ref="N101:N110" ca="1" si="76">SUM(H101:I101)</f>
        <v>0</v>
      </c>
      <c r="O101" s="105">
        <f t="shared" ref="O101:O112" ca="1" si="77">$N101-$M101</f>
        <v>0</v>
      </c>
      <c r="P101" s="103">
        <f t="shared" ref="P101:P112" ca="1" si="78">SUM($I101,$B101)</f>
        <v>0</v>
      </c>
      <c r="Q101" s="104">
        <f t="shared" ref="Q101:Q112" ca="1" si="79">SUM($C101:$G101)</f>
        <v>0</v>
      </c>
      <c r="R101" s="105">
        <f t="shared" ref="R101:R112" ca="1" si="80">SUM($D101:$G101)</f>
        <v>0</v>
      </c>
      <c r="S101" s="103">
        <v>0</v>
      </c>
      <c r="T101" s="104">
        <v>0</v>
      </c>
      <c r="U101" s="105">
        <v>0</v>
      </c>
      <c r="V101" s="106"/>
      <c r="W101" s="106"/>
      <c r="X101" s="106"/>
      <c r="Y101" s="103"/>
      <c r="Z101" s="104"/>
      <c r="AA101" s="107"/>
      <c r="AB101" s="108"/>
      <c r="AC101" s="109"/>
      <c r="AD101" s="109"/>
      <c r="AE101" s="103">
        <f ca="1">N101-SUM(AC101:AD101)</f>
        <v>0</v>
      </c>
      <c r="AF101" s="104">
        <f ca="1">AE101-M101</f>
        <v>0</v>
      </c>
      <c r="AG101" s="103"/>
      <c r="AH101" s="104"/>
      <c r="AI101" s="103"/>
      <c r="AJ101" s="103">
        <f ca="1">P101-AG101</f>
        <v>0</v>
      </c>
      <c r="AK101" s="104">
        <f ca="1">Q101-AH101</f>
        <v>0</v>
      </c>
      <c r="AL101" s="105">
        <f ca="1">R101-AI101</f>
        <v>0</v>
      </c>
      <c r="AM101" s="103">
        <v>0</v>
      </c>
      <c r="AN101" s="104">
        <v>0</v>
      </c>
      <c r="AO101" s="105">
        <v>0</v>
      </c>
      <c r="AP101" s="106"/>
      <c r="AQ101" s="106"/>
      <c r="AR101" s="106"/>
      <c r="AS101" s="102">
        <f t="shared" ref="AS101:AS112" ca="1" si="81">SUM(AM101:AN101)</f>
        <v>0</v>
      </c>
      <c r="AT101" s="102">
        <f t="shared" ref="AT101:AT112" ca="1" si="82">SUM(AM101:AN101)+MAX(0,$M$1*$AX101)</f>
        <v>0</v>
      </c>
      <c r="AU101" s="107"/>
      <c r="AV101" s="108"/>
      <c r="AW101" s="110"/>
      <c r="AX101" s="111" cm="1">
        <f t="array" aca="1" ref="AX101:AX112" ca="1">Summary!I149:I160</f>
        <v>0</v>
      </c>
      <c r="BA101" s="112"/>
    </row>
    <row r="102" spans="1:53" x14ac:dyDescent="0.25">
      <c r="A102" s="98" t="s">
        <v>111</v>
      </c>
      <c r="B102" s="113"/>
      <c r="C102" s="114"/>
      <c r="D102" s="114"/>
      <c r="E102" s="114"/>
      <c r="F102" s="114"/>
      <c r="G102" s="115"/>
      <c r="H102" s="116"/>
      <c r="I102" s="116"/>
      <c r="J102" s="117">
        <f t="shared" ca="1" si="74"/>
        <v>0</v>
      </c>
      <c r="K102" s="118">
        <f t="shared" ref="K102:K109" ca="1" si="83">H103-J102</f>
        <v>0</v>
      </c>
      <c r="L102" s="119">
        <v>0</v>
      </c>
      <c r="M102" s="116">
        <f t="shared" ca="1" si="75"/>
        <v>0</v>
      </c>
      <c r="N102" s="117">
        <f t="shared" ca="1" si="76"/>
        <v>0</v>
      </c>
      <c r="O102" s="119">
        <f t="shared" ca="1" si="77"/>
        <v>0</v>
      </c>
      <c r="P102" s="117">
        <f t="shared" ca="1" si="78"/>
        <v>0</v>
      </c>
      <c r="Q102" s="118">
        <f t="shared" ca="1" si="79"/>
        <v>0</v>
      </c>
      <c r="R102" s="119">
        <f t="shared" ca="1" si="80"/>
        <v>0</v>
      </c>
      <c r="S102" s="117">
        <v>0</v>
      </c>
      <c r="T102" s="118">
        <v>0</v>
      </c>
      <c r="U102" s="119">
        <v>0</v>
      </c>
      <c r="V102" s="120"/>
      <c r="W102" s="120"/>
      <c r="X102" s="120"/>
      <c r="Y102" s="117"/>
      <c r="Z102" s="118"/>
      <c r="AA102" s="121"/>
      <c r="AB102" s="122"/>
      <c r="AC102" s="123"/>
      <c r="AD102" s="123"/>
      <c r="AE102" s="117">
        <f t="shared" ref="AE102:AE110" ca="1" si="84">N102-SUM(AC102:AD102)</f>
        <v>0</v>
      </c>
      <c r="AF102" s="118">
        <f t="shared" ref="AF102:AF111" ca="1" si="85">AE102-M102</f>
        <v>0</v>
      </c>
      <c r="AG102" s="117"/>
      <c r="AH102" s="118"/>
      <c r="AI102" s="117"/>
      <c r="AJ102" s="117">
        <f t="shared" ref="AJ102:AL111" ca="1" si="86">P102-AG102</f>
        <v>0</v>
      </c>
      <c r="AK102" s="118">
        <f t="shared" ca="1" si="86"/>
        <v>0</v>
      </c>
      <c r="AL102" s="119">
        <f t="shared" ca="1" si="86"/>
        <v>0</v>
      </c>
      <c r="AM102" s="117">
        <v>0</v>
      </c>
      <c r="AN102" s="118">
        <v>0</v>
      </c>
      <c r="AO102" s="119">
        <v>0</v>
      </c>
      <c r="AP102" s="120"/>
      <c r="AQ102" s="120"/>
      <c r="AR102" s="120"/>
      <c r="AS102" s="116">
        <f t="shared" ca="1" si="81"/>
        <v>0</v>
      </c>
      <c r="AT102" s="116">
        <f t="shared" ca="1" si="82"/>
        <v>0</v>
      </c>
      <c r="AU102" s="121"/>
      <c r="AV102" s="122"/>
      <c r="AW102" s="124"/>
      <c r="AX102" s="125">
        <f ca="1"/>
        <v>0</v>
      </c>
      <c r="BA102" s="112"/>
    </row>
    <row r="103" spans="1:53" ht="18" customHeight="1" x14ac:dyDescent="0.25">
      <c r="A103" s="98" t="s">
        <v>112</v>
      </c>
      <c r="B103" s="126"/>
      <c r="C103" s="127"/>
      <c r="D103" s="127"/>
      <c r="E103" s="127"/>
      <c r="F103" s="127"/>
      <c r="G103" s="128"/>
      <c r="H103" s="129"/>
      <c r="I103" s="129"/>
      <c r="J103" s="130">
        <f t="shared" ca="1" si="74"/>
        <v>0</v>
      </c>
      <c r="K103" s="131">
        <f t="shared" ca="1" si="83"/>
        <v>0</v>
      </c>
      <c r="L103" s="132">
        <v>0</v>
      </c>
      <c r="M103" s="129">
        <f t="shared" ca="1" si="75"/>
        <v>0</v>
      </c>
      <c r="N103" s="130">
        <f t="shared" ca="1" si="76"/>
        <v>0</v>
      </c>
      <c r="O103" s="132">
        <f t="shared" ca="1" si="77"/>
        <v>0</v>
      </c>
      <c r="P103" s="130">
        <f t="shared" ca="1" si="78"/>
        <v>0</v>
      </c>
      <c r="Q103" s="131">
        <f t="shared" ca="1" si="79"/>
        <v>0</v>
      </c>
      <c r="R103" s="132">
        <f t="shared" ca="1" si="80"/>
        <v>0</v>
      </c>
      <c r="S103" s="130">
        <v>0</v>
      </c>
      <c r="T103" s="131">
        <v>0</v>
      </c>
      <c r="U103" s="132">
        <v>0</v>
      </c>
      <c r="V103" s="120"/>
      <c r="W103" s="120"/>
      <c r="X103" s="120"/>
      <c r="Y103" s="130"/>
      <c r="Z103" s="131"/>
      <c r="AA103" s="133"/>
      <c r="AB103" s="134"/>
      <c r="AC103" s="135"/>
      <c r="AD103" s="135"/>
      <c r="AE103" s="130">
        <f t="shared" ca="1" si="84"/>
        <v>0</v>
      </c>
      <c r="AF103" s="131">
        <f t="shared" ca="1" si="85"/>
        <v>0</v>
      </c>
      <c r="AG103" s="130"/>
      <c r="AH103" s="131"/>
      <c r="AI103" s="130"/>
      <c r="AJ103" s="130">
        <f t="shared" ca="1" si="86"/>
        <v>0</v>
      </c>
      <c r="AK103" s="131">
        <f t="shared" ca="1" si="86"/>
        <v>0</v>
      </c>
      <c r="AL103" s="132">
        <f t="shared" ca="1" si="86"/>
        <v>0</v>
      </c>
      <c r="AM103" s="130">
        <v>0</v>
      </c>
      <c r="AN103" s="131">
        <v>0</v>
      </c>
      <c r="AO103" s="132">
        <v>0</v>
      </c>
      <c r="AP103" s="120"/>
      <c r="AQ103" s="120"/>
      <c r="AR103" s="120"/>
      <c r="AS103" s="129">
        <f t="shared" ca="1" si="81"/>
        <v>0</v>
      </c>
      <c r="AT103" s="129">
        <f t="shared" ca="1" si="82"/>
        <v>0</v>
      </c>
      <c r="AU103" s="133"/>
      <c r="AV103" s="134"/>
      <c r="AW103" s="124"/>
      <c r="AX103" s="136">
        <f ca="1"/>
        <v>0</v>
      </c>
      <c r="BA103" s="112"/>
    </row>
    <row r="104" spans="1:53" x14ac:dyDescent="0.25">
      <c r="A104" s="98" t="s">
        <v>113</v>
      </c>
      <c r="B104" s="113"/>
      <c r="C104" s="114"/>
      <c r="D104" s="114"/>
      <c r="E104" s="114"/>
      <c r="F104" s="114"/>
      <c r="G104" s="115"/>
      <c r="H104" s="116"/>
      <c r="I104" s="116"/>
      <c r="J104" s="117">
        <f t="shared" ca="1" si="74"/>
        <v>0</v>
      </c>
      <c r="K104" s="118">
        <f t="shared" ca="1" si="83"/>
        <v>0</v>
      </c>
      <c r="L104" s="119">
        <v>0</v>
      </c>
      <c r="M104" s="116">
        <f t="shared" ca="1" si="75"/>
        <v>0</v>
      </c>
      <c r="N104" s="117">
        <f t="shared" ca="1" si="76"/>
        <v>0</v>
      </c>
      <c r="O104" s="119">
        <f t="shared" ca="1" si="77"/>
        <v>0</v>
      </c>
      <c r="P104" s="117">
        <f t="shared" ca="1" si="78"/>
        <v>0</v>
      </c>
      <c r="Q104" s="118">
        <f t="shared" ca="1" si="79"/>
        <v>0</v>
      </c>
      <c r="R104" s="119">
        <f t="shared" ca="1" si="80"/>
        <v>0</v>
      </c>
      <c r="S104" s="117">
        <v>0</v>
      </c>
      <c r="T104" s="118">
        <v>0</v>
      </c>
      <c r="U104" s="119">
        <v>0</v>
      </c>
      <c r="V104" s="120"/>
      <c r="W104" s="120"/>
      <c r="X104" s="120"/>
      <c r="Y104" s="117"/>
      <c r="Z104" s="118"/>
      <c r="AA104" s="121"/>
      <c r="AB104" s="122"/>
      <c r="AC104" s="123"/>
      <c r="AD104" s="123"/>
      <c r="AE104" s="117">
        <f t="shared" ca="1" si="84"/>
        <v>0</v>
      </c>
      <c r="AF104" s="118">
        <f t="shared" ca="1" si="85"/>
        <v>0</v>
      </c>
      <c r="AG104" s="117"/>
      <c r="AH104" s="118"/>
      <c r="AI104" s="117"/>
      <c r="AJ104" s="117">
        <f t="shared" ca="1" si="86"/>
        <v>0</v>
      </c>
      <c r="AK104" s="118">
        <f t="shared" ca="1" si="86"/>
        <v>0</v>
      </c>
      <c r="AL104" s="119">
        <f t="shared" ca="1" si="86"/>
        <v>0</v>
      </c>
      <c r="AM104" s="117">
        <v>0</v>
      </c>
      <c r="AN104" s="118">
        <v>0</v>
      </c>
      <c r="AO104" s="119">
        <v>0</v>
      </c>
      <c r="AP104" s="120"/>
      <c r="AQ104" s="120"/>
      <c r="AR104" s="120"/>
      <c r="AS104" s="116">
        <f t="shared" ca="1" si="81"/>
        <v>0</v>
      </c>
      <c r="AT104" s="116">
        <f t="shared" ca="1" si="82"/>
        <v>0</v>
      </c>
      <c r="AU104" s="121"/>
      <c r="AV104" s="122"/>
      <c r="AW104" s="124"/>
      <c r="AX104" s="125">
        <f ca="1"/>
        <v>0</v>
      </c>
      <c r="BA104" s="112"/>
    </row>
    <row r="105" spans="1:53" ht="18" customHeight="1" x14ac:dyDescent="0.25">
      <c r="A105" s="98" t="s">
        <v>114</v>
      </c>
      <c r="B105" s="126">
        <v>0</v>
      </c>
      <c r="C105" s="127">
        <v>0</v>
      </c>
      <c r="D105" s="127">
        <v>0</v>
      </c>
      <c r="E105" s="127">
        <v>0</v>
      </c>
      <c r="F105" s="127">
        <v>0</v>
      </c>
      <c r="G105" s="128">
        <v>0</v>
      </c>
      <c r="H105" s="129">
        <v>0</v>
      </c>
      <c r="I105" s="129">
        <v>1012993.9299999999</v>
      </c>
      <c r="J105" s="130">
        <f t="shared" ca="1" si="74"/>
        <v>565911.1399999999</v>
      </c>
      <c r="K105" s="131">
        <f t="shared" ca="1" si="83"/>
        <v>-86085.29999999993</v>
      </c>
      <c r="L105" s="132">
        <v>0</v>
      </c>
      <c r="M105" s="129">
        <f t="shared" ca="1" si="75"/>
        <v>0</v>
      </c>
      <c r="N105" s="130">
        <f t="shared" ca="1" si="76"/>
        <v>1012993.9299999999</v>
      </c>
      <c r="O105" s="132">
        <f t="shared" ca="1" si="77"/>
        <v>1012993.9299999999</v>
      </c>
      <c r="P105" s="130">
        <f t="shared" ca="1" si="78"/>
        <v>1012993.9299999999</v>
      </c>
      <c r="Q105" s="131">
        <f t="shared" ca="1" si="79"/>
        <v>0</v>
      </c>
      <c r="R105" s="132">
        <f t="shared" ca="1" si="80"/>
        <v>0</v>
      </c>
      <c r="S105" s="130">
        <v>447082.79000000004</v>
      </c>
      <c r="T105" s="131">
        <v>0</v>
      </c>
      <c r="U105" s="132">
        <v>0</v>
      </c>
      <c r="V105" s="120">
        <f t="shared" ref="V105:X112" ca="1" si="87">S105/P105</f>
        <v>0.44134794568808527</v>
      </c>
      <c r="W105" s="120">
        <f ca="1">IFERROR(T105/Q105,0)</f>
        <v>0</v>
      </c>
      <c r="X105" s="120">
        <f ca="1">IFERROR(U105/R105,0)</f>
        <v>0</v>
      </c>
      <c r="Y105" s="130">
        <f t="shared" ref="Y105:Y110" ca="1" si="88">SUM(S105:T105)</f>
        <v>447082.79000000004</v>
      </c>
      <c r="Z105" s="131">
        <f t="shared" ref="Z105:Z112" ca="1" si="89">SUM(S105:T105)+MAX(0,$M$1*$AX105)</f>
        <v>447082.79000000004</v>
      </c>
      <c r="AA105" s="133">
        <f t="shared" ref="AA105:AB111" ca="1" si="90">Y105/N105</f>
        <v>0.44134794568808527</v>
      </c>
      <c r="AB105" s="134">
        <f t="shared" ca="1" si="90"/>
        <v>0.44134794568808527</v>
      </c>
      <c r="AC105" s="135"/>
      <c r="AD105" s="135"/>
      <c r="AE105" s="130">
        <f t="shared" ca="1" si="84"/>
        <v>1012993.9299999999</v>
      </c>
      <c r="AF105" s="131">
        <f t="shared" ca="1" si="85"/>
        <v>1012993.9299999999</v>
      </c>
      <c r="AG105" s="130"/>
      <c r="AH105" s="131"/>
      <c r="AI105" s="130"/>
      <c r="AJ105" s="130">
        <f t="shared" ca="1" si="86"/>
        <v>1012993.9299999999</v>
      </c>
      <c r="AK105" s="131">
        <f t="shared" ca="1" si="86"/>
        <v>0</v>
      </c>
      <c r="AL105" s="132">
        <f t="shared" ca="1" si="86"/>
        <v>0</v>
      </c>
      <c r="AM105" s="130">
        <v>447082.79000000004</v>
      </c>
      <c r="AN105" s="131">
        <v>0</v>
      </c>
      <c r="AO105" s="132">
        <v>0</v>
      </c>
      <c r="AP105" s="120">
        <f t="shared" ref="AP105:AR112" ca="1" si="91">AM105/AJ105</f>
        <v>0.44134794568808527</v>
      </c>
      <c r="AQ105" s="120">
        <f ca="1">IFERROR(AN105/AK105,0)</f>
        <v>0</v>
      </c>
      <c r="AR105" s="120">
        <f ca="1">IFERROR(AO105/AL105,0)</f>
        <v>0</v>
      </c>
      <c r="AS105" s="129">
        <f t="shared" ca="1" si="81"/>
        <v>447082.79000000004</v>
      </c>
      <c r="AT105" s="129">
        <f t="shared" ca="1" si="82"/>
        <v>447082.79000000004</v>
      </c>
      <c r="AU105" s="133">
        <f t="shared" ref="AU105:AV112" ca="1" si="92">AS105/AE105</f>
        <v>0.44134794568808527</v>
      </c>
      <c r="AV105" s="134">
        <f t="shared" ca="1" si="92"/>
        <v>0.44134794568808527</v>
      </c>
      <c r="AW105" s="124"/>
      <c r="AX105" s="136">
        <f ca="1"/>
        <v>0</v>
      </c>
      <c r="BA105" s="112"/>
    </row>
    <row r="106" spans="1:53" x14ac:dyDescent="0.25">
      <c r="A106" s="98" t="s">
        <v>115</v>
      </c>
      <c r="B106" s="113">
        <v>0</v>
      </c>
      <c r="C106" s="114">
        <v>479825.83999999997</v>
      </c>
      <c r="D106" s="114">
        <v>0</v>
      </c>
      <c r="E106" s="114">
        <v>0</v>
      </c>
      <c r="F106" s="114">
        <v>0</v>
      </c>
      <c r="G106" s="115">
        <v>0</v>
      </c>
      <c r="H106" s="116">
        <v>479825.83999999997</v>
      </c>
      <c r="I106" s="116">
        <v>2512581.12</v>
      </c>
      <c r="J106" s="117">
        <f t="shared" ca="1" si="74"/>
        <v>-1664859.2200000007</v>
      </c>
      <c r="K106" s="118">
        <f t="shared" ca="1" si="83"/>
        <v>5295850.2221290004</v>
      </c>
      <c r="L106" s="119">
        <v>0</v>
      </c>
      <c r="M106" s="116">
        <f t="shared" ca="1" si="75"/>
        <v>0</v>
      </c>
      <c r="N106" s="117">
        <f t="shared" ca="1" si="76"/>
        <v>2992406.96</v>
      </c>
      <c r="O106" s="119">
        <f t="shared" ca="1" si="77"/>
        <v>2992406.96</v>
      </c>
      <c r="P106" s="117">
        <f t="shared" ca="1" si="78"/>
        <v>2512581.12</v>
      </c>
      <c r="Q106" s="118">
        <f t="shared" ca="1" si="79"/>
        <v>479825.83999999997</v>
      </c>
      <c r="R106" s="119">
        <f t="shared" ca="1" si="80"/>
        <v>0</v>
      </c>
      <c r="S106" s="117">
        <v>2163543.9900000002</v>
      </c>
      <c r="T106" s="118">
        <v>2493722.1900000004</v>
      </c>
      <c r="U106" s="119">
        <v>0</v>
      </c>
      <c r="V106" s="120">
        <f t="shared" ca="1" si="87"/>
        <v>0.86108423436692871</v>
      </c>
      <c r="W106" s="120">
        <f t="shared" ca="1" si="87"/>
        <v>5.1971402582236932</v>
      </c>
      <c r="X106" s="120">
        <f ca="1">IFERROR(U106/R106,0)</f>
        <v>0</v>
      </c>
      <c r="Y106" s="117">
        <f t="shared" ca="1" si="88"/>
        <v>4657266.1800000006</v>
      </c>
      <c r="Z106" s="118">
        <f t="shared" ca="1" si="89"/>
        <v>4657266.1800000006</v>
      </c>
      <c r="AA106" s="121">
        <f t="shared" ca="1" si="90"/>
        <v>1.5563612310272132</v>
      </c>
      <c r="AB106" s="122">
        <f t="shared" ca="1" si="90"/>
        <v>1.5563612310272132</v>
      </c>
      <c r="AC106" s="123"/>
      <c r="AD106" s="123"/>
      <c r="AE106" s="117">
        <f t="shared" ca="1" si="84"/>
        <v>2992406.96</v>
      </c>
      <c r="AF106" s="118">
        <f t="shared" ca="1" si="85"/>
        <v>2992406.96</v>
      </c>
      <c r="AG106" s="117"/>
      <c r="AH106" s="118"/>
      <c r="AI106" s="117"/>
      <c r="AJ106" s="117">
        <f t="shared" ca="1" si="86"/>
        <v>2512581.12</v>
      </c>
      <c r="AK106" s="118">
        <f t="shared" ca="1" si="86"/>
        <v>479825.83999999997</v>
      </c>
      <c r="AL106" s="119">
        <f t="shared" ca="1" si="86"/>
        <v>0</v>
      </c>
      <c r="AM106" s="117">
        <v>2163543.9900000002</v>
      </c>
      <c r="AN106" s="118">
        <v>2493722.1900000004</v>
      </c>
      <c r="AO106" s="119">
        <v>0</v>
      </c>
      <c r="AP106" s="120">
        <f t="shared" ca="1" si="91"/>
        <v>0.86108423436692871</v>
      </c>
      <c r="AQ106" s="120">
        <f t="shared" ca="1" si="91"/>
        <v>5.1971402582236932</v>
      </c>
      <c r="AR106" s="120">
        <f ca="1">IFERROR(AO106/AL106,0)</f>
        <v>0</v>
      </c>
      <c r="AS106" s="116">
        <f t="shared" ca="1" si="81"/>
        <v>4657266.1800000006</v>
      </c>
      <c r="AT106" s="116">
        <f t="shared" ca="1" si="82"/>
        <v>4657266.1800000006</v>
      </c>
      <c r="AU106" s="121">
        <f t="shared" ca="1" si="92"/>
        <v>1.5563612310272132</v>
      </c>
      <c r="AV106" s="122">
        <f t="shared" ca="1" si="92"/>
        <v>1.5563612310272132</v>
      </c>
      <c r="AW106" s="124"/>
      <c r="AX106" s="125">
        <f ca="1"/>
        <v>0</v>
      </c>
      <c r="BA106" s="112"/>
    </row>
    <row r="107" spans="1:53" ht="18" customHeight="1" x14ac:dyDescent="0.25">
      <c r="A107" s="98" t="s">
        <v>116</v>
      </c>
      <c r="B107" s="126">
        <v>1764200.21</v>
      </c>
      <c r="C107" s="127">
        <v>1733157.5521290002</v>
      </c>
      <c r="D107" s="127">
        <v>133633.23999999996</v>
      </c>
      <c r="E107" s="127">
        <v>0</v>
      </c>
      <c r="F107" s="127">
        <v>0</v>
      </c>
      <c r="G107" s="128">
        <v>0</v>
      </c>
      <c r="H107" s="129">
        <v>3630991.0021290001</v>
      </c>
      <c r="I107" s="129">
        <v>6870524.1300000008</v>
      </c>
      <c r="J107" s="130">
        <f t="shared" ca="1" si="74"/>
        <v>-11529.787871005014</v>
      </c>
      <c r="K107" s="131">
        <f t="shared" ca="1" si="83"/>
        <v>5349054.8616050053</v>
      </c>
      <c r="L107" s="132">
        <v>0</v>
      </c>
      <c r="M107" s="129">
        <f t="shared" ca="1" si="75"/>
        <v>0</v>
      </c>
      <c r="N107" s="130">
        <f t="shared" ca="1" si="76"/>
        <v>10501515.132129</v>
      </c>
      <c r="O107" s="132">
        <f t="shared" ca="1" si="77"/>
        <v>10501515.132129</v>
      </c>
      <c r="P107" s="130">
        <f t="shared" ca="1" si="78"/>
        <v>8634724.3399999999</v>
      </c>
      <c r="Q107" s="131">
        <f t="shared" ca="1" si="79"/>
        <v>1866790.7921290002</v>
      </c>
      <c r="R107" s="132">
        <f t="shared" ca="1" si="80"/>
        <v>133633.23999999996</v>
      </c>
      <c r="S107" s="130">
        <v>9454028.4200000055</v>
      </c>
      <c r="T107" s="131">
        <v>1059016.5</v>
      </c>
      <c r="U107" s="132">
        <v>123569.20000000003</v>
      </c>
      <c r="V107" s="120">
        <f t="shared" ca="1" si="87"/>
        <v>1.094884798603774</v>
      </c>
      <c r="W107" s="120">
        <f t="shared" ca="1" si="87"/>
        <v>0.56729254529493045</v>
      </c>
      <c r="X107" s="120">
        <f t="shared" ca="1" si="87"/>
        <v>0.92468909681453548</v>
      </c>
      <c r="Y107" s="130">
        <f t="shared" ca="1" si="88"/>
        <v>10513044.920000006</v>
      </c>
      <c r="Z107" s="131">
        <f t="shared" ca="1" si="89"/>
        <v>10513044.920000006</v>
      </c>
      <c r="AA107" s="133">
        <f t="shared" ca="1" si="90"/>
        <v>1.001097916607836</v>
      </c>
      <c r="AB107" s="134">
        <f t="shared" ca="1" si="90"/>
        <v>1.001097916607836</v>
      </c>
      <c r="AC107" s="135"/>
      <c r="AD107" s="135"/>
      <c r="AE107" s="130">
        <f t="shared" ca="1" si="84"/>
        <v>10501515.132129</v>
      </c>
      <c r="AF107" s="131">
        <f t="shared" ca="1" si="85"/>
        <v>10501515.132129</v>
      </c>
      <c r="AG107" s="130"/>
      <c r="AH107" s="131"/>
      <c r="AI107" s="130"/>
      <c r="AJ107" s="130">
        <f t="shared" ca="1" si="86"/>
        <v>8634724.3399999999</v>
      </c>
      <c r="AK107" s="131">
        <f t="shared" ca="1" si="86"/>
        <v>1866790.7921290002</v>
      </c>
      <c r="AL107" s="132">
        <f t="shared" ca="1" si="86"/>
        <v>133633.23999999996</v>
      </c>
      <c r="AM107" s="130">
        <v>9454028.4200000055</v>
      </c>
      <c r="AN107" s="131">
        <v>1059016.5</v>
      </c>
      <c r="AO107" s="132">
        <v>123569.20000000003</v>
      </c>
      <c r="AP107" s="120">
        <f t="shared" ca="1" si="91"/>
        <v>1.094884798603774</v>
      </c>
      <c r="AQ107" s="120">
        <f t="shared" ca="1" si="91"/>
        <v>0.56729254529493045</v>
      </c>
      <c r="AR107" s="120">
        <f t="shared" ca="1" si="91"/>
        <v>0.92468909681453548</v>
      </c>
      <c r="AS107" s="129">
        <f t="shared" ca="1" si="81"/>
        <v>10513044.920000006</v>
      </c>
      <c r="AT107" s="129">
        <f t="shared" ca="1" si="82"/>
        <v>10513044.920000006</v>
      </c>
      <c r="AU107" s="133">
        <f t="shared" ca="1" si="92"/>
        <v>1.001097916607836</v>
      </c>
      <c r="AV107" s="134">
        <f t="shared" ca="1" si="92"/>
        <v>1.001097916607836</v>
      </c>
      <c r="AW107" s="124"/>
      <c r="AX107" s="136">
        <f ca="1"/>
        <v>0</v>
      </c>
      <c r="BA107" s="112"/>
    </row>
    <row r="108" spans="1:53" x14ac:dyDescent="0.25">
      <c r="A108" s="98" t="s">
        <v>117</v>
      </c>
      <c r="B108" s="113">
        <v>3354311.49</v>
      </c>
      <c r="C108" s="114">
        <v>1395944.7907230002</v>
      </c>
      <c r="D108" s="114">
        <v>482635.5530110001</v>
      </c>
      <c r="E108" s="114">
        <v>104633.23999999996</v>
      </c>
      <c r="F108" s="114">
        <v>0</v>
      </c>
      <c r="G108" s="115">
        <v>0</v>
      </c>
      <c r="H108" s="116">
        <v>5337525.0737340003</v>
      </c>
      <c r="I108" s="116">
        <v>10554873.859999999</v>
      </c>
      <c r="J108" s="117">
        <f t="shared" ca="1" si="74"/>
        <v>4109519.8537339997</v>
      </c>
      <c r="K108" s="118">
        <f t="shared" ca="1" si="83"/>
        <v>2117010.7800370008</v>
      </c>
      <c r="L108" s="119">
        <v>0</v>
      </c>
      <c r="M108" s="116">
        <f t="shared" ca="1" si="75"/>
        <v>0</v>
      </c>
      <c r="N108" s="117">
        <f t="shared" ca="1" si="76"/>
        <v>15892398.933734</v>
      </c>
      <c r="O108" s="119">
        <f t="shared" ca="1" si="77"/>
        <v>15892398.933734</v>
      </c>
      <c r="P108" s="117">
        <f t="shared" ca="1" si="78"/>
        <v>13909185.35</v>
      </c>
      <c r="Q108" s="118">
        <f t="shared" ca="1" si="79"/>
        <v>1983213.5837340003</v>
      </c>
      <c r="R108" s="119">
        <f t="shared" ca="1" si="80"/>
        <v>587268.79301100003</v>
      </c>
      <c r="S108" s="117">
        <v>10828236.24</v>
      </c>
      <c r="T108" s="118">
        <v>954642.83999999985</v>
      </c>
      <c r="U108" s="119">
        <v>383929.77999999985</v>
      </c>
      <c r="V108" s="120">
        <f t="shared" ca="1" si="87"/>
        <v>0.7784953588241601</v>
      </c>
      <c r="W108" s="120">
        <f t="shared" ca="1" si="87"/>
        <v>0.48136158799527556</v>
      </c>
      <c r="X108" s="120">
        <f t="shared" ca="1" si="87"/>
        <v>0.65375477901957668</v>
      </c>
      <c r="Y108" s="117">
        <f t="shared" ca="1" si="88"/>
        <v>11782879.08</v>
      </c>
      <c r="Z108" s="118">
        <f t="shared" ca="1" si="89"/>
        <v>11782879.08</v>
      </c>
      <c r="AA108" s="121">
        <f t="shared" ca="1" si="90"/>
        <v>0.74141601460740281</v>
      </c>
      <c r="AB108" s="122">
        <f t="shared" ca="1" si="90"/>
        <v>0.74141601460740281</v>
      </c>
      <c r="AC108" s="135"/>
      <c r="AD108" s="135"/>
      <c r="AE108" s="117">
        <f t="shared" ca="1" si="84"/>
        <v>15892398.933734</v>
      </c>
      <c r="AF108" s="118">
        <f t="shared" ca="1" si="85"/>
        <v>15892398.933734</v>
      </c>
      <c r="AG108" s="117"/>
      <c r="AH108" s="118"/>
      <c r="AI108" s="117"/>
      <c r="AJ108" s="117">
        <f t="shared" ca="1" si="86"/>
        <v>13909185.35</v>
      </c>
      <c r="AK108" s="118">
        <f t="shared" ca="1" si="86"/>
        <v>1983213.5837340003</v>
      </c>
      <c r="AL108" s="119">
        <f t="shared" ca="1" si="86"/>
        <v>587268.79301100003</v>
      </c>
      <c r="AM108" s="117">
        <v>10828236.24</v>
      </c>
      <c r="AN108" s="118">
        <v>954642.83999999985</v>
      </c>
      <c r="AO108" s="119">
        <v>383929.77999999985</v>
      </c>
      <c r="AP108" s="120">
        <f t="shared" ca="1" si="91"/>
        <v>0.7784953588241601</v>
      </c>
      <c r="AQ108" s="120">
        <f t="shared" ca="1" si="91"/>
        <v>0.48136158799527556</v>
      </c>
      <c r="AR108" s="120">
        <f t="shared" ca="1" si="91"/>
        <v>0.65375477901957668</v>
      </c>
      <c r="AS108" s="116">
        <f t="shared" ca="1" si="81"/>
        <v>11782879.08</v>
      </c>
      <c r="AT108" s="116">
        <f t="shared" ca="1" si="82"/>
        <v>11782879.08</v>
      </c>
      <c r="AU108" s="121">
        <f t="shared" ca="1" si="92"/>
        <v>0.74141601460740281</v>
      </c>
      <c r="AV108" s="122">
        <f t="shared" ca="1" si="92"/>
        <v>0.74141601460740281</v>
      </c>
      <c r="AW108" s="124"/>
      <c r="AX108" s="125">
        <f ca="1"/>
        <v>0</v>
      </c>
      <c r="BA108" s="112"/>
    </row>
    <row r="109" spans="1:53" ht="18" customHeight="1" x14ac:dyDescent="0.25">
      <c r="A109" s="98" t="s">
        <v>118</v>
      </c>
      <c r="B109" s="126">
        <v>3015469.8900000006</v>
      </c>
      <c r="C109" s="127">
        <v>2217915.6111599999</v>
      </c>
      <c r="D109" s="127">
        <v>584528.25300000003</v>
      </c>
      <c r="E109" s="127">
        <v>408616.87961099995</v>
      </c>
      <c r="F109" s="127">
        <v>0</v>
      </c>
      <c r="G109" s="128">
        <v>0</v>
      </c>
      <c r="H109" s="129">
        <v>6226530.6337710004</v>
      </c>
      <c r="I109" s="129">
        <v>3502510.61</v>
      </c>
      <c r="J109" s="130">
        <f t="shared" ca="1" si="74"/>
        <v>3470057.1137709999</v>
      </c>
      <c r="K109" s="131">
        <f t="shared" ca="1" si="83"/>
        <v>786738.19361800049</v>
      </c>
      <c r="L109" s="132">
        <v>0</v>
      </c>
      <c r="M109" s="129">
        <f t="shared" ca="1" si="75"/>
        <v>0</v>
      </c>
      <c r="N109" s="130">
        <f ca="1">SUM(H109:I109)</f>
        <v>9729041.2437709998</v>
      </c>
      <c r="O109" s="132">
        <f t="shared" ca="1" si="77"/>
        <v>9729041.2437709998</v>
      </c>
      <c r="P109" s="130">
        <f t="shared" ca="1" si="78"/>
        <v>6517980.5</v>
      </c>
      <c r="Q109" s="131">
        <f t="shared" ca="1" si="79"/>
        <v>3211060.7437709998</v>
      </c>
      <c r="R109" s="132">
        <f t="shared" ca="1" si="80"/>
        <v>993145.13261099998</v>
      </c>
      <c r="S109" s="130">
        <v>3638573.96</v>
      </c>
      <c r="T109" s="131">
        <v>2620410.17</v>
      </c>
      <c r="U109" s="132">
        <v>1763936.4</v>
      </c>
      <c r="V109" s="120">
        <f ca="1">S109/P109</f>
        <v>0.5582363985286547</v>
      </c>
      <c r="W109" s="120">
        <f ca="1">T109/Q109</f>
        <v>0.81605748975108061</v>
      </c>
      <c r="X109" s="120">
        <f t="shared" ca="1" si="87"/>
        <v>1.7761114081711029</v>
      </c>
      <c r="Y109" s="130">
        <f ca="1">SUM(S109:T109)</f>
        <v>6258984.1299999999</v>
      </c>
      <c r="Z109" s="131">
        <f t="shared" ca="1" si="89"/>
        <v>6258984.1299999999</v>
      </c>
      <c r="AA109" s="133">
        <f ca="1">Y109/N109</f>
        <v>0.64333000273868735</v>
      </c>
      <c r="AB109" s="134">
        <f ca="1">Z109/O109</f>
        <v>0.64333000273868735</v>
      </c>
      <c r="AC109" s="135"/>
      <c r="AD109" s="135"/>
      <c r="AE109" s="130">
        <f ca="1">N109-SUM(AC109:AD109)</f>
        <v>9729041.2437709998</v>
      </c>
      <c r="AF109" s="131">
        <f ca="1">AE109-M109</f>
        <v>9729041.2437709998</v>
      </c>
      <c r="AG109" s="130"/>
      <c r="AH109" s="131"/>
      <c r="AI109" s="130"/>
      <c r="AJ109" s="130">
        <f ca="1">P109-AG109</f>
        <v>6517980.5</v>
      </c>
      <c r="AK109" s="131">
        <f ca="1">Q109-AH109</f>
        <v>3211060.7437709998</v>
      </c>
      <c r="AL109" s="132">
        <f ca="1">R109-AI109</f>
        <v>993145.13261099998</v>
      </c>
      <c r="AM109" s="130">
        <v>3638573.96</v>
      </c>
      <c r="AN109" s="131">
        <v>2620410.17</v>
      </c>
      <c r="AO109" s="132">
        <v>1763936.4</v>
      </c>
      <c r="AP109" s="120">
        <f t="shared" ca="1" si="91"/>
        <v>0.5582363985286547</v>
      </c>
      <c r="AQ109" s="120">
        <f t="shared" ca="1" si="91"/>
        <v>0.81605748975108061</v>
      </c>
      <c r="AR109" s="120">
        <f t="shared" ca="1" si="91"/>
        <v>1.7761114081711029</v>
      </c>
      <c r="AS109" s="129">
        <f t="shared" ca="1" si="81"/>
        <v>6258984.1299999999</v>
      </c>
      <c r="AT109" s="129">
        <f t="shared" ca="1" si="82"/>
        <v>6258984.1299999999</v>
      </c>
      <c r="AU109" s="133">
        <f t="shared" ca="1" si="92"/>
        <v>0.64333000273868735</v>
      </c>
      <c r="AV109" s="134">
        <f t="shared" ca="1" si="92"/>
        <v>0.64333000273868735</v>
      </c>
      <c r="AW109" s="124"/>
      <c r="AX109" s="136">
        <f ca="1"/>
        <v>0</v>
      </c>
      <c r="BA109" s="112"/>
    </row>
    <row r="110" spans="1:53" x14ac:dyDescent="0.25">
      <c r="A110" s="98" t="s">
        <v>119</v>
      </c>
      <c r="B110" s="113">
        <v>833134.01000000024</v>
      </c>
      <c r="C110" s="114">
        <v>1970872.567968</v>
      </c>
      <c r="D110" s="114">
        <v>902649.16980999988</v>
      </c>
      <c r="E110" s="114">
        <v>233690.75</v>
      </c>
      <c r="F110" s="114">
        <v>316448.80961099995</v>
      </c>
      <c r="G110" s="115">
        <v>0</v>
      </c>
      <c r="H110" s="116">
        <f ca="1">SUM(B110:G110)</f>
        <v>4256795.3073890004</v>
      </c>
      <c r="I110" s="116">
        <v>9080340.1699999981</v>
      </c>
      <c r="J110" s="117">
        <f t="shared" ca="1" si="74"/>
        <v>-805297.3426110018</v>
      </c>
      <c r="K110" s="118">
        <f ca="1">H111-J110</f>
        <v>6505137.4926110003</v>
      </c>
      <c r="L110" s="119">
        <v>0</v>
      </c>
      <c r="M110" s="116">
        <f t="shared" ca="1" si="75"/>
        <v>0</v>
      </c>
      <c r="N110" s="117">
        <f t="shared" ca="1" si="76"/>
        <v>13337135.477388998</v>
      </c>
      <c r="O110" s="119">
        <f t="shared" ca="1" si="77"/>
        <v>13337135.477388998</v>
      </c>
      <c r="P110" s="117">
        <f t="shared" ca="1" si="78"/>
        <v>9913474.1799999978</v>
      </c>
      <c r="Q110" s="118">
        <f t="shared" ca="1" si="79"/>
        <v>3423661.2973889997</v>
      </c>
      <c r="R110" s="119">
        <f t="shared" ca="1" si="80"/>
        <v>1452788.7294209998</v>
      </c>
      <c r="S110" s="117">
        <v>12898336.800000001</v>
      </c>
      <c r="T110" s="118">
        <v>1244096.0200000003</v>
      </c>
      <c r="U110" s="119">
        <v>715962.63000000024</v>
      </c>
      <c r="V110" s="120">
        <f t="shared" ca="1" si="87"/>
        <v>1.3010914807264877</v>
      </c>
      <c r="W110" s="120">
        <f t="shared" ca="1" si="87"/>
        <v>0.36338174601231438</v>
      </c>
      <c r="X110" s="120">
        <f t="shared" ca="1" si="87"/>
        <v>0.49281951016053299</v>
      </c>
      <c r="Y110" s="117">
        <f t="shared" ca="1" si="88"/>
        <v>14142432.82</v>
      </c>
      <c r="Z110" s="118">
        <f t="shared" ca="1" si="89"/>
        <v>14142432.82</v>
      </c>
      <c r="AA110" s="121">
        <f t="shared" ca="1" si="90"/>
        <v>1.0603800826628969</v>
      </c>
      <c r="AB110" s="122">
        <f t="shared" ca="1" si="90"/>
        <v>1.0603800826628969</v>
      </c>
      <c r="AC110" s="135"/>
      <c r="AD110" s="135"/>
      <c r="AE110" s="117">
        <f t="shared" ca="1" si="84"/>
        <v>13337135.477388998</v>
      </c>
      <c r="AF110" s="118">
        <f t="shared" ca="1" si="85"/>
        <v>13337135.477388998</v>
      </c>
      <c r="AG110" s="117"/>
      <c r="AH110" s="118"/>
      <c r="AI110" s="117"/>
      <c r="AJ110" s="117">
        <f t="shared" ca="1" si="86"/>
        <v>9913474.1799999978</v>
      </c>
      <c r="AK110" s="118">
        <f t="shared" ca="1" si="86"/>
        <v>3423661.2973889997</v>
      </c>
      <c r="AL110" s="119">
        <f t="shared" ca="1" si="86"/>
        <v>1452788.7294209998</v>
      </c>
      <c r="AM110" s="117">
        <v>12898336.800000001</v>
      </c>
      <c r="AN110" s="118">
        <v>1244096.0200000003</v>
      </c>
      <c r="AO110" s="119">
        <v>715962.63000000024</v>
      </c>
      <c r="AP110" s="120">
        <f t="shared" ca="1" si="91"/>
        <v>1.3010914807264877</v>
      </c>
      <c r="AQ110" s="120">
        <f t="shared" ca="1" si="91"/>
        <v>0.36338174601231438</v>
      </c>
      <c r="AR110" s="120">
        <f t="shared" ca="1" si="91"/>
        <v>0.49281951016053299</v>
      </c>
      <c r="AS110" s="116">
        <f t="shared" ca="1" si="81"/>
        <v>14142432.82</v>
      </c>
      <c r="AT110" s="116">
        <f t="shared" ca="1" si="82"/>
        <v>14142432.82</v>
      </c>
      <c r="AU110" s="121">
        <f t="shared" ca="1" si="92"/>
        <v>1.0603800826628969</v>
      </c>
      <c r="AV110" s="122">
        <f t="shared" ca="1" si="92"/>
        <v>1.0603800826628969</v>
      </c>
      <c r="AW110" s="124"/>
      <c r="AX110" s="125">
        <f ca="1"/>
        <v>0</v>
      </c>
      <c r="BA110" s="112"/>
    </row>
    <row r="111" spans="1:53" ht="18" customHeight="1" x14ac:dyDescent="0.25">
      <c r="A111" s="98" t="s">
        <v>120</v>
      </c>
      <c r="B111" s="126">
        <v>4102429.0999999992</v>
      </c>
      <c r="C111" s="127">
        <v>387488.45999999996</v>
      </c>
      <c r="D111" s="127">
        <v>743557.22</v>
      </c>
      <c r="E111" s="127">
        <v>241282.28</v>
      </c>
      <c r="F111" s="127">
        <v>222449.05999999997</v>
      </c>
      <c r="G111" s="128">
        <v>2634.0299999999988</v>
      </c>
      <c r="H111" s="129">
        <f ca="1">SUM(B111:G111)</f>
        <v>5699840.1499999985</v>
      </c>
      <c r="I111" s="129">
        <v>22868864.710000001</v>
      </c>
      <c r="J111" s="130">
        <f ca="1">SUM(H111:I111)-SUM(S111:T111)</f>
        <v>11276607.069999997</v>
      </c>
      <c r="K111" s="131">
        <f ca="1">H112-J111</f>
        <v>1598728.5100000035</v>
      </c>
      <c r="L111" s="132">
        <v>0</v>
      </c>
      <c r="M111" s="129">
        <f ca="1">L111*$M$1</f>
        <v>0</v>
      </c>
      <c r="N111" s="130">
        <f ca="1">SUM(H111:I111)</f>
        <v>28568704.859999999</v>
      </c>
      <c r="O111" s="132">
        <f t="shared" ca="1" si="77"/>
        <v>28568704.859999999</v>
      </c>
      <c r="P111" s="130">
        <f t="shared" ca="1" si="78"/>
        <v>26971293.809999999</v>
      </c>
      <c r="Q111" s="131">
        <f t="shared" ca="1" si="79"/>
        <v>1597411.05</v>
      </c>
      <c r="R111" s="132">
        <f t="shared" ca="1" si="80"/>
        <v>1209922.5900000001</v>
      </c>
      <c r="S111" s="130">
        <v>16961492.890000004</v>
      </c>
      <c r="T111" s="131">
        <v>330604.9000000002</v>
      </c>
      <c r="U111" s="132">
        <v>114996.60000000019</v>
      </c>
      <c r="V111" s="120">
        <f t="shared" ca="1" si="87"/>
        <v>0.62887205224509046</v>
      </c>
      <c r="W111" s="120">
        <f t="shared" ca="1" si="87"/>
        <v>0.20696294795256373</v>
      </c>
      <c r="X111" s="120">
        <f t="shared" ca="1" si="87"/>
        <v>9.5044592894162089E-2</v>
      </c>
      <c r="Y111" s="130">
        <f ca="1">SUM(S111:T111)</f>
        <v>17292097.790000003</v>
      </c>
      <c r="Z111" s="131">
        <f t="shared" ca="1" si="89"/>
        <v>17292097.790000003</v>
      </c>
      <c r="AA111" s="133">
        <f t="shared" ca="1" si="90"/>
        <v>0.60528112403902667</v>
      </c>
      <c r="AB111" s="134">
        <f t="shared" ca="1" si="90"/>
        <v>0.60528112403902667</v>
      </c>
      <c r="AC111" s="135"/>
      <c r="AD111" s="135"/>
      <c r="AE111" s="130">
        <f ca="1">N111-SUM(AC111:AD111)</f>
        <v>28568704.859999999</v>
      </c>
      <c r="AF111" s="131">
        <f t="shared" ca="1" si="85"/>
        <v>28568704.859999999</v>
      </c>
      <c r="AG111" s="130"/>
      <c r="AH111" s="131"/>
      <c r="AI111" s="130"/>
      <c r="AJ111" s="130">
        <f t="shared" ca="1" si="86"/>
        <v>26971293.809999999</v>
      </c>
      <c r="AK111" s="131">
        <f t="shared" ca="1" si="86"/>
        <v>1597411.05</v>
      </c>
      <c r="AL111" s="132">
        <f t="shared" ca="1" si="86"/>
        <v>1209922.5900000001</v>
      </c>
      <c r="AM111" s="130">
        <v>16961492.890000004</v>
      </c>
      <c r="AN111" s="131">
        <v>330604.9000000002</v>
      </c>
      <c r="AO111" s="132">
        <v>114996.60000000019</v>
      </c>
      <c r="AP111" s="120">
        <f t="shared" ca="1" si="91"/>
        <v>0.62887205224509046</v>
      </c>
      <c r="AQ111" s="120">
        <f t="shared" ca="1" si="91"/>
        <v>0.20696294795256373</v>
      </c>
      <c r="AR111" s="120">
        <f t="shared" ca="1" si="91"/>
        <v>9.5044592894162089E-2</v>
      </c>
      <c r="AS111" s="129">
        <f t="shared" ca="1" si="81"/>
        <v>17292097.790000003</v>
      </c>
      <c r="AT111" s="129">
        <f t="shared" ca="1" si="82"/>
        <v>17292097.790000003</v>
      </c>
      <c r="AU111" s="133">
        <f t="shared" ca="1" si="92"/>
        <v>0.60528112403902667</v>
      </c>
      <c r="AV111" s="134">
        <f t="shared" ca="1" si="92"/>
        <v>0.60528112403902667</v>
      </c>
      <c r="AW111" s="124"/>
      <c r="AX111" s="136">
        <f ca="1"/>
        <v>0</v>
      </c>
      <c r="BA111" s="112"/>
    </row>
    <row r="112" spans="1:53" x14ac:dyDescent="0.25">
      <c r="A112" s="98" t="s">
        <v>121</v>
      </c>
      <c r="B112" s="113">
        <v>9932869.1400000006</v>
      </c>
      <c r="C112" s="114">
        <v>1520659.8699999999</v>
      </c>
      <c r="D112" s="114">
        <v>387488.46</v>
      </c>
      <c r="E112" s="114">
        <v>676401.95</v>
      </c>
      <c r="F112" s="114">
        <v>321282.13000000006</v>
      </c>
      <c r="G112" s="115">
        <v>36634.03</v>
      </c>
      <c r="H112" s="116">
        <f ca="1">SUM(B112:G112)</f>
        <v>12875335.58</v>
      </c>
      <c r="I112" s="116">
        <v>9643786.2500000019</v>
      </c>
      <c r="J112" s="117">
        <f ca="1">SUM(H112:I112)-SUM(S112:T112)</f>
        <v>9802777.0700000022</v>
      </c>
      <c r="K112" s="118"/>
      <c r="L112" s="119">
        <v>0</v>
      </c>
      <c r="M112" s="116">
        <f ca="1">L112*$M$1</f>
        <v>0</v>
      </c>
      <c r="N112" s="117">
        <f ca="1">SUM(H112:I112)</f>
        <v>22519121.830000002</v>
      </c>
      <c r="O112" s="119">
        <f t="shared" ca="1" si="77"/>
        <v>22519121.830000002</v>
      </c>
      <c r="P112" s="117">
        <f t="shared" ca="1" si="78"/>
        <v>19576655.390000001</v>
      </c>
      <c r="Q112" s="118">
        <f t="shared" ca="1" si="79"/>
        <v>2942466.4399999995</v>
      </c>
      <c r="R112" s="119">
        <f t="shared" ca="1" si="80"/>
        <v>1421806.57</v>
      </c>
      <c r="S112" s="117">
        <v>10163345.75</v>
      </c>
      <c r="T112" s="118">
        <v>2552999.0100000002</v>
      </c>
      <c r="U112" s="119">
        <v>236136.49000000017</v>
      </c>
      <c r="V112" s="120">
        <f ca="1">S112/P112</f>
        <v>0.51915639048289952</v>
      </c>
      <c r="W112" s="120">
        <f ca="1">T112/Q112</f>
        <v>0.86763912590282621</v>
      </c>
      <c r="X112" s="120">
        <f t="shared" ca="1" si="87"/>
        <v>0.16608200790632172</v>
      </c>
      <c r="Y112" s="117">
        <f ca="1">SUM(S112:T112)</f>
        <v>12716344.76</v>
      </c>
      <c r="Z112" s="118">
        <f t="shared" ca="1" si="89"/>
        <v>12716344.76</v>
      </c>
      <c r="AA112" s="121">
        <f ca="1">Y112/N112</f>
        <v>0.5646909704560179</v>
      </c>
      <c r="AB112" s="122">
        <f ca="1">Z112/O112</f>
        <v>0.5646909704560179</v>
      </c>
      <c r="AC112" s="135"/>
      <c r="AD112" s="135"/>
      <c r="AE112" s="117">
        <f ca="1">N112-SUM(AC112:AD112)</f>
        <v>22519121.830000002</v>
      </c>
      <c r="AF112" s="118">
        <f ca="1">AE112-M112</f>
        <v>22519121.830000002</v>
      </c>
      <c r="AG112" s="117"/>
      <c r="AH112" s="118"/>
      <c r="AI112" s="117"/>
      <c r="AJ112" s="117">
        <f ca="1">P112-AG112</f>
        <v>19576655.390000001</v>
      </c>
      <c r="AK112" s="118">
        <f ca="1">Q112-AH112</f>
        <v>2942466.4399999995</v>
      </c>
      <c r="AL112" s="119">
        <f ca="1">R112-AI112</f>
        <v>1421806.57</v>
      </c>
      <c r="AM112" s="117">
        <v>10163345.75</v>
      </c>
      <c r="AN112" s="118">
        <v>2552999.0100000002</v>
      </c>
      <c r="AO112" s="119">
        <v>236136.49000000017</v>
      </c>
      <c r="AP112" s="120">
        <f t="shared" ca="1" si="91"/>
        <v>0.51915639048289952</v>
      </c>
      <c r="AQ112" s="120">
        <f t="shared" ca="1" si="91"/>
        <v>0.86763912590282621</v>
      </c>
      <c r="AR112" s="120">
        <f t="shared" ca="1" si="91"/>
        <v>0.16608200790632172</v>
      </c>
      <c r="AS112" s="116">
        <f t="shared" ca="1" si="81"/>
        <v>12716344.76</v>
      </c>
      <c r="AT112" s="116">
        <f t="shared" ca="1" si="82"/>
        <v>12716344.76</v>
      </c>
      <c r="AU112" s="121">
        <f t="shared" ca="1" si="92"/>
        <v>0.5646909704560179</v>
      </c>
      <c r="AV112" s="122">
        <f t="shared" ca="1" si="92"/>
        <v>0.5646909704560179</v>
      </c>
      <c r="AW112" s="124"/>
      <c r="AX112" s="125">
        <f ca="1"/>
        <v>0</v>
      </c>
      <c r="BA112" s="112"/>
    </row>
    <row r="113" spans="1:53" ht="24.6" customHeight="1" thickBot="1" x14ac:dyDescent="0.3">
      <c r="A113" s="163"/>
      <c r="B113" s="164"/>
      <c r="C113" s="165"/>
      <c r="D113" s="165"/>
      <c r="E113" s="165"/>
      <c r="F113" s="165"/>
      <c r="G113" s="165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7"/>
      <c r="W113" s="167"/>
      <c r="X113" s="167"/>
      <c r="Y113" s="166"/>
      <c r="Z113" s="166"/>
      <c r="AA113" s="167"/>
      <c r="AB113" s="167"/>
      <c r="AC113" s="135"/>
      <c r="AD113" s="135"/>
      <c r="AE113" s="166"/>
      <c r="AF113" s="166"/>
      <c r="AG113" s="166"/>
      <c r="AH113" s="166"/>
      <c r="AI113" s="166"/>
      <c r="AJ113" s="166"/>
      <c r="AK113" s="166"/>
      <c r="AL113" s="166"/>
      <c r="AM113" s="166"/>
      <c r="AN113" s="166"/>
      <c r="AO113" s="166"/>
      <c r="AP113" s="167"/>
      <c r="AQ113" s="167"/>
      <c r="AR113" s="167"/>
      <c r="AS113" s="166"/>
      <c r="AT113" s="166"/>
      <c r="AU113" s="167"/>
      <c r="AV113" s="167"/>
      <c r="AW113" s="124"/>
      <c r="AX113" s="168"/>
    </row>
    <row r="114" spans="1:53" ht="32.65" customHeight="1" thickBot="1" x14ac:dyDescent="0.55000000000000004">
      <c r="B114" s="169" t="s">
        <v>124</v>
      </c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 t="s">
        <v>124</v>
      </c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  <c r="AC114" s="171"/>
      <c r="AD114" s="171"/>
      <c r="AE114" s="170" t="s">
        <v>124</v>
      </c>
      <c r="AF114" s="170"/>
      <c r="AG114" s="170"/>
      <c r="AH114" s="170"/>
      <c r="AI114" s="170"/>
      <c r="AJ114" s="170"/>
      <c r="AK114" s="170"/>
      <c r="AL114" s="170"/>
      <c r="AM114" s="170"/>
      <c r="AN114" s="170"/>
      <c r="AO114" s="170"/>
      <c r="AP114" s="170"/>
      <c r="AQ114" s="170"/>
      <c r="AR114" s="170"/>
      <c r="AS114" s="170"/>
      <c r="AT114" s="170"/>
      <c r="AU114" s="170"/>
      <c r="AV114" s="170"/>
      <c r="AW114" s="171"/>
      <c r="AX114" s="172"/>
    </row>
    <row r="115" spans="1:53" ht="23.65" customHeight="1" thickBot="1" x14ac:dyDescent="0.3">
      <c r="A115" s="61">
        <v>2026</v>
      </c>
      <c r="B115" s="62" t="s">
        <v>68</v>
      </c>
      <c r="C115" s="63"/>
      <c r="D115" s="63"/>
      <c r="E115" s="63"/>
      <c r="F115" s="63"/>
      <c r="G115" s="63"/>
      <c r="H115" s="64"/>
      <c r="I115" s="65"/>
      <c r="J115" s="66"/>
      <c r="K115" s="66"/>
      <c r="L115" s="65"/>
      <c r="N115" s="67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9"/>
      <c r="AC115" s="66"/>
      <c r="AD115" s="66"/>
      <c r="AE115" s="70"/>
      <c r="AF115" s="71"/>
      <c r="AG115" s="71"/>
      <c r="AH115" s="71"/>
      <c r="AI115" s="71"/>
      <c r="AJ115" s="72"/>
      <c r="AK115" s="72"/>
      <c r="AL115" s="72"/>
      <c r="AM115" s="72"/>
      <c r="AN115" s="72"/>
      <c r="AO115" s="72"/>
      <c r="AP115" s="71"/>
      <c r="AQ115" s="71"/>
      <c r="AR115" s="71"/>
      <c r="AS115" s="71"/>
      <c r="AT115" s="71"/>
      <c r="AU115" s="71"/>
      <c r="AV115" s="73"/>
      <c r="AX115" s="66"/>
    </row>
    <row r="116" spans="1:53" ht="66.599999999999994" customHeight="1" thickBot="1" x14ac:dyDescent="0.3">
      <c r="A116" s="74" t="s">
        <v>71</v>
      </c>
      <c r="B116" s="141" t="s">
        <v>72</v>
      </c>
      <c r="C116" s="142" t="s">
        <v>73</v>
      </c>
      <c r="D116" s="142" t="s">
        <v>74</v>
      </c>
      <c r="E116" s="142" t="s">
        <v>75</v>
      </c>
      <c r="F116" s="142" t="s">
        <v>76</v>
      </c>
      <c r="G116" s="143" t="s">
        <v>77</v>
      </c>
      <c r="H116" s="144" t="s">
        <v>78</v>
      </c>
      <c r="I116" s="145" t="s">
        <v>79</v>
      </c>
      <c r="J116" s="146" t="s">
        <v>80</v>
      </c>
      <c r="K116" s="146" t="s">
        <v>81</v>
      </c>
      <c r="L116" s="145" t="s">
        <v>82</v>
      </c>
      <c r="M116" s="146" t="s">
        <v>83</v>
      </c>
      <c r="N116" s="147" t="s">
        <v>84</v>
      </c>
      <c r="O116" s="148" t="s">
        <v>85</v>
      </c>
      <c r="P116" s="149" t="s">
        <v>86</v>
      </c>
      <c r="Q116" s="149" t="s">
        <v>87</v>
      </c>
      <c r="R116" s="149" t="s">
        <v>88</v>
      </c>
      <c r="S116" s="150" t="s">
        <v>89</v>
      </c>
      <c r="T116" s="150" t="s">
        <v>90</v>
      </c>
      <c r="U116" s="150" t="s">
        <v>91</v>
      </c>
      <c r="V116" s="151" t="s">
        <v>92</v>
      </c>
      <c r="W116" s="151" t="s">
        <v>93</v>
      </c>
      <c r="X116" s="151" t="s">
        <v>94</v>
      </c>
      <c r="Y116" s="152" t="s">
        <v>95</v>
      </c>
      <c r="Z116" s="153" t="s">
        <v>96</v>
      </c>
      <c r="AA116" s="154" t="s">
        <v>97</v>
      </c>
      <c r="AB116" s="155" t="s">
        <v>98</v>
      </c>
      <c r="AC116" s="146" t="s">
        <v>123</v>
      </c>
      <c r="AD116" s="146" t="s">
        <v>122</v>
      </c>
      <c r="AE116" s="148" t="s">
        <v>101</v>
      </c>
      <c r="AF116" s="148" t="s">
        <v>102</v>
      </c>
      <c r="AG116" s="156" t="s">
        <v>103</v>
      </c>
      <c r="AH116" s="156" t="s">
        <v>104</v>
      </c>
      <c r="AI116" s="156" t="s">
        <v>105</v>
      </c>
      <c r="AJ116" s="157" t="s">
        <v>106</v>
      </c>
      <c r="AK116" s="149" t="s">
        <v>107</v>
      </c>
      <c r="AL116" s="149" t="s">
        <v>108</v>
      </c>
      <c r="AM116" s="150" t="s">
        <v>89</v>
      </c>
      <c r="AN116" s="150" t="s">
        <v>90</v>
      </c>
      <c r="AO116" s="150" t="s">
        <v>91</v>
      </c>
      <c r="AP116" s="151" t="s">
        <v>92</v>
      </c>
      <c r="AQ116" s="151" t="s">
        <v>93</v>
      </c>
      <c r="AR116" s="158" t="s">
        <v>94</v>
      </c>
      <c r="AS116" s="152" t="s">
        <v>95</v>
      </c>
      <c r="AT116" s="153" t="s">
        <v>96</v>
      </c>
      <c r="AU116" s="154" t="s">
        <v>97</v>
      </c>
      <c r="AV116" s="155" t="s">
        <v>98</v>
      </c>
      <c r="AX116" s="97" t="s">
        <v>109</v>
      </c>
    </row>
    <row r="117" spans="1:53" ht="18" customHeight="1" x14ac:dyDescent="0.25">
      <c r="A117" s="98" t="s">
        <v>110</v>
      </c>
      <c r="B117" s="99">
        <v>2331817.66</v>
      </c>
      <c r="C117" s="100">
        <v>2259856.1800000002</v>
      </c>
      <c r="D117" s="100">
        <v>1921994.54</v>
      </c>
      <c r="E117" s="100">
        <v>359127.89</v>
      </c>
      <c r="F117" s="100">
        <v>910820.26</v>
      </c>
      <c r="G117" s="101">
        <v>92746.07</v>
      </c>
      <c r="H117" s="102">
        <f ca="1">SUM(B117:G117)</f>
        <v>7876362.5999999996</v>
      </c>
      <c r="I117" s="102">
        <v>11877796.700000001</v>
      </c>
      <c r="J117" s="103">
        <f ca="1">SUM(H117:I117)-SUM(S117:T117)</f>
        <v>6938645.1900000032</v>
      </c>
      <c r="K117" s="104">
        <f ca="1">H118-J117</f>
        <v>2464444.3999999966</v>
      </c>
      <c r="L117" s="105">
        <v>0</v>
      </c>
      <c r="M117" s="102">
        <f ca="1">L117*$M$1</f>
        <v>0</v>
      </c>
      <c r="N117" s="103">
        <f ca="1">SUM(H117:I117)</f>
        <v>19754159.300000001</v>
      </c>
      <c r="O117" s="105">
        <f ca="1">$N117-$M117</f>
        <v>19754159.300000001</v>
      </c>
      <c r="P117" s="103">
        <f ca="1">SUM($I117,$B117)</f>
        <v>14209614.360000001</v>
      </c>
      <c r="Q117" s="104">
        <f ca="1">SUM($C117:$G117)</f>
        <v>5544544.9400000004</v>
      </c>
      <c r="R117" s="105">
        <f ca="1">SUM($D117:$G117)</f>
        <v>3284688.7600000002</v>
      </c>
      <c r="S117" s="103">
        <v>11844015.019999998</v>
      </c>
      <c r="T117" s="104">
        <v>971499.08999999985</v>
      </c>
      <c r="U117" s="105">
        <v>697532.55999999982</v>
      </c>
      <c r="V117" s="120">
        <f t="shared" ref="V117:X120" ca="1" si="93">S117/P117</f>
        <v>0.83352121457573436</v>
      </c>
      <c r="W117" s="120">
        <f t="shared" ca="1" si="93"/>
        <v>0.17521710086454809</v>
      </c>
      <c r="X117" s="120">
        <f t="shared" ca="1" si="93"/>
        <v>0.21235879895055865</v>
      </c>
      <c r="Y117" s="130">
        <f ca="1">SUM(S117:T117)</f>
        <v>12815514.109999998</v>
      </c>
      <c r="Z117" s="131">
        <f ca="1">SUM(S117:T117)+MAX(0,$M$1*$AX117)</f>
        <v>12815514.109999998</v>
      </c>
      <c r="AA117" s="133">
        <f t="shared" ref="AA117:AB119" ca="1" si="94">Y117/N117</f>
        <v>0.64875016523735318</v>
      </c>
      <c r="AB117" s="134">
        <f t="shared" ca="1" si="94"/>
        <v>0.64875016523735318</v>
      </c>
      <c r="AC117" s="109"/>
      <c r="AD117" s="109"/>
      <c r="AE117" s="103">
        <f ca="1">N117-SUM(AC117:AD117)</f>
        <v>19754159.300000001</v>
      </c>
      <c r="AF117" s="104">
        <f ca="1">AE117-M117</f>
        <v>19754159.300000001</v>
      </c>
      <c r="AG117" s="103"/>
      <c r="AH117" s="104"/>
      <c r="AI117" s="103"/>
      <c r="AJ117" s="103">
        <f t="shared" ref="AJ117:AL120" ca="1" si="95">P117-AG117</f>
        <v>14209614.360000001</v>
      </c>
      <c r="AK117" s="104">
        <f t="shared" ca="1" si="95"/>
        <v>5544544.9400000004</v>
      </c>
      <c r="AL117" s="105">
        <f t="shared" ca="1" si="95"/>
        <v>3284688.7600000002</v>
      </c>
      <c r="AM117" s="103">
        <v>11844015.019999998</v>
      </c>
      <c r="AN117" s="104">
        <v>971499.08999999985</v>
      </c>
      <c r="AO117" s="105">
        <v>697532.55999999982</v>
      </c>
      <c r="AP117" s="120">
        <f t="shared" ref="AP117:AR120" ca="1" si="96">AM117/AJ117</f>
        <v>0.83352121457573436</v>
      </c>
      <c r="AQ117" s="120">
        <f t="shared" ca="1" si="96"/>
        <v>0.17521710086454809</v>
      </c>
      <c r="AR117" s="120">
        <f t="shared" ca="1" si="96"/>
        <v>0.21235879895055865</v>
      </c>
      <c r="AS117" s="102">
        <f ca="1">SUM(AM117:AN117)</f>
        <v>12815514.109999998</v>
      </c>
      <c r="AT117" s="102">
        <f ca="1">SUM(AM117:AN117)+MAX(0,$M$1*$AX117)</f>
        <v>12815514.109999998</v>
      </c>
      <c r="AU117" s="133">
        <f t="shared" ref="AU117:AV119" ca="1" si="97">AS117/AE117</f>
        <v>0.64875016523735318</v>
      </c>
      <c r="AV117" s="134">
        <f t="shared" ca="1" si="97"/>
        <v>0.64875016523735318</v>
      </c>
      <c r="AW117" s="110"/>
      <c r="AX117" s="111">
        <f ca="1">Summary!I162</f>
        <v>0</v>
      </c>
      <c r="BA117" s="112"/>
    </row>
    <row r="118" spans="1:53" outlineLevel="1" x14ac:dyDescent="0.25">
      <c r="A118" s="98" t="s">
        <v>111</v>
      </c>
      <c r="B118" s="113">
        <v>3909997.25</v>
      </c>
      <c r="C118" s="114">
        <v>1191958.6100000001</v>
      </c>
      <c r="D118" s="114">
        <v>2008712.66</v>
      </c>
      <c r="E118" s="114">
        <v>1327581.69</v>
      </c>
      <c r="F118" s="114">
        <v>834513.27</v>
      </c>
      <c r="G118" s="115">
        <v>130326.11</v>
      </c>
      <c r="H118" s="116">
        <f ca="1">SUM(B118:G118)</f>
        <v>9403089.5899999999</v>
      </c>
      <c r="I118" s="116">
        <v>9335990.0199999996</v>
      </c>
      <c r="J118" s="117">
        <f ca="1">SUM(H118:I118)-SUM(S118:T118)</f>
        <v>9056432.6099999975</v>
      </c>
      <c r="K118" s="118">
        <f ca="1">H119-J118</f>
        <v>563473.31000000238</v>
      </c>
      <c r="L118" s="119"/>
      <c r="M118" s="116">
        <f ca="1">L118*$M$1</f>
        <v>0</v>
      </c>
      <c r="N118" s="117">
        <f ca="1">SUM(H118:I118)</f>
        <v>18739079.609999999</v>
      </c>
      <c r="O118" s="119">
        <f ca="1">$N118-$M118</f>
        <v>18739079.609999999</v>
      </c>
      <c r="P118" s="117">
        <f ca="1">SUM($I118,$B118)</f>
        <v>13245987.27</v>
      </c>
      <c r="Q118" s="118">
        <f ca="1">SUM($C118:$G118)</f>
        <v>5493092.3400000008</v>
      </c>
      <c r="R118" s="119">
        <f ca="1">SUM($D118:$G118)</f>
        <v>4301133.7299999995</v>
      </c>
      <c r="S118" s="117">
        <v>8924344.5300000012</v>
      </c>
      <c r="T118" s="118">
        <v>758302.47</v>
      </c>
      <c r="U118" s="119">
        <v>294171.63</v>
      </c>
      <c r="V118" s="120">
        <f t="shared" ca="1" si="93"/>
        <v>0.6737394765743272</v>
      </c>
      <c r="W118" s="120">
        <f t="shared" ca="1" si="93"/>
        <v>0.13804655430205273</v>
      </c>
      <c r="X118" s="120">
        <f t="shared" ca="1" si="93"/>
        <v>6.8393974348712014E-2</v>
      </c>
      <c r="Y118" s="117">
        <f ca="1">SUM(S118:T118)</f>
        <v>9682647.0000000019</v>
      </c>
      <c r="Z118" s="118">
        <f ca="1">SUM(S118:T118)+MAX(0,$M$1*$AX118)</f>
        <v>9682647.0000000019</v>
      </c>
      <c r="AA118" s="121">
        <f t="shared" ca="1" si="94"/>
        <v>0.51670878194214587</v>
      </c>
      <c r="AB118" s="122">
        <f t="shared" ca="1" si="94"/>
        <v>0.51670878194214587</v>
      </c>
      <c r="AC118" s="123"/>
      <c r="AD118" s="123"/>
      <c r="AE118" s="117">
        <f ca="1">N118-SUM(AC118:AD118)</f>
        <v>18739079.609999999</v>
      </c>
      <c r="AF118" s="118">
        <f ca="1">AE118-M118</f>
        <v>18739079.609999999</v>
      </c>
      <c r="AG118" s="117"/>
      <c r="AH118" s="118"/>
      <c r="AI118" s="117"/>
      <c r="AJ118" s="117">
        <f t="shared" ca="1" si="95"/>
        <v>13245987.27</v>
      </c>
      <c r="AK118" s="118">
        <f t="shared" ca="1" si="95"/>
        <v>5493092.3400000008</v>
      </c>
      <c r="AL118" s="119">
        <f t="shared" ca="1" si="95"/>
        <v>4301133.7299999995</v>
      </c>
      <c r="AM118" s="117">
        <v>8924344.5300000012</v>
      </c>
      <c r="AN118" s="118">
        <v>758302.47</v>
      </c>
      <c r="AO118" s="119">
        <v>294171.63</v>
      </c>
      <c r="AP118" s="120">
        <f t="shared" ca="1" si="96"/>
        <v>0.6737394765743272</v>
      </c>
      <c r="AQ118" s="120">
        <f t="shared" ca="1" si="96"/>
        <v>0.13804655430205273</v>
      </c>
      <c r="AR118" s="120">
        <f t="shared" ca="1" si="96"/>
        <v>6.8393974348712014E-2</v>
      </c>
      <c r="AS118" s="116">
        <f ca="1">SUM(AM118:AN118)</f>
        <v>9682647.0000000019</v>
      </c>
      <c r="AT118" s="116">
        <f ca="1">SUM(AM118:AN118)+MAX(0,$M$1*$AX118)</f>
        <v>9682647.0000000019</v>
      </c>
      <c r="AU118" s="121">
        <f t="shared" ca="1" si="97"/>
        <v>0.51670878194214587</v>
      </c>
      <c r="AV118" s="122">
        <f t="shared" ca="1" si="97"/>
        <v>0.51670878194214587</v>
      </c>
      <c r="AW118" s="124"/>
      <c r="AX118" s="125">
        <f ca="1">Summary!I163</f>
        <v>0</v>
      </c>
      <c r="BA118" s="112"/>
    </row>
    <row r="119" spans="1:53" ht="18" customHeight="1" outlineLevel="1" x14ac:dyDescent="0.25">
      <c r="A119" s="98" t="s">
        <v>112</v>
      </c>
      <c r="B119" s="126">
        <v>3789451.22</v>
      </c>
      <c r="C119" s="127">
        <v>1735816.02</v>
      </c>
      <c r="D119" s="127">
        <v>748815.97</v>
      </c>
      <c r="E119" s="127">
        <v>2079376.65</v>
      </c>
      <c r="F119" s="127">
        <v>666616.82000000007</v>
      </c>
      <c r="G119" s="128">
        <v>599829.24</v>
      </c>
      <c r="H119" s="129">
        <f ca="1">SUM(B119:G119)</f>
        <v>9619905.9199999999</v>
      </c>
      <c r="I119" s="129">
        <v>7739633.9500000002</v>
      </c>
      <c r="J119" s="130">
        <f ca="1">SUM(H119:I119)-SUM(S119:T119)</f>
        <v>10127694.579999998</v>
      </c>
      <c r="K119" s="131">
        <f ca="1">H120-J119</f>
        <v>-384663.14999999851</v>
      </c>
      <c r="L119" s="132">
        <v>186942.37</v>
      </c>
      <c r="M119" s="129">
        <f ca="1">L119*$M$1</f>
        <v>102818.30350000001</v>
      </c>
      <c r="N119" s="130">
        <f ca="1">SUM(H119:I119)</f>
        <v>17359539.870000001</v>
      </c>
      <c r="O119" s="132">
        <f ca="1">$N119-$M119</f>
        <v>17256721.566500001</v>
      </c>
      <c r="P119" s="130">
        <f ca="1">SUM($I119,$B119)</f>
        <v>11529085.17</v>
      </c>
      <c r="Q119" s="131">
        <f ca="1">SUM($C119:$G119)</f>
        <v>5830454.7000000011</v>
      </c>
      <c r="R119" s="132">
        <f ca="1">SUM($D119:$G119)</f>
        <v>4094638.6800000006</v>
      </c>
      <c r="S119" s="130">
        <v>6393576.3900000025</v>
      </c>
      <c r="T119" s="131">
        <v>838268.89999999991</v>
      </c>
      <c r="U119" s="132">
        <v>661799.67999999993</v>
      </c>
      <c r="V119" s="120">
        <f t="shared" ca="1" si="93"/>
        <v>0.55456060005843488</v>
      </c>
      <c r="W119" s="120">
        <f t="shared" ca="1" si="93"/>
        <v>0.14377418968712677</v>
      </c>
      <c r="X119" s="120">
        <f t="shared" ca="1" si="93"/>
        <v>0.16162590443755584</v>
      </c>
      <c r="Y119" s="130">
        <f ca="1">SUM(S119:T119)</f>
        <v>7231845.2900000028</v>
      </c>
      <c r="Z119" s="131">
        <f ca="1">SUM(S119:T119)+MAX(0,$M$1*$AX119)</f>
        <v>7231845.2900000028</v>
      </c>
      <c r="AA119" s="133">
        <f t="shared" ca="1" si="94"/>
        <v>0.41659199173232481</v>
      </c>
      <c r="AB119" s="134">
        <f t="shared" ca="1" si="94"/>
        <v>0.4190741133610793</v>
      </c>
      <c r="AC119" s="135"/>
      <c r="AD119" s="135"/>
      <c r="AE119" s="130">
        <f ca="1">N119-SUM(AC119:AD119)</f>
        <v>17359539.870000001</v>
      </c>
      <c r="AF119" s="131">
        <f ca="1">AE119-M119</f>
        <v>17256721.566500001</v>
      </c>
      <c r="AG119" s="130"/>
      <c r="AH119" s="131"/>
      <c r="AI119" s="130"/>
      <c r="AJ119" s="130">
        <f t="shared" ca="1" si="95"/>
        <v>11529085.17</v>
      </c>
      <c r="AK119" s="131">
        <f t="shared" ca="1" si="95"/>
        <v>5830454.7000000011</v>
      </c>
      <c r="AL119" s="132">
        <f t="shared" ca="1" si="95"/>
        <v>4094638.6800000006</v>
      </c>
      <c r="AM119" s="130">
        <v>6393576.3900000025</v>
      </c>
      <c r="AN119" s="131">
        <v>838268.89999999991</v>
      </c>
      <c r="AO119" s="132">
        <v>661799.67999999993</v>
      </c>
      <c r="AP119" s="120">
        <f t="shared" ca="1" si="96"/>
        <v>0.55456060005843488</v>
      </c>
      <c r="AQ119" s="120">
        <f t="shared" ca="1" si="96"/>
        <v>0.14377418968712677</v>
      </c>
      <c r="AR119" s="120">
        <f t="shared" ca="1" si="96"/>
        <v>0.16162590443755584</v>
      </c>
      <c r="AS119" s="129">
        <f ca="1">SUM(AM119:AN119)</f>
        <v>7231845.2900000028</v>
      </c>
      <c r="AT119" s="129">
        <f ca="1">SUM(AM119:AN119)+MAX(0,$M$1*$AX119)</f>
        <v>7231845.2900000028</v>
      </c>
      <c r="AU119" s="133">
        <f t="shared" ca="1" si="97"/>
        <v>0.41659199173232481</v>
      </c>
      <c r="AV119" s="134">
        <f t="shared" ca="1" si="97"/>
        <v>0.4190741133610793</v>
      </c>
      <c r="AW119" s="124"/>
      <c r="AX119" s="136">
        <f ca="1">Summary!I164</f>
        <v>0</v>
      </c>
      <c r="BA119" s="112"/>
    </row>
    <row r="120" spans="1:53" outlineLevel="1" x14ac:dyDescent="0.25">
      <c r="A120" s="98" t="s">
        <v>113</v>
      </c>
      <c r="B120" s="113">
        <v>2714921.09</v>
      </c>
      <c r="C120" s="114">
        <v>1950204.8200000003</v>
      </c>
      <c r="D120" s="114">
        <v>1364610.1099999999</v>
      </c>
      <c r="E120" s="114">
        <v>634947.36</v>
      </c>
      <c r="F120" s="114">
        <v>2063659.8299999998</v>
      </c>
      <c r="G120" s="115">
        <v>1014688.22</v>
      </c>
      <c r="H120" s="116">
        <f ca="1">SUM(B120:G120)</f>
        <v>9743031.4299999997</v>
      </c>
      <c r="I120" s="116">
        <v>18770840.300000001</v>
      </c>
      <c r="J120" s="117">
        <f ca="1">SUM(H120:I120)-SUM(S120:T120)</f>
        <v>15345131.92</v>
      </c>
      <c r="K120" s="118"/>
      <c r="L120" s="119">
        <v>0</v>
      </c>
      <c r="M120" s="116">
        <f ca="1">L120*$M$1</f>
        <v>0</v>
      </c>
      <c r="N120" s="117">
        <f ca="1">SUM(H120:I120)</f>
        <v>28513871.73</v>
      </c>
      <c r="O120" s="119">
        <f ca="1">$N120-$M120</f>
        <v>28513871.73</v>
      </c>
      <c r="P120" s="117">
        <f ca="1">SUM($I120,$B120)</f>
        <v>21485761.390000001</v>
      </c>
      <c r="Q120" s="118">
        <f ca="1">SUM($C120:$G120)</f>
        <v>7028110.3399999999</v>
      </c>
      <c r="R120" s="119">
        <f ca="1">SUM($D120:$G120)</f>
        <v>5077905.5199999996</v>
      </c>
      <c r="S120" s="117">
        <v>12579022.370000001</v>
      </c>
      <c r="T120" s="118">
        <v>589717.43999999971</v>
      </c>
      <c r="U120" s="119">
        <v>366289.69999999984</v>
      </c>
      <c r="V120" s="120">
        <f t="shared" ca="1" si="93"/>
        <v>0.58545853422046223</v>
      </c>
      <c r="W120" s="120">
        <f t="shared" ca="1" si="93"/>
        <v>8.3908392365962731E-2</v>
      </c>
      <c r="X120" s="120">
        <f t="shared" ca="1" si="93"/>
        <v>7.2134012450078014E-2</v>
      </c>
      <c r="Y120" s="117">
        <f ca="1">SUM(S120:T120)</f>
        <v>13168739.810000001</v>
      </c>
      <c r="Z120" s="118">
        <f ca="1">SUM(S120:T120)+MAX(0,$M$1*$AX120)</f>
        <v>13798172.212500006</v>
      </c>
      <c r="AA120" s="121">
        <f ca="1">Y120/N120</f>
        <v>0.46183625761860014</v>
      </c>
      <c r="AB120" s="122">
        <f ca="1">Z120/O120</f>
        <v>0.48391086076124412</v>
      </c>
      <c r="AC120" s="123"/>
      <c r="AD120" s="123"/>
      <c r="AE120" s="117">
        <f ca="1">N120-SUM(AC120:AD120)</f>
        <v>28513871.73</v>
      </c>
      <c r="AF120" s="118">
        <f ca="1">AE120-M120</f>
        <v>28513871.73</v>
      </c>
      <c r="AG120" s="117"/>
      <c r="AH120" s="118"/>
      <c r="AI120" s="117"/>
      <c r="AJ120" s="117">
        <f t="shared" ca="1" si="95"/>
        <v>21485761.390000001</v>
      </c>
      <c r="AK120" s="118">
        <f t="shared" ca="1" si="95"/>
        <v>7028110.3399999999</v>
      </c>
      <c r="AL120" s="119">
        <f t="shared" ca="1" si="95"/>
        <v>5077905.5199999996</v>
      </c>
      <c r="AM120" s="117">
        <v>12579022.370000001</v>
      </c>
      <c r="AN120" s="118">
        <v>589717.43999999971</v>
      </c>
      <c r="AO120" s="119">
        <v>366289.69999999984</v>
      </c>
      <c r="AP120" s="120">
        <f t="shared" ca="1" si="96"/>
        <v>0.58545853422046223</v>
      </c>
      <c r="AQ120" s="120">
        <f t="shared" ca="1" si="96"/>
        <v>8.3908392365962731E-2</v>
      </c>
      <c r="AR120" s="120">
        <f t="shared" ca="1" si="96"/>
        <v>7.2134012450078014E-2</v>
      </c>
      <c r="AS120" s="116">
        <f ca="1">SUM(AM120:AN120)</f>
        <v>13168739.810000001</v>
      </c>
      <c r="AT120" s="116">
        <f ca="1">SUM(AM120:AN120)+MAX(0,$M$1*$AX120)</f>
        <v>13798172.212500006</v>
      </c>
      <c r="AU120" s="121">
        <f ca="1">AS120/AE120</f>
        <v>0.46183625761860014</v>
      </c>
      <c r="AV120" s="122">
        <f ca="1">AT120/AF120</f>
        <v>0.48391086076124412</v>
      </c>
      <c r="AW120" s="124"/>
      <c r="AX120" s="125">
        <f ca="1">Summary!I165</f>
        <v>1144422.5500000082</v>
      </c>
      <c r="BA120" s="112"/>
    </row>
    <row r="121" spans="1:53" ht="18" customHeight="1" outlineLevel="1" x14ac:dyDescent="0.25">
      <c r="A121" s="98" t="s">
        <v>114</v>
      </c>
      <c r="B121" s="126">
        <v>9470252.799999997</v>
      </c>
      <c r="C121" s="127">
        <v>1142925.6299999999</v>
      </c>
      <c r="D121" s="127">
        <v>1158325.68</v>
      </c>
      <c r="E121" s="127">
        <v>1512571.8</v>
      </c>
      <c r="F121" s="127">
        <v>2244659.6800000002</v>
      </c>
      <c r="G121" s="128">
        <v>1222176.99</v>
      </c>
      <c r="H121" s="129">
        <v>16750912.579999998</v>
      </c>
      <c r="I121" s="129">
        <v>30746208.73</v>
      </c>
      <c r="J121" s="130"/>
      <c r="K121" s="131"/>
      <c r="L121" s="132">
        <v>2653147.2000000086</v>
      </c>
      <c r="M121" s="129">
        <f ca="1">L121*$M$1</f>
        <v>1459230.9600000049</v>
      </c>
      <c r="N121" s="130">
        <f ca="1">SUM(H121:I121)</f>
        <v>47497121.310000002</v>
      </c>
      <c r="O121" s="132">
        <f ca="1">$N121-$M121</f>
        <v>46037890.349999994</v>
      </c>
      <c r="P121" s="130">
        <f ca="1">SUM($I121,$B121)</f>
        <v>40216461.530000001</v>
      </c>
      <c r="Q121" s="131">
        <f ca="1">SUM($C121:$G121)</f>
        <v>7280659.7799999993</v>
      </c>
      <c r="R121" s="132">
        <f ca="1">SUM($D121:$G121)</f>
        <v>6137734.1500000004</v>
      </c>
      <c r="S121" s="130">
        <v>3733703.0600000005</v>
      </c>
      <c r="T121" s="131">
        <v>50140.579999999987</v>
      </c>
      <c r="U121" s="132">
        <v>50140.579999999987</v>
      </c>
      <c r="V121" s="120">
        <f ca="1">S121/P121</f>
        <v>9.2840168377687715E-2</v>
      </c>
      <c r="W121" s="120">
        <f ca="1">T121/Q121</f>
        <v>6.8868181614166833E-3</v>
      </c>
      <c r="X121" s="120">
        <f ca="1">U121/R121</f>
        <v>8.1692329407913478E-3</v>
      </c>
      <c r="Y121" s="130">
        <f ca="1">SUM(S121:T121)</f>
        <v>3783843.6400000006</v>
      </c>
      <c r="Z121" s="131">
        <f ca="1">SUM(S121:T121)+MAX(0,$M$1*$AX121)</f>
        <v>4816678.943500001</v>
      </c>
      <c r="AA121" s="133">
        <f ca="1">Y121/N121</f>
        <v>7.9664694104384662E-2</v>
      </c>
      <c r="AB121" s="134">
        <f ca="1">Z121/O121</f>
        <v>0.10462423249374635</v>
      </c>
      <c r="AC121" s="135"/>
      <c r="AD121" s="135"/>
      <c r="AE121" s="130">
        <f ca="1">N121-SUM(AC121:AD121)</f>
        <v>47497121.310000002</v>
      </c>
      <c r="AF121" s="131">
        <f ca="1">AE121-M121</f>
        <v>46037890.349999994</v>
      </c>
      <c r="AG121" s="130"/>
      <c r="AH121" s="131"/>
      <c r="AI121" s="130"/>
      <c r="AJ121" s="130">
        <f ca="1">P121-AG121</f>
        <v>40216461.530000001</v>
      </c>
      <c r="AK121" s="131">
        <f ca="1">Q121-AH121</f>
        <v>7280659.7799999993</v>
      </c>
      <c r="AL121" s="132">
        <f ca="1">R121-AI121</f>
        <v>6137734.1500000004</v>
      </c>
      <c r="AM121" s="130">
        <v>3733703.0600000005</v>
      </c>
      <c r="AN121" s="131">
        <v>50140.579999999987</v>
      </c>
      <c r="AO121" s="132">
        <v>50140.579999999987</v>
      </c>
      <c r="AP121" s="120">
        <f ca="1">AM121/AJ121</f>
        <v>9.2840168377687715E-2</v>
      </c>
      <c r="AQ121" s="120">
        <f ca="1">AN121/AK121</f>
        <v>6.8868181614166833E-3</v>
      </c>
      <c r="AR121" s="120">
        <f ca="1">AO121/AL121</f>
        <v>8.1692329407913478E-3</v>
      </c>
      <c r="AS121" s="129">
        <f ca="1">SUM(AM121:AN121)</f>
        <v>3783843.6400000006</v>
      </c>
      <c r="AT121" s="129">
        <f ca="1">SUM(AM121:AN121)+MAX(0,$M$1*$AX121)</f>
        <v>4816678.943500001</v>
      </c>
      <c r="AU121" s="133">
        <f ca="1">AS121/AE121</f>
        <v>7.9664694104384662E-2</v>
      </c>
      <c r="AV121" s="134">
        <f ca="1">AT121/AF121</f>
        <v>0.10462423249374635</v>
      </c>
      <c r="AW121" s="124"/>
      <c r="AX121" s="136">
        <f ca="1">Summary!I166</f>
        <v>1877882.37</v>
      </c>
      <c r="BA121" s="112"/>
    </row>
    <row r="122" spans="1:53" outlineLevel="1" x14ac:dyDescent="0.25">
      <c r="A122" s="98" t="s">
        <v>115</v>
      </c>
      <c r="B122" s="113"/>
      <c r="C122" s="114"/>
      <c r="D122" s="114"/>
      <c r="E122" s="114"/>
      <c r="F122" s="114"/>
      <c r="G122" s="115"/>
      <c r="H122" s="116"/>
      <c r="I122" s="116"/>
      <c r="J122" s="117"/>
      <c r="K122" s="118"/>
      <c r="L122" s="119"/>
      <c r="M122" s="116"/>
      <c r="N122" s="117"/>
      <c r="O122" s="119"/>
      <c r="P122" s="117"/>
      <c r="Q122" s="118"/>
      <c r="R122" s="119"/>
      <c r="S122" s="117"/>
      <c r="T122" s="118"/>
      <c r="U122" s="119"/>
      <c r="V122" s="120"/>
      <c r="W122" s="120"/>
      <c r="X122" s="120"/>
      <c r="Y122" s="117"/>
      <c r="Z122" s="118"/>
      <c r="AA122" s="121"/>
      <c r="AB122" s="122"/>
      <c r="AC122" s="123"/>
      <c r="AD122" s="123"/>
      <c r="AE122" s="117"/>
      <c r="AF122" s="118"/>
      <c r="AG122" s="117"/>
      <c r="AH122" s="118"/>
      <c r="AI122" s="117"/>
      <c r="AJ122" s="117"/>
      <c r="AK122" s="118"/>
      <c r="AL122" s="119"/>
      <c r="AM122" s="117"/>
      <c r="AN122" s="118"/>
      <c r="AO122" s="119"/>
      <c r="AP122" s="120"/>
      <c r="AQ122" s="120"/>
      <c r="AR122" s="120"/>
      <c r="AS122" s="116"/>
      <c r="AT122" s="116"/>
      <c r="AU122" s="121"/>
      <c r="AV122" s="122"/>
      <c r="AW122" s="124"/>
      <c r="AX122" s="125"/>
      <c r="BA122" s="112"/>
    </row>
    <row r="123" spans="1:53" ht="18" customHeight="1" outlineLevel="1" x14ac:dyDescent="0.25">
      <c r="A123" s="98" t="s">
        <v>116</v>
      </c>
      <c r="B123" s="126"/>
      <c r="C123" s="127"/>
      <c r="D123" s="127"/>
      <c r="E123" s="127"/>
      <c r="F123" s="127"/>
      <c r="G123" s="128"/>
      <c r="H123" s="129"/>
      <c r="I123" s="129"/>
      <c r="J123" s="130"/>
      <c r="K123" s="131"/>
      <c r="L123" s="132"/>
      <c r="M123" s="129"/>
      <c r="N123" s="130"/>
      <c r="O123" s="132"/>
      <c r="P123" s="130"/>
      <c r="Q123" s="131"/>
      <c r="R123" s="132"/>
      <c r="S123" s="130"/>
      <c r="T123" s="131"/>
      <c r="U123" s="132"/>
      <c r="V123" s="120"/>
      <c r="W123" s="120"/>
      <c r="X123" s="120"/>
      <c r="Y123" s="130"/>
      <c r="Z123" s="131"/>
      <c r="AA123" s="133"/>
      <c r="AB123" s="134"/>
      <c r="AC123" s="135"/>
      <c r="AD123" s="135"/>
      <c r="AE123" s="130"/>
      <c r="AF123" s="131"/>
      <c r="AG123" s="130"/>
      <c r="AH123" s="131"/>
      <c r="AI123" s="130"/>
      <c r="AJ123" s="130"/>
      <c r="AK123" s="131"/>
      <c r="AL123" s="132"/>
      <c r="AM123" s="130"/>
      <c r="AN123" s="131"/>
      <c r="AO123" s="132"/>
      <c r="AP123" s="120"/>
      <c r="AQ123" s="120"/>
      <c r="AR123" s="120"/>
      <c r="AS123" s="129"/>
      <c r="AT123" s="129"/>
      <c r="AU123" s="133"/>
      <c r="AV123" s="134"/>
      <c r="AW123" s="124"/>
      <c r="AX123" s="136"/>
      <c r="BA123" s="112"/>
    </row>
    <row r="124" spans="1:53" outlineLevel="1" x14ac:dyDescent="0.25">
      <c r="A124" s="98" t="s">
        <v>117</v>
      </c>
      <c r="B124" s="113"/>
      <c r="C124" s="114"/>
      <c r="D124" s="114"/>
      <c r="E124" s="114"/>
      <c r="F124" s="114"/>
      <c r="G124" s="115"/>
      <c r="H124" s="116"/>
      <c r="I124" s="116"/>
      <c r="J124" s="117"/>
      <c r="K124" s="118"/>
      <c r="L124" s="119"/>
      <c r="M124" s="116"/>
      <c r="N124" s="117"/>
      <c r="O124" s="119"/>
      <c r="P124" s="117"/>
      <c r="Q124" s="118"/>
      <c r="R124" s="119"/>
      <c r="S124" s="117"/>
      <c r="T124" s="118"/>
      <c r="U124" s="119"/>
      <c r="V124" s="120"/>
      <c r="W124" s="120"/>
      <c r="X124" s="120"/>
      <c r="Y124" s="117"/>
      <c r="Z124" s="118"/>
      <c r="AA124" s="121"/>
      <c r="AB124" s="122"/>
      <c r="AC124" s="135"/>
      <c r="AD124" s="135"/>
      <c r="AE124" s="117"/>
      <c r="AF124" s="118"/>
      <c r="AG124" s="117"/>
      <c r="AH124" s="118"/>
      <c r="AI124" s="117"/>
      <c r="AJ124" s="117"/>
      <c r="AK124" s="118"/>
      <c r="AL124" s="119"/>
      <c r="AM124" s="117"/>
      <c r="AN124" s="118"/>
      <c r="AO124" s="119"/>
      <c r="AP124" s="120"/>
      <c r="AQ124" s="120"/>
      <c r="AR124" s="120"/>
      <c r="AS124" s="116"/>
      <c r="AT124" s="116"/>
      <c r="AU124" s="121"/>
      <c r="AV124" s="122"/>
      <c r="AW124" s="124"/>
      <c r="AX124" s="125"/>
      <c r="BA124" s="112"/>
    </row>
    <row r="125" spans="1:53" ht="18" customHeight="1" outlineLevel="1" x14ac:dyDescent="0.25">
      <c r="A125" s="98" t="s">
        <v>118</v>
      </c>
      <c r="B125" s="126"/>
      <c r="C125" s="127"/>
      <c r="D125" s="127"/>
      <c r="E125" s="127"/>
      <c r="F125" s="127"/>
      <c r="G125" s="128"/>
      <c r="H125" s="129"/>
      <c r="I125" s="129"/>
      <c r="J125" s="130"/>
      <c r="K125" s="131"/>
      <c r="L125" s="132"/>
      <c r="M125" s="129"/>
      <c r="N125" s="130"/>
      <c r="O125" s="132"/>
      <c r="P125" s="130"/>
      <c r="Q125" s="131"/>
      <c r="R125" s="132"/>
      <c r="S125" s="130"/>
      <c r="T125" s="131"/>
      <c r="U125" s="132"/>
      <c r="V125" s="120"/>
      <c r="W125" s="120"/>
      <c r="X125" s="120"/>
      <c r="Y125" s="130"/>
      <c r="Z125" s="131"/>
      <c r="AA125" s="133"/>
      <c r="AB125" s="134"/>
      <c r="AC125" s="135"/>
      <c r="AD125" s="135"/>
      <c r="AE125" s="130"/>
      <c r="AF125" s="131"/>
      <c r="AG125" s="130"/>
      <c r="AH125" s="131"/>
      <c r="AI125" s="130"/>
      <c r="AJ125" s="130"/>
      <c r="AK125" s="131"/>
      <c r="AL125" s="132"/>
      <c r="AM125" s="130"/>
      <c r="AN125" s="131"/>
      <c r="AO125" s="132"/>
      <c r="AP125" s="120"/>
      <c r="AQ125" s="120"/>
      <c r="AR125" s="120"/>
      <c r="AS125" s="129"/>
      <c r="AT125" s="129"/>
      <c r="AU125" s="133"/>
      <c r="AV125" s="134"/>
      <c r="AW125" s="124"/>
      <c r="AX125" s="136"/>
      <c r="BA125" s="112"/>
    </row>
    <row r="126" spans="1:53" outlineLevel="1" x14ac:dyDescent="0.25">
      <c r="A126" s="98" t="s">
        <v>119</v>
      </c>
      <c r="B126" s="113"/>
      <c r="C126" s="114"/>
      <c r="D126" s="114"/>
      <c r="E126" s="114"/>
      <c r="F126" s="114"/>
      <c r="G126" s="115"/>
      <c r="H126" s="116"/>
      <c r="I126" s="116"/>
      <c r="J126" s="117"/>
      <c r="K126" s="118"/>
      <c r="L126" s="119"/>
      <c r="M126" s="116"/>
      <c r="N126" s="117"/>
      <c r="O126" s="119"/>
      <c r="P126" s="117"/>
      <c r="Q126" s="118"/>
      <c r="R126" s="119"/>
      <c r="S126" s="117"/>
      <c r="T126" s="118"/>
      <c r="U126" s="119"/>
      <c r="V126" s="120"/>
      <c r="W126" s="120"/>
      <c r="X126" s="120"/>
      <c r="Y126" s="117"/>
      <c r="Z126" s="118"/>
      <c r="AA126" s="121"/>
      <c r="AB126" s="122"/>
      <c r="AC126" s="135"/>
      <c r="AD126" s="135"/>
      <c r="AE126" s="117"/>
      <c r="AF126" s="118"/>
      <c r="AG126" s="117"/>
      <c r="AH126" s="118"/>
      <c r="AI126" s="117"/>
      <c r="AJ126" s="117"/>
      <c r="AK126" s="118"/>
      <c r="AL126" s="119"/>
      <c r="AM126" s="117"/>
      <c r="AN126" s="118"/>
      <c r="AO126" s="119"/>
      <c r="AP126" s="120"/>
      <c r="AQ126" s="120"/>
      <c r="AR126" s="120"/>
      <c r="AS126" s="116"/>
      <c r="AT126" s="116"/>
      <c r="AU126" s="121"/>
      <c r="AV126" s="122"/>
      <c r="AW126" s="124"/>
      <c r="AX126" s="125"/>
      <c r="BA126" s="112"/>
    </row>
    <row r="127" spans="1:53" ht="18" customHeight="1" outlineLevel="1" x14ac:dyDescent="0.25">
      <c r="A127" s="98" t="s">
        <v>120</v>
      </c>
      <c r="B127" s="126"/>
      <c r="C127" s="127"/>
      <c r="D127" s="127"/>
      <c r="E127" s="127"/>
      <c r="F127" s="127"/>
      <c r="G127" s="128"/>
      <c r="H127" s="129"/>
      <c r="I127" s="129"/>
      <c r="J127" s="130"/>
      <c r="K127" s="131"/>
      <c r="L127" s="132"/>
      <c r="M127" s="129"/>
      <c r="N127" s="130"/>
      <c r="O127" s="132"/>
      <c r="P127" s="130"/>
      <c r="Q127" s="131"/>
      <c r="R127" s="132"/>
      <c r="S127" s="130"/>
      <c r="T127" s="131"/>
      <c r="U127" s="132"/>
      <c r="V127" s="120"/>
      <c r="W127" s="120"/>
      <c r="X127" s="120"/>
      <c r="Y127" s="130"/>
      <c r="Z127" s="131"/>
      <c r="AA127" s="133"/>
      <c r="AB127" s="134"/>
      <c r="AC127" s="135"/>
      <c r="AD127" s="135"/>
      <c r="AE127" s="130"/>
      <c r="AF127" s="131"/>
      <c r="AG127" s="130"/>
      <c r="AH127" s="131"/>
      <c r="AI127" s="130"/>
      <c r="AJ127" s="130"/>
      <c r="AK127" s="131"/>
      <c r="AL127" s="132"/>
      <c r="AM127" s="130"/>
      <c r="AN127" s="131"/>
      <c r="AO127" s="132"/>
      <c r="AP127" s="120"/>
      <c r="AQ127" s="120"/>
      <c r="AR127" s="120"/>
      <c r="AS127" s="129"/>
      <c r="AT127" s="129"/>
      <c r="AU127" s="133"/>
      <c r="AV127" s="134"/>
      <c r="AW127" s="124"/>
      <c r="AX127" s="136"/>
      <c r="BA127" s="112"/>
    </row>
    <row r="128" spans="1:53" outlineLevel="1" x14ac:dyDescent="0.25">
      <c r="A128" s="98" t="s">
        <v>121</v>
      </c>
      <c r="B128" s="113"/>
      <c r="C128" s="114"/>
      <c r="D128" s="114"/>
      <c r="E128" s="114"/>
      <c r="F128" s="114"/>
      <c r="G128" s="115"/>
      <c r="H128" s="116"/>
      <c r="I128" s="116"/>
      <c r="J128" s="117"/>
      <c r="K128" s="118"/>
      <c r="L128" s="119"/>
      <c r="M128" s="116"/>
      <c r="N128" s="117"/>
      <c r="O128" s="119"/>
      <c r="P128" s="117"/>
      <c r="Q128" s="118"/>
      <c r="R128" s="119"/>
      <c r="S128" s="117"/>
      <c r="T128" s="118"/>
      <c r="U128" s="119"/>
      <c r="V128" s="120"/>
      <c r="W128" s="120"/>
      <c r="X128" s="120"/>
      <c r="Y128" s="117"/>
      <c r="Z128" s="118"/>
      <c r="AA128" s="121"/>
      <c r="AB128" s="122"/>
      <c r="AC128" s="135"/>
      <c r="AD128" s="135"/>
      <c r="AE128" s="117"/>
      <c r="AF128" s="118"/>
      <c r="AG128" s="117"/>
      <c r="AH128" s="118"/>
      <c r="AI128" s="117"/>
      <c r="AJ128" s="117"/>
      <c r="AK128" s="118"/>
      <c r="AL128" s="119"/>
      <c r="AM128" s="117"/>
      <c r="AN128" s="118"/>
      <c r="AO128" s="119"/>
      <c r="AP128" s="120"/>
      <c r="AQ128" s="120"/>
      <c r="AR128" s="120"/>
      <c r="AS128" s="116"/>
      <c r="AT128" s="116"/>
      <c r="AU128" s="121"/>
      <c r="AV128" s="122"/>
      <c r="AW128" s="124"/>
      <c r="AX128" s="125"/>
      <c r="BA128" s="112"/>
    </row>
    <row r="129" spans="1:50" ht="15.75" thickBot="1" x14ac:dyDescent="0.3"/>
    <row r="130" spans="1:50" ht="32.25" thickBot="1" x14ac:dyDescent="0.55000000000000004">
      <c r="B130" s="169" t="s">
        <v>125</v>
      </c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 t="s">
        <v>25</v>
      </c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  <c r="AB130" s="170"/>
      <c r="AC130" s="171"/>
      <c r="AD130" s="171"/>
      <c r="AE130" s="170" t="s">
        <v>25</v>
      </c>
      <c r="AF130" s="170"/>
      <c r="AG130" s="170"/>
      <c r="AH130" s="170"/>
      <c r="AI130" s="170"/>
      <c r="AJ130" s="170"/>
      <c r="AK130" s="170"/>
      <c r="AL130" s="170"/>
      <c r="AM130" s="170"/>
      <c r="AN130" s="170"/>
      <c r="AO130" s="170"/>
      <c r="AP130" s="170"/>
      <c r="AQ130" s="170"/>
      <c r="AR130" s="170"/>
      <c r="AS130" s="170"/>
      <c r="AT130" s="170"/>
      <c r="AU130" s="170"/>
      <c r="AV130" s="170"/>
      <c r="AW130" s="171"/>
      <c r="AX130" s="172"/>
    </row>
    <row r="131" spans="1:50" ht="18.75" thickBot="1" x14ac:dyDescent="0.3">
      <c r="A131" s="61">
        <v>2026</v>
      </c>
      <c r="B131" s="62" t="s">
        <v>68</v>
      </c>
      <c r="C131" s="63"/>
      <c r="D131" s="63"/>
      <c r="E131" s="63"/>
      <c r="F131" s="63"/>
      <c r="G131" s="63"/>
      <c r="H131" s="64"/>
      <c r="I131" s="65"/>
      <c r="J131" s="66"/>
      <c r="K131" s="66"/>
      <c r="L131" s="65"/>
      <c r="N131" s="67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9"/>
      <c r="AC131" s="66"/>
      <c r="AD131" s="66"/>
      <c r="AE131" s="70"/>
      <c r="AF131" s="71"/>
      <c r="AG131" s="71"/>
      <c r="AH131" s="71"/>
      <c r="AI131" s="71"/>
      <c r="AJ131" s="72"/>
      <c r="AK131" s="72"/>
      <c r="AL131" s="72"/>
      <c r="AM131" s="72"/>
      <c r="AN131" s="72"/>
      <c r="AO131" s="72"/>
      <c r="AP131" s="71"/>
      <c r="AQ131" s="71"/>
      <c r="AR131" s="71"/>
      <c r="AS131" s="71"/>
      <c r="AT131" s="71"/>
      <c r="AU131" s="71"/>
      <c r="AV131" s="73"/>
      <c r="AX131" s="66"/>
    </row>
    <row r="132" spans="1:50" ht="64.5" thickBot="1" x14ac:dyDescent="0.3">
      <c r="A132" s="74" t="s">
        <v>71</v>
      </c>
      <c r="B132" s="141" t="s">
        <v>72</v>
      </c>
      <c r="C132" s="142" t="s">
        <v>73</v>
      </c>
      <c r="D132" s="142" t="s">
        <v>74</v>
      </c>
      <c r="E132" s="142" t="s">
        <v>75</v>
      </c>
      <c r="F132" s="142" t="s">
        <v>76</v>
      </c>
      <c r="G132" s="143" t="s">
        <v>77</v>
      </c>
      <c r="H132" s="144" t="s">
        <v>78</v>
      </c>
      <c r="I132" s="145" t="s">
        <v>79</v>
      </c>
      <c r="J132" s="146" t="s">
        <v>80</v>
      </c>
      <c r="K132" s="146" t="s">
        <v>81</v>
      </c>
      <c r="L132" s="145" t="s">
        <v>82</v>
      </c>
      <c r="M132" s="146" t="s">
        <v>83</v>
      </c>
      <c r="N132" s="147" t="s">
        <v>84</v>
      </c>
      <c r="O132" s="148" t="s">
        <v>85</v>
      </c>
      <c r="P132" s="149" t="s">
        <v>86</v>
      </c>
      <c r="Q132" s="149" t="s">
        <v>87</v>
      </c>
      <c r="R132" s="149" t="s">
        <v>88</v>
      </c>
      <c r="S132" s="150" t="s">
        <v>89</v>
      </c>
      <c r="T132" s="150" t="s">
        <v>90</v>
      </c>
      <c r="U132" s="150" t="s">
        <v>91</v>
      </c>
      <c r="V132" s="151" t="s">
        <v>92</v>
      </c>
      <c r="W132" s="151" t="s">
        <v>93</v>
      </c>
      <c r="X132" s="151" t="s">
        <v>94</v>
      </c>
      <c r="Y132" s="152" t="s">
        <v>95</v>
      </c>
      <c r="Z132" s="153" t="s">
        <v>96</v>
      </c>
      <c r="AA132" s="154" t="s">
        <v>97</v>
      </c>
      <c r="AB132" s="155" t="s">
        <v>98</v>
      </c>
      <c r="AC132" s="146" t="s">
        <v>123</v>
      </c>
      <c r="AD132" s="146" t="s">
        <v>122</v>
      </c>
      <c r="AE132" s="148" t="s">
        <v>101</v>
      </c>
      <c r="AF132" s="148" t="s">
        <v>102</v>
      </c>
      <c r="AG132" s="156" t="s">
        <v>103</v>
      </c>
      <c r="AH132" s="156" t="s">
        <v>104</v>
      </c>
      <c r="AI132" s="156" t="s">
        <v>105</v>
      </c>
      <c r="AJ132" s="157" t="s">
        <v>106</v>
      </c>
      <c r="AK132" s="149" t="s">
        <v>107</v>
      </c>
      <c r="AL132" s="149" t="s">
        <v>108</v>
      </c>
      <c r="AM132" s="150" t="s">
        <v>89</v>
      </c>
      <c r="AN132" s="150" t="s">
        <v>90</v>
      </c>
      <c r="AO132" s="150" t="s">
        <v>91</v>
      </c>
      <c r="AP132" s="151" t="s">
        <v>92</v>
      </c>
      <c r="AQ132" s="151" t="s">
        <v>93</v>
      </c>
      <c r="AR132" s="158" t="s">
        <v>94</v>
      </c>
      <c r="AS132" s="152" t="s">
        <v>95</v>
      </c>
      <c r="AT132" s="153" t="s">
        <v>96</v>
      </c>
      <c r="AU132" s="154" t="s">
        <v>97</v>
      </c>
      <c r="AV132" s="155" t="s">
        <v>98</v>
      </c>
      <c r="AX132" s="97" t="s">
        <v>109</v>
      </c>
    </row>
    <row r="133" spans="1:50" x14ac:dyDescent="0.25">
      <c r="A133" s="98" t="s">
        <v>110</v>
      </c>
      <c r="B133" s="99">
        <v>0</v>
      </c>
      <c r="C133" s="100">
        <v>0</v>
      </c>
      <c r="D133" s="100">
        <v>0</v>
      </c>
      <c r="E133" s="100">
        <v>0</v>
      </c>
      <c r="F133" s="100">
        <v>0</v>
      </c>
      <c r="G133" s="101">
        <v>0</v>
      </c>
      <c r="H133" s="102">
        <f ca="1">SUM(B133:G133)</f>
        <v>0</v>
      </c>
      <c r="I133" s="102">
        <v>0</v>
      </c>
      <c r="J133" s="103">
        <v>0</v>
      </c>
      <c r="K133" s="104">
        <v>0</v>
      </c>
      <c r="L133" s="105">
        <v>0</v>
      </c>
      <c r="M133" s="102">
        <f ca="1">L133*$M$1</f>
        <v>0</v>
      </c>
      <c r="N133" s="103">
        <f ca="1">SUM(H133:I133)</f>
        <v>0</v>
      </c>
      <c r="O133" s="105">
        <f ca="1">$N133-$M133</f>
        <v>0</v>
      </c>
      <c r="P133" s="103">
        <f ca="1">SUM($I133,$B133)</f>
        <v>0</v>
      </c>
      <c r="Q133" s="104">
        <f ca="1">SUM($C133:$G133)</f>
        <v>0</v>
      </c>
      <c r="R133" s="105">
        <f ca="1">SUM($D133:$G133)</f>
        <v>0</v>
      </c>
      <c r="S133" s="103">
        <v>0</v>
      </c>
      <c r="T133" s="104">
        <v>0</v>
      </c>
      <c r="U133" s="105">
        <v>0</v>
      </c>
      <c r="V133" s="120" t="e">
        <f t="shared" ref="V133:X136" ca="1" si="98">S133/P133</f>
        <v>#DIV/0!</v>
      </c>
      <c r="W133" s="120" t="e">
        <f t="shared" ca="1" si="98"/>
        <v>#DIV/0!</v>
      </c>
      <c r="X133" s="120" t="e">
        <f t="shared" ca="1" si="98"/>
        <v>#DIV/0!</v>
      </c>
      <c r="Y133" s="130">
        <f ca="1">SUM(S133:T133)</f>
        <v>0</v>
      </c>
      <c r="Z133" s="131">
        <f ca="1">SUM(S133:T133)+MAX(0,$M$1*$AX133)</f>
        <v>0</v>
      </c>
      <c r="AA133" s="133" t="e">
        <f t="shared" ref="AA133:AB136" ca="1" si="99">Y133/N133</f>
        <v>#DIV/0!</v>
      </c>
      <c r="AB133" s="134" t="e">
        <f t="shared" ca="1" si="99"/>
        <v>#DIV/0!</v>
      </c>
      <c r="AC133" s="109"/>
      <c r="AD133" s="109"/>
      <c r="AE133" s="103">
        <f ca="1">N133-SUM(AC133:AD133)</f>
        <v>0</v>
      </c>
      <c r="AF133" s="104">
        <f ca="1">AE133-M133</f>
        <v>0</v>
      </c>
      <c r="AG133" s="103"/>
      <c r="AH133" s="104"/>
      <c r="AI133" s="103"/>
      <c r="AJ133" s="103">
        <f t="shared" ref="AJ133:AL136" ca="1" si="100">P133-AG133</f>
        <v>0</v>
      </c>
      <c r="AK133" s="104">
        <f t="shared" ca="1" si="100"/>
        <v>0</v>
      </c>
      <c r="AL133" s="105">
        <f t="shared" ca="1" si="100"/>
        <v>0</v>
      </c>
      <c r="AM133" s="103">
        <v>0</v>
      </c>
      <c r="AN133" s="104">
        <v>0</v>
      </c>
      <c r="AO133" s="105">
        <v>0</v>
      </c>
      <c r="AP133" s="120" t="e">
        <f t="shared" ref="AP133:AR136" ca="1" si="101">AM133/AJ133</f>
        <v>#DIV/0!</v>
      </c>
      <c r="AQ133" s="120" t="e">
        <f t="shared" ca="1" si="101"/>
        <v>#DIV/0!</v>
      </c>
      <c r="AR133" s="120" t="e">
        <f t="shared" ca="1" si="101"/>
        <v>#DIV/0!</v>
      </c>
      <c r="AS133" s="102">
        <f ca="1">SUM(AM133:AN133)</f>
        <v>0</v>
      </c>
      <c r="AT133" s="102">
        <f ca="1">SUM(AM133:AN133)+MAX(0,$M$1*$AX133)</f>
        <v>0</v>
      </c>
      <c r="AU133" s="133" t="e">
        <f t="shared" ref="AU133:AV136" ca="1" si="102">AS133/AE133</f>
        <v>#DIV/0!</v>
      </c>
      <c r="AV133" s="134" t="e">
        <f t="shared" ca="1" si="102"/>
        <v>#DIV/0!</v>
      </c>
      <c r="AW133" s="110"/>
      <c r="AX133" s="111">
        <f ca="1">Summary!I203</f>
        <v>0</v>
      </c>
    </row>
    <row r="134" spans="1:50" x14ac:dyDescent="0.25">
      <c r="A134" s="98" t="s">
        <v>111</v>
      </c>
      <c r="B134" s="113">
        <v>0</v>
      </c>
      <c r="C134" s="114">
        <v>0</v>
      </c>
      <c r="D134" s="114">
        <v>0</v>
      </c>
      <c r="E134" s="114">
        <v>0</v>
      </c>
      <c r="F134" s="114">
        <v>0</v>
      </c>
      <c r="G134" s="115">
        <v>0</v>
      </c>
      <c r="H134" s="116">
        <f ca="1">SUM(B134:G134)</f>
        <v>0</v>
      </c>
      <c r="I134" s="116">
        <v>0</v>
      </c>
      <c r="J134" s="117">
        <v>0</v>
      </c>
      <c r="K134" s="118">
        <v>0</v>
      </c>
      <c r="L134" s="119">
        <v>0</v>
      </c>
      <c r="M134" s="116">
        <f ca="1">L134*$M$1</f>
        <v>0</v>
      </c>
      <c r="N134" s="117">
        <f ca="1">SUM(H134:I134)</f>
        <v>0</v>
      </c>
      <c r="O134" s="119">
        <f ca="1">$N134-$M134</f>
        <v>0</v>
      </c>
      <c r="P134" s="117">
        <f ca="1">SUM($I134,$B134)</f>
        <v>0</v>
      </c>
      <c r="Q134" s="118">
        <f ca="1">SUM($C134:$G134)</f>
        <v>0</v>
      </c>
      <c r="R134" s="119">
        <f ca="1">SUM($D134:$G134)</f>
        <v>0</v>
      </c>
      <c r="S134" s="117">
        <v>0</v>
      </c>
      <c r="T134" s="118">
        <v>0</v>
      </c>
      <c r="U134" s="119">
        <v>0</v>
      </c>
      <c r="V134" s="120" t="e">
        <f t="shared" ca="1" si="98"/>
        <v>#DIV/0!</v>
      </c>
      <c r="W134" s="120" t="e">
        <f t="shared" ca="1" si="98"/>
        <v>#DIV/0!</v>
      </c>
      <c r="X134" s="120" t="e">
        <f t="shared" ca="1" si="98"/>
        <v>#DIV/0!</v>
      </c>
      <c r="Y134" s="117">
        <f ca="1">SUM(S134:T134)</f>
        <v>0</v>
      </c>
      <c r="Z134" s="118">
        <f ca="1">SUM(S134:T134)+MAX(0,$M$1*$AX134)</f>
        <v>0</v>
      </c>
      <c r="AA134" s="121" t="e">
        <f t="shared" ca="1" si="99"/>
        <v>#DIV/0!</v>
      </c>
      <c r="AB134" s="122" t="e">
        <f t="shared" ca="1" si="99"/>
        <v>#DIV/0!</v>
      </c>
      <c r="AC134" s="123"/>
      <c r="AD134" s="123"/>
      <c r="AE134" s="117">
        <f ca="1">N134-SUM(AC134:AD134)</f>
        <v>0</v>
      </c>
      <c r="AF134" s="118">
        <f ca="1">AE134-M134</f>
        <v>0</v>
      </c>
      <c r="AG134" s="117"/>
      <c r="AH134" s="118"/>
      <c r="AI134" s="117"/>
      <c r="AJ134" s="117">
        <f t="shared" ca="1" si="100"/>
        <v>0</v>
      </c>
      <c r="AK134" s="118">
        <f t="shared" ca="1" si="100"/>
        <v>0</v>
      </c>
      <c r="AL134" s="119">
        <f t="shared" ca="1" si="100"/>
        <v>0</v>
      </c>
      <c r="AM134" s="117">
        <v>0</v>
      </c>
      <c r="AN134" s="118">
        <v>0</v>
      </c>
      <c r="AO134" s="119">
        <v>0</v>
      </c>
      <c r="AP134" s="120" t="e">
        <f t="shared" ca="1" si="101"/>
        <v>#DIV/0!</v>
      </c>
      <c r="AQ134" s="120" t="e">
        <f t="shared" ca="1" si="101"/>
        <v>#DIV/0!</v>
      </c>
      <c r="AR134" s="120" t="e">
        <f t="shared" ca="1" si="101"/>
        <v>#DIV/0!</v>
      </c>
      <c r="AS134" s="116">
        <f ca="1">SUM(AM134:AN134)</f>
        <v>0</v>
      </c>
      <c r="AT134" s="116">
        <f ca="1">SUM(AM134:AN134)+MAX(0,$M$1*$AX134)</f>
        <v>0</v>
      </c>
      <c r="AU134" s="121" t="e">
        <f t="shared" ca="1" si="102"/>
        <v>#DIV/0!</v>
      </c>
      <c r="AV134" s="122" t="e">
        <f t="shared" ca="1" si="102"/>
        <v>#DIV/0!</v>
      </c>
      <c r="AW134" s="124"/>
      <c r="AX134" s="125">
        <f ca="1">Summary!I204</f>
        <v>0</v>
      </c>
    </row>
    <row r="135" spans="1:50" x14ac:dyDescent="0.25">
      <c r="A135" s="98" t="s">
        <v>112</v>
      </c>
      <c r="B135" s="126">
        <v>0</v>
      </c>
      <c r="C135" s="127">
        <v>0</v>
      </c>
      <c r="D135" s="127">
        <v>0</v>
      </c>
      <c r="E135" s="127">
        <v>0</v>
      </c>
      <c r="F135" s="127">
        <v>0</v>
      </c>
      <c r="G135" s="128">
        <v>0</v>
      </c>
      <c r="H135" s="129">
        <f ca="1">SUM(B135:G135)</f>
        <v>0</v>
      </c>
      <c r="I135" s="129">
        <v>0</v>
      </c>
      <c r="J135" s="130">
        <v>0</v>
      </c>
      <c r="K135" s="131">
        <v>0</v>
      </c>
      <c r="L135" s="132">
        <v>0</v>
      </c>
      <c r="M135" s="129">
        <f ca="1">L135*$M$1</f>
        <v>0</v>
      </c>
      <c r="N135" s="130">
        <f ca="1">SUM(H135:I135)</f>
        <v>0</v>
      </c>
      <c r="O135" s="132">
        <f ca="1">$N135-$M135</f>
        <v>0</v>
      </c>
      <c r="P135" s="130">
        <f ca="1">SUM($I135,$B135)</f>
        <v>0</v>
      </c>
      <c r="Q135" s="131">
        <f ca="1">SUM($C135:$G135)</f>
        <v>0</v>
      </c>
      <c r="R135" s="132">
        <f ca="1">SUM($D135:$G135)</f>
        <v>0</v>
      </c>
      <c r="S135" s="130">
        <v>0</v>
      </c>
      <c r="T135" s="131">
        <v>0</v>
      </c>
      <c r="U135" s="132">
        <v>0</v>
      </c>
      <c r="V135" s="120" t="e">
        <f t="shared" ca="1" si="98"/>
        <v>#DIV/0!</v>
      </c>
      <c r="W135" s="120" t="e">
        <f t="shared" ca="1" si="98"/>
        <v>#DIV/0!</v>
      </c>
      <c r="X135" s="120" t="e">
        <f t="shared" ca="1" si="98"/>
        <v>#DIV/0!</v>
      </c>
      <c r="Y135" s="130">
        <f ca="1">SUM(S135:T135)</f>
        <v>0</v>
      </c>
      <c r="Z135" s="131">
        <f ca="1">SUM(S135:T135)+MAX(0,$M$1*$AX135)</f>
        <v>0</v>
      </c>
      <c r="AA135" s="133" t="e">
        <f t="shared" ca="1" si="99"/>
        <v>#DIV/0!</v>
      </c>
      <c r="AB135" s="134" t="e">
        <f t="shared" ca="1" si="99"/>
        <v>#DIV/0!</v>
      </c>
      <c r="AC135" s="135"/>
      <c r="AD135" s="135"/>
      <c r="AE135" s="130">
        <f ca="1">N135-SUM(AC135:AD135)</f>
        <v>0</v>
      </c>
      <c r="AF135" s="131">
        <f ca="1">AE135-M135</f>
        <v>0</v>
      </c>
      <c r="AG135" s="130"/>
      <c r="AH135" s="131"/>
      <c r="AI135" s="130"/>
      <c r="AJ135" s="130">
        <f t="shared" ca="1" si="100"/>
        <v>0</v>
      </c>
      <c r="AK135" s="131">
        <f t="shared" ca="1" si="100"/>
        <v>0</v>
      </c>
      <c r="AL135" s="132">
        <f t="shared" ca="1" si="100"/>
        <v>0</v>
      </c>
      <c r="AM135" s="130">
        <v>0</v>
      </c>
      <c r="AN135" s="131">
        <v>0</v>
      </c>
      <c r="AO135" s="132">
        <v>0</v>
      </c>
      <c r="AP135" s="120" t="e">
        <f t="shared" ca="1" si="101"/>
        <v>#DIV/0!</v>
      </c>
      <c r="AQ135" s="120" t="e">
        <f t="shared" ca="1" si="101"/>
        <v>#DIV/0!</v>
      </c>
      <c r="AR135" s="120" t="e">
        <f t="shared" ca="1" si="101"/>
        <v>#DIV/0!</v>
      </c>
      <c r="AS135" s="129">
        <f ca="1">SUM(AM135:AN135)</f>
        <v>0</v>
      </c>
      <c r="AT135" s="129">
        <f ca="1">SUM(AM135:AN135)+MAX(0,$M$1*$AX135)</f>
        <v>0</v>
      </c>
      <c r="AU135" s="133" t="e">
        <f t="shared" ca="1" si="102"/>
        <v>#DIV/0!</v>
      </c>
      <c r="AV135" s="134" t="e">
        <f t="shared" ca="1" si="102"/>
        <v>#DIV/0!</v>
      </c>
      <c r="AW135" s="124"/>
      <c r="AX135" s="136">
        <f ca="1">Summary!I205</f>
        <v>0</v>
      </c>
    </row>
    <row r="136" spans="1:50" x14ac:dyDescent="0.25">
      <c r="A136" s="98" t="s">
        <v>113</v>
      </c>
      <c r="B136" s="113">
        <v>0</v>
      </c>
      <c r="C136" s="114">
        <v>0</v>
      </c>
      <c r="D136" s="114">
        <v>0</v>
      </c>
      <c r="E136" s="114">
        <v>0</v>
      </c>
      <c r="F136" s="114">
        <v>0</v>
      </c>
      <c r="G136" s="115">
        <v>0</v>
      </c>
      <c r="H136" s="116">
        <f ca="1">SUM(B136:G136)</f>
        <v>0</v>
      </c>
      <c r="I136" s="116">
        <v>0</v>
      </c>
      <c r="J136" s="117">
        <v>0</v>
      </c>
      <c r="K136" s="118">
        <v>0</v>
      </c>
      <c r="L136" s="119">
        <v>0</v>
      </c>
      <c r="M136" s="116">
        <f ca="1">L136*$M$1</f>
        <v>0</v>
      </c>
      <c r="N136" s="117">
        <f ca="1">SUM(H136:I136)</f>
        <v>0</v>
      </c>
      <c r="O136" s="119">
        <f ca="1">$N136-$M136</f>
        <v>0</v>
      </c>
      <c r="P136" s="117">
        <f ca="1">SUM($I136,$B136)</f>
        <v>0</v>
      </c>
      <c r="Q136" s="118">
        <f ca="1">SUM($C136:$G136)</f>
        <v>0</v>
      </c>
      <c r="R136" s="119">
        <f ca="1">SUM($D136:$G136)</f>
        <v>0</v>
      </c>
      <c r="S136" s="117">
        <v>1539466.58</v>
      </c>
      <c r="T136" s="118">
        <v>0</v>
      </c>
      <c r="U136" s="119">
        <v>0</v>
      </c>
      <c r="V136" s="120" t="e">
        <f t="shared" ca="1" si="98"/>
        <v>#DIV/0!</v>
      </c>
      <c r="W136" s="120" t="e">
        <f t="shared" ca="1" si="98"/>
        <v>#DIV/0!</v>
      </c>
      <c r="X136" s="120" t="e">
        <f t="shared" ca="1" si="98"/>
        <v>#DIV/0!</v>
      </c>
      <c r="Y136" s="117">
        <f ca="1">SUM(S136:T136)</f>
        <v>1539466.58</v>
      </c>
      <c r="Z136" s="118">
        <f ca="1">SUM(S136:T136)+MAX(0,$M$1*$AX136)</f>
        <v>1539466.58</v>
      </c>
      <c r="AA136" s="121" t="e">
        <f t="shared" ca="1" si="99"/>
        <v>#DIV/0!</v>
      </c>
      <c r="AB136" s="122" t="e">
        <f t="shared" ca="1" si="99"/>
        <v>#DIV/0!</v>
      </c>
      <c r="AC136" s="123"/>
      <c r="AD136" s="123"/>
      <c r="AE136" s="117">
        <f ca="1">N136-SUM(AC136:AD136)</f>
        <v>0</v>
      </c>
      <c r="AF136" s="118">
        <f ca="1">AE136-M136</f>
        <v>0</v>
      </c>
      <c r="AG136" s="117"/>
      <c r="AH136" s="118"/>
      <c r="AI136" s="117"/>
      <c r="AJ136" s="117">
        <f t="shared" ca="1" si="100"/>
        <v>0</v>
      </c>
      <c r="AK136" s="118">
        <f t="shared" ca="1" si="100"/>
        <v>0</v>
      </c>
      <c r="AL136" s="119">
        <f t="shared" ca="1" si="100"/>
        <v>0</v>
      </c>
      <c r="AM136" s="117">
        <v>1539466.58</v>
      </c>
      <c r="AN136" s="118">
        <v>0</v>
      </c>
      <c r="AO136" s="119">
        <v>0</v>
      </c>
      <c r="AP136" s="120" t="e">
        <f t="shared" ca="1" si="101"/>
        <v>#DIV/0!</v>
      </c>
      <c r="AQ136" s="120" t="e">
        <f t="shared" ca="1" si="101"/>
        <v>#DIV/0!</v>
      </c>
      <c r="AR136" s="120" t="e">
        <f t="shared" ca="1" si="101"/>
        <v>#DIV/0!</v>
      </c>
      <c r="AS136" s="116">
        <f ca="1">SUM(AM136:AN136)</f>
        <v>1539466.58</v>
      </c>
      <c r="AT136" s="116">
        <f ca="1">SUM(AM136:AN136)+MAX(0,$M$1*$AX136)</f>
        <v>1539466.58</v>
      </c>
      <c r="AU136" s="121" t="e">
        <f t="shared" ca="1" si="102"/>
        <v>#DIV/0!</v>
      </c>
      <c r="AV136" s="122" t="e">
        <f t="shared" ca="1" si="102"/>
        <v>#DIV/0!</v>
      </c>
      <c r="AW136" s="124"/>
      <c r="AX136" s="125">
        <f ca="1">Summary!I206</f>
        <v>0</v>
      </c>
    </row>
    <row r="137" spans="1:50" x14ac:dyDescent="0.25">
      <c r="A137" s="98" t="s">
        <v>114</v>
      </c>
      <c r="B137" s="126">
        <v>0</v>
      </c>
      <c r="C137" s="127">
        <v>0</v>
      </c>
      <c r="D137" s="127">
        <v>0</v>
      </c>
      <c r="E137" s="127">
        <v>0</v>
      </c>
      <c r="F137" s="127">
        <v>0</v>
      </c>
      <c r="G137" s="128">
        <v>0</v>
      </c>
      <c r="H137" s="129">
        <v>0</v>
      </c>
      <c r="I137" s="129">
        <v>5723237.6799999997</v>
      </c>
      <c r="J137" s="130"/>
      <c r="K137" s="131"/>
      <c r="L137" s="132">
        <v>4789557.71</v>
      </c>
      <c r="M137" s="129">
        <f ca="1">L137*$M$1</f>
        <v>2634256.7405000003</v>
      </c>
      <c r="N137" s="130">
        <f ca="1">SUM(H137:I137)</f>
        <v>5723237.6799999997</v>
      </c>
      <c r="O137" s="132">
        <f ca="1">$N137-$M137</f>
        <v>3088980.9394999994</v>
      </c>
      <c r="P137" s="130">
        <f ca="1">SUM($I137,$B137)</f>
        <v>5723237.6799999997</v>
      </c>
      <c r="Q137" s="131">
        <f ca="1">SUM($C137:$G137)</f>
        <v>0</v>
      </c>
      <c r="R137" s="132">
        <f ca="1">SUM($D137:$G137)</f>
        <v>0</v>
      </c>
      <c r="S137" s="130">
        <v>0.30000000004656613</v>
      </c>
      <c r="T137" s="131">
        <v>0</v>
      </c>
      <c r="U137" s="132">
        <v>0</v>
      </c>
      <c r="V137" s="120">
        <f ca="1">S137/P137</f>
        <v>5.2417882467982033E-8</v>
      </c>
      <c r="W137" s="120" t="e">
        <f ca="1">T137/Q137</f>
        <v>#DIV/0!</v>
      </c>
      <c r="X137" s="120" t="e">
        <f ca="1">U137/R137</f>
        <v>#DIV/0!</v>
      </c>
      <c r="Y137" s="130">
        <f ca="1">SUM(S137:T137)</f>
        <v>0.30000000004656613</v>
      </c>
      <c r="Z137" s="131">
        <f ca="1">SUM(S137:T137)+MAX(0,$M$1*$AX137)</f>
        <v>287318.23749999906</v>
      </c>
      <c r="AA137" s="133">
        <f ca="1">Y137/N137</f>
        <v>5.2417882467982033E-8</v>
      </c>
      <c r="AB137" s="134">
        <f ca="1">Z137/O137</f>
        <v>9.3013923726737557E-2</v>
      </c>
      <c r="AC137" s="135"/>
      <c r="AD137" s="135"/>
      <c r="AE137" s="130">
        <f ca="1">N137-SUM(AC137:AD137)</f>
        <v>5723237.6799999997</v>
      </c>
      <c r="AF137" s="131">
        <f ca="1">AE137-M137</f>
        <v>3088980.9394999994</v>
      </c>
      <c r="AG137" s="130"/>
      <c r="AH137" s="131"/>
      <c r="AI137" s="130"/>
      <c r="AJ137" s="130">
        <f ca="1">P137-AG137</f>
        <v>5723237.6799999997</v>
      </c>
      <c r="AK137" s="131">
        <f ca="1">Q137-AH137</f>
        <v>0</v>
      </c>
      <c r="AL137" s="132">
        <f ca="1">R137-AI137</f>
        <v>0</v>
      </c>
      <c r="AM137" s="130">
        <v>0.30000000004656613</v>
      </c>
      <c r="AN137" s="131">
        <v>0</v>
      </c>
      <c r="AO137" s="132">
        <v>0</v>
      </c>
      <c r="AP137" s="120">
        <f ca="1">AM137/AJ137</f>
        <v>5.2417882467982033E-8</v>
      </c>
      <c r="AQ137" s="120" t="e">
        <f ca="1">AN137/AK137</f>
        <v>#DIV/0!</v>
      </c>
      <c r="AR137" s="120" t="e">
        <f ca="1">AO137/AL137</f>
        <v>#DIV/0!</v>
      </c>
      <c r="AS137" s="129">
        <f ca="1">SUM(AM137:AN137)</f>
        <v>0.30000000004656613</v>
      </c>
      <c r="AT137" s="129">
        <f ca="1">SUM(AM137:AN137)+MAX(0,$M$1*$AX137)</f>
        <v>287318.23749999906</v>
      </c>
      <c r="AU137" s="133">
        <f ca="1">AS137/AE137</f>
        <v>5.2417882467982033E-8</v>
      </c>
      <c r="AV137" s="134">
        <f ca="1">AT137/AF137</f>
        <v>9.3013923726737557E-2</v>
      </c>
      <c r="AW137" s="124"/>
      <c r="AX137" s="136">
        <f ca="1">Summary!I207</f>
        <v>522396.24999999814</v>
      </c>
    </row>
    <row r="138" spans="1:50" x14ac:dyDescent="0.25">
      <c r="A138" s="98" t="s">
        <v>115</v>
      </c>
      <c r="B138" s="113"/>
      <c r="C138" s="114"/>
      <c r="D138" s="114"/>
      <c r="E138" s="114"/>
      <c r="F138" s="114"/>
      <c r="G138" s="115"/>
      <c r="H138" s="116"/>
      <c r="I138" s="116"/>
      <c r="J138" s="117"/>
      <c r="K138" s="118"/>
      <c r="L138" s="119"/>
      <c r="M138" s="116"/>
      <c r="N138" s="117"/>
      <c r="O138" s="119"/>
      <c r="P138" s="117"/>
      <c r="Q138" s="118"/>
      <c r="R138" s="119"/>
      <c r="S138" s="117"/>
      <c r="T138" s="118"/>
      <c r="U138" s="119"/>
      <c r="V138" s="120"/>
      <c r="W138" s="120"/>
      <c r="X138" s="120"/>
      <c r="Y138" s="117"/>
      <c r="Z138" s="118"/>
      <c r="AA138" s="121"/>
      <c r="AB138" s="122"/>
      <c r="AC138" s="123"/>
      <c r="AD138" s="123"/>
      <c r="AE138" s="117"/>
      <c r="AF138" s="118"/>
      <c r="AG138" s="117"/>
      <c r="AH138" s="118"/>
      <c r="AI138" s="117"/>
      <c r="AJ138" s="117"/>
      <c r="AK138" s="118"/>
      <c r="AL138" s="119"/>
      <c r="AM138" s="117"/>
      <c r="AN138" s="118"/>
      <c r="AO138" s="119"/>
      <c r="AP138" s="120"/>
      <c r="AQ138" s="120"/>
      <c r="AR138" s="120"/>
      <c r="AS138" s="116"/>
      <c r="AT138" s="116"/>
      <c r="AU138" s="121"/>
      <c r="AV138" s="122"/>
      <c r="AW138" s="124"/>
      <c r="AX138" s="125"/>
    </row>
    <row r="139" spans="1:50" x14ac:dyDescent="0.25">
      <c r="A139" s="98" t="s">
        <v>116</v>
      </c>
      <c r="B139" s="126"/>
      <c r="C139" s="127"/>
      <c r="D139" s="127"/>
      <c r="E139" s="127"/>
      <c r="F139" s="127"/>
      <c r="G139" s="128"/>
      <c r="H139" s="129"/>
      <c r="I139" s="129"/>
      <c r="J139" s="130"/>
      <c r="K139" s="131"/>
      <c r="L139" s="132"/>
      <c r="M139" s="129"/>
      <c r="N139" s="130"/>
      <c r="O139" s="132"/>
      <c r="P139" s="130"/>
      <c r="Q139" s="131"/>
      <c r="R139" s="132"/>
      <c r="S139" s="130"/>
      <c r="T139" s="131"/>
      <c r="U139" s="132"/>
      <c r="V139" s="120"/>
      <c r="W139" s="120"/>
      <c r="X139" s="120"/>
      <c r="Y139" s="130"/>
      <c r="Z139" s="131"/>
      <c r="AA139" s="133"/>
      <c r="AB139" s="134"/>
      <c r="AC139" s="135"/>
      <c r="AD139" s="135"/>
      <c r="AE139" s="130"/>
      <c r="AF139" s="131"/>
      <c r="AG139" s="130"/>
      <c r="AH139" s="131"/>
      <c r="AI139" s="130"/>
      <c r="AJ139" s="130"/>
      <c r="AK139" s="131"/>
      <c r="AL139" s="132"/>
      <c r="AM139" s="130"/>
      <c r="AN139" s="131"/>
      <c r="AO139" s="132"/>
      <c r="AP139" s="120"/>
      <c r="AQ139" s="120"/>
      <c r="AR139" s="120"/>
      <c r="AS139" s="129"/>
      <c r="AT139" s="129"/>
      <c r="AU139" s="133"/>
      <c r="AV139" s="134"/>
      <c r="AW139" s="124"/>
      <c r="AX139" s="136"/>
    </row>
    <row r="140" spans="1:50" x14ac:dyDescent="0.25">
      <c r="A140" s="98" t="s">
        <v>117</v>
      </c>
      <c r="B140" s="113"/>
      <c r="C140" s="114"/>
      <c r="D140" s="114"/>
      <c r="E140" s="114"/>
      <c r="F140" s="114"/>
      <c r="G140" s="115"/>
      <c r="H140" s="116"/>
      <c r="I140" s="116"/>
      <c r="J140" s="117"/>
      <c r="K140" s="118"/>
      <c r="L140" s="119"/>
      <c r="M140" s="116"/>
      <c r="N140" s="117"/>
      <c r="O140" s="119"/>
      <c r="P140" s="117"/>
      <c r="Q140" s="118"/>
      <c r="R140" s="119"/>
      <c r="S140" s="117"/>
      <c r="T140" s="118"/>
      <c r="U140" s="119"/>
      <c r="V140" s="120"/>
      <c r="W140" s="120"/>
      <c r="X140" s="120"/>
      <c r="Y140" s="117"/>
      <c r="Z140" s="118"/>
      <c r="AA140" s="121"/>
      <c r="AB140" s="122"/>
      <c r="AC140" s="135"/>
      <c r="AD140" s="135"/>
      <c r="AE140" s="117"/>
      <c r="AF140" s="118"/>
      <c r="AG140" s="117"/>
      <c r="AH140" s="118"/>
      <c r="AI140" s="117"/>
      <c r="AJ140" s="117"/>
      <c r="AK140" s="118"/>
      <c r="AL140" s="119"/>
      <c r="AM140" s="117"/>
      <c r="AN140" s="118"/>
      <c r="AO140" s="119"/>
      <c r="AP140" s="120"/>
      <c r="AQ140" s="120"/>
      <c r="AR140" s="120"/>
      <c r="AS140" s="116"/>
      <c r="AT140" s="116"/>
      <c r="AU140" s="121"/>
      <c r="AV140" s="122"/>
      <c r="AW140" s="124"/>
      <c r="AX140" s="125"/>
    </row>
    <row r="141" spans="1:50" x14ac:dyDescent="0.25">
      <c r="A141" s="98" t="s">
        <v>118</v>
      </c>
      <c r="B141" s="126"/>
      <c r="C141" s="127"/>
      <c r="D141" s="127"/>
      <c r="E141" s="127"/>
      <c r="F141" s="127"/>
      <c r="G141" s="128"/>
      <c r="H141" s="129"/>
      <c r="I141" s="129"/>
      <c r="J141" s="130"/>
      <c r="K141" s="131"/>
      <c r="L141" s="132"/>
      <c r="M141" s="129"/>
      <c r="N141" s="130"/>
      <c r="O141" s="132"/>
      <c r="P141" s="130"/>
      <c r="Q141" s="131"/>
      <c r="R141" s="132"/>
      <c r="S141" s="130"/>
      <c r="T141" s="131"/>
      <c r="U141" s="132"/>
      <c r="V141" s="120"/>
      <c r="W141" s="120"/>
      <c r="X141" s="120"/>
      <c r="Y141" s="130"/>
      <c r="Z141" s="131"/>
      <c r="AA141" s="133"/>
      <c r="AB141" s="134"/>
      <c r="AC141" s="135"/>
      <c r="AD141" s="135"/>
      <c r="AE141" s="130"/>
      <c r="AF141" s="131"/>
      <c r="AG141" s="130"/>
      <c r="AH141" s="131"/>
      <c r="AI141" s="130"/>
      <c r="AJ141" s="130"/>
      <c r="AK141" s="131"/>
      <c r="AL141" s="132"/>
      <c r="AM141" s="130"/>
      <c r="AN141" s="131"/>
      <c r="AO141" s="132"/>
      <c r="AP141" s="120"/>
      <c r="AQ141" s="120"/>
      <c r="AR141" s="120"/>
      <c r="AS141" s="129"/>
      <c r="AT141" s="129"/>
      <c r="AU141" s="133"/>
      <c r="AV141" s="134"/>
      <c r="AW141" s="124"/>
      <c r="AX141" s="136"/>
    </row>
    <row r="142" spans="1:50" x14ac:dyDescent="0.25">
      <c r="A142" s="98" t="s">
        <v>119</v>
      </c>
      <c r="B142" s="113"/>
      <c r="C142" s="114"/>
      <c r="D142" s="114"/>
      <c r="E142" s="114"/>
      <c r="F142" s="114"/>
      <c r="G142" s="115"/>
      <c r="H142" s="116"/>
      <c r="I142" s="116"/>
      <c r="J142" s="117"/>
      <c r="K142" s="118"/>
      <c r="L142" s="119"/>
      <c r="M142" s="116"/>
      <c r="N142" s="117"/>
      <c r="O142" s="119"/>
      <c r="P142" s="117"/>
      <c r="Q142" s="118"/>
      <c r="R142" s="119"/>
      <c r="S142" s="117"/>
      <c r="T142" s="118"/>
      <c r="U142" s="119"/>
      <c r="V142" s="120"/>
      <c r="W142" s="120"/>
      <c r="X142" s="120"/>
      <c r="Y142" s="117"/>
      <c r="Z142" s="118"/>
      <c r="AA142" s="121"/>
      <c r="AB142" s="122"/>
      <c r="AC142" s="135"/>
      <c r="AD142" s="135"/>
      <c r="AE142" s="117"/>
      <c r="AF142" s="118"/>
      <c r="AG142" s="117"/>
      <c r="AH142" s="118"/>
      <c r="AI142" s="117"/>
      <c r="AJ142" s="117"/>
      <c r="AK142" s="118"/>
      <c r="AL142" s="119"/>
      <c r="AM142" s="117"/>
      <c r="AN142" s="118"/>
      <c r="AO142" s="119"/>
      <c r="AP142" s="120"/>
      <c r="AQ142" s="120"/>
      <c r="AR142" s="120"/>
      <c r="AS142" s="116"/>
      <c r="AT142" s="116"/>
      <c r="AU142" s="121"/>
      <c r="AV142" s="122"/>
      <c r="AW142" s="124"/>
      <c r="AX142" s="125"/>
    </row>
    <row r="143" spans="1:50" x14ac:dyDescent="0.25">
      <c r="A143" s="98" t="s">
        <v>120</v>
      </c>
      <c r="B143" s="126"/>
      <c r="C143" s="127"/>
      <c r="D143" s="127"/>
      <c r="E143" s="127"/>
      <c r="F143" s="127"/>
      <c r="G143" s="128"/>
      <c r="H143" s="129"/>
      <c r="I143" s="129"/>
      <c r="J143" s="130"/>
      <c r="K143" s="131"/>
      <c r="L143" s="132"/>
      <c r="M143" s="129"/>
      <c r="N143" s="130"/>
      <c r="O143" s="132"/>
      <c r="P143" s="130"/>
      <c r="Q143" s="131"/>
      <c r="R143" s="132"/>
      <c r="S143" s="130"/>
      <c r="T143" s="131"/>
      <c r="U143" s="132"/>
      <c r="V143" s="120"/>
      <c r="W143" s="120"/>
      <c r="X143" s="120"/>
      <c r="Y143" s="130"/>
      <c r="Z143" s="131"/>
      <c r="AA143" s="133"/>
      <c r="AB143" s="134"/>
      <c r="AC143" s="135"/>
      <c r="AD143" s="135"/>
      <c r="AE143" s="130"/>
      <c r="AF143" s="131"/>
      <c r="AG143" s="130"/>
      <c r="AH143" s="131"/>
      <c r="AI143" s="130"/>
      <c r="AJ143" s="130"/>
      <c r="AK143" s="131"/>
      <c r="AL143" s="132"/>
      <c r="AM143" s="130"/>
      <c r="AN143" s="131"/>
      <c r="AO143" s="132"/>
      <c r="AP143" s="120"/>
      <c r="AQ143" s="120"/>
      <c r="AR143" s="120"/>
      <c r="AS143" s="129"/>
      <c r="AT143" s="129"/>
      <c r="AU143" s="133"/>
      <c r="AV143" s="134"/>
      <c r="AW143" s="124"/>
      <c r="AX143" s="136"/>
    </row>
    <row r="144" spans="1:50" x14ac:dyDescent="0.25">
      <c r="A144" s="98" t="s">
        <v>121</v>
      </c>
      <c r="B144" s="113"/>
      <c r="C144" s="114"/>
      <c r="D144" s="114"/>
      <c r="E144" s="114"/>
      <c r="F144" s="114"/>
      <c r="G144" s="115"/>
      <c r="H144" s="116"/>
      <c r="I144" s="116"/>
      <c r="J144" s="117"/>
      <c r="K144" s="118"/>
      <c r="L144" s="119"/>
      <c r="M144" s="116"/>
      <c r="N144" s="117"/>
      <c r="O144" s="119"/>
      <c r="P144" s="117"/>
      <c r="Q144" s="118"/>
      <c r="R144" s="119"/>
      <c r="S144" s="117"/>
      <c r="T144" s="118"/>
      <c r="U144" s="119"/>
      <c r="V144" s="120"/>
      <c r="W144" s="120"/>
      <c r="X144" s="120"/>
      <c r="Y144" s="117"/>
      <c r="Z144" s="118"/>
      <c r="AA144" s="121"/>
      <c r="AB144" s="122"/>
      <c r="AC144" s="135"/>
      <c r="AD144" s="135"/>
      <c r="AE144" s="117"/>
      <c r="AF144" s="118"/>
      <c r="AG144" s="117"/>
      <c r="AH144" s="118"/>
      <c r="AI144" s="117"/>
      <c r="AJ144" s="117"/>
      <c r="AK144" s="118"/>
      <c r="AL144" s="119"/>
      <c r="AM144" s="117"/>
      <c r="AN144" s="118"/>
      <c r="AO144" s="119"/>
      <c r="AP144" s="120"/>
      <c r="AQ144" s="120"/>
      <c r="AR144" s="120"/>
      <c r="AS144" s="116"/>
      <c r="AT144" s="116"/>
      <c r="AU144" s="121"/>
      <c r="AV144" s="122"/>
      <c r="AW144" s="124"/>
      <c r="AX144" s="125"/>
    </row>
  </sheetData>
  <mergeCells count="54">
    <mergeCell ref="B130:M130"/>
    <mergeCell ref="N130:AB130"/>
    <mergeCell ref="AE130:AV130"/>
    <mergeCell ref="B131:H131"/>
    <mergeCell ref="N131:AB131"/>
    <mergeCell ref="AE131:AV131"/>
    <mergeCell ref="B114:M114"/>
    <mergeCell ref="N114:AB114"/>
    <mergeCell ref="AE114:AV114"/>
    <mergeCell ref="B115:H115"/>
    <mergeCell ref="N115:AB115"/>
    <mergeCell ref="AE115:AV115"/>
    <mergeCell ref="B98:M98"/>
    <mergeCell ref="N98:AB98"/>
    <mergeCell ref="AE98:AV98"/>
    <mergeCell ref="B99:H99"/>
    <mergeCell ref="N99:AB99"/>
    <mergeCell ref="AE99:AV99"/>
    <mergeCell ref="B82:M82"/>
    <mergeCell ref="N82:AB82"/>
    <mergeCell ref="AE82:AV82"/>
    <mergeCell ref="B83:H83"/>
    <mergeCell ref="N83:AB83"/>
    <mergeCell ref="AE83:AV83"/>
    <mergeCell ref="B66:M66"/>
    <mergeCell ref="N66:AB66"/>
    <mergeCell ref="AE66:AV66"/>
    <mergeCell ref="B67:H67"/>
    <mergeCell ref="N67:AB67"/>
    <mergeCell ref="AE67:AV67"/>
    <mergeCell ref="B50:M50"/>
    <mergeCell ref="N50:AB50"/>
    <mergeCell ref="AE50:AW50"/>
    <mergeCell ref="B51:H51"/>
    <mergeCell ref="N51:AB51"/>
    <mergeCell ref="AE51:AV51"/>
    <mergeCell ref="B34:M34"/>
    <mergeCell ref="N34:AB34"/>
    <mergeCell ref="AE34:AW34"/>
    <mergeCell ref="B35:H35"/>
    <mergeCell ref="N35:AB35"/>
    <mergeCell ref="AE35:AV35"/>
    <mergeCell ref="B18:M18"/>
    <mergeCell ref="N18:AB18"/>
    <mergeCell ref="AE18:AV18"/>
    <mergeCell ref="B19:H19"/>
    <mergeCell ref="N19:AB19"/>
    <mergeCell ref="AE19:AV19"/>
    <mergeCell ref="B2:M2"/>
    <mergeCell ref="N2:AB2"/>
    <mergeCell ref="AE2:AV2"/>
    <mergeCell ref="B3:H3"/>
    <mergeCell ref="N3:AB3"/>
    <mergeCell ref="AE3:AV3"/>
  </mergeCells>
  <conditionalFormatting sqref="V5:V16"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21:V32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37:V48 V53:V64"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69:V80 V85:V97">
    <cfRule type="colorScale" priority="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101:V112 V117:V128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113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133:V14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5:W16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1:W32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37:W48 W53:W64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69:W80 W85:W97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101:W112 W117:W128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113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133:W144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5:X16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21:X32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37:X48 X53:X64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69:X80 X85:X97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101:X112 X117:X128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113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133:X144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5:AP16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21:AP32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37:AP48 AP53:AP64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69:AP80 AP85:AP97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101:AP112 AP117:AP128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113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133:AP144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5:AQ16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21:AQ32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37:AQ48 AQ53:AQ64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69:AQ80 AQ85:AQ97">
    <cfRule type="colorScale" priority="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101:AQ112 AQ117:AQ128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113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133:AQ144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5:AR16"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21:AR32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37:AR48 AR53:AR64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69:AR80 AR85:AR97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101:AR112 AR117:AR128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113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133:AR144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1:AX1048576">
    <cfRule type="cellIs" dxfId="2" priority="37" operator="lessThan">
      <formula>0</formula>
    </cfRule>
  </conditionalFormatting>
  <printOptions horizontalCentered="1" verticalCentered="1"/>
  <pageMargins left="0.25" right="0.25" top="0.75" bottom="0.75" header="0.3" footer="0.3"/>
  <pageSetup paperSize="8" scale="30" fitToWidth="0" orientation="portrait" r:id="rId1"/>
  <headerFooter>
    <oddHeader>&amp;L&amp;"Aptos Narrow,Regular"SOBHA LLC&amp;C&amp;"Aptos Narrow,Bold"&amp;18Receipt status&amp;R&amp;D</oddHeader>
    <oddFooter>&amp;LCOLLECTION&amp;R&amp;P/&amp;N</oddFooter>
  </headerFooter>
  <colBreaks count="2" manualBreakCount="2">
    <brk id="13" max="112" man="1"/>
    <brk id="30" max="112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CDDF7-255D-4B76-8590-F53030E5D407}">
  <sheetPr>
    <pageSetUpPr fitToPage="1"/>
  </sheetPr>
  <dimension ref="A1:CK51"/>
  <sheetViews>
    <sheetView showGridLines="0" view="pageBreakPreview" zoomScaleNormal="90" zoomScaleSheetLayoutView="100" workbookViewId="0">
      <pane xSplit="1" ySplit="2" topLeftCell="BC3" activePane="bottomRight" state="frozen"/>
      <selection activeCell="B6" sqref="B6:I6"/>
      <selection pane="topRight" activeCell="B6" sqref="B6:I6"/>
      <selection pane="bottomLeft" activeCell="B6" sqref="B6:I6"/>
      <selection pane="bottomRight" activeCell="B6" sqref="B6:I6"/>
    </sheetView>
  </sheetViews>
  <sheetFormatPr defaultRowHeight="15" outlineLevelCol="2" x14ac:dyDescent="0.25"/>
  <cols>
    <col min="1" max="1" width="29" bestFit="1" customWidth="1"/>
    <col min="2" max="11" width="16.28515625" hidden="1" customWidth="1" outlineLevel="2"/>
    <col min="12" max="18" width="15.28515625" hidden="1" customWidth="1" outlineLevel="2"/>
    <col min="19" max="19" width="2.5703125" hidden="1" customWidth="1" outlineLevel="1"/>
    <col min="20" max="36" width="15" hidden="1" customWidth="1" outlineLevel="2"/>
    <col min="37" max="37" width="0.7109375" customWidth="1" collapsed="1"/>
    <col min="38" max="54" width="16.28515625" hidden="1" customWidth="1" outlineLevel="1"/>
    <col min="55" max="71" width="13.28515625" hidden="1" customWidth="1" outlineLevel="1"/>
    <col min="72" max="72" width="1.28515625" customWidth="1" collapsed="1"/>
    <col min="73" max="73" width="11.28515625" style="209" bestFit="1" customWidth="1"/>
    <col min="74" max="74" width="11.5703125" style="209" bestFit="1" customWidth="1"/>
    <col min="75" max="75" width="11.7109375" style="209" bestFit="1" customWidth="1"/>
    <col min="76" max="76" width="11.42578125" style="209" bestFit="1" customWidth="1"/>
    <col min="77" max="77" width="12.28515625" style="209" bestFit="1" customWidth="1"/>
    <col min="78" max="82" width="11.28515625" style="209" bestFit="1" customWidth="1"/>
    <col min="83" max="83" width="9.5703125" style="209" customWidth="1"/>
    <col min="84" max="86" width="11.28515625" style="209" bestFit="1" customWidth="1"/>
    <col min="88" max="88" width="11.42578125" bestFit="1" customWidth="1"/>
    <col min="89" max="89" width="12.140625" bestFit="1" customWidth="1"/>
  </cols>
  <sheetData>
    <row r="1" spans="1:89" ht="16.5" thickBot="1" x14ac:dyDescent="0.35">
      <c r="B1" s="173" t="s">
        <v>126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T1" s="174" t="s">
        <v>127</v>
      </c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L1" s="174" t="s">
        <v>128</v>
      </c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 t="s">
        <v>14</v>
      </c>
      <c r="BD1" s="174"/>
      <c r="BE1" s="174"/>
      <c r="BF1" s="174"/>
      <c r="BG1" s="174"/>
      <c r="BH1" s="174"/>
      <c r="BI1" s="174"/>
      <c r="BJ1" s="174"/>
      <c r="BK1" s="174"/>
      <c r="BL1" s="174"/>
      <c r="BM1" s="174"/>
      <c r="BN1" s="174"/>
      <c r="BO1" s="174"/>
      <c r="BP1" s="174"/>
      <c r="BQ1" s="174"/>
      <c r="BR1" s="174"/>
      <c r="BS1" s="174"/>
      <c r="BU1" s="175" t="s">
        <v>129</v>
      </c>
      <c r="BV1" s="175"/>
      <c r="BW1" s="175"/>
      <c r="BX1" s="175"/>
      <c r="BY1" s="175"/>
      <c r="BZ1" s="175"/>
      <c r="CA1" s="175"/>
      <c r="CB1" s="175"/>
      <c r="CC1" s="175"/>
      <c r="CD1" s="175"/>
      <c r="CE1" s="175"/>
      <c r="CF1" s="175"/>
      <c r="CG1" s="175"/>
      <c r="CH1" s="175"/>
      <c r="CI1" s="175"/>
      <c r="CJ1" s="175"/>
      <c r="CK1" s="175"/>
    </row>
    <row r="2" spans="1:89" x14ac:dyDescent="0.25">
      <c r="A2" s="176" t="s">
        <v>130</v>
      </c>
      <c r="B2" s="177">
        <v>45658</v>
      </c>
      <c r="C2" s="177">
        <v>45689</v>
      </c>
      <c r="D2" s="177">
        <v>45717</v>
      </c>
      <c r="E2" s="177">
        <v>45748</v>
      </c>
      <c r="F2" s="177">
        <v>45778</v>
      </c>
      <c r="G2" s="177">
        <v>45809</v>
      </c>
      <c r="H2" s="177">
        <v>45839</v>
      </c>
      <c r="I2" s="177">
        <v>45870</v>
      </c>
      <c r="J2" s="177">
        <v>45901</v>
      </c>
      <c r="K2" s="177">
        <v>45931</v>
      </c>
      <c r="L2" s="177">
        <v>45962</v>
      </c>
      <c r="M2" s="177">
        <v>45992</v>
      </c>
      <c r="N2" s="177">
        <v>46023</v>
      </c>
      <c r="O2" s="177">
        <v>46054</v>
      </c>
      <c r="P2" s="177">
        <v>46082</v>
      </c>
      <c r="Q2" s="177">
        <v>46113</v>
      </c>
      <c r="R2" s="178">
        <v>46143</v>
      </c>
      <c r="T2" s="177">
        <v>45658</v>
      </c>
      <c r="U2" s="177">
        <v>45689</v>
      </c>
      <c r="V2" s="177">
        <v>45717</v>
      </c>
      <c r="W2" s="177">
        <v>45748</v>
      </c>
      <c r="X2" s="177">
        <v>45778</v>
      </c>
      <c r="Y2" s="177">
        <v>45809</v>
      </c>
      <c r="Z2" s="177">
        <v>45839</v>
      </c>
      <c r="AA2" s="177">
        <v>45870</v>
      </c>
      <c r="AB2" s="177">
        <v>45901</v>
      </c>
      <c r="AC2" s="177">
        <v>45931</v>
      </c>
      <c r="AD2" s="177">
        <v>45962</v>
      </c>
      <c r="AE2" s="177">
        <v>45992</v>
      </c>
      <c r="AF2" s="177">
        <v>46023</v>
      </c>
      <c r="AG2" s="177">
        <v>46054</v>
      </c>
      <c r="AH2" s="177">
        <v>46082</v>
      </c>
      <c r="AI2" s="177">
        <v>46113</v>
      </c>
      <c r="AJ2" s="178">
        <v>46143</v>
      </c>
      <c r="AL2" s="177">
        <v>45658</v>
      </c>
      <c r="AM2" s="177">
        <v>45689</v>
      </c>
      <c r="AN2" s="177">
        <v>45717</v>
      </c>
      <c r="AO2" s="177">
        <v>45748</v>
      </c>
      <c r="AP2" s="177">
        <v>45778</v>
      </c>
      <c r="AQ2" s="177">
        <v>45809</v>
      </c>
      <c r="AR2" s="177">
        <v>45839</v>
      </c>
      <c r="AS2" s="177">
        <v>45870</v>
      </c>
      <c r="AT2" s="177">
        <v>45901</v>
      </c>
      <c r="AU2" s="177">
        <v>45931</v>
      </c>
      <c r="AV2" s="177">
        <v>45962</v>
      </c>
      <c r="AW2" s="177">
        <v>45992</v>
      </c>
      <c r="AX2" s="177">
        <v>46023</v>
      </c>
      <c r="AY2" s="177">
        <v>46054</v>
      </c>
      <c r="AZ2" s="177">
        <v>46082</v>
      </c>
      <c r="BA2" s="177">
        <v>46113</v>
      </c>
      <c r="BB2" s="177">
        <v>46143</v>
      </c>
      <c r="BC2" s="177">
        <v>45658</v>
      </c>
      <c r="BD2" s="177">
        <v>45689</v>
      </c>
      <c r="BE2" s="177">
        <v>45717</v>
      </c>
      <c r="BF2" s="177">
        <v>45748</v>
      </c>
      <c r="BG2" s="177">
        <v>45778</v>
      </c>
      <c r="BH2" s="177">
        <v>45809</v>
      </c>
      <c r="BI2" s="177">
        <v>45839</v>
      </c>
      <c r="BJ2" s="177">
        <v>45870</v>
      </c>
      <c r="BK2" s="177">
        <v>45901</v>
      </c>
      <c r="BL2" s="177">
        <v>45931</v>
      </c>
      <c r="BM2" s="177">
        <v>45962</v>
      </c>
      <c r="BN2" s="177">
        <v>45992</v>
      </c>
      <c r="BO2" s="177">
        <v>46023</v>
      </c>
      <c r="BP2" s="177">
        <v>46054</v>
      </c>
      <c r="BQ2" s="177">
        <v>46082</v>
      </c>
      <c r="BR2" s="177">
        <v>46113</v>
      </c>
      <c r="BS2" s="178">
        <v>46143</v>
      </c>
      <c r="BU2" s="177">
        <v>45658</v>
      </c>
      <c r="BV2" s="177">
        <v>45689</v>
      </c>
      <c r="BW2" s="177">
        <v>45717</v>
      </c>
      <c r="BX2" s="177">
        <v>45748</v>
      </c>
      <c r="BY2" s="177">
        <v>45778</v>
      </c>
      <c r="BZ2" s="177">
        <v>45809</v>
      </c>
      <c r="CA2" s="177">
        <v>45839</v>
      </c>
      <c r="CB2" s="177">
        <v>45870</v>
      </c>
      <c r="CC2" s="177">
        <v>45901</v>
      </c>
      <c r="CD2" s="177">
        <v>45931</v>
      </c>
      <c r="CE2" s="177">
        <v>45962</v>
      </c>
      <c r="CF2" s="177">
        <v>45992</v>
      </c>
      <c r="CG2" s="177">
        <v>46023</v>
      </c>
      <c r="CH2" s="177">
        <v>46054</v>
      </c>
      <c r="CI2" s="177">
        <v>46082</v>
      </c>
      <c r="CJ2" s="177">
        <v>46113</v>
      </c>
      <c r="CK2" s="177">
        <v>46143</v>
      </c>
    </row>
    <row r="3" spans="1:89" x14ac:dyDescent="0.25">
      <c r="A3" s="179" t="s">
        <v>131</v>
      </c>
      <c r="B3" s="180">
        <v>3764137.3000000478</v>
      </c>
      <c r="C3" s="181">
        <v>2969638.3000000478</v>
      </c>
      <c r="D3" s="181">
        <v>4189629.2000000929</v>
      </c>
      <c r="E3" s="181">
        <v>3939608.9200000023</v>
      </c>
      <c r="F3" s="181">
        <v>3939821.67</v>
      </c>
      <c r="G3" s="181">
        <v>3085827.3399999882</v>
      </c>
      <c r="H3" s="181">
        <v>3085539.1300000097</v>
      </c>
      <c r="I3" s="181">
        <v>2685539.1300000097</v>
      </c>
      <c r="J3" s="181">
        <v>2654377.8200000003</v>
      </c>
      <c r="K3" s="181">
        <v>2654377.8200000003</v>
      </c>
      <c r="L3" s="181">
        <v>2654378.3600000218</v>
      </c>
      <c r="M3" s="181">
        <v>2520315.8600000218</v>
      </c>
      <c r="N3" s="181">
        <v>2520315.8600000199</v>
      </c>
      <c r="O3" s="181">
        <v>1475880.2800000608</v>
      </c>
      <c r="P3" s="181">
        <v>1452387.5300000454</v>
      </c>
      <c r="Q3" s="181">
        <v>1356336.7700001146</v>
      </c>
      <c r="R3" s="182">
        <v>2069265.8999999918</v>
      </c>
      <c r="S3" s="16"/>
      <c r="T3" s="180">
        <v>683667</v>
      </c>
      <c r="U3" s="181">
        <v>402026.16</v>
      </c>
      <c r="V3" s="181">
        <v>147026.15999999997</v>
      </c>
      <c r="W3" s="181">
        <v>174411.65000000008</v>
      </c>
      <c r="X3" s="181">
        <v>174411.65000000008</v>
      </c>
      <c r="Y3" s="181">
        <v>400000</v>
      </c>
      <c r="Z3" s="181">
        <v>655000</v>
      </c>
      <c r="AA3" s="181">
        <v>255000</v>
      </c>
      <c r="AB3" s="181">
        <v>0</v>
      </c>
      <c r="AC3" s="181">
        <v>174411.65000000008</v>
      </c>
      <c r="AD3" s="181">
        <v>55000</v>
      </c>
      <c r="AE3" s="181">
        <v>0</v>
      </c>
      <c r="AF3" s="181">
        <v>255000</v>
      </c>
      <c r="AG3" s="181">
        <v>451049.95999999996</v>
      </c>
      <c r="AH3" s="181">
        <v>96049.959999999905</v>
      </c>
      <c r="AI3" s="181">
        <v>41858</v>
      </c>
      <c r="AJ3" s="182">
        <v>41858</v>
      </c>
      <c r="AK3" s="16"/>
      <c r="AL3" s="180">
        <f t="shared" ref="AL3:AZ12" ca="1" si="0">B3-T3</f>
        <v>3080470.3000000478</v>
      </c>
      <c r="AM3" s="181">
        <f t="shared" ca="1" si="0"/>
        <v>2567612.1400000476</v>
      </c>
      <c r="AN3" s="181">
        <f t="shared" ca="1" si="0"/>
        <v>4042603.0400000927</v>
      </c>
      <c r="AO3" s="181">
        <f t="shared" ca="1" si="0"/>
        <v>3765197.2700000023</v>
      </c>
      <c r="AP3" s="181">
        <f t="shared" ca="1" si="0"/>
        <v>3765410.02</v>
      </c>
      <c r="AQ3" s="181">
        <f t="shared" ca="1" si="0"/>
        <v>2685827.3399999882</v>
      </c>
      <c r="AR3" s="181">
        <f t="shared" ca="1" si="0"/>
        <v>2430539.1300000097</v>
      </c>
      <c r="AS3" s="181">
        <f t="shared" ca="1" si="0"/>
        <v>2430539.1300000097</v>
      </c>
      <c r="AT3" s="181">
        <f t="shared" ca="1" si="0"/>
        <v>2654377.8200000003</v>
      </c>
      <c r="AU3" s="181">
        <f t="shared" ca="1" si="0"/>
        <v>2479966.1700000004</v>
      </c>
      <c r="AV3" s="181">
        <f t="shared" ca="1" si="0"/>
        <v>2599378.3600000218</v>
      </c>
      <c r="AW3" s="181">
        <f t="shared" ca="1" si="0"/>
        <v>2520315.8600000218</v>
      </c>
      <c r="AX3" s="181">
        <f t="shared" ca="1" si="0"/>
        <v>2265315.8600000199</v>
      </c>
      <c r="AY3" s="181">
        <f t="shared" ca="1" si="0"/>
        <v>1024830.3200000608</v>
      </c>
      <c r="AZ3" s="181">
        <f t="shared" ca="1" si="0"/>
        <v>1356337.5700000455</v>
      </c>
      <c r="BA3" s="181">
        <f t="shared" ref="BA3:BA12" ca="1" si="1">R3-AJ3</f>
        <v>2027407.8999999918</v>
      </c>
      <c r="BB3" s="181">
        <f ca="1">R3-AJ3</f>
        <v>2027407.8999999918</v>
      </c>
      <c r="BC3" s="180">
        <v>310832</v>
      </c>
      <c r="BD3" s="181">
        <v>0</v>
      </c>
      <c r="BE3" s="181">
        <v>102973.84000000008</v>
      </c>
      <c r="BF3" s="181">
        <v>0</v>
      </c>
      <c r="BG3" s="181">
        <v>307452.84000000008</v>
      </c>
      <c r="BH3" s="181">
        <v>0</v>
      </c>
      <c r="BI3" s="181">
        <v>0</v>
      </c>
      <c r="BJ3" s="181">
        <v>0</v>
      </c>
      <c r="BK3" s="181">
        <v>0</v>
      </c>
      <c r="BL3" s="181">
        <v>0</v>
      </c>
      <c r="BM3" s="181">
        <v>0</v>
      </c>
      <c r="BN3" s="181">
        <v>0</v>
      </c>
      <c r="BO3" s="181">
        <v>0</v>
      </c>
      <c r="BP3" s="181">
        <v>0</v>
      </c>
      <c r="BQ3" s="181">
        <v>0.80000000004656613</v>
      </c>
      <c r="BR3" s="181">
        <v>0</v>
      </c>
      <c r="BS3" s="182">
        <v>0</v>
      </c>
      <c r="BU3" s="183">
        <f t="shared" ref="BU3:CI18" ca="1" si="2">IFERROR(BC3/AL3,0)*100</f>
        <v>10.090407299171012</v>
      </c>
      <c r="BV3" s="184">
        <f t="shared" ca="1" si="2"/>
        <v>0</v>
      </c>
      <c r="BW3" s="184">
        <f t="shared" ca="1" si="2"/>
        <v>2.5472162114635357</v>
      </c>
      <c r="BX3" s="184">
        <f t="shared" ca="1" si="2"/>
        <v>0</v>
      </c>
      <c r="BY3" s="184">
        <f t="shared" ca="1" si="2"/>
        <v>8.1651888736409131</v>
      </c>
      <c r="BZ3" s="184">
        <f t="shared" ca="1" si="2"/>
        <v>0</v>
      </c>
      <c r="CA3" s="184">
        <f t="shared" ca="1" si="2"/>
        <v>0</v>
      </c>
      <c r="CB3" s="184">
        <f t="shared" ca="1" si="2"/>
        <v>0</v>
      </c>
      <c r="CC3" s="184">
        <f t="shared" ca="1" si="2"/>
        <v>0</v>
      </c>
      <c r="CD3" s="184">
        <f t="shared" ca="1" si="2"/>
        <v>0</v>
      </c>
      <c r="CE3" s="184">
        <f t="shared" ca="1" si="2"/>
        <v>0</v>
      </c>
      <c r="CF3" s="184">
        <f t="shared" ca="1" si="2"/>
        <v>0</v>
      </c>
      <c r="CG3" s="184">
        <f t="shared" ca="1" si="2"/>
        <v>0</v>
      </c>
      <c r="CH3" s="184">
        <f t="shared" ca="1" si="2"/>
        <v>0</v>
      </c>
      <c r="CI3" s="184">
        <f t="shared" ca="1" si="2"/>
        <v>5.8982366760403107E-5</v>
      </c>
      <c r="CJ3" s="184">
        <f t="shared" ref="CJ3:CJ46" ca="1" si="3">IFERROR(BQ3/AZ3,0)*100</f>
        <v>5.8982366760403107E-5</v>
      </c>
      <c r="CK3" s="184">
        <f ca="1">IFERROR(BS3/BB3,0)*100</f>
        <v>0</v>
      </c>
    </row>
    <row r="4" spans="1:89" x14ac:dyDescent="0.25">
      <c r="A4" s="179" t="s">
        <v>132</v>
      </c>
      <c r="B4" s="185">
        <v>8242115.8299999991</v>
      </c>
      <c r="C4" s="27">
        <v>135570.31000000003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339174.1</v>
      </c>
      <c r="N4" s="27">
        <v>678348.2</v>
      </c>
      <c r="O4" s="27">
        <v>260279.09999999998</v>
      </c>
      <c r="P4" s="27">
        <v>260280.26</v>
      </c>
      <c r="Q4" s="27">
        <v>260280.26</v>
      </c>
      <c r="R4" s="182">
        <v>260280.26</v>
      </c>
      <c r="S4" s="16"/>
      <c r="T4" s="185">
        <v>8242115.8299999991</v>
      </c>
      <c r="U4" s="27">
        <v>135570.31000000003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1.1641532182693481E-10</v>
      </c>
      <c r="AD4" s="27">
        <v>1.1641532182693481E-10</v>
      </c>
      <c r="AE4" s="27">
        <v>0</v>
      </c>
      <c r="AF4" s="27">
        <v>78893.84</v>
      </c>
      <c r="AG4" s="27">
        <v>0</v>
      </c>
      <c r="AH4" s="27">
        <v>0</v>
      </c>
      <c r="AI4" s="27">
        <v>0</v>
      </c>
      <c r="AJ4" s="182">
        <v>0</v>
      </c>
      <c r="AK4" s="16"/>
      <c r="AL4" s="185">
        <f t="shared" ca="1" si="0"/>
        <v>0</v>
      </c>
      <c r="AM4" s="27">
        <f t="shared" ca="1" si="0"/>
        <v>0</v>
      </c>
      <c r="AN4" s="27">
        <f t="shared" ca="1" si="0"/>
        <v>0</v>
      </c>
      <c r="AO4" s="27">
        <f t="shared" ca="1" si="0"/>
        <v>0</v>
      </c>
      <c r="AP4" s="27">
        <f t="shared" ca="1" si="0"/>
        <v>0</v>
      </c>
      <c r="AQ4" s="27">
        <f t="shared" ca="1" si="0"/>
        <v>0</v>
      </c>
      <c r="AR4" s="27">
        <f t="shared" ca="1" si="0"/>
        <v>0</v>
      </c>
      <c r="AS4" s="27">
        <f t="shared" ca="1" si="0"/>
        <v>0</v>
      </c>
      <c r="AT4" s="27">
        <f t="shared" ca="1" si="0"/>
        <v>0</v>
      </c>
      <c r="AU4" s="27">
        <f t="shared" ca="1" si="0"/>
        <v>-1.1641532182693481E-10</v>
      </c>
      <c r="AV4" s="186">
        <v>0</v>
      </c>
      <c r="AW4" s="27">
        <f t="shared" ca="1" si="0"/>
        <v>339174.1</v>
      </c>
      <c r="AX4" s="27">
        <f t="shared" ca="1" si="0"/>
        <v>599454.36</v>
      </c>
      <c r="AY4" s="27">
        <f t="shared" ca="1" si="0"/>
        <v>260279.09999999998</v>
      </c>
      <c r="AZ4" s="27">
        <f t="shared" ca="1" si="0"/>
        <v>260280.26</v>
      </c>
      <c r="BA4" s="27">
        <f t="shared" ca="1" si="1"/>
        <v>260280.26</v>
      </c>
      <c r="BB4" s="27">
        <f t="shared" ref="BB4:BB12" ca="1" si="4">R4-AJ4</f>
        <v>260280.26</v>
      </c>
      <c r="BC4" s="185">
        <v>356607.44000000076</v>
      </c>
      <c r="BD4" s="27">
        <v>0.68999999994412065</v>
      </c>
      <c r="BE4" s="27">
        <v>0.16999999992549419</v>
      </c>
      <c r="BF4" s="27">
        <v>0</v>
      </c>
      <c r="BG4" s="27">
        <v>0</v>
      </c>
      <c r="BH4" s="27">
        <v>0</v>
      </c>
      <c r="BI4" s="27">
        <v>0</v>
      </c>
      <c r="BJ4" s="27">
        <v>69502.009999999776</v>
      </c>
      <c r="BK4" s="27">
        <v>9.3132257461547852E-10</v>
      </c>
      <c r="BL4" s="27">
        <v>0</v>
      </c>
      <c r="BM4" s="27">
        <v>0.11000000033527613</v>
      </c>
      <c r="BN4" s="27">
        <v>0</v>
      </c>
      <c r="BO4" s="27">
        <v>0</v>
      </c>
      <c r="BP4" s="27">
        <v>2.4600000018253922</v>
      </c>
      <c r="BQ4" s="27">
        <v>2.0000000484287739E-2</v>
      </c>
      <c r="BR4" s="27">
        <v>3.9999999804422259E-2</v>
      </c>
      <c r="BS4" s="28">
        <v>0</v>
      </c>
      <c r="BU4" s="183">
        <f t="shared" ca="1" si="2"/>
        <v>0</v>
      </c>
      <c r="BV4" s="184">
        <f t="shared" ca="1" si="2"/>
        <v>0</v>
      </c>
      <c r="BW4" s="184">
        <f t="shared" ca="1" si="2"/>
        <v>0</v>
      </c>
      <c r="BX4" s="184">
        <f t="shared" ca="1" si="2"/>
        <v>0</v>
      </c>
      <c r="BY4" s="184">
        <f t="shared" ca="1" si="2"/>
        <v>0</v>
      </c>
      <c r="BZ4" s="184">
        <f t="shared" ca="1" si="2"/>
        <v>0</v>
      </c>
      <c r="CA4" s="184">
        <f t="shared" ca="1" si="2"/>
        <v>0</v>
      </c>
      <c r="CB4" s="184">
        <f t="shared" ca="1" si="2"/>
        <v>0</v>
      </c>
      <c r="CC4" s="184">
        <f t="shared" ca="1" si="2"/>
        <v>0</v>
      </c>
      <c r="CD4" s="184">
        <f t="shared" ca="1" si="2"/>
        <v>0</v>
      </c>
      <c r="CE4" s="184">
        <f ca="1">IFERROR(BM4/AV4,0)*100</f>
        <v>0</v>
      </c>
      <c r="CF4" s="184">
        <f t="shared" ca="1" si="2"/>
        <v>0</v>
      </c>
      <c r="CG4" s="184">
        <f t="shared" ca="1" si="2"/>
        <v>0</v>
      </c>
      <c r="CH4" s="184">
        <f t="shared" ca="1" si="2"/>
        <v>9.4513927619443614E-4</v>
      </c>
      <c r="CI4" s="184">
        <f t="shared" ca="1" si="2"/>
        <v>7.6840250906033905E-6</v>
      </c>
      <c r="CJ4" s="184">
        <f t="shared" ca="1" si="3"/>
        <v>7.6840250906033905E-6</v>
      </c>
      <c r="CK4" s="184">
        <f t="shared" ref="CK4:CK12" ca="1" si="5">IFERROR(BS4/BB4,0)*100</f>
        <v>0</v>
      </c>
    </row>
    <row r="5" spans="1:89" x14ac:dyDescent="0.25">
      <c r="A5" s="179" t="s">
        <v>133</v>
      </c>
      <c r="B5" s="185">
        <v>126226802.68000171</v>
      </c>
      <c r="C5" s="27">
        <v>118718285.14000165</v>
      </c>
      <c r="D5" s="27">
        <v>109884119.08000168</v>
      </c>
      <c r="E5" s="27">
        <v>96504225.490000695</v>
      </c>
      <c r="F5" s="27">
        <v>85533444.07000199</v>
      </c>
      <c r="G5" s="27">
        <v>74530249.010000825</v>
      </c>
      <c r="H5" s="27">
        <v>65181689.080000818</v>
      </c>
      <c r="I5" s="27">
        <v>60348033.750000805</v>
      </c>
      <c r="J5" s="27">
        <v>57730305.950001061</v>
      </c>
      <c r="K5" s="27">
        <v>44053807.480000824</v>
      </c>
      <c r="L5" s="27">
        <v>31194687.320000857</v>
      </c>
      <c r="M5" s="27">
        <v>20329581.490002304</v>
      </c>
      <c r="N5" s="27">
        <v>20289978.6900011</v>
      </c>
      <c r="O5" s="27">
        <v>20289978.6900011</v>
      </c>
      <c r="P5" s="27">
        <v>10528242.260000944</v>
      </c>
      <c r="Q5" s="27">
        <v>6155754.580001235</v>
      </c>
      <c r="R5" s="182">
        <v>6155754.580001235</v>
      </c>
      <c r="S5" s="16"/>
      <c r="T5" s="185">
        <v>11575216.66</v>
      </c>
      <c r="U5" s="27">
        <v>21804804.299999997</v>
      </c>
      <c r="V5" s="27">
        <v>24217205.190000001</v>
      </c>
      <c r="W5" s="27">
        <v>15987053.090000004</v>
      </c>
      <c r="X5" s="27">
        <v>18086094.540000003</v>
      </c>
      <c r="Y5" s="27">
        <v>14119874.800000001</v>
      </c>
      <c r="Z5" s="27">
        <v>4846740.4399999995</v>
      </c>
      <c r="AA5" s="27">
        <v>6799815.4900000012</v>
      </c>
      <c r="AB5" s="27">
        <v>11360433.980000004</v>
      </c>
      <c r="AC5" s="27">
        <v>10975553.790000001</v>
      </c>
      <c r="AD5" s="27">
        <v>10934017.959999997</v>
      </c>
      <c r="AE5" s="27">
        <v>39602.800000000003</v>
      </c>
      <c r="AF5" s="27">
        <v>9761737.8300000001</v>
      </c>
      <c r="AG5" s="27">
        <v>9761738.0999999996</v>
      </c>
      <c r="AH5" s="27">
        <v>4372487.6599999992</v>
      </c>
      <c r="AI5" s="27">
        <v>4589408.2</v>
      </c>
      <c r="AJ5" s="182">
        <v>4589408.2</v>
      </c>
      <c r="AK5" s="16"/>
      <c r="AL5" s="185">
        <f t="shared" ca="1" si="0"/>
        <v>114651586.02000171</v>
      </c>
      <c r="AM5" s="27">
        <f t="shared" ca="1" si="0"/>
        <v>96913480.840001658</v>
      </c>
      <c r="AN5" s="27">
        <f t="shared" ca="1" si="0"/>
        <v>85666913.890001684</v>
      </c>
      <c r="AO5" s="27">
        <f t="shared" ca="1" si="0"/>
        <v>80517172.400000691</v>
      </c>
      <c r="AP5" s="27">
        <f t="shared" ca="1" si="0"/>
        <v>67447349.530001983</v>
      </c>
      <c r="AQ5" s="27">
        <f t="shared" ca="1" si="0"/>
        <v>60410374.210000828</v>
      </c>
      <c r="AR5" s="27">
        <f t="shared" ca="1" si="0"/>
        <v>60334948.64000082</v>
      </c>
      <c r="AS5" s="27">
        <f t="shared" ca="1" si="0"/>
        <v>53548218.260000803</v>
      </c>
      <c r="AT5" s="27">
        <f t="shared" ca="1" si="0"/>
        <v>46369871.970001057</v>
      </c>
      <c r="AU5" s="27">
        <f t="shared" ca="1" si="0"/>
        <v>33078253.690000825</v>
      </c>
      <c r="AV5" s="27">
        <f t="shared" ca="1" si="0"/>
        <v>20260669.36000086</v>
      </c>
      <c r="AW5" s="27">
        <f t="shared" ca="1" si="0"/>
        <v>20289978.690002304</v>
      </c>
      <c r="AX5" s="27">
        <f t="shared" ca="1" si="0"/>
        <v>10528240.8600011</v>
      </c>
      <c r="AY5" s="27">
        <f t="shared" ca="1" si="0"/>
        <v>10528240.590001101</v>
      </c>
      <c r="AZ5" s="27">
        <f t="shared" ca="1" si="0"/>
        <v>6155754.6000009449</v>
      </c>
      <c r="BA5" s="27">
        <f t="shared" ca="1" si="1"/>
        <v>1566346.3800012348</v>
      </c>
      <c r="BB5" s="27">
        <f t="shared" ca="1" si="4"/>
        <v>1566346.3800012348</v>
      </c>
      <c r="BC5" s="185">
        <v>2345718.3299999982</v>
      </c>
      <c r="BD5" s="27">
        <v>37708.449999999255</v>
      </c>
      <c r="BE5" s="27">
        <v>7068.1199999991804</v>
      </c>
      <c r="BF5" s="27">
        <v>59685.060000000522</v>
      </c>
      <c r="BG5" s="27">
        <v>2211188.549999997</v>
      </c>
      <c r="BH5" s="27">
        <v>115266.88000000082</v>
      </c>
      <c r="BI5" s="27">
        <v>58009.890000000596</v>
      </c>
      <c r="BJ5" s="27">
        <v>2649887.0200000014</v>
      </c>
      <c r="BK5" s="27">
        <v>6654405.0099999979</v>
      </c>
      <c r="BL5" s="27">
        <v>8290575.370000001</v>
      </c>
      <c r="BM5" s="27">
        <v>4207225.0099999979</v>
      </c>
      <c r="BN5" s="27">
        <v>0</v>
      </c>
      <c r="BO5" s="27">
        <v>0</v>
      </c>
      <c r="BP5" s="27">
        <v>0</v>
      </c>
      <c r="BQ5" s="27">
        <v>0</v>
      </c>
      <c r="BR5" s="27">
        <v>0</v>
      </c>
      <c r="BS5" s="28">
        <v>0</v>
      </c>
      <c r="BU5" s="183">
        <f t="shared" ca="1" si="2"/>
        <v>2.0459536683520212</v>
      </c>
      <c r="BV5" s="184">
        <f t="shared" ca="1" si="2"/>
        <v>3.8909395961387087E-2</v>
      </c>
      <c r="BW5" s="184">
        <f t="shared" ca="1" si="2"/>
        <v>8.2506999249147821E-3</v>
      </c>
      <c r="BX5" s="184">
        <f t="shared" ca="1" si="2"/>
        <v>7.4127118751129928E-2</v>
      </c>
      <c r="BY5" s="184">
        <f t="shared" ca="1" si="2"/>
        <v>3.2783920575209771</v>
      </c>
      <c r="BZ5" s="184">
        <f t="shared" ca="1" si="2"/>
        <v>0.19080643268208491</v>
      </c>
      <c r="CA5" s="184">
        <f t="shared" ca="1" si="2"/>
        <v>9.6146414818593623E-2</v>
      </c>
      <c r="CB5" s="184">
        <f t="shared" ca="1" si="2"/>
        <v>4.9485997967917479</v>
      </c>
      <c r="CC5" s="184">
        <f t="shared" ca="1" si="2"/>
        <v>14.350708180313845</v>
      </c>
      <c r="CD5" s="184">
        <f t="shared" ca="1" si="2"/>
        <v>25.063521937091092</v>
      </c>
      <c r="CE5" s="184">
        <f t="shared" ca="1" si="2"/>
        <v>20.765478845955656</v>
      </c>
      <c r="CF5" s="184">
        <f t="shared" ca="1" si="2"/>
        <v>0</v>
      </c>
      <c r="CG5" s="184">
        <f t="shared" ca="1" si="2"/>
        <v>0</v>
      </c>
      <c r="CH5" s="184">
        <f t="shared" ca="1" si="2"/>
        <v>0</v>
      </c>
      <c r="CI5" s="184">
        <f t="shared" ca="1" si="2"/>
        <v>0</v>
      </c>
      <c r="CJ5" s="184">
        <f t="shared" ca="1" si="3"/>
        <v>0</v>
      </c>
      <c r="CK5" s="184">
        <f t="shared" ca="1" si="5"/>
        <v>0</v>
      </c>
    </row>
    <row r="6" spans="1:89" x14ac:dyDescent="0.25">
      <c r="A6" s="179" t="s">
        <v>134</v>
      </c>
      <c r="B6" s="185">
        <v>19004411.779999852</v>
      </c>
      <c r="C6" s="27">
        <v>16642700.959999681</v>
      </c>
      <c r="D6" s="27">
        <v>16762558.959998727</v>
      </c>
      <c r="E6" s="27">
        <v>16381992.799994171</v>
      </c>
      <c r="F6" s="27">
        <v>5532587.9399991632</v>
      </c>
      <c r="G6" s="27">
        <v>4630603.3199982643</v>
      </c>
      <c r="H6" s="27">
        <v>4459579.9599978924</v>
      </c>
      <c r="I6" s="27">
        <v>4459559.829998076</v>
      </c>
      <c r="J6" s="27">
        <v>3769414.8399953246</v>
      </c>
      <c r="K6" s="27">
        <v>4507989.7999982834</v>
      </c>
      <c r="L6" s="27">
        <v>4043206.8999960064</v>
      </c>
      <c r="M6" s="27">
        <v>4043207.0800007819</v>
      </c>
      <c r="N6" s="27">
        <v>7910032.9799970863</v>
      </c>
      <c r="O6" s="27">
        <v>3827240.4999982119</v>
      </c>
      <c r="P6" s="27">
        <v>2836749.3499988317</v>
      </c>
      <c r="Q6" s="27">
        <v>2427182.3499988317</v>
      </c>
      <c r="R6" s="182">
        <v>2427182.3499988317</v>
      </c>
      <c r="S6" s="16"/>
      <c r="T6" s="185">
        <v>1217254.69</v>
      </c>
      <c r="U6" s="27">
        <v>797442.63</v>
      </c>
      <c r="V6" s="27">
        <v>11238361.58</v>
      </c>
      <c r="W6" s="27">
        <v>11244730.319999998</v>
      </c>
      <c r="X6" s="27">
        <v>597556.06999999995</v>
      </c>
      <c r="Y6" s="27">
        <v>169423.72</v>
      </c>
      <c r="Z6" s="27">
        <v>663336.70000000007</v>
      </c>
      <c r="AA6" s="27">
        <v>725489.66</v>
      </c>
      <c r="AB6" s="27">
        <v>693279.56000000017</v>
      </c>
      <c r="AC6" s="27">
        <v>657955.76000000036</v>
      </c>
      <c r="AD6" s="27">
        <v>88190.6</v>
      </c>
      <c r="AE6" s="27">
        <v>88190.6</v>
      </c>
      <c r="AF6" s="27">
        <v>449545</v>
      </c>
      <c r="AG6" s="27">
        <v>599835.32000000007</v>
      </c>
      <c r="AH6" s="27">
        <v>408210.31999999983</v>
      </c>
      <c r="AI6" s="27">
        <v>0</v>
      </c>
      <c r="AJ6" s="182">
        <v>0</v>
      </c>
      <c r="AK6" s="16"/>
      <c r="AL6" s="185">
        <f t="shared" ca="1" si="0"/>
        <v>17787157.089999851</v>
      </c>
      <c r="AM6" s="27">
        <f t="shared" ca="1" si="0"/>
        <v>15845258.32999968</v>
      </c>
      <c r="AN6" s="27">
        <f t="shared" ca="1" si="0"/>
        <v>5524197.3799987268</v>
      </c>
      <c r="AO6" s="27">
        <f t="shared" ca="1" si="0"/>
        <v>5137262.4799941722</v>
      </c>
      <c r="AP6" s="27">
        <f t="shared" ca="1" si="0"/>
        <v>4935031.8699991629</v>
      </c>
      <c r="AQ6" s="27">
        <f t="shared" ca="1" si="0"/>
        <v>4461179.5999982646</v>
      </c>
      <c r="AR6" s="27">
        <f t="shared" ca="1" si="0"/>
        <v>3796243.2599978922</v>
      </c>
      <c r="AS6" s="27">
        <f t="shared" ca="1" si="0"/>
        <v>3734070.1699980758</v>
      </c>
      <c r="AT6" s="27">
        <f t="shared" ca="1" si="0"/>
        <v>3076135.2799953246</v>
      </c>
      <c r="AU6" s="27">
        <f t="shared" ca="1" si="0"/>
        <v>3850034.0399982831</v>
      </c>
      <c r="AV6" s="27">
        <f t="shared" ca="1" si="0"/>
        <v>3955016.2999960063</v>
      </c>
      <c r="AW6" s="27">
        <f t="shared" ca="1" si="0"/>
        <v>3955016.4800007818</v>
      </c>
      <c r="AX6" s="27">
        <f t="shared" ca="1" si="0"/>
        <v>7460487.9799970863</v>
      </c>
      <c r="AY6" s="27">
        <f t="shared" ca="1" si="0"/>
        <v>3227405.1799982116</v>
      </c>
      <c r="AZ6" s="27">
        <f t="shared" ca="1" si="0"/>
        <v>2428539.0299988319</v>
      </c>
      <c r="BA6" s="27">
        <f t="shared" ca="1" si="1"/>
        <v>2427182.3499988317</v>
      </c>
      <c r="BB6" s="27">
        <f t="shared" ca="1" si="4"/>
        <v>2427182.3499988317</v>
      </c>
      <c r="BC6" s="185">
        <v>676242.78000000038</v>
      </c>
      <c r="BD6" s="27">
        <v>160298</v>
      </c>
      <c r="BE6" s="27">
        <v>270857.94999999995</v>
      </c>
      <c r="BF6" s="27">
        <v>3.0000000027939677E-2</v>
      </c>
      <c r="BG6" s="27">
        <v>0</v>
      </c>
      <c r="BH6" s="27">
        <v>0</v>
      </c>
      <c r="BI6" s="27">
        <v>-0.99999999988358468</v>
      </c>
      <c r="BJ6" s="27">
        <v>9.7999999999883585</v>
      </c>
      <c r="BK6" s="27">
        <v>28408.399999999994</v>
      </c>
      <c r="BL6" s="27">
        <v>231617.09000000008</v>
      </c>
      <c r="BM6" s="27">
        <v>-1</v>
      </c>
      <c r="BN6" s="27">
        <v>0</v>
      </c>
      <c r="BO6" s="27">
        <v>0</v>
      </c>
      <c r="BP6" s="27">
        <v>10.890000000130385</v>
      </c>
      <c r="BQ6" s="27">
        <v>958.21000000124332</v>
      </c>
      <c r="BR6" s="27">
        <v>0.26999999966938049</v>
      </c>
      <c r="BS6" s="28">
        <v>0</v>
      </c>
      <c r="BU6" s="183">
        <f t="shared" ca="1" si="2"/>
        <v>3.8018598282925828</v>
      </c>
      <c r="BV6" s="184">
        <f t="shared" ca="1" si="2"/>
        <v>1.0116464917237058</v>
      </c>
      <c r="BW6" s="184">
        <f t="shared" ca="1" si="2"/>
        <v>4.9031186137679681</v>
      </c>
      <c r="BX6" s="184">
        <f t="shared" ca="1" si="2"/>
        <v>5.8396860477282267E-7</v>
      </c>
      <c r="BY6" s="184">
        <f t="shared" ca="1" si="2"/>
        <v>0</v>
      </c>
      <c r="BZ6" s="184">
        <f t="shared" ca="1" si="2"/>
        <v>0</v>
      </c>
      <c r="CA6" s="184">
        <f t="shared" ca="1" si="2"/>
        <v>-2.6341831421101817E-5</v>
      </c>
      <c r="CB6" s="184">
        <f t="shared" ca="1" si="2"/>
        <v>2.6244820139503187E-4</v>
      </c>
      <c r="CC6" s="184">
        <f t="shared" ca="1" si="2"/>
        <v>0.92350944981987837</v>
      </c>
      <c r="CD6" s="184">
        <f t="shared" ca="1" si="2"/>
        <v>6.0159751210953809</v>
      </c>
      <c r="CE6" s="184">
        <f t="shared" ca="1" si="2"/>
        <v>-2.5284345857209483E-5</v>
      </c>
      <c r="CF6" s="184">
        <f t="shared" ca="1" si="2"/>
        <v>0</v>
      </c>
      <c r="CG6" s="184">
        <f t="shared" ca="1" si="2"/>
        <v>0</v>
      </c>
      <c r="CH6" s="184">
        <f t="shared" ca="1" si="2"/>
        <v>3.3742277132170988E-4</v>
      </c>
      <c r="CI6" s="184">
        <f t="shared" ca="1" si="2"/>
        <v>3.9456232251770897E-2</v>
      </c>
      <c r="CJ6" s="184">
        <f t="shared" ca="1" si="3"/>
        <v>3.9456232251770897E-2</v>
      </c>
      <c r="CK6" s="184">
        <f t="shared" ca="1" si="5"/>
        <v>0</v>
      </c>
    </row>
    <row r="7" spans="1:89" x14ac:dyDescent="0.25">
      <c r="A7" s="179" t="s">
        <v>135</v>
      </c>
      <c r="B7" s="185">
        <v>43425237.659999847</v>
      </c>
      <c r="C7" s="27">
        <v>39191709.629999876</v>
      </c>
      <c r="D7" s="27">
        <v>9588690.2499998808</v>
      </c>
      <c r="E7" s="27">
        <v>6760908.8199996948</v>
      </c>
      <c r="F7" s="27">
        <v>4220578.6800000668</v>
      </c>
      <c r="G7" s="27">
        <v>3937960.0700001717</v>
      </c>
      <c r="H7" s="27">
        <v>3946011.4900003672</v>
      </c>
      <c r="I7" s="27">
        <v>3941510.7200003862</v>
      </c>
      <c r="J7" s="27">
        <v>4230479.3499999996</v>
      </c>
      <c r="K7" s="27">
        <v>1047896.0999999999</v>
      </c>
      <c r="L7" s="27">
        <v>969627.18</v>
      </c>
      <c r="M7" s="27">
        <v>969341.73</v>
      </c>
      <c r="N7" s="27">
        <v>441957.04</v>
      </c>
      <c r="O7" s="27">
        <v>220978.52</v>
      </c>
      <c r="P7" s="27">
        <v>0</v>
      </c>
      <c r="Q7" s="27">
        <v>0</v>
      </c>
      <c r="R7" s="182">
        <v>0</v>
      </c>
      <c r="S7" s="16"/>
      <c r="T7" s="185">
        <v>31683148.729999989</v>
      </c>
      <c r="U7" s="27">
        <v>31433589.239999998</v>
      </c>
      <c r="V7" s="27">
        <v>5098932.3100000005</v>
      </c>
      <c r="W7" s="27">
        <v>2345343.41</v>
      </c>
      <c r="X7" s="27">
        <v>0</v>
      </c>
      <c r="Y7" s="27">
        <v>0</v>
      </c>
      <c r="Z7" s="27"/>
      <c r="AA7" s="27">
        <v>3635158.25</v>
      </c>
      <c r="AB7" s="27">
        <v>4230479.3499999996</v>
      </c>
      <c r="AC7" s="27">
        <v>1047896.0999999999</v>
      </c>
      <c r="AD7" s="27">
        <v>0</v>
      </c>
      <c r="AE7" s="27">
        <v>748363.21</v>
      </c>
      <c r="AF7" s="27">
        <v>220978.52</v>
      </c>
      <c r="AG7" s="27">
        <v>220978.52</v>
      </c>
      <c r="AH7" s="27">
        <v>0</v>
      </c>
      <c r="AI7" s="27">
        <v>0</v>
      </c>
      <c r="AJ7" s="182">
        <v>0</v>
      </c>
      <c r="AK7" s="16"/>
      <c r="AL7" s="185">
        <f t="shared" ca="1" si="0"/>
        <v>11742088.929999858</v>
      </c>
      <c r="AM7" s="27">
        <f t="shared" ca="1" si="0"/>
        <v>7758120.3899998777</v>
      </c>
      <c r="AN7" s="27">
        <f t="shared" ca="1" si="0"/>
        <v>4489757.9399998803</v>
      </c>
      <c r="AO7" s="27">
        <f t="shared" ca="1" si="0"/>
        <v>4415565.4099996947</v>
      </c>
      <c r="AP7" s="27">
        <f t="shared" ca="1" si="0"/>
        <v>4220578.6800000668</v>
      </c>
      <c r="AQ7" s="27">
        <f t="shared" ca="1" si="0"/>
        <v>3937960.0700001717</v>
      </c>
      <c r="AR7" s="27">
        <f t="shared" ca="1" si="0"/>
        <v>3946011.4900003672</v>
      </c>
      <c r="AS7" s="27">
        <v>572500</v>
      </c>
      <c r="AT7" s="27">
        <f t="shared" ca="1" si="0"/>
        <v>0</v>
      </c>
      <c r="AU7" s="27">
        <f t="shared" ca="1" si="0"/>
        <v>0</v>
      </c>
      <c r="AV7" s="27">
        <f t="shared" ca="1" si="0"/>
        <v>969627.18</v>
      </c>
      <c r="AW7" s="27">
        <f t="shared" ca="1" si="0"/>
        <v>220978.52000000002</v>
      </c>
      <c r="AX7" s="27">
        <f t="shared" ca="1" si="0"/>
        <v>220978.52</v>
      </c>
      <c r="AY7" s="27">
        <f t="shared" ca="1" si="0"/>
        <v>0</v>
      </c>
      <c r="AZ7" s="27">
        <f t="shared" ca="1" si="0"/>
        <v>0</v>
      </c>
      <c r="BA7" s="27">
        <f t="shared" ca="1" si="1"/>
        <v>0</v>
      </c>
      <c r="BB7" s="27">
        <f t="shared" ca="1" si="4"/>
        <v>0</v>
      </c>
      <c r="BC7" s="185">
        <v>2395902.7799999998</v>
      </c>
      <c r="BD7" s="27">
        <v>1007800.0999999999</v>
      </c>
      <c r="BE7" s="27">
        <v>12949</v>
      </c>
      <c r="BF7" s="27">
        <v>224714.69999999995</v>
      </c>
      <c r="BG7" s="27">
        <v>0</v>
      </c>
      <c r="BH7" s="27">
        <v>122499</v>
      </c>
      <c r="BI7" s="27">
        <v>-2</v>
      </c>
      <c r="BJ7" s="27">
        <v>572499</v>
      </c>
      <c r="BK7" s="27">
        <v>287500</v>
      </c>
      <c r="BL7" s="27">
        <v>1708</v>
      </c>
      <c r="BM7" s="27">
        <v>18364</v>
      </c>
      <c r="BN7" s="27">
        <v>-1</v>
      </c>
      <c r="BO7" s="27">
        <v>0</v>
      </c>
      <c r="BP7" s="27">
        <v>0</v>
      </c>
      <c r="BQ7" s="27">
        <v>0</v>
      </c>
      <c r="BR7" s="27">
        <v>0</v>
      </c>
      <c r="BS7" s="28">
        <v>0</v>
      </c>
      <c r="BU7" s="183">
        <f t="shared" ca="1" si="2"/>
        <v>20.404399883897224</v>
      </c>
      <c r="BV7" s="184">
        <f t="shared" ca="1" si="2"/>
        <v>12.990261162987904</v>
      </c>
      <c r="BW7" s="184">
        <f t="shared" ca="1" si="2"/>
        <v>0.28841198507909638</v>
      </c>
      <c r="BX7" s="184">
        <f t="shared" ca="1" si="2"/>
        <v>5.0891489341568938</v>
      </c>
      <c r="BY7" s="184">
        <f t="shared" ca="1" si="2"/>
        <v>0</v>
      </c>
      <c r="BZ7" s="184">
        <f t="shared" ca="1" si="2"/>
        <v>3.1107222476228578</v>
      </c>
      <c r="CA7" s="184">
        <f t="shared" ca="1" si="2"/>
        <v>-5.0684089619815425E-5</v>
      </c>
      <c r="CB7" s="184">
        <f t="shared" ca="1" si="2"/>
        <v>99.999825327510919</v>
      </c>
      <c r="CC7" s="184">
        <f t="shared" ca="1" si="2"/>
        <v>0</v>
      </c>
      <c r="CD7" s="184">
        <f t="shared" ca="1" si="2"/>
        <v>0</v>
      </c>
      <c r="CE7" s="184">
        <f t="shared" ca="1" si="2"/>
        <v>1.8939238068800834</v>
      </c>
      <c r="CF7" s="184">
        <f t="shared" ca="1" si="2"/>
        <v>-4.5253267150128438E-4</v>
      </c>
      <c r="CG7" s="184">
        <f t="shared" ca="1" si="2"/>
        <v>0</v>
      </c>
      <c r="CH7" s="184">
        <f t="shared" ca="1" si="2"/>
        <v>0</v>
      </c>
      <c r="CI7" s="184">
        <f t="shared" ca="1" si="2"/>
        <v>0</v>
      </c>
      <c r="CJ7" s="184">
        <f t="shared" ca="1" si="3"/>
        <v>0</v>
      </c>
      <c r="CK7" s="184">
        <f t="shared" ca="1" si="5"/>
        <v>0</v>
      </c>
    </row>
    <row r="8" spans="1:89" x14ac:dyDescent="0.25">
      <c r="A8" s="179" t="s">
        <v>136</v>
      </c>
      <c r="B8" s="185">
        <v>39683774.580000997</v>
      </c>
      <c r="C8" s="27">
        <v>39872943.050001025</v>
      </c>
      <c r="D8" s="27">
        <v>26730829.250000596</v>
      </c>
      <c r="E8" s="27">
        <v>23105582.959999919</v>
      </c>
      <c r="F8" s="27">
        <v>19326697.900001049</v>
      </c>
      <c r="G8" s="27">
        <v>18052776.040000319</v>
      </c>
      <c r="H8" s="27">
        <v>17662558.299999714</v>
      </c>
      <c r="I8" s="27">
        <v>16641927.88999939</v>
      </c>
      <c r="J8" s="27">
        <v>15763223.189999994</v>
      </c>
      <c r="K8" s="27">
        <v>2236092.6299999985</v>
      </c>
      <c r="L8" s="27">
        <v>1394877.01</v>
      </c>
      <c r="M8" s="27">
        <v>1394877.01</v>
      </c>
      <c r="N8" s="27">
        <v>2789754.02</v>
      </c>
      <c r="O8" s="27">
        <v>1232737.9400000002</v>
      </c>
      <c r="P8" s="27">
        <v>1102957.97</v>
      </c>
      <c r="Q8" s="27">
        <v>1102957.97</v>
      </c>
      <c r="R8" s="182">
        <v>1102957.97</v>
      </c>
      <c r="S8" s="16"/>
      <c r="T8" s="185">
        <v>129779.94</v>
      </c>
      <c r="U8" s="27">
        <v>15691780.640000001</v>
      </c>
      <c r="V8" s="27">
        <v>5346585.2599999988</v>
      </c>
      <c r="W8" s="27">
        <v>2722709.1999999993</v>
      </c>
      <c r="X8" s="27">
        <v>0</v>
      </c>
      <c r="Y8" s="27">
        <v>162139.07</v>
      </c>
      <c r="Z8" s="27">
        <v>291919.04000000004</v>
      </c>
      <c r="AA8" s="27">
        <v>14853924.239999996</v>
      </c>
      <c r="AB8" s="27">
        <v>15763223.189999994</v>
      </c>
      <c r="AC8" s="27">
        <v>2236092.6299999985</v>
      </c>
      <c r="AD8" s="27">
        <v>0</v>
      </c>
      <c r="AE8" s="27">
        <v>162139.07</v>
      </c>
      <c r="AF8" s="27">
        <v>1070598.8700000001</v>
      </c>
      <c r="AG8" s="27">
        <v>908459.8</v>
      </c>
      <c r="AH8" s="27">
        <v>0</v>
      </c>
      <c r="AI8" s="27">
        <v>0</v>
      </c>
      <c r="AJ8" s="182">
        <v>0</v>
      </c>
      <c r="AK8" s="16"/>
      <c r="AL8" s="185">
        <f t="shared" ca="1" si="0"/>
        <v>39553994.640000999</v>
      </c>
      <c r="AM8" s="27">
        <f t="shared" ca="1" si="0"/>
        <v>24181162.410001025</v>
      </c>
      <c r="AN8" s="27">
        <f t="shared" ca="1" si="0"/>
        <v>21384243.990000598</v>
      </c>
      <c r="AO8" s="27">
        <f t="shared" ca="1" si="0"/>
        <v>20382873.75999992</v>
      </c>
      <c r="AP8" s="27">
        <f t="shared" ca="1" si="0"/>
        <v>19326697.900001049</v>
      </c>
      <c r="AQ8" s="27">
        <f t="shared" ca="1" si="0"/>
        <v>17890636.970000319</v>
      </c>
      <c r="AR8" s="27">
        <f t="shared" ca="1" si="0"/>
        <v>17370639.259999715</v>
      </c>
      <c r="AS8" s="27">
        <f ca="1">I8-AA8</f>
        <v>1788003.6499993932</v>
      </c>
      <c r="AT8" s="27">
        <f t="shared" ca="1" si="0"/>
        <v>0</v>
      </c>
      <c r="AU8" s="27">
        <f t="shared" ca="1" si="0"/>
        <v>0</v>
      </c>
      <c r="AV8" s="27">
        <f t="shared" ca="1" si="0"/>
        <v>1394877.01</v>
      </c>
      <c r="AW8" s="27">
        <f t="shared" ca="1" si="0"/>
        <v>1232737.94</v>
      </c>
      <c r="AX8" s="27">
        <f t="shared" ca="1" si="0"/>
        <v>1719155.15</v>
      </c>
      <c r="AY8" s="27">
        <f t="shared" ca="1" si="0"/>
        <v>324278.14000000013</v>
      </c>
      <c r="AZ8" s="27">
        <f t="shared" ca="1" si="0"/>
        <v>1102957.97</v>
      </c>
      <c r="BA8" s="27">
        <f t="shared" ca="1" si="1"/>
        <v>1102957.97</v>
      </c>
      <c r="BB8" s="27">
        <f t="shared" ca="1" si="4"/>
        <v>1102957.97</v>
      </c>
      <c r="BC8" s="185">
        <v>906816.98000000045</v>
      </c>
      <c r="BD8" s="27">
        <v>263069.41000000015</v>
      </c>
      <c r="BE8" s="27">
        <v>889726.28</v>
      </c>
      <c r="BF8" s="27">
        <v>1078661.120000001</v>
      </c>
      <c r="BG8" s="27">
        <v>1073235.95</v>
      </c>
      <c r="BH8" s="27">
        <v>730199.73</v>
      </c>
      <c r="BI8" s="27">
        <v>783566.15999999992</v>
      </c>
      <c r="BJ8" s="27">
        <v>78541.15000000014</v>
      </c>
      <c r="BK8" s="27">
        <v>-1.9700000006705523</v>
      </c>
      <c r="BL8" s="27">
        <v>-1</v>
      </c>
      <c r="BM8" s="27">
        <v>0</v>
      </c>
      <c r="BN8" s="27">
        <v>0</v>
      </c>
      <c r="BO8" s="27">
        <v>0</v>
      </c>
      <c r="BP8" s="27">
        <v>0</v>
      </c>
      <c r="BQ8" s="27">
        <v>0</v>
      </c>
      <c r="BR8" s="27">
        <v>0</v>
      </c>
      <c r="BS8" s="28">
        <v>0</v>
      </c>
      <c r="BU8" s="183">
        <f t="shared" ca="1" si="2"/>
        <v>2.2926053063751377</v>
      </c>
      <c r="BV8" s="184">
        <f t="shared" ca="1" si="2"/>
        <v>1.0879105211716289</v>
      </c>
      <c r="BW8" s="184">
        <f t="shared" ca="1" si="2"/>
        <v>4.1606627777724636</v>
      </c>
      <c r="BX8" s="184">
        <f t="shared" ca="1" si="2"/>
        <v>5.2919972556411752</v>
      </c>
      <c r="BY8" s="184">
        <f t="shared" ca="1" si="2"/>
        <v>5.553126331011474</v>
      </c>
      <c r="BZ8" s="184">
        <f t="shared" ca="1" si="2"/>
        <v>4.08146300897182</v>
      </c>
      <c r="CA8" s="184">
        <f t="shared" ca="1" si="2"/>
        <v>4.5108654222320927</v>
      </c>
      <c r="CB8" s="184">
        <f t="shared" ca="1" si="2"/>
        <v>4.3926728001940489</v>
      </c>
      <c r="CC8" s="184">
        <f t="shared" ca="1" si="2"/>
        <v>0</v>
      </c>
      <c r="CD8" s="184">
        <f t="shared" ca="1" si="2"/>
        <v>0</v>
      </c>
      <c r="CE8" s="184">
        <f t="shared" ca="1" si="2"/>
        <v>0</v>
      </c>
      <c r="CF8" s="184">
        <f t="shared" ca="1" si="2"/>
        <v>0</v>
      </c>
      <c r="CG8" s="184">
        <f t="shared" ca="1" si="2"/>
        <v>0</v>
      </c>
      <c r="CH8" s="184">
        <f t="shared" ca="1" si="2"/>
        <v>0</v>
      </c>
      <c r="CI8" s="184">
        <f t="shared" ca="1" si="2"/>
        <v>0</v>
      </c>
      <c r="CJ8" s="184">
        <f t="shared" ca="1" si="3"/>
        <v>0</v>
      </c>
      <c r="CK8" s="184">
        <f t="shared" ca="1" si="5"/>
        <v>0</v>
      </c>
    </row>
    <row r="9" spans="1:89" x14ac:dyDescent="0.25">
      <c r="A9" s="179" t="s">
        <v>137</v>
      </c>
      <c r="B9" s="185">
        <v>2500637.4599999189</v>
      </c>
      <c r="C9" s="27">
        <v>2499731.4599999189</v>
      </c>
      <c r="D9" s="27">
        <v>2500995.6800001264</v>
      </c>
      <c r="E9" s="27">
        <v>2500995.6800000668</v>
      </c>
      <c r="F9" s="27">
        <v>2500994.6800000072</v>
      </c>
      <c r="G9" s="27"/>
      <c r="H9" s="27"/>
      <c r="I9" s="27"/>
      <c r="J9" s="27"/>
      <c r="K9" s="27"/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182">
        <v>0</v>
      </c>
      <c r="S9" s="16"/>
      <c r="T9" s="185"/>
      <c r="U9" s="27"/>
      <c r="V9" s="27">
        <v>0</v>
      </c>
      <c r="W9" s="27">
        <v>2500995.6800000668</v>
      </c>
      <c r="X9" s="27">
        <v>2500994.6800000072</v>
      </c>
      <c r="Y9" s="27"/>
      <c r="Z9" s="27"/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182">
        <v>0</v>
      </c>
      <c r="AK9" s="16"/>
      <c r="AL9" s="185">
        <f t="shared" ca="1" si="0"/>
        <v>2500637.4599999189</v>
      </c>
      <c r="AM9" s="27">
        <f t="shared" ca="1" si="0"/>
        <v>2499731.4599999189</v>
      </c>
      <c r="AN9" s="27">
        <f t="shared" ca="1" si="0"/>
        <v>2500995.6800001264</v>
      </c>
      <c r="AO9" s="27">
        <f t="shared" ca="1" si="0"/>
        <v>0</v>
      </c>
      <c r="AP9" s="27">
        <f t="shared" ca="1" si="0"/>
        <v>0</v>
      </c>
      <c r="AQ9" s="27">
        <f t="shared" ca="1" si="0"/>
        <v>0</v>
      </c>
      <c r="AR9" s="27">
        <f t="shared" ca="1" si="0"/>
        <v>0</v>
      </c>
      <c r="AS9" s="27">
        <f ca="1">I9-AA9</f>
        <v>0</v>
      </c>
      <c r="AT9" s="27">
        <f t="shared" ca="1" si="0"/>
        <v>0</v>
      </c>
      <c r="AU9" s="27">
        <f t="shared" ca="1" si="0"/>
        <v>0</v>
      </c>
      <c r="AV9" s="27">
        <f t="shared" ca="1" si="0"/>
        <v>0</v>
      </c>
      <c r="AW9" s="27">
        <f t="shared" ca="1" si="0"/>
        <v>0</v>
      </c>
      <c r="AX9" s="27">
        <f t="shared" ca="1" si="0"/>
        <v>0</v>
      </c>
      <c r="AY9" s="27">
        <f t="shared" ca="1" si="0"/>
        <v>0</v>
      </c>
      <c r="AZ9" s="27">
        <f t="shared" ca="1" si="0"/>
        <v>0</v>
      </c>
      <c r="BA9" s="27">
        <f t="shared" ca="1" si="1"/>
        <v>0</v>
      </c>
      <c r="BB9" s="27">
        <f t="shared" ca="1" si="4"/>
        <v>0</v>
      </c>
      <c r="BC9" s="185">
        <v>-1</v>
      </c>
      <c r="BD9" s="27">
        <v>0</v>
      </c>
      <c r="BE9" s="27">
        <v>0</v>
      </c>
      <c r="BF9" s="27">
        <v>0</v>
      </c>
      <c r="BG9" s="27">
        <v>0</v>
      </c>
      <c r="BH9" s="27">
        <v>0</v>
      </c>
      <c r="BI9" s="27">
        <v>0</v>
      </c>
      <c r="BJ9" s="27">
        <v>0</v>
      </c>
      <c r="BK9" s="27">
        <v>0</v>
      </c>
      <c r="BL9" s="27">
        <v>0</v>
      </c>
      <c r="BM9" s="27">
        <v>0</v>
      </c>
      <c r="BN9" s="27">
        <v>-1</v>
      </c>
      <c r="BO9" s="27">
        <v>0</v>
      </c>
      <c r="BP9" s="27">
        <v>0</v>
      </c>
      <c r="BQ9" s="27">
        <v>0</v>
      </c>
      <c r="BR9" s="27">
        <v>0</v>
      </c>
      <c r="BS9" s="28">
        <v>-1</v>
      </c>
      <c r="BU9" s="183">
        <f t="shared" ca="1" si="2"/>
        <v>-3.9989803240011945E-5</v>
      </c>
      <c r="BV9" s="184">
        <f t="shared" ca="1" si="2"/>
        <v>0</v>
      </c>
      <c r="BW9" s="184">
        <f t="shared" ca="1" si="2"/>
        <v>0</v>
      </c>
      <c r="BX9" s="184">
        <f t="shared" ca="1" si="2"/>
        <v>0</v>
      </c>
      <c r="BY9" s="184">
        <f t="shared" ca="1" si="2"/>
        <v>0</v>
      </c>
      <c r="BZ9" s="184">
        <f t="shared" ca="1" si="2"/>
        <v>0</v>
      </c>
      <c r="CA9" s="184">
        <f t="shared" ca="1" si="2"/>
        <v>0</v>
      </c>
      <c r="CB9" s="184">
        <f t="shared" ca="1" si="2"/>
        <v>0</v>
      </c>
      <c r="CC9" s="184">
        <f t="shared" ca="1" si="2"/>
        <v>0</v>
      </c>
      <c r="CD9" s="184">
        <f t="shared" ca="1" si="2"/>
        <v>0</v>
      </c>
      <c r="CE9" s="184">
        <f t="shared" ca="1" si="2"/>
        <v>0</v>
      </c>
      <c r="CF9" s="184">
        <f t="shared" ca="1" si="2"/>
        <v>0</v>
      </c>
      <c r="CG9" s="184">
        <f t="shared" ca="1" si="2"/>
        <v>0</v>
      </c>
      <c r="CH9" s="184">
        <f t="shared" ca="1" si="2"/>
        <v>0</v>
      </c>
      <c r="CI9" s="184">
        <f t="shared" ca="1" si="2"/>
        <v>0</v>
      </c>
      <c r="CJ9" s="184">
        <f t="shared" ca="1" si="3"/>
        <v>0</v>
      </c>
      <c r="CK9" s="184">
        <f t="shared" ca="1" si="5"/>
        <v>0</v>
      </c>
    </row>
    <row r="10" spans="1:89" x14ac:dyDescent="0.25">
      <c r="A10" s="179" t="s">
        <v>138</v>
      </c>
      <c r="B10" s="185">
        <v>262695335.78000104</v>
      </c>
      <c r="C10" s="27">
        <v>257725260.15000093</v>
      </c>
      <c r="D10" s="27">
        <v>247999309.700001</v>
      </c>
      <c r="E10" s="27">
        <v>231116938.16000152</v>
      </c>
      <c r="F10" s="27">
        <v>229515865.10000193</v>
      </c>
      <c r="G10" s="27">
        <v>173359050.22999763</v>
      </c>
      <c r="H10" s="27">
        <v>152575049.72999978</v>
      </c>
      <c r="I10" s="27">
        <v>146134438.67000055</v>
      </c>
      <c r="J10" s="27">
        <v>138626173.5200001</v>
      </c>
      <c r="K10" s="27">
        <v>144976225.46999931</v>
      </c>
      <c r="L10" s="27">
        <v>130998799.34999955</v>
      </c>
      <c r="M10" s="27">
        <v>96020322.110003829</v>
      </c>
      <c r="N10" s="27">
        <v>83972887.440004468</v>
      </c>
      <c r="O10" s="27">
        <v>83246450.740003824</v>
      </c>
      <c r="P10" s="27">
        <v>79774033.950003862</v>
      </c>
      <c r="Q10" s="27">
        <v>74435505.020003915</v>
      </c>
      <c r="R10" s="182">
        <v>67445510.160003901</v>
      </c>
      <c r="S10" s="16"/>
      <c r="T10" s="185">
        <v>7238597.299999998</v>
      </c>
      <c r="U10" s="27">
        <v>12902486.330000004</v>
      </c>
      <c r="V10" s="27">
        <v>9947701.9499999974</v>
      </c>
      <c r="W10" s="27">
        <v>52163440.150000021</v>
      </c>
      <c r="X10" s="27">
        <v>57744701.88000001</v>
      </c>
      <c r="Y10" s="27">
        <v>15555556.929999998</v>
      </c>
      <c r="Z10" s="27">
        <v>409576.91000000015</v>
      </c>
      <c r="AA10" s="27">
        <v>224071.48000000019</v>
      </c>
      <c r="AB10" s="27">
        <v>0</v>
      </c>
      <c r="AC10" s="27">
        <v>38778401.659999974</v>
      </c>
      <c r="AD10" s="27">
        <v>42818894.449999981</v>
      </c>
      <c r="AE10" s="27">
        <v>9060438.0299999993</v>
      </c>
      <c r="AF10" s="27">
        <v>185504.95</v>
      </c>
      <c r="AG10" s="27">
        <v>184998.95</v>
      </c>
      <c r="AH10" s="27">
        <v>0</v>
      </c>
      <c r="AI10" s="27">
        <v>34849741.789999977</v>
      </c>
      <c r="AJ10" s="182">
        <v>29159403.79999999</v>
      </c>
      <c r="AK10" s="16"/>
      <c r="AL10" s="185">
        <f t="shared" ca="1" si="0"/>
        <v>255456738.48000103</v>
      </c>
      <c r="AM10" s="27">
        <f t="shared" ca="1" si="0"/>
        <v>244822773.82000092</v>
      </c>
      <c r="AN10" s="27">
        <f t="shared" ca="1" si="0"/>
        <v>238051607.75000101</v>
      </c>
      <c r="AO10" s="27">
        <f t="shared" ca="1" si="0"/>
        <v>178953498.01000148</v>
      </c>
      <c r="AP10" s="27">
        <f t="shared" ca="1" si="0"/>
        <v>171771163.22000194</v>
      </c>
      <c r="AQ10" s="27">
        <f t="shared" ca="1" si="0"/>
        <v>157803493.29999763</v>
      </c>
      <c r="AR10" s="27">
        <f t="shared" ca="1" si="0"/>
        <v>152165472.81999978</v>
      </c>
      <c r="AS10" s="27">
        <f ca="1">I10-AA10</f>
        <v>145910367.19000056</v>
      </c>
      <c r="AT10" s="27">
        <f t="shared" ca="1" si="0"/>
        <v>138626173.5200001</v>
      </c>
      <c r="AU10" s="27">
        <f t="shared" ca="1" si="0"/>
        <v>106197823.80999935</v>
      </c>
      <c r="AV10" s="27">
        <f t="shared" ca="1" si="0"/>
        <v>88179904.899999559</v>
      </c>
      <c r="AW10" s="27">
        <f t="shared" ca="1" si="0"/>
        <v>86959884.080003828</v>
      </c>
      <c r="AX10" s="27">
        <f t="shared" ca="1" si="0"/>
        <v>83787382.490004465</v>
      </c>
      <c r="AY10" s="27">
        <f t="shared" ca="1" si="0"/>
        <v>83061451.790003821</v>
      </c>
      <c r="AZ10" s="27">
        <f t="shared" ca="1" si="0"/>
        <v>79774033.950003862</v>
      </c>
      <c r="BA10" s="27">
        <f t="shared" ca="1" si="1"/>
        <v>38286106.360003911</v>
      </c>
      <c r="BB10" s="27">
        <f t="shared" ca="1" si="4"/>
        <v>38286106.360003911</v>
      </c>
      <c r="BC10" s="185">
        <v>3891734.02</v>
      </c>
      <c r="BD10" s="27">
        <v>4278084.9099999992</v>
      </c>
      <c r="BE10" s="27">
        <v>9582598.6600000001</v>
      </c>
      <c r="BF10" s="27">
        <v>7815684.450000003</v>
      </c>
      <c r="BG10" s="27">
        <v>13071579.880000003</v>
      </c>
      <c r="BH10" s="27">
        <v>6244801.9400000004</v>
      </c>
      <c r="BI10" s="27">
        <v>6840731.8799999999</v>
      </c>
      <c r="BJ10" s="27">
        <v>5809504.79</v>
      </c>
      <c r="BK10" s="27">
        <v>8454631.5999999996</v>
      </c>
      <c r="BL10" s="27">
        <v>8573788.0199999996</v>
      </c>
      <c r="BM10" s="27">
        <v>2777639.7700000014</v>
      </c>
      <c r="BN10" s="27">
        <v>3027184.5</v>
      </c>
      <c r="BO10" s="27">
        <v>1937224.1600000008</v>
      </c>
      <c r="BP10" s="27">
        <v>4189948.17</v>
      </c>
      <c r="BQ10" s="27">
        <v>3364640.6400000006</v>
      </c>
      <c r="BR10" s="27">
        <v>1615862.580000001</v>
      </c>
      <c r="BS10" s="28">
        <v>98225.910000000848</v>
      </c>
      <c r="BU10" s="183">
        <f t="shared" ca="1" si="2"/>
        <v>1.5234415201400813</v>
      </c>
      <c r="BV10" s="184">
        <f t="shared" ca="1" si="2"/>
        <v>1.7474211419340184</v>
      </c>
      <c r="BW10" s="184">
        <f t="shared" ca="1" si="2"/>
        <v>4.025429086815298</v>
      </c>
      <c r="BX10" s="184">
        <f t="shared" ca="1" si="2"/>
        <v>4.3674387686812324</v>
      </c>
      <c r="BY10" s="184">
        <f t="shared" ca="1" si="2"/>
        <v>7.609880281976154</v>
      </c>
      <c r="BZ10" s="184">
        <f t="shared" ca="1" si="2"/>
        <v>3.9573280726606668</v>
      </c>
      <c r="CA10" s="184">
        <f t="shared" ca="1" si="2"/>
        <v>4.4955874372973339</v>
      </c>
      <c r="CB10" s="184">
        <f t="shared" ca="1" si="2"/>
        <v>3.9815572408470596</v>
      </c>
      <c r="CC10" s="184">
        <f t="shared" ca="1" si="2"/>
        <v>6.0988710755838751</v>
      </c>
      <c r="CD10" s="184">
        <f t="shared" ca="1" si="2"/>
        <v>8.0734121589341949</v>
      </c>
      <c r="CE10" s="184">
        <f t="shared" ca="1" si="2"/>
        <v>3.1499691150154727</v>
      </c>
      <c r="CF10" s="184">
        <f t="shared" ca="1" si="2"/>
        <v>3.4811275705185678</v>
      </c>
      <c r="CG10" s="184">
        <f t="shared" ca="1" si="2"/>
        <v>2.3120714628256884</v>
      </c>
      <c r="CH10" s="184">
        <f t="shared" ca="1" si="2"/>
        <v>5.0443955405367076</v>
      </c>
      <c r="CI10" s="184">
        <f t="shared" ca="1" si="2"/>
        <v>4.2177140523051584</v>
      </c>
      <c r="CJ10" s="184">
        <f t="shared" ca="1" si="3"/>
        <v>4.2177140523051584</v>
      </c>
      <c r="CK10" s="184">
        <f t="shared" ca="1" si="5"/>
        <v>0.25655758534540835</v>
      </c>
    </row>
    <row r="11" spans="1:89" x14ac:dyDescent="0.25">
      <c r="A11" s="179" t="s">
        <v>139</v>
      </c>
      <c r="B11" s="187">
        <v>1240694586.0399783</v>
      </c>
      <c r="C11" s="188">
        <v>1230665080.5399783</v>
      </c>
      <c r="D11" s="188">
        <v>1215404326.5700109</v>
      </c>
      <c r="E11" s="188">
        <v>1183834489.770005</v>
      </c>
      <c r="F11" s="188">
        <v>1135268980.0800059</v>
      </c>
      <c r="G11" s="188">
        <v>921771553.83000112</v>
      </c>
      <c r="H11" s="188">
        <v>907784161.46999907</v>
      </c>
      <c r="I11" s="188">
        <v>873365308.92999959</v>
      </c>
      <c r="J11" s="188">
        <v>846504166.53000629</v>
      </c>
      <c r="K11" s="188">
        <v>826227405.15999985</v>
      </c>
      <c r="L11" s="188">
        <v>633066369.41999853</v>
      </c>
      <c r="M11" s="188">
        <v>612024510.50999629</v>
      </c>
      <c r="N11" s="188">
        <v>592961226.4699955</v>
      </c>
      <c r="O11" s="188">
        <v>574436792.81349659</v>
      </c>
      <c r="P11" s="188">
        <v>551729709.75349617</v>
      </c>
      <c r="Q11" s="188">
        <v>531341803.11349618</v>
      </c>
      <c r="R11" s="182">
        <v>495604540.55349636</v>
      </c>
      <c r="S11" s="16"/>
      <c r="T11" s="187">
        <v>6549702.9500000002</v>
      </c>
      <c r="U11" s="188">
        <v>18944911.43</v>
      </c>
      <c r="V11" s="188">
        <v>56378939.690000013</v>
      </c>
      <c r="W11" s="188">
        <v>39401659.290000014</v>
      </c>
      <c r="X11" s="188">
        <v>205093420.46999994</v>
      </c>
      <c r="Y11" s="188">
        <v>1654086.8099999998</v>
      </c>
      <c r="Z11" s="188"/>
      <c r="AA11" s="188">
        <v>0</v>
      </c>
      <c r="AB11" s="188">
        <v>0</v>
      </c>
      <c r="AC11" s="188">
        <v>176749209.84</v>
      </c>
      <c r="AD11" s="188">
        <v>248005.83999999997</v>
      </c>
      <c r="AE11" s="188">
        <v>0</v>
      </c>
      <c r="AF11" s="188">
        <v>0</v>
      </c>
      <c r="AG11" s="188">
        <v>0</v>
      </c>
      <c r="AH11" s="188">
        <v>0</v>
      </c>
      <c r="AI11" s="188">
        <v>155589011.53</v>
      </c>
      <c r="AJ11" s="182">
        <v>127920304.16</v>
      </c>
      <c r="AK11" s="16"/>
      <c r="AL11" s="187">
        <f t="shared" ca="1" si="0"/>
        <v>1234144883.0899782</v>
      </c>
      <c r="AM11" s="188">
        <f t="shared" ca="1" si="0"/>
        <v>1211720169.1099782</v>
      </c>
      <c r="AN11" s="188">
        <f t="shared" ca="1" si="0"/>
        <v>1159025386.8800108</v>
      </c>
      <c r="AO11" s="188">
        <f t="shared" ca="1" si="0"/>
        <v>1144432830.480005</v>
      </c>
      <c r="AP11" s="188">
        <f t="shared" ca="1" si="0"/>
        <v>930175559.61000597</v>
      </c>
      <c r="AQ11" s="188">
        <f t="shared" ca="1" si="0"/>
        <v>920117467.02000117</v>
      </c>
      <c r="AR11" s="188">
        <f t="shared" ca="1" si="0"/>
        <v>907784161.46999907</v>
      </c>
      <c r="AS11" s="188">
        <f ca="1">I11-AA11</f>
        <v>873365308.92999959</v>
      </c>
      <c r="AT11" s="188">
        <f t="shared" ca="1" si="0"/>
        <v>846504166.53000629</v>
      </c>
      <c r="AU11" s="188">
        <f t="shared" ca="1" si="0"/>
        <v>649478195.31999981</v>
      </c>
      <c r="AV11" s="188">
        <f t="shared" ca="1" si="0"/>
        <v>632818363.57999849</v>
      </c>
      <c r="AW11" s="188">
        <f t="shared" ca="1" si="0"/>
        <v>612024510.50999629</v>
      </c>
      <c r="AX11" s="188">
        <f t="shared" ca="1" si="0"/>
        <v>592961226.4699955</v>
      </c>
      <c r="AY11" s="188">
        <f t="shared" ca="1" si="0"/>
        <v>574436792.81349659</v>
      </c>
      <c r="AZ11" s="188">
        <f t="shared" ca="1" si="0"/>
        <v>551729709.75349617</v>
      </c>
      <c r="BA11" s="188">
        <f t="shared" ca="1" si="1"/>
        <v>367684236.39349639</v>
      </c>
      <c r="BB11" s="188">
        <f t="shared" ca="1" si="4"/>
        <v>367684236.39349639</v>
      </c>
      <c r="BC11" s="187">
        <v>9731640.7300000004</v>
      </c>
      <c r="BD11" s="188">
        <v>11530343.6</v>
      </c>
      <c r="BE11" s="188">
        <v>9401222.0999999996</v>
      </c>
      <c r="BF11" s="188">
        <v>6701448.8300000001</v>
      </c>
      <c r="BG11" s="188">
        <v>11518431.890000001</v>
      </c>
      <c r="BH11" s="188">
        <v>12879529.410000002</v>
      </c>
      <c r="BI11" s="188">
        <v>33173740.169999994</v>
      </c>
      <c r="BJ11" s="188">
        <v>29753431.82</v>
      </c>
      <c r="BK11" s="188">
        <v>20209790.089999996</v>
      </c>
      <c r="BL11" s="188">
        <v>21646120.459999997</v>
      </c>
      <c r="BM11" s="188">
        <v>25987111.29999999</v>
      </c>
      <c r="BN11" s="188">
        <v>16996589.760000002</v>
      </c>
      <c r="BO11" s="188">
        <v>18155671.230000004</v>
      </c>
      <c r="BP11" s="188">
        <v>21424699.740000002</v>
      </c>
      <c r="BQ11" s="188">
        <v>18635581.710000001</v>
      </c>
      <c r="BR11" s="188">
        <v>10027763.780000005</v>
      </c>
      <c r="BS11" s="189">
        <v>1316929.3300000031</v>
      </c>
      <c r="BU11" s="183">
        <f t="shared" ca="1" si="2"/>
        <v>0.78853308581035475</v>
      </c>
      <c r="BV11" s="184">
        <f t="shared" ca="1" si="2"/>
        <v>0.95156818330994386</v>
      </c>
      <c r="BW11" s="184">
        <f t="shared" ca="1" si="2"/>
        <v>0.81113168067070729</v>
      </c>
      <c r="BX11" s="184">
        <f t="shared" ca="1" si="2"/>
        <v>0.58556943243136761</v>
      </c>
      <c r="BY11" s="184">
        <f t="shared" ca="1" si="2"/>
        <v>1.2383073034975596</v>
      </c>
      <c r="BZ11" s="184">
        <f t="shared" ca="1" si="2"/>
        <v>1.3997701241030815</v>
      </c>
      <c r="CA11" s="184">
        <f t="shared" ca="1" si="2"/>
        <v>3.6543642837170536</v>
      </c>
      <c r="CB11" s="184">
        <f t="shared" ca="1" si="2"/>
        <v>3.4067567735719102</v>
      </c>
      <c r="CC11" s="184">
        <f t="shared" ca="1" si="2"/>
        <v>2.3874413014225384</v>
      </c>
      <c r="CD11" s="184">
        <f t="shared" ca="1" si="2"/>
        <v>3.3328479102111954</v>
      </c>
      <c r="CE11" s="184">
        <f t="shared" ca="1" si="2"/>
        <v>4.1065671914109672</v>
      </c>
      <c r="CF11" s="184">
        <f t="shared" ca="1" si="2"/>
        <v>2.777109326199509</v>
      </c>
      <c r="CG11" s="184">
        <f t="shared" ca="1" si="2"/>
        <v>3.0618648268258566</v>
      </c>
      <c r="CH11" s="184">
        <f t="shared" ca="1" si="2"/>
        <v>3.7296879322554113</v>
      </c>
      <c r="CI11" s="184">
        <f t="shared" ca="1" si="2"/>
        <v>3.3776650741403929</v>
      </c>
      <c r="CJ11" s="184">
        <f t="shared" ca="1" si="3"/>
        <v>3.3776650741403929</v>
      </c>
      <c r="CK11" s="184">
        <f t="shared" ca="1" si="5"/>
        <v>0.35816855868431158</v>
      </c>
    </row>
    <row r="12" spans="1:89" ht="15.75" thickBot="1" x14ac:dyDescent="0.3">
      <c r="A12" s="190" t="s">
        <v>140</v>
      </c>
      <c r="B12" s="187">
        <v>741359816.49000263</v>
      </c>
      <c r="C12" s="188">
        <v>788398965.0400027</v>
      </c>
      <c r="D12" s="188">
        <v>92177862.969999552</v>
      </c>
      <c r="E12" s="188">
        <v>125255505.47999096</v>
      </c>
      <c r="F12" s="188">
        <v>172144909.3000021</v>
      </c>
      <c r="G12" s="188">
        <v>172145461.24000168</v>
      </c>
      <c r="H12" s="188">
        <v>162144570.38000035</v>
      </c>
      <c r="I12" s="188">
        <v>162050322.94000006</v>
      </c>
      <c r="J12" s="188">
        <v>151047907.29999232</v>
      </c>
      <c r="K12" s="188">
        <v>102930600.0999999</v>
      </c>
      <c r="L12" s="188">
        <v>75309866.899990559</v>
      </c>
      <c r="M12" s="188">
        <v>75309866.179998159</v>
      </c>
      <c r="N12" s="188">
        <v>34952895.549996376</v>
      </c>
      <c r="O12" s="188">
        <v>34952895.549995184</v>
      </c>
      <c r="P12" s="188">
        <v>34952895.029994965</v>
      </c>
      <c r="Q12" s="188">
        <v>0</v>
      </c>
      <c r="R12" s="182">
        <v>0</v>
      </c>
      <c r="S12" s="16"/>
      <c r="T12" s="187">
        <v>623242229.05999994</v>
      </c>
      <c r="U12" s="188">
        <v>636220522.46999991</v>
      </c>
      <c r="V12" s="188">
        <v>0</v>
      </c>
      <c r="W12" s="188">
        <v>0</v>
      </c>
      <c r="X12" s="188">
        <v>21002413.699999999</v>
      </c>
      <c r="Y12" s="188">
        <v>21002413.699999999</v>
      </c>
      <c r="Z12" s="188">
        <v>11002413.699999999</v>
      </c>
      <c r="AA12" s="188">
        <v>59119720.859999999</v>
      </c>
      <c r="AB12" s="188">
        <v>83070203.840000004</v>
      </c>
      <c r="AC12" s="188">
        <v>34952896.68</v>
      </c>
      <c r="AD12" s="188">
        <v>23843959.100000001</v>
      </c>
      <c r="AE12" s="188">
        <v>23843959.100000001</v>
      </c>
      <c r="AF12" s="188">
        <v>0</v>
      </c>
      <c r="AG12" s="188">
        <v>34952896.68</v>
      </c>
      <c r="AH12" s="188">
        <v>34952896.68</v>
      </c>
      <c r="AI12" s="188">
        <v>0</v>
      </c>
      <c r="AJ12" s="182">
        <v>0</v>
      </c>
      <c r="AK12" s="16"/>
      <c r="AL12" s="187">
        <f t="shared" ca="1" si="0"/>
        <v>118117587.43000269</v>
      </c>
      <c r="AM12" s="188">
        <f t="shared" ca="1" si="0"/>
        <v>152178442.57000279</v>
      </c>
      <c r="AN12" s="188">
        <f t="shared" ca="1" si="0"/>
        <v>92177862.969999552</v>
      </c>
      <c r="AO12" s="188">
        <f t="shared" ca="1" si="0"/>
        <v>125255505.47999096</v>
      </c>
      <c r="AP12" s="188">
        <f t="shared" ca="1" si="0"/>
        <v>151142495.60000211</v>
      </c>
      <c r="AQ12" s="188">
        <f t="shared" ca="1" si="0"/>
        <v>151143047.54000169</v>
      </c>
      <c r="AR12" s="188">
        <f t="shared" ca="1" si="0"/>
        <v>151142156.68000036</v>
      </c>
      <c r="AS12" s="188">
        <f ca="1">I12-AA12</f>
        <v>102930602.08000006</v>
      </c>
      <c r="AT12" s="188">
        <f t="shared" ca="1" si="0"/>
        <v>67977703.459992319</v>
      </c>
      <c r="AU12" s="188">
        <f t="shared" ca="1" si="0"/>
        <v>67977703.419999897</v>
      </c>
      <c r="AV12" s="188">
        <f t="shared" ca="1" si="0"/>
        <v>51465907.799990557</v>
      </c>
      <c r="AW12" s="188">
        <f t="shared" ca="1" si="0"/>
        <v>51465907.079998158</v>
      </c>
      <c r="AX12" s="188">
        <f t="shared" ca="1" si="0"/>
        <v>34952895.549996376</v>
      </c>
      <c r="AY12" s="188">
        <f t="shared" ca="1" si="0"/>
        <v>-1.1300048157572746</v>
      </c>
      <c r="AZ12" s="188">
        <f t="shared" ca="1" si="0"/>
        <v>-1.6500050351023674</v>
      </c>
      <c r="BA12" s="188">
        <f t="shared" ca="1" si="1"/>
        <v>0</v>
      </c>
      <c r="BB12" s="188">
        <f t="shared" ca="1" si="4"/>
        <v>0</v>
      </c>
      <c r="BC12" s="187">
        <v>245000</v>
      </c>
      <c r="BD12" s="188">
        <v>4045457.589999998</v>
      </c>
      <c r="BE12" s="188">
        <v>499999</v>
      </c>
      <c r="BF12" s="188">
        <v>30.030000004917383</v>
      </c>
      <c r="BG12" s="188">
        <v>7486694.5000000037</v>
      </c>
      <c r="BH12" s="188">
        <v>1.8400000017136335</v>
      </c>
      <c r="BI12" s="188">
        <v>91799.110000012442</v>
      </c>
      <c r="BJ12" s="188">
        <v>45904.600000007078</v>
      </c>
      <c r="BK12" s="188">
        <v>1.862645149230957E-9</v>
      </c>
      <c r="BL12" s="188">
        <v>0</v>
      </c>
      <c r="BM12" s="188">
        <v>0</v>
      </c>
      <c r="BN12" s="188">
        <v>1.9999999552965164E-2</v>
      </c>
      <c r="BO12" s="188">
        <v>-2</v>
      </c>
      <c r="BP12" s="188">
        <v>14.030000006780028</v>
      </c>
      <c r="BQ12" s="188">
        <v>2.0000003278255463E-2</v>
      </c>
      <c r="BR12" s="188">
        <v>0</v>
      </c>
      <c r="BS12" s="189">
        <v>0</v>
      </c>
      <c r="BU12" s="183">
        <f t="shared" ca="1" si="2"/>
        <v>0.20742042343625477</v>
      </c>
      <c r="BV12" s="184">
        <f t="shared" ca="1" si="2"/>
        <v>2.6583644317026498</v>
      </c>
      <c r="BW12" s="184">
        <f t="shared" ca="1" si="2"/>
        <v>0.5424285006072781</v>
      </c>
      <c r="BX12" s="184">
        <f t="shared" ca="1" si="2"/>
        <v>2.3974994065003033E-5</v>
      </c>
      <c r="BY12" s="184">
        <f t="shared" ca="1" si="2"/>
        <v>4.9534014046013271</v>
      </c>
      <c r="BZ12" s="184">
        <f t="shared" ca="1" si="2"/>
        <v>1.2173897719156795E-6</v>
      </c>
      <c r="CA12" s="184">
        <f t="shared" ca="1" si="2"/>
        <v>6.0736932710554345E-2</v>
      </c>
      <c r="CB12" s="184">
        <f t="shared" ca="1" si="2"/>
        <v>4.4597621185902471E-2</v>
      </c>
      <c r="CC12" s="184">
        <f t="shared" ca="1" si="2"/>
        <v>2.7400824894403802E-15</v>
      </c>
      <c r="CD12" s="184">
        <f t="shared" ca="1" si="2"/>
        <v>0</v>
      </c>
      <c r="CE12" s="184">
        <f t="shared" ca="1" si="2"/>
        <v>0</v>
      </c>
      <c r="CF12" s="184">
        <f t="shared" ca="1" si="2"/>
        <v>3.8860676295624864E-8</v>
      </c>
      <c r="CG12" s="184">
        <f t="shared" ca="1" si="2"/>
        <v>-5.7219866009075383E-6</v>
      </c>
      <c r="CH12" s="184">
        <f ca="1">IFERROR(IF(AY12&lt;=10,0,BP12/AY12),0)*100</f>
        <v>0</v>
      </c>
      <c r="CI12" s="184">
        <f t="shared" ca="1" si="2"/>
        <v>-1.2121177119325972</v>
      </c>
      <c r="CJ12" s="184">
        <f t="shared" ca="1" si="3"/>
        <v>-1.2121177119325972</v>
      </c>
      <c r="CK12" s="184">
        <f t="shared" ca="1" si="5"/>
        <v>0</v>
      </c>
    </row>
    <row r="13" spans="1:89" ht="15.75" thickBot="1" x14ac:dyDescent="0.3">
      <c r="A13" s="191" t="s">
        <v>141</v>
      </c>
      <c r="B13" s="192">
        <f t="shared" ref="B13:R13" ca="1" si="6">SUM(B3:B12)</f>
        <v>2487596855.5999842</v>
      </c>
      <c r="C13" s="193">
        <f t="shared" ca="1" si="6"/>
        <v>2496819884.5799842</v>
      </c>
      <c r="D13" s="193">
        <f t="shared" ca="1" si="6"/>
        <v>1725238321.6600125</v>
      </c>
      <c r="E13" s="193">
        <f t="shared" ca="1" si="6"/>
        <v>1689400248.0799921</v>
      </c>
      <c r="F13" s="193">
        <f t="shared" ca="1" si="6"/>
        <v>1657983879.4200122</v>
      </c>
      <c r="G13" s="193">
        <f t="shared" ca="1" si="6"/>
        <v>1371513481.0799999</v>
      </c>
      <c r="H13" s="193">
        <f t="shared" ca="1" si="6"/>
        <v>1316839159.5399981</v>
      </c>
      <c r="I13" s="193">
        <f t="shared" ca="1" si="6"/>
        <v>1269626641.8599989</v>
      </c>
      <c r="J13" s="193">
        <f t="shared" ca="1" si="6"/>
        <v>1220326048.4999952</v>
      </c>
      <c r="K13" s="193">
        <f t="shared" ca="1" si="6"/>
        <v>1128634394.559998</v>
      </c>
      <c r="L13" s="193">
        <f t="shared" ca="1" si="6"/>
        <v>879631812.43998551</v>
      </c>
      <c r="M13" s="193">
        <f t="shared" ca="1" si="6"/>
        <v>812951196.07000136</v>
      </c>
      <c r="N13" s="193">
        <f t="shared" ca="1" si="6"/>
        <v>746517396.24999452</v>
      </c>
      <c r="O13" s="193">
        <f t="shared" ca="1" si="6"/>
        <v>719943234.13349497</v>
      </c>
      <c r="P13" s="193">
        <f ca="1">SUM(P3:P12)</f>
        <v>682637256.10349488</v>
      </c>
      <c r="Q13" s="193">
        <f ca="1">SUM(Q3:Q12)</f>
        <v>617079820.06350029</v>
      </c>
      <c r="R13" s="194">
        <f t="shared" ca="1" si="6"/>
        <v>575065491.77350032</v>
      </c>
      <c r="S13" s="16"/>
      <c r="T13" s="192">
        <f t="shared" ref="T13:AJ13" ca="1" si="7">SUM(T3:T12)</f>
        <v>690561712.15999997</v>
      </c>
      <c r="U13" s="193">
        <f t="shared" ca="1" si="7"/>
        <v>738333133.50999987</v>
      </c>
      <c r="V13" s="193">
        <f t="shared" ca="1" si="7"/>
        <v>112374752.14000002</v>
      </c>
      <c r="W13" s="193">
        <f t="shared" ca="1" si="7"/>
        <v>126540342.79000011</v>
      </c>
      <c r="X13" s="193">
        <f t="shared" ca="1" si="7"/>
        <v>305199592.98999995</v>
      </c>
      <c r="Y13" s="193">
        <f t="shared" ca="1" si="7"/>
        <v>53063495.030000001</v>
      </c>
      <c r="Z13" s="193">
        <f t="shared" ca="1" si="7"/>
        <v>17868986.789999999</v>
      </c>
      <c r="AA13" s="193">
        <f t="shared" ca="1" si="7"/>
        <v>85613179.980000004</v>
      </c>
      <c r="AB13" s="193">
        <f t="shared" ca="1" si="7"/>
        <v>115117619.92</v>
      </c>
      <c r="AC13" s="193">
        <f t="shared" ca="1" si="7"/>
        <v>265572418.10999998</v>
      </c>
      <c r="AD13" s="193">
        <f t="shared" ca="1" si="7"/>
        <v>77988067.949999988</v>
      </c>
      <c r="AE13" s="193">
        <f t="shared" ca="1" si="7"/>
        <v>33942692.810000002</v>
      </c>
      <c r="AF13" s="193">
        <f t="shared" ca="1" si="7"/>
        <v>12022259.009999998</v>
      </c>
      <c r="AG13" s="193">
        <f t="shared" ca="1" si="7"/>
        <v>47079957.329999998</v>
      </c>
      <c r="AH13" s="193">
        <f ca="1">SUM(AH3:AH12)</f>
        <v>39829644.619999997</v>
      </c>
      <c r="AI13" s="193">
        <f ca="1">SUM(AI3:AI12)</f>
        <v>195070019.51999998</v>
      </c>
      <c r="AJ13" s="193">
        <f t="shared" ca="1" si="7"/>
        <v>161710974.16</v>
      </c>
      <c r="AK13" s="16"/>
      <c r="AL13" s="192">
        <f t="shared" ref="AL13:BR13" ca="1" si="8">SUM(AL3:AL12)</f>
        <v>1797035143.4399843</v>
      </c>
      <c r="AM13" s="193">
        <f t="shared" ca="1" si="8"/>
        <v>1758486751.0699842</v>
      </c>
      <c r="AN13" s="193">
        <f t="shared" ca="1" si="8"/>
        <v>1612863569.5200126</v>
      </c>
      <c r="AO13" s="193">
        <f t="shared" ca="1" si="8"/>
        <v>1562859905.2899919</v>
      </c>
      <c r="AP13" s="193">
        <f t="shared" ca="1" si="8"/>
        <v>1352784286.4300122</v>
      </c>
      <c r="AQ13" s="193">
        <f t="shared" ca="1" si="8"/>
        <v>1318449986.05</v>
      </c>
      <c r="AR13" s="193">
        <f t="shared" ca="1" si="8"/>
        <v>1298970172.7499981</v>
      </c>
      <c r="AS13" s="193">
        <f t="shared" ca="1" si="8"/>
        <v>1184279609.4099987</v>
      </c>
      <c r="AT13" s="193">
        <f t="shared" ca="1" si="8"/>
        <v>1105208428.5799952</v>
      </c>
      <c r="AU13" s="193">
        <f t="shared" ca="1" si="8"/>
        <v>863061976.44999814</v>
      </c>
      <c r="AV13" s="193">
        <f t="shared" ca="1" si="8"/>
        <v>801643744.48998547</v>
      </c>
      <c r="AW13" s="193">
        <f t="shared" ca="1" si="8"/>
        <v>779008503.2600013</v>
      </c>
      <c r="AX13" s="193">
        <f t="shared" ca="1" si="8"/>
        <v>734495137.23999453</v>
      </c>
      <c r="AY13" s="193">
        <f t="shared" ca="1" si="8"/>
        <v>672863276.80349505</v>
      </c>
      <c r="AZ13" s="193">
        <f ca="1">SUM(AZ3:AZ12)</f>
        <v>642807611.48349488</v>
      </c>
      <c r="BA13" s="193">
        <f t="shared" ca="1" si="8"/>
        <v>413354517.61350036</v>
      </c>
      <c r="BB13" s="193">
        <f ca="1">SUM(BB3:BB12)</f>
        <v>413354517.61350036</v>
      </c>
      <c r="BC13" s="192">
        <f t="shared" ca="1" si="8"/>
        <v>20860494.060000002</v>
      </c>
      <c r="BD13" s="193">
        <f t="shared" ca="1" si="8"/>
        <v>21322762.749999993</v>
      </c>
      <c r="BE13" s="193">
        <f t="shared" ca="1" si="8"/>
        <v>20767395.119999997</v>
      </c>
      <c r="BF13" s="193">
        <f t="shared" ca="1" si="8"/>
        <v>15880224.22000001</v>
      </c>
      <c r="BG13" s="193">
        <f t="shared" ca="1" si="8"/>
        <v>35668583.609999999</v>
      </c>
      <c r="BH13" s="193">
        <f t="shared" ca="1" si="8"/>
        <v>20092298.800000004</v>
      </c>
      <c r="BI13" s="193">
        <f t="shared" ca="1" si="8"/>
        <v>40947844.210000008</v>
      </c>
      <c r="BJ13" s="193">
        <f t="shared" ca="1" si="8"/>
        <v>38979280.190000013</v>
      </c>
      <c r="BK13" s="193">
        <f t="shared" ca="1" si="8"/>
        <v>35634733.129999995</v>
      </c>
      <c r="BL13" s="193">
        <f t="shared" ca="1" si="8"/>
        <v>38743807.939999998</v>
      </c>
      <c r="BM13" s="193">
        <f t="shared" ca="1" si="8"/>
        <v>32990339.18999999</v>
      </c>
      <c r="BN13" s="193">
        <f t="shared" ca="1" si="8"/>
        <v>20023772.280000001</v>
      </c>
      <c r="BO13" s="193">
        <f t="shared" ca="1" si="8"/>
        <v>20092893.390000004</v>
      </c>
      <c r="BP13" s="193">
        <f t="shared" ca="1" si="8"/>
        <v>25614675.290000014</v>
      </c>
      <c r="BQ13" s="193">
        <f ca="1">SUM(BQ3:BQ12)</f>
        <v>22001181.400000006</v>
      </c>
      <c r="BR13" s="193">
        <f t="shared" ca="1" si="8"/>
        <v>11643626.670000006</v>
      </c>
      <c r="BS13" s="194">
        <f ca="1">SUM(BS3:BS12)</f>
        <v>1415154.2400000039</v>
      </c>
      <c r="BU13" s="195">
        <f t="shared" ca="1" si="2"/>
        <v>1.1608283864759421</v>
      </c>
      <c r="BV13" s="196">
        <f t="shared" ca="1" si="2"/>
        <v>1.212563173252557</v>
      </c>
      <c r="BW13" s="196">
        <f t="shared" ca="1" si="2"/>
        <v>1.2876101557790387</v>
      </c>
      <c r="BX13" s="196">
        <f t="shared" ca="1" si="2"/>
        <v>1.0161003021606982</v>
      </c>
      <c r="BY13" s="196">
        <f t="shared" ca="1" si="2"/>
        <v>2.6366793263195811</v>
      </c>
      <c r="BZ13" s="196">
        <f t="shared" ca="1" si="2"/>
        <v>1.5239333317599231</v>
      </c>
      <c r="CA13" s="196">
        <f t="shared" ca="1" si="2"/>
        <v>3.152331367494833</v>
      </c>
      <c r="CB13" s="196">
        <f t="shared" ca="1" si="2"/>
        <v>3.2913916511168568</v>
      </c>
      <c r="CC13" s="196">
        <f t="shared" ca="1" si="2"/>
        <v>3.2242545576479693</v>
      </c>
      <c r="CD13" s="196">
        <f t="shared" ca="1" si="2"/>
        <v>4.4891107472215976</v>
      </c>
      <c r="CE13" s="196">
        <f t="shared" ca="1" si="2"/>
        <v>4.1153366962264268</v>
      </c>
      <c r="CF13" s="196">
        <f t="shared" ca="1" si="2"/>
        <v>2.5704176778821219</v>
      </c>
      <c r="CG13" s="196">
        <f t="shared" ca="1" si="2"/>
        <v>2.73560604710099</v>
      </c>
      <c r="CH13" s="196">
        <f t="shared" ca="1" si="2"/>
        <v>3.8068172499597717</v>
      </c>
      <c r="CI13" s="196">
        <f t="shared" ca="1" si="2"/>
        <v>3.422669708161183</v>
      </c>
      <c r="CJ13" s="196">
        <f t="shared" ca="1" si="3"/>
        <v>3.422669708161183</v>
      </c>
      <c r="CK13" s="196">
        <f ca="1">IFERROR(BR13/BA13,0)*100</f>
        <v>2.8168620817850036</v>
      </c>
    </row>
    <row r="14" spans="1:89" x14ac:dyDescent="0.25">
      <c r="A14" s="179" t="s">
        <v>142</v>
      </c>
      <c r="B14" s="185">
        <v>1327264949.0199852</v>
      </c>
      <c r="C14" s="27">
        <v>1286322192.3799849</v>
      </c>
      <c r="D14" s="27">
        <v>1230070987.8400064</v>
      </c>
      <c r="E14" s="27">
        <v>1183054851.4700019</v>
      </c>
      <c r="F14" s="27">
        <v>1133352678.4100006</v>
      </c>
      <c r="G14" s="27">
        <v>1103255244.2700062</v>
      </c>
      <c r="H14" s="27">
        <v>1081894001.9500039</v>
      </c>
      <c r="I14" s="27">
        <v>1063246772.1800044</v>
      </c>
      <c r="J14" s="27">
        <v>1040765496.4300003</v>
      </c>
      <c r="K14" s="27">
        <v>1022450738.5200038</v>
      </c>
      <c r="L14" s="27">
        <v>1006548896.2100008</v>
      </c>
      <c r="M14" s="27">
        <v>981568469.22000337</v>
      </c>
      <c r="N14" s="27">
        <v>854005964.37900448</v>
      </c>
      <c r="O14" s="27">
        <v>625511256.07900226</v>
      </c>
      <c r="P14" s="27">
        <v>786830270.95900285</v>
      </c>
      <c r="Q14" s="27">
        <v>615348712.86900127</v>
      </c>
      <c r="R14" s="182">
        <v>602330643.2590009</v>
      </c>
      <c r="S14" s="16"/>
      <c r="T14" s="185">
        <v>0</v>
      </c>
      <c r="U14" s="27">
        <v>0</v>
      </c>
      <c r="V14" s="27">
        <v>77125254.299999997</v>
      </c>
      <c r="W14" s="27">
        <v>52917069.25</v>
      </c>
      <c r="X14" s="27">
        <v>26094845.579999998</v>
      </c>
      <c r="Y14" s="27">
        <v>17891236.43</v>
      </c>
      <c r="Z14" s="27">
        <v>13766223.300000001</v>
      </c>
      <c r="AA14" s="27">
        <v>11692933.300000001</v>
      </c>
      <c r="AB14" s="27">
        <v>4963225.1499999994</v>
      </c>
      <c r="AC14" s="27">
        <v>249588.3</v>
      </c>
      <c r="AD14" s="27">
        <v>362271513.15000015</v>
      </c>
      <c r="AE14" s="27">
        <v>339889862.4600001</v>
      </c>
      <c r="AF14" s="27">
        <v>224937924.97000018</v>
      </c>
      <c r="AG14" s="27">
        <v>0</v>
      </c>
      <c r="AH14" s="27">
        <v>0</v>
      </c>
      <c r="AI14" s="27">
        <v>0</v>
      </c>
      <c r="AJ14" s="182">
        <v>0</v>
      </c>
      <c r="AK14" s="16"/>
      <c r="AL14" s="185">
        <f t="shared" ref="AL14:AZ21" ca="1" si="9">B14-T14</f>
        <v>1327264949.0199852</v>
      </c>
      <c r="AM14" s="27">
        <f t="shared" ca="1" si="9"/>
        <v>1286322192.3799849</v>
      </c>
      <c r="AN14" s="27">
        <f t="shared" ca="1" si="9"/>
        <v>1152945733.5400064</v>
      </c>
      <c r="AO14" s="27">
        <f t="shared" ca="1" si="9"/>
        <v>1130137782.2200019</v>
      </c>
      <c r="AP14" s="27">
        <f t="shared" ca="1" si="9"/>
        <v>1107257832.8300006</v>
      </c>
      <c r="AQ14" s="27">
        <f t="shared" ca="1" si="9"/>
        <v>1085364007.8400061</v>
      </c>
      <c r="AR14" s="27">
        <f t="shared" ca="1" si="9"/>
        <v>1068127778.6500039</v>
      </c>
      <c r="AS14" s="27">
        <f t="shared" ca="1" si="9"/>
        <v>1051553838.8800044</v>
      </c>
      <c r="AT14" s="27">
        <f t="shared" ca="1" si="9"/>
        <v>1035802271.2800003</v>
      </c>
      <c r="AU14" s="27">
        <f t="shared" ca="1" si="9"/>
        <v>1022201150.2200038</v>
      </c>
      <c r="AV14" s="27">
        <f t="shared" ca="1" si="9"/>
        <v>644277383.06000066</v>
      </c>
      <c r="AW14" s="27">
        <f t="shared" ca="1" si="9"/>
        <v>641678606.76000333</v>
      </c>
      <c r="AX14" s="27">
        <f t="shared" ca="1" si="9"/>
        <v>629068039.40900433</v>
      </c>
      <c r="AY14" s="27">
        <f t="shared" ca="1" si="9"/>
        <v>625511256.07900226</v>
      </c>
      <c r="AZ14" s="27">
        <f t="shared" ca="1" si="9"/>
        <v>786830270.95900285</v>
      </c>
      <c r="BA14" s="27">
        <f ca="1">R14-AJ14</f>
        <v>602330643.2590009</v>
      </c>
      <c r="BB14" s="27">
        <f t="shared" ref="BB14:BB21" ca="1" si="10">R14-AJ14</f>
        <v>602330643.2590009</v>
      </c>
      <c r="BC14" s="185">
        <v>5507995.6900000013</v>
      </c>
      <c r="BD14" s="27">
        <v>6545044.0999999996</v>
      </c>
      <c r="BE14" s="27">
        <v>7857989.4800000004</v>
      </c>
      <c r="BF14" s="27">
        <v>8958714.1400000006</v>
      </c>
      <c r="BG14" s="27">
        <v>12990344.759999998</v>
      </c>
      <c r="BH14" s="27">
        <v>9102905.2200000007</v>
      </c>
      <c r="BI14" s="27">
        <v>12230211.029999999</v>
      </c>
      <c r="BJ14" s="27">
        <v>15870853.069999998</v>
      </c>
      <c r="BK14" s="27">
        <v>12979092.33</v>
      </c>
      <c r="BL14" s="27">
        <v>16597597.779999999</v>
      </c>
      <c r="BM14" s="27">
        <v>35853011.359999999</v>
      </c>
      <c r="BN14" s="27">
        <v>136176651.69999999</v>
      </c>
      <c r="BO14" s="27">
        <v>26427012.23</v>
      </c>
      <c r="BP14" s="27">
        <v>17571550</v>
      </c>
      <c r="BQ14" s="27">
        <v>6379360.3099999987</v>
      </c>
      <c r="BR14" s="27">
        <v>11994820.460000005</v>
      </c>
      <c r="BS14" s="28">
        <v>3438763.8800000013</v>
      </c>
      <c r="BU14" s="183">
        <f t="shared" ca="1" si="2"/>
        <v>0.41498840861178088</v>
      </c>
      <c r="BV14" s="184">
        <f t="shared" ca="1" si="2"/>
        <v>0.50881840792081789</v>
      </c>
      <c r="BW14" s="184">
        <f t="shared" ca="1" si="2"/>
        <v>0.68155761814329441</v>
      </c>
      <c r="BX14" s="184">
        <f t="shared" ca="1" si="2"/>
        <v>0.79270990501722949</v>
      </c>
      <c r="BY14" s="184">
        <f t="shared" ca="1" si="2"/>
        <v>1.1731996265764444</v>
      </c>
      <c r="BZ14" s="184">
        <f t="shared" ca="1" si="2"/>
        <v>0.83869606456876933</v>
      </c>
      <c r="CA14" s="184">
        <f t="shared" ca="1" si="2"/>
        <v>1.1450138526925722</v>
      </c>
      <c r="CB14" s="184">
        <f t="shared" ca="1" si="2"/>
        <v>1.5092763188334537</v>
      </c>
      <c r="CC14" s="184">
        <f t="shared" ca="1" si="2"/>
        <v>1.2530472938586039</v>
      </c>
      <c r="CD14" s="184">
        <f t="shared" ca="1" si="2"/>
        <v>1.6237115147471486</v>
      </c>
      <c r="CE14" s="184">
        <f t="shared" ca="1" si="2"/>
        <v>5.5648409059023347</v>
      </c>
      <c r="CF14" s="184">
        <f t="shared" ca="1" si="2"/>
        <v>21.221940433325361</v>
      </c>
      <c r="CG14" s="184">
        <f t="shared" ca="1" si="2"/>
        <v>4.200978363934623</v>
      </c>
      <c r="CH14" s="184">
        <f t="shared" ca="1" si="2"/>
        <v>2.8091500879051661</v>
      </c>
      <c r="CI14" s="184">
        <f t="shared" ca="1" si="2"/>
        <v>0.81076701614755109</v>
      </c>
      <c r="CJ14" s="184">
        <f t="shared" ca="1" si="3"/>
        <v>0.81076701614755109</v>
      </c>
      <c r="CK14" s="184">
        <f t="shared" ref="CK14:CK21" ca="1" si="11">IFERROR(BS14/BB14,0)*100</f>
        <v>0.57090966871518445</v>
      </c>
    </row>
    <row r="15" spans="1:89" x14ac:dyDescent="0.25">
      <c r="A15" s="190" t="s">
        <v>143</v>
      </c>
      <c r="B15" s="185">
        <v>433064121.55000365</v>
      </c>
      <c r="C15" s="27">
        <v>428218918.12000364</v>
      </c>
      <c r="D15" s="27">
        <v>422698876.96000373</v>
      </c>
      <c r="E15" s="27">
        <v>416194774.96000123</v>
      </c>
      <c r="F15" s="27">
        <v>383755415.79000378</v>
      </c>
      <c r="G15" s="27">
        <v>347108552.81000078</v>
      </c>
      <c r="H15" s="27">
        <v>335913238.1500001</v>
      </c>
      <c r="I15" s="27">
        <v>327926653.99000001</v>
      </c>
      <c r="J15" s="27">
        <v>362867800.68999636</v>
      </c>
      <c r="K15" s="27">
        <v>374732945.10999906</v>
      </c>
      <c r="L15" s="27">
        <v>378753677.10000169</v>
      </c>
      <c r="M15" s="27">
        <v>371382910.7499994</v>
      </c>
      <c r="N15" s="27">
        <v>359459222.86000049</v>
      </c>
      <c r="O15" s="27">
        <v>350824330.8500005</v>
      </c>
      <c r="P15" s="27">
        <v>346610404.88000083</v>
      </c>
      <c r="Q15" s="27">
        <v>341473685.17000067</v>
      </c>
      <c r="R15" s="182">
        <v>307463235.73000121</v>
      </c>
      <c r="S15" s="16"/>
      <c r="T15" s="185">
        <v>4006302.87</v>
      </c>
      <c r="U15" s="27">
        <v>5555489.0599999996</v>
      </c>
      <c r="V15" s="27">
        <v>20197043.119999997</v>
      </c>
      <c r="W15" s="27">
        <v>56109683.520000041</v>
      </c>
      <c r="X15" s="27">
        <v>41020393.760000013</v>
      </c>
      <c r="Y15" s="27">
        <v>10530221.749999998</v>
      </c>
      <c r="Z15" s="27">
        <v>1980855.7300000007</v>
      </c>
      <c r="AA15" s="197">
        <v>0</v>
      </c>
      <c r="AB15" s="27">
        <v>4598639</v>
      </c>
      <c r="AC15" s="27">
        <v>4596263</v>
      </c>
      <c r="AD15" s="27">
        <v>10774633.08</v>
      </c>
      <c r="AE15" s="27">
        <v>13243113.08</v>
      </c>
      <c r="AF15" s="27">
        <v>3196279.06</v>
      </c>
      <c r="AG15" s="27">
        <v>2082690</v>
      </c>
      <c r="AH15" s="27">
        <v>15116756.860000001</v>
      </c>
      <c r="AI15" s="27">
        <v>342654564.63999981</v>
      </c>
      <c r="AJ15" s="182">
        <v>312012783.19999993</v>
      </c>
      <c r="AK15" s="16"/>
      <c r="AL15" s="185">
        <f t="shared" ca="1" si="9"/>
        <v>429057818.68000364</v>
      </c>
      <c r="AM15" s="27">
        <f t="shared" ca="1" si="9"/>
        <v>422663429.06000364</v>
      </c>
      <c r="AN15" s="27">
        <f t="shared" ca="1" si="9"/>
        <v>402501833.84000373</v>
      </c>
      <c r="AO15" s="27">
        <f t="shared" ca="1" si="9"/>
        <v>360085091.44000119</v>
      </c>
      <c r="AP15" s="27">
        <f t="shared" ca="1" si="9"/>
        <v>342735022.03000379</v>
      </c>
      <c r="AQ15" s="27">
        <f t="shared" ca="1" si="9"/>
        <v>336578331.06000078</v>
      </c>
      <c r="AR15" s="27">
        <f t="shared" ca="1" si="9"/>
        <v>333932382.42000008</v>
      </c>
      <c r="AS15" s="27">
        <f t="shared" ca="1" si="9"/>
        <v>327926653.99000001</v>
      </c>
      <c r="AT15" s="27">
        <f t="shared" ca="1" si="9"/>
        <v>358269161.68999636</v>
      </c>
      <c r="AU15" s="27">
        <f t="shared" ca="1" si="9"/>
        <v>370136682.10999906</v>
      </c>
      <c r="AV15" s="27">
        <f t="shared" ca="1" si="9"/>
        <v>367979044.02000171</v>
      </c>
      <c r="AW15" s="27">
        <f t="shared" ca="1" si="9"/>
        <v>358139797.66999942</v>
      </c>
      <c r="AX15" s="27">
        <f t="shared" ca="1" si="9"/>
        <v>356262943.80000049</v>
      </c>
      <c r="AY15" s="27">
        <f t="shared" ca="1" si="9"/>
        <v>348741640.8500005</v>
      </c>
      <c r="AZ15" s="27">
        <f t="shared" ca="1" si="9"/>
        <v>331493648.02000082</v>
      </c>
      <c r="BA15" s="27">
        <f ca="1">MAX(0,R15-AJ15)</f>
        <v>0</v>
      </c>
      <c r="BB15" s="27">
        <f t="shared" ca="1" si="10"/>
        <v>-4549547.4699987173</v>
      </c>
      <c r="BC15" s="185">
        <v>1400706.0400000003</v>
      </c>
      <c r="BD15" s="27">
        <v>2847461.75</v>
      </c>
      <c r="BE15" s="27">
        <v>5301625.09</v>
      </c>
      <c r="BF15" s="27">
        <v>5930178.8399999999</v>
      </c>
      <c r="BG15" s="27">
        <v>3873651.9800000028</v>
      </c>
      <c r="BH15" s="27">
        <v>2905377.0900000008</v>
      </c>
      <c r="BI15" s="27">
        <v>6643413.9500000002</v>
      </c>
      <c r="BJ15" s="27">
        <v>8367892.1300000008</v>
      </c>
      <c r="BK15" s="27">
        <v>4823761.0299999993</v>
      </c>
      <c r="BL15" s="27">
        <v>8179563.7600000007</v>
      </c>
      <c r="BM15" s="27">
        <v>5852662.5300000003</v>
      </c>
      <c r="BN15" s="27">
        <v>4587094.9000000004</v>
      </c>
      <c r="BO15" s="27">
        <v>3369684.75</v>
      </c>
      <c r="BP15" s="27">
        <v>3526321.7099999981</v>
      </c>
      <c r="BQ15" s="27">
        <v>2689323.6799999992</v>
      </c>
      <c r="BR15" s="27">
        <v>18642326.390000001</v>
      </c>
      <c r="BS15" s="28">
        <v>3021552.8200000003</v>
      </c>
      <c r="BU15" s="183">
        <f t="shared" ca="1" si="2"/>
        <v>0.32646090550436124</v>
      </c>
      <c r="BV15" s="184">
        <f t="shared" ca="1" si="2"/>
        <v>0.67369484895646337</v>
      </c>
      <c r="BW15" s="184">
        <f t="shared" ca="1" si="2"/>
        <v>1.3171679342229827</v>
      </c>
      <c r="BX15" s="184">
        <f t="shared" ca="1" si="2"/>
        <v>1.6468826344031267</v>
      </c>
      <c r="BY15" s="184">
        <f t="shared" ca="1" si="2"/>
        <v>1.1302177282778223</v>
      </c>
      <c r="BZ15" s="184">
        <f t="shared" ca="1" si="2"/>
        <v>0.86320978562403894</v>
      </c>
      <c r="CA15" s="184">
        <f t="shared" ca="1" si="2"/>
        <v>1.9894488524459162</v>
      </c>
      <c r="CB15" s="184">
        <f t="shared" ca="1" si="2"/>
        <v>2.5517572384510032</v>
      </c>
      <c r="CC15" s="184">
        <f t="shared" ca="1" si="2"/>
        <v>1.3464069883229051</v>
      </c>
      <c r="CD15" s="184">
        <f t="shared" ca="1" si="2"/>
        <v>2.2098765551610899</v>
      </c>
      <c r="CE15" s="184">
        <f t="shared" ca="1" si="2"/>
        <v>1.5904879979203042</v>
      </c>
      <c r="CF15" s="184">
        <f t="shared" ca="1" si="2"/>
        <v>1.2808112725374032</v>
      </c>
      <c r="CG15" s="184">
        <f t="shared" ca="1" si="2"/>
        <v>0.9458420553252036</v>
      </c>
      <c r="CH15" s="184">
        <f t="shared" ca="1" si="2"/>
        <v>1.0111559094019194</v>
      </c>
      <c r="CI15" s="184">
        <f t="shared" ca="1" si="2"/>
        <v>0.81127457375525269</v>
      </c>
      <c r="CJ15" s="184">
        <f t="shared" ca="1" si="3"/>
        <v>0.81127457375525269</v>
      </c>
      <c r="CK15" s="184">
        <f t="shared" ca="1" si="11"/>
        <v>-66.414359668190301</v>
      </c>
    </row>
    <row r="16" spans="1:89" x14ac:dyDescent="0.25">
      <c r="A16" s="190" t="s">
        <v>144</v>
      </c>
      <c r="B16" s="185">
        <v>1001433526.6200033</v>
      </c>
      <c r="C16" s="27">
        <v>971870293.96000421</v>
      </c>
      <c r="D16" s="27">
        <v>952028902.69000399</v>
      </c>
      <c r="E16" s="27">
        <v>934388444.44000113</v>
      </c>
      <c r="F16" s="27">
        <v>904063519.88000238</v>
      </c>
      <c r="G16" s="27">
        <v>855493223.64000273</v>
      </c>
      <c r="H16" s="27">
        <v>812033362.58000398</v>
      </c>
      <c r="I16" s="27">
        <v>791516207.32000387</v>
      </c>
      <c r="J16" s="27">
        <v>781017573.66000187</v>
      </c>
      <c r="K16" s="27">
        <v>764152030.77000391</v>
      </c>
      <c r="L16" s="27">
        <v>737151097.53000283</v>
      </c>
      <c r="M16" s="27">
        <v>706327933.76000357</v>
      </c>
      <c r="N16" s="27">
        <v>674939662.24000359</v>
      </c>
      <c r="O16" s="27">
        <v>651067262.12000358</v>
      </c>
      <c r="P16" s="27">
        <v>635545376.13000274</v>
      </c>
      <c r="Q16" s="27">
        <v>597169523.13000369</v>
      </c>
      <c r="R16" s="182">
        <v>581793916.7900039</v>
      </c>
      <c r="S16" s="16"/>
      <c r="T16" s="185">
        <v>39359455.030000009</v>
      </c>
      <c r="U16" s="27">
        <v>24501118.559999987</v>
      </c>
      <c r="V16" s="27">
        <v>30270245.620000001</v>
      </c>
      <c r="W16" s="27">
        <v>69089264.940000013</v>
      </c>
      <c r="X16" s="27">
        <v>74637625.960000038</v>
      </c>
      <c r="Y16" s="27">
        <v>43489715.560000002</v>
      </c>
      <c r="Z16" s="27">
        <v>21582910.23</v>
      </c>
      <c r="AA16" s="27">
        <v>22827350.540000003</v>
      </c>
      <c r="AB16" s="27">
        <v>30358826.210000005</v>
      </c>
      <c r="AC16" s="27">
        <v>51179269.88000001</v>
      </c>
      <c r="AD16" s="27">
        <v>54234665.949999988</v>
      </c>
      <c r="AE16" s="27">
        <v>44152069.760000005</v>
      </c>
      <c r="AF16" s="27">
        <v>38596820.980000004</v>
      </c>
      <c r="AG16" s="27">
        <v>38398347.780000001</v>
      </c>
      <c r="AH16" s="27">
        <v>38159367.950000018</v>
      </c>
      <c r="AI16" s="27">
        <v>44637948.36999999</v>
      </c>
      <c r="AJ16" s="182">
        <v>51840658.940000013</v>
      </c>
      <c r="AK16" s="16"/>
      <c r="AL16" s="185">
        <f t="shared" ca="1" si="9"/>
        <v>962074071.59000337</v>
      </c>
      <c r="AM16" s="27">
        <f t="shared" ca="1" si="9"/>
        <v>947369175.40000427</v>
      </c>
      <c r="AN16" s="27">
        <f t="shared" ca="1" si="9"/>
        <v>921758657.07000399</v>
      </c>
      <c r="AO16" s="27">
        <f t="shared" ca="1" si="9"/>
        <v>865299179.50000107</v>
      </c>
      <c r="AP16" s="27">
        <f t="shared" ca="1" si="9"/>
        <v>829425893.92000234</v>
      </c>
      <c r="AQ16" s="27">
        <f t="shared" ca="1" si="9"/>
        <v>812003508.08000278</v>
      </c>
      <c r="AR16" s="27">
        <f t="shared" ca="1" si="9"/>
        <v>790450452.35000396</v>
      </c>
      <c r="AS16" s="27">
        <f t="shared" ca="1" si="9"/>
        <v>768688856.78000391</v>
      </c>
      <c r="AT16" s="27">
        <f t="shared" ca="1" si="9"/>
        <v>750658747.45000184</v>
      </c>
      <c r="AU16" s="27">
        <f t="shared" ca="1" si="9"/>
        <v>712972760.89000392</v>
      </c>
      <c r="AV16" s="27">
        <f t="shared" ca="1" si="9"/>
        <v>682916431.58000278</v>
      </c>
      <c r="AW16" s="27">
        <f t="shared" ca="1" si="9"/>
        <v>662175864.00000358</v>
      </c>
      <c r="AX16" s="27">
        <f t="shared" ca="1" si="9"/>
        <v>636342841.26000357</v>
      </c>
      <c r="AY16" s="27">
        <f t="shared" ca="1" si="9"/>
        <v>612668914.34000361</v>
      </c>
      <c r="AZ16" s="27">
        <f t="shared" ca="1" si="9"/>
        <v>597386008.18000269</v>
      </c>
      <c r="BA16" s="27">
        <f t="shared" ref="BA16:BA21" ca="1" si="12">R16-AJ16</f>
        <v>529953257.8500039</v>
      </c>
      <c r="BB16" s="27">
        <f t="shared" ca="1" si="10"/>
        <v>529953257.8500039</v>
      </c>
      <c r="BC16" s="185">
        <v>4969264.1400000015</v>
      </c>
      <c r="BD16" s="27">
        <v>5508837.0399999991</v>
      </c>
      <c r="BE16" s="27">
        <v>7694222.5800000001</v>
      </c>
      <c r="BF16" s="27">
        <v>4107466.8899999997</v>
      </c>
      <c r="BG16" s="27">
        <v>3616565.9600000009</v>
      </c>
      <c r="BH16" s="27">
        <v>8708154.2799999993</v>
      </c>
      <c r="BI16" s="27">
        <v>9295854.6899999976</v>
      </c>
      <c r="BJ16" s="27">
        <v>3381727.2499999991</v>
      </c>
      <c r="BK16" s="27">
        <v>3859687.8400000008</v>
      </c>
      <c r="BL16" s="27">
        <v>7559073.6399999997</v>
      </c>
      <c r="BM16" s="27">
        <v>3959053.5599999996</v>
      </c>
      <c r="BN16" s="27">
        <v>7716822.879999998</v>
      </c>
      <c r="BO16" s="27">
        <v>6316161.6399999978</v>
      </c>
      <c r="BP16" s="27">
        <v>5503300.4000000004</v>
      </c>
      <c r="BQ16" s="27">
        <v>5433487.5299999984</v>
      </c>
      <c r="BR16" s="27">
        <v>5585103.5899999989</v>
      </c>
      <c r="BS16" s="28">
        <v>779427.70000000042</v>
      </c>
      <c r="BU16" s="183">
        <f t="shared" ca="1" si="2"/>
        <v>0.51651575348947754</v>
      </c>
      <c r="BV16" s="184">
        <f t="shared" ca="1" si="2"/>
        <v>0.5814878912092557</v>
      </c>
      <c r="BW16" s="184">
        <f t="shared" ca="1" si="2"/>
        <v>0.83473287947819674</v>
      </c>
      <c r="BX16" s="184">
        <f t="shared" ca="1" si="2"/>
        <v>0.4746874823541879</v>
      </c>
      <c r="BY16" s="184">
        <f t="shared" ca="1" si="2"/>
        <v>0.43603243960801841</v>
      </c>
      <c r="BZ16" s="184">
        <f t="shared" ca="1" si="2"/>
        <v>1.0724281598968199</v>
      </c>
      <c r="CA16" s="184">
        <f t="shared" ca="1" si="2"/>
        <v>1.1760199089472949</v>
      </c>
      <c r="CB16" s="184">
        <f t="shared" ca="1" si="2"/>
        <v>0.43993447025703891</v>
      </c>
      <c r="CC16" s="184">
        <f t="shared" ca="1" si="2"/>
        <v>0.51417343141759342</v>
      </c>
      <c r="CD16" s="184">
        <f t="shared" ca="1" si="2"/>
        <v>1.0602191352393333</v>
      </c>
      <c r="CE16" s="184">
        <f t="shared" ca="1" si="2"/>
        <v>0.57972738345748842</v>
      </c>
      <c r="CF16" s="184">
        <f t="shared" ca="1" si="2"/>
        <v>1.1653736264842109</v>
      </c>
      <c r="CG16" s="184">
        <f t="shared" ca="1" si="2"/>
        <v>0.99257212157734875</v>
      </c>
      <c r="CH16" s="184">
        <f t="shared" ca="1" si="2"/>
        <v>0.89825030635484748</v>
      </c>
      <c r="CI16" s="184">
        <f t="shared" ca="1" si="2"/>
        <v>0.90954382185040972</v>
      </c>
      <c r="CJ16" s="184">
        <f t="shared" ca="1" si="3"/>
        <v>0.90954382185040972</v>
      </c>
      <c r="CK16" s="184">
        <f t="shared" ca="1" si="11"/>
        <v>0.14707480111776328</v>
      </c>
    </row>
    <row r="17" spans="1:89" x14ac:dyDescent="0.25">
      <c r="A17" s="190" t="s">
        <v>145</v>
      </c>
      <c r="B17" s="185">
        <v>1993226865.2900014</v>
      </c>
      <c r="C17" s="27">
        <v>1939671745.7399998</v>
      </c>
      <c r="D17" s="27">
        <v>1860758244.0000014</v>
      </c>
      <c r="E17" s="27">
        <v>1774216143.7399986</v>
      </c>
      <c r="F17" s="27">
        <v>1672494047.4100022</v>
      </c>
      <c r="G17" s="27">
        <v>1619443342.4000018</v>
      </c>
      <c r="H17" s="27">
        <v>1507450762.2800033</v>
      </c>
      <c r="I17" s="27">
        <v>1420493202.570004</v>
      </c>
      <c r="J17" s="27">
        <v>1357421968.6100078</v>
      </c>
      <c r="K17" s="27">
        <v>1321723679.3500059</v>
      </c>
      <c r="L17" s="27">
        <v>1240102505.2300045</v>
      </c>
      <c r="M17" s="27">
        <v>1199581673.4100037</v>
      </c>
      <c r="N17" s="27">
        <v>1186698780.6600041</v>
      </c>
      <c r="O17" s="27">
        <v>1114431531.0300088</v>
      </c>
      <c r="P17" s="27">
        <v>1057105211.75001</v>
      </c>
      <c r="Q17" s="27">
        <v>996339182.80000973</v>
      </c>
      <c r="R17" s="182">
        <v>887535708.3600111</v>
      </c>
      <c r="S17" s="16"/>
      <c r="T17" s="185">
        <v>109577432.30999996</v>
      </c>
      <c r="U17" s="27">
        <v>156754560.40000001</v>
      </c>
      <c r="V17" s="27">
        <v>163686008.36000001</v>
      </c>
      <c r="W17" s="27">
        <v>130913753.21999995</v>
      </c>
      <c r="X17" s="27">
        <v>131464159.96999994</v>
      </c>
      <c r="Y17" s="27">
        <v>177209252.21999997</v>
      </c>
      <c r="Z17" s="27">
        <v>135247178.23999998</v>
      </c>
      <c r="AA17" s="27">
        <v>97317727.769999981</v>
      </c>
      <c r="AB17" s="27">
        <v>109228088.66</v>
      </c>
      <c r="AC17" s="27">
        <v>103305109.92</v>
      </c>
      <c r="AD17" s="27">
        <v>70643099.660000011</v>
      </c>
      <c r="AE17" s="27">
        <v>68800735.5</v>
      </c>
      <c r="AF17" s="27">
        <v>74718597.810000017</v>
      </c>
      <c r="AG17" s="27">
        <v>92827856.539999992</v>
      </c>
      <c r="AH17" s="27">
        <v>74844502.74000001</v>
      </c>
      <c r="AI17" s="27">
        <v>90320076.149999991</v>
      </c>
      <c r="AJ17" s="182">
        <v>13594676.279999999</v>
      </c>
      <c r="AK17" s="16"/>
      <c r="AL17" s="185">
        <f t="shared" ca="1" si="9"/>
        <v>1883649432.9800014</v>
      </c>
      <c r="AM17" s="27">
        <f t="shared" ca="1" si="9"/>
        <v>1782917185.3399997</v>
      </c>
      <c r="AN17" s="27">
        <f t="shared" ca="1" si="9"/>
        <v>1697072235.6400013</v>
      </c>
      <c r="AO17" s="27">
        <f t="shared" ca="1" si="9"/>
        <v>1643302390.5199986</v>
      </c>
      <c r="AP17" s="27">
        <f t="shared" ca="1" si="9"/>
        <v>1541029887.4400022</v>
      </c>
      <c r="AQ17" s="27">
        <f t="shared" ca="1" si="9"/>
        <v>1442234090.1800017</v>
      </c>
      <c r="AR17" s="27">
        <f t="shared" ca="1" si="9"/>
        <v>1372203584.0400033</v>
      </c>
      <c r="AS17" s="27">
        <f t="shared" ca="1" si="9"/>
        <v>1323175474.800004</v>
      </c>
      <c r="AT17" s="27">
        <f t="shared" ca="1" si="9"/>
        <v>1248193879.9500077</v>
      </c>
      <c r="AU17" s="27">
        <f t="shared" ca="1" si="9"/>
        <v>1218418569.4300058</v>
      </c>
      <c r="AV17" s="27">
        <f t="shared" ca="1" si="9"/>
        <v>1169459405.5700045</v>
      </c>
      <c r="AW17" s="27">
        <f t="shared" ca="1" si="9"/>
        <v>1130780937.9100037</v>
      </c>
      <c r="AX17" s="27">
        <f t="shared" ca="1" si="9"/>
        <v>1111980182.8500042</v>
      </c>
      <c r="AY17" s="27">
        <f t="shared" ca="1" si="9"/>
        <v>1021603674.4900088</v>
      </c>
      <c r="AZ17" s="27">
        <f t="shared" ca="1" si="9"/>
        <v>982260709.01001</v>
      </c>
      <c r="BA17" s="27">
        <f t="shared" ca="1" si="12"/>
        <v>873941032.08001113</v>
      </c>
      <c r="BB17" s="27">
        <f t="shared" ca="1" si="10"/>
        <v>873941032.08001113</v>
      </c>
      <c r="BC17" s="185">
        <v>7380218.3399999999</v>
      </c>
      <c r="BD17" s="27">
        <v>6704842.7599999998</v>
      </c>
      <c r="BE17" s="27">
        <v>2491086.0400000024</v>
      </c>
      <c r="BF17" s="27">
        <v>13454665.040000003</v>
      </c>
      <c r="BG17" s="27">
        <v>4130079.8700000006</v>
      </c>
      <c r="BH17" s="27">
        <v>7977943.209999999</v>
      </c>
      <c r="BI17" s="27">
        <v>9602787.6200000066</v>
      </c>
      <c r="BJ17" s="27">
        <v>7617035.9200000018</v>
      </c>
      <c r="BK17" s="27">
        <v>7434546.1199999992</v>
      </c>
      <c r="BL17" s="27">
        <v>13299320.510000004</v>
      </c>
      <c r="BM17" s="27">
        <v>6588351.2600000016</v>
      </c>
      <c r="BN17" s="27">
        <v>6899691.0800000001</v>
      </c>
      <c r="BO17" s="27">
        <v>41602442.580000013</v>
      </c>
      <c r="BP17" s="27">
        <v>17118175.050000004</v>
      </c>
      <c r="BQ17" s="27">
        <v>6461780.0299999975</v>
      </c>
      <c r="BR17" s="27">
        <v>23215551.960000001</v>
      </c>
      <c r="BS17" s="28">
        <v>699409.81999999937</v>
      </c>
      <c r="BU17" s="183">
        <f t="shared" ca="1" si="2"/>
        <v>0.39180423972650941</v>
      </c>
      <c r="BV17" s="184">
        <f t="shared" ca="1" si="2"/>
        <v>0.37606024638331115</v>
      </c>
      <c r="BW17" s="184">
        <f t="shared" ca="1" si="2"/>
        <v>0.14678727208453574</v>
      </c>
      <c r="BX17" s="184">
        <f t="shared" ca="1" si="2"/>
        <v>0.81875771115640339</v>
      </c>
      <c r="BY17" s="184">
        <f t="shared" ca="1" si="2"/>
        <v>0.26800777218286104</v>
      </c>
      <c r="BZ17" s="184">
        <f t="shared" ca="1" si="2"/>
        <v>0.55316562438239769</v>
      </c>
      <c r="CA17" s="184">
        <f t="shared" ca="1" si="2"/>
        <v>0.69980779322320008</v>
      </c>
      <c r="CB17" s="184">
        <f t="shared" ca="1" si="2"/>
        <v>0.5756633239556761</v>
      </c>
      <c r="CC17" s="184">
        <f t="shared" ca="1" si="2"/>
        <v>0.5956243047993286</v>
      </c>
      <c r="CD17" s="184">
        <f t="shared" ca="1" si="2"/>
        <v>1.0915231303657513</v>
      </c>
      <c r="CE17" s="184">
        <f t="shared" ca="1" si="2"/>
        <v>0.56336724717595332</v>
      </c>
      <c r="CF17" s="184">
        <f t="shared" ca="1" si="2"/>
        <v>0.61017044492742689</v>
      </c>
      <c r="CG17" s="184">
        <f t="shared" ca="1" si="2"/>
        <v>3.7412935249774857</v>
      </c>
      <c r="CH17" s="184">
        <f t="shared" ca="1" si="2"/>
        <v>1.6756179991761981</v>
      </c>
      <c r="CI17" s="184">
        <f t="shared" ca="1" si="2"/>
        <v>0.65784775576665633</v>
      </c>
      <c r="CJ17" s="184">
        <f t="shared" ca="1" si="3"/>
        <v>0.65784775576665633</v>
      </c>
      <c r="CK17" s="184">
        <f t="shared" ca="1" si="11"/>
        <v>8.0029406370287798E-2</v>
      </c>
    </row>
    <row r="18" spans="1:89" x14ac:dyDescent="0.25">
      <c r="A18" s="190" t="s">
        <v>146</v>
      </c>
      <c r="B18" s="185">
        <v>1133043475.3700001</v>
      </c>
      <c r="C18" s="27">
        <v>1169155619.5200005</v>
      </c>
      <c r="D18" s="27">
        <v>1257162094.4200001</v>
      </c>
      <c r="E18" s="27">
        <v>1239544352.8100004</v>
      </c>
      <c r="F18" s="27">
        <v>1387702761.4400005</v>
      </c>
      <c r="G18" s="27">
        <v>1460985269.9200001</v>
      </c>
      <c r="H18" s="27">
        <v>1481824372.7800004</v>
      </c>
      <c r="I18" s="27">
        <v>1500789310.4100006</v>
      </c>
      <c r="J18" s="27">
        <v>1425580752.5000007</v>
      </c>
      <c r="K18" s="27">
        <v>1422557377.8000009</v>
      </c>
      <c r="L18" s="27">
        <v>1355838813.0800023</v>
      </c>
      <c r="M18" s="27">
        <v>1401797148.8100002</v>
      </c>
      <c r="N18" s="27">
        <v>1308661361.6600003</v>
      </c>
      <c r="O18" s="27">
        <v>1256425778.0100009</v>
      </c>
      <c r="P18" s="27">
        <v>1316811929.73</v>
      </c>
      <c r="Q18" s="27">
        <v>1186445062.23</v>
      </c>
      <c r="R18" s="182">
        <v>1132571463.1299999</v>
      </c>
      <c r="S18" s="16"/>
      <c r="T18" s="185">
        <v>105896487.7</v>
      </c>
      <c r="U18" s="27">
        <v>86434488.789999992</v>
      </c>
      <c r="V18" s="27">
        <v>61595295.530000001</v>
      </c>
      <c r="W18" s="27">
        <v>71256995.650000006</v>
      </c>
      <c r="X18" s="27">
        <v>99587681.950000003</v>
      </c>
      <c r="Y18" s="27">
        <v>95872223.070000008</v>
      </c>
      <c r="Z18" s="27">
        <v>84025752.599999994</v>
      </c>
      <c r="AA18" s="27">
        <v>86906408.849999994</v>
      </c>
      <c r="AB18" s="27">
        <v>119809955.92</v>
      </c>
      <c r="AC18" s="27">
        <v>96215610.270000011</v>
      </c>
      <c r="AD18" s="27">
        <v>504277537.56999999</v>
      </c>
      <c r="AE18" s="27">
        <v>545778602.9000001</v>
      </c>
      <c r="AF18" s="27">
        <v>49175753.240000002</v>
      </c>
      <c r="AG18" s="27">
        <v>39410554.590000004</v>
      </c>
      <c r="AH18" s="27">
        <v>76291734.25</v>
      </c>
      <c r="AI18" s="27">
        <v>72975770.120000005</v>
      </c>
      <c r="AJ18" s="182">
        <v>225951989.24000001</v>
      </c>
      <c r="AK18" s="16"/>
      <c r="AL18" s="185">
        <f t="shared" ca="1" si="9"/>
        <v>1027146987.6700001</v>
      </c>
      <c r="AM18" s="27">
        <f t="shared" ca="1" si="9"/>
        <v>1082721130.7300005</v>
      </c>
      <c r="AN18" s="27">
        <f t="shared" ca="1" si="9"/>
        <v>1195566798.8900001</v>
      </c>
      <c r="AO18" s="27">
        <f t="shared" ca="1" si="9"/>
        <v>1168287357.1600003</v>
      </c>
      <c r="AP18" s="27">
        <f t="shared" ca="1" si="9"/>
        <v>1288115079.4900005</v>
      </c>
      <c r="AQ18" s="27">
        <f t="shared" ca="1" si="9"/>
        <v>1365113046.8500001</v>
      </c>
      <c r="AR18" s="27">
        <f t="shared" ca="1" si="9"/>
        <v>1397798620.1800005</v>
      </c>
      <c r="AS18" s="27">
        <f t="shared" ca="1" si="9"/>
        <v>1413882901.5600007</v>
      </c>
      <c r="AT18" s="27">
        <f t="shared" ca="1" si="9"/>
        <v>1305770796.5800006</v>
      </c>
      <c r="AU18" s="27">
        <f t="shared" ca="1" si="9"/>
        <v>1326341767.5300009</v>
      </c>
      <c r="AV18" s="27">
        <f t="shared" ca="1" si="9"/>
        <v>851561275.51000237</v>
      </c>
      <c r="AW18" s="27">
        <f t="shared" ca="1" si="9"/>
        <v>856018545.91000009</v>
      </c>
      <c r="AX18" s="27">
        <f t="shared" ca="1" si="9"/>
        <v>1259485608.4200003</v>
      </c>
      <c r="AY18" s="27">
        <f t="shared" ca="1" si="9"/>
        <v>1217015223.420001</v>
      </c>
      <c r="AZ18" s="27">
        <f t="shared" ca="1" si="9"/>
        <v>1240520195.48</v>
      </c>
      <c r="BA18" s="27">
        <f t="shared" ca="1" si="12"/>
        <v>906619473.88999987</v>
      </c>
      <c r="BB18" s="27">
        <f t="shared" ca="1" si="10"/>
        <v>906619473.88999987</v>
      </c>
      <c r="BC18" s="185">
        <v>14259914.710000001</v>
      </c>
      <c r="BD18" s="27">
        <v>305674.26000000164</v>
      </c>
      <c r="BE18" s="27">
        <v>9381514.7399999984</v>
      </c>
      <c r="BF18" s="27">
        <v>2748869.1199999941</v>
      </c>
      <c r="BG18" s="27">
        <v>10753098.129999999</v>
      </c>
      <c r="BH18" s="27">
        <v>69577666.730000004</v>
      </c>
      <c r="BI18" s="27">
        <v>15150621.959999997</v>
      </c>
      <c r="BJ18" s="27">
        <v>4319912.1999999993</v>
      </c>
      <c r="BK18" s="27">
        <v>12150741.249999993</v>
      </c>
      <c r="BL18" s="27">
        <v>15094434.559999999</v>
      </c>
      <c r="BM18" s="27">
        <v>20115081.93</v>
      </c>
      <c r="BN18" s="27">
        <v>7117658.5899999999</v>
      </c>
      <c r="BO18" s="27">
        <v>8351674.1799999997</v>
      </c>
      <c r="BP18" s="27">
        <v>22444821.960000001</v>
      </c>
      <c r="BQ18" s="27">
        <v>47470550.600000001</v>
      </c>
      <c r="BR18" s="27">
        <v>15785952.6</v>
      </c>
      <c r="BS18" s="28">
        <v>2577558</v>
      </c>
      <c r="BU18" s="183">
        <f t="shared" ca="1" si="2"/>
        <v>1.3883032205884638</v>
      </c>
      <c r="BV18" s="184">
        <f t="shared" ca="1" si="2"/>
        <v>2.8232039749137215E-2</v>
      </c>
      <c r="BW18" s="184">
        <f t="shared" ca="1" si="2"/>
        <v>0.78469180883159995</v>
      </c>
      <c r="BX18" s="184">
        <f t="shared" ca="1" si="2"/>
        <v>0.23529049622536732</v>
      </c>
      <c r="BY18" s="184">
        <f t="shared" ca="1" si="2"/>
        <v>0.83479328060171776</v>
      </c>
      <c r="BZ18" s="184">
        <f t="shared" ca="1" si="2"/>
        <v>5.096842850528061</v>
      </c>
      <c r="CA18" s="184">
        <f t="shared" ca="1" si="2"/>
        <v>1.0838916093685216</v>
      </c>
      <c r="CB18" s="184">
        <f t="shared" ca="1" si="2"/>
        <v>0.30553535906217166</v>
      </c>
      <c r="CC18" s="184">
        <f t="shared" ca="1" si="2"/>
        <v>0.9305416602840646</v>
      </c>
      <c r="CD18" s="184">
        <f t="shared" ca="1" si="2"/>
        <v>1.138050156417062</v>
      </c>
      <c r="CE18" s="184">
        <f t="shared" ca="1" si="2"/>
        <v>2.3621414581062323</v>
      </c>
      <c r="CF18" s="184">
        <f t="shared" ca="1" si="2"/>
        <v>0.83148415697389988</v>
      </c>
      <c r="CG18" s="184">
        <f t="shared" ca="1" si="2"/>
        <v>0.66310199371607026</v>
      </c>
      <c r="CH18" s="184">
        <f t="shared" ca="1" si="2"/>
        <v>1.8442515367167371</v>
      </c>
      <c r="CI18" s="184">
        <f t="shared" ca="1" si="2"/>
        <v>3.826664875990351</v>
      </c>
      <c r="CJ18" s="184">
        <f t="shared" ca="1" si="3"/>
        <v>3.826664875990351</v>
      </c>
      <c r="CK18" s="184">
        <f t="shared" ca="1" si="11"/>
        <v>0.28430428357561788</v>
      </c>
    </row>
    <row r="19" spans="1:89" x14ac:dyDescent="0.25">
      <c r="A19" s="190" t="s">
        <v>147</v>
      </c>
      <c r="B19" s="185">
        <v>5619794517.6499815</v>
      </c>
      <c r="C19" s="27">
        <v>5703453531.9399967</v>
      </c>
      <c r="D19" s="27">
        <v>5692249990.5499973</v>
      </c>
      <c r="E19" s="27">
        <v>5664617153.6299963</v>
      </c>
      <c r="F19" s="27">
        <v>5629514222.7199993</v>
      </c>
      <c r="G19" s="27">
        <v>5574793691.4300032</v>
      </c>
      <c r="H19" s="27">
        <v>5396031089.1700039</v>
      </c>
      <c r="I19" s="27">
        <v>5274901533.9600048</v>
      </c>
      <c r="J19" s="27">
        <v>5157282466.0999975</v>
      </c>
      <c r="K19" s="27">
        <v>5042462038.9000053</v>
      </c>
      <c r="L19" s="27">
        <v>4981064450.3299904</v>
      </c>
      <c r="M19" s="27">
        <v>4957874899.0300055</v>
      </c>
      <c r="N19" s="27">
        <v>4818654578.7800055</v>
      </c>
      <c r="O19" s="27">
        <v>4654363016.9800072</v>
      </c>
      <c r="P19" s="27">
        <v>4483390878.7700033</v>
      </c>
      <c r="Q19" s="27">
        <v>4318720531.6700048</v>
      </c>
      <c r="R19" s="182">
        <v>4197791223.7600079</v>
      </c>
      <c r="S19" s="16"/>
      <c r="T19" s="185">
        <v>227255703.90000004</v>
      </c>
      <c r="U19" s="27">
        <v>220834786.65000001</v>
      </c>
      <c r="V19" s="27">
        <v>220199643.79999995</v>
      </c>
      <c r="W19" s="27">
        <v>196445570.01999998</v>
      </c>
      <c r="X19" s="27">
        <v>247139835.79000005</v>
      </c>
      <c r="Y19" s="27">
        <v>312279371.12000006</v>
      </c>
      <c r="Z19" s="27">
        <v>260222918.55000004</v>
      </c>
      <c r="AA19" s="27">
        <v>233702727.17000005</v>
      </c>
      <c r="AB19" s="27">
        <v>214713605.04000002</v>
      </c>
      <c r="AC19" s="27">
        <v>144612881.59</v>
      </c>
      <c r="AD19" s="27">
        <v>152029661.56</v>
      </c>
      <c r="AE19" s="27">
        <v>298079737.13000005</v>
      </c>
      <c r="AF19" s="27">
        <v>312680356.98000014</v>
      </c>
      <c r="AG19" s="27">
        <v>279530836.38999999</v>
      </c>
      <c r="AH19" s="27">
        <v>249140951.76999974</v>
      </c>
      <c r="AI19" s="27">
        <v>156683380.75</v>
      </c>
      <c r="AJ19" s="182">
        <v>152844014.28999996</v>
      </c>
      <c r="AK19" s="16"/>
      <c r="AL19" s="185">
        <f t="shared" ca="1" si="9"/>
        <v>5392538813.7499819</v>
      </c>
      <c r="AM19" s="27">
        <f t="shared" ca="1" si="9"/>
        <v>5482618745.2899971</v>
      </c>
      <c r="AN19" s="27">
        <f t="shared" ca="1" si="9"/>
        <v>5472050346.7499971</v>
      </c>
      <c r="AO19" s="27">
        <f t="shared" ca="1" si="9"/>
        <v>5468171583.6099968</v>
      </c>
      <c r="AP19" s="27">
        <f t="shared" ca="1" si="9"/>
        <v>5382374386.9299994</v>
      </c>
      <c r="AQ19" s="27">
        <f t="shared" ca="1" si="9"/>
        <v>5262514320.3100033</v>
      </c>
      <c r="AR19" s="27">
        <f t="shared" ca="1" si="9"/>
        <v>5135808170.6200037</v>
      </c>
      <c r="AS19" s="27">
        <f t="shared" ca="1" si="9"/>
        <v>5041198806.7900047</v>
      </c>
      <c r="AT19" s="27">
        <f t="shared" ca="1" si="9"/>
        <v>4942568861.0599976</v>
      </c>
      <c r="AU19" s="27">
        <f t="shared" ca="1" si="9"/>
        <v>4897849157.3100052</v>
      </c>
      <c r="AV19" s="27">
        <f t="shared" ca="1" si="9"/>
        <v>4829034788.76999</v>
      </c>
      <c r="AW19" s="27">
        <f t="shared" ca="1" si="9"/>
        <v>4659795161.9000053</v>
      </c>
      <c r="AX19" s="27">
        <f t="shared" ca="1" si="9"/>
        <v>4505974221.800005</v>
      </c>
      <c r="AY19" s="27">
        <f t="shared" ca="1" si="9"/>
        <v>4374832180.5900068</v>
      </c>
      <c r="AZ19" s="27">
        <f t="shared" ca="1" si="9"/>
        <v>4234249927.0000038</v>
      </c>
      <c r="BA19" s="27">
        <f t="shared" ca="1" si="12"/>
        <v>4044947209.4700079</v>
      </c>
      <c r="BB19" s="27">
        <f t="shared" ca="1" si="10"/>
        <v>4044947209.4700079</v>
      </c>
      <c r="BC19" s="185">
        <v>17716779.679999996</v>
      </c>
      <c r="BD19" s="27">
        <v>20534523</v>
      </c>
      <c r="BE19" s="27">
        <v>33252705.739999991</v>
      </c>
      <c r="BF19" s="27">
        <v>31014477.439999998</v>
      </c>
      <c r="BG19" s="27">
        <v>37676347.990000002</v>
      </c>
      <c r="BH19" s="27">
        <v>28120188.390000001</v>
      </c>
      <c r="BI19" s="27">
        <v>40057414.069999993</v>
      </c>
      <c r="BJ19" s="27">
        <v>41583130.810000002</v>
      </c>
      <c r="BK19" s="27">
        <v>27376326.439999998</v>
      </c>
      <c r="BL19" s="27">
        <v>41929608.489999995</v>
      </c>
      <c r="BM19" s="27">
        <v>43292516.709999993</v>
      </c>
      <c r="BN19" s="27">
        <v>47595421.120000005</v>
      </c>
      <c r="BO19" s="27">
        <v>31438242.710000001</v>
      </c>
      <c r="BP19" s="27">
        <v>24327954.859999996</v>
      </c>
      <c r="BQ19" s="27">
        <v>17809409.700000003</v>
      </c>
      <c r="BR19" s="27">
        <v>24468089.799999997</v>
      </c>
      <c r="BS19" s="28">
        <v>4807141.080000001</v>
      </c>
      <c r="BU19" s="183">
        <f t="shared" ref="BU19:CI47" ca="1" si="13">IFERROR(BC19/AL19,0)*100</f>
        <v>0.32854246008995741</v>
      </c>
      <c r="BV19" s="184">
        <f t="shared" ca="1" si="13"/>
        <v>0.37453859102715792</v>
      </c>
      <c r="BW19" s="184">
        <f t="shared" ca="1" si="13"/>
        <v>0.60768274472748041</v>
      </c>
      <c r="BX19" s="184">
        <f t="shared" ca="1" si="13"/>
        <v>0.56718186263505554</v>
      </c>
      <c r="BY19" s="184">
        <f t="shared" ca="1" si="13"/>
        <v>0.69999493311891026</v>
      </c>
      <c r="BZ19" s="184">
        <f t="shared" ca="1" si="13"/>
        <v>0.53434891913687943</v>
      </c>
      <c r="CA19" s="184">
        <f t="shared" ca="1" si="13"/>
        <v>0.77996320616399106</v>
      </c>
      <c r="CB19" s="184">
        <f t="shared" ca="1" si="13"/>
        <v>0.8248659178842852</v>
      </c>
      <c r="CC19" s="184">
        <f t="shared" ca="1" si="13"/>
        <v>0.55388861965453307</v>
      </c>
      <c r="CD19" s="184">
        <f t="shared" ca="1" si="13"/>
        <v>0.85608207078856946</v>
      </c>
      <c r="CE19" s="184">
        <f t="shared" ca="1" si="13"/>
        <v>0.89650455222806735</v>
      </c>
      <c r="CF19" s="184">
        <f t="shared" ca="1" si="13"/>
        <v>1.0214058658448246</v>
      </c>
      <c r="CG19" s="184">
        <f t="shared" ca="1" si="13"/>
        <v>0.69770134409338325</v>
      </c>
      <c r="CH19" s="184">
        <f t="shared" ca="1" si="13"/>
        <v>0.55608887051569211</v>
      </c>
      <c r="CI19" s="184">
        <f t="shared" ca="1" si="13"/>
        <v>0.42060364898247976</v>
      </c>
      <c r="CJ19" s="184">
        <f t="shared" ca="1" si="3"/>
        <v>0.42060364898247976</v>
      </c>
      <c r="CK19" s="184">
        <f t="shared" ca="1" si="11"/>
        <v>0.11884311045507713</v>
      </c>
    </row>
    <row r="20" spans="1:89" x14ac:dyDescent="0.25">
      <c r="A20" s="190" t="s">
        <v>148</v>
      </c>
      <c r="B20" s="185">
        <v>1235550523.4800224</v>
      </c>
      <c r="C20" s="27">
        <v>1206456765.4000187</v>
      </c>
      <c r="D20" s="27">
        <v>1163064457.579994</v>
      </c>
      <c r="E20" s="27">
        <v>1104724848.0900064</v>
      </c>
      <c r="F20" s="27">
        <v>1038200660.2600051</v>
      </c>
      <c r="G20" s="27">
        <v>1012934356.1100113</v>
      </c>
      <c r="H20" s="27">
        <v>981152201.83001423</v>
      </c>
      <c r="I20" s="27">
        <v>952044306.1000154</v>
      </c>
      <c r="J20" s="27">
        <v>937528098.07001042</v>
      </c>
      <c r="K20" s="27">
        <v>940459622.16001558</v>
      </c>
      <c r="L20" s="27">
        <v>927914960.51000547</v>
      </c>
      <c r="M20" s="27">
        <v>908881700.17001343</v>
      </c>
      <c r="N20" s="27">
        <v>896071868.41001558</v>
      </c>
      <c r="O20" s="27">
        <v>873827157.38001466</v>
      </c>
      <c r="P20" s="27">
        <v>848833313.99001336</v>
      </c>
      <c r="Q20" s="27">
        <v>832094887.01001382</v>
      </c>
      <c r="R20" s="182">
        <v>808555688.95001388</v>
      </c>
      <c r="S20" s="16"/>
      <c r="T20" s="185">
        <v>49289859.890000068</v>
      </c>
      <c r="U20" s="27">
        <v>83254096.220000029</v>
      </c>
      <c r="V20" s="27">
        <v>98595623.629999995</v>
      </c>
      <c r="W20" s="27">
        <v>70838536.680000007</v>
      </c>
      <c r="X20" s="27">
        <v>41250981.119999968</v>
      </c>
      <c r="Y20" s="27">
        <v>41672944.93999999</v>
      </c>
      <c r="Z20" s="27">
        <v>23702769.520000003</v>
      </c>
      <c r="AA20" s="27">
        <v>11566395.640000001</v>
      </c>
      <c r="AB20" s="27">
        <v>6360027.9600000009</v>
      </c>
      <c r="AC20" s="27">
        <v>6788299.7099999981</v>
      </c>
      <c r="AD20" s="27">
        <v>6742240.9699999988</v>
      </c>
      <c r="AE20" s="27">
        <v>8341008.6100000013</v>
      </c>
      <c r="AF20" s="27">
        <v>7758674.7800000003</v>
      </c>
      <c r="AG20" s="27">
        <v>11921100.9</v>
      </c>
      <c r="AH20" s="27">
        <v>9023061.9399999995</v>
      </c>
      <c r="AI20" s="27">
        <v>2185783.0700000003</v>
      </c>
      <c r="AJ20" s="182">
        <v>1131297.6000000001</v>
      </c>
      <c r="AK20" s="16"/>
      <c r="AL20" s="185">
        <f t="shared" ca="1" si="9"/>
        <v>1186260663.5900223</v>
      </c>
      <c r="AM20" s="27">
        <f t="shared" ca="1" si="9"/>
        <v>1123202669.1800187</v>
      </c>
      <c r="AN20" s="27">
        <f t="shared" ca="1" si="9"/>
        <v>1064468833.949994</v>
      </c>
      <c r="AO20" s="27">
        <f t="shared" ca="1" si="9"/>
        <v>1033886311.4100063</v>
      </c>
      <c r="AP20" s="27">
        <f t="shared" ca="1" si="9"/>
        <v>996949679.14000511</v>
      </c>
      <c r="AQ20" s="27">
        <f t="shared" ca="1" si="9"/>
        <v>971261411.1700114</v>
      </c>
      <c r="AR20" s="27">
        <f t="shared" ca="1" si="9"/>
        <v>957449432.31001425</v>
      </c>
      <c r="AS20" s="27">
        <f t="shared" ca="1" si="9"/>
        <v>940477910.46001542</v>
      </c>
      <c r="AT20" s="27">
        <f t="shared" ca="1" si="9"/>
        <v>931168070.11001039</v>
      </c>
      <c r="AU20" s="27">
        <f t="shared" ca="1" si="9"/>
        <v>933671322.45001554</v>
      </c>
      <c r="AV20" s="27">
        <f t="shared" ca="1" si="9"/>
        <v>921172719.54000545</v>
      </c>
      <c r="AW20" s="27">
        <f t="shared" ca="1" si="9"/>
        <v>900540691.56001341</v>
      </c>
      <c r="AX20" s="27">
        <f t="shared" ca="1" si="9"/>
        <v>888313193.63001561</v>
      </c>
      <c r="AY20" s="27">
        <f t="shared" ca="1" si="9"/>
        <v>861906056.48001468</v>
      </c>
      <c r="AZ20" s="27">
        <f t="shared" ca="1" si="9"/>
        <v>839810252.0500133</v>
      </c>
      <c r="BA20" s="27">
        <f t="shared" ca="1" si="12"/>
        <v>807424391.35001385</v>
      </c>
      <c r="BB20" s="27">
        <f t="shared" ca="1" si="10"/>
        <v>807424391.35001385</v>
      </c>
      <c r="BC20" s="185">
        <v>9448629.1700000018</v>
      </c>
      <c r="BD20" s="27">
        <v>11678771.170000004</v>
      </c>
      <c r="BE20" s="27">
        <v>7081811.8999999966</v>
      </c>
      <c r="BF20" s="27">
        <v>9865521.339999998</v>
      </c>
      <c r="BG20" s="27">
        <v>7303352.7599999998</v>
      </c>
      <c r="BH20" s="27">
        <v>5056211.75</v>
      </c>
      <c r="BI20" s="27">
        <v>12181328.949999999</v>
      </c>
      <c r="BJ20" s="27">
        <v>8985062.9699999988</v>
      </c>
      <c r="BK20" s="27">
        <v>9010807.4100000001</v>
      </c>
      <c r="BL20" s="27">
        <v>12094273.109999999</v>
      </c>
      <c r="BM20" s="27">
        <v>16603477.079999998</v>
      </c>
      <c r="BN20" s="27">
        <v>12496141.35</v>
      </c>
      <c r="BO20" s="27">
        <v>10901681.25</v>
      </c>
      <c r="BP20" s="27">
        <v>20055884.449999999</v>
      </c>
      <c r="BQ20" s="27">
        <v>5333286.2799999993</v>
      </c>
      <c r="BR20" s="27">
        <v>24441801.859999999</v>
      </c>
      <c r="BS20" s="28">
        <v>2846134.6399999997</v>
      </c>
      <c r="BU20" s="183">
        <f t="shared" ca="1" si="13"/>
        <v>0.79650530949962417</v>
      </c>
      <c r="BV20" s="184">
        <f t="shared" ca="1" si="13"/>
        <v>1.0397741645793948</v>
      </c>
      <c r="BW20" s="184">
        <f t="shared" ca="1" si="13"/>
        <v>0.66529067588771529</v>
      </c>
      <c r="BX20" s="184">
        <f t="shared" ca="1" si="13"/>
        <v>0.95421723173271111</v>
      </c>
      <c r="BY20" s="184">
        <f t="shared" ca="1" si="13"/>
        <v>0.73256984909208889</v>
      </c>
      <c r="BZ20" s="184">
        <f t="shared" ca="1" si="13"/>
        <v>0.52058196607534646</v>
      </c>
      <c r="CA20" s="184">
        <f t="shared" ca="1" si="13"/>
        <v>1.2722686482366397</v>
      </c>
      <c r="CB20" s="184">
        <f t="shared" ca="1" si="13"/>
        <v>0.95537203692590089</v>
      </c>
      <c r="CC20" s="184">
        <f t="shared" ca="1" si="13"/>
        <v>0.96768861596977251</v>
      </c>
      <c r="CD20" s="184">
        <f t="shared" ca="1" si="13"/>
        <v>1.2953458909141413</v>
      </c>
      <c r="CE20" s="184">
        <f t="shared" ca="1" si="13"/>
        <v>1.8024282230471467</v>
      </c>
      <c r="CF20" s="184">
        <f t="shared" ca="1" si="13"/>
        <v>1.3876265078430647</v>
      </c>
      <c r="CG20" s="184">
        <f t="shared" ca="1" si="13"/>
        <v>1.2272339674986943</v>
      </c>
      <c r="CH20" s="184">
        <f t="shared" ca="1" si="13"/>
        <v>2.3269223251438009</v>
      </c>
      <c r="CI20" s="184">
        <f t="shared" ca="1" si="13"/>
        <v>0.63505848695955014</v>
      </c>
      <c r="CJ20" s="184">
        <f t="shared" ca="1" si="3"/>
        <v>0.63505848695955014</v>
      </c>
      <c r="CK20" s="184">
        <f t="shared" ca="1" si="11"/>
        <v>0.35249549932982105</v>
      </c>
    </row>
    <row r="21" spans="1:89" ht="15.75" thickBot="1" x14ac:dyDescent="0.3">
      <c r="A21" s="190" t="s">
        <v>149</v>
      </c>
      <c r="B21" s="185">
        <v>4079889259.5800004</v>
      </c>
      <c r="C21" s="27">
        <v>4092543041.3700008</v>
      </c>
      <c r="D21" s="27">
        <v>4393535893.8400021</v>
      </c>
      <c r="E21" s="27">
        <v>4463236894.9000044</v>
      </c>
      <c r="F21" s="27">
        <v>3983631585.7500033</v>
      </c>
      <c r="G21" s="27">
        <v>3884496105.2800074</v>
      </c>
      <c r="H21" s="27">
        <v>3744943012.310009</v>
      </c>
      <c r="I21" s="27">
        <v>3630774391.7400079</v>
      </c>
      <c r="J21" s="27">
        <v>3515626721.8200121</v>
      </c>
      <c r="K21" s="27">
        <v>3480244314.5700059</v>
      </c>
      <c r="L21" s="27">
        <v>3405134452.9700122</v>
      </c>
      <c r="M21" s="27">
        <v>3343229995.0300093</v>
      </c>
      <c r="N21" s="27">
        <v>3245795429.3100042</v>
      </c>
      <c r="O21" s="27">
        <v>3141234966.8000064</v>
      </c>
      <c r="P21" s="27">
        <v>3055207365.7300072</v>
      </c>
      <c r="Q21" s="27">
        <v>2993990754.8400078</v>
      </c>
      <c r="R21" s="182">
        <v>2938589698.3800082</v>
      </c>
      <c r="S21" s="16"/>
      <c r="T21" s="185">
        <v>206282757.18999994</v>
      </c>
      <c r="U21" s="27">
        <v>156190158.36999995</v>
      </c>
      <c r="V21" s="27">
        <v>122924950.61000001</v>
      </c>
      <c r="W21" s="27">
        <v>167897079.06999999</v>
      </c>
      <c r="X21" s="27">
        <v>216493600.17999995</v>
      </c>
      <c r="Y21" s="27">
        <v>244146721.69</v>
      </c>
      <c r="Z21" s="27">
        <v>203089571.34000006</v>
      </c>
      <c r="AA21" s="27">
        <v>155929290.53999999</v>
      </c>
      <c r="AB21" s="27">
        <v>125674413.92999999</v>
      </c>
      <c r="AC21" s="27">
        <v>98006636.899999991</v>
      </c>
      <c r="AD21" s="27">
        <v>105840101.80000001</v>
      </c>
      <c r="AE21" s="27">
        <v>140376642.20999998</v>
      </c>
      <c r="AF21" s="27">
        <v>107830657.96999998</v>
      </c>
      <c r="AG21" s="27">
        <v>100110648.74000001</v>
      </c>
      <c r="AH21" s="27">
        <v>95894422.25999999</v>
      </c>
      <c r="AI21" s="27">
        <v>84202497.5</v>
      </c>
      <c r="AJ21" s="182">
        <v>81035334.420000002</v>
      </c>
      <c r="AK21" s="16"/>
      <c r="AL21" s="185">
        <f t="shared" ca="1" si="9"/>
        <v>3873606502.3900003</v>
      </c>
      <c r="AM21" s="27">
        <f t="shared" ca="1" si="9"/>
        <v>3936352883.000001</v>
      </c>
      <c r="AN21" s="27">
        <f t="shared" ca="1" si="9"/>
        <v>4270610943.2300019</v>
      </c>
      <c r="AO21" s="27">
        <f t="shared" ca="1" si="9"/>
        <v>4295339815.8300047</v>
      </c>
      <c r="AP21" s="27">
        <f t="shared" ca="1" si="9"/>
        <v>3767137985.5700035</v>
      </c>
      <c r="AQ21" s="27">
        <f t="shared" ca="1" si="9"/>
        <v>3640349383.5900073</v>
      </c>
      <c r="AR21" s="27">
        <f t="shared" ca="1" si="9"/>
        <v>3541853440.9700089</v>
      </c>
      <c r="AS21" s="27">
        <f t="shared" ca="1" si="9"/>
        <v>3474845101.2000079</v>
      </c>
      <c r="AT21" s="27">
        <f t="shared" ca="1" si="9"/>
        <v>3389952307.8900123</v>
      </c>
      <c r="AU21" s="27">
        <f t="shared" ca="1" si="9"/>
        <v>3382237677.6700058</v>
      </c>
      <c r="AV21" s="27">
        <f t="shared" ca="1" si="9"/>
        <v>3299294351.170012</v>
      </c>
      <c r="AW21" s="27">
        <f t="shared" ca="1" si="9"/>
        <v>3202853352.8200092</v>
      </c>
      <c r="AX21" s="27">
        <f t="shared" ca="1" si="9"/>
        <v>3137964771.3400044</v>
      </c>
      <c r="AY21" s="27">
        <f t="shared" ca="1" si="9"/>
        <v>3041124318.0600061</v>
      </c>
      <c r="AZ21" s="27">
        <f t="shared" ca="1" si="9"/>
        <v>2959312943.4700069</v>
      </c>
      <c r="BA21" s="27">
        <f t="shared" ca="1" si="12"/>
        <v>2857554363.9600081</v>
      </c>
      <c r="BB21" s="27">
        <f t="shared" ca="1" si="10"/>
        <v>2857554363.9600081</v>
      </c>
      <c r="BC21" s="185">
        <v>35055555.839999996</v>
      </c>
      <c r="BD21" s="27">
        <v>21934515.030000001</v>
      </c>
      <c r="BE21" s="27">
        <v>24338247.110000003</v>
      </c>
      <c r="BF21" s="27">
        <v>30870483.300000001</v>
      </c>
      <c r="BG21" s="27">
        <v>32479981.449999996</v>
      </c>
      <c r="BH21" s="27">
        <v>23846091.57</v>
      </c>
      <c r="BI21" s="27">
        <v>25764169.209999997</v>
      </c>
      <c r="BJ21" s="27">
        <v>34057477.189999998</v>
      </c>
      <c r="BK21" s="27">
        <v>23948929.899999999</v>
      </c>
      <c r="BL21" s="27">
        <v>39215486.380000003</v>
      </c>
      <c r="BM21" s="27">
        <v>24148805.559999999</v>
      </c>
      <c r="BN21" s="27">
        <v>25456360.639999997</v>
      </c>
      <c r="BO21" s="27">
        <v>35107615.450000003</v>
      </c>
      <c r="BP21" s="27">
        <v>24174310.940000001</v>
      </c>
      <c r="BQ21" s="27">
        <v>7873168.0100000016</v>
      </c>
      <c r="BR21" s="27">
        <v>25877301.599999994</v>
      </c>
      <c r="BS21" s="28">
        <v>5919974.4900000002</v>
      </c>
      <c r="BU21" s="183">
        <f t="shared" ca="1" si="13"/>
        <v>0.90498494925519291</v>
      </c>
      <c r="BV21" s="184">
        <f t="shared" ca="1" si="13"/>
        <v>0.557229386743475</v>
      </c>
      <c r="BW21" s="184">
        <f t="shared" ca="1" si="13"/>
        <v>0.56990082762238692</v>
      </c>
      <c r="BX21" s="184">
        <f t="shared" ca="1" si="13"/>
        <v>0.71869711416615323</v>
      </c>
      <c r="BY21" s="184">
        <f t="shared" ca="1" si="13"/>
        <v>0.86219250726717067</v>
      </c>
      <c r="BZ21" s="184">
        <f t="shared" ca="1" si="13"/>
        <v>0.65504953116570563</v>
      </c>
      <c r="CA21" s="184">
        <f t="shared" ca="1" si="13"/>
        <v>0.72742053389267158</v>
      </c>
      <c r="CB21" s="184">
        <f t="shared" ca="1" si="13"/>
        <v>0.98011497485854959</v>
      </c>
      <c r="CC21" s="184">
        <f t="shared" ca="1" si="13"/>
        <v>0.7064680480683927</v>
      </c>
      <c r="CD21" s="184">
        <f t="shared" ca="1" si="13"/>
        <v>1.1594538916914678</v>
      </c>
      <c r="CE21" s="184">
        <f t="shared" ca="1" si="13"/>
        <v>0.73193849925624943</v>
      </c>
      <c r="CF21" s="184">
        <f t="shared" ca="1" si="13"/>
        <v>0.79480256620511491</v>
      </c>
      <c r="CG21" s="184">
        <f t="shared" ca="1" si="13"/>
        <v>1.1188020901524656</v>
      </c>
      <c r="CH21" s="184">
        <f t="shared" ca="1" si="13"/>
        <v>0.79491360469674188</v>
      </c>
      <c r="CI21" s="184">
        <f t="shared" ca="1" si="13"/>
        <v>0.26604715893169945</v>
      </c>
      <c r="CJ21" s="184">
        <f t="shared" ca="1" si="3"/>
        <v>0.26604715893169945</v>
      </c>
      <c r="CK21" s="184">
        <f t="shared" ca="1" si="11"/>
        <v>0.20716926910171116</v>
      </c>
    </row>
    <row r="22" spans="1:89" ht="15.75" thickBot="1" x14ac:dyDescent="0.3">
      <c r="A22" s="191" t="s">
        <v>150</v>
      </c>
      <c r="B22" s="192">
        <f t="shared" ref="B22:R22" ca="1" si="14">SUM(B14:B21)</f>
        <v>16823267238.559998</v>
      </c>
      <c r="C22" s="193">
        <f t="shared" ca="1" si="14"/>
        <v>16797692108.43001</v>
      </c>
      <c r="D22" s="193">
        <f t="shared" ca="1" si="14"/>
        <v>16971569447.880009</v>
      </c>
      <c r="E22" s="193">
        <f t="shared" ca="1" si="14"/>
        <v>16779977464.040009</v>
      </c>
      <c r="F22" s="193">
        <f t="shared" ca="1" si="14"/>
        <v>16132714891.660019</v>
      </c>
      <c r="G22" s="193">
        <f t="shared" ca="1" si="14"/>
        <v>15858509785.860035</v>
      </c>
      <c r="H22" s="193">
        <f t="shared" ca="1" si="14"/>
        <v>15341242041.050037</v>
      </c>
      <c r="I22" s="193">
        <f t="shared" ca="1" si="14"/>
        <v>14961692378.270041</v>
      </c>
      <c r="J22" s="193">
        <f t="shared" ca="1" si="14"/>
        <v>14578090877.880028</v>
      </c>
      <c r="K22" s="193">
        <f t="shared" ca="1" si="14"/>
        <v>14368782747.18004</v>
      </c>
      <c r="L22" s="193">
        <f t="shared" ca="1" si="14"/>
        <v>14032508852.960022</v>
      </c>
      <c r="M22" s="193">
        <f t="shared" ca="1" si="14"/>
        <v>13870644730.180038</v>
      </c>
      <c r="N22" s="193">
        <f t="shared" ca="1" si="14"/>
        <v>13344286868.299038</v>
      </c>
      <c r="O22" s="193">
        <f t="shared" ca="1" si="14"/>
        <v>12667685299.249044</v>
      </c>
      <c r="P22" s="193">
        <f ca="1">SUM(P14:P21)</f>
        <v>12530334751.939039</v>
      </c>
      <c r="Q22" s="193">
        <f ca="1">SUM(Q14:Q21)</f>
        <v>11881582339.719042</v>
      </c>
      <c r="R22" s="194">
        <f t="shared" ca="1" si="14"/>
        <v>11456631578.359047</v>
      </c>
      <c r="S22" s="16"/>
      <c r="T22" s="192">
        <f t="shared" ref="T22:AJ22" ca="1" si="15">SUM(T14:T21)</f>
        <v>741667998.88999999</v>
      </c>
      <c r="U22" s="193">
        <f t="shared" ca="1" si="15"/>
        <v>733524698.04999995</v>
      </c>
      <c r="V22" s="193">
        <f t="shared" ca="1" si="15"/>
        <v>794594064.96999991</v>
      </c>
      <c r="W22" s="193">
        <f t="shared" ca="1" si="15"/>
        <v>815467952.3499999</v>
      </c>
      <c r="X22" s="193">
        <f t="shared" ca="1" si="15"/>
        <v>877689124.30999994</v>
      </c>
      <c r="Y22" s="193">
        <f t="shared" ca="1" si="15"/>
        <v>943091686.77999997</v>
      </c>
      <c r="Z22" s="193">
        <f t="shared" ca="1" si="15"/>
        <v>743618179.51000011</v>
      </c>
      <c r="AA22" s="193">
        <f t="shared" ca="1" si="15"/>
        <v>619942833.80999994</v>
      </c>
      <c r="AB22" s="193">
        <f t="shared" ca="1" si="15"/>
        <v>615706781.87</v>
      </c>
      <c r="AC22" s="193">
        <f t="shared" ca="1" si="15"/>
        <v>504953659.56999999</v>
      </c>
      <c r="AD22" s="193">
        <f t="shared" ca="1" si="15"/>
        <v>1266813453.74</v>
      </c>
      <c r="AE22" s="193">
        <f t="shared" ca="1" si="15"/>
        <v>1458661771.6500001</v>
      </c>
      <c r="AF22" s="193">
        <f t="shared" ca="1" si="15"/>
        <v>818895065.79000032</v>
      </c>
      <c r="AG22" s="193">
        <f t="shared" ca="1" si="15"/>
        <v>564282034.93999994</v>
      </c>
      <c r="AH22" s="193">
        <f ca="1">SUM(AH14:AH21)</f>
        <v>558470797.76999974</v>
      </c>
      <c r="AI22" s="193">
        <f ca="1">SUM(AI14:AI21)</f>
        <v>793660020.59999979</v>
      </c>
      <c r="AJ22" s="193">
        <f t="shared" ca="1" si="15"/>
        <v>838410753.96999979</v>
      </c>
      <c r="AK22" s="16"/>
      <c r="AL22" s="192">
        <f t="shared" ref="AL22:BR22" ca="1" si="16">SUM(AL14:AL21)</f>
        <v>16081599239.669998</v>
      </c>
      <c r="AM22" s="193">
        <f t="shared" ca="1" si="16"/>
        <v>16064167410.380009</v>
      </c>
      <c r="AN22" s="193">
        <f t="shared" ca="1" si="16"/>
        <v>16176975382.910007</v>
      </c>
      <c r="AO22" s="193">
        <f t="shared" ca="1" si="16"/>
        <v>15964509511.69001</v>
      </c>
      <c r="AP22" s="193">
        <f t="shared" ca="1" si="16"/>
        <v>15255025767.350018</v>
      </c>
      <c r="AQ22" s="193">
        <f t="shared" ca="1" si="16"/>
        <v>14915418099.080034</v>
      </c>
      <c r="AR22" s="193">
        <f t="shared" ca="1" si="16"/>
        <v>14597623861.540039</v>
      </c>
      <c r="AS22" s="193">
        <f t="shared" ca="1" si="16"/>
        <v>14341749544.460043</v>
      </c>
      <c r="AT22" s="193">
        <f t="shared" ca="1" si="16"/>
        <v>13962384096.010029</v>
      </c>
      <c r="AU22" s="193">
        <f t="shared" ca="1" si="16"/>
        <v>13863829087.610041</v>
      </c>
      <c r="AV22" s="193">
        <f t="shared" ca="1" si="16"/>
        <v>12765695399.220018</v>
      </c>
      <c r="AW22" s="193">
        <f t="shared" ca="1" si="16"/>
        <v>12411982958.530037</v>
      </c>
      <c r="AX22" s="193">
        <f t="shared" ca="1" si="16"/>
        <v>12525391802.509037</v>
      </c>
      <c r="AY22" s="193">
        <f t="shared" ca="1" si="16"/>
        <v>12103403264.309044</v>
      </c>
      <c r="AZ22" s="193">
        <f ca="1">SUM(AZ14:AZ21)</f>
        <v>11971863954.169041</v>
      </c>
      <c r="BA22" s="193">
        <f t="shared" ca="1" si="16"/>
        <v>10622770371.859045</v>
      </c>
      <c r="BB22" s="193">
        <f ca="1">SUM(BB14:BB21)</f>
        <v>10618220824.389048</v>
      </c>
      <c r="BC22" s="192">
        <f t="shared" ca="1" si="16"/>
        <v>95739063.609999985</v>
      </c>
      <c r="BD22" s="193">
        <f t="shared" ca="1" si="16"/>
        <v>76059669.109999999</v>
      </c>
      <c r="BE22" s="193">
        <f t="shared" ca="1" si="16"/>
        <v>97399202.679999977</v>
      </c>
      <c r="BF22" s="193">
        <f t="shared" ca="1" si="16"/>
        <v>106950376.11</v>
      </c>
      <c r="BG22" s="193">
        <f t="shared" ca="1" si="16"/>
        <v>112823422.90000001</v>
      </c>
      <c r="BH22" s="193">
        <f t="shared" ca="1" si="16"/>
        <v>155294538.24000001</v>
      </c>
      <c r="BI22" s="193">
        <f t="shared" ca="1" si="16"/>
        <v>130925801.47999999</v>
      </c>
      <c r="BJ22" s="193">
        <f t="shared" ca="1" si="16"/>
        <v>124183091.54000001</v>
      </c>
      <c r="BK22" s="193">
        <f t="shared" ca="1" si="16"/>
        <v>101583892.31999999</v>
      </c>
      <c r="BL22" s="193">
        <f t="shared" ca="1" si="16"/>
        <v>153969358.22999999</v>
      </c>
      <c r="BM22" s="193">
        <f t="shared" ca="1" si="16"/>
        <v>156412959.99000001</v>
      </c>
      <c r="BN22" s="193">
        <f t="shared" ca="1" si="16"/>
        <v>248045842.25999999</v>
      </c>
      <c r="BO22" s="193">
        <f t="shared" ca="1" si="16"/>
        <v>163514514.79000002</v>
      </c>
      <c r="BP22" s="193">
        <f t="shared" ca="1" si="16"/>
        <v>134722319.37</v>
      </c>
      <c r="BQ22" s="193">
        <f ca="1">SUM(BQ14:BQ21)</f>
        <v>99450366.140000001</v>
      </c>
      <c r="BR22" s="193">
        <f t="shared" ca="1" si="16"/>
        <v>150010948.25999999</v>
      </c>
      <c r="BS22" s="194">
        <f ca="1">SUM(BS14:BS21)</f>
        <v>24089962.43</v>
      </c>
      <c r="BU22" s="195">
        <f t="shared" ca="1" si="13"/>
        <v>0.59533297766699356</v>
      </c>
      <c r="BV22" s="196">
        <f t="shared" ca="1" si="13"/>
        <v>0.47347408158142912</v>
      </c>
      <c r="BW22" s="196">
        <f t="shared" ca="1" si="13"/>
        <v>0.60208537365332415</v>
      </c>
      <c r="BX22" s="196">
        <f t="shared" ca="1" si="13"/>
        <v>0.66992585041015884</v>
      </c>
      <c r="BY22" s="196">
        <f t="shared" ca="1" si="13"/>
        <v>0.73958198839279188</v>
      </c>
      <c r="BZ22" s="196">
        <f t="shared" ca="1" si="13"/>
        <v>1.0411678520066321</v>
      </c>
      <c r="CA22" s="196">
        <f t="shared" ca="1" si="13"/>
        <v>0.89689803437768123</v>
      </c>
      <c r="CB22" s="196">
        <f t="shared" ca="1" si="13"/>
        <v>0.86588523356252356</v>
      </c>
      <c r="CC22" s="196">
        <f t="shared" ca="1" si="13"/>
        <v>0.72755405968977171</v>
      </c>
      <c r="CD22" s="196">
        <f t="shared" ca="1" si="13"/>
        <v>1.1105832108648885</v>
      </c>
      <c r="CE22" s="196">
        <f t="shared" ca="1" si="13"/>
        <v>1.2252600042419688</v>
      </c>
      <c r="CF22" s="196">
        <f t="shared" ca="1" si="13"/>
        <v>1.9984384694109854</v>
      </c>
      <c r="CG22" s="196">
        <f t="shared" ca="1" si="13"/>
        <v>1.3054642710437645</v>
      </c>
      <c r="CH22" s="196">
        <f t="shared" ca="1" si="13"/>
        <v>1.1130945274481112</v>
      </c>
      <c r="CI22" s="196">
        <f t="shared" ca="1" si="13"/>
        <v>0.83070077074646131</v>
      </c>
      <c r="CJ22" s="196">
        <f t="shared" ca="1" si="3"/>
        <v>0.83070077074646131</v>
      </c>
      <c r="CK22" s="196">
        <f ca="1">IFERROR(BR22/BA22,0)*100</f>
        <v>1.4121640872271555</v>
      </c>
    </row>
    <row r="23" spans="1:89" x14ac:dyDescent="0.25">
      <c r="A23" s="198" t="s">
        <v>151</v>
      </c>
      <c r="B23" s="199">
        <v>2667479884.2400007</v>
      </c>
      <c r="C23" s="200">
        <v>2659856590.3899994</v>
      </c>
      <c r="D23" s="200">
        <v>2614237507.5899992</v>
      </c>
      <c r="E23" s="200">
        <v>2556512920.2700014</v>
      </c>
      <c r="F23" s="200">
        <v>2493352887.1199975</v>
      </c>
      <c r="G23" s="200">
        <v>2459128984.2599998</v>
      </c>
      <c r="H23" s="200">
        <v>2392726120.5100007</v>
      </c>
      <c r="I23" s="200">
        <v>2448837667.5800004</v>
      </c>
      <c r="J23" s="200">
        <v>2487574996.6400018</v>
      </c>
      <c r="K23" s="200">
        <v>2465062881.920001</v>
      </c>
      <c r="L23" s="200">
        <v>2366674661.4300013</v>
      </c>
      <c r="M23" s="200">
        <v>2348649833.3099966</v>
      </c>
      <c r="N23" s="200">
        <v>2216313806.7399983</v>
      </c>
      <c r="O23" s="200">
        <v>2187215149.4399986</v>
      </c>
      <c r="P23" s="200">
        <v>2230430511.9399977</v>
      </c>
      <c r="Q23" s="200">
        <v>2044187575.5899968</v>
      </c>
      <c r="R23" s="182">
        <v>1981135638.9399972</v>
      </c>
      <c r="S23" s="16"/>
      <c r="T23" s="199">
        <v>57236415.040000007</v>
      </c>
      <c r="U23" s="200">
        <v>129898541.87000002</v>
      </c>
      <c r="V23" s="200">
        <v>189607195.83000004</v>
      </c>
      <c r="W23" s="200">
        <v>169605229.76999998</v>
      </c>
      <c r="X23" s="200">
        <v>104614899.12</v>
      </c>
      <c r="Y23" s="200">
        <v>69697384.810000002</v>
      </c>
      <c r="Z23" s="200">
        <v>60471653.440000005</v>
      </c>
      <c r="AA23" s="200">
        <v>158734981.49000007</v>
      </c>
      <c r="AB23" s="200">
        <v>217343705.67000008</v>
      </c>
      <c r="AC23" s="200">
        <v>160382800.84999996</v>
      </c>
      <c r="AD23" s="200">
        <v>117354117.04000001</v>
      </c>
      <c r="AE23" s="200">
        <v>99919483.359999999</v>
      </c>
      <c r="AF23" s="200">
        <v>69997830.159999996</v>
      </c>
      <c r="AG23" s="200">
        <v>173737590.60999998</v>
      </c>
      <c r="AH23" s="200">
        <v>223883233.81000003</v>
      </c>
      <c r="AI23" s="200">
        <v>137682656.45999998</v>
      </c>
      <c r="AJ23" s="182">
        <v>112929051.15000001</v>
      </c>
      <c r="AK23" s="16"/>
      <c r="AL23" s="185">
        <f t="shared" ref="AL23:AZ26" ca="1" si="17">B23-T23</f>
        <v>2610243469.2000008</v>
      </c>
      <c r="AM23" s="27">
        <f t="shared" ca="1" si="17"/>
        <v>2529958048.5199995</v>
      </c>
      <c r="AN23" s="27">
        <f t="shared" ca="1" si="17"/>
        <v>2424630311.7599993</v>
      </c>
      <c r="AO23" s="27">
        <f t="shared" ca="1" si="17"/>
        <v>2386907690.5000014</v>
      </c>
      <c r="AP23" s="27">
        <f t="shared" ca="1" si="17"/>
        <v>2388737987.9999976</v>
      </c>
      <c r="AQ23" s="27">
        <f t="shared" ca="1" si="17"/>
        <v>2389431599.4499998</v>
      </c>
      <c r="AR23" s="27">
        <f t="shared" ca="1" si="17"/>
        <v>2332254467.0700006</v>
      </c>
      <c r="AS23" s="27">
        <f t="shared" ca="1" si="17"/>
        <v>2290102686.0900002</v>
      </c>
      <c r="AT23" s="27">
        <f t="shared" ca="1" si="17"/>
        <v>2270231290.9700017</v>
      </c>
      <c r="AU23" s="27">
        <f t="shared" ca="1" si="17"/>
        <v>2304680081.0700011</v>
      </c>
      <c r="AV23" s="27">
        <f t="shared" ca="1" si="17"/>
        <v>2249320544.3900013</v>
      </c>
      <c r="AW23" s="27">
        <f t="shared" ca="1" si="17"/>
        <v>2248730349.9499965</v>
      </c>
      <c r="AX23" s="27">
        <f t="shared" ca="1" si="17"/>
        <v>2146315976.5799983</v>
      </c>
      <c r="AY23" s="27">
        <f t="shared" ca="1" si="17"/>
        <v>2013477558.8299987</v>
      </c>
      <c r="AZ23" s="27">
        <f t="shared" ca="1" si="17"/>
        <v>2006547278.1299977</v>
      </c>
      <c r="BA23" s="27">
        <f ca="1">R23-AJ23</f>
        <v>1868206587.7899971</v>
      </c>
      <c r="BB23" s="27">
        <f ca="1">R23-AJ23</f>
        <v>1868206587.7899971</v>
      </c>
      <c r="BC23" s="199">
        <v>12080772.83</v>
      </c>
      <c r="BD23" s="200">
        <v>22874926.810000002</v>
      </c>
      <c r="BE23" s="200">
        <v>14049456.17</v>
      </c>
      <c r="BF23" s="200">
        <v>53495045.689999998</v>
      </c>
      <c r="BG23" s="200">
        <v>59735344.269999996</v>
      </c>
      <c r="BH23" s="200">
        <v>16953522.729999997</v>
      </c>
      <c r="BI23" s="200">
        <v>10086811.879999999</v>
      </c>
      <c r="BJ23" s="200">
        <v>20671593.489999998</v>
      </c>
      <c r="BK23" s="200">
        <v>31932831.959999997</v>
      </c>
      <c r="BL23" s="200">
        <v>9882528.5800000001</v>
      </c>
      <c r="BM23" s="200">
        <v>15677152.490000002</v>
      </c>
      <c r="BN23" s="200">
        <v>17759523.520000003</v>
      </c>
      <c r="BO23" s="200">
        <v>13421920.75</v>
      </c>
      <c r="BP23" s="200">
        <v>19130853.869999997</v>
      </c>
      <c r="BQ23" s="200">
        <v>12830247.079999994</v>
      </c>
      <c r="BR23" s="200">
        <v>13025555.650000002</v>
      </c>
      <c r="BS23" s="201">
        <v>1164230.1300000008</v>
      </c>
      <c r="BU23" s="183">
        <f t="shared" ca="1" si="13"/>
        <v>0.4628216858905721</v>
      </c>
      <c r="BV23" s="184">
        <f t="shared" ca="1" si="13"/>
        <v>0.90416229721206676</v>
      </c>
      <c r="BW23" s="184">
        <f t="shared" ca="1" si="13"/>
        <v>0.57944735334937436</v>
      </c>
      <c r="BX23" s="184">
        <f t="shared" ca="1" si="13"/>
        <v>2.2411861968065483</v>
      </c>
      <c r="BY23" s="184">
        <f t="shared" ca="1" si="13"/>
        <v>2.5007072592341615</v>
      </c>
      <c r="BZ23" s="184">
        <f t="shared" ca="1" si="13"/>
        <v>0.70952115699408869</v>
      </c>
      <c r="CA23" s="184">
        <f t="shared" ca="1" si="13"/>
        <v>0.43249190954158651</v>
      </c>
      <c r="CB23" s="184">
        <f t="shared" ca="1" si="13"/>
        <v>0.9026491962809573</v>
      </c>
      <c r="CC23" s="184">
        <f t="shared" ca="1" si="13"/>
        <v>1.4065893676567225</v>
      </c>
      <c r="CD23" s="184">
        <f t="shared" ca="1" si="13"/>
        <v>0.42880262042321327</v>
      </c>
      <c r="CE23" s="184">
        <f t="shared" ca="1" si="13"/>
        <v>0.69697280492547697</v>
      </c>
      <c r="CF23" s="184">
        <f t="shared" ca="1" si="13"/>
        <v>0.78975780801797379</v>
      </c>
      <c r="CG23" s="184">
        <f t="shared" ca="1" si="13"/>
        <v>0.62534691520056962</v>
      </c>
      <c r="CH23" s="184">
        <f t="shared" ca="1" si="13"/>
        <v>0.95013991023156197</v>
      </c>
      <c r="CI23" s="184">
        <f t="shared" ca="1" si="13"/>
        <v>0.63941912656835809</v>
      </c>
      <c r="CJ23" s="184">
        <f t="shared" ca="1" si="3"/>
        <v>0.63941912656835809</v>
      </c>
      <c r="CK23" s="184">
        <f ca="1">IFERROR(BS23/BB23,0)*100</f>
        <v>6.2318061482548988E-2</v>
      </c>
    </row>
    <row r="24" spans="1:89" x14ac:dyDescent="0.25">
      <c r="A24" s="190" t="s">
        <v>152</v>
      </c>
      <c r="B24" s="185">
        <v>1574062882.7800012</v>
      </c>
      <c r="C24" s="27">
        <v>1666004232.2800038</v>
      </c>
      <c r="D24" s="27">
        <v>1811966415.1800005</v>
      </c>
      <c r="E24" s="27">
        <v>1925998058.2099996</v>
      </c>
      <c r="F24" s="27">
        <v>2007934685.8699999</v>
      </c>
      <c r="G24" s="27">
        <v>2079369534.9600005</v>
      </c>
      <c r="H24" s="27">
        <v>2157752688.73</v>
      </c>
      <c r="I24" s="27">
        <v>2238192480.0899992</v>
      </c>
      <c r="J24" s="27">
        <v>2245377310.3999982</v>
      </c>
      <c r="K24" s="27">
        <v>2359878420.7700005</v>
      </c>
      <c r="L24" s="27">
        <v>2349071950.2699986</v>
      </c>
      <c r="M24" s="27">
        <v>2319476793.6799994</v>
      </c>
      <c r="N24" s="27">
        <v>2269650335.0099993</v>
      </c>
      <c r="O24" s="27">
        <v>2235391780.1099987</v>
      </c>
      <c r="P24" s="27">
        <v>2199981637.2799959</v>
      </c>
      <c r="Q24" s="27">
        <v>2120813691.1899948</v>
      </c>
      <c r="R24" s="182">
        <v>2073195849.4699955</v>
      </c>
      <c r="S24" s="16"/>
      <c r="T24" s="185">
        <v>33303096.500000004</v>
      </c>
      <c r="U24" s="27">
        <v>82155023.469999939</v>
      </c>
      <c r="V24" s="27">
        <v>97719116.060000017</v>
      </c>
      <c r="W24" s="27">
        <v>83877977.459999993</v>
      </c>
      <c r="X24" s="27">
        <v>69633125.110000014</v>
      </c>
      <c r="Y24" s="27">
        <v>63803444.430000015</v>
      </c>
      <c r="Z24" s="27">
        <v>71043869.229999974</v>
      </c>
      <c r="AA24" s="27">
        <v>119169874.70999998</v>
      </c>
      <c r="AB24" s="27">
        <v>135771389.71999997</v>
      </c>
      <c r="AC24" s="27">
        <v>109418716.41999999</v>
      </c>
      <c r="AD24" s="27">
        <v>95636040.560000002</v>
      </c>
      <c r="AE24" s="27">
        <v>92187898.810000002</v>
      </c>
      <c r="AF24" s="27">
        <v>64877509.339999989</v>
      </c>
      <c r="AG24" s="27">
        <v>105005838.44000001</v>
      </c>
      <c r="AH24" s="27">
        <v>117032008.51999985</v>
      </c>
      <c r="AI24" s="27">
        <v>90497148.74999997</v>
      </c>
      <c r="AJ24" s="182">
        <v>112585895.52</v>
      </c>
      <c r="AK24" s="16"/>
      <c r="AL24" s="185">
        <f t="shared" ca="1" si="17"/>
        <v>1540759786.2800012</v>
      </c>
      <c r="AM24" s="27">
        <f t="shared" ca="1" si="17"/>
        <v>1583849208.8100038</v>
      </c>
      <c r="AN24" s="27">
        <f t="shared" ca="1" si="17"/>
        <v>1714247299.1200006</v>
      </c>
      <c r="AO24" s="27">
        <f t="shared" ca="1" si="17"/>
        <v>1842120080.7499995</v>
      </c>
      <c r="AP24" s="27">
        <f t="shared" ca="1" si="17"/>
        <v>1938301560.7599998</v>
      </c>
      <c r="AQ24" s="27">
        <f t="shared" ca="1" si="17"/>
        <v>2015566090.5300004</v>
      </c>
      <c r="AR24" s="27">
        <f t="shared" ca="1" si="17"/>
        <v>2086708819.5</v>
      </c>
      <c r="AS24" s="27">
        <f t="shared" ca="1" si="17"/>
        <v>2119022605.3799992</v>
      </c>
      <c r="AT24" s="27">
        <f t="shared" ca="1" si="17"/>
        <v>2109605920.6799982</v>
      </c>
      <c r="AU24" s="27">
        <f t="shared" ca="1" si="17"/>
        <v>2250459704.3500004</v>
      </c>
      <c r="AV24" s="27">
        <f t="shared" ca="1" si="17"/>
        <v>2253435909.7099986</v>
      </c>
      <c r="AW24" s="27">
        <f t="shared" ca="1" si="17"/>
        <v>2227288894.8699994</v>
      </c>
      <c r="AX24" s="27">
        <f t="shared" ca="1" si="17"/>
        <v>2204772825.6699991</v>
      </c>
      <c r="AY24" s="27">
        <f t="shared" ca="1" si="17"/>
        <v>2130385941.6699986</v>
      </c>
      <c r="AZ24" s="27">
        <f t="shared" ca="1" si="17"/>
        <v>2082949628.7599962</v>
      </c>
      <c r="BA24" s="27">
        <f ca="1">R24-AJ24</f>
        <v>1960609953.9499955</v>
      </c>
      <c r="BB24" s="27">
        <f ca="1">R24-AJ24</f>
        <v>1960609953.9499955</v>
      </c>
      <c r="BC24" s="185">
        <v>6104046.4399999995</v>
      </c>
      <c r="BD24" s="27">
        <v>8264327.3199999994</v>
      </c>
      <c r="BE24" s="27">
        <v>7290307.4899999984</v>
      </c>
      <c r="BF24" s="27">
        <v>10158278.340000002</v>
      </c>
      <c r="BG24" s="27">
        <v>10498806.929999998</v>
      </c>
      <c r="BH24" s="27">
        <v>8364641.1099999994</v>
      </c>
      <c r="BI24" s="27">
        <v>17638781.600000001</v>
      </c>
      <c r="BJ24" s="27">
        <v>13112016.43</v>
      </c>
      <c r="BK24" s="27">
        <v>10367708.439999998</v>
      </c>
      <c r="BL24" s="27">
        <v>17687752.91</v>
      </c>
      <c r="BM24" s="27">
        <v>8495520.2300000004</v>
      </c>
      <c r="BN24" s="27">
        <v>7313350.6799999997</v>
      </c>
      <c r="BO24" s="27">
        <v>9930678.160000002</v>
      </c>
      <c r="BP24" s="27">
        <v>9444547.5199999996</v>
      </c>
      <c r="BQ24" s="27">
        <v>4768482.879999998</v>
      </c>
      <c r="BR24" s="27">
        <v>4635012.700000002</v>
      </c>
      <c r="BS24" s="28">
        <v>633861</v>
      </c>
      <c r="BU24" s="183">
        <f t="shared" ca="1" si="13"/>
        <v>0.39617119387166527</v>
      </c>
      <c r="BV24" s="184">
        <f t="shared" ca="1" si="13"/>
        <v>0.52178750818136599</v>
      </c>
      <c r="BW24" s="184">
        <f t="shared" ca="1" si="13"/>
        <v>0.42527746689421281</v>
      </c>
      <c r="BX24" s="184">
        <f t="shared" ca="1" si="13"/>
        <v>0.55144495986733755</v>
      </c>
      <c r="BY24" s="184">
        <f t="shared" ca="1" si="13"/>
        <v>0.54164982077832402</v>
      </c>
      <c r="BZ24" s="184">
        <f t="shared" ca="1" si="13"/>
        <v>0.4150020755608409</v>
      </c>
      <c r="CA24" s="184">
        <f t="shared" ca="1" si="13"/>
        <v>0.84529194658919693</v>
      </c>
      <c r="CB24" s="184">
        <f t="shared" ca="1" si="13"/>
        <v>0.6187766188387902</v>
      </c>
      <c r="CC24" s="184">
        <f t="shared" ca="1" si="13"/>
        <v>0.49145237688080301</v>
      </c>
      <c r="CD24" s="184">
        <f t="shared" ca="1" si="13"/>
        <v>0.78596176931365003</v>
      </c>
      <c r="CE24" s="184">
        <f t="shared" ca="1" si="13"/>
        <v>0.37700296659838506</v>
      </c>
      <c r="CF24" s="184">
        <f t="shared" ca="1" si="13"/>
        <v>0.32835213684423548</v>
      </c>
      <c r="CG24" s="184">
        <f t="shared" ca="1" si="13"/>
        <v>0.45041729671093034</v>
      </c>
      <c r="CH24" s="184">
        <f t="shared" ca="1" si="13"/>
        <v>0.44332565922757017</v>
      </c>
      <c r="CI24" s="184">
        <f t="shared" ca="1" si="13"/>
        <v>0.22892934203304433</v>
      </c>
      <c r="CJ24" s="184">
        <f t="shared" ca="1" si="3"/>
        <v>0.22892934203304433</v>
      </c>
      <c r="CK24" s="184">
        <f ca="1">IFERROR(BS24/BB24,0)*100</f>
        <v>3.2329785877245748E-2</v>
      </c>
    </row>
    <row r="25" spans="1:89" x14ac:dyDescent="0.25">
      <c r="A25" s="190" t="s">
        <v>153</v>
      </c>
      <c r="B25" s="185">
        <v>0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679122638.40999997</v>
      </c>
      <c r="P25" s="27">
        <v>1168004336.1700001</v>
      </c>
      <c r="Q25" s="27">
        <v>1213330336.8299999</v>
      </c>
      <c r="R25" s="182">
        <v>1348349129.46</v>
      </c>
      <c r="S25" s="16"/>
      <c r="T25" s="185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5117888.5999999996</v>
      </c>
      <c r="AH25" s="27">
        <v>48071535.470000014</v>
      </c>
      <c r="AI25" s="27">
        <v>56970185.31000001</v>
      </c>
      <c r="AJ25" s="182">
        <v>33946444.729999997</v>
      </c>
      <c r="AK25" s="16"/>
      <c r="AL25" s="185">
        <f t="shared" ca="1" si="17"/>
        <v>0</v>
      </c>
      <c r="AM25" s="27">
        <f t="shared" ca="1" si="17"/>
        <v>0</v>
      </c>
      <c r="AN25" s="27">
        <f t="shared" ca="1" si="17"/>
        <v>0</v>
      </c>
      <c r="AO25" s="27">
        <f t="shared" ca="1" si="17"/>
        <v>0</v>
      </c>
      <c r="AP25" s="27">
        <f t="shared" ca="1" si="17"/>
        <v>0</v>
      </c>
      <c r="AQ25" s="27">
        <f t="shared" ca="1" si="17"/>
        <v>0</v>
      </c>
      <c r="AR25" s="27">
        <f t="shared" ca="1" si="17"/>
        <v>0</v>
      </c>
      <c r="AS25" s="27">
        <f t="shared" ca="1" si="17"/>
        <v>0</v>
      </c>
      <c r="AT25" s="27">
        <f t="shared" ca="1" si="17"/>
        <v>0</v>
      </c>
      <c r="AU25" s="27">
        <f t="shared" ca="1" si="17"/>
        <v>0</v>
      </c>
      <c r="AV25" s="27">
        <f t="shared" ca="1" si="17"/>
        <v>0</v>
      </c>
      <c r="AW25" s="27">
        <f t="shared" ca="1" si="17"/>
        <v>0</v>
      </c>
      <c r="AX25" s="27">
        <f t="shared" ca="1" si="17"/>
        <v>0</v>
      </c>
      <c r="AY25" s="27">
        <f t="shared" ca="1" si="17"/>
        <v>674004749.80999994</v>
      </c>
      <c r="AZ25" s="27">
        <f t="shared" ca="1" si="17"/>
        <v>1119932800.7</v>
      </c>
      <c r="BA25" s="27">
        <f ca="1">R25-AJ25</f>
        <v>1314402684.73</v>
      </c>
      <c r="BB25" s="27">
        <f ca="1">R25-AJ25</f>
        <v>1314402684.73</v>
      </c>
      <c r="BC25" s="185">
        <v>0</v>
      </c>
      <c r="BD25" s="27">
        <v>0</v>
      </c>
      <c r="BE25" s="27">
        <v>0</v>
      </c>
      <c r="BF25" s="27">
        <v>0</v>
      </c>
      <c r="BG25" s="27">
        <v>0</v>
      </c>
      <c r="BH25" s="27">
        <v>0</v>
      </c>
      <c r="BI25" s="27">
        <v>0</v>
      </c>
      <c r="BJ25" s="27">
        <v>0</v>
      </c>
      <c r="BK25" s="27">
        <v>0</v>
      </c>
      <c r="BL25" s="27">
        <v>0</v>
      </c>
      <c r="BM25" s="27">
        <v>0</v>
      </c>
      <c r="BN25" s="27">
        <v>0</v>
      </c>
      <c r="BO25" s="27">
        <v>94928.2399999997</v>
      </c>
      <c r="BP25" s="27">
        <v>9011127.1199999992</v>
      </c>
      <c r="BQ25" s="27">
        <v>9438805.6600000001</v>
      </c>
      <c r="BR25" s="27">
        <v>3405172.2499999991</v>
      </c>
      <c r="BS25" s="28">
        <v>1004035.6399999999</v>
      </c>
      <c r="BU25" s="183">
        <f t="shared" ca="1" si="13"/>
        <v>0</v>
      </c>
      <c r="BV25" s="184">
        <f t="shared" ca="1" si="13"/>
        <v>0</v>
      </c>
      <c r="BW25" s="184">
        <f t="shared" ca="1" si="13"/>
        <v>0</v>
      </c>
      <c r="BX25" s="184">
        <f t="shared" ca="1" si="13"/>
        <v>0</v>
      </c>
      <c r="BY25" s="184">
        <f t="shared" ca="1" si="13"/>
        <v>0</v>
      </c>
      <c r="BZ25" s="184">
        <f t="shared" ca="1" si="13"/>
        <v>0</v>
      </c>
      <c r="CA25" s="184">
        <f t="shared" ca="1" si="13"/>
        <v>0</v>
      </c>
      <c r="CB25" s="184">
        <f t="shared" ca="1" si="13"/>
        <v>0</v>
      </c>
      <c r="CC25" s="184">
        <f t="shared" ca="1" si="13"/>
        <v>0</v>
      </c>
      <c r="CD25" s="184">
        <f t="shared" ca="1" si="13"/>
        <v>0</v>
      </c>
      <c r="CE25" s="184">
        <f t="shared" ca="1" si="13"/>
        <v>0</v>
      </c>
      <c r="CF25" s="184">
        <f t="shared" ca="1" si="13"/>
        <v>0</v>
      </c>
      <c r="CG25" s="184">
        <f t="shared" ca="1" si="13"/>
        <v>0</v>
      </c>
      <c r="CH25" s="184">
        <f t="shared" ca="1" si="13"/>
        <v>1.3369530589421232</v>
      </c>
      <c r="CI25" s="184">
        <f t="shared" ca="1" si="13"/>
        <v>0.84280107289476591</v>
      </c>
      <c r="CJ25" s="184">
        <f t="shared" ca="1" si="3"/>
        <v>0.84280107289476591</v>
      </c>
      <c r="CK25" s="184">
        <f ca="1">IFERROR(BS25/BB25,0)*100</f>
        <v>7.6387217681790215E-2</v>
      </c>
    </row>
    <row r="26" spans="1:89" ht="15.75" thickBot="1" x14ac:dyDescent="0.3">
      <c r="A26" s="190" t="s">
        <v>154</v>
      </c>
      <c r="B26" s="185">
        <v>1727116309.2600005</v>
      </c>
      <c r="C26" s="27">
        <v>1811397730.9499984</v>
      </c>
      <c r="D26" s="27">
        <v>1964048979.999999</v>
      </c>
      <c r="E26" s="27">
        <v>2038311524.4699993</v>
      </c>
      <c r="F26" s="27">
        <v>2087989643.6499991</v>
      </c>
      <c r="G26" s="27">
        <v>2085553686.5599985</v>
      </c>
      <c r="H26" s="27">
        <v>2146679567.6399994</v>
      </c>
      <c r="I26" s="27">
        <v>2228570716.2299991</v>
      </c>
      <c r="J26" s="27">
        <v>2291449874.8699999</v>
      </c>
      <c r="K26" s="27">
        <v>2385398728.3100009</v>
      </c>
      <c r="L26" s="27">
        <v>2404552462.8000007</v>
      </c>
      <c r="M26" s="27">
        <v>2535794187.7400002</v>
      </c>
      <c r="N26" s="27">
        <v>2580141366.3099999</v>
      </c>
      <c r="O26" s="27">
        <v>2600160061.5700002</v>
      </c>
      <c r="P26" s="27">
        <v>2661676568.8800011</v>
      </c>
      <c r="Q26" s="27">
        <v>2657271784.71</v>
      </c>
      <c r="R26" s="182">
        <v>2643988323.9000001</v>
      </c>
      <c r="S26" s="16"/>
      <c r="T26" s="185">
        <v>13969879.140000004</v>
      </c>
      <c r="U26" s="27">
        <v>13070766.850000001</v>
      </c>
      <c r="V26" s="27">
        <v>16147051.359999999</v>
      </c>
      <c r="W26" s="27">
        <v>46902150.95000001</v>
      </c>
      <c r="X26" s="27">
        <v>67624520.150000021</v>
      </c>
      <c r="Y26" s="27">
        <v>64964575.719999969</v>
      </c>
      <c r="Z26" s="27">
        <v>59535022.669999972</v>
      </c>
      <c r="AA26" s="27">
        <v>55905954.260000005</v>
      </c>
      <c r="AB26" s="27">
        <v>56302094.070000008</v>
      </c>
      <c r="AC26" s="27">
        <v>52079514.300000012</v>
      </c>
      <c r="AD26" s="27">
        <v>36100024.580000013</v>
      </c>
      <c r="AE26" s="27">
        <v>50714570.650000006</v>
      </c>
      <c r="AF26" s="27">
        <v>48932192.469999999</v>
      </c>
      <c r="AG26" s="27">
        <v>44588219.269999996</v>
      </c>
      <c r="AH26" s="27">
        <v>32704719.040000007</v>
      </c>
      <c r="AI26" s="27">
        <v>62035199.980000004</v>
      </c>
      <c r="AJ26" s="182">
        <v>84091368.859999985</v>
      </c>
      <c r="AK26" s="16"/>
      <c r="AL26" s="185">
        <f t="shared" ca="1" si="17"/>
        <v>1713146430.1200004</v>
      </c>
      <c r="AM26" s="27">
        <f t="shared" ca="1" si="17"/>
        <v>1798326964.0999985</v>
      </c>
      <c r="AN26" s="27">
        <f t="shared" ca="1" si="17"/>
        <v>1947901928.6399992</v>
      </c>
      <c r="AO26" s="27">
        <f t="shared" ca="1" si="17"/>
        <v>1991409373.5199993</v>
      </c>
      <c r="AP26" s="27">
        <f t="shared" ca="1" si="17"/>
        <v>2020365123.499999</v>
      </c>
      <c r="AQ26" s="27">
        <f t="shared" ca="1" si="17"/>
        <v>2020589110.8399985</v>
      </c>
      <c r="AR26" s="27">
        <f t="shared" ca="1" si="17"/>
        <v>2087144544.9699993</v>
      </c>
      <c r="AS26" s="27">
        <f t="shared" ca="1" si="17"/>
        <v>2172664761.9699988</v>
      </c>
      <c r="AT26" s="27">
        <f t="shared" ca="1" si="17"/>
        <v>2235147780.7999997</v>
      </c>
      <c r="AU26" s="27">
        <f t="shared" ca="1" si="17"/>
        <v>2333319214.0100007</v>
      </c>
      <c r="AV26" s="27">
        <f t="shared" ca="1" si="17"/>
        <v>2368452438.2200007</v>
      </c>
      <c r="AW26" s="27">
        <f t="shared" ca="1" si="17"/>
        <v>2485079617.0900002</v>
      </c>
      <c r="AX26" s="27">
        <f t="shared" ca="1" si="17"/>
        <v>2531209173.8400002</v>
      </c>
      <c r="AY26" s="27">
        <f t="shared" ca="1" si="17"/>
        <v>2555571842.3000002</v>
      </c>
      <c r="AZ26" s="27">
        <f t="shared" ca="1" si="17"/>
        <v>2628971849.8400011</v>
      </c>
      <c r="BA26" s="27">
        <f ca="1">R26-AJ26</f>
        <v>2559896955.04</v>
      </c>
      <c r="BB26" s="27">
        <f ca="1">R26-AJ26</f>
        <v>2559896955.04</v>
      </c>
      <c r="BC26" s="185">
        <v>12682612.52</v>
      </c>
      <c r="BD26" s="27">
        <v>6248765.4100000001</v>
      </c>
      <c r="BE26" s="27">
        <v>7103165.4800000004</v>
      </c>
      <c r="BF26" s="27">
        <v>10054627.98</v>
      </c>
      <c r="BG26" s="27">
        <v>38103760.330000006</v>
      </c>
      <c r="BH26" s="27">
        <v>5635527.7199999997</v>
      </c>
      <c r="BI26" s="27">
        <v>9359162.6799999997</v>
      </c>
      <c r="BJ26" s="27">
        <v>15103735.890000001</v>
      </c>
      <c r="BK26" s="27">
        <v>5278884.93</v>
      </c>
      <c r="BL26" s="27">
        <v>10798153.600000001</v>
      </c>
      <c r="BM26" s="27">
        <v>8973868.25</v>
      </c>
      <c r="BN26" s="27">
        <v>6779344.0999999996</v>
      </c>
      <c r="BO26" s="27">
        <v>9784176.8200000003</v>
      </c>
      <c r="BP26" s="27">
        <v>15145020.67</v>
      </c>
      <c r="BQ26" s="27">
        <v>5205501.8600000003</v>
      </c>
      <c r="BR26" s="27">
        <v>8976908.0699999984</v>
      </c>
      <c r="BS26" s="28">
        <v>493227.95999999996</v>
      </c>
      <c r="BU26" s="183">
        <f t="shared" ca="1" si="13"/>
        <v>0.74031106139080149</v>
      </c>
      <c r="BV26" s="184">
        <f t="shared" ca="1" si="13"/>
        <v>0.34747660101550526</v>
      </c>
      <c r="BW26" s="184">
        <f t="shared" ca="1" si="13"/>
        <v>0.36465724354815654</v>
      </c>
      <c r="BX26" s="184">
        <f t="shared" ca="1" si="13"/>
        <v>0.50490010309771316</v>
      </c>
      <c r="BY26" s="184">
        <f t="shared" ca="1" si="13"/>
        <v>1.8859838692914372</v>
      </c>
      <c r="BZ26" s="184">
        <f t="shared" ca="1" si="13"/>
        <v>0.27890518115566804</v>
      </c>
      <c r="CA26" s="184">
        <f t="shared" ca="1" si="13"/>
        <v>0.44841947830376688</v>
      </c>
      <c r="CB26" s="184">
        <f t="shared" ca="1" si="13"/>
        <v>0.69517102474222203</v>
      </c>
      <c r="CC26" s="184">
        <f t="shared" ca="1" si="13"/>
        <v>0.23617610322439583</v>
      </c>
      <c r="CD26" s="184">
        <f t="shared" ca="1" si="13"/>
        <v>0.46278081177939157</v>
      </c>
      <c r="CE26" s="184">
        <f t="shared" ca="1" si="13"/>
        <v>0.37889163848881291</v>
      </c>
      <c r="CF26" s="184">
        <f t="shared" ca="1" si="13"/>
        <v>0.27280188744771622</v>
      </c>
      <c r="CG26" s="184">
        <f t="shared" ca="1" si="13"/>
        <v>0.38654161501622569</v>
      </c>
      <c r="CH26" s="184">
        <f t="shared" ca="1" si="13"/>
        <v>0.59262746675004707</v>
      </c>
      <c r="CI26" s="184">
        <f t="shared" ca="1" si="13"/>
        <v>0.19800523388323107</v>
      </c>
      <c r="CJ26" s="184">
        <f t="shared" ca="1" si="3"/>
        <v>0.19800523388323107</v>
      </c>
      <c r="CK26" s="184">
        <f ca="1">IFERROR(BS26/BB26,0)*100</f>
        <v>1.9267492741413608E-2</v>
      </c>
    </row>
    <row r="27" spans="1:89" ht="15.75" thickBot="1" x14ac:dyDescent="0.3">
      <c r="A27" s="191" t="s">
        <v>155</v>
      </c>
      <c r="B27" s="192">
        <f t="shared" ref="B27:R27" ca="1" si="18">SUM(B23:B26)</f>
        <v>5968659076.2800026</v>
      </c>
      <c r="C27" s="193">
        <f t="shared" ca="1" si="18"/>
        <v>6137258553.6200008</v>
      </c>
      <c r="D27" s="193">
        <f t="shared" ca="1" si="18"/>
        <v>6390252902.7699986</v>
      </c>
      <c r="E27" s="193">
        <f t="shared" ca="1" si="18"/>
        <v>6520822502.9500008</v>
      </c>
      <c r="F27" s="193">
        <f t="shared" ca="1" si="18"/>
        <v>6589277216.6399975</v>
      </c>
      <c r="G27" s="193">
        <f t="shared" ca="1" si="18"/>
        <v>6624052205.7799988</v>
      </c>
      <c r="H27" s="193">
        <f t="shared" ca="1" si="18"/>
        <v>6697158376.8800001</v>
      </c>
      <c r="I27" s="193">
        <f t="shared" ca="1" si="18"/>
        <v>6915600863.8999996</v>
      </c>
      <c r="J27" s="193">
        <f t="shared" ca="1" si="18"/>
        <v>7024402181.9099998</v>
      </c>
      <c r="K27" s="193">
        <f t="shared" ca="1" si="18"/>
        <v>7210340031.0000019</v>
      </c>
      <c r="L27" s="193">
        <f t="shared" ca="1" si="18"/>
        <v>7120299074.5</v>
      </c>
      <c r="M27" s="193">
        <f t="shared" ca="1" si="18"/>
        <v>7203920814.7299957</v>
      </c>
      <c r="N27" s="193">
        <f t="shared" ca="1" si="18"/>
        <v>7066105508.0599976</v>
      </c>
      <c r="O27" s="193">
        <f t="shared" ca="1" si="18"/>
        <v>7701889629.5299969</v>
      </c>
      <c r="P27" s="193">
        <f ca="1">SUM(P23:P26)</f>
        <v>8260093054.2699947</v>
      </c>
      <c r="Q27" s="193">
        <f ca="1">SUM(Q23:Q26)</f>
        <v>8035603388.3199911</v>
      </c>
      <c r="R27" s="194">
        <f t="shared" ca="1" si="18"/>
        <v>8046668941.7699928</v>
      </c>
      <c r="S27" s="16"/>
      <c r="T27" s="192">
        <f t="shared" ref="T27:AJ27" ca="1" si="19">SUM(T23:T26)</f>
        <v>104509390.68000001</v>
      </c>
      <c r="U27" s="193">
        <f t="shared" ca="1" si="19"/>
        <v>225124332.18999997</v>
      </c>
      <c r="V27" s="193">
        <f t="shared" ca="1" si="19"/>
        <v>303473363.25000006</v>
      </c>
      <c r="W27" s="193">
        <f t="shared" ca="1" si="19"/>
        <v>300385358.17999995</v>
      </c>
      <c r="X27" s="193">
        <f t="shared" ca="1" si="19"/>
        <v>241872544.38000005</v>
      </c>
      <c r="Y27" s="193">
        <f t="shared" ca="1" si="19"/>
        <v>198465404.95999998</v>
      </c>
      <c r="Z27" s="193">
        <f t="shared" ca="1" si="19"/>
        <v>191050545.33999997</v>
      </c>
      <c r="AA27" s="193">
        <f t="shared" ca="1" si="19"/>
        <v>333810810.46000004</v>
      </c>
      <c r="AB27" s="193">
        <f t="shared" ca="1" si="19"/>
        <v>409417189.46000004</v>
      </c>
      <c r="AC27" s="193">
        <f t="shared" ca="1" si="19"/>
        <v>321881031.56999999</v>
      </c>
      <c r="AD27" s="193">
        <f t="shared" ca="1" si="19"/>
        <v>249090182.18000004</v>
      </c>
      <c r="AE27" s="193">
        <f t="shared" ca="1" si="19"/>
        <v>242821952.82000002</v>
      </c>
      <c r="AF27" s="193">
        <f t="shared" ca="1" si="19"/>
        <v>183807531.97</v>
      </c>
      <c r="AG27" s="193">
        <f t="shared" ca="1" si="19"/>
        <v>328449536.92000002</v>
      </c>
      <c r="AH27" s="193">
        <f ca="1">SUM(AH23:AH26)</f>
        <v>421691496.83999991</v>
      </c>
      <c r="AI27" s="193">
        <f ca="1">SUM(AI23:AI26)</f>
        <v>347185190.5</v>
      </c>
      <c r="AJ27" s="193">
        <f t="shared" ca="1" si="19"/>
        <v>343552760.25999999</v>
      </c>
      <c r="AK27" s="16"/>
      <c r="AL27" s="192">
        <f t="shared" ref="AL27:BR27" ca="1" si="20">SUM(AL23:AL26)</f>
        <v>5864149685.6000023</v>
      </c>
      <c r="AM27" s="193">
        <f t="shared" ca="1" si="20"/>
        <v>5912134221.4300022</v>
      </c>
      <c r="AN27" s="193">
        <f t="shared" ca="1" si="20"/>
        <v>6086779539.5199995</v>
      </c>
      <c r="AO27" s="193">
        <f t="shared" ca="1" si="20"/>
        <v>6220437144.7700005</v>
      </c>
      <c r="AP27" s="193">
        <f t="shared" ca="1" si="20"/>
        <v>6347404672.2599964</v>
      </c>
      <c r="AQ27" s="193">
        <f t="shared" ca="1" si="20"/>
        <v>6425586800.8199987</v>
      </c>
      <c r="AR27" s="193">
        <f t="shared" ca="1" si="20"/>
        <v>6506107831.54</v>
      </c>
      <c r="AS27" s="193">
        <f t="shared" ca="1" si="20"/>
        <v>6581790053.4399986</v>
      </c>
      <c r="AT27" s="193">
        <f t="shared" ca="1" si="20"/>
        <v>6614984992.4499989</v>
      </c>
      <c r="AU27" s="193">
        <f t="shared" ca="1" si="20"/>
        <v>6888458999.4300022</v>
      </c>
      <c r="AV27" s="193">
        <f t="shared" ca="1" si="20"/>
        <v>6871208892.3200016</v>
      </c>
      <c r="AW27" s="193">
        <f t="shared" ca="1" si="20"/>
        <v>6961098861.909996</v>
      </c>
      <c r="AX27" s="193">
        <f t="shared" ca="1" si="20"/>
        <v>6882297976.0899973</v>
      </c>
      <c r="AY27" s="193">
        <f t="shared" ca="1" si="20"/>
        <v>7373440092.6099977</v>
      </c>
      <c r="AZ27" s="193">
        <f ca="1">SUM(AZ23:AZ26)</f>
        <v>7838401557.4299946</v>
      </c>
      <c r="BA27" s="193">
        <f t="shared" ca="1" si="20"/>
        <v>7703116181.5099926</v>
      </c>
      <c r="BB27" s="193">
        <f ca="1">SUM(BB23:BB26)</f>
        <v>7703116181.5099926</v>
      </c>
      <c r="BC27" s="192">
        <f t="shared" ca="1" si="20"/>
        <v>30867431.789999999</v>
      </c>
      <c r="BD27" s="193">
        <f t="shared" ca="1" si="20"/>
        <v>37388019.540000007</v>
      </c>
      <c r="BE27" s="193">
        <f t="shared" ca="1" si="20"/>
        <v>28442929.139999997</v>
      </c>
      <c r="BF27" s="193">
        <f t="shared" ca="1" si="20"/>
        <v>73707952.010000005</v>
      </c>
      <c r="BG27" s="193">
        <f t="shared" ca="1" si="20"/>
        <v>108337911.53</v>
      </c>
      <c r="BH27" s="193">
        <f t="shared" ca="1" si="20"/>
        <v>30953691.559999995</v>
      </c>
      <c r="BI27" s="193">
        <f t="shared" ca="1" si="20"/>
        <v>37084756.159999996</v>
      </c>
      <c r="BJ27" s="193">
        <f t="shared" ca="1" si="20"/>
        <v>48887345.810000002</v>
      </c>
      <c r="BK27" s="193">
        <f t="shared" ca="1" si="20"/>
        <v>47579425.329999991</v>
      </c>
      <c r="BL27" s="193">
        <f t="shared" ca="1" si="20"/>
        <v>38368435.090000004</v>
      </c>
      <c r="BM27" s="193">
        <f t="shared" ca="1" si="20"/>
        <v>33146540.970000003</v>
      </c>
      <c r="BN27" s="193">
        <f t="shared" ca="1" si="20"/>
        <v>31852218.300000004</v>
      </c>
      <c r="BO27" s="193">
        <f t="shared" ca="1" si="20"/>
        <v>33231703.970000003</v>
      </c>
      <c r="BP27" s="193">
        <f t="shared" ca="1" si="20"/>
        <v>52731549.18</v>
      </c>
      <c r="BQ27" s="193">
        <f ca="1">SUM(BQ23:BQ26)</f>
        <v>32243037.479999993</v>
      </c>
      <c r="BR27" s="193">
        <f t="shared" ca="1" si="20"/>
        <v>30042648.670000002</v>
      </c>
      <c r="BS27" s="194">
        <f ca="1">SUM(BS23:BS26)</f>
        <v>3295354.7300000004</v>
      </c>
      <c r="BU27" s="195">
        <f t="shared" ca="1" si="13"/>
        <v>0.52637523673377606</v>
      </c>
      <c r="BV27" s="196">
        <f t="shared" ca="1" si="13"/>
        <v>0.63239463347225477</v>
      </c>
      <c r="BW27" s="196">
        <f t="shared" ca="1" si="13"/>
        <v>0.46729027978304255</v>
      </c>
      <c r="BX27" s="196">
        <f t="shared" ca="1" si="13"/>
        <v>1.1849320280001856</v>
      </c>
      <c r="BY27" s="196">
        <f t="shared" ca="1" si="13"/>
        <v>1.7068064370224914</v>
      </c>
      <c r="BZ27" s="196">
        <f t="shared" ca="1" si="13"/>
        <v>0.48172552203403202</v>
      </c>
      <c r="CA27" s="196">
        <f t="shared" ca="1" si="13"/>
        <v>0.56999910115572139</v>
      </c>
      <c r="CB27" s="196">
        <f t="shared" ca="1" si="13"/>
        <v>0.74276671563610319</v>
      </c>
      <c r="CC27" s="196">
        <f t="shared" ca="1" si="13"/>
        <v>0.71926732085265022</v>
      </c>
      <c r="CD27" s="196">
        <f t="shared" ca="1" si="13"/>
        <v>0.55699591292007211</v>
      </c>
      <c r="CE27" s="196">
        <f t="shared" ca="1" si="13"/>
        <v>0.4823975153345742</v>
      </c>
      <c r="CF27" s="196">
        <f t="shared" ca="1" si="13"/>
        <v>0.45757457165692872</v>
      </c>
      <c r="CG27" s="196">
        <f t="shared" ca="1" si="13"/>
        <v>0.48285767465243862</v>
      </c>
      <c r="CH27" s="196">
        <f t="shared" ca="1" si="13"/>
        <v>0.71515532122990999</v>
      </c>
      <c r="CI27" s="196">
        <f t="shared" ca="1" si="13"/>
        <v>0.41134709983615125</v>
      </c>
      <c r="CJ27" s="196">
        <f t="shared" ca="1" si="3"/>
        <v>0.41134709983615125</v>
      </c>
      <c r="CK27" s="196">
        <f ca="1">IFERROR(BR27/BA27,0)*100</f>
        <v>0.3900064332680353</v>
      </c>
    </row>
    <row r="28" spans="1:89" x14ac:dyDescent="0.25">
      <c r="A28" s="198" t="s">
        <v>156</v>
      </c>
      <c r="B28" s="185">
        <v>1124789508.5000002</v>
      </c>
      <c r="C28" s="27">
        <v>1313952479.6300004</v>
      </c>
      <c r="D28" s="27">
        <v>1407666332.2500005</v>
      </c>
      <c r="E28" s="27">
        <v>1478061711.3300004</v>
      </c>
      <c r="F28" s="27">
        <v>1474948971.7500007</v>
      </c>
      <c r="G28" s="27">
        <v>1446802138.2800007</v>
      </c>
      <c r="H28" s="27">
        <v>1411438712.9000008</v>
      </c>
      <c r="I28" s="27">
        <v>1474910097.750001</v>
      </c>
      <c r="J28" s="27">
        <v>1432679919.8200002</v>
      </c>
      <c r="K28" s="27">
        <v>1389224841.7500014</v>
      </c>
      <c r="L28" s="27">
        <v>1335257161.2599993</v>
      </c>
      <c r="M28" s="27">
        <v>1300310967.0700002</v>
      </c>
      <c r="N28" s="27">
        <v>1479586923.8500004</v>
      </c>
      <c r="O28" s="27">
        <v>1224918659.6300004</v>
      </c>
      <c r="P28" s="27">
        <v>1185841035.6300006</v>
      </c>
      <c r="Q28" s="27">
        <v>1150701703.420001</v>
      </c>
      <c r="R28" s="182">
        <v>1126079270.9600008</v>
      </c>
      <c r="S28" s="16"/>
      <c r="T28" s="185">
        <v>46911497.750000007</v>
      </c>
      <c r="U28" s="27">
        <v>42000971.110000014</v>
      </c>
      <c r="V28" s="27">
        <v>35317669.670000017</v>
      </c>
      <c r="W28" s="27">
        <v>50418002.179999992</v>
      </c>
      <c r="X28" s="27">
        <v>56711712.779999986</v>
      </c>
      <c r="Y28" s="27">
        <v>48612052.019999981</v>
      </c>
      <c r="Z28" s="27">
        <v>57386115.930000007</v>
      </c>
      <c r="AA28" s="27">
        <v>64842635.059999995</v>
      </c>
      <c r="AB28" s="27">
        <v>47827380.839999989</v>
      </c>
      <c r="AC28" s="27">
        <v>52316297.579999983</v>
      </c>
      <c r="AD28" s="27">
        <v>53841204.329999998</v>
      </c>
      <c r="AE28" s="27">
        <v>58531119.590000011</v>
      </c>
      <c r="AF28" s="27">
        <v>54358603.409999982</v>
      </c>
      <c r="AG28" s="27">
        <v>52147515.059999995</v>
      </c>
      <c r="AH28" s="27">
        <v>48934330.059999995</v>
      </c>
      <c r="AI28" s="27">
        <v>48051885.239999987</v>
      </c>
      <c r="AJ28" s="182">
        <v>48747112.569999978</v>
      </c>
      <c r="AK28" s="16"/>
      <c r="AL28" s="185">
        <f t="shared" ref="AL28:AZ32" ca="1" si="21">B28-T28</f>
        <v>1077878010.7500002</v>
      </c>
      <c r="AM28" s="27">
        <f t="shared" ca="1" si="21"/>
        <v>1271951508.5200005</v>
      </c>
      <c r="AN28" s="27">
        <f t="shared" ca="1" si="21"/>
        <v>1372348662.5800004</v>
      </c>
      <c r="AO28" s="27">
        <f t="shared" ca="1" si="21"/>
        <v>1427643709.1500003</v>
      </c>
      <c r="AP28" s="27">
        <f t="shared" ca="1" si="21"/>
        <v>1418237258.9700007</v>
      </c>
      <c r="AQ28" s="27">
        <f t="shared" ca="1" si="21"/>
        <v>1398190086.2600007</v>
      </c>
      <c r="AR28" s="27">
        <f t="shared" ca="1" si="21"/>
        <v>1354052596.9700007</v>
      </c>
      <c r="AS28" s="27">
        <f t="shared" ca="1" si="21"/>
        <v>1410067462.690001</v>
      </c>
      <c r="AT28" s="27">
        <f t="shared" ca="1" si="21"/>
        <v>1384852538.9800003</v>
      </c>
      <c r="AU28" s="27">
        <f t="shared" ca="1" si="21"/>
        <v>1336908544.1700015</v>
      </c>
      <c r="AV28" s="27">
        <f t="shared" ca="1" si="21"/>
        <v>1281415956.9299994</v>
      </c>
      <c r="AW28" s="27">
        <f t="shared" ca="1" si="21"/>
        <v>1241779847.4800003</v>
      </c>
      <c r="AX28" s="27">
        <f t="shared" ca="1" si="21"/>
        <v>1425228320.4400003</v>
      </c>
      <c r="AY28" s="27">
        <f t="shared" ca="1" si="21"/>
        <v>1172771144.5700004</v>
      </c>
      <c r="AZ28" s="27">
        <f t="shared" ca="1" si="21"/>
        <v>1136906705.5700006</v>
      </c>
      <c r="BA28" s="27">
        <f t="shared" ref="BA28:BA33" ca="1" si="22">R28-AJ28</f>
        <v>1077332158.3900008</v>
      </c>
      <c r="BB28" s="27">
        <f t="shared" ref="BB28:BB33" ca="1" si="23">R28-AJ28</f>
        <v>1077332158.3900008</v>
      </c>
      <c r="BC28" s="185">
        <v>2784235.9</v>
      </c>
      <c r="BD28" s="27">
        <v>4437986.1599999983</v>
      </c>
      <c r="BE28" s="27">
        <v>6447569.0999999996</v>
      </c>
      <c r="BF28" s="27">
        <v>5259569.9000000004</v>
      </c>
      <c r="BG28" s="27">
        <v>4278642.5499999989</v>
      </c>
      <c r="BH28" s="27">
        <v>2989119.4699999997</v>
      </c>
      <c r="BI28" s="27">
        <v>3543951.6299999994</v>
      </c>
      <c r="BJ28" s="27">
        <v>6291390.3399999999</v>
      </c>
      <c r="BK28" s="27">
        <v>5290530.3500000006</v>
      </c>
      <c r="BL28" s="27">
        <v>30460355.330000002</v>
      </c>
      <c r="BM28" s="27">
        <v>8265397.1300000018</v>
      </c>
      <c r="BN28" s="27">
        <v>7271216.9699999979</v>
      </c>
      <c r="BO28" s="27">
        <v>13745904.640000001</v>
      </c>
      <c r="BP28" s="27">
        <v>15750874.349999998</v>
      </c>
      <c r="BQ28" s="27">
        <v>6848593.6099999994</v>
      </c>
      <c r="BR28" s="27">
        <v>4210246.3599999994</v>
      </c>
      <c r="BS28" s="28">
        <v>4226024</v>
      </c>
      <c r="BU28" s="183">
        <f t="shared" ca="1" si="13"/>
        <v>0.25830714350158196</v>
      </c>
      <c r="BV28" s="184">
        <f t="shared" ca="1" si="13"/>
        <v>0.34891158430747787</v>
      </c>
      <c r="BW28" s="184">
        <f t="shared" ca="1" si="13"/>
        <v>0.4698200447019521</v>
      </c>
      <c r="BX28" s="184">
        <f t="shared" ca="1" si="13"/>
        <v>0.36840913921943991</v>
      </c>
      <c r="BY28" s="184">
        <f t="shared" ca="1" si="13"/>
        <v>0.30168736034388044</v>
      </c>
      <c r="BZ28" s="184">
        <f t="shared" ca="1" si="13"/>
        <v>0.21378491375200309</v>
      </c>
      <c r="CA28" s="184">
        <f t="shared" ca="1" si="13"/>
        <v>0.26172924433883837</v>
      </c>
      <c r="CB28" s="184">
        <f t="shared" ca="1" si="13"/>
        <v>0.44617654874454349</v>
      </c>
      <c r="CC28" s="184">
        <f t="shared" ca="1" si="13"/>
        <v>0.38202842548829707</v>
      </c>
      <c r="CD28" s="184">
        <f t="shared" ca="1" si="13"/>
        <v>2.2784172831291785</v>
      </c>
      <c r="CE28" s="184">
        <f t="shared" ca="1" si="13"/>
        <v>0.64502061842605263</v>
      </c>
      <c r="CF28" s="184">
        <f t="shared" ca="1" si="13"/>
        <v>0.58554799264586277</v>
      </c>
      <c r="CG28" s="184">
        <f t="shared" ca="1" si="13"/>
        <v>0.96447035488014499</v>
      </c>
      <c r="CH28" s="184">
        <f t="shared" ca="1" si="13"/>
        <v>1.343047569248909</v>
      </c>
      <c r="CI28" s="184">
        <f t="shared" ca="1" si="13"/>
        <v>0.60238835574167737</v>
      </c>
      <c r="CJ28" s="184">
        <f t="shared" ca="1" si="3"/>
        <v>0.60238835574167737</v>
      </c>
      <c r="CK28" s="184">
        <f t="shared" ref="CK28:CK33" ca="1" si="24">IFERROR(BS28/BB28,0)*100</f>
        <v>0.39226750701617441</v>
      </c>
    </row>
    <row r="29" spans="1:89" x14ac:dyDescent="0.25">
      <c r="A29" s="190" t="s">
        <v>157</v>
      </c>
      <c r="B29" s="185">
        <v>241040622.87</v>
      </c>
      <c r="C29" s="27">
        <v>409091403.22000003</v>
      </c>
      <c r="D29" s="27">
        <v>599443775.4000001</v>
      </c>
      <c r="E29" s="27">
        <v>867023767.47999978</v>
      </c>
      <c r="F29" s="27">
        <v>1145058920.05</v>
      </c>
      <c r="G29" s="27">
        <v>1310368116.4499991</v>
      </c>
      <c r="H29" s="27">
        <v>1444685795.2699993</v>
      </c>
      <c r="I29" s="27">
        <v>1561945371.6299996</v>
      </c>
      <c r="J29" s="27">
        <v>1603828025.1799998</v>
      </c>
      <c r="K29" s="27">
        <v>1803950207.46</v>
      </c>
      <c r="L29" s="27">
        <v>1909626368.4500003</v>
      </c>
      <c r="M29" s="27">
        <v>1889861891.6199994</v>
      </c>
      <c r="N29" s="27">
        <v>1856144332.21</v>
      </c>
      <c r="O29" s="27">
        <v>1829128841.6899996</v>
      </c>
      <c r="P29" s="27">
        <v>1834907555.73</v>
      </c>
      <c r="Q29" s="27">
        <v>1783877659.99</v>
      </c>
      <c r="R29" s="182">
        <v>1760336311.3299994</v>
      </c>
      <c r="S29" s="16"/>
      <c r="T29" s="185">
        <v>2710411.0600000005</v>
      </c>
      <c r="U29" s="27">
        <v>12743041.679999992</v>
      </c>
      <c r="V29" s="27">
        <v>23864498.529999994</v>
      </c>
      <c r="W29" s="27">
        <v>25043113.020000003</v>
      </c>
      <c r="X29" s="27">
        <v>32223413.099999998</v>
      </c>
      <c r="Y29" s="27">
        <v>44028935.109999992</v>
      </c>
      <c r="Z29" s="27">
        <v>50450436.429999992</v>
      </c>
      <c r="AA29" s="27">
        <v>79409536.149999991</v>
      </c>
      <c r="AB29" s="27">
        <v>88127678.309999987</v>
      </c>
      <c r="AC29" s="27">
        <v>73480159.610000014</v>
      </c>
      <c r="AD29" s="27">
        <v>68759228.840000018</v>
      </c>
      <c r="AE29" s="27">
        <v>75428043.669999987</v>
      </c>
      <c r="AF29" s="27">
        <v>49681464.429999992</v>
      </c>
      <c r="AG29" s="27">
        <v>56530013.610000007</v>
      </c>
      <c r="AH29" s="27">
        <v>63607346.339999974</v>
      </c>
      <c r="AI29" s="27">
        <v>48929279.810000002</v>
      </c>
      <c r="AJ29" s="182">
        <v>75847082.650000006</v>
      </c>
      <c r="AK29" s="16"/>
      <c r="AL29" s="185">
        <f t="shared" ca="1" si="21"/>
        <v>238330211.81</v>
      </c>
      <c r="AM29" s="27">
        <f t="shared" ca="1" si="21"/>
        <v>396348361.54000002</v>
      </c>
      <c r="AN29" s="27">
        <f t="shared" ca="1" si="21"/>
        <v>575579276.87000012</v>
      </c>
      <c r="AO29" s="27">
        <f t="shared" ca="1" si="21"/>
        <v>841980654.4599998</v>
      </c>
      <c r="AP29" s="27">
        <f t="shared" ca="1" si="21"/>
        <v>1112835506.95</v>
      </c>
      <c r="AQ29" s="27">
        <f t="shared" ca="1" si="21"/>
        <v>1266339181.3399992</v>
      </c>
      <c r="AR29" s="27">
        <f t="shared" ca="1" si="21"/>
        <v>1394235358.8399992</v>
      </c>
      <c r="AS29" s="27">
        <f t="shared" ca="1" si="21"/>
        <v>1482535835.4799995</v>
      </c>
      <c r="AT29" s="27">
        <f t="shared" ca="1" si="21"/>
        <v>1515700346.8699999</v>
      </c>
      <c r="AU29" s="27">
        <f t="shared" ca="1" si="21"/>
        <v>1730470047.8499999</v>
      </c>
      <c r="AV29" s="27">
        <f t="shared" ca="1" si="21"/>
        <v>1840867139.6100004</v>
      </c>
      <c r="AW29" s="27">
        <f t="shared" ca="1" si="21"/>
        <v>1814433847.9499993</v>
      </c>
      <c r="AX29" s="27">
        <f t="shared" ca="1" si="21"/>
        <v>1806462867.78</v>
      </c>
      <c r="AY29" s="27">
        <f t="shared" ca="1" si="21"/>
        <v>1772598828.0799997</v>
      </c>
      <c r="AZ29" s="27">
        <f t="shared" ca="1" si="21"/>
        <v>1771300209.3900001</v>
      </c>
      <c r="BA29" s="27">
        <f t="shared" ca="1" si="22"/>
        <v>1684489228.6799994</v>
      </c>
      <c r="BB29" s="27">
        <f t="shared" ca="1" si="23"/>
        <v>1684489228.6799994</v>
      </c>
      <c r="BC29" s="185">
        <v>1045449.0199999998</v>
      </c>
      <c r="BD29" s="27">
        <v>2585045.86</v>
      </c>
      <c r="BE29" s="27">
        <v>5415798.4000000004</v>
      </c>
      <c r="BF29" s="27">
        <v>6332437.1899999995</v>
      </c>
      <c r="BG29" s="27">
        <v>6447695.0099999998</v>
      </c>
      <c r="BH29" s="27">
        <v>5923272.8200000012</v>
      </c>
      <c r="BI29" s="27">
        <v>10415423.830000002</v>
      </c>
      <c r="BJ29" s="27">
        <v>7689343.4600000009</v>
      </c>
      <c r="BK29" s="27">
        <v>6722312.2799999993</v>
      </c>
      <c r="BL29" s="27">
        <v>10358835.58</v>
      </c>
      <c r="BM29" s="27">
        <v>6939095.0199999996</v>
      </c>
      <c r="BN29" s="27">
        <v>7422732.8899999997</v>
      </c>
      <c r="BO29" s="27">
        <v>8531308.8500000015</v>
      </c>
      <c r="BP29" s="27">
        <v>7047393.0800000001</v>
      </c>
      <c r="BQ29" s="27">
        <v>4982172.5300000012</v>
      </c>
      <c r="BR29" s="27">
        <v>3146961.52</v>
      </c>
      <c r="BS29" s="28">
        <v>238786.65000000014</v>
      </c>
      <c r="BU29" s="183">
        <f t="shared" ca="1" si="13"/>
        <v>0.43865568366693081</v>
      </c>
      <c r="BV29" s="184">
        <f t="shared" ca="1" si="13"/>
        <v>0.65221560395907263</v>
      </c>
      <c r="BW29" s="184">
        <f t="shared" ca="1" si="13"/>
        <v>0.94093005388434237</v>
      </c>
      <c r="BX29" s="184">
        <f t="shared" ca="1" si="13"/>
        <v>0.7520882049316534</v>
      </c>
      <c r="BY29" s="184">
        <f t="shared" ca="1" si="13"/>
        <v>0.57939335775432765</v>
      </c>
      <c r="BZ29" s="184">
        <f t="shared" ca="1" si="13"/>
        <v>0.46774773356788857</v>
      </c>
      <c r="CA29" s="184">
        <f t="shared" ca="1" si="13"/>
        <v>0.74703483626075962</v>
      </c>
      <c r="CB29" s="184">
        <f t="shared" ca="1" si="13"/>
        <v>0.51866155785100654</v>
      </c>
      <c r="CC29" s="184">
        <f t="shared" ca="1" si="13"/>
        <v>0.44351195761628764</v>
      </c>
      <c r="CD29" s="184">
        <f t="shared" ca="1" si="13"/>
        <v>0.59861397733351129</v>
      </c>
      <c r="CE29" s="184">
        <f t="shared" ca="1" si="13"/>
        <v>0.37694708491945222</v>
      </c>
      <c r="CF29" s="184">
        <f t="shared" ca="1" si="13"/>
        <v>0.40909360781526544</v>
      </c>
      <c r="CG29" s="184">
        <f t="shared" ca="1" si="13"/>
        <v>0.47226594037243097</v>
      </c>
      <c r="CH29" s="184">
        <f t="shared" ca="1" si="13"/>
        <v>0.39757405727461881</v>
      </c>
      <c r="CI29" s="184">
        <f t="shared" ca="1" si="13"/>
        <v>0.28127205674049799</v>
      </c>
      <c r="CJ29" s="184">
        <f t="shared" ca="1" si="3"/>
        <v>0.28127205674049799</v>
      </c>
      <c r="CK29" s="184">
        <f t="shared" ca="1" si="24"/>
        <v>1.4175611570227628E-2</v>
      </c>
    </row>
    <row r="30" spans="1:89" x14ac:dyDescent="0.25">
      <c r="A30" s="190" t="s">
        <v>158</v>
      </c>
      <c r="B30" s="185">
        <v>611754980.69999886</v>
      </c>
      <c r="C30" s="27">
        <v>818733927.1299988</v>
      </c>
      <c r="D30" s="27">
        <v>969308266.60000265</v>
      </c>
      <c r="E30" s="27">
        <v>1546389715.3000026</v>
      </c>
      <c r="F30" s="27">
        <v>2147868605.920002</v>
      </c>
      <c r="G30" s="27">
        <v>2296835442.5400019</v>
      </c>
      <c r="H30" s="27">
        <v>2426502684.7300014</v>
      </c>
      <c r="I30" s="27">
        <v>2632060691.940002</v>
      </c>
      <c r="J30" s="27">
        <v>2723183346.7700024</v>
      </c>
      <c r="K30" s="27">
        <v>2867715010.3400025</v>
      </c>
      <c r="L30" s="27">
        <v>2892901837.5300035</v>
      </c>
      <c r="M30" s="27">
        <v>3222191269.8900032</v>
      </c>
      <c r="N30" s="27">
        <v>3375026011.0700021</v>
      </c>
      <c r="O30" s="27">
        <v>3468914154.5700006</v>
      </c>
      <c r="P30" s="27">
        <v>3511710677.96</v>
      </c>
      <c r="Q30" s="27">
        <v>3442120035.3300009</v>
      </c>
      <c r="R30" s="182">
        <v>3420058808.9300003</v>
      </c>
      <c r="S30" s="16"/>
      <c r="T30" s="185">
        <v>14738323.849999996</v>
      </c>
      <c r="U30" s="27">
        <v>25570648.07999998</v>
      </c>
      <c r="V30" s="27">
        <v>23991180.98</v>
      </c>
      <c r="W30" s="27">
        <v>27978221.620000001</v>
      </c>
      <c r="X30" s="27">
        <v>40490385.579999998</v>
      </c>
      <c r="Y30" s="27">
        <v>45310378.560000002</v>
      </c>
      <c r="Z30" s="27">
        <v>24393457.230000012</v>
      </c>
      <c r="AA30" s="27">
        <v>16686027.32</v>
      </c>
      <c r="AB30" s="27">
        <v>23611277.609999999</v>
      </c>
      <c r="AC30" s="27">
        <v>52432491.160000004</v>
      </c>
      <c r="AD30" s="27">
        <v>76655297.36999996</v>
      </c>
      <c r="AE30" s="27">
        <v>99816997.359999999</v>
      </c>
      <c r="AF30" s="27">
        <v>92612401.11999999</v>
      </c>
      <c r="AG30" s="27">
        <v>113536760.06000003</v>
      </c>
      <c r="AH30" s="27">
        <v>127626715.90999994</v>
      </c>
      <c r="AI30" s="27">
        <v>79229224.74999997</v>
      </c>
      <c r="AJ30" s="182">
        <v>43168892.320000008</v>
      </c>
      <c r="AK30" s="16"/>
      <c r="AL30" s="185">
        <f t="shared" ca="1" si="21"/>
        <v>597016656.84999883</v>
      </c>
      <c r="AM30" s="27">
        <f t="shared" ca="1" si="21"/>
        <v>793163279.04999888</v>
      </c>
      <c r="AN30" s="27">
        <f t="shared" ca="1" si="21"/>
        <v>945317085.62000263</v>
      </c>
      <c r="AO30" s="27">
        <f t="shared" ca="1" si="21"/>
        <v>1518411493.6800027</v>
      </c>
      <c r="AP30" s="27">
        <f t="shared" ca="1" si="21"/>
        <v>2107378220.3400021</v>
      </c>
      <c r="AQ30" s="27">
        <f t="shared" ca="1" si="21"/>
        <v>2251525063.9800019</v>
      </c>
      <c r="AR30" s="27">
        <f t="shared" ca="1" si="21"/>
        <v>2402109227.5000014</v>
      </c>
      <c r="AS30" s="27">
        <f t="shared" ca="1" si="21"/>
        <v>2615374664.6200018</v>
      </c>
      <c r="AT30" s="27">
        <f t="shared" ca="1" si="21"/>
        <v>2699572069.1600022</v>
      </c>
      <c r="AU30" s="27">
        <f t="shared" ca="1" si="21"/>
        <v>2815282519.1800027</v>
      </c>
      <c r="AV30" s="27">
        <f t="shared" ca="1" si="21"/>
        <v>2816246540.1600037</v>
      </c>
      <c r="AW30" s="27">
        <f t="shared" ca="1" si="21"/>
        <v>3122374272.5300031</v>
      </c>
      <c r="AX30" s="27">
        <f t="shared" ca="1" si="21"/>
        <v>3282413609.9500022</v>
      </c>
      <c r="AY30" s="27">
        <f t="shared" ca="1" si="21"/>
        <v>3355377394.5100007</v>
      </c>
      <c r="AZ30" s="27">
        <f t="shared" ca="1" si="21"/>
        <v>3384083962.0500002</v>
      </c>
      <c r="BA30" s="27">
        <f t="shared" ca="1" si="22"/>
        <v>3376889916.6100001</v>
      </c>
      <c r="BB30" s="27">
        <f t="shared" ca="1" si="23"/>
        <v>3376889916.6100001</v>
      </c>
      <c r="BC30" s="185">
        <v>2993851.3600000008</v>
      </c>
      <c r="BD30" s="27">
        <v>3882544.9</v>
      </c>
      <c r="BE30" s="27">
        <v>4374904.5300000012</v>
      </c>
      <c r="BF30" s="27">
        <v>7415573.2000000011</v>
      </c>
      <c r="BG30" s="27">
        <v>9686657.3899999987</v>
      </c>
      <c r="BH30" s="27">
        <v>4764937.76</v>
      </c>
      <c r="BI30" s="27">
        <v>9343413.0300000012</v>
      </c>
      <c r="BJ30" s="27">
        <v>31781644.230000004</v>
      </c>
      <c r="BK30" s="27">
        <v>11243407.559999999</v>
      </c>
      <c r="BL30" s="27">
        <v>10459847.040000001</v>
      </c>
      <c r="BM30" s="27">
        <v>8720060.3599999994</v>
      </c>
      <c r="BN30" s="27">
        <v>17068074.120000001</v>
      </c>
      <c r="BO30" s="27">
        <v>8316472.6099999994</v>
      </c>
      <c r="BP30" s="27">
        <v>12646184.120000001</v>
      </c>
      <c r="BQ30" s="27">
        <v>5302266.2699999996</v>
      </c>
      <c r="BR30" s="27">
        <v>6052846.0000000009</v>
      </c>
      <c r="BS30" s="28">
        <v>1108253.94</v>
      </c>
      <c r="BU30" s="183">
        <f t="shared" ca="1" si="13"/>
        <v>0.50146864842871697</v>
      </c>
      <c r="BV30" s="184">
        <f t="shared" ca="1" si="13"/>
        <v>0.48950134260505207</v>
      </c>
      <c r="BW30" s="184">
        <f t="shared" ca="1" si="13"/>
        <v>0.46279757306307906</v>
      </c>
      <c r="BX30" s="184">
        <f t="shared" ca="1" si="13"/>
        <v>0.48837704606856686</v>
      </c>
      <c r="BY30" s="184">
        <f t="shared" ca="1" si="13"/>
        <v>0.45965443205715417</v>
      </c>
      <c r="BZ30" s="184">
        <f t="shared" ca="1" si="13"/>
        <v>0.21163156636493574</v>
      </c>
      <c r="CA30" s="184">
        <f t="shared" ca="1" si="13"/>
        <v>0.38896703459751375</v>
      </c>
      <c r="CB30" s="184">
        <f t="shared" ca="1" si="13"/>
        <v>1.2151851380963685</v>
      </c>
      <c r="CC30" s="184">
        <f t="shared" ca="1" si="13"/>
        <v>0.41648851269595827</v>
      </c>
      <c r="CD30" s="184">
        <f t="shared" ca="1" si="13"/>
        <v>0.37153809497764378</v>
      </c>
      <c r="CE30" s="184">
        <f t="shared" ca="1" si="13"/>
        <v>0.30963412597764162</v>
      </c>
      <c r="CF30" s="184">
        <f t="shared" ca="1" si="13"/>
        <v>0.54663767473878311</v>
      </c>
      <c r="CG30" s="184">
        <f t="shared" ca="1" si="13"/>
        <v>0.25336455420457132</v>
      </c>
      <c r="CH30" s="184">
        <f t="shared" ca="1" si="13"/>
        <v>0.37689304758062164</v>
      </c>
      <c r="CI30" s="184">
        <f t="shared" ca="1" si="13"/>
        <v>0.15668246797245564</v>
      </c>
      <c r="CJ30" s="184">
        <f t="shared" ca="1" si="3"/>
        <v>0.15668246797245564</v>
      </c>
      <c r="CK30" s="184">
        <f t="shared" ca="1" si="24"/>
        <v>3.2818776074067482E-2</v>
      </c>
    </row>
    <row r="31" spans="1:89" x14ac:dyDescent="0.25">
      <c r="A31" s="190" t="s">
        <v>159</v>
      </c>
      <c r="B31" s="185">
        <v>0</v>
      </c>
      <c r="C31" s="27">
        <v>0</v>
      </c>
      <c r="D31" s="27">
        <v>322955987.70000005</v>
      </c>
      <c r="E31" s="27">
        <v>418359653.50000006</v>
      </c>
      <c r="F31" s="27">
        <v>470165242.07000005</v>
      </c>
      <c r="G31" s="27">
        <v>493532733.1400001</v>
      </c>
      <c r="H31" s="27">
        <v>519383320.55000007</v>
      </c>
      <c r="I31" s="27">
        <v>541258604.00999975</v>
      </c>
      <c r="J31" s="27">
        <v>547584102.52999961</v>
      </c>
      <c r="K31" s="27">
        <v>639025344.60999978</v>
      </c>
      <c r="L31" s="27">
        <v>632589797.93999946</v>
      </c>
      <c r="M31" s="27">
        <v>677819955.14999998</v>
      </c>
      <c r="N31" s="27">
        <v>705558549.45000005</v>
      </c>
      <c r="O31" s="27">
        <v>722623641.91000032</v>
      </c>
      <c r="P31" s="27">
        <v>696742111.65000021</v>
      </c>
      <c r="Q31" s="27">
        <v>684830038.76999986</v>
      </c>
      <c r="R31" s="182">
        <v>686113279.77999997</v>
      </c>
      <c r="S31" s="16"/>
      <c r="T31" s="185">
        <v>0</v>
      </c>
      <c r="U31" s="27">
        <v>0</v>
      </c>
      <c r="V31" s="27">
        <v>4385582.18</v>
      </c>
      <c r="W31" s="27">
        <v>12107174.92</v>
      </c>
      <c r="X31" s="27">
        <v>15900255.74</v>
      </c>
      <c r="Y31" s="27">
        <v>10879842.030000001</v>
      </c>
      <c r="Z31" s="27">
        <v>9297738.0399999991</v>
      </c>
      <c r="AA31" s="27">
        <v>8142589.7600000007</v>
      </c>
      <c r="AB31" s="27">
        <v>2203694.37</v>
      </c>
      <c r="AC31" s="27">
        <v>5409051.3899999997</v>
      </c>
      <c r="AD31" s="27">
        <v>8435281.3800000008</v>
      </c>
      <c r="AE31" s="27">
        <v>9209898.4300000016</v>
      </c>
      <c r="AF31" s="27">
        <v>33409933.539999995</v>
      </c>
      <c r="AG31" s="27">
        <v>39928259.809999995</v>
      </c>
      <c r="AH31" s="27">
        <v>25842357.25</v>
      </c>
      <c r="AI31" s="27">
        <v>16583540.630000001</v>
      </c>
      <c r="AJ31" s="182">
        <v>9648098.1199999992</v>
      </c>
      <c r="AK31" s="16"/>
      <c r="AL31" s="185">
        <f t="shared" ca="1" si="21"/>
        <v>0</v>
      </c>
      <c r="AM31" s="27">
        <f t="shared" ca="1" si="21"/>
        <v>0</v>
      </c>
      <c r="AN31" s="27">
        <f t="shared" ca="1" si="21"/>
        <v>318570405.52000004</v>
      </c>
      <c r="AO31" s="27">
        <f t="shared" ca="1" si="21"/>
        <v>406252478.58000004</v>
      </c>
      <c r="AP31" s="27">
        <f t="shared" ca="1" si="21"/>
        <v>454264986.33000004</v>
      </c>
      <c r="AQ31" s="27">
        <f t="shared" ca="1" si="21"/>
        <v>482652891.11000013</v>
      </c>
      <c r="AR31" s="27">
        <f t="shared" ca="1" si="21"/>
        <v>510085582.51000005</v>
      </c>
      <c r="AS31" s="27">
        <f t="shared" ca="1" si="21"/>
        <v>533116014.24999976</v>
      </c>
      <c r="AT31" s="27">
        <f t="shared" ca="1" si="21"/>
        <v>545380408.15999961</v>
      </c>
      <c r="AU31" s="27">
        <f t="shared" ca="1" si="21"/>
        <v>633616293.21999979</v>
      </c>
      <c r="AV31" s="27">
        <f t="shared" ca="1" si="21"/>
        <v>624154516.55999947</v>
      </c>
      <c r="AW31" s="27">
        <f t="shared" ca="1" si="21"/>
        <v>668610056.72000003</v>
      </c>
      <c r="AX31" s="27">
        <f t="shared" ca="1" si="21"/>
        <v>672148615.91000009</v>
      </c>
      <c r="AY31" s="27">
        <f t="shared" ca="1" si="21"/>
        <v>682695382.10000038</v>
      </c>
      <c r="AZ31" s="27">
        <f t="shared" ca="1" si="21"/>
        <v>670899754.40000021</v>
      </c>
      <c r="BA31" s="27">
        <f t="shared" ca="1" si="22"/>
        <v>676465181.65999997</v>
      </c>
      <c r="BB31" s="27">
        <f t="shared" ca="1" si="23"/>
        <v>676465181.65999997</v>
      </c>
      <c r="BC31" s="185">
        <v>0</v>
      </c>
      <c r="BD31" s="27">
        <v>609489.67000000004</v>
      </c>
      <c r="BE31" s="27">
        <v>1475598.4799999995</v>
      </c>
      <c r="BF31" s="27">
        <v>991600.61999999976</v>
      </c>
      <c r="BG31" s="27">
        <v>101850.32000000007</v>
      </c>
      <c r="BH31" s="27">
        <v>827537.47999999986</v>
      </c>
      <c r="BI31" s="27">
        <v>4091748.79</v>
      </c>
      <c r="BJ31" s="27">
        <v>2123501.6500000008</v>
      </c>
      <c r="BK31" s="27">
        <v>1604527.42</v>
      </c>
      <c r="BL31" s="27">
        <v>2554547.6</v>
      </c>
      <c r="BM31" s="27">
        <v>3844444.0599999996</v>
      </c>
      <c r="BN31" s="27">
        <v>5140129.2200000007</v>
      </c>
      <c r="BO31" s="27">
        <v>1419975.7799999996</v>
      </c>
      <c r="BP31" s="27">
        <v>5838475.3600000013</v>
      </c>
      <c r="BQ31" s="27">
        <v>214142.77000000002</v>
      </c>
      <c r="BR31" s="27">
        <v>1336937.5</v>
      </c>
      <c r="BS31" s="28">
        <v>514040.29000000004</v>
      </c>
      <c r="BU31" s="183">
        <f t="shared" ca="1" si="13"/>
        <v>0</v>
      </c>
      <c r="BV31" s="184">
        <f t="shared" ca="1" si="13"/>
        <v>0</v>
      </c>
      <c r="BW31" s="184">
        <f t="shared" ca="1" si="13"/>
        <v>0.46319383546986781</v>
      </c>
      <c r="BX31" s="184">
        <f t="shared" ca="1" si="13"/>
        <v>0.24408481727077802</v>
      </c>
      <c r="BY31" s="184">
        <f t="shared" ca="1" si="13"/>
        <v>2.2420904772530954E-2</v>
      </c>
      <c r="BZ31" s="184">
        <f t="shared" ca="1" si="13"/>
        <v>0.17145602880298463</v>
      </c>
      <c r="CA31" s="184">
        <f t="shared" ca="1" si="13"/>
        <v>0.8021690732495429</v>
      </c>
      <c r="CB31" s="184">
        <f t="shared" ca="1" si="13"/>
        <v>0.39831886366936348</v>
      </c>
      <c r="CC31" s="184">
        <f t="shared" ca="1" si="13"/>
        <v>0.29420334797381931</v>
      </c>
      <c r="CD31" s="184">
        <f t="shared" ca="1" si="13"/>
        <v>0.40316949348286857</v>
      </c>
      <c r="CE31" s="184">
        <f t="shared" ca="1" si="13"/>
        <v>0.61594428270558488</v>
      </c>
      <c r="CF31" s="184">
        <f t="shared" ca="1" si="13"/>
        <v>0.76877832876399288</v>
      </c>
      <c r="CG31" s="184">
        <f t="shared" ca="1" si="13"/>
        <v>0.21125919869336346</v>
      </c>
      <c r="CH31" s="184">
        <f t="shared" ca="1" si="13"/>
        <v>0.85520944085495343</v>
      </c>
      <c r="CI31" s="184">
        <f t="shared" ca="1" si="13"/>
        <v>3.1918743239295472E-2</v>
      </c>
      <c r="CJ31" s="184">
        <f t="shared" ca="1" si="3"/>
        <v>3.1918743239295472E-2</v>
      </c>
      <c r="CK31" s="184">
        <f t="shared" ca="1" si="24"/>
        <v>7.5989171939135111E-2</v>
      </c>
    </row>
    <row r="32" spans="1:89" x14ac:dyDescent="0.25">
      <c r="A32" s="190" t="s">
        <v>160</v>
      </c>
      <c r="B32" s="185">
        <v>0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21198448.350000001</v>
      </c>
      <c r="J32" s="27">
        <v>42917676.699999996</v>
      </c>
      <c r="K32" s="27">
        <v>40562294.299999997</v>
      </c>
      <c r="L32" s="27">
        <v>40545038.299999997</v>
      </c>
      <c r="M32" s="27">
        <v>38131791.099999994</v>
      </c>
      <c r="N32" s="27">
        <v>38131791.099999994</v>
      </c>
      <c r="O32" s="27">
        <v>0</v>
      </c>
      <c r="P32" s="27">
        <v>0</v>
      </c>
      <c r="Q32" s="27">
        <v>0</v>
      </c>
      <c r="R32" s="182">
        <v>0</v>
      </c>
      <c r="S32" s="16"/>
      <c r="T32" s="185">
        <v>0</v>
      </c>
      <c r="U32" s="27">
        <v>0</v>
      </c>
      <c r="V32" s="27">
        <v>0</v>
      </c>
      <c r="W32" s="27">
        <v>0</v>
      </c>
      <c r="X32" s="27">
        <v>0</v>
      </c>
      <c r="Y32" s="27"/>
      <c r="Z32" s="27"/>
      <c r="AA32" s="27">
        <v>0</v>
      </c>
      <c r="AB32" s="27">
        <v>0</v>
      </c>
      <c r="AC32" s="27">
        <v>2413247.6800000006</v>
      </c>
      <c r="AD32" s="27">
        <v>2413247.2000000002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182">
        <v>0</v>
      </c>
      <c r="AK32" s="16"/>
      <c r="AL32" s="185">
        <f t="shared" ca="1" si="21"/>
        <v>0</v>
      </c>
      <c r="AM32" s="27">
        <f t="shared" ca="1" si="21"/>
        <v>0</v>
      </c>
      <c r="AN32" s="27">
        <f t="shared" ca="1" si="21"/>
        <v>0</v>
      </c>
      <c r="AO32" s="27">
        <f t="shared" ca="1" si="21"/>
        <v>0</v>
      </c>
      <c r="AP32" s="27">
        <f t="shared" ca="1" si="21"/>
        <v>0</v>
      </c>
      <c r="AQ32" s="27">
        <f t="shared" ca="1" si="21"/>
        <v>0</v>
      </c>
      <c r="AR32" s="27">
        <f t="shared" ca="1" si="21"/>
        <v>0</v>
      </c>
      <c r="AS32" s="27">
        <f t="shared" ca="1" si="21"/>
        <v>21198448.350000001</v>
      </c>
      <c r="AT32" s="27">
        <f t="shared" ca="1" si="21"/>
        <v>42917676.699999996</v>
      </c>
      <c r="AU32" s="27">
        <f t="shared" ca="1" si="21"/>
        <v>38149046.619999997</v>
      </c>
      <c r="AV32" s="27">
        <f t="shared" ca="1" si="21"/>
        <v>38131791.099999994</v>
      </c>
      <c r="AW32" s="27">
        <f t="shared" ca="1" si="21"/>
        <v>38131791.099999994</v>
      </c>
      <c r="AX32" s="27">
        <f t="shared" ca="1" si="21"/>
        <v>38131791.099999994</v>
      </c>
      <c r="AY32" s="27">
        <f t="shared" ca="1" si="21"/>
        <v>0</v>
      </c>
      <c r="AZ32" s="27">
        <f t="shared" ca="1" si="21"/>
        <v>0</v>
      </c>
      <c r="BA32" s="27">
        <f t="shared" ca="1" si="22"/>
        <v>0</v>
      </c>
      <c r="BB32" s="27">
        <f t="shared" ca="1" si="23"/>
        <v>0</v>
      </c>
      <c r="BC32" s="185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700000</v>
      </c>
      <c r="BJ32" s="27">
        <v>243304</v>
      </c>
      <c r="BK32" s="27">
        <v>3321832</v>
      </c>
      <c r="BL32" s="27">
        <v>0</v>
      </c>
      <c r="BM32" s="27">
        <v>0</v>
      </c>
      <c r="BN32" s="27">
        <v>0</v>
      </c>
      <c r="BO32" s="27">
        <v>0</v>
      </c>
      <c r="BP32" s="27">
        <v>0</v>
      </c>
      <c r="BQ32" s="27">
        <v>0</v>
      </c>
      <c r="BR32" s="27">
        <v>0</v>
      </c>
      <c r="BS32" s="28">
        <v>0</v>
      </c>
      <c r="BU32" s="183">
        <f t="shared" ca="1" si="13"/>
        <v>0</v>
      </c>
      <c r="BV32" s="184">
        <f t="shared" ca="1" si="13"/>
        <v>0</v>
      </c>
      <c r="BW32" s="184">
        <f t="shared" ca="1" si="13"/>
        <v>0</v>
      </c>
      <c r="BX32" s="184">
        <f t="shared" ca="1" si="13"/>
        <v>0</v>
      </c>
      <c r="BY32" s="184">
        <f t="shared" ca="1" si="13"/>
        <v>0</v>
      </c>
      <c r="BZ32" s="184">
        <f t="shared" ca="1" si="13"/>
        <v>0</v>
      </c>
      <c r="CA32" s="184">
        <f t="shared" ca="1" si="13"/>
        <v>0</v>
      </c>
      <c r="CB32" s="184">
        <f t="shared" ca="1" si="13"/>
        <v>1.1477443819608617</v>
      </c>
      <c r="CC32" s="184">
        <f t="shared" ca="1" si="13"/>
        <v>7.7400089087301422</v>
      </c>
      <c r="CD32" s="184">
        <f t="shared" ca="1" si="13"/>
        <v>0</v>
      </c>
      <c r="CE32" s="184">
        <f t="shared" ca="1" si="13"/>
        <v>0</v>
      </c>
      <c r="CF32" s="184">
        <f t="shared" ca="1" si="13"/>
        <v>0</v>
      </c>
      <c r="CG32" s="184">
        <f t="shared" ca="1" si="13"/>
        <v>0</v>
      </c>
      <c r="CH32" s="184">
        <f t="shared" ca="1" si="13"/>
        <v>0</v>
      </c>
      <c r="CI32" s="184">
        <f t="shared" ca="1" si="13"/>
        <v>0</v>
      </c>
      <c r="CJ32" s="184">
        <f t="shared" ca="1" si="3"/>
        <v>0</v>
      </c>
      <c r="CK32" s="184">
        <f t="shared" ca="1" si="24"/>
        <v>0</v>
      </c>
    </row>
    <row r="33" spans="1:89" ht="15.75" thickBot="1" x14ac:dyDescent="0.3">
      <c r="A33" s="190" t="s">
        <v>161</v>
      </c>
      <c r="B33" s="185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284659162.64999998</v>
      </c>
      <c r="M33" s="27">
        <v>376750761.31999999</v>
      </c>
      <c r="N33" s="27">
        <v>458055035.50999999</v>
      </c>
      <c r="O33" s="27">
        <v>456490540.49000001</v>
      </c>
      <c r="P33" s="27">
        <v>477489270.02999997</v>
      </c>
      <c r="Q33" s="27">
        <v>474268063.72999996</v>
      </c>
      <c r="R33" s="182">
        <v>447686545.57999992</v>
      </c>
      <c r="S33" s="16"/>
      <c r="T33" s="185"/>
      <c r="U33" s="27"/>
      <c r="V33" s="27"/>
      <c r="W33" s="27"/>
      <c r="X33" s="27"/>
      <c r="Y33" s="27"/>
      <c r="Z33" s="27"/>
      <c r="AA33" s="27"/>
      <c r="AB33" s="27"/>
      <c r="AC33" s="27"/>
      <c r="AD33" s="27">
        <v>8948108.1100000013</v>
      </c>
      <c r="AE33" s="27">
        <v>22737451.149999999</v>
      </c>
      <c r="AF33" s="27">
        <v>16258512.619999999</v>
      </c>
      <c r="AG33" s="27">
        <v>5162405.04</v>
      </c>
      <c r="AH33" s="27">
        <v>5858304.5199999996</v>
      </c>
      <c r="AI33" s="27">
        <v>11113896.25</v>
      </c>
      <c r="AJ33" s="182">
        <v>7894929.6100000003</v>
      </c>
      <c r="AK33" s="16"/>
      <c r="AL33" s="185"/>
      <c r="AM33" s="27"/>
      <c r="AN33" s="27"/>
      <c r="AO33" s="27"/>
      <c r="AP33" s="27"/>
      <c r="AQ33" s="27"/>
      <c r="AR33" s="27"/>
      <c r="AS33" s="27"/>
      <c r="AT33" s="27"/>
      <c r="AU33" s="27"/>
      <c r="AV33" s="27">
        <f ca="1">L33-AD33</f>
        <v>275711054.53999996</v>
      </c>
      <c r="AW33" s="27">
        <f ca="1">M33-AE33</f>
        <v>354013310.17000002</v>
      </c>
      <c r="AX33" s="27">
        <f ca="1">N33-AF33</f>
        <v>441796522.88999999</v>
      </c>
      <c r="AY33" s="27">
        <f ca="1">O33-AG33</f>
        <v>451328135.44999999</v>
      </c>
      <c r="AZ33" s="27">
        <f ca="1">P33-AH33</f>
        <v>471630965.50999999</v>
      </c>
      <c r="BA33" s="27">
        <f t="shared" ca="1" si="22"/>
        <v>439791615.96999991</v>
      </c>
      <c r="BB33" s="27">
        <f t="shared" ca="1" si="23"/>
        <v>439791615.96999991</v>
      </c>
      <c r="BC33" s="185"/>
      <c r="BD33" s="27"/>
      <c r="BE33" s="27"/>
      <c r="BF33" s="27"/>
      <c r="BG33" s="27"/>
      <c r="BH33" s="27"/>
      <c r="BI33" s="27"/>
      <c r="BJ33" s="27"/>
      <c r="BK33" s="27"/>
      <c r="BL33" s="27"/>
      <c r="BM33" s="27">
        <v>332654.95000000019</v>
      </c>
      <c r="BN33" s="27">
        <v>14115530.359999999</v>
      </c>
      <c r="BO33" s="27">
        <v>4064847.77</v>
      </c>
      <c r="BP33" s="27">
        <v>78123.569999999949</v>
      </c>
      <c r="BQ33" s="27">
        <v>26576.360000000102</v>
      </c>
      <c r="BR33" s="27">
        <v>2.0300000000279397</v>
      </c>
      <c r="BS33" s="28">
        <v>0</v>
      </c>
      <c r="BU33" s="183"/>
      <c r="BV33" s="184"/>
      <c r="BW33" s="184"/>
      <c r="BX33" s="184"/>
      <c r="BY33" s="184"/>
      <c r="BZ33" s="184"/>
      <c r="CA33" s="184"/>
      <c r="CB33" s="184"/>
      <c r="CC33" s="184"/>
      <c r="CD33" s="184"/>
      <c r="CE33" s="184">
        <f t="shared" ca="1" si="13"/>
        <v>0.12065346837652417</v>
      </c>
      <c r="CF33" s="184">
        <f t="shared" ca="1" si="13"/>
        <v>3.9872880353627407</v>
      </c>
      <c r="CG33" s="184">
        <f t="shared" ca="1" si="13"/>
        <v>0.92007237707755329</v>
      </c>
      <c r="CH33" s="184">
        <f t="shared" ca="1" si="13"/>
        <v>1.7309705259590403E-2</v>
      </c>
      <c r="CI33" s="184">
        <f t="shared" ca="1" si="13"/>
        <v>5.6349904784690399E-3</v>
      </c>
      <c r="CJ33" s="184">
        <f t="shared" ca="1" si="3"/>
        <v>5.6349904784690399E-3</v>
      </c>
      <c r="CK33" s="184">
        <f t="shared" ca="1" si="24"/>
        <v>0</v>
      </c>
    </row>
    <row r="34" spans="1:89" ht="15.75" thickBot="1" x14ac:dyDescent="0.3">
      <c r="A34" s="191" t="s">
        <v>162</v>
      </c>
      <c r="B34" s="192">
        <f t="shared" ref="B34:K34" ca="1" si="25">SUM(B28:B32)</f>
        <v>1977585112.0699992</v>
      </c>
      <c r="C34" s="193">
        <f t="shared" ca="1" si="25"/>
        <v>2541777809.9799991</v>
      </c>
      <c r="D34" s="193">
        <f t="shared" ca="1" si="25"/>
        <v>3299374361.9500036</v>
      </c>
      <c r="E34" s="193">
        <f t="shared" ca="1" si="25"/>
        <v>4309834847.6100035</v>
      </c>
      <c r="F34" s="193">
        <f t="shared" ca="1" si="25"/>
        <v>5238041739.7900028</v>
      </c>
      <c r="G34" s="193">
        <f t="shared" ca="1" si="25"/>
        <v>5547538430.4100018</v>
      </c>
      <c r="H34" s="193">
        <f t="shared" ca="1" si="25"/>
        <v>5802010513.4500017</v>
      </c>
      <c r="I34" s="193">
        <f t="shared" ca="1" si="25"/>
        <v>6231373213.6800022</v>
      </c>
      <c r="J34" s="193">
        <f t="shared" ca="1" si="25"/>
        <v>6350193071.0000019</v>
      </c>
      <c r="K34" s="193">
        <f t="shared" ca="1" si="25"/>
        <v>6740477698.4600039</v>
      </c>
      <c r="L34" s="193">
        <f t="shared" ref="L34:R34" ca="1" si="26">SUM(L28:L33)</f>
        <v>7095579366.130003</v>
      </c>
      <c r="M34" s="193">
        <f t="shared" ca="1" si="26"/>
        <v>7505066636.1500025</v>
      </c>
      <c r="N34" s="193">
        <f t="shared" ca="1" si="26"/>
        <v>7912502643.1900034</v>
      </c>
      <c r="O34" s="193">
        <f t="shared" ca="1" si="26"/>
        <v>7702075838.2900009</v>
      </c>
      <c r="P34" s="193">
        <f t="shared" ca="1" si="26"/>
        <v>7706690651.000001</v>
      </c>
      <c r="Q34" s="193">
        <f ca="1">SUM(Q28:Q33)</f>
        <v>7535797501.2400007</v>
      </c>
      <c r="R34" s="194">
        <f t="shared" ca="1" si="26"/>
        <v>7440274216.5799999</v>
      </c>
      <c r="S34" s="16"/>
      <c r="T34" s="192">
        <f t="shared" ref="T34:AC34" ca="1" si="27">SUM(T28:T32)</f>
        <v>64360232.660000004</v>
      </c>
      <c r="U34" s="193">
        <f t="shared" ca="1" si="27"/>
        <v>80314660.86999999</v>
      </c>
      <c r="V34" s="193">
        <f t="shared" ca="1" si="27"/>
        <v>87558931.360000014</v>
      </c>
      <c r="W34" s="193">
        <f t="shared" ca="1" si="27"/>
        <v>115546511.73999999</v>
      </c>
      <c r="X34" s="193">
        <f t="shared" ca="1" si="27"/>
        <v>145325767.19999999</v>
      </c>
      <c r="Y34" s="193">
        <f t="shared" ca="1" si="27"/>
        <v>148831207.71999997</v>
      </c>
      <c r="Z34" s="193">
        <f t="shared" ca="1" si="27"/>
        <v>141527747.63</v>
      </c>
      <c r="AA34" s="193">
        <f t="shared" ca="1" si="27"/>
        <v>169080788.28999996</v>
      </c>
      <c r="AB34" s="193">
        <f t="shared" ca="1" si="27"/>
        <v>161770031.13</v>
      </c>
      <c r="AC34" s="193">
        <f t="shared" ca="1" si="27"/>
        <v>186051247.41999999</v>
      </c>
      <c r="AD34" s="193">
        <f t="shared" ref="AD34:AJ34" ca="1" si="28">SUM(AD28:AD33)</f>
        <v>219052367.22999996</v>
      </c>
      <c r="AE34" s="193">
        <f t="shared" ca="1" si="28"/>
        <v>265723510.20000002</v>
      </c>
      <c r="AF34" s="193">
        <f t="shared" ca="1" si="28"/>
        <v>246320915.11999997</v>
      </c>
      <c r="AG34" s="193">
        <f t="shared" ca="1" si="28"/>
        <v>267304953.58000001</v>
      </c>
      <c r="AH34" s="193">
        <f t="shared" ca="1" si="28"/>
        <v>271869054.07999992</v>
      </c>
      <c r="AI34" s="193">
        <f ca="1">SUM(AI28:AI33)</f>
        <v>203907826.67999995</v>
      </c>
      <c r="AJ34" s="193">
        <f t="shared" ca="1" si="28"/>
        <v>185306115.27000001</v>
      </c>
      <c r="AK34" s="16"/>
      <c r="AL34" s="192">
        <f t="shared" ref="AL34:AU34" ca="1" si="29">SUM(AL28:AL32)</f>
        <v>1913224879.4099989</v>
      </c>
      <c r="AM34" s="193">
        <f t="shared" ca="1" si="29"/>
        <v>2461463149.1099992</v>
      </c>
      <c r="AN34" s="193">
        <f t="shared" ca="1" si="29"/>
        <v>3211815430.590003</v>
      </c>
      <c r="AO34" s="193">
        <f t="shared" ca="1" si="29"/>
        <v>4194288335.8700027</v>
      </c>
      <c r="AP34" s="193">
        <f t="shared" ca="1" si="29"/>
        <v>5092715972.590003</v>
      </c>
      <c r="AQ34" s="193">
        <f t="shared" ca="1" si="29"/>
        <v>5398707222.6900024</v>
      </c>
      <c r="AR34" s="193">
        <f t="shared" ca="1" si="29"/>
        <v>5660482765.8200016</v>
      </c>
      <c r="AS34" s="193">
        <f t="shared" ca="1" si="29"/>
        <v>6062292425.3900032</v>
      </c>
      <c r="AT34" s="193">
        <f t="shared" ca="1" si="29"/>
        <v>6188423039.8700018</v>
      </c>
      <c r="AU34" s="193">
        <f t="shared" ca="1" si="29"/>
        <v>6554426451.0400038</v>
      </c>
      <c r="AV34" s="193">
        <f t="shared" ref="AV34:BA34" ca="1" si="30">SUM(AV28:AV33)</f>
        <v>6876526998.9000034</v>
      </c>
      <c r="AW34" s="193">
        <f t="shared" ca="1" si="30"/>
        <v>7239343125.9500036</v>
      </c>
      <c r="AX34" s="193">
        <f t="shared" ca="1" si="30"/>
        <v>7666181728.0700026</v>
      </c>
      <c r="AY34" s="193">
        <f t="shared" ca="1" si="30"/>
        <v>7434770884.710001</v>
      </c>
      <c r="AZ34" s="193">
        <f t="shared" ca="1" si="30"/>
        <v>7434821596.920002</v>
      </c>
      <c r="BA34" s="193">
        <f t="shared" ca="1" si="30"/>
        <v>7254968101.3100004</v>
      </c>
      <c r="BB34" s="193">
        <f ca="1">SUM(BB28:BB33)</f>
        <v>7254968101.3100004</v>
      </c>
      <c r="BC34" s="192">
        <f t="shared" ref="BC34:BL34" ca="1" si="31">SUM(BC28:BC32)</f>
        <v>6823536.2800000012</v>
      </c>
      <c r="BD34" s="193">
        <f t="shared" ca="1" si="31"/>
        <v>11515066.589999998</v>
      </c>
      <c r="BE34" s="193">
        <f t="shared" ca="1" si="31"/>
        <v>17713870.510000002</v>
      </c>
      <c r="BF34" s="193">
        <f t="shared" ca="1" si="31"/>
        <v>19999180.91</v>
      </c>
      <c r="BG34" s="193">
        <f t="shared" ca="1" si="31"/>
        <v>20514845.269999996</v>
      </c>
      <c r="BH34" s="193">
        <f t="shared" ca="1" si="31"/>
        <v>14504867.530000001</v>
      </c>
      <c r="BI34" s="193">
        <f t="shared" ca="1" si="31"/>
        <v>28094537.280000001</v>
      </c>
      <c r="BJ34" s="193">
        <f t="shared" ca="1" si="31"/>
        <v>48129183.68</v>
      </c>
      <c r="BK34" s="193">
        <f t="shared" ca="1" si="31"/>
        <v>28182609.609999999</v>
      </c>
      <c r="BL34" s="193">
        <f t="shared" ca="1" si="31"/>
        <v>53833585.550000004</v>
      </c>
      <c r="BM34" s="193">
        <f t="shared" ref="BM34:BR34" ca="1" si="32">SUM(BM28:BM33)</f>
        <v>28101651.52</v>
      </c>
      <c r="BN34" s="193">
        <f t="shared" ca="1" si="32"/>
        <v>51017683.559999995</v>
      </c>
      <c r="BO34" s="193">
        <f t="shared" ca="1" si="32"/>
        <v>36078509.650000006</v>
      </c>
      <c r="BP34" s="193">
        <f t="shared" ca="1" si="32"/>
        <v>41361050.479999997</v>
      </c>
      <c r="BQ34" s="193">
        <f t="shared" ca="1" si="32"/>
        <v>17373751.539999999</v>
      </c>
      <c r="BR34" s="193">
        <f t="shared" ca="1" si="32"/>
        <v>14746993.409999998</v>
      </c>
      <c r="BS34" s="194">
        <f ca="1">SUM(BS28:BS33)</f>
        <v>6087104.8799999999</v>
      </c>
      <c r="BU34" s="195">
        <f t="shared" ref="BU34:CD39" ca="1" si="33">IFERROR(BC34/AL34,0)*100</f>
        <v>0.35665103216221222</v>
      </c>
      <c r="BV34" s="196">
        <f t="shared" ca="1" si="33"/>
        <v>0.46781389330015138</v>
      </c>
      <c r="BW34" s="196">
        <f t="shared" ca="1" si="33"/>
        <v>0.55152205638248664</v>
      </c>
      <c r="BX34" s="196">
        <f t="shared" ca="1" si="33"/>
        <v>0.47681941031485275</v>
      </c>
      <c r="BY34" s="196">
        <f t="shared" ca="1" si="33"/>
        <v>0.40282720223187235</v>
      </c>
      <c r="BZ34" s="196">
        <f t="shared" ca="1" si="33"/>
        <v>0.26867297913541405</v>
      </c>
      <c r="CA34" s="196">
        <f t="shared" ca="1" si="33"/>
        <v>0.49632758268684718</v>
      </c>
      <c r="CB34" s="196">
        <f t="shared" ca="1" si="33"/>
        <v>0.79391062493828346</v>
      </c>
      <c r="CC34" s="196">
        <f t="shared" ca="1" si="33"/>
        <v>0.45540858193482553</v>
      </c>
      <c r="CD34" s="196">
        <f t="shared" ca="1" si="33"/>
        <v>0.82133175117798629</v>
      </c>
      <c r="CE34" s="196">
        <f t="shared" ca="1" si="13"/>
        <v>0.40866052768345495</v>
      </c>
      <c r="CF34" s="196">
        <f t="shared" ca="1" si="13"/>
        <v>0.70472807646211755</v>
      </c>
      <c r="CG34" s="196">
        <f t="shared" ca="1" si="13"/>
        <v>0.47061902430380997</v>
      </c>
      <c r="CH34" s="196">
        <f t="shared" ca="1" si="13"/>
        <v>0.55631910009575658</v>
      </c>
      <c r="CI34" s="196">
        <f t="shared" ca="1" si="13"/>
        <v>0.23368081282807598</v>
      </c>
      <c r="CJ34" s="196">
        <f t="shared" ca="1" si="3"/>
        <v>0.23368081282807598</v>
      </c>
      <c r="CK34" s="196">
        <f ca="1">IFERROR(BR34/BA34,0)*100</f>
        <v>0.20326751550206254</v>
      </c>
    </row>
    <row r="35" spans="1:89" x14ac:dyDescent="0.25">
      <c r="A35" s="179" t="s">
        <v>163</v>
      </c>
      <c r="B35" s="185">
        <v>943763044.74999988</v>
      </c>
      <c r="C35" s="27">
        <v>1088303942.7799997</v>
      </c>
      <c r="D35" s="27">
        <v>1293189453.7099996</v>
      </c>
      <c r="E35" s="27">
        <v>1395425306.2400002</v>
      </c>
      <c r="F35" s="27">
        <v>1389464796.97</v>
      </c>
      <c r="G35" s="27">
        <v>1528652980.2499995</v>
      </c>
      <c r="H35" s="27">
        <v>1661880144.1500001</v>
      </c>
      <c r="I35" s="27">
        <v>1674098020.97</v>
      </c>
      <c r="J35" s="27">
        <v>1680911453.0700002</v>
      </c>
      <c r="K35" s="27">
        <v>1290937909.1600001</v>
      </c>
      <c r="L35" s="27">
        <v>1714694634.1900003</v>
      </c>
      <c r="M35" s="27">
        <v>1741459918.7100005</v>
      </c>
      <c r="N35" s="27">
        <v>1860779008.5500007</v>
      </c>
      <c r="O35" s="27">
        <v>1311578399.4100008</v>
      </c>
      <c r="P35" s="27">
        <v>1294866734.1500008</v>
      </c>
      <c r="Q35" s="27">
        <v>1271800556.6800008</v>
      </c>
      <c r="R35" s="182">
        <v>1267266621.400001</v>
      </c>
      <c r="S35" s="16"/>
      <c r="T35" s="185">
        <v>25525167.509999998</v>
      </c>
      <c r="U35" s="27">
        <v>22654478.289999999</v>
      </c>
      <c r="V35" s="27">
        <v>29323997.280000001</v>
      </c>
      <c r="W35" s="27">
        <v>33099602.079999998</v>
      </c>
      <c r="X35" s="27">
        <v>16868418.84</v>
      </c>
      <c r="Y35" s="27">
        <v>42040640.590000004</v>
      </c>
      <c r="Z35" s="27">
        <v>67420267.960000008</v>
      </c>
      <c r="AA35" s="27">
        <v>47973958.669999994</v>
      </c>
      <c r="AB35" s="27">
        <v>68251474.219999999</v>
      </c>
      <c r="AC35" s="27">
        <v>61502975.93</v>
      </c>
      <c r="AD35" s="27">
        <v>37329204.329999998</v>
      </c>
      <c r="AE35" s="27">
        <v>60124751.480000004</v>
      </c>
      <c r="AF35" s="27">
        <v>70426242.600000009</v>
      </c>
      <c r="AG35" s="27">
        <v>65360079.399999991</v>
      </c>
      <c r="AH35" s="27">
        <v>61119793.38000001</v>
      </c>
      <c r="AI35" s="27">
        <v>33607403.939999998</v>
      </c>
      <c r="AJ35" s="182">
        <v>44759808.059999995</v>
      </c>
      <c r="AK35" s="16"/>
      <c r="AL35" s="185">
        <f t="shared" ref="AL35:AZ37" ca="1" si="34">B35-T35</f>
        <v>918237877.23999989</v>
      </c>
      <c r="AM35" s="27">
        <f t="shared" ca="1" si="34"/>
        <v>1065649464.4899998</v>
      </c>
      <c r="AN35" s="27">
        <f t="shared" ca="1" si="34"/>
        <v>1263865456.4299996</v>
      </c>
      <c r="AO35" s="27">
        <f t="shared" ca="1" si="34"/>
        <v>1362325704.1600003</v>
      </c>
      <c r="AP35" s="27">
        <f t="shared" ca="1" si="34"/>
        <v>1372596378.1300001</v>
      </c>
      <c r="AQ35" s="27">
        <f t="shared" ca="1" si="34"/>
        <v>1486612339.6599996</v>
      </c>
      <c r="AR35" s="27">
        <f t="shared" ca="1" si="34"/>
        <v>1594459876.1900001</v>
      </c>
      <c r="AS35" s="27">
        <f t="shared" ca="1" si="34"/>
        <v>1626124062.3</v>
      </c>
      <c r="AT35" s="27">
        <f t="shared" ca="1" si="34"/>
        <v>1612659978.8500001</v>
      </c>
      <c r="AU35" s="27">
        <f t="shared" ca="1" si="34"/>
        <v>1229434933.23</v>
      </c>
      <c r="AV35" s="27">
        <f t="shared" ca="1" si="34"/>
        <v>1677365429.8600004</v>
      </c>
      <c r="AW35" s="27">
        <f t="shared" ca="1" si="34"/>
        <v>1681335167.2300005</v>
      </c>
      <c r="AX35" s="27">
        <f t="shared" ca="1" si="34"/>
        <v>1790352765.9500008</v>
      </c>
      <c r="AY35" s="27">
        <f t="shared" ca="1" si="34"/>
        <v>1246218320.0100007</v>
      </c>
      <c r="AZ35" s="27">
        <f t="shared" ca="1" si="34"/>
        <v>1233746940.7700007</v>
      </c>
      <c r="BA35" s="27">
        <f ca="1">R35-AJ35</f>
        <v>1222506813.3400011</v>
      </c>
      <c r="BB35" s="27">
        <f ca="1">R35-AJ35</f>
        <v>1222506813.3400011</v>
      </c>
      <c r="BC35" s="185">
        <v>1707633.6400000001</v>
      </c>
      <c r="BD35" s="27">
        <v>4438420.6999999993</v>
      </c>
      <c r="BE35" s="27">
        <v>4354989.1999999993</v>
      </c>
      <c r="BF35" s="27">
        <v>11753856.370000001</v>
      </c>
      <c r="BG35" s="27">
        <v>15875952.5</v>
      </c>
      <c r="BH35" s="27">
        <v>2382799.4699999997</v>
      </c>
      <c r="BI35" s="27">
        <v>2640384.4600000028</v>
      </c>
      <c r="BJ35" s="27">
        <v>4262081.62</v>
      </c>
      <c r="BK35" s="27">
        <v>16116640.500000004</v>
      </c>
      <c r="BL35" s="27">
        <v>4458923</v>
      </c>
      <c r="BM35" s="27">
        <v>12084221.029999999</v>
      </c>
      <c r="BN35" s="27">
        <v>7663274.2899999991</v>
      </c>
      <c r="BO35" s="27">
        <v>984158.90999999922</v>
      </c>
      <c r="BP35" s="27">
        <v>6765991.8699999992</v>
      </c>
      <c r="BQ35" s="27">
        <v>3871007.9000000008</v>
      </c>
      <c r="BR35" s="27">
        <v>4561311.5699999994</v>
      </c>
      <c r="BS35" s="28">
        <v>3.5499999998137355</v>
      </c>
      <c r="BU35" s="183">
        <f t="shared" ca="1" si="33"/>
        <v>0.18596854718438888</v>
      </c>
      <c r="BV35" s="184">
        <f t="shared" ca="1" si="33"/>
        <v>0.4164991254534291</v>
      </c>
      <c r="BW35" s="184">
        <f t="shared" ca="1" si="33"/>
        <v>0.34457696251161085</v>
      </c>
      <c r="BX35" s="184">
        <f t="shared" ca="1" si="33"/>
        <v>0.86277872715081294</v>
      </c>
      <c r="BY35" s="184">
        <f t="shared" ca="1" si="33"/>
        <v>1.156636630618908</v>
      </c>
      <c r="BZ35" s="184">
        <f t="shared" ca="1" si="33"/>
        <v>0.16028384848096752</v>
      </c>
      <c r="CA35" s="184">
        <f t="shared" ca="1" si="33"/>
        <v>0.16559742264002683</v>
      </c>
      <c r="CB35" s="184">
        <f t="shared" ca="1" si="33"/>
        <v>0.26210064279915307</v>
      </c>
      <c r="CC35" s="184">
        <f t="shared" ca="1" si="33"/>
        <v>0.99938243097549306</v>
      </c>
      <c r="CD35" s="184">
        <f t="shared" ca="1" si="33"/>
        <v>0.36268068195243269</v>
      </c>
      <c r="CE35" s="184">
        <f t="shared" ca="1" si="13"/>
        <v>0.72042864452074684</v>
      </c>
      <c r="CF35" s="184">
        <f t="shared" ca="1" si="13"/>
        <v>0.45578504746470289</v>
      </c>
      <c r="CG35" s="184">
        <f t="shared" ca="1" si="13"/>
        <v>5.4970111405825806E-2</v>
      </c>
      <c r="CH35" s="184">
        <f t="shared" ca="1" si="13"/>
        <v>0.54292187503275535</v>
      </c>
      <c r="CI35" s="184">
        <f t="shared" ca="1" si="13"/>
        <v>0.31376028357841718</v>
      </c>
      <c r="CJ35" s="184">
        <f t="shared" ca="1" si="3"/>
        <v>0.31376028357841718</v>
      </c>
      <c r="CK35" s="184">
        <f ca="1">IFERROR(BS35/BB35,0)*100</f>
        <v>2.9038692963312073E-7</v>
      </c>
    </row>
    <row r="36" spans="1:89" x14ac:dyDescent="0.25">
      <c r="A36" s="179" t="s">
        <v>164</v>
      </c>
      <c r="B36" s="185">
        <v>2657764563.7199969</v>
      </c>
      <c r="C36" s="27">
        <v>3159430735.6199975</v>
      </c>
      <c r="D36" s="27">
        <v>3358096402.1899996</v>
      </c>
      <c r="E36" s="27">
        <v>3644036707.2199993</v>
      </c>
      <c r="F36" s="27">
        <v>3796014105.1499996</v>
      </c>
      <c r="G36" s="27">
        <v>3990287743.3900003</v>
      </c>
      <c r="H36" s="27">
        <v>3997985764.8199997</v>
      </c>
      <c r="I36" s="27">
        <v>3950042077.8599997</v>
      </c>
      <c r="J36" s="27">
        <v>3919144022.9099994</v>
      </c>
      <c r="K36" s="27">
        <v>3923419560.6299992</v>
      </c>
      <c r="L36" s="27">
        <v>3976339266.3700004</v>
      </c>
      <c r="M36" s="27">
        <v>3934541386.3899994</v>
      </c>
      <c r="N36" s="27">
        <v>3887136052.79</v>
      </c>
      <c r="O36" s="27">
        <v>3865358459.0399995</v>
      </c>
      <c r="P36" s="27">
        <v>3810603190.5</v>
      </c>
      <c r="Q36" s="27">
        <v>3740809506.5899997</v>
      </c>
      <c r="R36" s="182">
        <v>3664771016.7399993</v>
      </c>
      <c r="S36" s="16"/>
      <c r="T36" s="185">
        <v>82176892.800000042</v>
      </c>
      <c r="U36" s="27">
        <v>119890297.94000001</v>
      </c>
      <c r="V36" s="27">
        <v>129540759.68000002</v>
      </c>
      <c r="W36" s="27">
        <v>135124266.19000003</v>
      </c>
      <c r="X36" s="27">
        <v>133630165.60000004</v>
      </c>
      <c r="Y36" s="27">
        <v>131398549.85000004</v>
      </c>
      <c r="Z36" s="27">
        <v>158941437.37000003</v>
      </c>
      <c r="AA36" s="27">
        <v>161835232.34</v>
      </c>
      <c r="AB36" s="27">
        <v>160404710.19999999</v>
      </c>
      <c r="AC36" s="27">
        <v>158794107.67000002</v>
      </c>
      <c r="AD36" s="27">
        <v>144672492.95000002</v>
      </c>
      <c r="AE36" s="27">
        <v>147988015.04999995</v>
      </c>
      <c r="AF36" s="27">
        <v>137330201.22999996</v>
      </c>
      <c r="AG36" s="27">
        <v>153159474.16999996</v>
      </c>
      <c r="AH36" s="27">
        <v>166908978.86999989</v>
      </c>
      <c r="AI36" s="27">
        <v>162947950.88000003</v>
      </c>
      <c r="AJ36" s="182">
        <v>166789244.78999996</v>
      </c>
      <c r="AK36" s="16"/>
      <c r="AL36" s="185">
        <f t="shared" ca="1" si="34"/>
        <v>2575587670.9199967</v>
      </c>
      <c r="AM36" s="27">
        <f t="shared" ca="1" si="34"/>
        <v>3039540437.6799974</v>
      </c>
      <c r="AN36" s="27">
        <f t="shared" ca="1" si="34"/>
        <v>3228555642.5099998</v>
      </c>
      <c r="AO36" s="27">
        <f t="shared" ca="1" si="34"/>
        <v>3508912441.0299993</v>
      </c>
      <c r="AP36" s="27">
        <f t="shared" ca="1" si="34"/>
        <v>3662383939.5499997</v>
      </c>
      <c r="AQ36" s="27">
        <f t="shared" ca="1" si="34"/>
        <v>3858889193.5400004</v>
      </c>
      <c r="AR36" s="27">
        <f t="shared" ca="1" si="34"/>
        <v>3839044327.4499998</v>
      </c>
      <c r="AS36" s="27">
        <f t="shared" ca="1" si="34"/>
        <v>3788206845.5199995</v>
      </c>
      <c r="AT36" s="27">
        <f t="shared" ca="1" si="34"/>
        <v>3758739312.7099996</v>
      </c>
      <c r="AU36" s="27">
        <f t="shared" ca="1" si="34"/>
        <v>3764625452.9599991</v>
      </c>
      <c r="AV36" s="27">
        <f t="shared" ca="1" si="34"/>
        <v>3831666773.4200006</v>
      </c>
      <c r="AW36" s="27">
        <f t="shared" ca="1" si="34"/>
        <v>3786553371.3399992</v>
      </c>
      <c r="AX36" s="27">
        <f t="shared" ca="1" si="34"/>
        <v>3749805851.5599999</v>
      </c>
      <c r="AY36" s="27">
        <f t="shared" ca="1" si="34"/>
        <v>3712198984.8699994</v>
      </c>
      <c r="AZ36" s="27">
        <f t="shared" ca="1" si="34"/>
        <v>3643694211.6300001</v>
      </c>
      <c r="BA36" s="27">
        <f ca="1">R36-AJ36</f>
        <v>3497981771.9499993</v>
      </c>
      <c r="BB36" s="27">
        <f ca="1">R36-AJ36</f>
        <v>3497981771.9499993</v>
      </c>
      <c r="BC36" s="185">
        <v>9478605.2000000011</v>
      </c>
      <c r="BD36" s="27">
        <v>10736100.290000001</v>
      </c>
      <c r="BE36" s="27">
        <v>13794887.68</v>
      </c>
      <c r="BF36" s="27">
        <v>23953168.32</v>
      </c>
      <c r="BG36" s="27">
        <v>27654803.170000002</v>
      </c>
      <c r="BH36" s="27">
        <v>24254318.680000003</v>
      </c>
      <c r="BI36" s="27">
        <v>18860170.100000001</v>
      </c>
      <c r="BJ36" s="27">
        <v>16067768.159999998</v>
      </c>
      <c r="BK36" s="27">
        <v>17693703.709999993</v>
      </c>
      <c r="BL36" s="27">
        <v>22101741.250000004</v>
      </c>
      <c r="BM36" s="27">
        <v>14237758.290000001</v>
      </c>
      <c r="BN36" s="27">
        <v>26418028.199999999</v>
      </c>
      <c r="BO36" s="27">
        <v>25013092.620000005</v>
      </c>
      <c r="BP36" s="27">
        <v>24057018.709999993</v>
      </c>
      <c r="BQ36" s="27">
        <v>11295194.160000002</v>
      </c>
      <c r="BR36" s="27">
        <v>15894974.699999997</v>
      </c>
      <c r="BS36" s="28">
        <v>1526283.4100000006</v>
      </c>
      <c r="BU36" s="183">
        <f t="shared" ca="1" si="33"/>
        <v>0.36801718330225797</v>
      </c>
      <c r="BV36" s="184">
        <f t="shared" ca="1" si="33"/>
        <v>0.35321458984090992</v>
      </c>
      <c r="BW36" s="184">
        <f t="shared" ca="1" si="33"/>
        <v>0.42727737129149612</v>
      </c>
      <c r="BX36" s="184">
        <f t="shared" ca="1" si="33"/>
        <v>0.68263796040943203</v>
      </c>
      <c r="BY36" s="184">
        <f t="shared" ca="1" si="33"/>
        <v>0.75510387841526994</v>
      </c>
      <c r="BZ36" s="184">
        <f t="shared" ca="1" si="33"/>
        <v>0.62853109958697728</v>
      </c>
      <c r="CA36" s="184">
        <f t="shared" ca="1" si="33"/>
        <v>0.49127252751799955</v>
      </c>
      <c r="CB36" s="184">
        <f t="shared" ca="1" si="33"/>
        <v>0.42415234476971669</v>
      </c>
      <c r="CC36" s="184">
        <f t="shared" ca="1" si="33"/>
        <v>0.47073505869826004</v>
      </c>
      <c r="CD36" s="184">
        <f t="shared" ca="1" si="33"/>
        <v>0.58709004457859537</v>
      </c>
      <c r="CE36" s="184">
        <f t="shared" ca="1" si="13"/>
        <v>0.37158132822943574</v>
      </c>
      <c r="CF36" s="184">
        <f t="shared" ca="1" si="13"/>
        <v>0.69768006968963159</v>
      </c>
      <c r="CG36" s="184">
        <f t="shared" ca="1" si="13"/>
        <v>0.66705033834202432</v>
      </c>
      <c r="CH36" s="184">
        <f t="shared" ca="1" si="13"/>
        <v>0.64805304909705597</v>
      </c>
      <c r="CI36" s="184">
        <f t="shared" ca="1" si="13"/>
        <v>0.30999292212688501</v>
      </c>
      <c r="CJ36" s="184">
        <f t="shared" ca="1" si="3"/>
        <v>0.30999292212688501</v>
      </c>
      <c r="CK36" s="184">
        <f ca="1">IFERROR(BS36/BB36,0)*100</f>
        <v>4.3633257961465943E-2</v>
      </c>
    </row>
    <row r="37" spans="1:89" ht="15.75" thickBot="1" x14ac:dyDescent="0.3">
      <c r="A37" s="190" t="s">
        <v>165</v>
      </c>
      <c r="B37" s="185">
        <v>0</v>
      </c>
      <c r="C37" s="27">
        <v>101781500.46999995</v>
      </c>
      <c r="D37" s="27">
        <v>420456427.20000011</v>
      </c>
      <c r="E37" s="27">
        <v>621611821.03999996</v>
      </c>
      <c r="F37" s="27">
        <v>787552078.44999981</v>
      </c>
      <c r="G37" s="27">
        <v>1012252209.4299996</v>
      </c>
      <c r="H37" s="27">
        <v>1172131336.6699998</v>
      </c>
      <c r="I37" s="27">
        <v>1241769854.22</v>
      </c>
      <c r="J37" s="27">
        <v>1317236868.5899999</v>
      </c>
      <c r="K37" s="27">
        <v>1469388186.1700001</v>
      </c>
      <c r="L37" s="27">
        <v>1647645875.95</v>
      </c>
      <c r="M37" s="27">
        <v>1758860306.3200006</v>
      </c>
      <c r="N37" s="27">
        <v>1821130104.2100005</v>
      </c>
      <c r="O37" s="27">
        <v>1875415061.5000002</v>
      </c>
      <c r="P37" s="27">
        <v>1936450673.6200006</v>
      </c>
      <c r="Q37" s="27">
        <v>1892630342.000001</v>
      </c>
      <c r="R37" s="182">
        <v>1853456261.0200007</v>
      </c>
      <c r="S37" s="16"/>
      <c r="T37" s="185">
        <v>0</v>
      </c>
      <c r="U37" s="27">
        <v>3043651.3600000003</v>
      </c>
      <c r="V37" s="27">
        <v>10892171.220000001</v>
      </c>
      <c r="W37" s="27">
        <v>19361832.34</v>
      </c>
      <c r="X37" s="27">
        <v>20036759.649999999</v>
      </c>
      <c r="Y37" s="27">
        <v>22593349.789999999</v>
      </c>
      <c r="Z37" s="27">
        <v>50316517.150000006</v>
      </c>
      <c r="AA37" s="27">
        <v>51750983.680000007</v>
      </c>
      <c r="AB37" s="27">
        <v>42507186.790000007</v>
      </c>
      <c r="AC37" s="27">
        <v>44748717.539999992</v>
      </c>
      <c r="AD37" s="27">
        <v>43329576.419999994</v>
      </c>
      <c r="AE37" s="27">
        <v>57629134.050000004</v>
      </c>
      <c r="AF37" s="27">
        <v>67413660.780000001</v>
      </c>
      <c r="AG37" s="27">
        <v>71902149.449999988</v>
      </c>
      <c r="AH37" s="27">
        <v>65260481.730000019</v>
      </c>
      <c r="AI37" s="27">
        <v>58391357.959999993</v>
      </c>
      <c r="AJ37" s="182">
        <v>55842142.469999991</v>
      </c>
      <c r="AK37" s="16"/>
      <c r="AL37" s="185">
        <f t="shared" ca="1" si="34"/>
        <v>0</v>
      </c>
      <c r="AM37" s="27">
        <f t="shared" ca="1" si="34"/>
        <v>98737849.109999955</v>
      </c>
      <c r="AN37" s="27">
        <f t="shared" ca="1" si="34"/>
        <v>409564255.98000008</v>
      </c>
      <c r="AO37" s="27">
        <f t="shared" ca="1" si="34"/>
        <v>602249988.69999993</v>
      </c>
      <c r="AP37" s="27">
        <f t="shared" ca="1" si="34"/>
        <v>767515318.79999983</v>
      </c>
      <c r="AQ37" s="27">
        <f t="shared" ca="1" si="34"/>
        <v>989658859.63999963</v>
      </c>
      <c r="AR37" s="27">
        <f t="shared" ca="1" si="34"/>
        <v>1121814819.5199997</v>
      </c>
      <c r="AS37" s="27">
        <f t="shared" ca="1" si="34"/>
        <v>1190018870.54</v>
      </c>
      <c r="AT37" s="27">
        <f t="shared" ca="1" si="34"/>
        <v>1274729681.8</v>
      </c>
      <c r="AU37" s="27">
        <f t="shared" ca="1" si="34"/>
        <v>1424639468.6300001</v>
      </c>
      <c r="AV37" s="27">
        <f t="shared" ca="1" si="34"/>
        <v>1604316299.53</v>
      </c>
      <c r="AW37" s="27">
        <f t="shared" ca="1" si="34"/>
        <v>1701231172.2700007</v>
      </c>
      <c r="AX37" s="27">
        <f t="shared" ca="1" si="34"/>
        <v>1753716443.4300005</v>
      </c>
      <c r="AY37" s="27">
        <f t="shared" ca="1" si="34"/>
        <v>1803512912.0500002</v>
      </c>
      <c r="AZ37" s="27">
        <f t="shared" ca="1" si="34"/>
        <v>1871190191.8900006</v>
      </c>
      <c r="BA37" s="27">
        <f ca="1">R37-AJ37</f>
        <v>1797614118.5500007</v>
      </c>
      <c r="BB37" s="27">
        <f ca="1">R37-AJ37</f>
        <v>1797614118.5500007</v>
      </c>
      <c r="BC37" s="185">
        <v>160</v>
      </c>
      <c r="BD37" s="27">
        <v>939120.15999999968</v>
      </c>
      <c r="BE37" s="27">
        <v>3542439.3800000004</v>
      </c>
      <c r="BF37" s="27">
        <v>14022406.43</v>
      </c>
      <c r="BG37" s="27">
        <v>4614893.9400000013</v>
      </c>
      <c r="BH37" s="27">
        <v>3371143.29</v>
      </c>
      <c r="BI37" s="27">
        <v>6552288.5099999998</v>
      </c>
      <c r="BJ37" s="27">
        <v>7151786.6799999997</v>
      </c>
      <c r="BK37" s="27">
        <v>2838144.82</v>
      </c>
      <c r="BL37" s="27">
        <v>4835277.2399999993</v>
      </c>
      <c r="BM37" s="27">
        <v>5750157.5900000008</v>
      </c>
      <c r="BN37" s="27">
        <v>4472038.37</v>
      </c>
      <c r="BO37" s="27">
        <v>7018152.9800000014</v>
      </c>
      <c r="BP37" s="27">
        <v>8699654.9399999995</v>
      </c>
      <c r="BQ37" s="27">
        <v>3859595.0399999996</v>
      </c>
      <c r="BR37" s="27">
        <v>11050645.389999999</v>
      </c>
      <c r="BS37" s="28">
        <v>293643.35000000009</v>
      </c>
      <c r="BU37" s="183">
        <f t="shared" ca="1" si="33"/>
        <v>0</v>
      </c>
      <c r="BV37" s="184">
        <f t="shared" ca="1" si="33"/>
        <v>0.95112479000202133</v>
      </c>
      <c r="BW37" s="184">
        <f t="shared" ca="1" si="33"/>
        <v>0.86492884285609761</v>
      </c>
      <c r="BX37" s="184">
        <f t="shared" ca="1" si="33"/>
        <v>2.3283365202327984</v>
      </c>
      <c r="BY37" s="184">
        <f t="shared" ca="1" si="33"/>
        <v>0.60127711160414721</v>
      </c>
      <c r="BZ37" s="184">
        <f t="shared" ca="1" si="33"/>
        <v>0.34063690302598754</v>
      </c>
      <c r="CA37" s="184">
        <f t="shared" ca="1" si="33"/>
        <v>0.5840793325233109</v>
      </c>
      <c r="CB37" s="184">
        <f t="shared" ca="1" si="33"/>
        <v>0.60098094719747619</v>
      </c>
      <c r="CC37" s="184">
        <f t="shared" ca="1" si="33"/>
        <v>0.22264679802484538</v>
      </c>
      <c r="CD37" s="184">
        <f t="shared" ca="1" si="33"/>
        <v>0.33940357167345842</v>
      </c>
      <c r="CE37" s="184">
        <f t="shared" ca="1" si="13"/>
        <v>0.35841794985718001</v>
      </c>
      <c r="CF37" s="184">
        <f t="shared" ca="1" si="13"/>
        <v>0.26287070463403472</v>
      </c>
      <c r="CG37" s="184">
        <f t="shared" ca="1" si="13"/>
        <v>0.40018744229104503</v>
      </c>
      <c r="CH37" s="184">
        <f t="shared" ca="1" si="13"/>
        <v>0.48237275607366498</v>
      </c>
      <c r="CI37" s="184">
        <f t="shared" ca="1" si="13"/>
        <v>0.20626417649729159</v>
      </c>
      <c r="CJ37" s="184">
        <f t="shared" ca="1" si="3"/>
        <v>0.20626417649729159</v>
      </c>
      <c r="CK37" s="184">
        <f ca="1">IFERROR(BS37/BB37,0)*100</f>
        <v>1.6335171545985631E-2</v>
      </c>
    </row>
    <row r="38" spans="1:89" ht="15.75" thickBot="1" x14ac:dyDescent="0.3">
      <c r="A38" s="191" t="s">
        <v>166</v>
      </c>
      <c r="B38" s="192">
        <f t="shared" ref="B38:R38" ca="1" si="35">SUM(B35:B37)</f>
        <v>3601527608.4699969</v>
      </c>
      <c r="C38" s="193">
        <f t="shared" ca="1" si="35"/>
        <v>4349516178.869997</v>
      </c>
      <c r="D38" s="193">
        <f t="shared" ca="1" si="35"/>
        <v>5071742283.0999994</v>
      </c>
      <c r="E38" s="193">
        <f t="shared" ca="1" si="35"/>
        <v>5661073834.499999</v>
      </c>
      <c r="F38" s="193">
        <f t="shared" ca="1" si="35"/>
        <v>5973030980.5699997</v>
      </c>
      <c r="G38" s="193">
        <f t="shared" ca="1" si="35"/>
        <v>6531192933.0699987</v>
      </c>
      <c r="H38" s="193">
        <f t="shared" ca="1" si="35"/>
        <v>6831997245.6399994</v>
      </c>
      <c r="I38" s="193">
        <f t="shared" ca="1" si="35"/>
        <v>6865909953.0500002</v>
      </c>
      <c r="J38" s="193">
        <f t="shared" ca="1" si="35"/>
        <v>6917292344.5699997</v>
      </c>
      <c r="K38" s="193">
        <f t="shared" ca="1" si="35"/>
        <v>6683745655.9599991</v>
      </c>
      <c r="L38" s="193">
        <f t="shared" ca="1" si="35"/>
        <v>7338679776.5100002</v>
      </c>
      <c r="M38" s="193">
        <f t="shared" ca="1" si="35"/>
        <v>7434861611.420001</v>
      </c>
      <c r="N38" s="193">
        <f t="shared" ca="1" si="35"/>
        <v>7569045165.5500011</v>
      </c>
      <c r="O38" s="193">
        <f t="shared" ca="1" si="35"/>
        <v>7052351919.9500008</v>
      </c>
      <c r="P38" s="193">
        <f ca="1">SUM(P35:P37)</f>
        <v>7041920598.2700014</v>
      </c>
      <c r="Q38" s="193">
        <f ca="1">SUM(Q35:Q37)</f>
        <v>6905240405.2700014</v>
      </c>
      <c r="R38" s="194">
        <f t="shared" ca="1" si="35"/>
        <v>6785493899.1600008</v>
      </c>
      <c r="S38" s="16"/>
      <c r="T38" s="192">
        <f t="shared" ref="T38:AA38" ca="1" si="36">SUM(T35:T37)</f>
        <v>107702060.31000003</v>
      </c>
      <c r="U38" s="193">
        <f t="shared" ca="1" si="36"/>
        <v>145588427.59000003</v>
      </c>
      <c r="V38" s="193">
        <f t="shared" ca="1" si="36"/>
        <v>169756928.18000004</v>
      </c>
      <c r="W38" s="193">
        <f t="shared" ca="1" si="36"/>
        <v>187585700.61000004</v>
      </c>
      <c r="X38" s="193">
        <f t="shared" ca="1" si="36"/>
        <v>170535344.09000003</v>
      </c>
      <c r="Y38" s="193">
        <f t="shared" ca="1" si="36"/>
        <v>196032540.23000005</v>
      </c>
      <c r="Z38" s="193">
        <f t="shared" ca="1" si="36"/>
        <v>276678222.48000002</v>
      </c>
      <c r="AA38" s="193">
        <f t="shared" ca="1" si="36"/>
        <v>261560174.69</v>
      </c>
      <c r="AB38" s="193">
        <v>271163371.20999998</v>
      </c>
      <c r="AC38" s="193">
        <f t="shared" ref="AC38:BR38" ca="1" si="37">SUM(AC35:AC37)</f>
        <v>265045801.14000002</v>
      </c>
      <c r="AD38" s="193">
        <f t="shared" ca="1" si="37"/>
        <v>225331273.70000002</v>
      </c>
      <c r="AE38" s="193">
        <f t="shared" ca="1" si="37"/>
        <v>265741900.57999998</v>
      </c>
      <c r="AF38" s="193">
        <f t="shared" ca="1" si="37"/>
        <v>275170104.61000001</v>
      </c>
      <c r="AG38" s="193">
        <f t="shared" ca="1" si="37"/>
        <v>290421703.01999992</v>
      </c>
      <c r="AH38" s="193">
        <f ca="1">SUM(AH35:AH37)</f>
        <v>293289253.9799999</v>
      </c>
      <c r="AI38" s="193">
        <f ca="1">SUM(AI35:AI37)</f>
        <v>254946712.78000003</v>
      </c>
      <c r="AJ38" s="193">
        <f t="shared" ca="1" si="37"/>
        <v>267391195.31999996</v>
      </c>
      <c r="AK38" s="193">
        <f t="shared" ca="1" si="37"/>
        <v>0</v>
      </c>
      <c r="AL38" s="192">
        <f t="shared" ca="1" si="37"/>
        <v>3493825548.1599965</v>
      </c>
      <c r="AM38" s="193">
        <f t="shared" ca="1" si="37"/>
        <v>4203927751.2799973</v>
      </c>
      <c r="AN38" s="193">
        <f t="shared" ca="1" si="37"/>
        <v>4901985354.9200001</v>
      </c>
      <c r="AO38" s="193">
        <f t="shared" ca="1" si="37"/>
        <v>5473488133.8899994</v>
      </c>
      <c r="AP38" s="193">
        <f t="shared" ca="1" si="37"/>
        <v>5802495636.4800005</v>
      </c>
      <c r="AQ38" s="193">
        <f t="shared" ca="1" si="37"/>
        <v>6335160392.8399992</v>
      </c>
      <c r="AR38" s="193">
        <f t="shared" ca="1" si="37"/>
        <v>6555319023.1599989</v>
      </c>
      <c r="AS38" s="193">
        <f t="shared" ca="1" si="37"/>
        <v>6604349778.3599997</v>
      </c>
      <c r="AT38" s="193">
        <f t="shared" ca="1" si="37"/>
        <v>6646128973.3599997</v>
      </c>
      <c r="AU38" s="193">
        <f t="shared" ca="1" si="37"/>
        <v>6418699854.8199987</v>
      </c>
      <c r="AV38" s="193">
        <f t="shared" ca="1" si="37"/>
        <v>7113348502.8100004</v>
      </c>
      <c r="AW38" s="193">
        <f t="shared" ca="1" si="37"/>
        <v>7169119710.8400002</v>
      </c>
      <c r="AX38" s="193">
        <f t="shared" ca="1" si="37"/>
        <v>7293875060.9400005</v>
      </c>
      <c r="AY38" s="193">
        <f t="shared" ca="1" si="37"/>
        <v>6761930216.9300003</v>
      </c>
      <c r="AZ38" s="193">
        <f ca="1">SUM(AZ35:AZ37)</f>
        <v>6748631344.2900009</v>
      </c>
      <c r="BA38" s="193">
        <f t="shared" ca="1" si="37"/>
        <v>6518102703.8400021</v>
      </c>
      <c r="BB38" s="193">
        <f ca="1">SUM(BB35:BB37)</f>
        <v>6518102703.8400021</v>
      </c>
      <c r="BC38" s="192">
        <f t="shared" ca="1" si="37"/>
        <v>11186398.840000002</v>
      </c>
      <c r="BD38" s="193">
        <f t="shared" ca="1" si="37"/>
        <v>16113641.15</v>
      </c>
      <c r="BE38" s="193">
        <f t="shared" ca="1" si="37"/>
        <v>21692316.259999998</v>
      </c>
      <c r="BF38" s="193">
        <f t="shared" ca="1" si="37"/>
        <v>49729431.119999997</v>
      </c>
      <c r="BG38" s="193">
        <f t="shared" ca="1" si="37"/>
        <v>48145649.609999999</v>
      </c>
      <c r="BH38" s="193">
        <f t="shared" ca="1" si="37"/>
        <v>30008261.440000001</v>
      </c>
      <c r="BI38" s="193">
        <f t="shared" ca="1" si="37"/>
        <v>28052843.07</v>
      </c>
      <c r="BJ38" s="193">
        <f t="shared" ca="1" si="37"/>
        <v>27481636.459999997</v>
      </c>
      <c r="BK38" s="193">
        <f t="shared" ca="1" si="37"/>
        <v>36648489.029999994</v>
      </c>
      <c r="BL38" s="193">
        <f t="shared" ca="1" si="37"/>
        <v>31395941.490000002</v>
      </c>
      <c r="BM38" s="193">
        <f t="shared" ca="1" si="37"/>
        <v>32072136.91</v>
      </c>
      <c r="BN38" s="193">
        <f t="shared" ca="1" si="37"/>
        <v>38553340.859999992</v>
      </c>
      <c r="BO38" s="193">
        <f t="shared" ca="1" si="37"/>
        <v>33015404.510000005</v>
      </c>
      <c r="BP38" s="193">
        <f t="shared" ca="1" si="37"/>
        <v>39522665.519999988</v>
      </c>
      <c r="BQ38" s="193">
        <f ca="1">SUM(BQ35:BQ37)</f>
        <v>19025797.100000001</v>
      </c>
      <c r="BR38" s="193">
        <f t="shared" ca="1" si="37"/>
        <v>31506931.659999996</v>
      </c>
      <c r="BS38" s="194">
        <f ca="1">SUM(BS35:BS37)</f>
        <v>1819930.3100000005</v>
      </c>
      <c r="BU38" s="195">
        <f t="shared" ca="1" si="33"/>
        <v>0.32017622762794368</v>
      </c>
      <c r="BV38" s="196">
        <f t="shared" ca="1" si="33"/>
        <v>0.38329966886547406</v>
      </c>
      <c r="BW38" s="196">
        <f t="shared" ca="1" si="33"/>
        <v>0.4425210336099426</v>
      </c>
      <c r="BX38" s="196">
        <f t="shared" ca="1" si="33"/>
        <v>0.90855099898896408</v>
      </c>
      <c r="BY38" s="196">
        <f t="shared" ca="1" si="33"/>
        <v>0.82974038459091115</v>
      </c>
      <c r="BZ38" s="196">
        <f t="shared" ca="1" si="33"/>
        <v>0.47367800622562534</v>
      </c>
      <c r="CA38" s="196">
        <f t="shared" ca="1" si="33"/>
        <v>0.42794016539681839</v>
      </c>
      <c r="CB38" s="196">
        <f t="shared" ca="1" si="33"/>
        <v>0.41611418810746681</v>
      </c>
      <c r="CC38" s="196">
        <f t="shared" ca="1" si="33"/>
        <v>0.55142608843282925</v>
      </c>
      <c r="CD38" s="196">
        <f t="shared" ca="1" si="33"/>
        <v>0.4891324131073651</v>
      </c>
      <c r="CE38" s="196">
        <f t="shared" ca="1" si="13"/>
        <v>0.45087256581524832</v>
      </c>
      <c r="CF38" s="196">
        <f t="shared" ca="1" si="13"/>
        <v>0.53776952282866441</v>
      </c>
      <c r="CG38" s="196">
        <f t="shared" ca="1" si="13"/>
        <v>0.45264559968682999</v>
      </c>
      <c r="CH38" s="196">
        <f t="shared" ca="1" si="13"/>
        <v>0.58448792359681823</v>
      </c>
      <c r="CI38" s="196">
        <f t="shared" ca="1" si="13"/>
        <v>0.28192082408083646</v>
      </c>
      <c r="CJ38" s="196">
        <f t="shared" ca="1" si="3"/>
        <v>0.28192082408083646</v>
      </c>
      <c r="CK38" s="196">
        <f ca="1">IFERROR(BR38/BA38,0)*100</f>
        <v>0.48337580875242048</v>
      </c>
    </row>
    <row r="39" spans="1:89" x14ac:dyDescent="0.25">
      <c r="A39" s="202" t="s">
        <v>167</v>
      </c>
      <c r="B39" s="185"/>
      <c r="C39" s="27"/>
      <c r="D39" s="27"/>
      <c r="E39" s="27"/>
      <c r="F39" s="27">
        <v>70192732.790000007</v>
      </c>
      <c r="G39" s="27">
        <v>430433148.73000014</v>
      </c>
      <c r="H39" s="27">
        <v>523321544.88000011</v>
      </c>
      <c r="I39" s="27">
        <v>573573748.92000008</v>
      </c>
      <c r="J39" s="27">
        <v>599539261.41000009</v>
      </c>
      <c r="K39" s="27">
        <v>647109784.19000018</v>
      </c>
      <c r="L39" s="27">
        <v>682260267.61000037</v>
      </c>
      <c r="M39" s="27">
        <v>691286906.64000034</v>
      </c>
      <c r="N39" s="27">
        <v>696997657.80000031</v>
      </c>
      <c r="O39" s="27">
        <v>702390601.9000001</v>
      </c>
      <c r="P39" s="27">
        <v>712911356.99999988</v>
      </c>
      <c r="Q39" s="27">
        <v>709682936.78999996</v>
      </c>
      <c r="R39" s="182">
        <v>692523310.08999968</v>
      </c>
      <c r="S39" s="16"/>
      <c r="T39" s="185"/>
      <c r="U39" s="27"/>
      <c r="V39" s="27"/>
      <c r="W39" s="27"/>
      <c r="X39" s="27">
        <v>1012993.9299999999</v>
      </c>
      <c r="Y39" s="27">
        <v>11247558.020000001</v>
      </c>
      <c r="Z39" s="27">
        <v>22210958.859999996</v>
      </c>
      <c r="AA39" s="27">
        <v>15116449.969999997</v>
      </c>
      <c r="AB39" s="27">
        <v>12284205.1</v>
      </c>
      <c r="AC39" s="27">
        <v>37396986.43</v>
      </c>
      <c r="AD39" s="27">
        <v>25268124.809999999</v>
      </c>
      <c r="AE39" s="27">
        <v>21243472.100000001</v>
      </c>
      <c r="AF39" s="27">
        <v>19184900.419999994</v>
      </c>
      <c r="AG39" s="27">
        <v>13731476.58</v>
      </c>
      <c r="AH39" s="27">
        <v>22014687.979999997</v>
      </c>
      <c r="AI39" s="27">
        <v>46205869.729999989</v>
      </c>
      <c r="AJ39" s="182">
        <v>37656479.989999995</v>
      </c>
      <c r="AK39" s="16"/>
      <c r="AL39" s="185">
        <f t="shared" ref="AL39:AZ39" ca="1" si="38">B39-T39</f>
        <v>0</v>
      </c>
      <c r="AM39" s="27">
        <f t="shared" ca="1" si="38"/>
        <v>0</v>
      </c>
      <c r="AN39" s="27">
        <f t="shared" ca="1" si="38"/>
        <v>0</v>
      </c>
      <c r="AO39" s="27">
        <f t="shared" ca="1" si="38"/>
        <v>0</v>
      </c>
      <c r="AP39" s="27">
        <f t="shared" ca="1" si="38"/>
        <v>69179738.859999999</v>
      </c>
      <c r="AQ39" s="27">
        <f t="shared" ca="1" si="38"/>
        <v>419185590.71000016</v>
      </c>
      <c r="AR39" s="27">
        <f t="shared" ca="1" si="38"/>
        <v>501110586.0200001</v>
      </c>
      <c r="AS39" s="27">
        <f t="shared" ca="1" si="38"/>
        <v>558457298.95000005</v>
      </c>
      <c r="AT39" s="27">
        <f t="shared" ca="1" si="38"/>
        <v>587255056.31000006</v>
      </c>
      <c r="AU39" s="27">
        <f t="shared" ca="1" si="38"/>
        <v>609712797.76000023</v>
      </c>
      <c r="AV39" s="27">
        <f t="shared" ca="1" si="38"/>
        <v>656992142.80000043</v>
      </c>
      <c r="AW39" s="27">
        <f t="shared" ca="1" si="38"/>
        <v>670043434.54000032</v>
      </c>
      <c r="AX39" s="27">
        <f t="shared" ca="1" si="38"/>
        <v>677812757.38000035</v>
      </c>
      <c r="AY39" s="27">
        <f t="shared" ca="1" si="38"/>
        <v>688659125.32000005</v>
      </c>
      <c r="AZ39" s="27">
        <f t="shared" ca="1" si="38"/>
        <v>690896669.01999986</v>
      </c>
      <c r="BA39" s="27">
        <f ca="1">R39-AJ39</f>
        <v>654866830.09999967</v>
      </c>
      <c r="BB39" s="27">
        <f ca="1">R39-AJ39</f>
        <v>654866830.09999967</v>
      </c>
      <c r="BC39" s="185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0</v>
      </c>
      <c r="BI39" s="27">
        <v>0</v>
      </c>
      <c r="BJ39" s="27">
        <v>0</v>
      </c>
      <c r="BK39" s="27">
        <v>0</v>
      </c>
      <c r="BL39" s="27">
        <v>0</v>
      </c>
      <c r="BM39" s="27">
        <v>0</v>
      </c>
      <c r="BN39" s="27">
        <v>0</v>
      </c>
      <c r="BO39" s="27">
        <v>0</v>
      </c>
      <c r="BP39" s="27">
        <v>0</v>
      </c>
      <c r="BQ39" s="27">
        <v>0</v>
      </c>
      <c r="BR39" s="27">
        <v>0</v>
      </c>
      <c r="BS39" s="28">
        <v>0</v>
      </c>
      <c r="BU39" s="183">
        <f t="shared" ca="1" si="33"/>
        <v>0</v>
      </c>
      <c r="BV39" s="184">
        <f t="shared" ca="1" si="33"/>
        <v>0</v>
      </c>
      <c r="BW39" s="184">
        <f t="shared" ca="1" si="33"/>
        <v>0</v>
      </c>
      <c r="BX39" s="184">
        <f t="shared" ca="1" si="33"/>
        <v>0</v>
      </c>
      <c r="BY39" s="184">
        <f t="shared" ca="1" si="33"/>
        <v>0</v>
      </c>
      <c r="BZ39" s="184">
        <f t="shared" ca="1" si="33"/>
        <v>0</v>
      </c>
      <c r="CA39" s="184">
        <f t="shared" ca="1" si="33"/>
        <v>0</v>
      </c>
      <c r="CB39" s="184">
        <f t="shared" ca="1" si="33"/>
        <v>0</v>
      </c>
      <c r="CC39" s="184">
        <f t="shared" ca="1" si="33"/>
        <v>0</v>
      </c>
      <c r="CD39" s="184">
        <f t="shared" ca="1" si="33"/>
        <v>0</v>
      </c>
      <c r="CE39" s="184">
        <f t="shared" ca="1" si="13"/>
        <v>0</v>
      </c>
      <c r="CF39" s="184">
        <f t="shared" ca="1" si="13"/>
        <v>0</v>
      </c>
      <c r="CG39" s="184">
        <f t="shared" ca="1" si="13"/>
        <v>0</v>
      </c>
      <c r="CH39" s="184">
        <f t="shared" ca="1" si="13"/>
        <v>0</v>
      </c>
      <c r="CI39" s="184">
        <f t="shared" ca="1" si="13"/>
        <v>0</v>
      </c>
      <c r="CJ39" s="184">
        <f t="shared" ca="1" si="3"/>
        <v>0</v>
      </c>
      <c r="CK39" s="184">
        <f ca="1">IFERROR(BS39/BB39,0)*100</f>
        <v>0</v>
      </c>
    </row>
    <row r="40" spans="1:89" ht="15.75" thickBot="1" x14ac:dyDescent="0.3">
      <c r="A40" s="202" t="s">
        <v>168</v>
      </c>
      <c r="B40" s="185">
        <v>0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/>
      <c r="L40" s="27">
        <v>29373276.25</v>
      </c>
      <c r="M40" s="27">
        <v>72738340.950000018</v>
      </c>
      <c r="N40" s="27">
        <v>105605196.95</v>
      </c>
      <c r="O40" s="27">
        <v>112289699.08999997</v>
      </c>
      <c r="P40" s="27">
        <v>137658853.26000002</v>
      </c>
      <c r="Q40" s="27">
        <v>135475076</v>
      </c>
      <c r="R40" s="182">
        <v>132258259.30000001</v>
      </c>
      <c r="S40" s="16"/>
      <c r="T40" s="185"/>
      <c r="U40" s="27"/>
      <c r="V40" s="27"/>
      <c r="W40" s="27"/>
      <c r="X40" s="27"/>
      <c r="Y40" s="27"/>
      <c r="Z40" s="27"/>
      <c r="AA40" s="27"/>
      <c r="AB40" s="27"/>
      <c r="AC40" s="27"/>
      <c r="AD40" s="27">
        <v>1085363.6800000002</v>
      </c>
      <c r="AE40" s="27">
        <v>2196830.8200000003</v>
      </c>
      <c r="AF40" s="27">
        <v>2925161.23</v>
      </c>
      <c r="AG40" s="27">
        <v>3908595.9699999997</v>
      </c>
      <c r="AH40" s="27">
        <v>4993641.6599999992</v>
      </c>
      <c r="AI40" s="27">
        <v>4631407.34</v>
      </c>
      <c r="AJ40" s="182">
        <v>5387046.9700000007</v>
      </c>
      <c r="AK40" s="16"/>
      <c r="AL40" s="185"/>
      <c r="AM40" s="27"/>
      <c r="AN40" s="27"/>
      <c r="AO40" s="27"/>
      <c r="AP40" s="27"/>
      <c r="AQ40" s="27"/>
      <c r="AR40" s="27"/>
      <c r="AS40" s="27"/>
      <c r="AT40" s="27"/>
      <c r="AU40" s="27"/>
      <c r="AV40" s="27">
        <f ca="1">L40-AD40</f>
        <v>28287912.57</v>
      </c>
      <c r="AW40" s="27">
        <f ca="1">M40-AE40</f>
        <v>70541510.130000025</v>
      </c>
      <c r="AX40" s="27">
        <f ca="1">N40-AF40</f>
        <v>102680035.72</v>
      </c>
      <c r="AY40" s="27">
        <f ca="1">O40-AG40</f>
        <v>108381103.11999997</v>
      </c>
      <c r="AZ40" s="27">
        <f ca="1">P40-AH40</f>
        <v>132665211.60000002</v>
      </c>
      <c r="BA40" s="27">
        <f ca="1">R40-AJ40</f>
        <v>126871212.33000001</v>
      </c>
      <c r="BB40" s="27">
        <f ca="1">R40-AJ40</f>
        <v>126871212.33000001</v>
      </c>
      <c r="BC40" s="185"/>
      <c r="BD40" s="27"/>
      <c r="BE40" s="27"/>
      <c r="BF40" s="27"/>
      <c r="BG40" s="27"/>
      <c r="BH40" s="27"/>
      <c r="BI40" s="27"/>
      <c r="BJ40" s="27"/>
      <c r="BK40" s="27"/>
      <c r="BL40" s="27"/>
      <c r="BM40" s="27">
        <v>12477.430000000022</v>
      </c>
      <c r="BN40" s="27">
        <v>398405.91</v>
      </c>
      <c r="BO40" s="27">
        <v>655468.6399999999</v>
      </c>
      <c r="BP40" s="27">
        <v>663714.65</v>
      </c>
      <c r="BQ40" s="27">
        <v>1519361.43</v>
      </c>
      <c r="BR40" s="27">
        <v>641018.04</v>
      </c>
      <c r="BS40" s="28">
        <v>0.64999999999417923</v>
      </c>
      <c r="BU40" s="183"/>
      <c r="BV40" s="184"/>
      <c r="BW40" s="184"/>
      <c r="BX40" s="184"/>
      <c r="BY40" s="184"/>
      <c r="BZ40" s="184"/>
      <c r="CA40" s="184"/>
      <c r="CB40" s="184"/>
      <c r="CC40" s="184"/>
      <c r="CD40" s="184"/>
      <c r="CE40" s="184">
        <f t="shared" ca="1" si="13"/>
        <v>4.410869826157704E-2</v>
      </c>
      <c r="CF40" s="184">
        <f t="shared" ca="1" si="13"/>
        <v>0.56478222434674696</v>
      </c>
      <c r="CG40" s="184">
        <f t="shared" ca="1" si="13"/>
        <v>0.63836035447767947</v>
      </c>
      <c r="CH40" s="184">
        <f t="shared" ca="1" si="13"/>
        <v>0.61238964256078166</v>
      </c>
      <c r="CI40" s="184">
        <f t="shared" ca="1" si="13"/>
        <v>1.1452598700713186</v>
      </c>
      <c r="CJ40" s="184">
        <f t="shared" ca="1" si="3"/>
        <v>1.1452598700713186</v>
      </c>
      <c r="CK40" s="184">
        <f ca="1">IFERROR(BS40/BB40,0)*100</f>
        <v>5.1233056582094314E-7</v>
      </c>
    </row>
    <row r="41" spans="1:89" ht="15.75" thickBot="1" x14ac:dyDescent="0.3">
      <c r="A41" s="191" t="s">
        <v>169</v>
      </c>
      <c r="B41" s="192">
        <f t="shared" ref="B41:K41" ca="1" si="39">SUM(B39)</f>
        <v>0</v>
      </c>
      <c r="C41" s="193">
        <f t="shared" ca="1" si="39"/>
        <v>0</v>
      </c>
      <c r="D41" s="193">
        <f t="shared" ca="1" si="39"/>
        <v>0</v>
      </c>
      <c r="E41" s="193">
        <f t="shared" ca="1" si="39"/>
        <v>0</v>
      </c>
      <c r="F41" s="193">
        <f t="shared" ca="1" si="39"/>
        <v>70192732.790000007</v>
      </c>
      <c r="G41" s="193">
        <f t="shared" ca="1" si="39"/>
        <v>430433148.73000014</v>
      </c>
      <c r="H41" s="193">
        <f t="shared" ca="1" si="39"/>
        <v>523321544.88000011</v>
      </c>
      <c r="I41" s="193">
        <f t="shared" ca="1" si="39"/>
        <v>573573748.92000008</v>
      </c>
      <c r="J41" s="193">
        <f t="shared" ca="1" si="39"/>
        <v>599539261.41000009</v>
      </c>
      <c r="K41" s="193">
        <f t="shared" ca="1" si="39"/>
        <v>647109784.19000018</v>
      </c>
      <c r="L41" s="193">
        <f t="shared" ref="L41:R41" ca="1" si="40">SUM(L39:L40)</f>
        <v>711633543.86000037</v>
      </c>
      <c r="M41" s="193">
        <f t="shared" ca="1" si="40"/>
        <v>764025247.59000039</v>
      </c>
      <c r="N41" s="193">
        <f t="shared" ca="1" si="40"/>
        <v>802602854.75000036</v>
      </c>
      <c r="O41" s="193">
        <f t="shared" ca="1" si="40"/>
        <v>814680300.99000001</v>
      </c>
      <c r="P41" s="193">
        <f t="shared" ca="1" si="40"/>
        <v>850570210.25999987</v>
      </c>
      <c r="Q41" s="193">
        <f ca="1">SUM(Q39:Q40)</f>
        <v>845158012.78999996</v>
      </c>
      <c r="R41" s="194">
        <f t="shared" ca="1" si="40"/>
        <v>824781569.38999963</v>
      </c>
      <c r="S41" s="16"/>
      <c r="T41" s="192">
        <f t="shared" ref="T41:AC41" ca="1" si="41">SUM(T39)</f>
        <v>0</v>
      </c>
      <c r="U41" s="193">
        <f t="shared" ca="1" si="41"/>
        <v>0</v>
      </c>
      <c r="V41" s="193">
        <f t="shared" ca="1" si="41"/>
        <v>0</v>
      </c>
      <c r="W41" s="193">
        <f t="shared" ca="1" si="41"/>
        <v>0</v>
      </c>
      <c r="X41" s="193">
        <f t="shared" ca="1" si="41"/>
        <v>1012993.9299999999</v>
      </c>
      <c r="Y41" s="193">
        <f t="shared" ca="1" si="41"/>
        <v>11247558.020000001</v>
      </c>
      <c r="Z41" s="193">
        <f t="shared" ca="1" si="41"/>
        <v>22210958.859999996</v>
      </c>
      <c r="AA41" s="193">
        <f t="shared" ca="1" si="41"/>
        <v>15116449.969999997</v>
      </c>
      <c r="AB41" s="193">
        <f t="shared" ca="1" si="41"/>
        <v>12284205.1</v>
      </c>
      <c r="AC41" s="193">
        <f t="shared" ca="1" si="41"/>
        <v>37396986.43</v>
      </c>
      <c r="AD41" s="193">
        <f t="shared" ref="AD41:AJ41" ca="1" si="42">SUM(AD39:AD40)</f>
        <v>26353488.489999998</v>
      </c>
      <c r="AE41" s="193">
        <f t="shared" ca="1" si="42"/>
        <v>23440302.920000002</v>
      </c>
      <c r="AF41" s="193">
        <f t="shared" ca="1" si="42"/>
        <v>22110061.649999995</v>
      </c>
      <c r="AG41" s="193">
        <f t="shared" ca="1" si="42"/>
        <v>17640072.550000001</v>
      </c>
      <c r="AH41" s="193">
        <f t="shared" ca="1" si="42"/>
        <v>27008329.639999997</v>
      </c>
      <c r="AI41" s="193">
        <f ca="1">SUM(AI39:AI40)</f>
        <v>50837277.069999993</v>
      </c>
      <c r="AJ41" s="193">
        <f t="shared" ca="1" si="42"/>
        <v>43043526.959999993</v>
      </c>
      <c r="AK41" s="16"/>
      <c r="AL41" s="192">
        <f t="shared" ref="AL41:AU41" ca="1" si="43">SUM(AL39)</f>
        <v>0</v>
      </c>
      <c r="AM41" s="193">
        <f t="shared" ca="1" si="43"/>
        <v>0</v>
      </c>
      <c r="AN41" s="193">
        <f t="shared" ca="1" si="43"/>
        <v>0</v>
      </c>
      <c r="AO41" s="193">
        <f t="shared" ca="1" si="43"/>
        <v>0</v>
      </c>
      <c r="AP41" s="193">
        <f t="shared" ca="1" si="43"/>
        <v>69179738.859999999</v>
      </c>
      <c r="AQ41" s="193">
        <f t="shared" ca="1" si="43"/>
        <v>419185590.71000016</v>
      </c>
      <c r="AR41" s="193">
        <f t="shared" ca="1" si="43"/>
        <v>501110586.0200001</v>
      </c>
      <c r="AS41" s="193">
        <f t="shared" ca="1" si="43"/>
        <v>558457298.95000005</v>
      </c>
      <c r="AT41" s="193">
        <f t="shared" ca="1" si="43"/>
        <v>587255056.31000006</v>
      </c>
      <c r="AU41" s="193">
        <f t="shared" ca="1" si="43"/>
        <v>609712797.76000023</v>
      </c>
      <c r="AV41" s="193">
        <f t="shared" ref="AV41:BA41" ca="1" si="44">SUM(AV39:AV40)</f>
        <v>685280055.37000048</v>
      </c>
      <c r="AW41" s="193">
        <f t="shared" ca="1" si="44"/>
        <v>740584944.67000031</v>
      </c>
      <c r="AX41" s="193">
        <f t="shared" ca="1" si="44"/>
        <v>780492793.10000038</v>
      </c>
      <c r="AY41" s="193">
        <f t="shared" ca="1" si="44"/>
        <v>797040228.44000006</v>
      </c>
      <c r="AZ41" s="193">
        <f t="shared" ca="1" si="44"/>
        <v>823561880.61999989</v>
      </c>
      <c r="BA41" s="193">
        <f t="shared" ca="1" si="44"/>
        <v>781738042.42999971</v>
      </c>
      <c r="BB41" s="193">
        <f ca="1">SUM(BB39:BB40)</f>
        <v>781738042.42999971</v>
      </c>
      <c r="BC41" s="192">
        <f t="shared" ref="BC41:BL41" ca="1" si="45">SUM(BC39)</f>
        <v>0</v>
      </c>
      <c r="BD41" s="193">
        <f t="shared" ca="1" si="45"/>
        <v>0</v>
      </c>
      <c r="BE41" s="193">
        <f t="shared" ca="1" si="45"/>
        <v>0</v>
      </c>
      <c r="BF41" s="193">
        <f t="shared" ca="1" si="45"/>
        <v>0</v>
      </c>
      <c r="BG41" s="193">
        <f t="shared" ca="1" si="45"/>
        <v>0</v>
      </c>
      <c r="BH41" s="193">
        <f t="shared" ca="1" si="45"/>
        <v>0</v>
      </c>
      <c r="BI41" s="193">
        <f t="shared" ca="1" si="45"/>
        <v>0</v>
      </c>
      <c r="BJ41" s="193">
        <f t="shared" ca="1" si="45"/>
        <v>0</v>
      </c>
      <c r="BK41" s="193">
        <f t="shared" ca="1" si="45"/>
        <v>0</v>
      </c>
      <c r="BL41" s="193">
        <f t="shared" ca="1" si="45"/>
        <v>0</v>
      </c>
      <c r="BM41" s="193">
        <f t="shared" ref="BM41:BR41" ca="1" si="46">SUM(BM39:BM40)</f>
        <v>12477.430000000022</v>
      </c>
      <c r="BN41" s="193">
        <f t="shared" ca="1" si="46"/>
        <v>398405.91</v>
      </c>
      <c r="BO41" s="193">
        <f t="shared" ca="1" si="46"/>
        <v>655468.6399999999</v>
      </c>
      <c r="BP41" s="193">
        <f t="shared" ca="1" si="46"/>
        <v>663714.65</v>
      </c>
      <c r="BQ41" s="193">
        <f t="shared" ca="1" si="46"/>
        <v>1519361.43</v>
      </c>
      <c r="BR41" s="193">
        <f t="shared" ca="1" si="46"/>
        <v>641018.04</v>
      </c>
      <c r="BS41" s="194">
        <f ca="1">SUM(BS39:BS40)</f>
        <v>0.64999999999417923</v>
      </c>
      <c r="BU41" s="195">
        <f t="shared" ref="BU41:CI46" ca="1" si="47">IFERROR(BC41/AL41,0)*100</f>
        <v>0</v>
      </c>
      <c r="BV41" s="196">
        <f t="shared" ca="1" si="47"/>
        <v>0</v>
      </c>
      <c r="BW41" s="196">
        <f t="shared" ca="1" si="47"/>
        <v>0</v>
      </c>
      <c r="BX41" s="196">
        <f t="shared" ca="1" si="47"/>
        <v>0</v>
      </c>
      <c r="BY41" s="196">
        <f t="shared" ca="1" si="47"/>
        <v>0</v>
      </c>
      <c r="BZ41" s="196">
        <f t="shared" ca="1" si="47"/>
        <v>0</v>
      </c>
      <c r="CA41" s="196">
        <f t="shared" ca="1" si="47"/>
        <v>0</v>
      </c>
      <c r="CB41" s="196">
        <f t="shared" ca="1" si="47"/>
        <v>0</v>
      </c>
      <c r="CC41" s="196">
        <f t="shared" ca="1" si="47"/>
        <v>0</v>
      </c>
      <c r="CD41" s="196">
        <f t="shared" ca="1" si="47"/>
        <v>0</v>
      </c>
      <c r="CE41" s="196">
        <f t="shared" ca="1" si="13"/>
        <v>1.8207782208491583E-3</v>
      </c>
      <c r="CF41" s="196">
        <f t="shared" ca="1" si="13"/>
        <v>5.3796112500980826E-2</v>
      </c>
      <c r="CG41" s="196">
        <f t="shared" ca="1" si="13"/>
        <v>8.3981382761598181E-2</v>
      </c>
      <c r="CH41" s="196">
        <f t="shared" ca="1" si="13"/>
        <v>8.3272415408573497E-2</v>
      </c>
      <c r="CI41" s="196">
        <f t="shared" ca="1" si="13"/>
        <v>0.18448661427313551</v>
      </c>
      <c r="CJ41" s="196">
        <f t="shared" ca="1" si="3"/>
        <v>0.18448661427313551</v>
      </c>
      <c r="CK41" s="196">
        <f ca="1">IFERROR(BR41/BA41,0)*100</f>
        <v>8.1999084758293525E-2</v>
      </c>
    </row>
    <row r="42" spans="1:89" ht="15.75" thickBot="1" x14ac:dyDescent="0.3">
      <c r="A42" s="190" t="s">
        <v>170</v>
      </c>
      <c r="B42" s="185"/>
      <c r="C42" s="27"/>
      <c r="D42" s="27"/>
      <c r="E42" s="27"/>
      <c r="F42" s="27"/>
      <c r="G42" s="27">
        <v>753825539.55000031</v>
      </c>
      <c r="H42" s="27">
        <v>1252627247.23</v>
      </c>
      <c r="I42" s="27">
        <v>1540641915.710001</v>
      </c>
      <c r="J42" s="27">
        <v>1918974812.1700015</v>
      </c>
      <c r="K42" s="27">
        <v>2418339199.460001</v>
      </c>
      <c r="L42" s="27">
        <v>2710246983</v>
      </c>
      <c r="M42" s="27">
        <v>3212234421</v>
      </c>
      <c r="N42" s="27">
        <v>3643299141.0400004</v>
      </c>
      <c r="O42" s="27">
        <v>4030981339</v>
      </c>
      <c r="P42" s="27">
        <v>4342603513.4199991</v>
      </c>
      <c r="Q42" s="27">
        <v>4404895251.7700005</v>
      </c>
      <c r="R42" s="182">
        <v>4432735105.039999</v>
      </c>
      <c r="S42" s="16"/>
      <c r="T42" s="185"/>
      <c r="U42" s="27"/>
      <c r="V42" s="27"/>
      <c r="W42" s="27"/>
      <c r="X42" s="27"/>
      <c r="Y42" s="27">
        <v>18045242.760000005</v>
      </c>
      <c r="Z42" s="27">
        <v>50805974.799999997</v>
      </c>
      <c r="AA42" s="27">
        <v>54258152.640000001</v>
      </c>
      <c r="AB42" s="27">
        <v>44115004.040000007</v>
      </c>
      <c r="AC42" s="27">
        <v>51518898.93</v>
      </c>
      <c r="AD42" s="27">
        <v>59472533</v>
      </c>
      <c r="AE42" s="27">
        <v>53803138</v>
      </c>
      <c r="AF42" s="27">
        <v>53656792.760000005</v>
      </c>
      <c r="AG42" s="27">
        <v>59083279.849999994</v>
      </c>
      <c r="AH42" s="27">
        <v>51338118.289999992</v>
      </c>
      <c r="AI42" s="27">
        <v>162416829.31999996</v>
      </c>
      <c r="AJ42" s="182">
        <v>187637182.18999997</v>
      </c>
      <c r="AK42" s="16"/>
      <c r="AL42" s="185">
        <f t="shared" ref="AL42:AZ42" ca="1" si="48">B42-T42</f>
        <v>0</v>
      </c>
      <c r="AM42" s="27">
        <f t="shared" ca="1" si="48"/>
        <v>0</v>
      </c>
      <c r="AN42" s="27">
        <f t="shared" ca="1" si="48"/>
        <v>0</v>
      </c>
      <c r="AO42" s="27">
        <f t="shared" ca="1" si="48"/>
        <v>0</v>
      </c>
      <c r="AP42" s="27">
        <f t="shared" ca="1" si="48"/>
        <v>0</v>
      </c>
      <c r="AQ42" s="27">
        <f t="shared" ca="1" si="48"/>
        <v>735780296.79000032</v>
      </c>
      <c r="AR42" s="27">
        <f t="shared" ca="1" si="48"/>
        <v>1201821272.4300001</v>
      </c>
      <c r="AS42" s="27">
        <f t="shared" ca="1" si="48"/>
        <v>1486383763.0700009</v>
      </c>
      <c r="AT42" s="27">
        <f t="shared" ca="1" si="48"/>
        <v>1874859808.1300015</v>
      </c>
      <c r="AU42" s="27">
        <f t="shared" ca="1" si="48"/>
        <v>2366820300.5300012</v>
      </c>
      <c r="AV42" s="27">
        <f t="shared" ca="1" si="48"/>
        <v>2650774450</v>
      </c>
      <c r="AW42" s="27">
        <f t="shared" ca="1" si="48"/>
        <v>3158431283</v>
      </c>
      <c r="AX42" s="27">
        <f t="shared" ca="1" si="48"/>
        <v>3589642348.2800002</v>
      </c>
      <c r="AY42" s="27">
        <f t="shared" ca="1" si="48"/>
        <v>3971898059.1500001</v>
      </c>
      <c r="AZ42" s="27">
        <f t="shared" ca="1" si="48"/>
        <v>4291265395.1299992</v>
      </c>
      <c r="BA42" s="27">
        <f ca="1">R42-AJ42</f>
        <v>4245097922.849999</v>
      </c>
      <c r="BB42" s="27">
        <f ca="1">R42-AJ42</f>
        <v>4245097922.849999</v>
      </c>
      <c r="BC42" s="185">
        <v>0</v>
      </c>
      <c r="BD42" s="27">
        <v>0</v>
      </c>
      <c r="BE42" s="27">
        <v>0</v>
      </c>
      <c r="BF42" s="27">
        <v>0</v>
      </c>
      <c r="BG42" s="27">
        <v>3205998.8799999994</v>
      </c>
      <c r="BH42" s="27">
        <v>6628252.3199999994</v>
      </c>
      <c r="BI42" s="27">
        <v>6494775.6100000003</v>
      </c>
      <c r="BJ42" s="27">
        <v>28949465.999999996</v>
      </c>
      <c r="BK42" s="27">
        <v>11243114.5</v>
      </c>
      <c r="BL42" s="27">
        <v>12210589.850000001</v>
      </c>
      <c r="BM42" s="27">
        <v>9181777.0999999996</v>
      </c>
      <c r="BN42" s="27">
        <v>15395282.810000001</v>
      </c>
      <c r="BO42" s="27">
        <v>11993738.34</v>
      </c>
      <c r="BP42" s="27">
        <v>9972445.4600000009</v>
      </c>
      <c r="BQ42" s="27">
        <v>4781766.1999999993</v>
      </c>
      <c r="BR42" s="27">
        <v>8648438.9999999981</v>
      </c>
      <c r="BS42" s="28">
        <v>3096938.71</v>
      </c>
      <c r="BU42" s="183">
        <f t="shared" ca="1" si="47"/>
        <v>0</v>
      </c>
      <c r="BV42" s="184">
        <f t="shared" ca="1" si="47"/>
        <v>0</v>
      </c>
      <c r="BW42" s="184">
        <f t="shared" ca="1" si="47"/>
        <v>0</v>
      </c>
      <c r="BX42" s="184">
        <f t="shared" ca="1" si="47"/>
        <v>0</v>
      </c>
      <c r="BY42" s="184">
        <f t="shared" ca="1" si="47"/>
        <v>0</v>
      </c>
      <c r="BZ42" s="184">
        <f t="shared" ca="1" si="47"/>
        <v>0.90084667242615424</v>
      </c>
      <c r="CA42" s="184">
        <f t="shared" ca="1" si="47"/>
        <v>0.54041110429573358</v>
      </c>
      <c r="CB42" s="184">
        <f t="shared" ca="1" si="47"/>
        <v>1.947644122551992</v>
      </c>
      <c r="CC42" s="184">
        <f t="shared" ca="1" si="47"/>
        <v>0.59967761062700264</v>
      </c>
      <c r="CD42" s="184">
        <f t="shared" ca="1" si="47"/>
        <v>0.51590692572924479</v>
      </c>
      <c r="CE42" s="184">
        <f t="shared" ca="1" si="47"/>
        <v>0.34638092652507646</v>
      </c>
      <c r="CF42" s="184">
        <f t="shared" ca="1" si="47"/>
        <v>0.48743447080403052</v>
      </c>
      <c r="CG42" s="184">
        <f t="shared" ca="1" si="47"/>
        <v>0.33412070552786061</v>
      </c>
      <c r="CH42" s="184">
        <f t="shared" ca="1" si="47"/>
        <v>0.25107506062565305</v>
      </c>
      <c r="CI42" s="184">
        <f t="shared" ca="1" si="47"/>
        <v>0.11143021369469834</v>
      </c>
      <c r="CJ42" s="184">
        <f t="shared" ca="1" si="3"/>
        <v>0.11143021369469834</v>
      </c>
      <c r="CK42" s="184">
        <f ca="1">IFERROR(BS42/BB42,0)*100</f>
        <v>7.2953292627955024E-2</v>
      </c>
    </row>
    <row r="43" spans="1:89" ht="15.75" thickBot="1" x14ac:dyDescent="0.3">
      <c r="A43" s="191" t="s">
        <v>171</v>
      </c>
      <c r="B43" s="192">
        <f t="shared" ref="B43:R43" ca="1" si="49">B42</f>
        <v>0</v>
      </c>
      <c r="C43" s="193">
        <f t="shared" ca="1" si="49"/>
        <v>0</v>
      </c>
      <c r="D43" s="193">
        <f t="shared" ca="1" si="49"/>
        <v>0</v>
      </c>
      <c r="E43" s="193">
        <f t="shared" ca="1" si="49"/>
        <v>0</v>
      </c>
      <c r="F43" s="193">
        <f t="shared" ca="1" si="49"/>
        <v>0</v>
      </c>
      <c r="G43" s="193">
        <f t="shared" ca="1" si="49"/>
        <v>753825539.55000031</v>
      </c>
      <c r="H43" s="193">
        <f t="shared" ca="1" si="49"/>
        <v>1252627247.23</v>
      </c>
      <c r="I43" s="193">
        <f t="shared" ca="1" si="49"/>
        <v>1540641915.710001</v>
      </c>
      <c r="J43" s="193">
        <f t="shared" ca="1" si="49"/>
        <v>1918974812.1700015</v>
      </c>
      <c r="K43" s="193">
        <f t="shared" ca="1" si="49"/>
        <v>2418339199.460001</v>
      </c>
      <c r="L43" s="193">
        <f t="shared" ca="1" si="49"/>
        <v>2710246983</v>
      </c>
      <c r="M43" s="193">
        <f t="shared" ca="1" si="49"/>
        <v>3212234421</v>
      </c>
      <c r="N43" s="193">
        <f t="shared" ca="1" si="49"/>
        <v>3643299141.0400004</v>
      </c>
      <c r="O43" s="193">
        <f t="shared" ca="1" si="49"/>
        <v>4030981339</v>
      </c>
      <c r="P43" s="193">
        <f ca="1">P42</f>
        <v>4342603513.4199991</v>
      </c>
      <c r="Q43" s="193">
        <f ca="1">Q42</f>
        <v>4404895251.7700005</v>
      </c>
      <c r="R43" s="194">
        <f t="shared" ca="1" si="49"/>
        <v>4432735105.039999</v>
      </c>
      <c r="S43" s="16"/>
      <c r="T43" s="192">
        <f t="shared" ref="T43:AJ43" ca="1" si="50">T42</f>
        <v>0</v>
      </c>
      <c r="U43" s="193">
        <f t="shared" ca="1" si="50"/>
        <v>0</v>
      </c>
      <c r="V43" s="193">
        <f t="shared" ca="1" si="50"/>
        <v>0</v>
      </c>
      <c r="W43" s="193">
        <f t="shared" ca="1" si="50"/>
        <v>0</v>
      </c>
      <c r="X43" s="193">
        <f t="shared" ca="1" si="50"/>
        <v>0</v>
      </c>
      <c r="Y43" s="193">
        <f t="shared" ca="1" si="50"/>
        <v>18045242.760000005</v>
      </c>
      <c r="Z43" s="193">
        <f t="shared" ca="1" si="50"/>
        <v>50805974.799999997</v>
      </c>
      <c r="AA43" s="193">
        <f t="shared" ca="1" si="50"/>
        <v>54258152.640000001</v>
      </c>
      <c r="AB43" s="193">
        <f t="shared" ca="1" si="50"/>
        <v>44115004.040000007</v>
      </c>
      <c r="AC43" s="193">
        <f t="shared" ca="1" si="50"/>
        <v>51518898.93</v>
      </c>
      <c r="AD43" s="193">
        <f t="shared" ca="1" si="50"/>
        <v>59472533</v>
      </c>
      <c r="AE43" s="193">
        <f t="shared" ca="1" si="50"/>
        <v>53803138</v>
      </c>
      <c r="AF43" s="193">
        <f t="shared" ca="1" si="50"/>
        <v>53656792.760000005</v>
      </c>
      <c r="AG43" s="193">
        <f t="shared" ca="1" si="50"/>
        <v>59083279.849999994</v>
      </c>
      <c r="AH43" s="193">
        <f ca="1">AH42</f>
        <v>51338118.289999992</v>
      </c>
      <c r="AI43" s="193">
        <f ca="1">AI42</f>
        <v>162416829.31999996</v>
      </c>
      <c r="AJ43" s="193">
        <f t="shared" ca="1" si="50"/>
        <v>187637182.18999997</v>
      </c>
      <c r="AK43" s="16"/>
      <c r="AL43" s="192">
        <f t="shared" ref="AL43:BR43" ca="1" si="51">AL42</f>
        <v>0</v>
      </c>
      <c r="AM43" s="193">
        <f t="shared" ca="1" si="51"/>
        <v>0</v>
      </c>
      <c r="AN43" s="193">
        <f t="shared" ca="1" si="51"/>
        <v>0</v>
      </c>
      <c r="AO43" s="193">
        <f t="shared" ca="1" si="51"/>
        <v>0</v>
      </c>
      <c r="AP43" s="193">
        <f t="shared" ca="1" si="51"/>
        <v>0</v>
      </c>
      <c r="AQ43" s="193">
        <f t="shared" ca="1" si="51"/>
        <v>735780296.79000032</v>
      </c>
      <c r="AR43" s="193">
        <f t="shared" ca="1" si="51"/>
        <v>1201821272.4300001</v>
      </c>
      <c r="AS43" s="193">
        <f t="shared" ca="1" si="51"/>
        <v>1486383763.0700009</v>
      </c>
      <c r="AT43" s="193">
        <f t="shared" ca="1" si="51"/>
        <v>1874859808.1300015</v>
      </c>
      <c r="AU43" s="193">
        <f t="shared" ca="1" si="51"/>
        <v>2366820300.5300012</v>
      </c>
      <c r="AV43" s="193">
        <f t="shared" ca="1" si="51"/>
        <v>2650774450</v>
      </c>
      <c r="AW43" s="193">
        <f t="shared" ca="1" si="51"/>
        <v>3158431283</v>
      </c>
      <c r="AX43" s="193">
        <f t="shared" ca="1" si="51"/>
        <v>3589642348.2800002</v>
      </c>
      <c r="AY43" s="193">
        <f t="shared" ca="1" si="51"/>
        <v>3971898059.1500001</v>
      </c>
      <c r="AZ43" s="193">
        <f ca="1">AZ42</f>
        <v>4291265395.1299992</v>
      </c>
      <c r="BA43" s="193">
        <f t="shared" ca="1" si="51"/>
        <v>4245097922.849999</v>
      </c>
      <c r="BB43" s="193">
        <f ca="1">BB42</f>
        <v>4245097922.849999</v>
      </c>
      <c r="BC43" s="192">
        <f t="shared" ca="1" si="51"/>
        <v>0</v>
      </c>
      <c r="BD43" s="193">
        <f t="shared" ca="1" si="51"/>
        <v>0</v>
      </c>
      <c r="BE43" s="193">
        <f t="shared" ca="1" si="51"/>
        <v>0</v>
      </c>
      <c r="BF43" s="193">
        <f t="shared" ca="1" si="51"/>
        <v>0</v>
      </c>
      <c r="BG43" s="193">
        <f t="shared" ca="1" si="51"/>
        <v>3205998.8799999994</v>
      </c>
      <c r="BH43" s="193">
        <f t="shared" ca="1" si="51"/>
        <v>6628252.3199999994</v>
      </c>
      <c r="BI43" s="193">
        <f t="shared" ca="1" si="51"/>
        <v>6494775.6100000003</v>
      </c>
      <c r="BJ43" s="193">
        <f t="shared" ca="1" si="51"/>
        <v>28949465.999999996</v>
      </c>
      <c r="BK43" s="193">
        <f t="shared" ca="1" si="51"/>
        <v>11243114.5</v>
      </c>
      <c r="BL43" s="193">
        <f t="shared" ca="1" si="51"/>
        <v>12210589.850000001</v>
      </c>
      <c r="BM43" s="193">
        <f t="shared" ca="1" si="51"/>
        <v>9181777.0999999996</v>
      </c>
      <c r="BN43" s="193">
        <f t="shared" ca="1" si="51"/>
        <v>15395282.810000001</v>
      </c>
      <c r="BO43" s="193">
        <f t="shared" ca="1" si="51"/>
        <v>11993738.34</v>
      </c>
      <c r="BP43" s="193">
        <f t="shared" ca="1" si="51"/>
        <v>9972445.4600000009</v>
      </c>
      <c r="BQ43" s="193">
        <f ca="1">BQ42</f>
        <v>4781766.1999999993</v>
      </c>
      <c r="BR43" s="193">
        <f t="shared" ca="1" si="51"/>
        <v>8648438.9999999981</v>
      </c>
      <c r="BS43" s="194">
        <f ca="1">BS42</f>
        <v>3096938.71</v>
      </c>
      <c r="BU43" s="195">
        <f t="shared" ca="1" si="47"/>
        <v>0</v>
      </c>
      <c r="BV43" s="196">
        <f t="shared" ca="1" si="47"/>
        <v>0</v>
      </c>
      <c r="BW43" s="196">
        <f t="shared" ca="1" si="47"/>
        <v>0</v>
      </c>
      <c r="BX43" s="196">
        <f t="shared" ca="1" si="47"/>
        <v>0</v>
      </c>
      <c r="BY43" s="196">
        <f t="shared" ca="1" si="47"/>
        <v>0</v>
      </c>
      <c r="BZ43" s="196">
        <f t="shared" ca="1" si="47"/>
        <v>0.90084667242615424</v>
      </c>
      <c r="CA43" s="196">
        <f t="shared" ca="1" si="47"/>
        <v>0.54041110429573358</v>
      </c>
      <c r="CB43" s="196">
        <f t="shared" ca="1" si="47"/>
        <v>1.947644122551992</v>
      </c>
      <c r="CC43" s="196">
        <f t="shared" ca="1" si="47"/>
        <v>0.59967761062700264</v>
      </c>
      <c r="CD43" s="196">
        <f t="shared" ca="1" si="47"/>
        <v>0.51590692572924479</v>
      </c>
      <c r="CE43" s="196">
        <f t="shared" ca="1" si="47"/>
        <v>0.34638092652507646</v>
      </c>
      <c r="CF43" s="196">
        <f t="shared" ca="1" si="47"/>
        <v>0.48743447080403052</v>
      </c>
      <c r="CG43" s="196">
        <f t="shared" ca="1" si="47"/>
        <v>0.33412070552786061</v>
      </c>
      <c r="CH43" s="196">
        <f t="shared" ca="1" si="47"/>
        <v>0.25107506062565305</v>
      </c>
      <c r="CI43" s="196">
        <f t="shared" ca="1" si="47"/>
        <v>0.11143021369469834</v>
      </c>
      <c r="CJ43" s="196">
        <f t="shared" ca="1" si="3"/>
        <v>0.11143021369469834</v>
      </c>
      <c r="CK43" s="196">
        <f ca="1">IFERROR(BR43/BA43,0)*100</f>
        <v>0.20372766794019584</v>
      </c>
    </row>
    <row r="44" spans="1:89" ht="15.75" thickBot="1" x14ac:dyDescent="0.3">
      <c r="A44" s="190" t="s">
        <v>172</v>
      </c>
      <c r="B44" s="185">
        <v>0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739045410.11999977</v>
      </c>
      <c r="R44" s="182">
        <v>856004841.87999976</v>
      </c>
      <c r="S44" s="16"/>
      <c r="T44" s="185">
        <v>0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7">
        <v>6783984.0500000007</v>
      </c>
      <c r="AJ44" s="182">
        <v>13505955.609999999</v>
      </c>
      <c r="AK44" s="16"/>
      <c r="AL44" s="185">
        <f t="shared" ref="AL44:AZ44" ca="1" si="52">B44-T44</f>
        <v>0</v>
      </c>
      <c r="AM44" s="27">
        <f t="shared" ca="1" si="52"/>
        <v>0</v>
      </c>
      <c r="AN44" s="27">
        <f t="shared" ca="1" si="52"/>
        <v>0</v>
      </c>
      <c r="AO44" s="27">
        <f t="shared" ca="1" si="52"/>
        <v>0</v>
      </c>
      <c r="AP44" s="27">
        <f t="shared" ca="1" si="52"/>
        <v>0</v>
      </c>
      <c r="AQ44" s="27">
        <f t="shared" ca="1" si="52"/>
        <v>0</v>
      </c>
      <c r="AR44" s="27">
        <f t="shared" ca="1" si="52"/>
        <v>0</v>
      </c>
      <c r="AS44" s="27">
        <f t="shared" ca="1" si="52"/>
        <v>0</v>
      </c>
      <c r="AT44" s="27">
        <f t="shared" ca="1" si="52"/>
        <v>0</v>
      </c>
      <c r="AU44" s="27">
        <f t="shared" ca="1" si="52"/>
        <v>0</v>
      </c>
      <c r="AV44" s="27">
        <f t="shared" ca="1" si="52"/>
        <v>0</v>
      </c>
      <c r="AW44" s="27">
        <f t="shared" ca="1" si="52"/>
        <v>0</v>
      </c>
      <c r="AX44" s="27">
        <f t="shared" ca="1" si="52"/>
        <v>0</v>
      </c>
      <c r="AY44" s="27">
        <f t="shared" ca="1" si="52"/>
        <v>0</v>
      </c>
      <c r="AZ44" s="27">
        <f t="shared" ca="1" si="52"/>
        <v>0</v>
      </c>
      <c r="BA44" s="27">
        <f ca="1">R44-AJ44</f>
        <v>842498886.26999974</v>
      </c>
      <c r="BB44" s="27">
        <f ca="1">R44-AJ44</f>
        <v>842498886.26999974</v>
      </c>
      <c r="BC44" s="185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0</v>
      </c>
      <c r="BN44" s="27">
        <v>0</v>
      </c>
      <c r="BO44" s="27">
        <v>-1</v>
      </c>
      <c r="BP44" s="27">
        <v>-1</v>
      </c>
      <c r="BQ44" s="27">
        <v>0</v>
      </c>
      <c r="BR44" s="27">
        <v>2401112.42</v>
      </c>
      <c r="BS44" s="28">
        <v>387799.69999999995</v>
      </c>
      <c r="BU44" s="183">
        <f t="shared" ca="1" si="47"/>
        <v>0</v>
      </c>
      <c r="BV44" s="184">
        <f t="shared" ca="1" si="47"/>
        <v>0</v>
      </c>
      <c r="BW44" s="184">
        <f t="shared" ca="1" si="47"/>
        <v>0</v>
      </c>
      <c r="BX44" s="184">
        <f t="shared" ca="1" si="47"/>
        <v>0</v>
      </c>
      <c r="BY44" s="184">
        <f t="shared" ca="1" si="47"/>
        <v>0</v>
      </c>
      <c r="BZ44" s="184">
        <f t="shared" ca="1" si="47"/>
        <v>0</v>
      </c>
      <c r="CA44" s="184">
        <f t="shared" ca="1" si="47"/>
        <v>0</v>
      </c>
      <c r="CB44" s="184">
        <f t="shared" ca="1" si="47"/>
        <v>0</v>
      </c>
      <c r="CC44" s="184">
        <f t="shared" ca="1" si="47"/>
        <v>0</v>
      </c>
      <c r="CD44" s="184">
        <f t="shared" ca="1" si="47"/>
        <v>0</v>
      </c>
      <c r="CE44" s="184">
        <f t="shared" ca="1" si="47"/>
        <v>0</v>
      </c>
      <c r="CF44" s="184">
        <f t="shared" ca="1" si="47"/>
        <v>0</v>
      </c>
      <c r="CG44" s="184">
        <f t="shared" ca="1" si="47"/>
        <v>0</v>
      </c>
      <c r="CH44" s="184">
        <f t="shared" ca="1" si="47"/>
        <v>0</v>
      </c>
      <c r="CI44" s="184">
        <f t="shared" ca="1" si="47"/>
        <v>0</v>
      </c>
      <c r="CJ44" s="184">
        <f t="shared" ca="1" si="3"/>
        <v>0</v>
      </c>
      <c r="CK44" s="184">
        <f ca="1">IFERROR(BS44/BB44,0)*100</f>
        <v>4.6029698830452805E-2</v>
      </c>
    </row>
    <row r="45" spans="1:89" ht="15.75" thickBot="1" x14ac:dyDescent="0.3">
      <c r="A45" s="191" t="s">
        <v>173</v>
      </c>
      <c r="B45" s="192">
        <f t="shared" ref="B45:O45" ca="1" si="53">B44</f>
        <v>0</v>
      </c>
      <c r="C45" s="193">
        <f t="shared" ca="1" si="53"/>
        <v>0</v>
      </c>
      <c r="D45" s="193">
        <f t="shared" ca="1" si="53"/>
        <v>0</v>
      </c>
      <c r="E45" s="193">
        <f t="shared" ca="1" si="53"/>
        <v>0</v>
      </c>
      <c r="F45" s="193">
        <f t="shared" ca="1" si="53"/>
        <v>0</v>
      </c>
      <c r="G45" s="193">
        <f t="shared" ca="1" si="53"/>
        <v>0</v>
      </c>
      <c r="H45" s="193">
        <f t="shared" ca="1" si="53"/>
        <v>0</v>
      </c>
      <c r="I45" s="193">
        <f t="shared" ca="1" si="53"/>
        <v>0</v>
      </c>
      <c r="J45" s="193">
        <f t="shared" ca="1" si="53"/>
        <v>0</v>
      </c>
      <c r="K45" s="193">
        <f t="shared" ca="1" si="53"/>
        <v>0</v>
      </c>
      <c r="L45" s="193">
        <f t="shared" ca="1" si="53"/>
        <v>0</v>
      </c>
      <c r="M45" s="193">
        <f t="shared" ca="1" si="53"/>
        <v>0</v>
      </c>
      <c r="N45" s="193">
        <f t="shared" ca="1" si="53"/>
        <v>0</v>
      </c>
      <c r="O45" s="193">
        <f t="shared" ca="1" si="53"/>
        <v>0</v>
      </c>
      <c r="P45" s="193">
        <f ca="1">P44</f>
        <v>0</v>
      </c>
      <c r="Q45" s="193">
        <f ca="1">Q44</f>
        <v>739045410.11999977</v>
      </c>
      <c r="R45" s="194">
        <f ca="1">R44</f>
        <v>856004841.87999976</v>
      </c>
      <c r="S45" s="16"/>
      <c r="T45" s="192">
        <f t="shared" ref="T45:AG45" ca="1" si="54">T44</f>
        <v>0</v>
      </c>
      <c r="U45" s="193">
        <f t="shared" ca="1" si="54"/>
        <v>0</v>
      </c>
      <c r="V45" s="193">
        <f t="shared" ca="1" si="54"/>
        <v>0</v>
      </c>
      <c r="W45" s="193">
        <f t="shared" ca="1" si="54"/>
        <v>0</v>
      </c>
      <c r="X45" s="193">
        <f t="shared" ca="1" si="54"/>
        <v>0</v>
      </c>
      <c r="Y45" s="193">
        <f t="shared" ca="1" si="54"/>
        <v>0</v>
      </c>
      <c r="Z45" s="193">
        <f t="shared" ca="1" si="54"/>
        <v>0</v>
      </c>
      <c r="AA45" s="193">
        <f t="shared" ca="1" si="54"/>
        <v>0</v>
      </c>
      <c r="AB45" s="193">
        <f t="shared" ca="1" si="54"/>
        <v>0</v>
      </c>
      <c r="AC45" s="193">
        <f t="shared" ca="1" si="54"/>
        <v>0</v>
      </c>
      <c r="AD45" s="193">
        <f t="shared" ca="1" si="54"/>
        <v>0</v>
      </c>
      <c r="AE45" s="193">
        <f t="shared" ca="1" si="54"/>
        <v>0</v>
      </c>
      <c r="AF45" s="193">
        <f t="shared" ca="1" si="54"/>
        <v>0</v>
      </c>
      <c r="AG45" s="193">
        <f t="shared" ca="1" si="54"/>
        <v>0</v>
      </c>
      <c r="AH45" s="193">
        <f ca="1">AH44</f>
        <v>0</v>
      </c>
      <c r="AI45" s="193">
        <f ca="1">AI44</f>
        <v>6783984.0500000007</v>
      </c>
      <c r="AJ45" s="193">
        <f ca="1">AJ44</f>
        <v>13505955.609999999</v>
      </c>
      <c r="AK45" s="16"/>
      <c r="AL45" s="192">
        <f t="shared" ref="AL45:AY45" ca="1" si="55">AL44</f>
        <v>0</v>
      </c>
      <c r="AM45" s="193">
        <f t="shared" ca="1" si="55"/>
        <v>0</v>
      </c>
      <c r="AN45" s="193">
        <f t="shared" ca="1" si="55"/>
        <v>0</v>
      </c>
      <c r="AO45" s="193">
        <f t="shared" ca="1" si="55"/>
        <v>0</v>
      </c>
      <c r="AP45" s="193">
        <f t="shared" ca="1" si="55"/>
        <v>0</v>
      </c>
      <c r="AQ45" s="193">
        <f t="shared" ca="1" si="55"/>
        <v>0</v>
      </c>
      <c r="AR45" s="193">
        <f t="shared" ca="1" si="55"/>
        <v>0</v>
      </c>
      <c r="AS45" s="193">
        <f t="shared" ca="1" si="55"/>
        <v>0</v>
      </c>
      <c r="AT45" s="193">
        <f t="shared" ca="1" si="55"/>
        <v>0</v>
      </c>
      <c r="AU45" s="193">
        <f t="shared" ca="1" si="55"/>
        <v>0</v>
      </c>
      <c r="AV45" s="193">
        <f t="shared" ca="1" si="55"/>
        <v>0</v>
      </c>
      <c r="AW45" s="193">
        <f t="shared" ca="1" si="55"/>
        <v>0</v>
      </c>
      <c r="AX45" s="193">
        <f t="shared" ca="1" si="55"/>
        <v>0</v>
      </c>
      <c r="AY45" s="193">
        <f t="shared" ca="1" si="55"/>
        <v>0</v>
      </c>
      <c r="AZ45" s="193">
        <f ca="1">AZ44</f>
        <v>0</v>
      </c>
      <c r="BA45" s="193">
        <f t="shared" ref="BA45:BP45" ca="1" si="56">BA44</f>
        <v>842498886.26999974</v>
      </c>
      <c r="BB45" s="193">
        <f ca="1">BB44</f>
        <v>842498886.26999974</v>
      </c>
      <c r="BC45" s="192">
        <f t="shared" ca="1" si="56"/>
        <v>0</v>
      </c>
      <c r="BD45" s="193">
        <f t="shared" ca="1" si="56"/>
        <v>0</v>
      </c>
      <c r="BE45" s="193">
        <f t="shared" ca="1" si="56"/>
        <v>0</v>
      </c>
      <c r="BF45" s="193">
        <f t="shared" ca="1" si="56"/>
        <v>0</v>
      </c>
      <c r="BG45" s="193">
        <f t="shared" ca="1" si="56"/>
        <v>0</v>
      </c>
      <c r="BH45" s="193">
        <f t="shared" ca="1" si="56"/>
        <v>0</v>
      </c>
      <c r="BI45" s="193">
        <f t="shared" ca="1" si="56"/>
        <v>0</v>
      </c>
      <c r="BJ45" s="193">
        <f t="shared" ca="1" si="56"/>
        <v>0</v>
      </c>
      <c r="BK45" s="193">
        <f t="shared" ca="1" si="56"/>
        <v>0</v>
      </c>
      <c r="BL45" s="193">
        <f t="shared" ca="1" si="56"/>
        <v>0</v>
      </c>
      <c r="BM45" s="193">
        <f t="shared" ca="1" si="56"/>
        <v>0</v>
      </c>
      <c r="BN45" s="193">
        <f t="shared" ca="1" si="56"/>
        <v>0</v>
      </c>
      <c r="BO45" s="193">
        <f t="shared" ca="1" si="56"/>
        <v>-1</v>
      </c>
      <c r="BP45" s="193">
        <f t="shared" ca="1" si="56"/>
        <v>-1</v>
      </c>
      <c r="BQ45" s="193">
        <f ca="1">BQ44</f>
        <v>0</v>
      </c>
      <c r="BR45" s="193">
        <f ca="1">BR44</f>
        <v>2401112.42</v>
      </c>
      <c r="BS45" s="194">
        <f ca="1">BS44</f>
        <v>387799.69999999995</v>
      </c>
      <c r="BU45" s="195">
        <f t="shared" ca="1" si="47"/>
        <v>0</v>
      </c>
      <c r="BV45" s="196">
        <f t="shared" ca="1" si="47"/>
        <v>0</v>
      </c>
      <c r="BW45" s="196">
        <f t="shared" ca="1" si="47"/>
        <v>0</v>
      </c>
      <c r="BX45" s="196">
        <f t="shared" ca="1" si="47"/>
        <v>0</v>
      </c>
      <c r="BY45" s="196">
        <f t="shared" ca="1" si="47"/>
        <v>0</v>
      </c>
      <c r="BZ45" s="196">
        <f t="shared" ca="1" si="47"/>
        <v>0</v>
      </c>
      <c r="CA45" s="196">
        <f t="shared" ca="1" si="47"/>
        <v>0</v>
      </c>
      <c r="CB45" s="196">
        <f t="shared" ca="1" si="47"/>
        <v>0</v>
      </c>
      <c r="CC45" s="196">
        <f t="shared" ca="1" si="47"/>
        <v>0</v>
      </c>
      <c r="CD45" s="196">
        <f t="shared" ca="1" si="47"/>
        <v>0</v>
      </c>
      <c r="CE45" s="196">
        <f t="shared" ca="1" si="47"/>
        <v>0</v>
      </c>
      <c r="CF45" s="196">
        <f t="shared" ca="1" si="47"/>
        <v>0</v>
      </c>
      <c r="CG45" s="196">
        <f t="shared" ca="1" si="47"/>
        <v>0</v>
      </c>
      <c r="CH45" s="196">
        <f t="shared" ca="1" si="47"/>
        <v>0</v>
      </c>
      <c r="CI45" s="196">
        <f t="shared" ca="1" si="47"/>
        <v>0</v>
      </c>
      <c r="CJ45" s="196">
        <f t="shared" ca="1" si="3"/>
        <v>0</v>
      </c>
      <c r="CK45" s="196">
        <f ca="1">IFERROR(BR45/BA45,0)*100</f>
        <v>0.28499888357484471</v>
      </c>
    </row>
    <row r="46" spans="1:89" ht="15.75" thickBot="1" x14ac:dyDescent="0.3">
      <c r="A46" s="203" t="s">
        <v>59</v>
      </c>
      <c r="B46" s="204">
        <f t="shared" ref="B46:R46" ca="1" si="57">SUM(B43,B41,B38,B34,B27,B22,B13,)</f>
        <v>30858635890.97998</v>
      </c>
      <c r="C46" s="205">
        <f t="shared" ca="1" si="57"/>
        <v>32323064535.479992</v>
      </c>
      <c r="D46" s="205">
        <f t="shared" ca="1" si="57"/>
        <v>33458177317.360023</v>
      </c>
      <c r="E46" s="205">
        <f t="shared" ca="1" si="57"/>
        <v>34961108897.180008</v>
      </c>
      <c r="F46" s="205">
        <f t="shared" ca="1" si="57"/>
        <v>35661241440.870033</v>
      </c>
      <c r="G46" s="205">
        <f t="shared" ca="1" si="57"/>
        <v>37117065524.480042</v>
      </c>
      <c r="H46" s="205">
        <f t="shared" ca="1" si="57"/>
        <v>37765196128.670036</v>
      </c>
      <c r="I46" s="205">
        <f t="shared" ca="1" si="57"/>
        <v>38358418715.390045</v>
      </c>
      <c r="J46" s="205">
        <f t="shared" ca="1" si="57"/>
        <v>38608818597.440025</v>
      </c>
      <c r="K46" s="205">
        <f t="shared" ca="1" si="57"/>
        <v>39197429510.810043</v>
      </c>
      <c r="L46" s="205">
        <f t="shared" ca="1" si="57"/>
        <v>39888579409.400009</v>
      </c>
      <c r="M46" s="205">
        <f t="shared" ca="1" si="57"/>
        <v>40803704657.140038</v>
      </c>
      <c r="N46" s="205">
        <f t="shared" ca="1" si="57"/>
        <v>41084359577.13903</v>
      </c>
      <c r="O46" s="205">
        <f t="shared" ca="1" si="57"/>
        <v>40689607561.14254</v>
      </c>
      <c r="P46" s="205">
        <f ca="1">SUM(P43,P41,P38,P34,P27,P22,P13,)</f>
        <v>41414850035.262527</v>
      </c>
      <c r="Q46" s="205">
        <f ca="1">SUM(Q43,Q41,Q38,Q34,Q27,Q22,Q13,)</f>
        <v>40225356719.172539</v>
      </c>
      <c r="R46" s="206">
        <f t="shared" ca="1" si="57"/>
        <v>39561650802.07254</v>
      </c>
      <c r="S46" s="16"/>
      <c r="T46" s="204">
        <f t="shared" ref="T46:AJ46" ca="1" si="58">SUM(T43,T41,T38,T34,T27,T22,T13,)</f>
        <v>1708801394.6999998</v>
      </c>
      <c r="U46" s="205">
        <f t="shared" ca="1" si="58"/>
        <v>1922885252.2099996</v>
      </c>
      <c r="V46" s="205">
        <f t="shared" ca="1" si="58"/>
        <v>1467758039.9000001</v>
      </c>
      <c r="W46" s="205">
        <f t="shared" ca="1" si="58"/>
        <v>1545525865.6700001</v>
      </c>
      <c r="X46" s="205">
        <f t="shared" ca="1" si="58"/>
        <v>1741635366.9000001</v>
      </c>
      <c r="Y46" s="205">
        <f t="shared" ca="1" si="58"/>
        <v>1568777135.5</v>
      </c>
      <c r="Z46" s="205">
        <f t="shared" ca="1" si="58"/>
        <v>1443760615.4099998</v>
      </c>
      <c r="AA46" s="205">
        <f t="shared" ca="1" si="58"/>
        <v>1539382389.8399999</v>
      </c>
      <c r="AB46" s="205">
        <f t="shared" ca="1" si="58"/>
        <v>1629574202.73</v>
      </c>
      <c r="AC46" s="205">
        <f t="shared" ca="1" si="58"/>
        <v>1632420043.1699998</v>
      </c>
      <c r="AD46" s="205">
        <f t="shared" ca="1" si="58"/>
        <v>2124101366.2900002</v>
      </c>
      <c r="AE46" s="205">
        <f t="shared" ca="1" si="58"/>
        <v>2344135268.98</v>
      </c>
      <c r="AF46" s="205">
        <f t="shared" ca="1" si="58"/>
        <v>1611982730.9100003</v>
      </c>
      <c r="AG46" s="205">
        <f t="shared" ca="1" si="58"/>
        <v>1574261538.1899996</v>
      </c>
      <c r="AH46" s="205">
        <f ca="1">SUM(AH43,AH41,AH38,AH34,AH27,AH22,AH13,)</f>
        <v>1663496695.2199993</v>
      </c>
      <c r="AI46" s="205">
        <f ca="1">SUM(AI43,AI41,AI38,AI34,AI27,AI22,AI13,)</f>
        <v>2008023876.4699998</v>
      </c>
      <c r="AJ46" s="206">
        <f t="shared" ca="1" si="58"/>
        <v>2027052508.1299999</v>
      </c>
      <c r="AK46" s="16"/>
      <c r="AL46" s="204">
        <f t="shared" ref="AL46:BK46" ca="1" si="59">SUM(AL43,AL41,AL38,AL34,AL27,AL22,AL13,)</f>
        <v>29149834496.27998</v>
      </c>
      <c r="AM46" s="205">
        <f t="shared" ca="1" si="59"/>
        <v>30400179283.269993</v>
      </c>
      <c r="AN46" s="205">
        <f t="shared" ca="1" si="59"/>
        <v>31990419277.460022</v>
      </c>
      <c r="AO46" s="205">
        <f t="shared" ca="1" si="59"/>
        <v>33415583031.510006</v>
      </c>
      <c r="AP46" s="205">
        <f t="shared" ca="1" si="59"/>
        <v>33919606073.970032</v>
      </c>
      <c r="AQ46" s="205">
        <f t="shared" ca="1" si="59"/>
        <v>35548288388.980042</v>
      </c>
      <c r="AR46" s="205">
        <f t="shared" ca="1" si="59"/>
        <v>36321435513.26004</v>
      </c>
      <c r="AS46" s="205">
        <f t="shared" ca="1" si="59"/>
        <v>36819302473.08004</v>
      </c>
      <c r="AT46" s="205">
        <f t="shared" ca="1" si="59"/>
        <v>36979244394.71003</v>
      </c>
      <c r="AU46" s="205">
        <f t="shared" ca="1" si="59"/>
        <v>37565009467.640045</v>
      </c>
      <c r="AV46" s="205">
        <f t="shared" ca="1" si="59"/>
        <v>37764478043.110001</v>
      </c>
      <c r="AW46" s="205">
        <f t="shared" ca="1" si="59"/>
        <v>38459569388.160042</v>
      </c>
      <c r="AX46" s="205">
        <f t="shared" ca="1" si="59"/>
        <v>39472376846.229034</v>
      </c>
      <c r="AY46" s="205">
        <f t="shared" ca="1" si="59"/>
        <v>39115346022.952545</v>
      </c>
      <c r="AZ46" s="205">
        <f ca="1">SUM(AZ43,AZ41,AZ38,AZ34,AZ27,AZ22,AZ13,)</f>
        <v>39751353340.042534</v>
      </c>
      <c r="BA46" s="205">
        <f t="shared" ca="1" si="59"/>
        <v>37539147841.412544</v>
      </c>
      <c r="BB46" s="205">
        <f ca="1">SUM(BB43,BB41,BB38,BB34,BB27,BB22,BB13,)</f>
        <v>37534598293.942543</v>
      </c>
      <c r="BC46" s="204">
        <f t="shared" ca="1" si="59"/>
        <v>165476924.57999998</v>
      </c>
      <c r="BD46" s="205">
        <f t="shared" ca="1" si="59"/>
        <v>162399159.13999999</v>
      </c>
      <c r="BE46" s="205">
        <f t="shared" ca="1" si="59"/>
        <v>186015713.70999998</v>
      </c>
      <c r="BF46" s="205">
        <f t="shared" ca="1" si="59"/>
        <v>266267164.37000003</v>
      </c>
      <c r="BG46" s="205">
        <f t="shared" ca="1" si="59"/>
        <v>328696411.80000001</v>
      </c>
      <c r="BH46" s="205">
        <f t="shared" ca="1" si="59"/>
        <v>257481909.89000002</v>
      </c>
      <c r="BI46" s="205">
        <f t="shared" ca="1" si="59"/>
        <v>271600557.81</v>
      </c>
      <c r="BJ46" s="205">
        <f t="shared" ca="1" si="59"/>
        <v>316610003.68000001</v>
      </c>
      <c r="BK46" s="205">
        <f t="shared" ca="1" si="59"/>
        <v>260872263.91999996</v>
      </c>
      <c r="BL46" s="205">
        <v>334129614.22000003</v>
      </c>
      <c r="BM46" s="205">
        <v>294335990.89000005</v>
      </c>
      <c r="BN46" s="205">
        <v>409225808.31</v>
      </c>
      <c r="BO46" s="205">
        <v>300481292.54000002</v>
      </c>
      <c r="BP46" s="205">
        <v>311161579.30000001</v>
      </c>
      <c r="BQ46" s="205">
        <v>198593644.56999999</v>
      </c>
      <c r="BR46" s="205">
        <v>253909463.28</v>
      </c>
      <c r="BS46" s="206">
        <v>40410757.360000007</v>
      </c>
      <c r="BU46" s="207">
        <f t="shared" ca="1" si="47"/>
        <v>0.5676770638307318</v>
      </c>
      <c r="BV46" s="208">
        <f t="shared" ca="1" si="47"/>
        <v>0.53420460987008866</v>
      </c>
      <c r="BW46" s="208">
        <f t="shared" ca="1" si="47"/>
        <v>0.58147319701140621</v>
      </c>
      <c r="BX46" s="208">
        <f t="shared" ca="1" si="47"/>
        <v>0.79683530919965451</v>
      </c>
      <c r="BY46" s="208">
        <f t="shared" ca="1" si="47"/>
        <v>0.96904548679957181</v>
      </c>
      <c r="BZ46" s="208">
        <f t="shared" ca="1" si="47"/>
        <v>0.72431591381434646</v>
      </c>
      <c r="CA46" s="208">
        <f t="shared" ca="1" si="47"/>
        <v>0.74776933778084154</v>
      </c>
      <c r="CB46" s="208">
        <f t="shared" ca="1" si="47"/>
        <v>0.85990223174783209</v>
      </c>
      <c r="CC46" s="208">
        <f t="shared" ca="1" si="47"/>
        <v>0.70545590692847782</v>
      </c>
      <c r="CD46" s="208">
        <f t="shared" ca="1" si="47"/>
        <v>0.88947033144722676</v>
      </c>
      <c r="CE46" s="208">
        <f t="shared" ca="1" si="47"/>
        <v>0.77939907061339786</v>
      </c>
      <c r="CF46" s="208">
        <f t="shared" ca="1" si="47"/>
        <v>1.0640415761804709</v>
      </c>
      <c r="CG46" s="208">
        <f t="shared" ca="1" si="47"/>
        <v>0.76124448677254231</v>
      </c>
      <c r="CH46" s="208">
        <f t="shared" ca="1" si="47"/>
        <v>0.79549744777257769</v>
      </c>
      <c r="CI46" s="208">
        <f t="shared" ca="1" si="47"/>
        <v>0.49958964383220544</v>
      </c>
      <c r="CJ46" s="208">
        <f t="shared" ca="1" si="3"/>
        <v>0.49958964383220544</v>
      </c>
      <c r="CK46" s="208">
        <f ca="1">IFERROR(BR46/BA46,0)*100</f>
        <v>0.67638579424515188</v>
      </c>
    </row>
    <row r="47" spans="1:89" x14ac:dyDescent="0.25">
      <c r="L47" s="16"/>
      <c r="M47" s="16"/>
      <c r="N47" s="16"/>
      <c r="O47" s="16"/>
      <c r="P47" s="16"/>
      <c r="Q47" s="16"/>
      <c r="R47" s="16"/>
      <c r="AM47" s="16">
        <f ca="1">AM46-AL46</f>
        <v>1250344786.9900131</v>
      </c>
      <c r="AN47" s="16">
        <f t="shared" ref="AN47:AY47" ca="1" si="60">AN46-AM46</f>
        <v>1590239994.1900291</v>
      </c>
      <c r="AO47" s="16">
        <f t="shared" ca="1" si="60"/>
        <v>1425163754.049984</v>
      </c>
      <c r="AP47" s="16">
        <f t="shared" ca="1" si="60"/>
        <v>504023042.46002579</v>
      </c>
      <c r="AQ47" s="16">
        <f t="shared" ca="1" si="60"/>
        <v>1628682315.0100098</v>
      </c>
      <c r="AR47" s="16">
        <f t="shared" ca="1" si="60"/>
        <v>773147124.27999878</v>
      </c>
      <c r="AS47" s="16">
        <f t="shared" ca="1" si="60"/>
        <v>497866959.81999969</v>
      </c>
      <c r="AT47" s="16">
        <f t="shared" ca="1" si="60"/>
        <v>159941921.62998962</v>
      </c>
      <c r="AU47" s="16">
        <f t="shared" ca="1" si="60"/>
        <v>585765072.93001556</v>
      </c>
      <c r="AV47" s="16">
        <f t="shared" ca="1" si="60"/>
        <v>199468575.46995544</v>
      </c>
      <c r="AW47" s="16">
        <f t="shared" ca="1" si="60"/>
        <v>695091345.0500412</v>
      </c>
      <c r="AX47" s="16">
        <f t="shared" ca="1" si="60"/>
        <v>1012807458.0689926</v>
      </c>
      <c r="AY47" s="16">
        <f t="shared" ca="1" si="60"/>
        <v>-357030823.27648926</v>
      </c>
      <c r="AZ47" s="16">
        <f ca="1">AZ46-AX46</f>
        <v>278976493.81349945</v>
      </c>
      <c r="BA47" s="16">
        <f ca="1">BA46-AY46</f>
        <v>-1576198181.5400009</v>
      </c>
      <c r="BB47" s="16">
        <f ca="1">BB46-AZ46</f>
        <v>-2216755046.0999908</v>
      </c>
    </row>
    <row r="48" spans="1:89" x14ac:dyDescent="0.25">
      <c r="AD48" s="16"/>
      <c r="AE48" s="16"/>
      <c r="AF48" s="16"/>
      <c r="AG48" s="16"/>
      <c r="AH48" s="16"/>
      <c r="AI48" s="16"/>
      <c r="AJ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</row>
    <row r="49" spans="10:36" x14ac:dyDescent="0.25">
      <c r="J49" s="16">
        <f ca="1">J46-AA46</f>
        <v>37069436207.600029</v>
      </c>
      <c r="K49" s="16">
        <f ca="1">K46-AC46</f>
        <v>37565009467.640045</v>
      </c>
      <c r="L49" s="16"/>
      <c r="M49" s="16"/>
      <c r="N49" s="16"/>
      <c r="O49" s="16"/>
      <c r="P49" s="16"/>
      <c r="Q49" s="16"/>
      <c r="R49" s="16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</row>
    <row r="50" spans="10:36" x14ac:dyDescent="0.25">
      <c r="M50" s="16">
        <f ca="1">M35+M51</f>
        <v>3482919837.4200006</v>
      </c>
      <c r="N50" s="16"/>
      <c r="O50" s="16"/>
      <c r="P50" s="16"/>
      <c r="Q50" s="16"/>
      <c r="R50" s="16"/>
    </row>
    <row r="51" spans="10:36" x14ac:dyDescent="0.25">
      <c r="M51">
        <v>1741459918.71</v>
      </c>
    </row>
  </sheetData>
  <autoFilter ref="A2:CK46" xr:uid="{CDA3BACE-0AE6-441F-BD15-548B65856B04}"/>
  <mergeCells count="5">
    <mergeCell ref="B1:R1"/>
    <mergeCell ref="T1:AJ1"/>
    <mergeCell ref="AL1:BB1"/>
    <mergeCell ref="BC1:BS1"/>
    <mergeCell ref="BU1:CK1"/>
  </mergeCells>
  <conditionalFormatting sqref="B1 S1:T1 AK1:AL1 BC1 B2:BS1048576">
    <cfRule type="cellIs" dxfId="1" priority="64" operator="lessThan">
      <formula>0</formula>
    </cfRule>
  </conditionalFormatting>
  <conditionalFormatting sqref="BU3:BU12">
    <cfRule type="colorScale" priority="95">
      <colorScale>
        <cfvo type="min"/>
        <cfvo type="max"/>
        <color rgb="FFFCFCFF"/>
        <color rgb="FFF8696B"/>
      </colorScale>
    </cfRule>
  </conditionalFormatting>
  <conditionalFormatting sqref="BU14:BU21">
    <cfRule type="colorScale" priority="96">
      <colorScale>
        <cfvo type="min"/>
        <cfvo type="max"/>
        <color rgb="FFFCFCFF"/>
        <color rgb="FFF8696B"/>
      </colorScale>
    </cfRule>
  </conditionalFormatting>
  <conditionalFormatting sqref="BU23:BU26">
    <cfRule type="colorScale" priority="94">
      <colorScale>
        <cfvo type="min"/>
        <cfvo type="max"/>
        <color rgb="FFFCFCFF"/>
        <color rgb="FFF8696B"/>
      </colorScale>
    </cfRule>
  </conditionalFormatting>
  <conditionalFormatting sqref="BU28:BU33">
    <cfRule type="colorScale" priority="93">
      <colorScale>
        <cfvo type="min"/>
        <cfvo type="max"/>
        <color rgb="FFFCFCFF"/>
        <color rgb="FFF8696B"/>
      </colorScale>
    </cfRule>
  </conditionalFormatting>
  <conditionalFormatting sqref="BU35:BU37">
    <cfRule type="colorScale" priority="92">
      <colorScale>
        <cfvo type="min"/>
        <cfvo type="max"/>
        <color rgb="FFFCFCFF"/>
        <color rgb="FFF8696B"/>
      </colorScale>
    </cfRule>
  </conditionalFormatting>
  <conditionalFormatting sqref="BU39:CH40">
    <cfRule type="colorScale" priority="91">
      <colorScale>
        <cfvo type="min"/>
        <cfvo type="max"/>
        <color rgb="FFFCFCFF"/>
        <color rgb="FFF8696B"/>
      </colorScale>
    </cfRule>
  </conditionalFormatting>
  <conditionalFormatting sqref="BU2:CK2">
    <cfRule type="cellIs" dxfId="0" priority="62" operator="lessThan">
      <formula>0</formula>
    </cfRule>
  </conditionalFormatting>
  <conditionalFormatting sqref="BU42:CK42">
    <cfRule type="colorScale" priority="90">
      <colorScale>
        <cfvo type="min"/>
        <cfvo type="max"/>
        <color rgb="FFFCFCFF"/>
        <color rgb="FFF8696B"/>
      </colorScale>
    </cfRule>
  </conditionalFormatting>
  <conditionalFormatting sqref="BU44:CK44">
    <cfRule type="colorScale" priority="7">
      <colorScale>
        <cfvo type="min"/>
        <cfvo type="max"/>
        <color rgb="FFFCFCFF"/>
        <color rgb="FFF8696B"/>
      </colorScale>
    </cfRule>
  </conditionalFormatting>
  <conditionalFormatting sqref="BU46:CK4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3:BV12">
    <cfRule type="colorScale" priority="88">
      <colorScale>
        <cfvo type="min"/>
        <cfvo type="max"/>
        <color rgb="FFFCFCFF"/>
        <color rgb="FFF8696B"/>
      </colorScale>
    </cfRule>
  </conditionalFormatting>
  <conditionalFormatting sqref="BV14:BV21">
    <cfRule type="colorScale" priority="89">
      <colorScale>
        <cfvo type="min"/>
        <cfvo type="max"/>
        <color rgb="FFFCFCFF"/>
        <color rgb="FFF8696B"/>
      </colorScale>
    </cfRule>
  </conditionalFormatting>
  <conditionalFormatting sqref="BV23:BV26">
    <cfRule type="colorScale" priority="87">
      <colorScale>
        <cfvo type="min"/>
        <cfvo type="max"/>
        <color rgb="FFFCFCFF"/>
        <color rgb="FFF8696B"/>
      </colorScale>
    </cfRule>
  </conditionalFormatting>
  <conditionalFormatting sqref="BV28:BV33">
    <cfRule type="colorScale" priority="86">
      <colorScale>
        <cfvo type="min"/>
        <cfvo type="max"/>
        <color rgb="FFFCFCFF"/>
        <color rgb="FFF8696B"/>
      </colorScale>
    </cfRule>
  </conditionalFormatting>
  <conditionalFormatting sqref="BV35:BV37">
    <cfRule type="colorScale" priority="85">
      <colorScale>
        <cfvo type="min"/>
        <cfvo type="max"/>
        <color rgb="FFFCFCFF"/>
        <color rgb="FFF8696B"/>
      </colorScale>
    </cfRule>
  </conditionalFormatting>
  <conditionalFormatting sqref="BW3:BW12">
    <cfRule type="colorScale" priority="83">
      <colorScale>
        <cfvo type="min"/>
        <cfvo type="max"/>
        <color rgb="FFFCFCFF"/>
        <color rgb="FFF8696B"/>
      </colorScale>
    </cfRule>
  </conditionalFormatting>
  <conditionalFormatting sqref="BW14:BW21">
    <cfRule type="colorScale" priority="84">
      <colorScale>
        <cfvo type="min"/>
        <cfvo type="max"/>
        <color rgb="FFFCFCFF"/>
        <color rgb="FFF8696B"/>
      </colorScale>
    </cfRule>
  </conditionalFormatting>
  <conditionalFormatting sqref="BW23:BW26">
    <cfRule type="colorScale" priority="82">
      <colorScale>
        <cfvo type="min"/>
        <cfvo type="max"/>
        <color rgb="FFFCFCFF"/>
        <color rgb="FFF8696B"/>
      </colorScale>
    </cfRule>
  </conditionalFormatting>
  <conditionalFormatting sqref="BW28:BW33">
    <cfRule type="colorScale" priority="81">
      <colorScale>
        <cfvo type="min"/>
        <cfvo type="max"/>
        <color rgb="FFFCFCFF"/>
        <color rgb="FFF8696B"/>
      </colorScale>
    </cfRule>
  </conditionalFormatting>
  <conditionalFormatting sqref="BW35:BW37">
    <cfRule type="colorScale" priority="80">
      <colorScale>
        <cfvo type="min"/>
        <cfvo type="max"/>
        <color rgb="FFFCFCFF"/>
        <color rgb="FFF8696B"/>
      </colorScale>
    </cfRule>
  </conditionalFormatting>
  <conditionalFormatting sqref="BX3:BX12">
    <cfRule type="colorScale" priority="78">
      <colorScale>
        <cfvo type="min"/>
        <cfvo type="max"/>
        <color rgb="FFFCFCFF"/>
        <color rgb="FFF8696B"/>
      </colorScale>
    </cfRule>
  </conditionalFormatting>
  <conditionalFormatting sqref="BX14:BX21">
    <cfRule type="colorScale" priority="79">
      <colorScale>
        <cfvo type="min"/>
        <cfvo type="max"/>
        <color rgb="FFFCFCFF"/>
        <color rgb="FFF8696B"/>
      </colorScale>
    </cfRule>
  </conditionalFormatting>
  <conditionalFormatting sqref="BX23:BX26">
    <cfRule type="colorScale" priority="77">
      <colorScale>
        <cfvo type="min"/>
        <cfvo type="max"/>
        <color rgb="FFFCFCFF"/>
        <color rgb="FFF8696B"/>
      </colorScale>
    </cfRule>
  </conditionalFormatting>
  <conditionalFormatting sqref="BX28:BX33">
    <cfRule type="colorScale" priority="76">
      <colorScale>
        <cfvo type="min"/>
        <cfvo type="max"/>
        <color rgb="FFFCFCFF"/>
        <color rgb="FFF8696B"/>
      </colorScale>
    </cfRule>
  </conditionalFormatting>
  <conditionalFormatting sqref="BX35:BX37">
    <cfRule type="colorScale" priority="75">
      <colorScale>
        <cfvo type="min"/>
        <cfvo type="max"/>
        <color rgb="FFFCFCFF"/>
        <color rgb="FFF8696B"/>
      </colorScale>
    </cfRule>
  </conditionalFormatting>
  <conditionalFormatting sqref="BY3:BY12">
    <cfRule type="colorScale" priority="73">
      <colorScale>
        <cfvo type="min"/>
        <cfvo type="max"/>
        <color rgb="FFFCFCFF"/>
        <color rgb="FFF8696B"/>
      </colorScale>
    </cfRule>
  </conditionalFormatting>
  <conditionalFormatting sqref="BY14:BY21">
    <cfRule type="colorScale" priority="74">
      <colorScale>
        <cfvo type="min"/>
        <cfvo type="max"/>
        <color rgb="FFFCFCFF"/>
        <color rgb="FFF8696B"/>
      </colorScale>
    </cfRule>
  </conditionalFormatting>
  <conditionalFormatting sqref="BY23:BY26">
    <cfRule type="colorScale" priority="72">
      <colorScale>
        <cfvo type="min"/>
        <cfvo type="max"/>
        <color rgb="FFFCFCFF"/>
        <color rgb="FFF8696B"/>
      </colorScale>
    </cfRule>
  </conditionalFormatting>
  <conditionalFormatting sqref="BY28:BY33">
    <cfRule type="colorScale" priority="71">
      <colorScale>
        <cfvo type="min"/>
        <cfvo type="max"/>
        <color rgb="FFFCFCFF"/>
        <color rgb="FFF8696B"/>
      </colorScale>
    </cfRule>
  </conditionalFormatting>
  <conditionalFormatting sqref="BY35:BY37">
    <cfRule type="colorScale" priority="70">
      <colorScale>
        <cfvo type="min"/>
        <cfvo type="max"/>
        <color rgb="FFFCFCFF"/>
        <color rgb="FFF8696B"/>
      </colorScale>
    </cfRule>
  </conditionalFormatting>
  <conditionalFormatting sqref="BZ3:BZ12">
    <cfRule type="colorScale" priority="68">
      <colorScale>
        <cfvo type="min"/>
        <cfvo type="max"/>
        <color rgb="FFFCFCFF"/>
        <color rgb="FFF8696B"/>
      </colorScale>
    </cfRule>
  </conditionalFormatting>
  <conditionalFormatting sqref="BZ14:BZ21">
    <cfRule type="colorScale" priority="69">
      <colorScale>
        <cfvo type="min"/>
        <cfvo type="max"/>
        <color rgb="FFFCFCFF"/>
        <color rgb="FFF8696B"/>
      </colorScale>
    </cfRule>
  </conditionalFormatting>
  <conditionalFormatting sqref="BZ23:BZ26">
    <cfRule type="colorScale" priority="67">
      <colorScale>
        <cfvo type="min"/>
        <cfvo type="max"/>
        <color rgb="FFFCFCFF"/>
        <color rgb="FFF8696B"/>
      </colorScale>
    </cfRule>
  </conditionalFormatting>
  <conditionalFormatting sqref="BZ28:BZ33">
    <cfRule type="colorScale" priority="66">
      <colorScale>
        <cfvo type="min"/>
        <cfvo type="max"/>
        <color rgb="FFFCFCFF"/>
        <color rgb="FFF8696B"/>
      </colorScale>
    </cfRule>
  </conditionalFormatting>
  <conditionalFormatting sqref="BZ35:BZ37">
    <cfRule type="colorScale" priority="65">
      <colorScale>
        <cfvo type="min"/>
        <cfvo type="max"/>
        <color rgb="FFFCFCFF"/>
        <color rgb="FFF8696B"/>
      </colorScale>
    </cfRule>
  </conditionalFormatting>
  <conditionalFormatting sqref="CA3:CA12">
    <cfRule type="colorScale" priority="60">
      <colorScale>
        <cfvo type="min"/>
        <cfvo type="max"/>
        <color rgb="FFFCFCFF"/>
        <color rgb="FFF8696B"/>
      </colorScale>
    </cfRule>
  </conditionalFormatting>
  <conditionalFormatting sqref="CA14:CA21">
    <cfRule type="colorScale" priority="61">
      <colorScale>
        <cfvo type="min"/>
        <cfvo type="max"/>
        <color rgb="FFFCFCFF"/>
        <color rgb="FFF8696B"/>
      </colorScale>
    </cfRule>
  </conditionalFormatting>
  <conditionalFormatting sqref="CA23:CA26">
    <cfRule type="colorScale" priority="59">
      <colorScale>
        <cfvo type="min"/>
        <cfvo type="max"/>
        <color rgb="FFFCFCFF"/>
        <color rgb="FFF8696B"/>
      </colorScale>
    </cfRule>
  </conditionalFormatting>
  <conditionalFormatting sqref="CA28:CA33">
    <cfRule type="colorScale" priority="58">
      <colorScale>
        <cfvo type="min"/>
        <cfvo type="max"/>
        <color rgb="FFFCFCFF"/>
        <color rgb="FFF8696B"/>
      </colorScale>
    </cfRule>
  </conditionalFormatting>
  <conditionalFormatting sqref="CA35:CA37">
    <cfRule type="colorScale" priority="57">
      <colorScale>
        <cfvo type="min"/>
        <cfvo type="max"/>
        <color rgb="FFFCFCFF"/>
        <color rgb="FFF8696B"/>
      </colorScale>
    </cfRule>
  </conditionalFormatting>
  <conditionalFormatting sqref="CB3:CB12">
    <cfRule type="colorScale" priority="55">
      <colorScale>
        <cfvo type="min"/>
        <cfvo type="max"/>
        <color rgb="FFFCFCFF"/>
        <color rgb="FFF8696B"/>
      </colorScale>
    </cfRule>
  </conditionalFormatting>
  <conditionalFormatting sqref="CB14:CB21">
    <cfRule type="colorScale" priority="56">
      <colorScale>
        <cfvo type="min"/>
        <cfvo type="max"/>
        <color rgb="FFFCFCFF"/>
        <color rgb="FFF8696B"/>
      </colorScale>
    </cfRule>
  </conditionalFormatting>
  <conditionalFormatting sqref="CB23:CB26">
    <cfRule type="colorScale" priority="54">
      <colorScale>
        <cfvo type="min"/>
        <cfvo type="max"/>
        <color rgb="FFFCFCFF"/>
        <color rgb="FFF8696B"/>
      </colorScale>
    </cfRule>
  </conditionalFormatting>
  <conditionalFormatting sqref="CB28:CB33">
    <cfRule type="colorScale" priority="53">
      <colorScale>
        <cfvo type="min"/>
        <cfvo type="max"/>
        <color rgb="FFFCFCFF"/>
        <color rgb="FFF8696B"/>
      </colorScale>
    </cfRule>
  </conditionalFormatting>
  <conditionalFormatting sqref="CB35:CB37">
    <cfRule type="colorScale" priority="52">
      <colorScale>
        <cfvo type="min"/>
        <cfvo type="max"/>
        <color rgb="FFFCFCFF"/>
        <color rgb="FFF8696B"/>
      </colorScale>
    </cfRule>
  </conditionalFormatting>
  <conditionalFormatting sqref="CC3:CC12">
    <cfRule type="colorScale" priority="50">
      <colorScale>
        <cfvo type="min"/>
        <cfvo type="max"/>
        <color rgb="FFFCFCFF"/>
        <color rgb="FFF8696B"/>
      </colorScale>
    </cfRule>
  </conditionalFormatting>
  <conditionalFormatting sqref="CC14:CC21">
    <cfRule type="colorScale" priority="51">
      <colorScale>
        <cfvo type="min"/>
        <cfvo type="max"/>
        <color rgb="FFFCFCFF"/>
        <color rgb="FFF8696B"/>
      </colorScale>
    </cfRule>
  </conditionalFormatting>
  <conditionalFormatting sqref="CC23:CC26">
    <cfRule type="colorScale" priority="49">
      <colorScale>
        <cfvo type="min"/>
        <cfvo type="max"/>
        <color rgb="FFFCFCFF"/>
        <color rgb="FFF8696B"/>
      </colorScale>
    </cfRule>
  </conditionalFormatting>
  <conditionalFormatting sqref="CC28:CC33">
    <cfRule type="colorScale" priority="48">
      <colorScale>
        <cfvo type="min"/>
        <cfvo type="max"/>
        <color rgb="FFFCFCFF"/>
        <color rgb="FFF8696B"/>
      </colorScale>
    </cfRule>
  </conditionalFormatting>
  <conditionalFormatting sqref="CC35:CC37">
    <cfRule type="colorScale" priority="47">
      <colorScale>
        <cfvo type="min"/>
        <cfvo type="max"/>
        <color rgb="FFFCFCFF"/>
        <color rgb="FFF8696B"/>
      </colorScale>
    </cfRule>
  </conditionalFormatting>
  <conditionalFormatting sqref="CD3:CD12">
    <cfRule type="colorScale" priority="45">
      <colorScale>
        <cfvo type="min"/>
        <cfvo type="max"/>
        <color rgb="FFFCFCFF"/>
        <color rgb="FFF8696B"/>
      </colorScale>
    </cfRule>
  </conditionalFormatting>
  <conditionalFormatting sqref="CD14:CD21">
    <cfRule type="colorScale" priority="46">
      <colorScale>
        <cfvo type="min"/>
        <cfvo type="max"/>
        <color rgb="FFFCFCFF"/>
        <color rgb="FFF8696B"/>
      </colorScale>
    </cfRule>
  </conditionalFormatting>
  <conditionalFormatting sqref="CD23:CD26">
    <cfRule type="colorScale" priority="44">
      <colorScale>
        <cfvo type="min"/>
        <cfvo type="max"/>
        <color rgb="FFFCFCFF"/>
        <color rgb="FFF8696B"/>
      </colorScale>
    </cfRule>
  </conditionalFormatting>
  <conditionalFormatting sqref="CD28:CD33">
    <cfRule type="colorScale" priority="43">
      <colorScale>
        <cfvo type="min"/>
        <cfvo type="max"/>
        <color rgb="FFFCFCFF"/>
        <color rgb="FFF8696B"/>
      </colorScale>
    </cfRule>
  </conditionalFormatting>
  <conditionalFormatting sqref="CD35:CD37">
    <cfRule type="colorScale" priority="42">
      <colorScale>
        <cfvo type="min"/>
        <cfvo type="max"/>
        <color rgb="FFFCFCFF"/>
        <color rgb="FFF8696B"/>
      </colorScale>
    </cfRule>
  </conditionalFormatting>
  <conditionalFormatting sqref="CE3:CE12">
    <cfRule type="colorScale" priority="40">
      <colorScale>
        <cfvo type="min"/>
        <cfvo type="max"/>
        <color rgb="FFFCFCFF"/>
        <color rgb="FFF8696B"/>
      </colorScale>
    </cfRule>
  </conditionalFormatting>
  <conditionalFormatting sqref="CE14:CE21">
    <cfRule type="colorScale" priority="41">
      <colorScale>
        <cfvo type="min"/>
        <cfvo type="max"/>
        <color rgb="FFFCFCFF"/>
        <color rgb="FFF8696B"/>
      </colorScale>
    </cfRule>
  </conditionalFormatting>
  <conditionalFormatting sqref="CE23:CE26">
    <cfRule type="colorScale" priority="39">
      <colorScale>
        <cfvo type="min"/>
        <cfvo type="max"/>
        <color rgb="FFFCFCFF"/>
        <color rgb="FFF8696B"/>
      </colorScale>
    </cfRule>
  </conditionalFormatting>
  <conditionalFormatting sqref="CE28:CE33">
    <cfRule type="colorScale" priority="38">
      <colorScale>
        <cfvo type="min"/>
        <cfvo type="max"/>
        <color rgb="FFFCFCFF"/>
        <color rgb="FFF8696B"/>
      </colorScale>
    </cfRule>
  </conditionalFormatting>
  <conditionalFormatting sqref="CE35:CE37">
    <cfRule type="colorScale" priority="37">
      <colorScale>
        <cfvo type="min"/>
        <cfvo type="max"/>
        <color rgb="FFFCFCFF"/>
        <color rgb="FFF8696B"/>
      </colorScale>
    </cfRule>
  </conditionalFormatting>
  <conditionalFormatting sqref="CF3:CF12">
    <cfRule type="colorScale" priority="35">
      <colorScale>
        <cfvo type="min"/>
        <cfvo type="max"/>
        <color rgb="FFFCFCFF"/>
        <color rgb="FFF8696B"/>
      </colorScale>
    </cfRule>
  </conditionalFormatting>
  <conditionalFormatting sqref="CF14:CF21">
    <cfRule type="colorScale" priority="36">
      <colorScale>
        <cfvo type="min"/>
        <cfvo type="max"/>
        <color rgb="FFFCFCFF"/>
        <color rgb="FFF8696B"/>
      </colorScale>
    </cfRule>
  </conditionalFormatting>
  <conditionalFormatting sqref="CF23:CF26">
    <cfRule type="colorScale" priority="34">
      <colorScale>
        <cfvo type="min"/>
        <cfvo type="max"/>
        <color rgb="FFFCFCFF"/>
        <color rgb="FFF8696B"/>
      </colorScale>
    </cfRule>
  </conditionalFormatting>
  <conditionalFormatting sqref="CF28:CF33">
    <cfRule type="colorScale" priority="33">
      <colorScale>
        <cfvo type="min"/>
        <cfvo type="max"/>
        <color rgb="FFFCFCFF"/>
        <color rgb="FFF8696B"/>
      </colorScale>
    </cfRule>
  </conditionalFormatting>
  <conditionalFormatting sqref="CF35:CF37">
    <cfRule type="colorScale" priority="32">
      <colorScale>
        <cfvo type="min"/>
        <cfvo type="max"/>
        <color rgb="FFFCFCFF"/>
        <color rgb="FFF8696B"/>
      </colorScale>
    </cfRule>
  </conditionalFormatting>
  <conditionalFormatting sqref="CG3:CG12">
    <cfRule type="colorScale" priority="30">
      <colorScale>
        <cfvo type="min"/>
        <cfvo type="max"/>
        <color rgb="FFFCFCFF"/>
        <color rgb="FFF8696B"/>
      </colorScale>
    </cfRule>
  </conditionalFormatting>
  <conditionalFormatting sqref="CG14:CG21">
    <cfRule type="colorScale" priority="31">
      <colorScale>
        <cfvo type="min"/>
        <cfvo type="max"/>
        <color rgb="FFFCFCFF"/>
        <color rgb="FFF8696B"/>
      </colorScale>
    </cfRule>
  </conditionalFormatting>
  <conditionalFormatting sqref="CG23:CG26">
    <cfRule type="colorScale" priority="29">
      <colorScale>
        <cfvo type="min"/>
        <cfvo type="max"/>
        <color rgb="FFFCFCFF"/>
        <color rgb="FFF8696B"/>
      </colorScale>
    </cfRule>
  </conditionalFormatting>
  <conditionalFormatting sqref="CG28:CG33">
    <cfRule type="colorScale" priority="28">
      <colorScale>
        <cfvo type="min"/>
        <cfvo type="max"/>
        <color rgb="FFFCFCFF"/>
        <color rgb="FFF8696B"/>
      </colorScale>
    </cfRule>
  </conditionalFormatting>
  <conditionalFormatting sqref="CG35:CG37">
    <cfRule type="colorScale" priority="27">
      <colorScale>
        <cfvo type="min"/>
        <cfvo type="max"/>
        <color rgb="FFFCFCFF"/>
        <color rgb="FFF8696B"/>
      </colorScale>
    </cfRule>
  </conditionalFormatting>
  <conditionalFormatting sqref="CH3:CH12">
    <cfRule type="colorScale" priority="19">
      <colorScale>
        <cfvo type="min"/>
        <cfvo type="max"/>
        <color rgb="FFFCFCFF"/>
        <color rgb="FFF8696B"/>
      </colorScale>
    </cfRule>
  </conditionalFormatting>
  <conditionalFormatting sqref="CH14:CH21">
    <cfRule type="colorScale" priority="26">
      <colorScale>
        <cfvo type="min"/>
        <cfvo type="max"/>
        <color rgb="FFFCFCFF"/>
        <color rgb="FFF8696B"/>
      </colorScale>
    </cfRule>
  </conditionalFormatting>
  <conditionalFormatting sqref="CH23:CH26">
    <cfRule type="colorScale" priority="25">
      <colorScale>
        <cfvo type="min"/>
        <cfvo type="max"/>
        <color rgb="FFFCFCFF"/>
        <color rgb="FFF8696B"/>
      </colorScale>
    </cfRule>
  </conditionalFormatting>
  <conditionalFormatting sqref="CH28:CH33">
    <cfRule type="colorScale" priority="24">
      <colorScale>
        <cfvo type="min"/>
        <cfvo type="max"/>
        <color rgb="FFFCFCFF"/>
        <color rgb="FFF8696B"/>
      </colorScale>
    </cfRule>
  </conditionalFormatting>
  <conditionalFormatting sqref="CH35:CH37">
    <cfRule type="colorScale" priority="23">
      <colorScale>
        <cfvo type="min"/>
        <cfvo type="max"/>
        <color rgb="FFFCFCFF"/>
        <color rgb="FFF8696B"/>
      </colorScale>
    </cfRule>
  </conditionalFormatting>
  <conditionalFormatting sqref="CI3">
    <cfRule type="colorScale" priority="20">
      <colorScale>
        <cfvo type="min"/>
        <cfvo type="max"/>
        <color rgb="FFFCFCFF"/>
        <color rgb="FFF8696B"/>
      </colorScale>
    </cfRule>
  </conditionalFormatting>
  <conditionalFormatting sqref="CI5">
    <cfRule type="colorScale" priority="21">
      <colorScale>
        <cfvo type="min"/>
        <cfvo type="max"/>
        <color rgb="FFFCFCFF"/>
        <color rgb="FFF8696B"/>
      </colorScale>
    </cfRule>
  </conditionalFormatting>
  <conditionalFormatting sqref="CI6:CI12 CI4">
    <cfRule type="colorScale" priority="22">
      <colorScale>
        <cfvo type="min"/>
        <cfvo type="max"/>
        <color rgb="FFFCFCFF"/>
        <color rgb="FFF8696B"/>
      </colorScale>
    </cfRule>
  </conditionalFormatting>
  <conditionalFormatting sqref="CI14:CI21">
    <cfRule type="colorScale" priority="17">
      <colorScale>
        <cfvo type="min"/>
        <cfvo type="max"/>
        <color rgb="FFFCFCFF"/>
        <color rgb="FFF8696B"/>
      </colorScale>
    </cfRule>
  </conditionalFormatting>
  <conditionalFormatting sqref="CI23:CI26">
    <cfRule type="colorScale" priority="16">
      <colorScale>
        <cfvo type="min"/>
        <cfvo type="max"/>
        <color rgb="FFFCFCFF"/>
        <color rgb="FFF8696B"/>
      </colorScale>
    </cfRule>
  </conditionalFormatting>
  <conditionalFormatting sqref="CI28:CI33">
    <cfRule type="colorScale" priority="15">
      <colorScale>
        <cfvo type="min"/>
        <cfvo type="max"/>
        <color rgb="FFFCFCFF"/>
        <color rgb="FFF8696B"/>
      </colorScale>
    </cfRule>
  </conditionalFormatting>
  <conditionalFormatting sqref="CI35:CI37">
    <cfRule type="colorScale" priority="14">
      <colorScale>
        <cfvo type="min"/>
        <cfvo type="max"/>
        <color rgb="FFFCFCFF"/>
        <color rgb="FFF8696B"/>
      </colorScale>
    </cfRule>
  </conditionalFormatting>
  <conditionalFormatting sqref="CI39:CI40">
    <cfRule type="colorScale" priority="18">
      <colorScale>
        <cfvo type="min"/>
        <cfvo type="max"/>
        <color rgb="FFFCFCFF"/>
        <color rgb="FFF8696B"/>
      </colorScale>
    </cfRule>
  </conditionalFormatting>
  <conditionalFormatting sqref="CJ3:CJ12">
    <cfRule type="colorScale" priority="4">
      <colorScale>
        <cfvo type="min"/>
        <cfvo type="max"/>
        <color rgb="FFFCFCFF"/>
        <color rgb="FFF8696B"/>
      </colorScale>
    </cfRule>
  </conditionalFormatting>
  <conditionalFormatting sqref="CJ14:CJ21">
    <cfRule type="colorScale" priority="5">
      <colorScale>
        <cfvo type="min"/>
        <cfvo type="max"/>
        <color rgb="FFFCFCFF"/>
        <color rgb="FFF8696B"/>
      </colorScale>
    </cfRule>
  </conditionalFormatting>
  <conditionalFormatting sqref="CJ23:CJ26">
    <cfRule type="colorScale" priority="3">
      <colorScale>
        <cfvo type="min"/>
        <cfvo type="max"/>
        <color rgb="FFFCFCFF"/>
        <color rgb="FFF8696B"/>
      </colorScale>
    </cfRule>
  </conditionalFormatting>
  <conditionalFormatting sqref="CJ28:CJ33">
    <cfRule type="colorScale" priority="2">
      <colorScale>
        <cfvo type="min"/>
        <cfvo type="max"/>
        <color rgb="FFFCFCFF"/>
        <color rgb="FFF8696B"/>
      </colorScale>
    </cfRule>
  </conditionalFormatting>
  <conditionalFormatting sqref="CJ35:CJ37">
    <cfRule type="colorScale" priority="1">
      <colorScale>
        <cfvo type="min"/>
        <cfvo type="max"/>
        <color rgb="FFFCFCFF"/>
        <color rgb="FFF8696B"/>
      </colorScale>
    </cfRule>
  </conditionalFormatting>
  <conditionalFormatting sqref="CJ39:CJ40">
    <cfRule type="colorScale" priority="6">
      <colorScale>
        <cfvo type="min"/>
        <cfvo type="max"/>
        <color rgb="FFFCFCFF"/>
        <color rgb="FFF8696B"/>
      </colorScale>
    </cfRule>
  </conditionalFormatting>
  <conditionalFormatting sqref="CK3:CK12">
    <cfRule type="colorScale" priority="11">
      <colorScale>
        <cfvo type="min"/>
        <cfvo type="max"/>
        <color rgb="FFFCFCFF"/>
        <color rgb="FFF8696B"/>
      </colorScale>
    </cfRule>
  </conditionalFormatting>
  <conditionalFormatting sqref="CK14:CK21">
    <cfRule type="colorScale" priority="12">
      <colorScale>
        <cfvo type="min"/>
        <cfvo type="max"/>
        <color rgb="FFFCFCFF"/>
        <color rgb="FFF8696B"/>
      </colorScale>
    </cfRule>
  </conditionalFormatting>
  <conditionalFormatting sqref="CK23:CK26">
    <cfRule type="colorScale" priority="10">
      <colorScale>
        <cfvo type="min"/>
        <cfvo type="max"/>
        <color rgb="FFFCFCFF"/>
        <color rgb="FFF8696B"/>
      </colorScale>
    </cfRule>
  </conditionalFormatting>
  <conditionalFormatting sqref="CK28:CK33">
    <cfRule type="colorScale" priority="9">
      <colorScale>
        <cfvo type="min"/>
        <cfvo type="max"/>
        <color rgb="FFFCFCFF"/>
        <color rgb="FFF8696B"/>
      </colorScale>
    </cfRule>
  </conditionalFormatting>
  <conditionalFormatting sqref="CK35:CK37">
    <cfRule type="colorScale" priority="8">
      <colorScale>
        <cfvo type="min"/>
        <cfvo type="max"/>
        <color rgb="FFFCFCFF"/>
        <color rgb="FFF8696B"/>
      </colorScale>
    </cfRule>
  </conditionalFormatting>
  <conditionalFormatting sqref="CK39:CK40">
    <cfRule type="colorScale" priority="13">
      <colorScale>
        <cfvo type="min"/>
        <cfvo type="max"/>
        <color rgb="FFFCFCFF"/>
        <color rgb="FFF8696B"/>
      </colorScale>
    </cfRule>
  </conditionalFormatting>
  <printOptions horizontalCentered="1" verticalCentered="1"/>
  <pageMargins left="0.25" right="0.25" top="0.75" bottom="0.75" header="0.3" footer="0.3"/>
  <pageSetup paperSize="8" scale="64" orientation="portrait" r:id="rId1"/>
  <headerFooter>
    <oddHeader>&amp;L&amp;"Aptos Narrow,Regular"SOBHA LLC&amp;C&amp;"Aptos Narrow,Bold"&amp;18Receipt status&amp;R&amp;D</oddHeader>
    <oddFooter>&amp;LCOLLECTION&amp;R&amp;P/&amp;N</oddFooter>
  </headerFooter>
  <colBreaks count="4" manualBreakCount="4">
    <brk id="8" max="1048575" man="1"/>
    <brk id="38" max="1048575" man="1"/>
    <brk id="46" max="1048575" man="1"/>
    <brk id="61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Summary</vt:lpstr>
      <vt:lpstr>Trend (3)</vt:lpstr>
      <vt:lpstr>Advance trendm</vt:lpstr>
      <vt:lpstr>Summary!Print_Area</vt:lpstr>
      <vt:lpstr>'Trend (3)'!Print_Area</vt:lpstr>
      <vt:lpstr>'Trend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Panneer Selvam</dc:creator>
  <cp:lastModifiedBy>Prasad Panneer Selvam</cp:lastModifiedBy>
  <dcterms:created xsi:type="dcterms:W3CDTF">2026-05-08T07:39:09Z</dcterms:created>
  <dcterms:modified xsi:type="dcterms:W3CDTF">2026-05-08T07:39:37Z</dcterms:modified>
</cp:coreProperties>
</file>