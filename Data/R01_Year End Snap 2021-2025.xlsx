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.sharma\Downloads\Report\Year End Snap\"/>
    </mc:Choice>
  </mc:AlternateContent>
  <xr:revisionPtr revIDLastSave="0" documentId="8_{45E18F21-D79C-4B9E-817E-C7F1FED405D2}" xr6:coauthVersionLast="47" xr6:coauthVersionMax="47" xr10:uidLastSave="{00000000-0000-0000-0000-000000000000}"/>
  <bookViews>
    <workbookView xWindow="-108" yWindow="-108" windowWidth="23256" windowHeight="12456" xr2:uid="{C172357C-1F52-4AFE-83FC-203DAF355D5D}"/>
  </bookViews>
  <sheets>
    <sheet name="2021 Collection " sheetId="6" r:id="rId1"/>
    <sheet name="2022 Collection " sheetId="5" r:id="rId2"/>
    <sheet name="2023 Collection" sheetId="4" r:id="rId3"/>
    <sheet name="2024 Collection" sheetId="7" state="hidden" r:id="rId4"/>
    <sheet name="2024 Collection Snap" sheetId="1" state="hidden" r:id="rId5"/>
    <sheet name="2024 Collection New" sheetId="8" r:id="rId6"/>
    <sheet name="2025 Collection" sheetId="2" r:id="rId7"/>
    <sheet name="2025 Collection Dynamic" sheetId="3" state="hidden" r:id="rId8"/>
  </sheets>
  <definedNames>
    <definedName name="_xlnm.Print_Area" localSheetId="0">'2021 Collection '!$A$6:$E$34</definedName>
    <definedName name="_xlnm.Print_Area" localSheetId="1">'2022 Collection '!$A$6:$E$34</definedName>
    <definedName name="_xlnm.Print_Area" localSheetId="2">'2023 Collection'!$A$6:$E$34</definedName>
    <definedName name="_xlnm.Print_Area" localSheetId="3">'2024 Collection'!$A$1:$D$30</definedName>
    <definedName name="_xlnm.Print_Area" localSheetId="5">'2024 Collection New'!$A$1:$E$29</definedName>
    <definedName name="_xlnm.Print_Area" localSheetId="4">'2024 Collection Snap'!$A$1:$E$29</definedName>
    <definedName name="_xlnm.Print_Area" localSheetId="6">'2025 Collection'!$A$6:$E$34</definedName>
    <definedName name="_xlnm.Print_Area" localSheetId="7">'2025 Collection Dynamic'!$A$1:$E$31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11" i="2"/>
  <c r="B10" i="2"/>
  <c r="D5" i="2"/>
  <c r="B4" i="3"/>
  <c r="B7" i="3" s="1"/>
  <c r="B9" i="3" s="1"/>
  <c r="B3" i="3"/>
  <c r="E29" i="2" l="1"/>
  <c r="D29" i="2"/>
  <c r="C29" i="2"/>
  <c r="B28" i="2"/>
  <c r="B27" i="2"/>
  <c r="B26" i="2"/>
  <c r="B25" i="2"/>
  <c r="B24" i="2"/>
  <c r="B29" i="2" s="1"/>
  <c r="B23" i="2"/>
  <c r="D13" i="6"/>
  <c r="C13" i="6"/>
  <c r="D13" i="5"/>
  <c r="C13" i="5"/>
  <c r="C8" i="8" l="1"/>
  <c r="F8" i="8" s="1"/>
  <c r="G8" i="8" s="1"/>
  <c r="D35" i="8"/>
  <c r="D34" i="8"/>
  <c r="D33" i="8"/>
  <c r="E24" i="8"/>
  <c r="D24" i="8"/>
  <c r="C24" i="8"/>
  <c r="L23" i="8"/>
  <c r="K23" i="8"/>
  <c r="I23" i="8"/>
  <c r="B23" i="8"/>
  <c r="B22" i="8"/>
  <c r="L21" i="8"/>
  <c r="K21" i="8"/>
  <c r="J21" i="8"/>
  <c r="B21" i="8"/>
  <c r="L20" i="8"/>
  <c r="K20" i="8"/>
  <c r="J20" i="8"/>
  <c r="B20" i="8"/>
  <c r="L19" i="8"/>
  <c r="K19" i="8"/>
  <c r="J19" i="8"/>
  <c r="I19" i="8"/>
  <c r="B19" i="8"/>
  <c r="L18" i="8"/>
  <c r="K18" i="8"/>
  <c r="J18" i="8"/>
  <c r="B18" i="8"/>
  <c r="G17" i="8"/>
  <c r="J13" i="8"/>
  <c r="M13" i="8" s="1"/>
  <c r="I13" i="8"/>
  <c r="L13" i="8" s="1"/>
  <c r="H13" i="8"/>
  <c r="K13" i="8" s="1"/>
  <c r="J12" i="8"/>
  <c r="M12" i="8" s="1"/>
  <c r="I12" i="8"/>
  <c r="L12" i="8" s="1"/>
  <c r="H12" i="8"/>
  <c r="K12" i="8" s="1"/>
  <c r="J11" i="8"/>
  <c r="M11" i="8" s="1"/>
  <c r="I11" i="8"/>
  <c r="L11" i="8" s="1"/>
  <c r="H11" i="8"/>
  <c r="K11" i="8" s="1"/>
  <c r="J10" i="8"/>
  <c r="M10" i="8" s="1"/>
  <c r="I10" i="8"/>
  <c r="L10" i="8" s="1"/>
  <c r="H10" i="8"/>
  <c r="K10" i="8" s="1"/>
  <c r="C7" i="8"/>
  <c r="F7" i="8" s="1"/>
  <c r="B7" i="8"/>
  <c r="B9" i="8" s="1"/>
  <c r="F6" i="8"/>
  <c r="G6" i="8" s="1"/>
  <c r="F5" i="8"/>
  <c r="J5" i="8" s="1"/>
  <c r="M5" i="8" s="1"/>
  <c r="F4" i="8"/>
  <c r="I4" i="8" s="1"/>
  <c r="L4" i="8" s="1"/>
  <c r="F3" i="8"/>
  <c r="G3" i="8" s="1"/>
  <c r="G7" i="8" l="1"/>
  <c r="B24" i="8"/>
  <c r="B28" i="8" s="1"/>
  <c r="H6" i="8"/>
  <c r="K6" i="8" s="1"/>
  <c r="J6" i="8"/>
  <c r="M6" i="8" s="1"/>
  <c r="I6" i="8"/>
  <c r="L6" i="8" s="1"/>
  <c r="J23" i="8"/>
  <c r="H3" i="8"/>
  <c r="K3" i="8" s="1"/>
  <c r="I3" i="8"/>
  <c r="L3" i="8" s="1"/>
  <c r="J3" i="8"/>
  <c r="M3" i="8" s="1"/>
  <c r="H8" i="8"/>
  <c r="K8" i="8" s="1"/>
  <c r="I8" i="8"/>
  <c r="L8" i="8" s="1"/>
  <c r="J8" i="8"/>
  <c r="M8" i="8" s="1"/>
  <c r="N11" i="8"/>
  <c r="O11" i="8" s="1"/>
  <c r="B36" i="8"/>
  <c r="B38" i="8" s="1"/>
  <c r="N6" i="8"/>
  <c r="O6" i="8" s="1"/>
  <c r="N10" i="8"/>
  <c r="O10" i="8" s="1"/>
  <c r="I7" i="8"/>
  <c r="L7" i="8" s="1"/>
  <c r="J7" i="8"/>
  <c r="M7" i="8" s="1"/>
  <c r="N12" i="8"/>
  <c r="O12" i="8" s="1"/>
  <c r="N13" i="8"/>
  <c r="O13" i="8" s="1"/>
  <c r="H4" i="8"/>
  <c r="K4" i="8" s="1"/>
  <c r="D9" i="8"/>
  <c r="D28" i="8" s="1"/>
  <c r="D36" i="8" s="1"/>
  <c r="D38" i="8" s="1"/>
  <c r="E9" i="8"/>
  <c r="J22" i="8"/>
  <c r="K22" i="8"/>
  <c r="G4" i="8"/>
  <c r="J4" i="8"/>
  <c r="M4" i="8" s="1"/>
  <c r="L22" i="8"/>
  <c r="H5" i="8"/>
  <c r="K5" i="8" s="1"/>
  <c r="G5" i="8"/>
  <c r="H7" i="8"/>
  <c r="K7" i="8" s="1"/>
  <c r="I5" i="8"/>
  <c r="L5" i="8" s="1"/>
  <c r="C9" i="8"/>
  <c r="N3" i="8" l="1"/>
  <c r="O3" i="8" s="1"/>
  <c r="N8" i="8"/>
  <c r="O8" i="8" s="1"/>
  <c r="R8" i="8" s="1"/>
  <c r="U8" i="8" s="1"/>
  <c r="F9" i="8"/>
  <c r="G9" i="8" s="1"/>
  <c r="J24" i="8"/>
  <c r="Q8" i="8"/>
  <c r="T8" i="8" s="1"/>
  <c r="P8" i="8"/>
  <c r="S8" i="8" s="1"/>
  <c r="Q12" i="8"/>
  <c r="T12" i="8" s="1"/>
  <c r="P12" i="8"/>
  <c r="S12" i="8" s="1"/>
  <c r="R11" i="8"/>
  <c r="U11" i="8" s="1"/>
  <c r="R3" i="8"/>
  <c r="U3" i="8" s="1"/>
  <c r="P10" i="8"/>
  <c r="S10" i="8" s="1"/>
  <c r="R12" i="8"/>
  <c r="U12" i="8" s="1"/>
  <c r="Q11" i="8"/>
  <c r="T11" i="8" s="1"/>
  <c r="Q3" i="8"/>
  <c r="T3" i="8" s="1"/>
  <c r="R10" i="8"/>
  <c r="U10" i="8" s="1"/>
  <c r="Q10" i="8"/>
  <c r="T10" i="8" s="1"/>
  <c r="P11" i="8"/>
  <c r="S11" i="8" s="1"/>
  <c r="P3" i="8"/>
  <c r="R13" i="8"/>
  <c r="U13" i="8" s="1"/>
  <c r="Q13" i="8"/>
  <c r="T13" i="8" s="1"/>
  <c r="P13" i="8"/>
  <c r="S13" i="8" s="1"/>
  <c r="J9" i="8"/>
  <c r="M9" i="8" s="1"/>
  <c r="E28" i="8"/>
  <c r="E36" i="8" s="1"/>
  <c r="E38" i="8" s="1"/>
  <c r="L24" i="8"/>
  <c r="K24" i="8"/>
  <c r="N5" i="8"/>
  <c r="O5" i="8" s="1"/>
  <c r="R6" i="8"/>
  <c r="U6" i="8" s="1"/>
  <c r="Q6" i="8"/>
  <c r="T6" i="8" s="1"/>
  <c r="P6" i="8"/>
  <c r="S6" i="8" s="1"/>
  <c r="N7" i="8"/>
  <c r="O7" i="8" s="1"/>
  <c r="N4" i="8"/>
  <c r="O4" i="8" s="1"/>
  <c r="C28" i="8"/>
  <c r="I9" i="8" l="1"/>
  <c r="L9" i="8" s="1"/>
  <c r="H9" i="8"/>
  <c r="K9" i="8" s="1"/>
  <c r="N9" i="8" s="1"/>
  <c r="O9" i="8" s="1"/>
  <c r="P5" i="8"/>
  <c r="S5" i="8" s="1"/>
  <c r="Q5" i="8"/>
  <c r="T5" i="8" s="1"/>
  <c r="R5" i="8"/>
  <c r="U5" i="8" s="1"/>
  <c r="P2" i="8"/>
  <c r="S3" i="8"/>
  <c r="R4" i="8"/>
  <c r="U4" i="8" s="1"/>
  <c r="Q4" i="8"/>
  <c r="T4" i="8" s="1"/>
  <c r="P4" i="8"/>
  <c r="S4" i="8" s="1"/>
  <c r="Q7" i="8"/>
  <c r="T7" i="8" s="1"/>
  <c r="P7" i="8"/>
  <c r="S7" i="8" s="1"/>
  <c r="R7" i="8"/>
  <c r="U7" i="8" s="1"/>
  <c r="R9" i="8" l="1"/>
  <c r="U9" i="8" s="1"/>
  <c r="P9" i="8"/>
  <c r="S9" i="8" s="1"/>
  <c r="Q9" i="8"/>
  <c r="T9" i="8" s="1"/>
  <c r="E29" i="5" l="1"/>
  <c r="D29" i="5"/>
  <c r="C29" i="5"/>
  <c r="B29" i="5"/>
  <c r="E29" i="4"/>
  <c r="D29" i="4"/>
  <c r="C29" i="4"/>
  <c r="B29" i="4"/>
  <c r="B29" i="6"/>
  <c r="E29" i="6" l="1"/>
  <c r="D29" i="6"/>
  <c r="C29" i="6"/>
  <c r="B11" i="6"/>
  <c r="B10" i="6"/>
  <c r="B11" i="5"/>
  <c r="B10" i="5"/>
  <c r="B11" i="4"/>
  <c r="B10" i="4"/>
  <c r="D27" i="7"/>
  <c r="C26" i="7"/>
  <c r="C25" i="7"/>
  <c r="C24" i="7"/>
  <c r="D23" i="7"/>
  <c r="B23" i="7"/>
  <c r="B27" i="7" s="1"/>
  <c r="B29" i="7" s="1"/>
  <c r="C22" i="7"/>
  <c r="C21" i="7"/>
  <c r="C20" i="7"/>
  <c r="C19" i="7"/>
  <c r="C18" i="7"/>
  <c r="C23" i="7" s="1"/>
  <c r="C27" i="7" s="1"/>
  <c r="D13" i="7"/>
  <c r="D12" i="7"/>
  <c r="D11" i="7"/>
  <c r="D10" i="7"/>
  <c r="B9" i="7"/>
  <c r="D8" i="7"/>
  <c r="C7" i="7"/>
  <c r="D7" i="7" s="1"/>
  <c r="D6" i="7"/>
  <c r="C5" i="7"/>
  <c r="D5" i="7" s="1"/>
  <c r="D4" i="7"/>
  <c r="D3" i="7"/>
  <c r="C9" i="7" l="1"/>
  <c r="C29" i="7" s="1"/>
  <c r="D9" i="7" l="1"/>
  <c r="D29" i="7" s="1"/>
  <c r="B12" i="6" l="1"/>
  <c r="D41" i="6" l="1"/>
  <c r="D40" i="6"/>
  <c r="D39" i="6"/>
  <c r="M18" i="6"/>
  <c r="L18" i="6"/>
  <c r="J18" i="6"/>
  <c r="I18" i="6"/>
  <c r="H18" i="6"/>
  <c r="K18" i="6" s="1"/>
  <c r="K17" i="6"/>
  <c r="J17" i="6"/>
  <c r="M17" i="6" s="1"/>
  <c r="I17" i="6"/>
  <c r="L17" i="6" s="1"/>
  <c r="H17" i="6"/>
  <c r="M16" i="6"/>
  <c r="L16" i="6"/>
  <c r="J16" i="6"/>
  <c r="I16" i="6"/>
  <c r="H16" i="6"/>
  <c r="K16" i="6" s="1"/>
  <c r="J15" i="6"/>
  <c r="M15" i="6" s="1"/>
  <c r="I15" i="6"/>
  <c r="L15" i="6" s="1"/>
  <c r="H15" i="6"/>
  <c r="K15" i="6" s="1"/>
  <c r="B14" i="6"/>
  <c r="B33" i="6" s="1"/>
  <c r="B42" i="6" s="1"/>
  <c r="B44" i="6" s="1"/>
  <c r="F13" i="6"/>
  <c r="G13" i="6" s="1"/>
  <c r="I13" i="6"/>
  <c r="L13" i="6" s="1"/>
  <c r="E12" i="6"/>
  <c r="E14" i="6" s="1"/>
  <c r="D12" i="6"/>
  <c r="D14" i="6" s="1"/>
  <c r="C12" i="6"/>
  <c r="C14" i="6" s="1"/>
  <c r="F11" i="6"/>
  <c r="H11" i="6" s="1"/>
  <c r="K11" i="6" s="1"/>
  <c r="F10" i="6"/>
  <c r="J10" i="6" s="1"/>
  <c r="M10" i="6" s="1"/>
  <c r="F9" i="6"/>
  <c r="H9" i="6" s="1"/>
  <c r="K9" i="6" s="1"/>
  <c r="F8" i="6"/>
  <c r="H8" i="6" s="1"/>
  <c r="K8" i="6" s="1"/>
  <c r="E5" i="6"/>
  <c r="D5" i="6"/>
  <c r="C5" i="6"/>
  <c r="B5" i="6"/>
  <c r="B3" i="6" a="1"/>
  <c r="C2" i="6" s="1"/>
  <c r="D41" i="5"/>
  <c r="D40" i="5"/>
  <c r="D39" i="5"/>
  <c r="J18" i="5"/>
  <c r="M18" i="5" s="1"/>
  <c r="I18" i="5"/>
  <c r="L18" i="5" s="1"/>
  <c r="H18" i="5"/>
  <c r="K18" i="5" s="1"/>
  <c r="J17" i="5"/>
  <c r="M17" i="5" s="1"/>
  <c r="I17" i="5"/>
  <c r="L17" i="5" s="1"/>
  <c r="H17" i="5"/>
  <c r="K17" i="5" s="1"/>
  <c r="L16" i="5"/>
  <c r="K16" i="5"/>
  <c r="J16" i="5"/>
  <c r="M16" i="5" s="1"/>
  <c r="I16" i="5"/>
  <c r="H16" i="5"/>
  <c r="M15" i="5"/>
  <c r="L15" i="5"/>
  <c r="K15" i="5"/>
  <c r="J15" i="5"/>
  <c r="I15" i="5"/>
  <c r="H15" i="5"/>
  <c r="C14" i="5"/>
  <c r="C33" i="5" s="1"/>
  <c r="F13" i="5"/>
  <c r="H13" i="5" s="1"/>
  <c r="K13" i="5" s="1"/>
  <c r="D12" i="5"/>
  <c r="C12" i="5"/>
  <c r="B12" i="5"/>
  <c r="B14" i="5" s="1"/>
  <c r="G11" i="5"/>
  <c r="F11" i="5"/>
  <c r="H11" i="5" s="1"/>
  <c r="K11" i="5" s="1"/>
  <c r="F10" i="5"/>
  <c r="J10" i="5" s="1"/>
  <c r="M10" i="5" s="1"/>
  <c r="F9" i="5"/>
  <c r="I9" i="5" s="1"/>
  <c r="L9" i="5" s="1"/>
  <c r="F8" i="5"/>
  <c r="H8" i="5" s="1"/>
  <c r="K8" i="5" s="1"/>
  <c r="E5" i="5"/>
  <c r="D5" i="5"/>
  <c r="C5" i="5"/>
  <c r="B5" i="5"/>
  <c r="B3" i="5" a="1"/>
  <c r="D2" i="5" s="1"/>
  <c r="D41" i="4"/>
  <c r="D40" i="4"/>
  <c r="D39" i="4"/>
  <c r="J18" i="4"/>
  <c r="M18" i="4" s="1"/>
  <c r="I18" i="4"/>
  <c r="L18" i="4" s="1"/>
  <c r="H18" i="4"/>
  <c r="K18" i="4" s="1"/>
  <c r="J17" i="4"/>
  <c r="M17" i="4" s="1"/>
  <c r="I17" i="4"/>
  <c r="L17" i="4" s="1"/>
  <c r="H17" i="4"/>
  <c r="K17" i="4" s="1"/>
  <c r="J16" i="4"/>
  <c r="M16" i="4" s="1"/>
  <c r="I16" i="4"/>
  <c r="L16" i="4" s="1"/>
  <c r="H16" i="4"/>
  <c r="K16" i="4" s="1"/>
  <c r="K15" i="4"/>
  <c r="J15" i="4"/>
  <c r="M15" i="4" s="1"/>
  <c r="I15" i="4"/>
  <c r="L15" i="4" s="1"/>
  <c r="H15" i="4"/>
  <c r="F13" i="4"/>
  <c r="H13" i="4" s="1"/>
  <c r="K13" i="4" s="1"/>
  <c r="E12" i="4"/>
  <c r="D12" i="4"/>
  <c r="D14" i="4" s="1"/>
  <c r="C12" i="4"/>
  <c r="F12" i="4" s="1"/>
  <c r="G12" i="4" s="1"/>
  <c r="B12" i="4"/>
  <c r="B14" i="4" s="1"/>
  <c r="F11" i="4"/>
  <c r="I11" i="4" s="1"/>
  <c r="L11" i="4" s="1"/>
  <c r="F10" i="4"/>
  <c r="J10" i="4" s="1"/>
  <c r="M10" i="4" s="1"/>
  <c r="F9" i="4"/>
  <c r="I9" i="4" s="1"/>
  <c r="L9" i="4" s="1"/>
  <c r="F8" i="4"/>
  <c r="G8" i="4" s="1"/>
  <c r="E5" i="4"/>
  <c r="D5" i="4"/>
  <c r="C5" i="4"/>
  <c r="B5" i="4"/>
  <c r="B3" i="4" a="1"/>
  <c r="B2" i="4" s="1"/>
  <c r="H13" i="6" l="1"/>
  <c r="K13" i="6" s="1"/>
  <c r="J8" i="5"/>
  <c r="M8" i="5" s="1"/>
  <c r="I8" i="5"/>
  <c r="L8" i="5" s="1"/>
  <c r="G13" i="5"/>
  <c r="I13" i="5"/>
  <c r="L13" i="5" s="1"/>
  <c r="J13" i="5"/>
  <c r="M13" i="5" s="1"/>
  <c r="G11" i="4"/>
  <c r="J11" i="4"/>
  <c r="M11" i="4" s="1"/>
  <c r="H11" i="4"/>
  <c r="K11" i="4" s="1"/>
  <c r="N11" i="4" s="1"/>
  <c r="O11" i="4" s="1"/>
  <c r="J11" i="5"/>
  <c r="M11" i="5" s="1"/>
  <c r="I11" i="5"/>
  <c r="L11" i="5" s="1"/>
  <c r="I10" i="6"/>
  <c r="L10" i="6" s="1"/>
  <c r="G11" i="6"/>
  <c r="I11" i="6"/>
  <c r="L11" i="6" s="1"/>
  <c r="N11" i="6" s="1"/>
  <c r="O11" i="6" s="1"/>
  <c r="J13" i="6"/>
  <c r="M13" i="6" s="1"/>
  <c r="N13" i="6" s="1"/>
  <c r="O13" i="6" s="1"/>
  <c r="G13" i="4"/>
  <c r="I13" i="4"/>
  <c r="L13" i="4" s="1"/>
  <c r="N13" i="4" s="1"/>
  <c r="O13" i="4" s="1"/>
  <c r="J13" i="4"/>
  <c r="M13" i="4" s="1"/>
  <c r="I9" i="6"/>
  <c r="L9" i="6" s="1"/>
  <c r="N9" i="6" s="1"/>
  <c r="O9" i="6" s="1"/>
  <c r="J9" i="6"/>
  <c r="M9" i="6" s="1"/>
  <c r="G8" i="5"/>
  <c r="H8" i="4"/>
  <c r="K8" i="4" s="1"/>
  <c r="N8" i="4" s="1"/>
  <c r="O8" i="4" s="1"/>
  <c r="I8" i="4"/>
  <c r="L8" i="4" s="1"/>
  <c r="J8" i="4"/>
  <c r="M8" i="4" s="1"/>
  <c r="B33" i="4"/>
  <c r="B42" i="4" s="1"/>
  <c r="B44" i="4" s="1"/>
  <c r="N16" i="4"/>
  <c r="O16" i="4" s="1"/>
  <c r="D33" i="4"/>
  <c r="D42" i="4" s="1"/>
  <c r="D44" i="4" s="1"/>
  <c r="J12" i="4"/>
  <c r="M12" i="4" s="1"/>
  <c r="N17" i="4"/>
  <c r="O17" i="4" s="1"/>
  <c r="N18" i="4"/>
  <c r="O18" i="4" s="1"/>
  <c r="E2" i="4"/>
  <c r="C1" i="4"/>
  <c r="H10" i="4"/>
  <c r="K10" i="4" s="1"/>
  <c r="D2" i="4"/>
  <c r="G9" i="4"/>
  <c r="H9" i="4"/>
  <c r="K9" i="4" s="1"/>
  <c r="N15" i="4"/>
  <c r="O15" i="4" s="1"/>
  <c r="J9" i="4"/>
  <c r="M9" i="4" s="1"/>
  <c r="G10" i="4"/>
  <c r="H12" i="4"/>
  <c r="K12" i="4" s="1"/>
  <c r="D1" i="4"/>
  <c r="I10" i="4"/>
  <c r="L10" i="4" s="1"/>
  <c r="I12" i="4"/>
  <c r="L12" i="4" s="1"/>
  <c r="C14" i="4"/>
  <c r="B3" i="4"/>
  <c r="B1" i="4" s="1"/>
  <c r="E14" i="4"/>
  <c r="E1" i="4"/>
  <c r="C2" i="4"/>
  <c r="N17" i="5"/>
  <c r="O17" i="5" s="1"/>
  <c r="B33" i="5"/>
  <c r="B42" i="5" s="1"/>
  <c r="B44" i="5" s="1"/>
  <c r="N13" i="5"/>
  <c r="O13" i="5" s="1"/>
  <c r="N8" i="5"/>
  <c r="O8" i="5" s="1"/>
  <c r="N18" i="5"/>
  <c r="O18" i="5" s="1"/>
  <c r="N11" i="5"/>
  <c r="O11" i="5" s="1"/>
  <c r="E2" i="5"/>
  <c r="J9" i="5"/>
  <c r="M9" i="5" s="1"/>
  <c r="F12" i="5"/>
  <c r="G12" i="5" s="1"/>
  <c r="N16" i="5"/>
  <c r="O16" i="5" s="1"/>
  <c r="G10" i="5"/>
  <c r="B3" i="5"/>
  <c r="B1" i="5" s="1"/>
  <c r="H9" i="5"/>
  <c r="K9" i="5" s="1"/>
  <c r="D14" i="5"/>
  <c r="G9" i="5"/>
  <c r="N15" i="5"/>
  <c r="O15" i="5" s="1"/>
  <c r="E14" i="5"/>
  <c r="H10" i="5"/>
  <c r="K10" i="5" s="1"/>
  <c r="D1" i="5"/>
  <c r="I10" i="5"/>
  <c r="L10" i="5" s="1"/>
  <c r="E1" i="5"/>
  <c r="C1" i="5"/>
  <c r="B2" i="5"/>
  <c r="C2" i="5"/>
  <c r="I8" i="6"/>
  <c r="L8" i="6" s="1"/>
  <c r="F12" i="6"/>
  <c r="J12" i="6" s="1"/>
  <c r="M12" i="6" s="1"/>
  <c r="N17" i="6"/>
  <c r="O17" i="6" s="1"/>
  <c r="C33" i="6"/>
  <c r="F14" i="6"/>
  <c r="G14" i="6" s="1"/>
  <c r="N15" i="6"/>
  <c r="O15" i="6" s="1"/>
  <c r="N18" i="6"/>
  <c r="O18" i="6" s="1"/>
  <c r="N8" i="6"/>
  <c r="O8" i="6" s="1"/>
  <c r="E33" i="6"/>
  <c r="E42" i="6" s="1"/>
  <c r="E44" i="6" s="1"/>
  <c r="N16" i="6"/>
  <c r="O16" i="6" s="1"/>
  <c r="D2" i="6"/>
  <c r="D33" i="6"/>
  <c r="D42" i="6" s="1"/>
  <c r="D44" i="6" s="1"/>
  <c r="J11" i="6"/>
  <c r="M11" i="6" s="1"/>
  <c r="G9" i="6"/>
  <c r="E2" i="6"/>
  <c r="J8" i="6"/>
  <c r="M8" i="6" s="1"/>
  <c r="B3" i="6"/>
  <c r="B1" i="6" s="1"/>
  <c r="G10" i="6"/>
  <c r="C1" i="6"/>
  <c r="H10" i="6"/>
  <c r="K10" i="6" s="1"/>
  <c r="D1" i="6"/>
  <c r="E1" i="6"/>
  <c r="B2" i="6"/>
  <c r="G8" i="6"/>
  <c r="H12" i="6" l="1"/>
  <c r="K12" i="6" s="1"/>
  <c r="G12" i="6"/>
  <c r="H12" i="5"/>
  <c r="K12" i="5" s="1"/>
  <c r="R13" i="4"/>
  <c r="U13" i="4" s="1"/>
  <c r="Q13" i="4"/>
  <c r="T13" i="4" s="1"/>
  <c r="P13" i="4"/>
  <c r="S13" i="4" s="1"/>
  <c r="N10" i="4"/>
  <c r="O10" i="4" s="1"/>
  <c r="C33" i="4"/>
  <c r="F14" i="4"/>
  <c r="H14" i="4" s="1"/>
  <c r="K14" i="4" s="1"/>
  <c r="R11" i="4"/>
  <c r="U11" i="4" s="1"/>
  <c r="Q11" i="4"/>
  <c r="T11" i="4" s="1"/>
  <c r="P11" i="4"/>
  <c r="S11" i="4" s="1"/>
  <c r="N9" i="4"/>
  <c r="O9" i="4" s="1"/>
  <c r="E33" i="4"/>
  <c r="E42" i="4" s="1"/>
  <c r="E44" i="4" s="1"/>
  <c r="J14" i="4"/>
  <c r="M14" i="4" s="1"/>
  <c r="Q18" i="4"/>
  <c r="T18" i="4" s="1"/>
  <c r="P18" i="4"/>
  <c r="S18" i="4" s="1"/>
  <c r="R17" i="4"/>
  <c r="U17" i="4" s="1"/>
  <c r="Q17" i="4"/>
  <c r="T17" i="4" s="1"/>
  <c r="P17" i="4"/>
  <c r="S17" i="4" s="1"/>
  <c r="R16" i="4"/>
  <c r="U16" i="4" s="1"/>
  <c r="R8" i="4"/>
  <c r="U8" i="4" s="1"/>
  <c r="Q15" i="4"/>
  <c r="T15" i="4" s="1"/>
  <c r="Q16" i="4"/>
  <c r="T16" i="4" s="1"/>
  <c r="Q8" i="4"/>
  <c r="T8" i="4" s="1"/>
  <c r="P8" i="4"/>
  <c r="P16" i="4"/>
  <c r="S16" i="4" s="1"/>
  <c r="R15" i="4"/>
  <c r="U15" i="4" s="1"/>
  <c r="P15" i="4"/>
  <c r="S15" i="4" s="1"/>
  <c r="R18" i="4"/>
  <c r="U18" i="4" s="1"/>
  <c r="N12" i="4"/>
  <c r="O12" i="4" s="1"/>
  <c r="J12" i="5"/>
  <c r="M12" i="5" s="1"/>
  <c r="N9" i="5"/>
  <c r="O9" i="5" s="1"/>
  <c r="R11" i="5"/>
  <c r="U11" i="5" s="1"/>
  <c r="Q11" i="5"/>
  <c r="T11" i="5" s="1"/>
  <c r="P11" i="5"/>
  <c r="S11" i="5" s="1"/>
  <c r="D33" i="5"/>
  <c r="D42" i="5" s="1"/>
  <c r="D44" i="5" s="1"/>
  <c r="R13" i="5"/>
  <c r="U13" i="5" s="1"/>
  <c r="Q13" i="5"/>
  <c r="T13" i="5" s="1"/>
  <c r="P13" i="5"/>
  <c r="S13" i="5" s="1"/>
  <c r="F14" i="5"/>
  <c r="N10" i="5"/>
  <c r="O10" i="5" s="1"/>
  <c r="Q18" i="5"/>
  <c r="T18" i="5" s="1"/>
  <c r="P18" i="5"/>
  <c r="S18" i="5" s="1"/>
  <c r="R17" i="5"/>
  <c r="U17" i="5" s="1"/>
  <c r="Q17" i="5"/>
  <c r="T17" i="5" s="1"/>
  <c r="P8" i="5"/>
  <c r="P17" i="5"/>
  <c r="S17" i="5" s="1"/>
  <c r="R16" i="5"/>
  <c r="U16" i="5" s="1"/>
  <c r="R8" i="5"/>
  <c r="U8" i="5" s="1"/>
  <c r="Q16" i="5"/>
  <c r="T16" i="5" s="1"/>
  <c r="Q8" i="5"/>
  <c r="T8" i="5" s="1"/>
  <c r="P16" i="5"/>
  <c r="S16" i="5" s="1"/>
  <c r="R15" i="5"/>
  <c r="U15" i="5" s="1"/>
  <c r="R18" i="5"/>
  <c r="U18" i="5" s="1"/>
  <c r="Q15" i="5"/>
  <c r="T15" i="5" s="1"/>
  <c r="P15" i="5"/>
  <c r="S15" i="5" s="1"/>
  <c r="E33" i="5"/>
  <c r="E42" i="5" s="1"/>
  <c r="E44" i="5" s="1"/>
  <c r="I12" i="5"/>
  <c r="L12" i="5" s="1"/>
  <c r="I12" i="6"/>
  <c r="L12" i="6" s="1"/>
  <c r="N12" i="6" s="1"/>
  <c r="O12" i="6" s="1"/>
  <c r="P9" i="6"/>
  <c r="S9" i="6" s="1"/>
  <c r="R9" i="6"/>
  <c r="U9" i="6" s="1"/>
  <c r="Q9" i="6"/>
  <c r="T9" i="6" s="1"/>
  <c r="U8" i="6"/>
  <c r="I14" i="6"/>
  <c r="L14" i="6" s="1"/>
  <c r="N10" i="6"/>
  <c r="O10" i="6" s="1"/>
  <c r="R11" i="6"/>
  <c r="U11" i="6" s="1"/>
  <c r="Q11" i="6"/>
  <c r="T11" i="6" s="1"/>
  <c r="P11" i="6"/>
  <c r="S11" i="6" s="1"/>
  <c r="H14" i="6"/>
  <c r="K14" i="6" s="1"/>
  <c r="Q16" i="6"/>
  <c r="T16" i="6" s="1"/>
  <c r="P16" i="6"/>
  <c r="S16" i="6" s="1"/>
  <c r="R15" i="6"/>
  <c r="U15" i="6" s="1"/>
  <c r="R8" i="6"/>
  <c r="P15" i="6"/>
  <c r="S15" i="6" s="1"/>
  <c r="Q15" i="6"/>
  <c r="T15" i="6" s="1"/>
  <c r="Q8" i="6"/>
  <c r="T8" i="6" s="1"/>
  <c r="P8" i="6"/>
  <c r="R18" i="6"/>
  <c r="U18" i="6" s="1"/>
  <c r="Q18" i="6"/>
  <c r="T18" i="6" s="1"/>
  <c r="P17" i="6"/>
  <c r="S17" i="6" s="1"/>
  <c r="R16" i="6"/>
  <c r="U16" i="6" s="1"/>
  <c r="P18" i="6"/>
  <c r="S18" i="6" s="1"/>
  <c r="R17" i="6"/>
  <c r="U17" i="6" s="1"/>
  <c r="Q17" i="6"/>
  <c r="T17" i="6" s="1"/>
  <c r="J14" i="6"/>
  <c r="M14" i="6" s="1"/>
  <c r="Q13" i="6"/>
  <c r="T13" i="6" s="1"/>
  <c r="P13" i="6"/>
  <c r="S13" i="6" s="1"/>
  <c r="R13" i="6"/>
  <c r="U13" i="6" s="1"/>
  <c r="E13" i="2"/>
  <c r="D13" i="2"/>
  <c r="N12" i="5" l="1"/>
  <c r="O12" i="5" s="1"/>
  <c r="R12" i="5" s="1"/>
  <c r="U12" i="5" s="1"/>
  <c r="N14" i="4"/>
  <c r="O14" i="4" s="1"/>
  <c r="R10" i="4"/>
  <c r="U10" i="4" s="1"/>
  <c r="Q10" i="4"/>
  <c r="T10" i="4" s="1"/>
  <c r="P10" i="4"/>
  <c r="S10" i="4" s="1"/>
  <c r="P9" i="4"/>
  <c r="S9" i="4" s="1"/>
  <c r="R9" i="4"/>
  <c r="U9" i="4" s="1"/>
  <c r="Q9" i="4"/>
  <c r="T9" i="4" s="1"/>
  <c r="R12" i="4"/>
  <c r="U12" i="4" s="1"/>
  <c r="Q12" i="4"/>
  <c r="T12" i="4" s="1"/>
  <c r="P12" i="4"/>
  <c r="S12" i="4" s="1"/>
  <c r="G14" i="4"/>
  <c r="I14" i="4"/>
  <c r="L14" i="4" s="1"/>
  <c r="P7" i="4"/>
  <c r="S8" i="4"/>
  <c r="Q10" i="5"/>
  <c r="T10" i="5" s="1"/>
  <c r="P10" i="5"/>
  <c r="S10" i="5" s="1"/>
  <c r="R10" i="5"/>
  <c r="U10" i="5" s="1"/>
  <c r="G14" i="5"/>
  <c r="H14" i="5"/>
  <c r="K14" i="5" s="1"/>
  <c r="Q9" i="5"/>
  <c r="T9" i="5" s="1"/>
  <c r="R9" i="5"/>
  <c r="U9" i="5" s="1"/>
  <c r="P9" i="5"/>
  <c r="S9" i="5" s="1"/>
  <c r="P12" i="5"/>
  <c r="S12" i="5" s="1"/>
  <c r="Q12" i="5"/>
  <c r="T12" i="5" s="1"/>
  <c r="I14" i="5"/>
  <c r="L14" i="5" s="1"/>
  <c r="P7" i="5"/>
  <c r="S8" i="5"/>
  <c r="J14" i="5"/>
  <c r="M14" i="5" s="1"/>
  <c r="R12" i="6"/>
  <c r="U12" i="6" s="1"/>
  <c r="Q12" i="6"/>
  <c r="T12" i="6" s="1"/>
  <c r="P12" i="6"/>
  <c r="S12" i="6" s="1"/>
  <c r="R10" i="6"/>
  <c r="U10" i="6" s="1"/>
  <c r="Q10" i="6"/>
  <c r="T10" i="6" s="1"/>
  <c r="P10" i="6"/>
  <c r="S10" i="6" s="1"/>
  <c r="P7" i="6"/>
  <c r="S8" i="6"/>
  <c r="N14" i="6"/>
  <c r="O14" i="6" s="1"/>
  <c r="R14" i="4" l="1"/>
  <c r="U14" i="4" s="1"/>
  <c r="Q14" i="4"/>
  <c r="T14" i="4" s="1"/>
  <c r="P14" i="4"/>
  <c r="S14" i="4" s="1"/>
  <c r="N14" i="5"/>
  <c r="O14" i="5" s="1"/>
  <c r="R14" i="6"/>
  <c r="U14" i="6" s="1"/>
  <c r="Q14" i="6"/>
  <c r="T14" i="6" s="1"/>
  <c r="P14" i="6"/>
  <c r="S14" i="6" s="1"/>
  <c r="G17" i="3"/>
  <c r="C13" i="2"/>
  <c r="B13" i="2"/>
  <c r="F8" i="3"/>
  <c r="F6" i="3"/>
  <c r="F5" i="3"/>
  <c r="F4" i="3"/>
  <c r="J19" i="3"/>
  <c r="K19" i="3"/>
  <c r="L19" i="3"/>
  <c r="I23" i="3"/>
  <c r="J23" i="3"/>
  <c r="K23" i="3"/>
  <c r="L23" i="3"/>
  <c r="J18" i="3"/>
  <c r="K18" i="3"/>
  <c r="L18" i="3"/>
  <c r="P14" i="5" l="1"/>
  <c r="S14" i="5" s="1"/>
  <c r="R14" i="5"/>
  <c r="U14" i="5" s="1"/>
  <c r="Q14" i="5"/>
  <c r="T14" i="5" s="1"/>
  <c r="D24" i="3"/>
  <c r="C24" i="3"/>
  <c r="B23" i="3"/>
  <c r="B22" i="3"/>
  <c r="B21" i="3"/>
  <c r="B20" i="3"/>
  <c r="B19" i="3"/>
  <c r="B18" i="3"/>
  <c r="B24" i="3" l="1"/>
  <c r="B3" i="2" a="1"/>
  <c r="B3" i="2" s="1"/>
  <c r="B1" i="2" s="1"/>
  <c r="I20" i="8" s="1"/>
  <c r="D1" i="2" l="1"/>
  <c r="K20" i="3" s="1"/>
  <c r="B2" i="2"/>
  <c r="E1" i="2"/>
  <c r="L20" i="3" s="1"/>
  <c r="D2" i="2"/>
  <c r="K21" i="3" s="1"/>
  <c r="C1" i="2"/>
  <c r="J20" i="3" s="1"/>
  <c r="E2" i="2"/>
  <c r="L21" i="3" s="1"/>
  <c r="C2" i="2"/>
  <c r="J21" i="3" s="1"/>
  <c r="D35" i="3"/>
  <c r="D34" i="3"/>
  <c r="D33" i="3"/>
  <c r="E24" i="3"/>
  <c r="J13" i="3"/>
  <c r="M13" i="3" s="1"/>
  <c r="I13" i="3"/>
  <c r="L13" i="3" s="1"/>
  <c r="H13" i="3"/>
  <c r="K13" i="3" s="1"/>
  <c r="J12" i="3"/>
  <c r="M12" i="3" s="1"/>
  <c r="I12" i="3"/>
  <c r="L12" i="3" s="1"/>
  <c r="H12" i="3"/>
  <c r="K12" i="3" s="1"/>
  <c r="J11" i="3"/>
  <c r="M11" i="3" s="1"/>
  <c r="I11" i="3"/>
  <c r="L11" i="3" s="1"/>
  <c r="H11" i="3"/>
  <c r="K11" i="3" s="1"/>
  <c r="N11" i="3" s="1"/>
  <c r="O11" i="3" s="1"/>
  <c r="J10" i="3"/>
  <c r="M10" i="3" s="1"/>
  <c r="I10" i="3"/>
  <c r="L10" i="3" s="1"/>
  <c r="H10" i="3"/>
  <c r="K10" i="3" s="1"/>
  <c r="J8" i="3"/>
  <c r="M8" i="3" s="1"/>
  <c r="J6" i="3"/>
  <c r="M6" i="3" s="1"/>
  <c r="F3" i="3"/>
  <c r="J3" i="3" s="1"/>
  <c r="M3" i="3" s="1"/>
  <c r="E7" i="3" l="1"/>
  <c r="C5" i="2"/>
  <c r="D7" i="3"/>
  <c r="J4" i="3"/>
  <c r="M4" i="3" s="1"/>
  <c r="C7" i="3"/>
  <c r="F7" i="3" s="1"/>
  <c r="N12" i="3"/>
  <c r="O12" i="3" s="1"/>
  <c r="G5" i="3"/>
  <c r="G8" i="3"/>
  <c r="H8" i="3"/>
  <c r="K8" i="3" s="1"/>
  <c r="I8" i="3"/>
  <c r="L8" i="3" s="1"/>
  <c r="N10" i="3"/>
  <c r="O10" i="3" s="1"/>
  <c r="G3" i="3"/>
  <c r="G6" i="3"/>
  <c r="H3" i="3"/>
  <c r="K3" i="3" s="1"/>
  <c r="H6" i="3"/>
  <c r="K6" i="3" s="1"/>
  <c r="I3" i="3"/>
  <c r="L3" i="3" s="1"/>
  <c r="I6" i="3"/>
  <c r="L6" i="3" s="1"/>
  <c r="N13" i="3"/>
  <c r="O13" i="3" s="1"/>
  <c r="D12" i="2" l="1"/>
  <c r="D14" i="2" s="1"/>
  <c r="K22" i="3"/>
  <c r="C9" i="3"/>
  <c r="B28" i="3"/>
  <c r="B36" i="3" s="1"/>
  <c r="B38" i="3" s="1"/>
  <c r="E9" i="3"/>
  <c r="H4" i="3"/>
  <c r="K4" i="3" s="1"/>
  <c r="G4" i="3"/>
  <c r="I4" i="3"/>
  <c r="L4" i="3" s="1"/>
  <c r="D9" i="3"/>
  <c r="I7" i="3"/>
  <c r="L7" i="3" s="1"/>
  <c r="H5" i="3"/>
  <c r="K5" i="3" s="1"/>
  <c r="J5" i="3"/>
  <c r="M5" i="3" s="1"/>
  <c r="I5" i="3"/>
  <c r="L5" i="3" s="1"/>
  <c r="N3" i="3"/>
  <c r="O3" i="3" s="1"/>
  <c r="N8" i="3"/>
  <c r="O8" i="3" s="1"/>
  <c r="N6" i="3"/>
  <c r="O6" i="3" s="1"/>
  <c r="F9" i="3" l="1"/>
  <c r="G9" i="3" s="1"/>
  <c r="D28" i="3"/>
  <c r="D36" i="3" s="1"/>
  <c r="D38" i="3" s="1"/>
  <c r="C28" i="3"/>
  <c r="N4" i="3"/>
  <c r="O4" i="3" s="1"/>
  <c r="Q4" i="3" s="1"/>
  <c r="T4" i="3" s="1"/>
  <c r="E28" i="3"/>
  <c r="E36" i="3" s="1"/>
  <c r="E38" i="3" s="1"/>
  <c r="G7" i="3"/>
  <c r="J7" i="3"/>
  <c r="M7" i="3" s="1"/>
  <c r="H7" i="3"/>
  <c r="K7" i="3" s="1"/>
  <c r="N5" i="3"/>
  <c r="O5" i="3" s="1"/>
  <c r="R5" i="3" s="1"/>
  <c r="U5" i="3" s="1"/>
  <c r="R8" i="3"/>
  <c r="U8" i="3" s="1"/>
  <c r="Q8" i="3"/>
  <c r="T8" i="3" s="1"/>
  <c r="P8" i="3"/>
  <c r="S8" i="3" s="1"/>
  <c r="R12" i="3"/>
  <c r="U12" i="3" s="1"/>
  <c r="Q11" i="3"/>
  <c r="T11" i="3" s="1"/>
  <c r="P11" i="3"/>
  <c r="S11" i="3" s="1"/>
  <c r="R13" i="3"/>
  <c r="U13" i="3" s="1"/>
  <c r="Q13" i="3"/>
  <c r="T13" i="3" s="1"/>
  <c r="P13" i="3"/>
  <c r="S13" i="3" s="1"/>
  <c r="R3" i="3"/>
  <c r="U3" i="3" s="1"/>
  <c r="Q3" i="3"/>
  <c r="T3" i="3" s="1"/>
  <c r="R10" i="3"/>
  <c r="U10" i="3" s="1"/>
  <c r="P3" i="3"/>
  <c r="Q10" i="3"/>
  <c r="T10" i="3" s="1"/>
  <c r="Q12" i="3"/>
  <c r="T12" i="3" s="1"/>
  <c r="P12" i="3"/>
  <c r="S12" i="3" s="1"/>
  <c r="P10" i="3"/>
  <c r="S10" i="3" s="1"/>
  <c r="R11" i="3"/>
  <c r="U11" i="3" s="1"/>
  <c r="R6" i="3"/>
  <c r="U6" i="3" s="1"/>
  <c r="Q6" i="3"/>
  <c r="T6" i="3" s="1"/>
  <c r="P6" i="3"/>
  <c r="S6" i="3" s="1"/>
  <c r="N7" i="3" l="1"/>
  <c r="O7" i="3" s="1"/>
  <c r="P4" i="3"/>
  <c r="S4" i="3" s="1"/>
  <c r="R4" i="3"/>
  <c r="U4" i="3" s="1"/>
  <c r="H9" i="3"/>
  <c r="K9" i="3" s="1"/>
  <c r="I9" i="3"/>
  <c r="L9" i="3" s="1"/>
  <c r="J9" i="3"/>
  <c r="M9" i="3" s="1"/>
  <c r="P5" i="3"/>
  <c r="S5" i="3" s="1"/>
  <c r="Q5" i="3"/>
  <c r="T5" i="3" s="1"/>
  <c r="P2" i="3"/>
  <c r="S3" i="3"/>
  <c r="Q7" i="3" l="1"/>
  <c r="T7" i="3" s="1"/>
  <c r="R7" i="3"/>
  <c r="U7" i="3" s="1"/>
  <c r="P7" i="3"/>
  <c r="S7" i="3" s="1"/>
  <c r="N9" i="3"/>
  <c r="O9" i="3" s="1"/>
  <c r="R9" i="3" s="1"/>
  <c r="U9" i="3" s="1"/>
  <c r="P9" i="3" l="1"/>
  <c r="S9" i="3" s="1"/>
  <c r="Q9" i="3"/>
  <c r="T9" i="3" s="1"/>
  <c r="F13" i="2"/>
  <c r="G13" i="2" s="1"/>
  <c r="C12" i="2"/>
  <c r="J22" i="3" l="1"/>
  <c r="C14" i="2"/>
  <c r="F11" i="2"/>
  <c r="H11" i="2" s="1"/>
  <c r="H13" i="2"/>
  <c r="K13" i="2" s="1"/>
  <c r="D41" i="2"/>
  <c r="D40" i="2"/>
  <c r="D39" i="2"/>
  <c r="I18" i="2"/>
  <c r="L18" i="2" s="1"/>
  <c r="H18" i="2"/>
  <c r="K18" i="2" s="1"/>
  <c r="J18" i="2"/>
  <c r="M18" i="2" s="1"/>
  <c r="I17" i="2"/>
  <c r="L17" i="2" s="1"/>
  <c r="H17" i="2"/>
  <c r="K17" i="2" s="1"/>
  <c r="J17" i="2"/>
  <c r="M17" i="2" s="1"/>
  <c r="I16" i="2"/>
  <c r="L16" i="2" s="1"/>
  <c r="H16" i="2"/>
  <c r="K16" i="2" s="1"/>
  <c r="J16" i="2"/>
  <c r="M16" i="2" s="1"/>
  <c r="I15" i="2"/>
  <c r="L15" i="2" s="1"/>
  <c r="H15" i="2"/>
  <c r="K15" i="2" s="1"/>
  <c r="J15" i="2"/>
  <c r="M15" i="2" s="1"/>
  <c r="B21" i="1"/>
  <c r="D33" i="2" l="1"/>
  <c r="D42" i="2" s="1"/>
  <c r="D44" i="2" s="1"/>
  <c r="K24" i="3"/>
  <c r="I11" i="2"/>
  <c r="J13" i="2"/>
  <c r="M13" i="2" s="1"/>
  <c r="I13" i="2"/>
  <c r="L13" i="2" s="1"/>
  <c r="J11" i="2"/>
  <c r="N15" i="2"/>
  <c r="O15" i="2" s="1"/>
  <c r="N16" i="2"/>
  <c r="O16" i="2" s="1"/>
  <c r="N17" i="2"/>
  <c r="O17" i="2" s="1"/>
  <c r="N18" i="2"/>
  <c r="O18" i="2" s="1"/>
  <c r="F4" i="1"/>
  <c r="I4" i="1" s="1"/>
  <c r="G4" i="1"/>
  <c r="J4" i="1" s="1"/>
  <c r="H4" i="1"/>
  <c r="K4" i="1" s="1"/>
  <c r="F5" i="1"/>
  <c r="G5" i="1"/>
  <c r="H5" i="1"/>
  <c r="I5" i="1"/>
  <c r="J5" i="1"/>
  <c r="K5" i="1"/>
  <c r="L5" i="1"/>
  <c r="M5" i="1" s="1"/>
  <c r="F6" i="1"/>
  <c r="I6" i="1" s="1"/>
  <c r="G6" i="1"/>
  <c r="H6" i="1"/>
  <c r="K6" i="1" s="1"/>
  <c r="J6" i="1"/>
  <c r="F8" i="1"/>
  <c r="G8" i="1"/>
  <c r="J8" i="1" s="1"/>
  <c r="H8" i="1"/>
  <c r="K8" i="1" s="1"/>
  <c r="I8" i="1"/>
  <c r="B7" i="1"/>
  <c r="D7" i="1"/>
  <c r="G7" i="1" s="1"/>
  <c r="J7" i="1" s="1"/>
  <c r="E7" i="1"/>
  <c r="E9" i="1" s="1"/>
  <c r="C7" i="1"/>
  <c r="F7" i="1" s="1"/>
  <c r="I7" i="1" s="1"/>
  <c r="E10" i="1"/>
  <c r="E11" i="1"/>
  <c r="E12" i="1"/>
  <c r="E13" i="1"/>
  <c r="C33" i="2" l="1"/>
  <c r="J24" i="3"/>
  <c r="N13" i="2"/>
  <c r="O13" i="2" s="1"/>
  <c r="R13" i="2"/>
  <c r="U13" i="2" s="1"/>
  <c r="Q13" i="2"/>
  <c r="T13" i="2" s="1"/>
  <c r="P13" i="2"/>
  <c r="S13" i="2" s="1"/>
  <c r="H7" i="1"/>
  <c r="K7" i="1" s="1"/>
  <c r="N5" i="1"/>
  <c r="Q5" i="1" s="1"/>
  <c r="O5" i="1"/>
  <c r="R5" i="1" s="1"/>
  <c r="P5" i="1"/>
  <c r="S5" i="1" s="1"/>
  <c r="L4" i="1"/>
  <c r="M4" i="1" s="1"/>
  <c r="N4" i="1" s="1"/>
  <c r="Q4" i="1" s="1"/>
  <c r="L7" i="1"/>
  <c r="M7" i="1" s="1"/>
  <c r="L8" i="1"/>
  <c r="M8" i="1" s="1"/>
  <c r="L6" i="1"/>
  <c r="M6" i="1" s="1"/>
  <c r="P4" i="1" l="1"/>
  <c r="S4" i="1" s="1"/>
  <c r="O4" i="1"/>
  <c r="R4" i="1" s="1"/>
  <c r="O7" i="1"/>
  <c r="R7" i="1" s="1"/>
  <c r="P7" i="1"/>
  <c r="S7" i="1" s="1"/>
  <c r="N7" i="1"/>
  <c r="Q7" i="1" s="1"/>
  <c r="N8" i="1"/>
  <c r="Q8" i="1" s="1"/>
  <c r="O8" i="1"/>
  <c r="R8" i="1" s="1"/>
  <c r="P8" i="1"/>
  <c r="S8" i="1" s="1"/>
  <c r="N6" i="1"/>
  <c r="Q6" i="1" s="1"/>
  <c r="O6" i="1"/>
  <c r="R6" i="1" s="1"/>
  <c r="P6" i="1"/>
  <c r="S6" i="1" s="1"/>
  <c r="F10" i="1" l="1"/>
  <c r="G10" i="1"/>
  <c r="I10" i="1"/>
  <c r="J10" i="1"/>
  <c r="F11" i="1"/>
  <c r="I11" i="1" s="1"/>
  <c r="G11" i="1"/>
  <c r="J11" i="1"/>
  <c r="F12" i="1"/>
  <c r="I12" i="1" s="1"/>
  <c r="G12" i="1"/>
  <c r="J12" i="1" s="1"/>
  <c r="F13" i="1"/>
  <c r="I13" i="1" s="1"/>
  <c r="G13" i="1"/>
  <c r="J13" i="1" s="1"/>
  <c r="G3" i="1"/>
  <c r="J3" i="1" s="1"/>
  <c r="H3" i="1"/>
  <c r="K3" i="1" s="1"/>
  <c r="F3" i="1"/>
  <c r="I3" i="1" s="1"/>
  <c r="D9" i="1"/>
  <c r="C24" i="1"/>
  <c r="D24" i="1"/>
  <c r="E24" i="1"/>
  <c r="E28" i="1" s="1"/>
  <c r="B23" i="1"/>
  <c r="B22" i="1"/>
  <c r="B20" i="1"/>
  <c r="B19" i="1"/>
  <c r="B18" i="1"/>
  <c r="B24" i="1" s="1"/>
  <c r="C9" i="1"/>
  <c r="L3" i="1" l="1"/>
  <c r="C28" i="1"/>
  <c r="D28" i="1"/>
  <c r="M3" i="1" l="1"/>
  <c r="N10" i="1"/>
  <c r="Q10" i="1" s="1"/>
  <c r="P3" i="1" l="1"/>
  <c r="S3" i="1" s="1"/>
  <c r="O3" i="1"/>
  <c r="R3" i="1" s="1"/>
  <c r="N13" i="1"/>
  <c r="Q13" i="1" s="1"/>
  <c r="N3" i="1"/>
  <c r="Q3" i="1" s="1"/>
  <c r="O13" i="1"/>
  <c r="R13" i="1" s="1"/>
  <c r="N11" i="1"/>
  <c r="Q11" i="1" s="1"/>
  <c r="O11" i="1"/>
  <c r="R11" i="1" s="1"/>
  <c r="N12" i="1"/>
  <c r="Q12" i="1" s="1"/>
  <c r="O12" i="1"/>
  <c r="R12" i="1" s="1"/>
  <c r="O10" i="1"/>
  <c r="R10" i="1" s="1"/>
  <c r="D35" i="1"/>
  <c r="D34" i="1"/>
  <c r="D33" i="1"/>
  <c r="B9" i="1" l="1"/>
  <c r="D36" i="1"/>
  <c r="D38" i="1" s="1"/>
  <c r="H13" i="1"/>
  <c r="E36" i="1"/>
  <c r="H11" i="1"/>
  <c r="H10" i="1"/>
  <c r="H12" i="1"/>
  <c r="H9" i="1" l="1"/>
  <c r="K9" i="1" s="1"/>
  <c r="F9" i="1"/>
  <c r="I9" i="1" s="1"/>
  <c r="G9" i="1"/>
  <c r="J9" i="1" s="1"/>
  <c r="B28" i="1"/>
  <c r="B36" i="1" s="1"/>
  <c r="B38" i="1" s="1"/>
  <c r="K11" i="1"/>
  <c r="L11" i="1" s="1"/>
  <c r="M11" i="1" s="1"/>
  <c r="P11" i="1"/>
  <c r="K12" i="1"/>
  <c r="L12" i="1" s="1"/>
  <c r="M12" i="1" s="1"/>
  <c r="P12" i="1"/>
  <c r="S12" i="1" s="1"/>
  <c r="K10" i="1"/>
  <c r="P10" i="1"/>
  <c r="K13" i="1"/>
  <c r="L13" i="1" s="1"/>
  <c r="M13" i="1" s="1"/>
  <c r="P13" i="1"/>
  <c r="S13" i="1" s="1"/>
  <c r="E38" i="1"/>
  <c r="L9" i="1" l="1"/>
  <c r="M9" i="1" s="1"/>
  <c r="S11" i="1"/>
  <c r="L10" i="1"/>
  <c r="M10" i="1" s="1"/>
  <c r="S10" i="1"/>
  <c r="P9" i="1" l="1"/>
  <c r="S9" i="1" s="1"/>
  <c r="O9" i="1"/>
  <c r="R9" i="1" s="1"/>
  <c r="N9" i="1"/>
  <c r="Q9" i="1" s="1"/>
  <c r="F10" i="2" l="1"/>
  <c r="I10" i="2" s="1"/>
  <c r="F9" i="2"/>
  <c r="J9" i="2" s="1"/>
  <c r="E5" i="2"/>
  <c r="H9" i="2" l="1"/>
  <c r="F8" i="2"/>
  <c r="E12" i="2"/>
  <c r="E14" i="2" s="1"/>
  <c r="J10" i="2"/>
  <c r="H10" i="2"/>
  <c r="I9" i="2"/>
  <c r="F12" i="2" l="1"/>
  <c r="J12" i="2" s="1"/>
  <c r="L22" i="3"/>
  <c r="F14" i="2"/>
  <c r="I14" i="2" s="1"/>
  <c r="I8" i="2"/>
  <c r="H8" i="2"/>
  <c r="J8" i="2"/>
  <c r="I12" i="2" l="1"/>
  <c r="H12" i="2"/>
  <c r="J14" i="2"/>
  <c r="E33" i="2"/>
  <c r="E42" i="2" s="1"/>
  <c r="E44" i="2" s="1"/>
  <c r="L24" i="3"/>
  <c r="H14" i="2"/>
  <c r="I20" i="3" l="1"/>
  <c r="I19" i="3"/>
  <c r="M9" i="2" l="1"/>
  <c r="L10" i="2"/>
  <c r="N10" i="2" s="1"/>
  <c r="O10" i="2" s="1"/>
  <c r="M11" i="2"/>
  <c r="G10" i="2"/>
  <c r="K10" i="2"/>
  <c r="G9" i="2"/>
  <c r="K11" i="2"/>
  <c r="K9" i="2"/>
  <c r="L9" i="2"/>
  <c r="M10" i="2"/>
  <c r="B5" i="2"/>
  <c r="N9" i="2" l="1"/>
  <c r="O9" i="2" s="1"/>
  <c r="R9" i="2" s="1"/>
  <c r="U9" i="2" s="1"/>
  <c r="K8" i="2"/>
  <c r="I18" i="8"/>
  <c r="I18" i="3"/>
  <c r="G11" i="2"/>
  <c r="I21" i="8"/>
  <c r="I21" i="3"/>
  <c r="P10" i="2"/>
  <c r="S10" i="2" s="1"/>
  <c r="Q10" i="2"/>
  <c r="T10" i="2" s="1"/>
  <c r="R10" i="2"/>
  <c r="U10" i="2" s="1"/>
  <c r="L11" i="2"/>
  <c r="M8" i="2"/>
  <c r="B12" i="2"/>
  <c r="G8" i="2"/>
  <c r="L8" i="2"/>
  <c r="P9" i="2" l="1"/>
  <c r="S9" i="2" s="1"/>
  <c r="Q9" i="2"/>
  <c r="T9" i="2" s="1"/>
  <c r="I22" i="8"/>
  <c r="I22" i="3"/>
  <c r="N11" i="2"/>
  <c r="O11" i="2" s="1"/>
  <c r="K12" i="2"/>
  <c r="G12" i="2"/>
  <c r="M12" i="2"/>
  <c r="B14" i="2"/>
  <c r="L12" i="2"/>
  <c r="N8" i="2"/>
  <c r="O8" i="2" s="1"/>
  <c r="I24" i="8" l="1"/>
  <c r="I24" i="3"/>
  <c r="B33" i="2"/>
  <c r="B42" i="2" s="1"/>
  <c r="B44" i="2" s="1"/>
  <c r="G14" i="2"/>
  <c r="M14" i="2"/>
  <c r="L14" i="2"/>
  <c r="K14" i="2"/>
  <c r="N12" i="2"/>
  <c r="O12" i="2" s="1"/>
  <c r="R15" i="2"/>
  <c r="U15" i="2" s="1"/>
  <c r="Q17" i="2"/>
  <c r="T17" i="2" s="1"/>
  <c r="Q18" i="2"/>
  <c r="T18" i="2" s="1"/>
  <c r="R8" i="2"/>
  <c r="U8" i="2" s="1"/>
  <c r="P16" i="2"/>
  <c r="S16" i="2" s="1"/>
  <c r="P8" i="2"/>
  <c r="P17" i="2"/>
  <c r="S17" i="2" s="1"/>
  <c r="R17" i="2"/>
  <c r="U17" i="2" s="1"/>
  <c r="Q8" i="2"/>
  <c r="T8" i="2" s="1"/>
  <c r="Q15" i="2"/>
  <c r="T15" i="2" s="1"/>
  <c r="R18" i="2"/>
  <c r="U18" i="2" s="1"/>
  <c r="Q16" i="2"/>
  <c r="T16" i="2" s="1"/>
  <c r="P15" i="2"/>
  <c r="S15" i="2" s="1"/>
  <c r="R16" i="2"/>
  <c r="U16" i="2" s="1"/>
  <c r="P18" i="2"/>
  <c r="S18" i="2" s="1"/>
  <c r="Q11" i="2"/>
  <c r="T11" i="2" s="1"/>
  <c r="R11" i="2"/>
  <c r="U11" i="2" s="1"/>
  <c r="P11" i="2"/>
  <c r="S11" i="2" s="1"/>
  <c r="R12" i="2" l="1"/>
  <c r="U12" i="2" s="1"/>
  <c r="Q12" i="2"/>
  <c r="T12" i="2" s="1"/>
  <c r="P12" i="2"/>
  <c r="S12" i="2" s="1"/>
  <c r="N14" i="2"/>
  <c r="O14" i="2" s="1"/>
  <c r="P7" i="2"/>
  <c r="S8" i="2"/>
  <c r="P14" i="2" l="1"/>
  <c r="S14" i="2" s="1"/>
  <c r="R14" i="2"/>
  <c r="U14" i="2" s="1"/>
  <c r="Q14" i="2"/>
  <c r="T1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<sst xmlns="http://schemas.openxmlformats.org/spreadsheetml/2006/main" count="330" uniqueCount="33">
  <si>
    <t xml:space="preserve">Total </t>
  </si>
  <si>
    <t>Siniya</t>
  </si>
  <si>
    <t>Sobha</t>
  </si>
  <si>
    <t>Dues</t>
  </si>
  <si>
    <t>Advance</t>
  </si>
  <si>
    <t>Current year advance</t>
  </si>
  <si>
    <t>Future years advance</t>
  </si>
  <si>
    <t>Dues+ Advance</t>
  </si>
  <si>
    <t>New Sales</t>
  </si>
  <si>
    <t>Total Collections</t>
  </si>
  <si>
    <t>DLD</t>
  </si>
  <si>
    <t>Other charges</t>
  </si>
  <si>
    <t>Total Realised money</t>
  </si>
  <si>
    <t>Other charges Type</t>
  </si>
  <si>
    <t>Grand Total</t>
  </si>
  <si>
    <t xml:space="preserve">Late Payment Charges </t>
  </si>
  <si>
    <t>Cheque Dishonoured Charges</t>
  </si>
  <si>
    <t xml:space="preserve"> NOC/Admin </t>
  </si>
  <si>
    <t xml:space="preserve"> Delayed handover </t>
  </si>
  <si>
    <t xml:space="preserve"> Upkeep/maintenance </t>
  </si>
  <si>
    <t xml:space="preserve"> Grand Total </t>
  </si>
  <si>
    <t xml:space="preserve"> DLD Forfeiture amount </t>
  </si>
  <si>
    <t xml:space="preserve"> CRM forfeiture amount </t>
  </si>
  <si>
    <t>Breakup of Dues and Advance</t>
  </si>
  <si>
    <t>Other charges  and DLD</t>
  </si>
  <si>
    <t>Down Town</t>
  </si>
  <si>
    <t>Paste</t>
  </si>
  <si>
    <t xml:space="preserve">Plot - Construction Commencement/ Completion Delay </t>
  </si>
  <si>
    <t>Difference in advance to be added in Dues</t>
  </si>
  <si>
    <t xml:space="preserve"> </t>
  </si>
  <si>
    <t>****Receipt Data has been considered as of 05.01.2026 where receipt GL date is 31.12.2025 and DLD is updated on actual values (No unidentified adjusted in DLD)</t>
  </si>
  <si>
    <t xml:space="preserve">**Receipt Data has been considered as of 31.01.2026 (GL date) and DLD is updated on actual values (No unidentified adjusted in DLD) </t>
  </si>
  <si>
    <t>** Total value has been dropped by 1.8 M and New sale value dropped by 44.4M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</si>
</sst>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Tahoma"/>
      <family val="2"/>
    </font>
    <font>
      <b/>
      <sz val="10.5"/>
      <color theme="1"/>
      <name val="Tahoma"/>
      <family val="2"/>
    </font>
    <font>
      <sz val="10.5"/>
      <color theme="1"/>
      <name val="Tahoma"/>
      <family val="2"/>
    </font>
    <font>
      <b/>
      <i/>
      <sz val="8"/>
      <color theme="1"/>
      <name val="Tahoma"/>
      <family val="2"/>
    </font>
    <font>
      <sz val="11"/>
      <color rgb="FFFF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0.5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9">
    <xf numFmtId="0" fontId="0" fillId="0" borderId="0" xfId="0"/>
    <xf numFmtId="43" fontId="0" fillId="0" borderId="0" xfId="1" applyFont="1"/>
    <xf numFmtId="43" fontId="0" fillId="0" borderId="0" xfId="0" applyNumberFormat="1"/>
    <xf numFmtId="3" fontId="0" fillId="0" borderId="0" xfId="0" applyNumberFormat="1"/>
    <xf numFmtId="0" fontId="2" fillId="3" borderId="1" xfId="1" applyNumberFormat="1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43" fontId="3" fillId="0" borderId="1" xfId="1" applyFont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43" fontId="4" fillId="0" borderId="1" xfId="1" applyFont="1" applyBorder="1" applyAlignment="1">
      <alignment horizontal="left" indent="2"/>
    </xf>
    <xf numFmtId="165" fontId="4" fillId="0" borderId="1" xfId="1" applyNumberFormat="1" applyFont="1" applyBorder="1" applyAlignment="1">
      <alignment horizontal="center"/>
    </xf>
    <xf numFmtId="43" fontId="3" fillId="2" borderId="1" xfId="1" applyFont="1" applyFill="1" applyBorder="1" applyAlignment="1">
      <alignment horizontal="left"/>
    </xf>
    <xf numFmtId="165" fontId="3" fillId="2" borderId="1" xfId="1" applyNumberFormat="1" applyFont="1" applyFill="1" applyBorder="1" applyAlignment="1">
      <alignment horizontal="center"/>
    </xf>
    <xf numFmtId="43" fontId="2" fillId="3" borderId="1" xfId="1" applyFont="1" applyFill="1" applyBorder="1" applyAlignment="1">
      <alignment horizontal="left"/>
    </xf>
    <xf numFmtId="165" fontId="2" fillId="3" borderId="1" xfId="1" applyNumberFormat="1" applyFont="1" applyFill="1" applyBorder="1" applyAlignment="1">
      <alignment horizontal="center"/>
    </xf>
    <xf numFmtId="43" fontId="3" fillId="4" borderId="1" xfId="1" applyFont="1" applyFill="1" applyBorder="1" applyAlignment="1">
      <alignment horizontal="left"/>
    </xf>
    <xf numFmtId="165" fontId="3" fillId="4" borderId="1" xfId="1" applyNumberFormat="1" applyFont="1" applyFill="1" applyBorder="1"/>
    <xf numFmtId="43" fontId="4" fillId="0" borderId="0" xfId="1" applyFont="1"/>
    <xf numFmtId="43" fontId="2" fillId="6" borderId="1" xfId="1" applyFont="1" applyFill="1" applyBorder="1"/>
    <xf numFmtId="165" fontId="3" fillId="4" borderId="1" xfId="1" applyNumberFormat="1" applyFont="1" applyFill="1" applyBorder="1" applyAlignment="1">
      <alignment horizontal="left"/>
    </xf>
    <xf numFmtId="165" fontId="2" fillId="6" borderId="1" xfId="1" applyNumberFormat="1" applyFont="1" applyFill="1" applyBorder="1"/>
    <xf numFmtId="9" fontId="0" fillId="0" borderId="0" xfId="0" applyNumberFormat="1"/>
    <xf numFmtId="165" fontId="0" fillId="0" borderId="0" xfId="0" applyNumberFormat="1"/>
    <xf numFmtId="165" fontId="3" fillId="7" borderId="1" xfId="1" applyNumberFormat="1" applyFont="1" applyFill="1" applyBorder="1" applyAlignment="1">
      <alignment horizontal="center"/>
    </xf>
    <xf numFmtId="43" fontId="2" fillId="8" borderId="1" xfId="1" applyFont="1" applyFill="1" applyBorder="1" applyAlignment="1">
      <alignment horizontal="left"/>
    </xf>
    <xf numFmtId="165" fontId="3" fillId="0" borderId="0" xfId="1" applyNumberFormat="1" applyFont="1" applyFill="1" applyBorder="1" applyAlignment="1">
      <alignment horizontal="center"/>
    </xf>
    <xf numFmtId="4" fontId="0" fillId="0" borderId="0" xfId="0" applyNumberFormat="1"/>
    <xf numFmtId="43" fontId="2" fillId="5" borderId="0" xfId="1" applyFont="1" applyFill="1" applyBorder="1" applyAlignment="1">
      <alignment horizontal="center"/>
    </xf>
    <xf numFmtId="43" fontId="2" fillId="3" borderId="0" xfId="1" applyFont="1" applyFill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5" fontId="3" fillId="4" borderId="0" xfId="1" applyNumberFormat="1" applyFont="1" applyFill="1" applyBorder="1" applyAlignment="1">
      <alignment horizontal="left"/>
    </xf>
    <xf numFmtId="165" fontId="3" fillId="4" borderId="0" xfId="1" applyNumberFormat="1" applyFont="1" applyFill="1" applyBorder="1"/>
    <xf numFmtId="165" fontId="2" fillId="3" borderId="0" xfId="1" applyNumberFormat="1" applyFont="1" applyFill="1" applyBorder="1" applyAlignment="1">
      <alignment horizontal="center"/>
    </xf>
    <xf numFmtId="165" fontId="3" fillId="7" borderId="0" xfId="1" applyNumberFormat="1" applyFont="1" applyFill="1" applyBorder="1" applyAlignment="1">
      <alignment horizontal="center"/>
    </xf>
    <xf numFmtId="165" fontId="2" fillId="6" borderId="0" xfId="1" applyNumberFormat="1" applyFont="1" applyFill="1" applyBorder="1"/>
    <xf numFmtId="43" fontId="5" fillId="0" borderId="0" xfId="1" applyFont="1"/>
    <xf numFmtId="9" fontId="4" fillId="0" borderId="0" xfId="1" applyNumberFormat="1" applyFont="1"/>
    <xf numFmtId="9" fontId="0" fillId="0" borderId="0" xfId="1" applyNumberFormat="1" applyFont="1"/>
    <xf numFmtId="4" fontId="4" fillId="0" borderId="0" xfId="1" applyNumberFormat="1" applyFont="1"/>
    <xf numFmtId="3" fontId="4" fillId="0" borderId="0" xfId="1" applyNumberFormat="1" applyFont="1"/>
    <xf numFmtId="43" fontId="5" fillId="0" borderId="0" xfId="1" applyFont="1" applyAlignment="1"/>
    <xf numFmtId="43" fontId="2" fillId="5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3" fillId="0" borderId="1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43" fontId="7" fillId="10" borderId="0" xfId="0" applyNumberFormat="1" applyFont="1" applyFill="1"/>
    <xf numFmtId="165" fontId="8" fillId="0" borderId="1" xfId="1" applyNumberFormat="1" applyFont="1" applyBorder="1" applyAlignment="1">
      <alignment horizontal="center"/>
    </xf>
  </cellXfs>
  <cellStyles count="4">
    <cellStyle name="Comma" xfId="1" builtinId="3"/>
    <cellStyle name="Comma 3" xfId="2" xr:uid="{B4D68E81-5BAD-4669-99BA-B98F1F9B0074}"/>
    <cellStyle name="Comma 3 25" xfId="3" xr:uid="{FF484EBF-90C4-4F32-8C99-99B0FFE1ABF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1AC0-03E0-4596-BBE7-9421322F9CE5}">
  <sheetPr>
    <tabColor theme="6" tint="0.79998168889431442"/>
    <pageSetUpPr fitToPage="1"/>
  </sheetPr>
  <dimension ref="A1:U44"/>
  <sheetViews>
    <sheetView tabSelected="1" view="pageBreakPreview" topLeftCell="A6" zoomScaleNormal="100" zoomScaleSheetLayoutView="100" workbookViewId="0">
      <selection activeCell="A6" sqref="A6:E6"/>
    </sheetView>
  </sheetViews>
  <sheetFormatPr defaultRowHeight="14.4" x14ac:dyDescent="0.3"/>
  <cols>
    <col min="1" max="1" width="43.21875" style="1" customWidth="1"/>
    <col min="2" max="2" width="18.77734375" style="1" bestFit="1" customWidth="1"/>
    <col min="3" max="3" width="16.5546875" style="1" bestFit="1" customWidth="1"/>
    <col min="4" max="4" width="17.88671875" style="1" bestFit="1" customWidth="1"/>
    <col min="5" max="5" width="18.77734375" style="1" bestFit="1" customWidth="1"/>
    <col min="6" max="6" width="26.88671875" style="1" customWidth="1"/>
    <col min="7" max="7" width="18.77734375" style="1" customWidth="1"/>
    <col min="8" max="8" width="14.109375" bestFit="1" customWidth="1"/>
    <col min="9" max="9" width="16.6640625" bestFit="1" customWidth="1"/>
    <col min="10" max="10" width="17.33203125" bestFit="1" customWidth="1"/>
    <col min="11" max="11" width="15.109375" bestFit="1" customWidth="1"/>
    <col min="12" max="14" width="16.6640625" bestFit="1" customWidth="1"/>
    <col min="15" max="18" width="13.109375" bestFit="1" customWidth="1"/>
    <col min="19" max="19" width="15.109375" bestFit="1" customWidth="1"/>
    <col min="20" max="20" width="16.6640625" bestFit="1" customWidth="1"/>
    <col min="21" max="21" width="17.77734375" bestFit="1" customWidth="1"/>
  </cols>
  <sheetData>
    <row r="1" spans="1:21" hidden="1" x14ac:dyDescent="0.3">
      <c r="B1" s="36">
        <f>B3/'2025 Collection Dynamic'!B$4</f>
        <v>0.33998538578090498</v>
      </c>
      <c r="C1" s="36">
        <f>C3/'2025 Collection Dynamic'!C$4</f>
        <v>0.24657297721809229</v>
      </c>
      <c r="D1" s="36">
        <f>D3/'2025 Collection Dynamic'!D$4</f>
        <v>0.35197649814129039</v>
      </c>
      <c r="E1" s="36">
        <f>E3/'2025 Collection Dynamic'!E$4</f>
        <v>0.33928687108002104</v>
      </c>
    </row>
    <row r="2" spans="1:21" hidden="1" x14ac:dyDescent="0.3">
      <c r="B2" s="36">
        <f>B4/'2025 Collection Dynamic'!B$4</f>
        <v>0.65962922832296922</v>
      </c>
      <c r="C2" s="36">
        <f>C4/'2025 Collection Dynamic'!C$4</f>
        <v>0.76183081810171083</v>
      </c>
      <c r="D2" s="36">
        <f>D4/'2025 Collection Dynamic'!D$4</f>
        <v>0.66945145976583942</v>
      </c>
      <c r="E2" s="36">
        <f>E4/'2025 Collection Dynamic'!E$4</f>
        <v>0.65744976362305385</v>
      </c>
    </row>
    <row r="3" spans="1:21" hidden="1" x14ac:dyDescent="0.3">
      <c r="A3" s="8" t="s">
        <v>5</v>
      </c>
      <c r="B3" s="9" cm="1">
        <f t="array" ref="B3:E4">'2025 Collection Dynamic'!B5:E6</f>
        <v>1120097561.1199999</v>
      </c>
      <c r="C3" s="9">
        <v>6423771.9691028651</v>
      </c>
      <c r="D3" s="9">
        <v>130828465.52716497</v>
      </c>
      <c r="E3" s="9">
        <v>982845323.62373197</v>
      </c>
    </row>
    <row r="4" spans="1:21" hidden="1" x14ac:dyDescent="0.3">
      <c r="A4" s="8" t="s">
        <v>6</v>
      </c>
      <c r="B4" s="9">
        <v>2173178968.2399998</v>
      </c>
      <c r="C4" s="9">
        <v>19847379.504980844</v>
      </c>
      <c r="D4" s="9">
        <v>248832827.44329056</v>
      </c>
      <c r="E4" s="9">
        <v>1904498761.2917285</v>
      </c>
      <c r="F4" s="1" t="s">
        <v>29</v>
      </c>
    </row>
    <row r="5" spans="1:21" hidden="1" x14ac:dyDescent="0.3">
      <c r="A5" s="1" t="s">
        <v>28</v>
      </c>
      <c r="B5" s="9">
        <f>'2025 Collection Dynamic'!B4-'2021 Collection '!B9</f>
        <v>3076660633.0634665</v>
      </c>
      <c r="C5" s="9">
        <f>'2025 Collection Dynamic'!C4-'2021 Collection '!C9</f>
        <v>26052214</v>
      </c>
      <c r="D5" s="9">
        <f>'2025 Collection Dynamic'!D4-'2021 Collection '!D9</f>
        <v>371696594</v>
      </c>
      <c r="E5" s="9">
        <f>'2025 Collection Dynamic'!E4-'2021 Collection '!E9</f>
        <v>2678911825.0634665</v>
      </c>
    </row>
    <row r="6" spans="1:21" x14ac:dyDescent="0.3">
      <c r="A6" s="40" t="s">
        <v>23</v>
      </c>
      <c r="B6" s="40"/>
      <c r="C6" s="40"/>
      <c r="D6" s="40"/>
      <c r="E6" s="40"/>
      <c r="F6" s="26"/>
      <c r="G6" s="26"/>
    </row>
    <row r="7" spans="1:21" x14ac:dyDescent="0.3">
      <c r="A7" s="4">
        <v>2021</v>
      </c>
      <c r="B7" s="5" t="s">
        <v>0</v>
      </c>
      <c r="C7" s="5" t="s">
        <v>25</v>
      </c>
      <c r="D7" s="5" t="s">
        <v>1</v>
      </c>
      <c r="E7" s="5" t="s">
        <v>2</v>
      </c>
      <c r="F7" s="27"/>
      <c r="G7" s="27"/>
      <c r="H7" s="2"/>
      <c r="I7" s="2"/>
      <c r="J7" s="2"/>
      <c r="P7" s="2">
        <f>SUM(P8:R8)</f>
        <v>0</v>
      </c>
      <c r="Q7" s="2"/>
      <c r="S7" s="41" t="s">
        <v>26</v>
      </c>
      <c r="T7" s="41"/>
      <c r="U7" s="41"/>
    </row>
    <row r="8" spans="1:21" x14ac:dyDescent="0.3">
      <c r="A8" s="6" t="s">
        <v>3</v>
      </c>
      <c r="B8" s="7">
        <v>649132464.51385915</v>
      </c>
      <c r="C8" s="7">
        <v>0</v>
      </c>
      <c r="D8" s="7">
        <v>0</v>
      </c>
      <c r="E8" s="7">
        <v>649132464.51385915</v>
      </c>
      <c r="F8" s="28">
        <f>SUM(C8:E8)</f>
        <v>649132464.51385915</v>
      </c>
      <c r="G8" s="28">
        <f>F8-B8</f>
        <v>0</v>
      </c>
      <c r="H8" s="20">
        <f>C8/$F8</f>
        <v>0</v>
      </c>
      <c r="I8" s="20">
        <f t="shared" ref="I8:J14" si="0">D8/$F8</f>
        <v>0</v>
      </c>
      <c r="J8" s="20">
        <f t="shared" si="0"/>
        <v>1</v>
      </c>
      <c r="K8" s="2">
        <f>H8*$B8</f>
        <v>0</v>
      </c>
      <c r="L8" s="2">
        <f t="shared" ref="L8:M18" si="1">I8*$B8</f>
        <v>0</v>
      </c>
      <c r="M8" s="2">
        <f t="shared" si="1"/>
        <v>649132464.51385915</v>
      </c>
      <c r="N8" s="2">
        <f>SUM(K8:M8)</f>
        <v>649132464.51385915</v>
      </c>
      <c r="O8" s="2">
        <f t="shared" ref="O8:O18" si="2">N8-B8</f>
        <v>0</v>
      </c>
      <c r="P8" s="2">
        <f>$O8*H8</f>
        <v>0</v>
      </c>
      <c r="Q8" s="2">
        <f>$O8*I8</f>
        <v>0</v>
      </c>
      <c r="R8" s="2">
        <f>$O8*J8</f>
        <v>0</v>
      </c>
      <c r="S8" s="2">
        <f>K8-P8</f>
        <v>0</v>
      </c>
      <c r="T8" s="2">
        <f>L8-Q8</f>
        <v>0</v>
      </c>
      <c r="U8" s="2">
        <f>M8-R8</f>
        <v>649132464.51385915</v>
      </c>
    </row>
    <row r="9" spans="1:21" x14ac:dyDescent="0.3">
      <c r="A9" s="6" t="s">
        <v>4</v>
      </c>
      <c r="B9" s="7">
        <v>217885567.93653339</v>
      </c>
      <c r="C9" s="7">
        <v>0</v>
      </c>
      <c r="D9" s="7">
        <v>0</v>
      </c>
      <c r="E9" s="7">
        <v>217885567.93653339</v>
      </c>
      <c r="F9" s="28">
        <f t="shared" ref="F9:F14" si="3">SUM(C9:E9)</f>
        <v>217885567.93653339</v>
      </c>
      <c r="G9" s="28">
        <f t="shared" ref="G9:G14" si="4">F9-B9</f>
        <v>0</v>
      </c>
      <c r="H9" s="20">
        <f t="shared" ref="H9:H14" si="5">C9/$F9</f>
        <v>0</v>
      </c>
      <c r="I9" s="20">
        <f t="shared" si="0"/>
        <v>0</v>
      </c>
      <c r="J9" s="20">
        <f t="shared" si="0"/>
        <v>1</v>
      </c>
      <c r="K9" s="2">
        <f t="shared" ref="K9:K18" si="6">H9*$B9</f>
        <v>0</v>
      </c>
      <c r="L9" s="2">
        <f t="shared" si="1"/>
        <v>0</v>
      </c>
      <c r="M9" s="2">
        <f t="shared" si="1"/>
        <v>217885567.93653339</v>
      </c>
      <c r="N9" s="2">
        <f t="shared" ref="N9:N18" si="7">SUM(K9:M9)</f>
        <v>217885567.93653339</v>
      </c>
      <c r="O9" s="2">
        <f t="shared" si="2"/>
        <v>0</v>
      </c>
      <c r="P9" s="2">
        <f t="shared" ref="P9:R14" si="8">$O9*H9</f>
        <v>0</v>
      </c>
      <c r="Q9" s="2">
        <f t="shared" si="8"/>
        <v>0</v>
      </c>
      <c r="R9" s="2">
        <f t="shared" si="8"/>
        <v>0</v>
      </c>
      <c r="S9" s="2">
        <f t="shared" ref="S9:U18" si="9">K9-P9</f>
        <v>0</v>
      </c>
      <c r="T9" s="2">
        <f t="shared" si="9"/>
        <v>0</v>
      </c>
      <c r="U9" s="2">
        <f t="shared" si="9"/>
        <v>217885567.93653339</v>
      </c>
    </row>
    <row r="10" spans="1:21" x14ac:dyDescent="0.3">
      <c r="A10" s="8" t="s">
        <v>5</v>
      </c>
      <c r="B10" s="9">
        <f>+SUM(C10:E10)</f>
        <v>108152434.75000006</v>
      </c>
      <c r="C10" s="7">
        <v>0</v>
      </c>
      <c r="D10" s="7">
        <v>0</v>
      </c>
      <c r="E10" s="9">
        <v>108152434.75000006</v>
      </c>
      <c r="F10" s="28">
        <f t="shared" si="3"/>
        <v>108152434.75000006</v>
      </c>
      <c r="G10" s="28">
        <f t="shared" si="4"/>
        <v>0</v>
      </c>
      <c r="H10" s="20">
        <f t="shared" si="5"/>
        <v>0</v>
      </c>
      <c r="I10" s="20">
        <f t="shared" si="0"/>
        <v>0</v>
      </c>
      <c r="J10" s="20">
        <f t="shared" si="0"/>
        <v>1</v>
      </c>
      <c r="K10" s="2">
        <f t="shared" si="6"/>
        <v>0</v>
      </c>
      <c r="L10" s="2">
        <f t="shared" si="1"/>
        <v>0</v>
      </c>
      <c r="M10" s="2">
        <f t="shared" si="1"/>
        <v>108152434.75000006</v>
      </c>
      <c r="N10" s="2">
        <f t="shared" si="7"/>
        <v>108152434.75000006</v>
      </c>
      <c r="O10" s="2">
        <f t="shared" si="2"/>
        <v>0</v>
      </c>
      <c r="P10" s="2">
        <f t="shared" si="8"/>
        <v>0</v>
      </c>
      <c r="Q10" s="2">
        <f t="shared" si="8"/>
        <v>0</v>
      </c>
      <c r="R10" s="2">
        <f t="shared" si="8"/>
        <v>0</v>
      </c>
      <c r="S10" s="2">
        <f t="shared" si="9"/>
        <v>0</v>
      </c>
      <c r="T10" s="2">
        <f t="shared" si="9"/>
        <v>0</v>
      </c>
      <c r="U10" s="2">
        <f t="shared" si="9"/>
        <v>108152434.75000006</v>
      </c>
    </row>
    <row r="11" spans="1:21" x14ac:dyDescent="0.3">
      <c r="A11" s="8" t="s">
        <v>6</v>
      </c>
      <c r="B11" s="9">
        <f>+SUM(C11:E11)</f>
        <v>97324329.40000011</v>
      </c>
      <c r="C11" s="7">
        <v>0</v>
      </c>
      <c r="D11" s="7">
        <v>0</v>
      </c>
      <c r="E11" s="9">
        <v>97324329.40000011</v>
      </c>
      <c r="F11" s="28">
        <f t="shared" si="3"/>
        <v>97324329.40000011</v>
      </c>
      <c r="G11" s="28">
        <f t="shared" si="4"/>
        <v>0</v>
      </c>
      <c r="H11" s="20">
        <f t="shared" si="5"/>
        <v>0</v>
      </c>
      <c r="I11" s="20">
        <f t="shared" si="0"/>
        <v>0</v>
      </c>
      <c r="J11" s="20">
        <f t="shared" si="0"/>
        <v>1</v>
      </c>
      <c r="K11" s="2">
        <f t="shared" si="6"/>
        <v>0</v>
      </c>
      <c r="L11" s="2">
        <f t="shared" si="1"/>
        <v>0</v>
      </c>
      <c r="M11" s="2">
        <f t="shared" si="1"/>
        <v>97324329.40000011</v>
      </c>
      <c r="N11" s="2">
        <f t="shared" si="7"/>
        <v>97324329.40000011</v>
      </c>
      <c r="O11" s="2">
        <f t="shared" si="2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9"/>
        <v>0</v>
      </c>
      <c r="T11" s="2">
        <f t="shared" si="9"/>
        <v>0</v>
      </c>
      <c r="U11" s="2">
        <f t="shared" si="9"/>
        <v>97324329.40000011</v>
      </c>
    </row>
    <row r="12" spans="1:21" x14ac:dyDescent="0.3">
      <c r="A12" s="10" t="s">
        <v>7</v>
      </c>
      <c r="B12" s="11">
        <f>B8+B9</f>
        <v>867018032.45039248</v>
      </c>
      <c r="C12" s="11">
        <f>C8+C9</f>
        <v>0</v>
      </c>
      <c r="D12" s="11">
        <f>D8+D9</f>
        <v>0</v>
      </c>
      <c r="E12" s="11">
        <f t="shared" ref="E12" si="10">E8+E9</f>
        <v>867018032.45039248</v>
      </c>
      <c r="F12" s="28">
        <f>SUM(C12:E12)</f>
        <v>867018032.45039248</v>
      </c>
      <c r="G12" s="28">
        <f>F12-B12</f>
        <v>0</v>
      </c>
      <c r="H12" s="20">
        <f t="shared" si="5"/>
        <v>0</v>
      </c>
      <c r="I12" s="20">
        <f t="shared" si="0"/>
        <v>0</v>
      </c>
      <c r="J12" s="20">
        <f t="shared" si="0"/>
        <v>1</v>
      </c>
      <c r="K12" s="2">
        <f t="shared" si="6"/>
        <v>0</v>
      </c>
      <c r="L12" s="2">
        <f t="shared" si="1"/>
        <v>0</v>
      </c>
      <c r="M12" s="2">
        <f t="shared" si="1"/>
        <v>867018032.45039248</v>
      </c>
      <c r="N12" s="2">
        <f t="shared" si="7"/>
        <v>867018032.45039248</v>
      </c>
      <c r="O12" s="2">
        <f t="shared" si="2"/>
        <v>0</v>
      </c>
      <c r="P12" s="2">
        <f t="shared" si="8"/>
        <v>0</v>
      </c>
      <c r="Q12" s="2">
        <f t="shared" si="8"/>
        <v>0</v>
      </c>
      <c r="R12" s="2">
        <f t="shared" si="8"/>
        <v>0</v>
      </c>
      <c r="S12" s="2">
        <f t="shared" si="9"/>
        <v>0</v>
      </c>
      <c r="T12" s="2">
        <f t="shared" si="9"/>
        <v>0</v>
      </c>
      <c r="U12" s="2">
        <f t="shared" si="9"/>
        <v>867018032.45039248</v>
      </c>
    </row>
    <row r="13" spans="1:21" x14ac:dyDescent="0.3">
      <c r="A13" s="10" t="s">
        <v>8</v>
      </c>
      <c r="B13" s="11">
        <v>699610310.0734725</v>
      </c>
      <c r="C13" s="11">
        <f>C9+C10</f>
        <v>0</v>
      </c>
      <c r="D13" s="11">
        <f>D9+D10</f>
        <v>0</v>
      </c>
      <c r="E13" s="11">
        <v>699610310.0734725</v>
      </c>
      <c r="F13" s="28">
        <f>SUM(C13:E13)</f>
        <v>699610310.0734725</v>
      </c>
      <c r="G13" s="28">
        <f>F13-B13</f>
        <v>0</v>
      </c>
      <c r="H13" s="20">
        <f t="shared" si="5"/>
        <v>0</v>
      </c>
      <c r="I13" s="20">
        <f t="shared" si="0"/>
        <v>0</v>
      </c>
      <c r="J13" s="20">
        <f t="shared" si="0"/>
        <v>1</v>
      </c>
      <c r="K13" s="2">
        <f t="shared" si="6"/>
        <v>0</v>
      </c>
      <c r="L13" s="2">
        <f t="shared" si="1"/>
        <v>0</v>
      </c>
      <c r="M13" s="2">
        <f t="shared" si="1"/>
        <v>699610310.0734725</v>
      </c>
      <c r="N13" s="2">
        <f t="shared" si="7"/>
        <v>699610310.0734725</v>
      </c>
      <c r="O13" s="2">
        <f t="shared" si="2"/>
        <v>0</v>
      </c>
      <c r="P13" s="2">
        <f t="shared" si="8"/>
        <v>0</v>
      </c>
      <c r="Q13" s="2">
        <f t="shared" si="8"/>
        <v>0</v>
      </c>
      <c r="R13" s="2">
        <f t="shared" si="8"/>
        <v>0</v>
      </c>
      <c r="S13" s="2">
        <f t="shared" si="9"/>
        <v>0</v>
      </c>
      <c r="T13" s="2">
        <f t="shared" si="9"/>
        <v>0</v>
      </c>
      <c r="U13" s="2">
        <f t="shared" si="9"/>
        <v>699610310.0734725</v>
      </c>
    </row>
    <row r="14" spans="1:21" x14ac:dyDescent="0.3">
      <c r="A14" s="14" t="s">
        <v>9</v>
      </c>
      <c r="B14" s="18">
        <f>SUM(B12:B13)</f>
        <v>1566628342.523865</v>
      </c>
      <c r="C14" s="18">
        <f>SUM(C12:C13)</f>
        <v>0</v>
      </c>
      <c r="D14" s="18">
        <f>SUM(D12:D13)</f>
        <v>0</v>
      </c>
      <c r="E14" s="18">
        <f>SUM(E12:E13)</f>
        <v>1566628342.523865</v>
      </c>
      <c r="F14" s="28">
        <f t="shared" si="3"/>
        <v>1566628342.523865</v>
      </c>
      <c r="G14" s="28">
        <f t="shared" si="4"/>
        <v>0</v>
      </c>
      <c r="H14" s="20">
        <f t="shared" si="5"/>
        <v>0</v>
      </c>
      <c r="I14" s="20">
        <f t="shared" si="0"/>
        <v>0</v>
      </c>
      <c r="J14" s="20">
        <f t="shared" si="0"/>
        <v>1</v>
      </c>
      <c r="K14" s="2">
        <f t="shared" si="6"/>
        <v>0</v>
      </c>
      <c r="L14" s="2">
        <f t="shared" si="1"/>
        <v>0</v>
      </c>
      <c r="M14" s="2">
        <f t="shared" si="1"/>
        <v>1566628342.523865</v>
      </c>
      <c r="N14" s="2">
        <f t="shared" si="7"/>
        <v>1566628342.523865</v>
      </c>
      <c r="O14" s="2">
        <f t="shared" si="2"/>
        <v>0</v>
      </c>
      <c r="P14" s="2">
        <f t="shared" si="8"/>
        <v>0</v>
      </c>
      <c r="Q14" s="2">
        <f t="shared" si="8"/>
        <v>0</v>
      </c>
      <c r="R14" s="2">
        <f t="shared" si="8"/>
        <v>0</v>
      </c>
      <c r="S14" s="2">
        <f t="shared" si="9"/>
        <v>0</v>
      </c>
      <c r="T14" s="2">
        <f t="shared" si="9"/>
        <v>0</v>
      </c>
      <c r="U14" s="2">
        <f t="shared" si="9"/>
        <v>1566628342.523865</v>
      </c>
    </row>
    <row r="15" spans="1:21" hidden="1" x14ac:dyDescent="0.3">
      <c r="A15" s="6" t="s">
        <v>10</v>
      </c>
      <c r="B15" s="7">
        <v>805972912</v>
      </c>
      <c r="C15" s="7">
        <v>67850</v>
      </c>
      <c r="D15" s="7">
        <v>44781</v>
      </c>
      <c r="E15" s="7">
        <v>805860281</v>
      </c>
      <c r="F15" s="28"/>
      <c r="G15" s="28"/>
      <c r="H15" s="20">
        <f t="shared" ref="H15:J18" si="11">C15/$B15</f>
        <v>8.418397068907944E-5</v>
      </c>
      <c r="I15" s="20">
        <f t="shared" si="11"/>
        <v>5.5561420654792431E-5</v>
      </c>
      <c r="J15" s="20">
        <f t="shared" si="11"/>
        <v>0.99986025460865613</v>
      </c>
      <c r="K15" s="2">
        <f t="shared" si="6"/>
        <v>67850</v>
      </c>
      <c r="L15" s="2">
        <f t="shared" si="1"/>
        <v>44781</v>
      </c>
      <c r="M15" s="2">
        <f t="shared" si="1"/>
        <v>805860281</v>
      </c>
      <c r="N15" s="2">
        <f t="shared" si="7"/>
        <v>805972912</v>
      </c>
      <c r="O15" s="2">
        <f t="shared" si="2"/>
        <v>0</v>
      </c>
      <c r="P15" s="2">
        <f t="shared" ref="P15:R18" si="12">$O$8*H15</f>
        <v>0</v>
      </c>
      <c r="Q15" s="2">
        <f t="shared" si="12"/>
        <v>0</v>
      </c>
      <c r="R15" s="2">
        <f t="shared" si="12"/>
        <v>0</v>
      </c>
      <c r="S15" s="2">
        <f t="shared" si="9"/>
        <v>67850</v>
      </c>
      <c r="T15" s="2">
        <f t="shared" si="9"/>
        <v>44781</v>
      </c>
      <c r="U15" s="2">
        <f t="shared" si="9"/>
        <v>805860281</v>
      </c>
    </row>
    <row r="16" spans="1:21" hidden="1" x14ac:dyDescent="0.3">
      <c r="A16" s="6" t="s">
        <v>11</v>
      </c>
      <c r="B16" s="7">
        <v>54546455.6616126</v>
      </c>
      <c r="C16" s="7">
        <v>21538.840180300023</v>
      </c>
      <c r="D16" s="7">
        <v>661884.01317300135</v>
      </c>
      <c r="E16" s="7">
        <v>53863032.808259308</v>
      </c>
      <c r="F16" s="28"/>
      <c r="G16" s="28"/>
      <c r="H16" s="20">
        <f t="shared" si="11"/>
        <v>3.9487148924798266E-4</v>
      </c>
      <c r="I16" s="20">
        <f t="shared" si="11"/>
        <v>1.2134317530713664E-2</v>
      </c>
      <c r="J16" s="20">
        <f t="shared" si="11"/>
        <v>0.98747081098003853</v>
      </c>
      <c r="K16" s="2">
        <f t="shared" si="6"/>
        <v>21538.840180300023</v>
      </c>
      <c r="L16" s="2">
        <f t="shared" si="1"/>
        <v>661884.01317300135</v>
      </c>
      <c r="M16" s="2">
        <f t="shared" si="1"/>
        <v>53863032.808259308</v>
      </c>
      <c r="N16" s="2">
        <f t="shared" si="7"/>
        <v>54546455.661612608</v>
      </c>
      <c r="O16" s="2">
        <f t="shared" si="2"/>
        <v>0</v>
      </c>
      <c r="P16" s="2">
        <f t="shared" si="12"/>
        <v>0</v>
      </c>
      <c r="Q16" s="2">
        <f t="shared" si="12"/>
        <v>0</v>
      </c>
      <c r="R16" s="2">
        <f t="shared" si="12"/>
        <v>0</v>
      </c>
      <c r="S16" s="2">
        <f t="shared" si="9"/>
        <v>21538.840180300023</v>
      </c>
      <c r="T16" s="2">
        <f t="shared" si="9"/>
        <v>661884.01317300135</v>
      </c>
      <c r="U16" s="2">
        <f t="shared" si="9"/>
        <v>53863032.808259308</v>
      </c>
    </row>
    <row r="17" spans="1:21" hidden="1" x14ac:dyDescent="0.3">
      <c r="A17" s="14" t="s">
        <v>12</v>
      </c>
      <c r="B17" s="15">
        <v>17626360639.127609</v>
      </c>
      <c r="C17" s="15">
        <v>177421822.88999999</v>
      </c>
      <c r="D17" s="15">
        <v>2500271083.7502003</v>
      </c>
      <c r="E17" s="15">
        <v>14948667732.487404</v>
      </c>
      <c r="F17" s="30"/>
      <c r="G17" s="30"/>
      <c r="H17" s="20">
        <f t="shared" si="11"/>
        <v>1.0065709338554713E-2</v>
      </c>
      <c r="I17" s="20">
        <f t="shared" si="11"/>
        <v>0.14184840166040921</v>
      </c>
      <c r="J17" s="20">
        <f t="shared" si="11"/>
        <v>0.84808588900103576</v>
      </c>
      <c r="K17" s="2">
        <f t="shared" si="6"/>
        <v>177421822.88999999</v>
      </c>
      <c r="L17" s="2">
        <f t="shared" si="1"/>
        <v>2500271083.7502003</v>
      </c>
      <c r="M17" s="2">
        <f t="shared" si="1"/>
        <v>14948667732.487404</v>
      </c>
      <c r="N17" s="2">
        <f t="shared" si="7"/>
        <v>17626360639.127605</v>
      </c>
      <c r="O17" s="2">
        <f t="shared" si="2"/>
        <v>0</v>
      </c>
      <c r="P17" s="2">
        <f t="shared" si="12"/>
        <v>0</v>
      </c>
      <c r="Q17" s="2">
        <f t="shared" si="12"/>
        <v>0</v>
      </c>
      <c r="R17" s="2">
        <f t="shared" si="12"/>
        <v>0</v>
      </c>
      <c r="S17" s="2">
        <f t="shared" si="9"/>
        <v>177421822.88999999</v>
      </c>
      <c r="T17" s="2">
        <f t="shared" si="9"/>
        <v>2500271083.7502003</v>
      </c>
      <c r="U17" s="2">
        <f t="shared" si="9"/>
        <v>14948667732.487404</v>
      </c>
    </row>
    <row r="18" spans="1:21" hidden="1" x14ac:dyDescent="0.3">
      <c r="A18" s="14" t="s">
        <v>12</v>
      </c>
      <c r="B18" s="15"/>
      <c r="C18" s="15"/>
      <c r="D18" s="15"/>
      <c r="E18" s="15"/>
      <c r="F18" s="30"/>
      <c r="G18" s="30"/>
      <c r="H18" s="20" t="e">
        <f t="shared" si="11"/>
        <v>#DIV/0!</v>
      </c>
      <c r="I18" s="20" t="e">
        <f t="shared" si="11"/>
        <v>#DIV/0!</v>
      </c>
      <c r="J18" s="20" t="e">
        <f t="shared" si="11"/>
        <v>#DIV/0!</v>
      </c>
      <c r="K18" s="2" t="e">
        <f t="shared" si="6"/>
        <v>#DIV/0!</v>
      </c>
      <c r="L18" s="2" t="e">
        <f t="shared" si="1"/>
        <v>#DIV/0!</v>
      </c>
      <c r="M18" s="2" t="e">
        <f t="shared" si="1"/>
        <v>#DIV/0!</v>
      </c>
      <c r="N18" s="2" t="e">
        <f t="shared" si="7"/>
        <v>#DIV/0!</v>
      </c>
      <c r="O18" s="2" t="e">
        <f t="shared" si="2"/>
        <v>#DIV/0!</v>
      </c>
      <c r="P18" s="2" t="e">
        <f t="shared" si="12"/>
        <v>#DIV/0!</v>
      </c>
      <c r="Q18" s="2" t="e">
        <f t="shared" si="12"/>
        <v>#DIV/0!</v>
      </c>
      <c r="R18" s="2" t="e">
        <f t="shared" si="12"/>
        <v>#DIV/0!</v>
      </c>
      <c r="S18" s="2" t="e">
        <f t="shared" si="9"/>
        <v>#DIV/0!</v>
      </c>
      <c r="T18" s="2" t="e">
        <f t="shared" si="9"/>
        <v>#DIV/0!</v>
      </c>
      <c r="U18" s="2" t="e">
        <f t="shared" si="9"/>
        <v>#DIV/0!</v>
      </c>
    </row>
    <row r="19" spans="1:21" x14ac:dyDescent="0.3">
      <c r="A19" s="16"/>
      <c r="B19" s="37"/>
      <c r="C19" s="37"/>
      <c r="D19" s="37"/>
      <c r="E19" s="37"/>
      <c r="F19" s="16"/>
      <c r="G19" s="16"/>
      <c r="H19" s="20"/>
      <c r="I19" s="20"/>
      <c r="J19" s="2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16"/>
      <c r="B20" s="3"/>
      <c r="C20" s="38"/>
      <c r="D20" s="37"/>
      <c r="E20" s="37"/>
      <c r="F20" s="16"/>
      <c r="G20" s="16"/>
    </row>
    <row r="21" spans="1:21" x14ac:dyDescent="0.3">
      <c r="A21" s="40" t="s">
        <v>24</v>
      </c>
      <c r="B21" s="40"/>
      <c r="C21" s="40"/>
      <c r="D21" s="40"/>
      <c r="E21" s="40"/>
      <c r="F21" s="26"/>
      <c r="G21" s="26"/>
      <c r="H21" s="40"/>
      <c r="I21" s="40"/>
      <c r="J21" s="40"/>
      <c r="K21" s="40"/>
      <c r="L21" s="40"/>
    </row>
    <row r="22" spans="1:21" x14ac:dyDescent="0.3">
      <c r="A22" s="4" t="s">
        <v>13</v>
      </c>
      <c r="B22" s="5" t="s">
        <v>0</v>
      </c>
      <c r="C22" s="5" t="s">
        <v>25</v>
      </c>
      <c r="D22" s="5" t="s">
        <v>1</v>
      </c>
      <c r="E22" s="5" t="s">
        <v>2</v>
      </c>
      <c r="F22" s="27"/>
      <c r="G22" s="27"/>
      <c r="H22" s="4"/>
      <c r="I22" s="5"/>
      <c r="J22" s="5"/>
      <c r="K22" s="5"/>
      <c r="L22" s="5"/>
    </row>
    <row r="23" spans="1:21" x14ac:dyDescent="0.3">
      <c r="A23" s="6" t="s">
        <v>15</v>
      </c>
      <c r="B23" s="7">
        <v>1537275.2092307277</v>
      </c>
      <c r="C23" s="7">
        <v>0</v>
      </c>
      <c r="D23" s="7">
        <v>0</v>
      </c>
      <c r="E23" s="7">
        <v>1537275.2092307277</v>
      </c>
      <c r="F23" s="28"/>
      <c r="G23" s="28"/>
      <c r="H23" s="6"/>
      <c r="I23" s="7"/>
      <c r="J23" s="7"/>
      <c r="K23" s="7"/>
      <c r="L23" s="7"/>
    </row>
    <row r="24" spans="1:21" x14ac:dyDescent="0.3">
      <c r="A24" s="6" t="s">
        <v>17</v>
      </c>
      <c r="B24" s="7">
        <v>13937.508144148709</v>
      </c>
      <c r="C24" s="7">
        <v>0</v>
      </c>
      <c r="D24" s="7">
        <v>0</v>
      </c>
      <c r="E24" s="7">
        <v>13937.508144148709</v>
      </c>
      <c r="F24" s="28"/>
      <c r="G24" s="28"/>
      <c r="H24" s="6"/>
      <c r="I24" s="7"/>
      <c r="J24" s="7"/>
      <c r="K24" s="7"/>
      <c r="L24" s="7"/>
    </row>
    <row r="25" spans="1:21" x14ac:dyDescent="0.3">
      <c r="A25" s="6" t="s">
        <v>18</v>
      </c>
      <c r="B25" s="7">
        <v>0</v>
      </c>
      <c r="C25" s="7">
        <v>0</v>
      </c>
      <c r="D25" s="7">
        <v>0</v>
      </c>
      <c r="E25" s="7">
        <v>0</v>
      </c>
      <c r="F25" s="28"/>
      <c r="G25" s="28"/>
      <c r="H25" s="8"/>
      <c r="I25" s="9"/>
      <c r="J25" s="9"/>
      <c r="K25" s="9"/>
      <c r="L25" s="9"/>
    </row>
    <row r="26" spans="1:21" x14ac:dyDescent="0.3">
      <c r="A26" s="6" t="s">
        <v>27</v>
      </c>
      <c r="B26" s="7">
        <v>0</v>
      </c>
      <c r="C26" s="7">
        <v>0</v>
      </c>
      <c r="D26" s="7">
        <v>0</v>
      </c>
      <c r="E26" s="7">
        <v>0</v>
      </c>
      <c r="F26" s="28"/>
      <c r="G26" s="28"/>
      <c r="H26" s="8"/>
      <c r="I26" s="9"/>
      <c r="J26" s="9"/>
      <c r="K26" s="9"/>
      <c r="L26" s="9"/>
    </row>
    <row r="27" spans="1:21" x14ac:dyDescent="0.3">
      <c r="A27" s="6" t="s">
        <v>19</v>
      </c>
      <c r="B27" s="7">
        <v>23431.53970513567</v>
      </c>
      <c r="C27" s="7">
        <v>0</v>
      </c>
      <c r="D27" s="7">
        <v>0</v>
      </c>
      <c r="E27" s="7">
        <v>23431.53970513567</v>
      </c>
      <c r="F27" s="28"/>
      <c r="G27" s="28"/>
      <c r="H27" s="10"/>
      <c r="I27" s="11"/>
      <c r="J27" s="11"/>
      <c r="K27" s="11"/>
      <c r="L27" s="11"/>
    </row>
    <row r="28" spans="1:21" x14ac:dyDescent="0.3">
      <c r="A28" s="6" t="s">
        <v>16</v>
      </c>
      <c r="B28" s="7">
        <v>16863.288740651795</v>
      </c>
      <c r="C28" s="7">
        <v>0</v>
      </c>
      <c r="D28" s="7">
        <v>0</v>
      </c>
      <c r="E28" s="7">
        <v>16863.288740651795</v>
      </c>
      <c r="F28" s="28"/>
      <c r="G28" s="28"/>
      <c r="H28" s="10"/>
      <c r="I28" s="11"/>
      <c r="J28" s="11"/>
      <c r="K28" s="11"/>
      <c r="L28" s="11"/>
    </row>
    <row r="29" spans="1:21" x14ac:dyDescent="0.3">
      <c r="A29" s="12" t="s">
        <v>20</v>
      </c>
      <c r="B29" s="13">
        <f>+SUM(B23:B28)</f>
        <v>1591507.5458206637</v>
      </c>
      <c r="C29" s="13">
        <f t="shared" ref="C29:E29" si="13">+SUM(C23:C28)</f>
        <v>0</v>
      </c>
      <c r="D29" s="13">
        <f t="shared" si="13"/>
        <v>0</v>
      </c>
      <c r="E29" s="13">
        <f t="shared" si="13"/>
        <v>1591507.5458206637</v>
      </c>
      <c r="F29" s="31"/>
      <c r="G29" s="31"/>
      <c r="H29" s="14"/>
      <c r="I29" s="18"/>
      <c r="J29" s="18"/>
      <c r="K29" s="18"/>
      <c r="L29" s="18"/>
    </row>
    <row r="30" spans="1:21" x14ac:dyDescent="0.3">
      <c r="A30" s="16"/>
      <c r="B30" s="16"/>
      <c r="C30" s="16"/>
      <c r="D30" s="16"/>
      <c r="E30" s="16"/>
      <c r="F30" s="16"/>
      <c r="G30" s="16"/>
      <c r="I30" s="21"/>
      <c r="J30" s="21"/>
      <c r="K30" s="21"/>
      <c r="L30" s="21"/>
    </row>
    <row r="31" spans="1:21" x14ac:dyDescent="0.3">
      <c r="A31" s="23" t="s">
        <v>10</v>
      </c>
      <c r="B31" s="22">
        <v>130078450</v>
      </c>
      <c r="C31" s="22">
        <v>0</v>
      </c>
      <c r="D31" s="22">
        <v>0</v>
      </c>
      <c r="E31" s="22">
        <v>130078450</v>
      </c>
      <c r="F31" s="32"/>
      <c r="G31" s="32"/>
      <c r="I31" s="21"/>
      <c r="J31" s="21"/>
      <c r="K31" s="21"/>
      <c r="L31" s="21"/>
    </row>
    <row r="32" spans="1:21" x14ac:dyDescent="0.3">
      <c r="A32" s="16"/>
      <c r="B32" s="16"/>
      <c r="C32" s="16"/>
      <c r="D32" s="16"/>
      <c r="E32" s="16"/>
      <c r="F32" s="16"/>
      <c r="G32" s="16"/>
      <c r="I32" s="21"/>
      <c r="J32" s="21"/>
      <c r="K32" s="21"/>
      <c r="L32" s="21"/>
    </row>
    <row r="33" spans="1:12" x14ac:dyDescent="0.3">
      <c r="A33" s="17" t="s">
        <v>14</v>
      </c>
      <c r="B33" s="19">
        <f>+B14+B29</f>
        <v>1568219850.0696857</v>
      </c>
      <c r="C33" s="19">
        <f t="shared" ref="C33:E33" si="14">+C14+C29</f>
        <v>0</v>
      </c>
      <c r="D33" s="19">
        <f t="shared" si="14"/>
        <v>0</v>
      </c>
      <c r="E33" s="19">
        <f t="shared" si="14"/>
        <v>1568219850.0696857</v>
      </c>
      <c r="F33" s="33"/>
      <c r="G33" s="33"/>
      <c r="I33" s="21"/>
      <c r="J33" s="21"/>
      <c r="K33" s="21"/>
      <c r="L33" s="21"/>
    </row>
    <row r="34" spans="1:12" x14ac:dyDescent="0.3">
      <c r="A34" s="16"/>
      <c r="B34" s="16"/>
      <c r="C34" s="16"/>
      <c r="D34" s="16"/>
      <c r="E34" s="16"/>
      <c r="F34" s="16"/>
      <c r="G34" s="16"/>
      <c r="I34" s="21"/>
      <c r="J34" s="21"/>
      <c r="K34" s="21"/>
      <c r="L34" s="21"/>
    </row>
    <row r="35" spans="1:12" x14ac:dyDescent="0.3">
      <c r="A35" s="39" t="s">
        <v>31</v>
      </c>
      <c r="B35" s="16"/>
      <c r="C35" s="16"/>
      <c r="D35" s="16"/>
      <c r="E35" s="16"/>
      <c r="F35" s="16"/>
      <c r="G35" s="16"/>
      <c r="I35" s="21"/>
      <c r="J35" s="21"/>
      <c r="K35" s="21"/>
      <c r="L35" s="21"/>
    </row>
    <row r="36" spans="1:12" x14ac:dyDescent="0.3">
      <c r="A36" s="39" t="s">
        <v>32</v>
      </c>
      <c r="B36" s="16"/>
      <c r="C36" s="16"/>
      <c r="D36" s="16"/>
      <c r="E36" s="16"/>
      <c r="F36" s="16"/>
      <c r="G36" s="16"/>
      <c r="I36" s="21"/>
      <c r="J36" s="21"/>
      <c r="K36" s="21"/>
      <c r="L36" s="21"/>
    </row>
    <row r="37" spans="1:12" x14ac:dyDescent="0.3">
      <c r="A37" s="16"/>
      <c r="B37" s="16"/>
      <c r="C37" s="16"/>
      <c r="D37" s="16"/>
      <c r="E37" s="16"/>
      <c r="F37" s="16"/>
      <c r="G37" s="16"/>
      <c r="I37" s="21"/>
      <c r="J37" s="21"/>
      <c r="K37" s="21"/>
      <c r="L37" s="21"/>
    </row>
    <row r="38" spans="1:12" x14ac:dyDescent="0.3">
      <c r="A38" s="16"/>
      <c r="B38" s="16"/>
      <c r="C38" s="16"/>
      <c r="D38" s="16"/>
      <c r="E38" s="16"/>
      <c r="F38" s="16"/>
      <c r="G38" s="16"/>
      <c r="I38" s="21"/>
      <c r="J38" s="21"/>
      <c r="K38" s="21"/>
      <c r="L38" s="21"/>
    </row>
    <row r="39" spans="1:12" x14ac:dyDescent="0.3">
      <c r="A39" s="6" t="s">
        <v>21</v>
      </c>
      <c r="B39" s="7">
        <v>27386119</v>
      </c>
      <c r="C39" s="7"/>
      <c r="D39" s="7">
        <f>B39-E39</f>
        <v>0</v>
      </c>
      <c r="E39" s="7">
        <v>27386119</v>
      </c>
      <c r="F39" s="28"/>
      <c r="G39" s="28"/>
      <c r="I39" s="21"/>
      <c r="J39" s="21"/>
      <c r="K39" s="21"/>
      <c r="L39" s="21"/>
    </row>
    <row r="40" spans="1:12" x14ac:dyDescent="0.3">
      <c r="A40" s="6" t="s">
        <v>22</v>
      </c>
      <c r="B40" s="7">
        <v>14054024</v>
      </c>
      <c r="C40" s="7"/>
      <c r="D40" s="7">
        <f>B40-E40</f>
        <v>0</v>
      </c>
      <c r="E40" s="7">
        <v>14054024</v>
      </c>
      <c r="F40" s="28"/>
      <c r="G40" s="28"/>
    </row>
    <row r="41" spans="1:12" x14ac:dyDescent="0.3">
      <c r="A41" s="6" t="s">
        <v>10</v>
      </c>
      <c r="B41" s="7">
        <v>650781702</v>
      </c>
      <c r="C41" s="7"/>
      <c r="D41" s="7">
        <f>B41-E41</f>
        <v>0</v>
      </c>
      <c r="E41" s="7">
        <v>650781702</v>
      </c>
      <c r="F41" s="28"/>
      <c r="G41" s="28"/>
    </row>
    <row r="42" spans="1:12" x14ac:dyDescent="0.3">
      <c r="A42" s="14" t="s">
        <v>0</v>
      </c>
      <c r="B42" s="18">
        <f>SUM(B29:B41)</f>
        <v>2392111652.6155062</v>
      </c>
      <c r="C42" s="18"/>
      <c r="D42" s="18">
        <f>SUM(D29:D41)</f>
        <v>0</v>
      </c>
      <c r="E42" s="18">
        <f>SUM(E29:E41)</f>
        <v>2392111652.6155062</v>
      </c>
      <c r="F42" s="29"/>
      <c r="G42" s="29"/>
    </row>
    <row r="43" spans="1:12" x14ac:dyDescent="0.3">
      <c r="A43" s="16"/>
      <c r="B43" s="16"/>
      <c r="C43" s="16"/>
      <c r="D43" s="16"/>
      <c r="E43" s="16"/>
      <c r="F43" s="16"/>
      <c r="G43" s="16"/>
    </row>
    <row r="44" spans="1:12" x14ac:dyDescent="0.3">
      <c r="A44" s="17" t="s">
        <v>14</v>
      </c>
      <c r="B44" s="19">
        <f>B42+B14</f>
        <v>3958739995.1393709</v>
      </c>
      <c r="C44" s="19"/>
      <c r="D44" s="19">
        <f>D42+D14</f>
        <v>0</v>
      </c>
      <c r="E44" s="19">
        <f>E42+E14</f>
        <v>3958739995.1393709</v>
      </c>
      <c r="F44" s="33"/>
      <c r="G44" s="33"/>
    </row>
  </sheetData>
  <mergeCells count="4">
    <mergeCell ref="A6:E6"/>
    <mergeCell ref="S7:U7"/>
    <mergeCell ref="A21:E21"/>
    <mergeCell ref="H21:L21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&amp;"Tahoma,Bold"2021 Collection Snapshot&amp;R&amp;"Tahoma,Regular"&amp;10&amp;D</oddHeader>
    <oddFooter>&amp;L&amp;"Tahoma,Regular"&amp;10Collections&amp;R&amp;"Tahoma,Regular"&amp;10&amp;P/&amp;N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1DC8-FD5A-41B6-9ABC-86DD9F027ABA}">
  <sheetPr>
    <tabColor theme="2" tint="-9.9978637043366805E-2"/>
    <pageSetUpPr fitToPage="1"/>
  </sheetPr>
  <dimension ref="A1:U44"/>
  <sheetViews>
    <sheetView view="pageBreakPreview" topLeftCell="A6" zoomScaleNormal="100" zoomScaleSheetLayoutView="100" workbookViewId="0">
      <selection activeCell="A24" sqref="A24"/>
    </sheetView>
  </sheetViews>
  <sheetFormatPr defaultRowHeight="14.4" x14ac:dyDescent="0.3"/>
  <cols>
    <col min="1" max="1" width="43.21875" style="1" customWidth="1"/>
    <col min="2" max="2" width="18.77734375" style="1" bestFit="1" customWidth="1"/>
    <col min="3" max="3" width="16.5546875" style="1" bestFit="1" customWidth="1"/>
    <col min="4" max="4" width="17.88671875" style="1" bestFit="1" customWidth="1"/>
    <col min="5" max="5" width="18.77734375" style="1" bestFit="1" customWidth="1"/>
    <col min="6" max="6" width="26.88671875" style="1" customWidth="1"/>
    <col min="7" max="7" width="18.77734375" style="1" customWidth="1"/>
    <col min="8" max="8" width="14.109375" bestFit="1" customWidth="1"/>
    <col min="9" max="9" width="16.6640625" bestFit="1" customWidth="1"/>
    <col min="10" max="10" width="17.33203125" bestFit="1" customWidth="1"/>
    <col min="11" max="11" width="15.109375" bestFit="1" customWidth="1"/>
    <col min="12" max="14" width="16.6640625" bestFit="1" customWidth="1"/>
    <col min="15" max="18" width="13.109375" bestFit="1" customWidth="1"/>
    <col min="19" max="19" width="15.109375" bestFit="1" customWidth="1"/>
    <col min="20" max="20" width="16.6640625" bestFit="1" customWidth="1"/>
    <col min="21" max="21" width="17.77734375" bestFit="1" customWidth="1"/>
  </cols>
  <sheetData>
    <row r="1" spans="1:21" hidden="1" x14ac:dyDescent="0.3">
      <c r="B1" s="36">
        <f>B3/'2025 Collection Dynamic'!B$4</f>
        <v>0.33998538578090498</v>
      </c>
      <c r="C1" s="36">
        <f>C3/'2025 Collection Dynamic'!C$4</f>
        <v>0.24657297721809229</v>
      </c>
      <c r="D1" s="36">
        <f>D3/'2025 Collection Dynamic'!D$4</f>
        <v>0.35197649814129039</v>
      </c>
      <c r="E1" s="36">
        <f>E3/'2025 Collection Dynamic'!E$4</f>
        <v>0.33928687108002104</v>
      </c>
    </row>
    <row r="2" spans="1:21" hidden="1" x14ac:dyDescent="0.3">
      <c r="B2" s="36">
        <f>B4/'2025 Collection Dynamic'!B$4</f>
        <v>0.65962922832296922</v>
      </c>
      <c r="C2" s="36">
        <f>C4/'2025 Collection Dynamic'!C$4</f>
        <v>0.76183081810171083</v>
      </c>
      <c r="D2" s="36">
        <f>D4/'2025 Collection Dynamic'!D$4</f>
        <v>0.66945145976583942</v>
      </c>
      <c r="E2" s="36">
        <f>E4/'2025 Collection Dynamic'!E$4</f>
        <v>0.65744976362305385</v>
      </c>
    </row>
    <row r="3" spans="1:21" hidden="1" x14ac:dyDescent="0.3">
      <c r="A3" s="8" t="s">
        <v>5</v>
      </c>
      <c r="B3" s="9" cm="1">
        <f t="array" ref="B3:E4">'2025 Collection Dynamic'!B5:E6</f>
        <v>1120097561.1199999</v>
      </c>
      <c r="C3" s="9">
        <v>6423771.9691028651</v>
      </c>
      <c r="D3" s="9">
        <v>130828465.52716497</v>
      </c>
      <c r="E3" s="9">
        <v>982845323.62373197</v>
      </c>
    </row>
    <row r="4" spans="1:21" hidden="1" x14ac:dyDescent="0.3">
      <c r="A4" s="8" t="s">
        <v>6</v>
      </c>
      <c r="B4" s="9">
        <v>2173178968.2399998</v>
      </c>
      <c r="C4" s="9">
        <v>19847379.504980844</v>
      </c>
      <c r="D4" s="9">
        <v>248832827.44329056</v>
      </c>
      <c r="E4" s="9">
        <v>1904498761.2917285</v>
      </c>
      <c r="F4" s="1" t="s">
        <v>29</v>
      </c>
    </row>
    <row r="5" spans="1:21" hidden="1" x14ac:dyDescent="0.3">
      <c r="A5" s="1" t="s">
        <v>28</v>
      </c>
      <c r="B5" s="9">
        <f>'2025 Collection Dynamic'!B4-'2022 Collection '!B9</f>
        <v>2478521827.258707</v>
      </c>
      <c r="C5" s="9">
        <f>'2025 Collection Dynamic'!C4-'2022 Collection '!C9</f>
        <v>26052214</v>
      </c>
      <c r="D5" s="9">
        <f>'2025 Collection Dynamic'!D4-'2022 Collection '!D9</f>
        <v>371696594</v>
      </c>
      <c r="E5" s="9">
        <f>'2025 Collection Dynamic'!E4-'2022 Collection '!E9</f>
        <v>2080773019.258707</v>
      </c>
    </row>
    <row r="6" spans="1:21" x14ac:dyDescent="0.3">
      <c r="A6" s="40" t="s">
        <v>23</v>
      </c>
      <c r="B6" s="40"/>
      <c r="C6" s="40"/>
      <c r="D6" s="40"/>
      <c r="E6" s="40"/>
      <c r="F6" s="26"/>
      <c r="G6" s="26"/>
    </row>
    <row r="7" spans="1:21" x14ac:dyDescent="0.3">
      <c r="A7" s="4">
        <v>2022</v>
      </c>
      <c r="B7" s="5" t="s">
        <v>0</v>
      </c>
      <c r="C7" s="5" t="s">
        <v>25</v>
      </c>
      <c r="D7" s="5" t="s">
        <v>1</v>
      </c>
      <c r="E7" s="5" t="s">
        <v>2</v>
      </c>
      <c r="F7" s="27"/>
      <c r="G7" s="27"/>
      <c r="H7" s="2"/>
      <c r="I7" s="2"/>
      <c r="J7" s="2"/>
      <c r="P7" s="2">
        <f>SUM(P8:R8)</f>
        <v>0</v>
      </c>
      <c r="Q7" s="2"/>
      <c r="S7" s="41" t="s">
        <v>26</v>
      </c>
      <c r="T7" s="41"/>
      <c r="U7" s="41"/>
    </row>
    <row r="8" spans="1:21" x14ac:dyDescent="0.3">
      <c r="A8" s="6" t="s">
        <v>3</v>
      </c>
      <c r="B8" s="7">
        <v>1683517674.7158856</v>
      </c>
      <c r="C8" s="7">
        <v>0</v>
      </c>
      <c r="D8" s="7">
        <v>0</v>
      </c>
      <c r="E8" s="7">
        <v>1683517674.7158856</v>
      </c>
      <c r="F8" s="28">
        <f>SUM(C8:E8)</f>
        <v>1683517674.7158856</v>
      </c>
      <c r="G8" s="28">
        <f>F8-B8</f>
        <v>0</v>
      </c>
      <c r="H8" s="20">
        <f>C8/$F8</f>
        <v>0</v>
      </c>
      <c r="I8" s="20">
        <f t="shared" ref="I8:J14" si="0">D8/$F8</f>
        <v>0</v>
      </c>
      <c r="J8" s="20">
        <f t="shared" si="0"/>
        <v>1</v>
      </c>
      <c r="K8" s="2">
        <f>H8*$B8</f>
        <v>0</v>
      </c>
      <c r="L8" s="2">
        <f t="shared" ref="L8:M18" si="1">I8*$B8</f>
        <v>0</v>
      </c>
      <c r="M8" s="2">
        <f t="shared" si="1"/>
        <v>1683517674.7158856</v>
      </c>
      <c r="N8" s="2">
        <f>SUM(K8:M8)</f>
        <v>1683517674.7158856</v>
      </c>
      <c r="O8" s="2">
        <f t="shared" ref="O8:O18" si="2">N8-B8</f>
        <v>0</v>
      </c>
      <c r="P8" s="2">
        <f>$O8*H8</f>
        <v>0</v>
      </c>
      <c r="Q8" s="2">
        <f>$O8*I8</f>
        <v>0</v>
      </c>
      <c r="R8" s="2">
        <f>$O8*J8</f>
        <v>0</v>
      </c>
      <c r="S8" s="2">
        <f>K8-P8</f>
        <v>0</v>
      </c>
      <c r="T8" s="2">
        <f>L8-Q8</f>
        <v>0</v>
      </c>
      <c r="U8" s="2">
        <f>M8-R8</f>
        <v>1683517674.7158856</v>
      </c>
    </row>
    <row r="9" spans="1:21" x14ac:dyDescent="0.3">
      <c r="A9" s="6" t="s">
        <v>4</v>
      </c>
      <c r="B9" s="7">
        <v>816024373.74129295</v>
      </c>
      <c r="C9" s="7">
        <v>0</v>
      </c>
      <c r="D9" s="7">
        <v>0</v>
      </c>
      <c r="E9" s="7">
        <v>816024373.74129295</v>
      </c>
      <c r="F9" s="28">
        <f t="shared" ref="F9:F14" si="3">SUM(C9:E9)</f>
        <v>816024373.74129295</v>
      </c>
      <c r="G9" s="28">
        <f t="shared" ref="G9:G14" si="4">F9-B9</f>
        <v>0</v>
      </c>
      <c r="H9" s="20">
        <f t="shared" ref="H9:H14" si="5">C9/$F9</f>
        <v>0</v>
      </c>
      <c r="I9" s="20">
        <f t="shared" si="0"/>
        <v>0</v>
      </c>
      <c r="J9" s="20">
        <f t="shared" si="0"/>
        <v>1</v>
      </c>
      <c r="K9" s="2">
        <f t="shared" ref="K9:K18" si="6">H9*$B9</f>
        <v>0</v>
      </c>
      <c r="L9" s="2">
        <f t="shared" si="1"/>
        <v>0</v>
      </c>
      <c r="M9" s="2">
        <f t="shared" si="1"/>
        <v>816024373.74129295</v>
      </c>
      <c r="N9" s="2">
        <f t="shared" ref="N9:N18" si="7">SUM(K9:M9)</f>
        <v>816024373.74129295</v>
      </c>
      <c r="O9" s="2">
        <f t="shared" si="2"/>
        <v>0</v>
      </c>
      <c r="P9" s="2">
        <f t="shared" ref="P9:R14" si="8">$O9*H9</f>
        <v>0</v>
      </c>
      <c r="Q9" s="2">
        <f t="shared" si="8"/>
        <v>0</v>
      </c>
      <c r="R9" s="2">
        <f t="shared" si="8"/>
        <v>0</v>
      </c>
      <c r="S9" s="2">
        <f t="shared" ref="S9:U18" si="9">K9-P9</f>
        <v>0</v>
      </c>
      <c r="T9" s="2">
        <f t="shared" si="9"/>
        <v>0</v>
      </c>
      <c r="U9" s="2">
        <f t="shared" si="9"/>
        <v>816024373.74129295</v>
      </c>
    </row>
    <row r="10" spans="1:21" x14ac:dyDescent="0.3">
      <c r="A10" s="8" t="s">
        <v>5</v>
      </c>
      <c r="B10" s="9">
        <f>+SUM(C10:E10)</f>
        <v>309650232.67999983</v>
      </c>
      <c r="C10" s="7">
        <v>0</v>
      </c>
      <c r="D10" s="7">
        <v>0</v>
      </c>
      <c r="E10" s="48">
        <v>309650232.67999983</v>
      </c>
      <c r="F10" s="28">
        <f t="shared" si="3"/>
        <v>309650232.67999983</v>
      </c>
      <c r="G10" s="28">
        <f t="shared" si="4"/>
        <v>0</v>
      </c>
      <c r="H10" s="20">
        <f t="shared" si="5"/>
        <v>0</v>
      </c>
      <c r="I10" s="20">
        <f t="shared" si="0"/>
        <v>0</v>
      </c>
      <c r="J10" s="20">
        <f t="shared" si="0"/>
        <v>1</v>
      </c>
      <c r="K10" s="2">
        <f t="shared" si="6"/>
        <v>0</v>
      </c>
      <c r="L10" s="2">
        <f t="shared" si="1"/>
        <v>0</v>
      </c>
      <c r="M10" s="2">
        <f t="shared" si="1"/>
        <v>309650232.67999983</v>
      </c>
      <c r="N10" s="2">
        <f t="shared" si="7"/>
        <v>309650232.67999983</v>
      </c>
      <c r="O10" s="2">
        <f t="shared" si="2"/>
        <v>0</v>
      </c>
      <c r="P10" s="2">
        <f t="shared" si="8"/>
        <v>0</v>
      </c>
      <c r="Q10" s="2">
        <f t="shared" si="8"/>
        <v>0</v>
      </c>
      <c r="R10" s="2">
        <f t="shared" si="8"/>
        <v>0</v>
      </c>
      <c r="S10" s="2">
        <f t="shared" si="9"/>
        <v>0</v>
      </c>
      <c r="T10" s="2">
        <f t="shared" si="9"/>
        <v>0</v>
      </c>
      <c r="U10" s="2">
        <f t="shared" si="9"/>
        <v>309650232.67999983</v>
      </c>
    </row>
    <row r="11" spans="1:21" x14ac:dyDescent="0.3">
      <c r="A11" s="8" t="s">
        <v>6</v>
      </c>
      <c r="B11" s="9">
        <f>+SUM(C11:E11)</f>
        <v>509808639.78000033</v>
      </c>
      <c r="C11" s="7">
        <v>0</v>
      </c>
      <c r="D11" s="7">
        <v>0</v>
      </c>
      <c r="E11" s="48">
        <v>509808639.78000033</v>
      </c>
      <c r="F11" s="28">
        <f t="shared" si="3"/>
        <v>509808639.78000033</v>
      </c>
      <c r="G11" s="28">
        <f t="shared" si="4"/>
        <v>0</v>
      </c>
      <c r="H11" s="20">
        <f t="shared" si="5"/>
        <v>0</v>
      </c>
      <c r="I11" s="20">
        <f t="shared" si="0"/>
        <v>0</v>
      </c>
      <c r="J11" s="20">
        <f t="shared" si="0"/>
        <v>1</v>
      </c>
      <c r="K11" s="2">
        <f t="shared" si="6"/>
        <v>0</v>
      </c>
      <c r="L11" s="2">
        <f t="shared" si="1"/>
        <v>0</v>
      </c>
      <c r="M11" s="2">
        <f t="shared" si="1"/>
        <v>509808639.78000033</v>
      </c>
      <c r="N11" s="2">
        <f t="shared" si="7"/>
        <v>509808639.78000033</v>
      </c>
      <c r="O11" s="2">
        <f t="shared" si="2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9"/>
        <v>0</v>
      </c>
      <c r="T11" s="2">
        <f t="shared" si="9"/>
        <v>0</v>
      </c>
      <c r="U11" s="2">
        <f t="shared" si="9"/>
        <v>509808639.78000033</v>
      </c>
    </row>
    <row r="12" spans="1:21" x14ac:dyDescent="0.3">
      <c r="A12" s="10" t="s">
        <v>7</v>
      </c>
      <c r="B12" s="11">
        <f>B8+B9</f>
        <v>2499542048.4571786</v>
      </c>
      <c r="C12" s="11">
        <f>C8+C9</f>
        <v>0</v>
      </c>
      <c r="D12" s="11">
        <f>D8+D9</f>
        <v>0</v>
      </c>
      <c r="E12" s="11">
        <v>2499542048.4571786</v>
      </c>
      <c r="F12" s="28">
        <f>SUM(C12:E12)</f>
        <v>2499542048.4571786</v>
      </c>
      <c r="G12" s="28">
        <f>F12-B12</f>
        <v>0</v>
      </c>
      <c r="H12" s="20">
        <f t="shared" si="5"/>
        <v>0</v>
      </c>
      <c r="I12" s="20">
        <f t="shared" si="0"/>
        <v>0</v>
      </c>
      <c r="J12" s="20">
        <f t="shared" si="0"/>
        <v>1</v>
      </c>
      <c r="K12" s="2">
        <f t="shared" si="6"/>
        <v>0</v>
      </c>
      <c r="L12" s="2">
        <f t="shared" si="1"/>
        <v>0</v>
      </c>
      <c r="M12" s="2">
        <f t="shared" si="1"/>
        <v>2499542048.4571786</v>
      </c>
      <c r="N12" s="2">
        <f t="shared" si="7"/>
        <v>2499542048.4571786</v>
      </c>
      <c r="O12" s="2">
        <f t="shared" si="2"/>
        <v>0</v>
      </c>
      <c r="P12" s="2">
        <f t="shared" si="8"/>
        <v>0</v>
      </c>
      <c r="Q12" s="2">
        <f t="shared" si="8"/>
        <v>0</v>
      </c>
      <c r="R12" s="2">
        <f t="shared" si="8"/>
        <v>0</v>
      </c>
      <c r="S12" s="2">
        <f t="shared" si="9"/>
        <v>0</v>
      </c>
      <c r="T12" s="2">
        <f t="shared" si="9"/>
        <v>0</v>
      </c>
      <c r="U12" s="2">
        <f t="shared" si="9"/>
        <v>2499542048.4571786</v>
      </c>
    </row>
    <row r="13" spans="1:21" x14ac:dyDescent="0.3">
      <c r="A13" s="10" t="s">
        <v>8</v>
      </c>
      <c r="B13" s="11">
        <v>1359408974.4351325</v>
      </c>
      <c r="C13" s="11">
        <f>C9+C10</f>
        <v>0</v>
      </c>
      <c r="D13" s="11">
        <f>D9+D10</f>
        <v>0</v>
      </c>
      <c r="E13" s="11">
        <v>1359408974.4351325</v>
      </c>
      <c r="F13" s="28">
        <f>SUM(C13:E13)</f>
        <v>1359408974.4351325</v>
      </c>
      <c r="G13" s="28">
        <f>F13-B13</f>
        <v>0</v>
      </c>
      <c r="H13" s="20">
        <f t="shared" si="5"/>
        <v>0</v>
      </c>
      <c r="I13" s="20">
        <f t="shared" si="0"/>
        <v>0</v>
      </c>
      <c r="J13" s="20">
        <f t="shared" si="0"/>
        <v>1</v>
      </c>
      <c r="K13" s="2">
        <f t="shared" si="6"/>
        <v>0</v>
      </c>
      <c r="L13" s="2">
        <f t="shared" si="1"/>
        <v>0</v>
      </c>
      <c r="M13" s="2">
        <f t="shared" si="1"/>
        <v>1359408974.4351325</v>
      </c>
      <c r="N13" s="2">
        <f t="shared" si="7"/>
        <v>1359408974.4351325</v>
      </c>
      <c r="O13" s="2">
        <f t="shared" si="2"/>
        <v>0</v>
      </c>
      <c r="P13" s="2">
        <f t="shared" si="8"/>
        <v>0</v>
      </c>
      <c r="Q13" s="2">
        <f t="shared" si="8"/>
        <v>0</v>
      </c>
      <c r="R13" s="2">
        <f t="shared" si="8"/>
        <v>0</v>
      </c>
      <c r="S13" s="2">
        <f t="shared" si="9"/>
        <v>0</v>
      </c>
      <c r="T13" s="2">
        <f t="shared" si="9"/>
        <v>0</v>
      </c>
      <c r="U13" s="2">
        <f t="shared" si="9"/>
        <v>1359408974.4351325</v>
      </c>
    </row>
    <row r="14" spans="1:21" x14ac:dyDescent="0.3">
      <c r="A14" s="14" t="s">
        <v>9</v>
      </c>
      <c r="B14" s="18">
        <f>SUM(B12:B13)</f>
        <v>3858951022.8923111</v>
      </c>
      <c r="C14" s="18">
        <f>SUM(C12:C13)</f>
        <v>0</v>
      </c>
      <c r="D14" s="18">
        <f>SUM(D12:D13)</f>
        <v>0</v>
      </c>
      <c r="E14" s="18">
        <f>SUM(E12:E13)</f>
        <v>3858951022.8923111</v>
      </c>
      <c r="F14" s="28">
        <f t="shared" si="3"/>
        <v>3858951022.8923111</v>
      </c>
      <c r="G14" s="28">
        <f t="shared" si="4"/>
        <v>0</v>
      </c>
      <c r="H14" s="20">
        <f t="shared" si="5"/>
        <v>0</v>
      </c>
      <c r="I14" s="20">
        <f t="shared" si="0"/>
        <v>0</v>
      </c>
      <c r="J14" s="20">
        <f t="shared" si="0"/>
        <v>1</v>
      </c>
      <c r="K14" s="2">
        <f t="shared" si="6"/>
        <v>0</v>
      </c>
      <c r="L14" s="2">
        <f t="shared" si="1"/>
        <v>0</v>
      </c>
      <c r="M14" s="2">
        <f t="shared" si="1"/>
        <v>3858951022.8923111</v>
      </c>
      <c r="N14" s="2">
        <f t="shared" si="7"/>
        <v>3858951022.8923111</v>
      </c>
      <c r="O14" s="2">
        <f t="shared" si="2"/>
        <v>0</v>
      </c>
      <c r="P14" s="2">
        <f t="shared" si="8"/>
        <v>0</v>
      </c>
      <c r="Q14" s="2">
        <f t="shared" si="8"/>
        <v>0</v>
      </c>
      <c r="R14" s="2">
        <f t="shared" si="8"/>
        <v>0</v>
      </c>
      <c r="S14" s="2">
        <f t="shared" si="9"/>
        <v>0</v>
      </c>
      <c r="T14" s="2">
        <f t="shared" si="9"/>
        <v>0</v>
      </c>
      <c r="U14" s="2">
        <f t="shared" si="9"/>
        <v>3858951022.8923111</v>
      </c>
    </row>
    <row r="15" spans="1:21" hidden="1" x14ac:dyDescent="0.3">
      <c r="A15" s="6" t="s">
        <v>10</v>
      </c>
      <c r="B15" s="7">
        <v>805972912</v>
      </c>
      <c r="C15" s="7">
        <v>67850</v>
      </c>
      <c r="D15" s="7">
        <v>44781</v>
      </c>
      <c r="E15" s="7">
        <v>805860281</v>
      </c>
      <c r="F15" s="28"/>
      <c r="G15" s="28"/>
      <c r="H15" s="20">
        <f t="shared" ref="H15:J18" si="10">C15/$B15</f>
        <v>8.418397068907944E-5</v>
      </c>
      <c r="I15" s="20">
        <f t="shared" si="10"/>
        <v>5.5561420654792431E-5</v>
      </c>
      <c r="J15" s="20">
        <f t="shared" si="10"/>
        <v>0.99986025460865613</v>
      </c>
      <c r="K15" s="2">
        <f t="shared" si="6"/>
        <v>67850</v>
      </c>
      <c r="L15" s="2">
        <f t="shared" si="1"/>
        <v>44781</v>
      </c>
      <c r="M15" s="2">
        <f t="shared" si="1"/>
        <v>805860281</v>
      </c>
      <c r="N15" s="2">
        <f t="shared" si="7"/>
        <v>805972912</v>
      </c>
      <c r="O15" s="2">
        <f t="shared" si="2"/>
        <v>0</v>
      </c>
      <c r="P15" s="2">
        <f t="shared" ref="P15:R18" si="11">$O$8*H15</f>
        <v>0</v>
      </c>
      <c r="Q15" s="2">
        <f t="shared" si="11"/>
        <v>0</v>
      </c>
      <c r="R15" s="2">
        <f t="shared" si="11"/>
        <v>0</v>
      </c>
      <c r="S15" s="2">
        <f t="shared" si="9"/>
        <v>67850</v>
      </c>
      <c r="T15" s="2">
        <f t="shared" si="9"/>
        <v>44781</v>
      </c>
      <c r="U15" s="2">
        <f t="shared" si="9"/>
        <v>805860281</v>
      </c>
    </row>
    <row r="16" spans="1:21" hidden="1" x14ac:dyDescent="0.3">
      <c r="A16" s="6" t="s">
        <v>11</v>
      </c>
      <c r="B16" s="7">
        <v>54546455.6616126</v>
      </c>
      <c r="C16" s="7">
        <v>21538.840180300023</v>
      </c>
      <c r="D16" s="7">
        <v>661884.01317300135</v>
      </c>
      <c r="E16" s="7">
        <v>53863032.808259308</v>
      </c>
      <c r="F16" s="28"/>
      <c r="G16" s="28"/>
      <c r="H16" s="20">
        <f t="shared" si="10"/>
        <v>3.9487148924798266E-4</v>
      </c>
      <c r="I16" s="20">
        <f t="shared" si="10"/>
        <v>1.2134317530713664E-2</v>
      </c>
      <c r="J16" s="20">
        <f t="shared" si="10"/>
        <v>0.98747081098003853</v>
      </c>
      <c r="K16" s="2">
        <f t="shared" si="6"/>
        <v>21538.840180300023</v>
      </c>
      <c r="L16" s="2">
        <f t="shared" si="1"/>
        <v>661884.01317300135</v>
      </c>
      <c r="M16" s="2">
        <f t="shared" si="1"/>
        <v>53863032.808259308</v>
      </c>
      <c r="N16" s="2">
        <f t="shared" si="7"/>
        <v>54546455.661612608</v>
      </c>
      <c r="O16" s="2">
        <f t="shared" si="2"/>
        <v>0</v>
      </c>
      <c r="P16" s="2">
        <f t="shared" si="11"/>
        <v>0</v>
      </c>
      <c r="Q16" s="2">
        <f t="shared" si="11"/>
        <v>0</v>
      </c>
      <c r="R16" s="2">
        <f t="shared" si="11"/>
        <v>0</v>
      </c>
      <c r="S16" s="2">
        <f t="shared" si="9"/>
        <v>21538.840180300023</v>
      </c>
      <c r="T16" s="2">
        <f t="shared" si="9"/>
        <v>661884.01317300135</v>
      </c>
      <c r="U16" s="2">
        <f t="shared" si="9"/>
        <v>53863032.808259308</v>
      </c>
    </row>
    <row r="17" spans="1:21" hidden="1" x14ac:dyDescent="0.3">
      <c r="A17" s="14" t="s">
        <v>12</v>
      </c>
      <c r="B17" s="15">
        <v>17626360639.127609</v>
      </c>
      <c r="C17" s="15">
        <v>177421822.88999999</v>
      </c>
      <c r="D17" s="15">
        <v>2500271083.7502003</v>
      </c>
      <c r="E17" s="15">
        <v>14948667732.487404</v>
      </c>
      <c r="F17" s="30"/>
      <c r="G17" s="30"/>
      <c r="H17" s="20">
        <f t="shared" si="10"/>
        <v>1.0065709338554713E-2</v>
      </c>
      <c r="I17" s="20">
        <f t="shared" si="10"/>
        <v>0.14184840166040921</v>
      </c>
      <c r="J17" s="20">
        <f t="shared" si="10"/>
        <v>0.84808588900103576</v>
      </c>
      <c r="K17" s="2">
        <f t="shared" si="6"/>
        <v>177421822.88999999</v>
      </c>
      <c r="L17" s="2">
        <f t="shared" si="1"/>
        <v>2500271083.7502003</v>
      </c>
      <c r="M17" s="2">
        <f t="shared" si="1"/>
        <v>14948667732.487404</v>
      </c>
      <c r="N17" s="2">
        <f t="shared" si="7"/>
        <v>17626360639.127605</v>
      </c>
      <c r="O17" s="2">
        <f t="shared" si="2"/>
        <v>0</v>
      </c>
      <c r="P17" s="2">
        <f t="shared" si="11"/>
        <v>0</v>
      </c>
      <c r="Q17" s="2">
        <f t="shared" si="11"/>
        <v>0</v>
      </c>
      <c r="R17" s="2">
        <f t="shared" si="11"/>
        <v>0</v>
      </c>
      <c r="S17" s="2">
        <f t="shared" si="9"/>
        <v>177421822.88999999</v>
      </c>
      <c r="T17" s="2">
        <f t="shared" si="9"/>
        <v>2500271083.7502003</v>
      </c>
      <c r="U17" s="2">
        <f t="shared" si="9"/>
        <v>14948667732.487404</v>
      </c>
    </row>
    <row r="18" spans="1:21" hidden="1" x14ac:dyDescent="0.3">
      <c r="A18" s="14" t="s">
        <v>12</v>
      </c>
      <c r="B18" s="15"/>
      <c r="C18" s="15"/>
      <c r="D18" s="15"/>
      <c r="E18" s="15"/>
      <c r="F18" s="30"/>
      <c r="G18" s="30"/>
      <c r="H18" s="20" t="e">
        <f t="shared" si="10"/>
        <v>#DIV/0!</v>
      </c>
      <c r="I18" s="20" t="e">
        <f t="shared" si="10"/>
        <v>#DIV/0!</v>
      </c>
      <c r="J18" s="20" t="e">
        <f t="shared" si="10"/>
        <v>#DIV/0!</v>
      </c>
      <c r="K18" s="2" t="e">
        <f t="shared" si="6"/>
        <v>#DIV/0!</v>
      </c>
      <c r="L18" s="2" t="e">
        <f t="shared" si="1"/>
        <v>#DIV/0!</v>
      </c>
      <c r="M18" s="2" t="e">
        <f t="shared" si="1"/>
        <v>#DIV/0!</v>
      </c>
      <c r="N18" s="2" t="e">
        <f t="shared" si="7"/>
        <v>#DIV/0!</v>
      </c>
      <c r="O18" s="2" t="e">
        <f t="shared" si="2"/>
        <v>#DIV/0!</v>
      </c>
      <c r="P18" s="2" t="e">
        <f t="shared" si="11"/>
        <v>#DIV/0!</v>
      </c>
      <c r="Q18" s="2" t="e">
        <f t="shared" si="11"/>
        <v>#DIV/0!</v>
      </c>
      <c r="R18" s="2" t="e">
        <f t="shared" si="11"/>
        <v>#DIV/0!</v>
      </c>
      <c r="S18" s="2" t="e">
        <f t="shared" si="9"/>
        <v>#DIV/0!</v>
      </c>
      <c r="T18" s="2" t="e">
        <f t="shared" si="9"/>
        <v>#DIV/0!</v>
      </c>
      <c r="U18" s="2" t="e">
        <f t="shared" si="9"/>
        <v>#DIV/0!</v>
      </c>
    </row>
    <row r="19" spans="1:21" x14ac:dyDescent="0.3">
      <c r="A19" s="16"/>
      <c r="B19" s="37"/>
      <c r="C19" s="37"/>
      <c r="D19" s="37"/>
      <c r="E19" s="37"/>
      <c r="F19" s="16"/>
      <c r="G19" s="16"/>
      <c r="H19" s="20"/>
      <c r="I19" s="20"/>
      <c r="J19" s="2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16"/>
      <c r="B20" s="3"/>
      <c r="C20" s="38"/>
      <c r="D20" s="37"/>
      <c r="E20" s="37"/>
      <c r="F20" s="16"/>
      <c r="G20" s="16"/>
    </row>
    <row r="21" spans="1:21" x14ac:dyDescent="0.3">
      <c r="A21" s="40" t="s">
        <v>24</v>
      </c>
      <c r="B21" s="40"/>
      <c r="C21" s="40"/>
      <c r="D21" s="40"/>
      <c r="E21" s="40"/>
      <c r="F21" s="26"/>
      <c r="G21" s="26"/>
      <c r="H21" s="40"/>
      <c r="I21" s="40"/>
      <c r="J21" s="40"/>
      <c r="K21" s="40"/>
      <c r="L21" s="40"/>
    </row>
    <row r="22" spans="1:21" x14ac:dyDescent="0.3">
      <c r="A22" s="4" t="s">
        <v>13</v>
      </c>
      <c r="B22" s="5" t="s">
        <v>0</v>
      </c>
      <c r="C22" s="5" t="s">
        <v>25</v>
      </c>
      <c r="D22" s="5" t="s">
        <v>1</v>
      </c>
      <c r="E22" s="5" t="s">
        <v>2</v>
      </c>
      <c r="F22" s="27"/>
      <c r="G22" s="27"/>
      <c r="H22" s="4"/>
      <c r="I22" s="5"/>
      <c r="J22" s="5"/>
      <c r="K22" s="5"/>
      <c r="L22" s="5"/>
    </row>
    <row r="23" spans="1:21" x14ac:dyDescent="0.3">
      <c r="A23" s="6" t="s">
        <v>15</v>
      </c>
      <c r="B23" s="7">
        <v>4365826.62</v>
      </c>
      <c r="C23" s="7">
        <v>0</v>
      </c>
      <c r="D23" s="7">
        <v>0</v>
      </c>
      <c r="E23" s="7">
        <v>4365826.62</v>
      </c>
      <c r="F23" s="28"/>
      <c r="G23" s="28"/>
      <c r="H23" s="6"/>
      <c r="I23" s="7"/>
      <c r="J23" s="7"/>
      <c r="K23" s="7"/>
      <c r="L23" s="7"/>
    </row>
    <row r="24" spans="1:21" x14ac:dyDescent="0.3">
      <c r="A24" s="6" t="s">
        <v>17</v>
      </c>
      <c r="B24" s="7">
        <v>1048351.5</v>
      </c>
      <c r="C24" s="7">
        <v>0</v>
      </c>
      <c r="D24" s="7">
        <v>0</v>
      </c>
      <c r="E24" s="7">
        <v>1048351.5</v>
      </c>
      <c r="F24" s="28"/>
      <c r="G24" s="28"/>
      <c r="H24" s="6"/>
      <c r="I24" s="7"/>
      <c r="J24" s="7"/>
      <c r="K24" s="7"/>
      <c r="L24" s="7"/>
    </row>
    <row r="25" spans="1:21" x14ac:dyDescent="0.3">
      <c r="A25" s="6" t="s">
        <v>18</v>
      </c>
      <c r="B25" s="7">
        <v>110135.1</v>
      </c>
      <c r="C25" s="7">
        <v>0</v>
      </c>
      <c r="D25" s="7">
        <v>0</v>
      </c>
      <c r="E25" s="7">
        <v>110135.1</v>
      </c>
      <c r="F25" s="28"/>
      <c r="G25" s="28"/>
      <c r="H25" s="8"/>
      <c r="I25" s="9"/>
      <c r="J25" s="9"/>
      <c r="K25" s="9"/>
      <c r="L25" s="9"/>
    </row>
    <row r="26" spans="1:21" x14ac:dyDescent="0.3">
      <c r="A26" s="6" t="s">
        <v>27</v>
      </c>
      <c r="B26" s="7">
        <v>0</v>
      </c>
      <c r="C26" s="7">
        <v>0</v>
      </c>
      <c r="D26" s="7">
        <v>0</v>
      </c>
      <c r="E26" s="7">
        <v>0</v>
      </c>
      <c r="F26" s="28"/>
      <c r="G26" s="28"/>
      <c r="H26" s="8"/>
      <c r="I26" s="9"/>
      <c r="J26" s="9"/>
      <c r="K26" s="9"/>
      <c r="L26" s="9"/>
    </row>
    <row r="27" spans="1:21" x14ac:dyDescent="0.3">
      <c r="A27" s="6" t="s">
        <v>19</v>
      </c>
      <c r="B27" s="7">
        <v>254807.42</v>
      </c>
      <c r="C27" s="7">
        <v>0</v>
      </c>
      <c r="D27" s="7">
        <v>0</v>
      </c>
      <c r="E27" s="7">
        <v>254807.42</v>
      </c>
      <c r="F27" s="28"/>
      <c r="G27" s="28"/>
      <c r="H27" s="10"/>
      <c r="I27" s="11"/>
      <c r="J27" s="11"/>
      <c r="K27" s="11"/>
      <c r="L27" s="11"/>
    </row>
    <row r="28" spans="1:21" x14ac:dyDescent="0.3">
      <c r="A28" s="6" t="s">
        <v>16</v>
      </c>
      <c r="B28" s="7">
        <v>8000</v>
      </c>
      <c r="C28" s="7">
        <v>0</v>
      </c>
      <c r="D28" s="7">
        <v>0</v>
      </c>
      <c r="E28" s="7">
        <v>8000</v>
      </c>
      <c r="F28" s="28"/>
      <c r="G28" s="28"/>
      <c r="H28" s="10"/>
      <c r="I28" s="11"/>
      <c r="J28" s="11"/>
      <c r="K28" s="11"/>
      <c r="L28" s="11"/>
    </row>
    <row r="29" spans="1:21" x14ac:dyDescent="0.3">
      <c r="A29" s="12" t="s">
        <v>20</v>
      </c>
      <c r="B29" s="13">
        <f>SUM(B23:B28)</f>
        <v>5787120.6399999997</v>
      </c>
      <c r="C29" s="13">
        <f t="shared" ref="C29:E29" si="12">SUM(C23:C28)</f>
        <v>0</v>
      </c>
      <c r="D29" s="13">
        <f t="shared" si="12"/>
        <v>0</v>
      </c>
      <c r="E29" s="13">
        <f t="shared" si="12"/>
        <v>5787120.6399999997</v>
      </c>
      <c r="F29" s="31"/>
      <c r="G29" s="31"/>
      <c r="H29" s="14"/>
      <c r="I29" s="18"/>
      <c r="J29" s="18"/>
      <c r="K29" s="18"/>
      <c r="L29" s="18"/>
    </row>
    <row r="30" spans="1:21" x14ac:dyDescent="0.3">
      <c r="A30" s="16"/>
      <c r="B30" s="16"/>
      <c r="C30" s="16"/>
      <c r="D30" s="16"/>
      <c r="E30" s="16"/>
      <c r="F30" s="16"/>
      <c r="G30" s="16"/>
      <c r="I30" s="21"/>
      <c r="J30" s="21"/>
      <c r="K30" s="21"/>
      <c r="L30" s="21"/>
    </row>
    <row r="31" spans="1:21" x14ac:dyDescent="0.3">
      <c r="A31" s="23" t="s">
        <v>10</v>
      </c>
      <c r="B31" s="22">
        <v>407977645</v>
      </c>
      <c r="C31" s="22">
        <v>0</v>
      </c>
      <c r="D31" s="22">
        <v>0</v>
      </c>
      <c r="E31" s="22">
        <v>407977645</v>
      </c>
      <c r="F31" s="32"/>
      <c r="G31" s="32"/>
      <c r="I31" s="21"/>
      <c r="J31" s="21"/>
      <c r="K31" s="21"/>
      <c r="L31" s="21"/>
    </row>
    <row r="32" spans="1:21" x14ac:dyDescent="0.3">
      <c r="A32" s="16"/>
      <c r="B32" s="16"/>
      <c r="C32" s="16"/>
      <c r="D32" s="16"/>
      <c r="E32" s="16"/>
      <c r="F32" s="16"/>
      <c r="G32" s="16"/>
      <c r="I32" s="21"/>
      <c r="J32" s="21"/>
      <c r="K32" s="21"/>
      <c r="L32" s="21"/>
    </row>
    <row r="33" spans="1:12" x14ac:dyDescent="0.3">
      <c r="A33" s="17" t="s">
        <v>14</v>
      </c>
      <c r="B33" s="19">
        <f>+B14+B29</f>
        <v>3864738143.532311</v>
      </c>
      <c r="C33" s="19">
        <f t="shared" ref="C33:E33" si="13">+C14+C29</f>
        <v>0</v>
      </c>
      <c r="D33" s="19">
        <f t="shared" si="13"/>
        <v>0</v>
      </c>
      <c r="E33" s="19">
        <f t="shared" si="13"/>
        <v>3864738143.532311</v>
      </c>
      <c r="F33" s="33"/>
      <c r="G33" s="33"/>
      <c r="I33" s="21"/>
      <c r="J33" s="21"/>
      <c r="K33" s="21"/>
      <c r="L33" s="21"/>
    </row>
    <row r="34" spans="1:12" x14ac:dyDescent="0.3">
      <c r="A34" s="16"/>
      <c r="B34" s="16"/>
      <c r="C34" s="16"/>
      <c r="D34" s="16"/>
      <c r="E34" s="16"/>
      <c r="F34" s="16"/>
      <c r="G34" s="16"/>
      <c r="I34" s="21"/>
      <c r="J34" s="21"/>
      <c r="K34" s="21"/>
      <c r="L34" s="21"/>
    </row>
    <row r="35" spans="1:12" x14ac:dyDescent="0.3">
      <c r="A35" s="39" t="s">
        <v>31</v>
      </c>
      <c r="B35" s="16"/>
      <c r="C35" s="16"/>
      <c r="D35" s="16"/>
      <c r="E35" s="16"/>
      <c r="F35" s="16"/>
      <c r="G35" s="16"/>
      <c r="I35" s="21"/>
      <c r="J35" s="21"/>
      <c r="K35" s="21"/>
      <c r="L35" s="21"/>
    </row>
    <row r="36" spans="1:12" x14ac:dyDescent="0.3">
      <c r="A36" s="39" t="s">
        <v>32</v>
      </c>
      <c r="B36" s="16"/>
      <c r="C36" s="16"/>
      <c r="D36" s="16"/>
      <c r="E36" s="16"/>
      <c r="F36" s="16"/>
      <c r="G36" s="16"/>
      <c r="I36" s="21"/>
      <c r="J36" s="21"/>
      <c r="K36" s="21"/>
      <c r="L36" s="21"/>
    </row>
    <row r="37" spans="1:12" x14ac:dyDescent="0.3">
      <c r="A37" s="16"/>
      <c r="B37" s="16"/>
      <c r="C37" s="16"/>
      <c r="D37" s="16"/>
      <c r="E37" s="16"/>
      <c r="F37" s="16"/>
      <c r="G37" s="16"/>
      <c r="I37" s="21"/>
      <c r="J37" s="21"/>
      <c r="K37" s="21"/>
      <c r="L37" s="21"/>
    </row>
    <row r="38" spans="1:12" x14ac:dyDescent="0.3">
      <c r="A38" s="16"/>
      <c r="B38" s="16"/>
      <c r="C38" s="16"/>
      <c r="D38" s="16"/>
      <c r="E38" s="16"/>
      <c r="F38" s="16"/>
      <c r="G38" s="16"/>
      <c r="I38" s="21"/>
      <c r="J38" s="21"/>
      <c r="K38" s="21"/>
      <c r="L38" s="21"/>
    </row>
    <row r="39" spans="1:12" x14ac:dyDescent="0.3">
      <c r="A39" s="6" t="s">
        <v>21</v>
      </c>
      <c r="B39" s="7">
        <v>27386119</v>
      </c>
      <c r="C39" s="7"/>
      <c r="D39" s="7">
        <f>B39-E39</f>
        <v>0</v>
      </c>
      <c r="E39" s="7">
        <v>27386119</v>
      </c>
      <c r="F39" s="28"/>
      <c r="G39" s="28"/>
      <c r="I39" s="21"/>
      <c r="J39" s="21"/>
      <c r="K39" s="21"/>
      <c r="L39" s="21"/>
    </row>
    <row r="40" spans="1:12" x14ac:dyDescent="0.3">
      <c r="A40" s="6" t="s">
        <v>22</v>
      </c>
      <c r="B40" s="7">
        <v>14054024</v>
      </c>
      <c r="C40" s="7"/>
      <c r="D40" s="7">
        <f>B40-E40</f>
        <v>0</v>
      </c>
      <c r="E40" s="7">
        <v>14054024</v>
      </c>
      <c r="F40" s="28"/>
      <c r="G40" s="28"/>
    </row>
    <row r="41" spans="1:12" x14ac:dyDescent="0.3">
      <c r="A41" s="6" t="s">
        <v>10</v>
      </c>
      <c r="B41" s="7">
        <v>650781702</v>
      </c>
      <c r="C41" s="7"/>
      <c r="D41" s="7">
        <f>B41-E41</f>
        <v>0</v>
      </c>
      <c r="E41" s="7">
        <v>650781702</v>
      </c>
      <c r="F41" s="28"/>
      <c r="G41" s="28"/>
    </row>
    <row r="42" spans="1:12" x14ac:dyDescent="0.3">
      <c r="A42" s="14" t="s">
        <v>0</v>
      </c>
      <c r="B42" s="18">
        <f>SUM(B29:B41)</f>
        <v>4970724754.1723108</v>
      </c>
      <c r="C42" s="18"/>
      <c r="D42" s="18">
        <f>SUM(D29:D41)</f>
        <v>0</v>
      </c>
      <c r="E42" s="18">
        <f>SUM(E29:E41)</f>
        <v>4970724754.1723108</v>
      </c>
      <c r="F42" s="29"/>
      <c r="G42" s="29"/>
    </row>
    <row r="43" spans="1:12" x14ac:dyDescent="0.3">
      <c r="A43" s="16"/>
      <c r="B43" s="16"/>
      <c r="C43" s="16"/>
      <c r="D43" s="16"/>
      <c r="E43" s="16"/>
      <c r="F43" s="16"/>
      <c r="G43" s="16"/>
    </row>
    <row r="44" spans="1:12" x14ac:dyDescent="0.3">
      <c r="A44" s="17" t="s">
        <v>14</v>
      </c>
      <c r="B44" s="19">
        <f>B42+B14</f>
        <v>8829675777.064621</v>
      </c>
      <c r="C44" s="19"/>
      <c r="D44" s="19">
        <f>D42+D14</f>
        <v>0</v>
      </c>
      <c r="E44" s="19">
        <f>E42+E14</f>
        <v>8829675777.064621</v>
      </c>
      <c r="F44" s="33"/>
      <c r="G44" s="33"/>
    </row>
  </sheetData>
  <mergeCells count="4">
    <mergeCell ref="A6:E6"/>
    <mergeCell ref="S7:U7"/>
    <mergeCell ref="A21:E21"/>
    <mergeCell ref="H21:L21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&amp;"Tahoma,Bold"2022 Collection Snapshot&amp;R&amp;"Tahoma,Regular"&amp;10&amp;D</oddHeader>
    <oddFooter>&amp;L&amp;"Tahoma,Regular"&amp;10Collections&amp;R&amp;"Tahoma,Regular"&amp;10&amp;P/&amp;N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BC4C-E787-4ECF-9609-C954AC3EE67B}">
  <sheetPr>
    <tabColor theme="3" tint="0.89999084444715716"/>
    <pageSetUpPr fitToPage="1"/>
  </sheetPr>
  <dimension ref="A1:U44"/>
  <sheetViews>
    <sheetView view="pageBreakPreview" topLeftCell="A6" zoomScaleNormal="100" zoomScaleSheetLayoutView="100" workbookViewId="0">
      <selection activeCell="A24" sqref="A24"/>
    </sheetView>
  </sheetViews>
  <sheetFormatPr defaultRowHeight="14.4" x14ac:dyDescent="0.3"/>
  <cols>
    <col min="1" max="1" width="43.21875" style="1" customWidth="1"/>
    <col min="2" max="2" width="18.77734375" style="1" bestFit="1" customWidth="1"/>
    <col min="3" max="3" width="16.5546875" style="1" bestFit="1" customWidth="1"/>
    <col min="4" max="4" width="17.88671875" style="1" bestFit="1" customWidth="1"/>
    <col min="5" max="5" width="18.77734375" style="1" bestFit="1" customWidth="1"/>
    <col min="6" max="6" width="26.88671875" style="1" customWidth="1"/>
    <col min="7" max="7" width="18.77734375" style="1" customWidth="1"/>
    <col min="8" max="8" width="14.109375" bestFit="1" customWidth="1"/>
    <col min="9" max="9" width="16.6640625" bestFit="1" customWidth="1"/>
    <col min="10" max="10" width="17.33203125" bestFit="1" customWidth="1"/>
    <col min="11" max="11" width="15.109375" bestFit="1" customWidth="1"/>
    <col min="12" max="14" width="16.6640625" bestFit="1" customWidth="1"/>
    <col min="15" max="18" width="13.109375" bestFit="1" customWidth="1"/>
    <col min="19" max="19" width="15.109375" bestFit="1" customWidth="1"/>
    <col min="20" max="20" width="16.6640625" bestFit="1" customWidth="1"/>
    <col min="21" max="21" width="17.77734375" bestFit="1" customWidth="1"/>
  </cols>
  <sheetData>
    <row r="1" spans="1:21" hidden="1" x14ac:dyDescent="0.3">
      <c r="B1" s="36">
        <f>B3/'2025 Collection Dynamic'!B$4</f>
        <v>0.33998538578090498</v>
      </c>
      <c r="C1" s="36">
        <f>C3/'2025 Collection Dynamic'!C$4</f>
        <v>0.24657297721809229</v>
      </c>
      <c r="D1" s="36">
        <f>D3/'2025 Collection Dynamic'!D$4</f>
        <v>0.35197649814129039</v>
      </c>
      <c r="E1" s="36">
        <f>E3/'2025 Collection Dynamic'!E$4</f>
        <v>0.33928687108002104</v>
      </c>
    </row>
    <row r="2" spans="1:21" hidden="1" x14ac:dyDescent="0.3">
      <c r="B2" s="36">
        <f>B4/'2025 Collection Dynamic'!B$4</f>
        <v>0.65962922832296922</v>
      </c>
      <c r="C2" s="36">
        <f>C4/'2025 Collection Dynamic'!C$4</f>
        <v>0.76183081810171083</v>
      </c>
      <c r="D2" s="36">
        <f>D4/'2025 Collection Dynamic'!D$4</f>
        <v>0.66945145976583942</v>
      </c>
      <c r="E2" s="36">
        <f>E4/'2025 Collection Dynamic'!E$4</f>
        <v>0.65744976362305385</v>
      </c>
    </row>
    <row r="3" spans="1:21" hidden="1" x14ac:dyDescent="0.3">
      <c r="A3" s="8" t="s">
        <v>5</v>
      </c>
      <c r="B3" s="9" cm="1">
        <f t="array" ref="B3:E4">'2025 Collection Dynamic'!B5:E6</f>
        <v>1120097561.1199999</v>
      </c>
      <c r="C3" s="9">
        <v>6423771.9691028651</v>
      </c>
      <c r="D3" s="9">
        <v>130828465.52716497</v>
      </c>
      <c r="E3" s="9">
        <v>982845323.62373197</v>
      </c>
    </row>
    <row r="4" spans="1:21" hidden="1" x14ac:dyDescent="0.3">
      <c r="A4" s="8" t="s">
        <v>6</v>
      </c>
      <c r="B4" s="9">
        <v>2173178968.2399998</v>
      </c>
      <c r="C4" s="9">
        <v>19847379.504980844</v>
      </c>
      <c r="D4" s="9">
        <v>248832827.44329056</v>
      </c>
      <c r="E4" s="9">
        <v>1904498761.2917285</v>
      </c>
      <c r="F4" s="1" t="s">
        <v>29</v>
      </c>
    </row>
    <row r="5" spans="1:21" hidden="1" x14ac:dyDescent="0.3">
      <c r="A5" s="1" t="s">
        <v>28</v>
      </c>
      <c r="B5" s="9">
        <f>'2025 Collection Dynamic'!B4-'2023 Collection'!B9</f>
        <v>2328411674.229918</v>
      </c>
      <c r="C5" s="9">
        <f>'2025 Collection Dynamic'!C4-'2023 Collection'!C9</f>
        <v>26052214</v>
      </c>
      <c r="D5" s="9">
        <f>'2025 Collection Dynamic'!D4-'2023 Collection'!D9</f>
        <v>371696594</v>
      </c>
      <c r="E5" s="9">
        <f>'2025 Collection Dynamic'!E4-'2023 Collection'!E9</f>
        <v>1930662866.229918</v>
      </c>
    </row>
    <row r="6" spans="1:21" x14ac:dyDescent="0.3">
      <c r="A6" s="40" t="s">
        <v>23</v>
      </c>
      <c r="B6" s="40"/>
      <c r="C6" s="40"/>
      <c r="D6" s="40"/>
      <c r="E6" s="40"/>
      <c r="F6" s="26"/>
      <c r="G6" s="26"/>
    </row>
    <row r="7" spans="1:21" x14ac:dyDescent="0.3">
      <c r="A7" s="4">
        <v>2023</v>
      </c>
      <c r="B7" s="5" t="s">
        <v>0</v>
      </c>
      <c r="C7" s="5" t="s">
        <v>25</v>
      </c>
      <c r="D7" s="5" t="s">
        <v>1</v>
      </c>
      <c r="E7" s="5" t="s">
        <v>2</v>
      </c>
      <c r="F7" s="27"/>
      <c r="G7" s="27"/>
      <c r="H7" s="2"/>
      <c r="I7" s="2"/>
      <c r="J7" s="2"/>
      <c r="P7" s="2">
        <f>SUM(P8:R8)</f>
        <v>0</v>
      </c>
      <c r="Q7" s="2"/>
      <c r="S7" s="41" t="s">
        <v>26</v>
      </c>
      <c r="T7" s="41"/>
      <c r="U7" s="41"/>
    </row>
    <row r="8" spans="1:21" x14ac:dyDescent="0.3">
      <c r="A8" s="6" t="s">
        <v>3</v>
      </c>
      <c r="B8" s="7">
        <v>3736952531.4253278</v>
      </c>
      <c r="C8" s="7">
        <v>0</v>
      </c>
      <c r="D8" s="7">
        <v>0</v>
      </c>
      <c r="E8" s="7">
        <v>3736952531.4253278</v>
      </c>
      <c r="F8" s="28">
        <f>SUM(C8:E8)</f>
        <v>3736952531.4253278</v>
      </c>
      <c r="G8" s="28">
        <f>F8-B8</f>
        <v>0</v>
      </c>
      <c r="H8" s="20">
        <f>C8/$F8</f>
        <v>0</v>
      </c>
      <c r="I8" s="20">
        <f t="shared" ref="I8:J14" si="0">D8/$F8</f>
        <v>0</v>
      </c>
      <c r="J8" s="20">
        <f t="shared" si="0"/>
        <v>1</v>
      </c>
      <c r="K8" s="2">
        <f>H8*$B8</f>
        <v>0</v>
      </c>
      <c r="L8" s="2">
        <f t="shared" ref="L8:M18" si="1">I8*$B8</f>
        <v>0</v>
      </c>
      <c r="M8" s="2">
        <f t="shared" si="1"/>
        <v>3736952531.4253278</v>
      </c>
      <c r="N8" s="2">
        <f>SUM(K8:M8)</f>
        <v>3736952531.4253278</v>
      </c>
      <c r="O8" s="2">
        <f t="shared" ref="O8:O18" si="2">N8-B8</f>
        <v>0</v>
      </c>
      <c r="P8" s="2">
        <f>$O8*H8</f>
        <v>0</v>
      </c>
      <c r="Q8" s="2">
        <f>$O8*I8</f>
        <v>0</v>
      </c>
      <c r="R8" s="2">
        <f>$O8*J8</f>
        <v>0</v>
      </c>
      <c r="S8" s="2">
        <f>K8-P8</f>
        <v>0</v>
      </c>
      <c r="T8" s="2">
        <f>L8-Q8</f>
        <v>0</v>
      </c>
      <c r="U8" s="2">
        <f>M8-R8</f>
        <v>3736952531.4253278</v>
      </c>
    </row>
    <row r="9" spans="1:21" x14ac:dyDescent="0.3">
      <c r="A9" s="6" t="s">
        <v>4</v>
      </c>
      <c r="B9" s="7">
        <v>966134526.77008188</v>
      </c>
      <c r="C9" s="7">
        <v>0</v>
      </c>
      <c r="D9" s="7">
        <v>0</v>
      </c>
      <c r="E9" s="7">
        <v>966134526.77008188</v>
      </c>
      <c r="F9" s="28">
        <f t="shared" ref="F9:F14" si="3">SUM(C9:E9)</f>
        <v>966134526.77008188</v>
      </c>
      <c r="G9" s="28">
        <f t="shared" ref="G9:G14" si="4">F9-B9</f>
        <v>0</v>
      </c>
      <c r="H9" s="20">
        <f t="shared" ref="H9:H14" si="5">C9/$F9</f>
        <v>0</v>
      </c>
      <c r="I9" s="20">
        <f t="shared" si="0"/>
        <v>0</v>
      </c>
      <c r="J9" s="20">
        <f t="shared" si="0"/>
        <v>1</v>
      </c>
      <c r="K9" s="2">
        <f t="shared" ref="K9:K18" si="6">H9*$B9</f>
        <v>0</v>
      </c>
      <c r="L9" s="2">
        <f t="shared" si="1"/>
        <v>0</v>
      </c>
      <c r="M9" s="2">
        <f t="shared" si="1"/>
        <v>966134526.77008188</v>
      </c>
      <c r="N9" s="2">
        <f t="shared" ref="N9:N18" si="7">SUM(K9:M9)</f>
        <v>966134526.77008188</v>
      </c>
      <c r="O9" s="2">
        <f t="shared" si="2"/>
        <v>0</v>
      </c>
      <c r="P9" s="2">
        <f t="shared" ref="P9:R14" si="8">$O9*H9</f>
        <v>0</v>
      </c>
      <c r="Q9" s="2">
        <f t="shared" si="8"/>
        <v>0</v>
      </c>
      <c r="R9" s="2">
        <f t="shared" si="8"/>
        <v>0</v>
      </c>
      <c r="S9" s="2">
        <f t="shared" ref="S9:U18" si="9">K9-P9</f>
        <v>0</v>
      </c>
      <c r="T9" s="2">
        <f t="shared" si="9"/>
        <v>0</v>
      </c>
      <c r="U9" s="2">
        <f t="shared" si="9"/>
        <v>966134526.77008188</v>
      </c>
    </row>
    <row r="10" spans="1:21" x14ac:dyDescent="0.3">
      <c r="A10" s="8" t="s">
        <v>5</v>
      </c>
      <c r="B10" s="9">
        <f>+SUM(C10:E10)</f>
        <v>358170903.45000041</v>
      </c>
      <c r="C10" s="9">
        <v>0</v>
      </c>
      <c r="D10" s="9">
        <v>0</v>
      </c>
      <c r="E10" s="48">
        <v>358170903.45000041</v>
      </c>
      <c r="F10" s="28">
        <f t="shared" si="3"/>
        <v>358170903.45000041</v>
      </c>
      <c r="G10" s="28">
        <f t="shared" si="4"/>
        <v>0</v>
      </c>
      <c r="H10" s="20">
        <f t="shared" si="5"/>
        <v>0</v>
      </c>
      <c r="I10" s="20">
        <f t="shared" si="0"/>
        <v>0</v>
      </c>
      <c r="J10" s="20">
        <f t="shared" si="0"/>
        <v>1</v>
      </c>
      <c r="K10" s="2">
        <f t="shared" si="6"/>
        <v>0</v>
      </c>
      <c r="L10" s="2">
        <f t="shared" si="1"/>
        <v>0</v>
      </c>
      <c r="M10" s="2">
        <f t="shared" si="1"/>
        <v>358170903.45000041</v>
      </c>
      <c r="N10" s="2">
        <f t="shared" si="7"/>
        <v>358170903.45000041</v>
      </c>
      <c r="O10" s="2">
        <f t="shared" si="2"/>
        <v>0</v>
      </c>
      <c r="P10" s="2">
        <f t="shared" si="8"/>
        <v>0</v>
      </c>
      <c r="Q10" s="2">
        <f t="shared" si="8"/>
        <v>0</v>
      </c>
      <c r="R10" s="2">
        <f t="shared" si="8"/>
        <v>0</v>
      </c>
      <c r="S10" s="2">
        <f t="shared" si="9"/>
        <v>0</v>
      </c>
      <c r="T10" s="2">
        <f t="shared" si="9"/>
        <v>0</v>
      </c>
      <c r="U10" s="2">
        <f t="shared" si="9"/>
        <v>358170903.45000041</v>
      </c>
    </row>
    <row r="11" spans="1:21" x14ac:dyDescent="0.3">
      <c r="A11" s="8" t="s">
        <v>6</v>
      </c>
      <c r="B11" s="9">
        <f>+SUM(C11:E11)</f>
        <v>422981687.97999901</v>
      </c>
      <c r="C11" s="9">
        <v>0</v>
      </c>
      <c r="D11" s="9">
        <v>0</v>
      </c>
      <c r="E11" s="48">
        <v>422981687.97999901</v>
      </c>
      <c r="F11" s="28">
        <f t="shared" si="3"/>
        <v>422981687.97999901</v>
      </c>
      <c r="G11" s="28">
        <f t="shared" si="4"/>
        <v>0</v>
      </c>
      <c r="H11" s="20">
        <f t="shared" si="5"/>
        <v>0</v>
      </c>
      <c r="I11" s="20">
        <f t="shared" si="0"/>
        <v>0</v>
      </c>
      <c r="J11" s="20">
        <f t="shared" si="0"/>
        <v>1</v>
      </c>
      <c r="K11" s="2">
        <f t="shared" si="6"/>
        <v>0</v>
      </c>
      <c r="L11" s="2">
        <f t="shared" si="1"/>
        <v>0</v>
      </c>
      <c r="M11" s="2">
        <f t="shared" si="1"/>
        <v>422981687.97999901</v>
      </c>
      <c r="N11" s="2">
        <f t="shared" si="7"/>
        <v>422981687.97999901</v>
      </c>
      <c r="O11" s="2">
        <f t="shared" si="2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9"/>
        <v>0</v>
      </c>
      <c r="T11" s="2">
        <f t="shared" si="9"/>
        <v>0</v>
      </c>
      <c r="U11" s="2">
        <f t="shared" si="9"/>
        <v>422981687.97999901</v>
      </c>
    </row>
    <row r="12" spans="1:21" x14ac:dyDescent="0.3">
      <c r="A12" s="10" t="s">
        <v>7</v>
      </c>
      <c r="B12" s="11">
        <f>B8+B9</f>
        <v>4703087058.1954098</v>
      </c>
      <c r="C12" s="11">
        <f>C8+C9</f>
        <v>0</v>
      </c>
      <c r="D12" s="11">
        <f>D8+D9</f>
        <v>0</v>
      </c>
      <c r="E12" s="11">
        <f t="shared" ref="E12" si="10">E8+E9</f>
        <v>4703087058.1954098</v>
      </c>
      <c r="F12" s="28">
        <f>SUM(C12:E12)</f>
        <v>4703087058.1954098</v>
      </c>
      <c r="G12" s="28">
        <f>F12-B12</f>
        <v>0</v>
      </c>
      <c r="H12" s="20">
        <f t="shared" si="5"/>
        <v>0</v>
      </c>
      <c r="I12" s="20">
        <f t="shared" si="0"/>
        <v>0</v>
      </c>
      <c r="J12" s="20">
        <f t="shared" si="0"/>
        <v>1</v>
      </c>
      <c r="K12" s="2">
        <f t="shared" si="6"/>
        <v>0</v>
      </c>
      <c r="L12" s="2">
        <f t="shared" si="1"/>
        <v>0</v>
      </c>
      <c r="M12" s="2">
        <f t="shared" si="1"/>
        <v>4703087058.1954098</v>
      </c>
      <c r="N12" s="2">
        <f t="shared" si="7"/>
        <v>4703087058.1954098</v>
      </c>
      <c r="O12" s="2">
        <f t="shared" si="2"/>
        <v>0</v>
      </c>
      <c r="P12" s="2">
        <f t="shared" si="8"/>
        <v>0</v>
      </c>
      <c r="Q12" s="2">
        <f t="shared" si="8"/>
        <v>0</v>
      </c>
      <c r="R12" s="2">
        <f t="shared" si="8"/>
        <v>0</v>
      </c>
      <c r="S12" s="2">
        <f t="shared" si="9"/>
        <v>0</v>
      </c>
      <c r="T12" s="2">
        <f t="shared" si="9"/>
        <v>0</v>
      </c>
      <c r="U12" s="2">
        <f t="shared" si="9"/>
        <v>4703087058.1954098</v>
      </c>
    </row>
    <row r="13" spans="1:21" x14ac:dyDescent="0.3">
      <c r="A13" s="10" t="s">
        <v>8</v>
      </c>
      <c r="B13" s="11">
        <v>2472242586.6903234</v>
      </c>
      <c r="C13" s="11"/>
      <c r="D13" s="11"/>
      <c r="E13" s="11">
        <v>2472242586.6903234</v>
      </c>
      <c r="F13" s="28">
        <f>SUM(C13:E13)</f>
        <v>2472242586.6903234</v>
      </c>
      <c r="G13" s="28">
        <f>F13-B13</f>
        <v>0</v>
      </c>
      <c r="H13" s="20">
        <f t="shared" si="5"/>
        <v>0</v>
      </c>
      <c r="I13" s="20">
        <f t="shared" si="0"/>
        <v>0</v>
      </c>
      <c r="J13" s="20">
        <f t="shared" si="0"/>
        <v>1</v>
      </c>
      <c r="K13" s="2">
        <f t="shared" si="6"/>
        <v>0</v>
      </c>
      <c r="L13" s="2">
        <f t="shared" si="1"/>
        <v>0</v>
      </c>
      <c r="M13" s="2">
        <f t="shared" si="1"/>
        <v>2472242586.6903234</v>
      </c>
      <c r="N13" s="2">
        <f t="shared" si="7"/>
        <v>2472242586.6903234</v>
      </c>
      <c r="O13" s="2">
        <f t="shared" si="2"/>
        <v>0</v>
      </c>
      <c r="P13" s="2">
        <f t="shared" si="8"/>
        <v>0</v>
      </c>
      <c r="Q13" s="2">
        <f t="shared" si="8"/>
        <v>0</v>
      </c>
      <c r="R13" s="2">
        <f t="shared" si="8"/>
        <v>0</v>
      </c>
      <c r="S13" s="2">
        <f t="shared" si="9"/>
        <v>0</v>
      </c>
      <c r="T13" s="2">
        <f t="shared" si="9"/>
        <v>0</v>
      </c>
      <c r="U13" s="2">
        <f t="shared" si="9"/>
        <v>2472242586.6903234</v>
      </c>
    </row>
    <row r="14" spans="1:21" x14ac:dyDescent="0.3">
      <c r="A14" s="14" t="s">
        <v>9</v>
      </c>
      <c r="B14" s="18">
        <f>SUM(B12:B13)</f>
        <v>7175329644.8857327</v>
      </c>
      <c r="C14" s="18">
        <f>SUM(C12:C13)</f>
        <v>0</v>
      </c>
      <c r="D14" s="18">
        <f>SUM(D12:D13)</f>
        <v>0</v>
      </c>
      <c r="E14" s="18">
        <f>SUM(E12:E13)</f>
        <v>7175329644.8857327</v>
      </c>
      <c r="F14" s="28">
        <f t="shared" si="3"/>
        <v>7175329644.8857327</v>
      </c>
      <c r="G14" s="28">
        <f t="shared" si="4"/>
        <v>0</v>
      </c>
      <c r="H14" s="20">
        <f t="shared" si="5"/>
        <v>0</v>
      </c>
      <c r="I14" s="20">
        <f t="shared" si="0"/>
        <v>0</v>
      </c>
      <c r="J14" s="20">
        <f t="shared" si="0"/>
        <v>1</v>
      </c>
      <c r="K14" s="2">
        <f t="shared" si="6"/>
        <v>0</v>
      </c>
      <c r="L14" s="2">
        <f t="shared" si="1"/>
        <v>0</v>
      </c>
      <c r="M14" s="2">
        <f t="shared" si="1"/>
        <v>7175329644.8857327</v>
      </c>
      <c r="N14" s="2">
        <f t="shared" si="7"/>
        <v>7175329644.8857327</v>
      </c>
      <c r="O14" s="2">
        <f t="shared" si="2"/>
        <v>0</v>
      </c>
      <c r="P14" s="2">
        <f t="shared" si="8"/>
        <v>0</v>
      </c>
      <c r="Q14" s="2">
        <f t="shared" si="8"/>
        <v>0</v>
      </c>
      <c r="R14" s="2">
        <f t="shared" si="8"/>
        <v>0</v>
      </c>
      <c r="S14" s="2">
        <f t="shared" si="9"/>
        <v>0</v>
      </c>
      <c r="T14" s="2">
        <f t="shared" si="9"/>
        <v>0</v>
      </c>
      <c r="U14" s="2">
        <f t="shared" si="9"/>
        <v>7175329644.8857327</v>
      </c>
    </row>
    <row r="15" spans="1:21" hidden="1" x14ac:dyDescent="0.3">
      <c r="A15" s="6" t="s">
        <v>10</v>
      </c>
      <c r="B15" s="7">
        <v>805972912</v>
      </c>
      <c r="C15" s="7">
        <v>67850</v>
      </c>
      <c r="D15" s="7">
        <v>44781</v>
      </c>
      <c r="E15" s="7">
        <v>805860281</v>
      </c>
      <c r="F15" s="28"/>
      <c r="G15" s="28"/>
      <c r="H15" s="20">
        <f t="shared" ref="H15:J18" si="11">C15/$B15</f>
        <v>8.418397068907944E-5</v>
      </c>
      <c r="I15" s="20">
        <f t="shared" si="11"/>
        <v>5.5561420654792431E-5</v>
      </c>
      <c r="J15" s="20">
        <f t="shared" si="11"/>
        <v>0.99986025460865613</v>
      </c>
      <c r="K15" s="2">
        <f t="shared" si="6"/>
        <v>67850</v>
      </c>
      <c r="L15" s="2">
        <f t="shared" si="1"/>
        <v>44781</v>
      </c>
      <c r="M15" s="2">
        <f t="shared" si="1"/>
        <v>805860281</v>
      </c>
      <c r="N15" s="2">
        <f t="shared" si="7"/>
        <v>805972912</v>
      </c>
      <c r="O15" s="2">
        <f t="shared" si="2"/>
        <v>0</v>
      </c>
      <c r="P15" s="2">
        <f t="shared" ref="P15:R18" si="12">$O$8*H15</f>
        <v>0</v>
      </c>
      <c r="Q15" s="2">
        <f t="shared" si="12"/>
        <v>0</v>
      </c>
      <c r="R15" s="2">
        <f t="shared" si="12"/>
        <v>0</v>
      </c>
      <c r="S15" s="2">
        <f t="shared" si="9"/>
        <v>67850</v>
      </c>
      <c r="T15" s="2">
        <f t="shared" si="9"/>
        <v>44781</v>
      </c>
      <c r="U15" s="2">
        <f t="shared" si="9"/>
        <v>805860281</v>
      </c>
    </row>
    <row r="16" spans="1:21" hidden="1" x14ac:dyDescent="0.3">
      <c r="A16" s="6" t="s">
        <v>11</v>
      </c>
      <c r="B16" s="7">
        <v>54546455.6616126</v>
      </c>
      <c r="C16" s="7">
        <v>21538.840180300023</v>
      </c>
      <c r="D16" s="7">
        <v>661884.01317300135</v>
      </c>
      <c r="E16" s="7">
        <v>53863032.808259308</v>
      </c>
      <c r="F16" s="28"/>
      <c r="G16" s="28"/>
      <c r="H16" s="20">
        <f t="shared" si="11"/>
        <v>3.9487148924798266E-4</v>
      </c>
      <c r="I16" s="20">
        <f t="shared" si="11"/>
        <v>1.2134317530713664E-2</v>
      </c>
      <c r="J16" s="20">
        <f t="shared" si="11"/>
        <v>0.98747081098003853</v>
      </c>
      <c r="K16" s="2">
        <f t="shared" si="6"/>
        <v>21538.840180300023</v>
      </c>
      <c r="L16" s="2">
        <f t="shared" si="1"/>
        <v>661884.01317300135</v>
      </c>
      <c r="M16" s="2">
        <f t="shared" si="1"/>
        <v>53863032.808259308</v>
      </c>
      <c r="N16" s="2">
        <f t="shared" si="7"/>
        <v>54546455.661612608</v>
      </c>
      <c r="O16" s="2">
        <f t="shared" si="2"/>
        <v>0</v>
      </c>
      <c r="P16" s="2">
        <f t="shared" si="12"/>
        <v>0</v>
      </c>
      <c r="Q16" s="2">
        <f t="shared" si="12"/>
        <v>0</v>
      </c>
      <c r="R16" s="2">
        <f t="shared" si="12"/>
        <v>0</v>
      </c>
      <c r="S16" s="2">
        <f t="shared" si="9"/>
        <v>21538.840180300023</v>
      </c>
      <c r="T16" s="2">
        <f t="shared" si="9"/>
        <v>661884.01317300135</v>
      </c>
      <c r="U16" s="2">
        <f t="shared" si="9"/>
        <v>53863032.808259308</v>
      </c>
    </row>
    <row r="17" spans="1:21" hidden="1" x14ac:dyDescent="0.3">
      <c r="A17" s="14" t="s">
        <v>12</v>
      </c>
      <c r="B17" s="15">
        <v>17626360639.127609</v>
      </c>
      <c r="C17" s="15">
        <v>177421822.88999999</v>
      </c>
      <c r="D17" s="15">
        <v>2500271083.7502003</v>
      </c>
      <c r="E17" s="15">
        <v>14948667732.487404</v>
      </c>
      <c r="F17" s="30"/>
      <c r="G17" s="30"/>
      <c r="H17" s="20">
        <f t="shared" si="11"/>
        <v>1.0065709338554713E-2</v>
      </c>
      <c r="I17" s="20">
        <f t="shared" si="11"/>
        <v>0.14184840166040921</v>
      </c>
      <c r="J17" s="20">
        <f t="shared" si="11"/>
        <v>0.84808588900103576</v>
      </c>
      <c r="K17" s="2">
        <f t="shared" si="6"/>
        <v>177421822.88999999</v>
      </c>
      <c r="L17" s="2">
        <f t="shared" si="1"/>
        <v>2500271083.7502003</v>
      </c>
      <c r="M17" s="2">
        <f t="shared" si="1"/>
        <v>14948667732.487404</v>
      </c>
      <c r="N17" s="2">
        <f t="shared" si="7"/>
        <v>17626360639.127605</v>
      </c>
      <c r="O17" s="2">
        <f t="shared" si="2"/>
        <v>0</v>
      </c>
      <c r="P17" s="2">
        <f t="shared" si="12"/>
        <v>0</v>
      </c>
      <c r="Q17" s="2">
        <f t="shared" si="12"/>
        <v>0</v>
      </c>
      <c r="R17" s="2">
        <f t="shared" si="12"/>
        <v>0</v>
      </c>
      <c r="S17" s="2">
        <f t="shared" si="9"/>
        <v>177421822.88999999</v>
      </c>
      <c r="T17" s="2">
        <f t="shared" si="9"/>
        <v>2500271083.7502003</v>
      </c>
      <c r="U17" s="2">
        <f t="shared" si="9"/>
        <v>14948667732.487404</v>
      </c>
    </row>
    <row r="18" spans="1:21" hidden="1" x14ac:dyDescent="0.3">
      <c r="A18" s="14" t="s">
        <v>12</v>
      </c>
      <c r="B18" s="15"/>
      <c r="C18" s="15"/>
      <c r="D18" s="15"/>
      <c r="E18" s="15"/>
      <c r="F18" s="30"/>
      <c r="G18" s="30"/>
      <c r="H18" s="20" t="e">
        <f t="shared" si="11"/>
        <v>#DIV/0!</v>
      </c>
      <c r="I18" s="20" t="e">
        <f t="shared" si="11"/>
        <v>#DIV/0!</v>
      </c>
      <c r="J18" s="20" t="e">
        <f t="shared" si="11"/>
        <v>#DIV/0!</v>
      </c>
      <c r="K18" s="2" t="e">
        <f t="shared" si="6"/>
        <v>#DIV/0!</v>
      </c>
      <c r="L18" s="2" t="e">
        <f t="shared" si="1"/>
        <v>#DIV/0!</v>
      </c>
      <c r="M18" s="2" t="e">
        <f t="shared" si="1"/>
        <v>#DIV/0!</v>
      </c>
      <c r="N18" s="2" t="e">
        <f t="shared" si="7"/>
        <v>#DIV/0!</v>
      </c>
      <c r="O18" s="2" t="e">
        <f t="shared" si="2"/>
        <v>#DIV/0!</v>
      </c>
      <c r="P18" s="2" t="e">
        <f t="shared" si="12"/>
        <v>#DIV/0!</v>
      </c>
      <c r="Q18" s="2" t="e">
        <f t="shared" si="12"/>
        <v>#DIV/0!</v>
      </c>
      <c r="R18" s="2" t="e">
        <f t="shared" si="12"/>
        <v>#DIV/0!</v>
      </c>
      <c r="S18" s="2" t="e">
        <f t="shared" si="9"/>
        <v>#DIV/0!</v>
      </c>
      <c r="T18" s="2" t="e">
        <f t="shared" si="9"/>
        <v>#DIV/0!</v>
      </c>
      <c r="U18" s="2" t="e">
        <f t="shared" si="9"/>
        <v>#DIV/0!</v>
      </c>
    </row>
    <row r="19" spans="1:21" x14ac:dyDescent="0.3">
      <c r="A19" s="16"/>
      <c r="B19" s="37"/>
      <c r="C19" s="37"/>
      <c r="D19" s="37"/>
      <c r="E19" s="37"/>
      <c r="F19" s="16"/>
      <c r="G19" s="16"/>
      <c r="H19" s="20"/>
      <c r="I19" s="20"/>
      <c r="J19" s="2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16"/>
      <c r="B20" s="3"/>
      <c r="C20" s="38"/>
      <c r="D20" s="37"/>
      <c r="E20" s="37"/>
      <c r="F20" s="16"/>
      <c r="G20" s="16"/>
    </row>
    <row r="21" spans="1:21" x14ac:dyDescent="0.3">
      <c r="A21" s="40" t="s">
        <v>24</v>
      </c>
      <c r="B21" s="40"/>
      <c r="C21" s="40"/>
      <c r="D21" s="40"/>
      <c r="E21" s="40"/>
      <c r="F21" s="26"/>
      <c r="G21" s="26"/>
      <c r="H21" s="40"/>
      <c r="I21" s="40"/>
      <c r="J21" s="40"/>
      <c r="K21" s="40"/>
      <c r="L21" s="40"/>
    </row>
    <row r="22" spans="1:21" x14ac:dyDescent="0.3">
      <c r="A22" s="4" t="s">
        <v>13</v>
      </c>
      <c r="B22" s="5" t="s">
        <v>0</v>
      </c>
      <c r="C22" s="5" t="s">
        <v>25</v>
      </c>
      <c r="D22" s="5" t="s">
        <v>1</v>
      </c>
      <c r="E22" s="5" t="s">
        <v>2</v>
      </c>
      <c r="F22" s="27"/>
      <c r="G22" s="27"/>
      <c r="H22" s="4"/>
      <c r="I22" s="5"/>
      <c r="J22" s="5"/>
      <c r="K22" s="5"/>
      <c r="L22" s="5"/>
    </row>
    <row r="23" spans="1:21" x14ac:dyDescent="0.3">
      <c r="A23" s="6" t="s">
        <v>15</v>
      </c>
      <c r="B23" s="7">
        <v>8600443.1492307261</v>
      </c>
      <c r="C23" s="7">
        <v>0</v>
      </c>
      <c r="D23" s="7">
        <v>0</v>
      </c>
      <c r="E23" s="7">
        <v>8600443.1492307261</v>
      </c>
      <c r="F23" s="28"/>
      <c r="G23" s="28"/>
      <c r="H23" s="6"/>
      <c r="I23" s="7"/>
      <c r="J23" s="7"/>
      <c r="K23" s="7"/>
      <c r="L23" s="7"/>
    </row>
    <row r="24" spans="1:21" x14ac:dyDescent="0.3">
      <c r="A24" s="6" t="s">
        <v>17</v>
      </c>
      <c r="B24" s="7">
        <v>3311538.748636229</v>
      </c>
      <c r="C24" s="7">
        <v>0</v>
      </c>
      <c r="D24" s="7">
        <v>0</v>
      </c>
      <c r="E24" s="7">
        <v>3311538.748636229</v>
      </c>
      <c r="F24" s="28"/>
      <c r="G24" s="28"/>
      <c r="H24" s="6"/>
      <c r="I24" s="7"/>
      <c r="J24" s="7"/>
      <c r="K24" s="7"/>
      <c r="L24" s="7"/>
    </row>
    <row r="25" spans="1:21" x14ac:dyDescent="0.3">
      <c r="A25" s="6" t="s">
        <v>18</v>
      </c>
      <c r="B25" s="7">
        <v>0</v>
      </c>
      <c r="C25" s="7">
        <v>0</v>
      </c>
      <c r="D25" s="7">
        <v>0</v>
      </c>
      <c r="E25" s="7">
        <v>0</v>
      </c>
      <c r="F25" s="28"/>
      <c r="G25" s="28"/>
      <c r="H25" s="8"/>
      <c r="I25" s="9"/>
      <c r="J25" s="9"/>
      <c r="K25" s="9"/>
      <c r="L25" s="9"/>
    </row>
    <row r="26" spans="1:21" x14ac:dyDescent="0.3">
      <c r="A26" s="6" t="s">
        <v>27</v>
      </c>
      <c r="B26" s="7">
        <v>20308.876628695401</v>
      </c>
      <c r="C26" s="7">
        <v>0</v>
      </c>
      <c r="D26" s="7">
        <v>0</v>
      </c>
      <c r="E26" s="7">
        <v>20308.876628695401</v>
      </c>
      <c r="F26" s="28"/>
      <c r="G26" s="28"/>
      <c r="H26" s="8"/>
      <c r="I26" s="9"/>
      <c r="J26" s="9"/>
      <c r="K26" s="9"/>
      <c r="L26" s="9"/>
    </row>
    <row r="27" spans="1:21" x14ac:dyDescent="0.3">
      <c r="A27" s="6" t="s">
        <v>19</v>
      </c>
      <c r="B27" s="7">
        <v>1132040.6619657311</v>
      </c>
      <c r="C27" s="7">
        <v>0</v>
      </c>
      <c r="D27" s="7">
        <v>0</v>
      </c>
      <c r="E27" s="7">
        <v>1132040.6619657311</v>
      </c>
      <c r="F27" s="28"/>
      <c r="G27" s="28"/>
      <c r="H27" s="10"/>
      <c r="I27" s="11"/>
      <c r="J27" s="11"/>
      <c r="K27" s="11"/>
      <c r="L27" s="11"/>
    </row>
    <row r="28" spans="1:21" x14ac:dyDescent="0.3">
      <c r="A28" s="6" t="s">
        <v>16</v>
      </c>
      <c r="B28" s="7">
        <v>45376.798623124749</v>
      </c>
      <c r="C28" s="7">
        <v>0</v>
      </c>
      <c r="D28" s="7">
        <v>0</v>
      </c>
      <c r="E28" s="7">
        <v>45376.798623124749</v>
      </c>
      <c r="F28" s="28"/>
      <c r="G28" s="28"/>
      <c r="H28" s="10"/>
      <c r="I28" s="11"/>
      <c r="J28" s="11"/>
      <c r="K28" s="11"/>
      <c r="L28" s="11"/>
    </row>
    <row r="29" spans="1:21" x14ac:dyDescent="0.3">
      <c r="A29" s="12" t="s">
        <v>20</v>
      </c>
      <c r="B29" s="13">
        <f>+SUM(B23:B28)</f>
        <v>13109708.235084506</v>
      </c>
      <c r="C29" s="13">
        <f t="shared" ref="C29:E29" si="13">+SUM(C23:C28)</f>
        <v>0</v>
      </c>
      <c r="D29" s="13">
        <f t="shared" si="13"/>
        <v>0</v>
      </c>
      <c r="E29" s="13">
        <f t="shared" si="13"/>
        <v>13109708.235084506</v>
      </c>
      <c r="F29" s="31"/>
      <c r="G29" s="31"/>
      <c r="H29" s="14"/>
      <c r="I29" s="18"/>
      <c r="J29" s="18"/>
      <c r="K29" s="18"/>
      <c r="L29" s="18"/>
    </row>
    <row r="30" spans="1:21" x14ac:dyDescent="0.3">
      <c r="A30" s="16"/>
      <c r="B30" s="16"/>
      <c r="C30" s="16"/>
      <c r="D30" s="16"/>
      <c r="E30" s="16"/>
      <c r="F30" s="16"/>
      <c r="G30" s="16"/>
      <c r="I30" s="21"/>
      <c r="J30" s="21"/>
      <c r="K30" s="21"/>
      <c r="L30" s="21"/>
    </row>
    <row r="31" spans="1:21" x14ac:dyDescent="0.3">
      <c r="A31" s="23" t="s">
        <v>10</v>
      </c>
      <c r="B31" s="22">
        <v>637612682</v>
      </c>
      <c r="C31" s="22">
        <v>0</v>
      </c>
      <c r="D31" s="22">
        <v>0</v>
      </c>
      <c r="E31" s="22">
        <v>637612682</v>
      </c>
      <c r="F31" s="32"/>
      <c r="G31" s="32"/>
      <c r="I31" s="21"/>
      <c r="J31" s="21"/>
      <c r="K31" s="21"/>
      <c r="L31" s="21"/>
    </row>
    <row r="32" spans="1:21" x14ac:dyDescent="0.3">
      <c r="A32" s="16"/>
      <c r="B32" s="16"/>
      <c r="C32" s="16"/>
      <c r="D32" s="16"/>
      <c r="E32" s="16"/>
      <c r="F32" s="16"/>
      <c r="G32" s="16"/>
      <c r="I32" s="21"/>
      <c r="J32" s="21"/>
      <c r="K32" s="21"/>
      <c r="L32" s="21"/>
    </row>
    <row r="33" spans="1:12" x14ac:dyDescent="0.3">
      <c r="A33" s="17" t="s">
        <v>14</v>
      </c>
      <c r="B33" s="19">
        <f>+B14+B29</f>
        <v>7188439353.1208172</v>
      </c>
      <c r="C33" s="19">
        <f t="shared" ref="C33:E33" si="14">+C14+C29</f>
        <v>0</v>
      </c>
      <c r="D33" s="19">
        <f t="shared" si="14"/>
        <v>0</v>
      </c>
      <c r="E33" s="19">
        <f t="shared" si="14"/>
        <v>7188439353.1208172</v>
      </c>
      <c r="F33" s="33"/>
      <c r="G33" s="33"/>
      <c r="I33" s="21"/>
      <c r="J33" s="21"/>
      <c r="K33" s="21"/>
      <c r="L33" s="21"/>
    </row>
    <row r="34" spans="1:12" x14ac:dyDescent="0.3">
      <c r="A34" s="16"/>
      <c r="B34" s="16"/>
      <c r="C34" s="16"/>
      <c r="D34" s="16"/>
      <c r="E34" s="16"/>
      <c r="F34" s="16"/>
      <c r="G34" s="16"/>
      <c r="I34" s="21"/>
      <c r="J34" s="21"/>
      <c r="K34" s="21"/>
      <c r="L34" s="21"/>
    </row>
    <row r="35" spans="1:12" x14ac:dyDescent="0.3">
      <c r="A35" s="39" t="s">
        <v>31</v>
      </c>
      <c r="B35" s="16"/>
      <c r="C35" s="16"/>
      <c r="D35" s="16"/>
      <c r="E35" s="16"/>
      <c r="F35" s="16"/>
      <c r="G35" s="16"/>
      <c r="I35" s="21"/>
      <c r="J35" s="21"/>
      <c r="K35" s="21"/>
      <c r="L35" s="21"/>
    </row>
    <row r="36" spans="1:12" x14ac:dyDescent="0.3">
      <c r="A36" s="39" t="s">
        <v>32</v>
      </c>
      <c r="B36" s="16"/>
      <c r="C36" s="16"/>
      <c r="D36" s="16"/>
      <c r="E36" s="16"/>
      <c r="F36" s="16"/>
      <c r="G36" s="16"/>
      <c r="I36" s="21"/>
      <c r="J36" s="21"/>
      <c r="K36" s="21"/>
      <c r="L36" s="21"/>
    </row>
    <row r="37" spans="1:12" x14ac:dyDescent="0.3">
      <c r="A37" s="16"/>
      <c r="B37" s="16"/>
      <c r="C37" s="16"/>
      <c r="D37" s="16"/>
      <c r="E37" s="16"/>
      <c r="F37" s="16"/>
      <c r="G37" s="16"/>
      <c r="I37" s="21"/>
      <c r="J37" s="21"/>
      <c r="K37" s="21"/>
      <c r="L37" s="21"/>
    </row>
    <row r="38" spans="1:12" x14ac:dyDescent="0.3">
      <c r="A38" s="16"/>
      <c r="B38" s="16"/>
      <c r="C38" s="16"/>
      <c r="D38" s="16"/>
      <c r="E38" s="16"/>
      <c r="F38" s="16"/>
      <c r="G38" s="16"/>
      <c r="I38" s="21"/>
      <c r="J38" s="21"/>
      <c r="K38" s="21"/>
      <c r="L38" s="21"/>
    </row>
    <row r="39" spans="1:12" x14ac:dyDescent="0.3">
      <c r="A39" s="6" t="s">
        <v>21</v>
      </c>
      <c r="B39" s="7">
        <v>27386119</v>
      </c>
      <c r="C39" s="7"/>
      <c r="D39" s="7">
        <f>B39-E39</f>
        <v>0</v>
      </c>
      <c r="E39" s="7">
        <v>27386119</v>
      </c>
      <c r="F39" s="28"/>
      <c r="G39" s="28"/>
      <c r="I39" s="21"/>
      <c r="J39" s="21"/>
      <c r="K39" s="21"/>
      <c r="L39" s="21"/>
    </row>
    <row r="40" spans="1:12" x14ac:dyDescent="0.3">
      <c r="A40" s="6" t="s">
        <v>22</v>
      </c>
      <c r="B40" s="7">
        <v>14054024</v>
      </c>
      <c r="C40" s="7"/>
      <c r="D40" s="7">
        <f>B40-E40</f>
        <v>0</v>
      </c>
      <c r="E40" s="7">
        <v>14054024</v>
      </c>
      <c r="F40" s="28"/>
      <c r="G40" s="28"/>
    </row>
    <row r="41" spans="1:12" x14ac:dyDescent="0.3">
      <c r="A41" s="6" t="s">
        <v>10</v>
      </c>
      <c r="B41" s="7">
        <v>650781702</v>
      </c>
      <c r="C41" s="7"/>
      <c r="D41" s="7">
        <f>B41-E41</f>
        <v>0</v>
      </c>
      <c r="E41" s="7">
        <v>650781702</v>
      </c>
      <c r="F41" s="28"/>
      <c r="G41" s="28"/>
    </row>
    <row r="42" spans="1:12" x14ac:dyDescent="0.3">
      <c r="A42" s="14" t="s">
        <v>0</v>
      </c>
      <c r="B42" s="18">
        <f>SUM(B29:B41)</f>
        <v>8531383588.3559017</v>
      </c>
      <c r="C42" s="18"/>
      <c r="D42" s="18">
        <f>SUM(D29:D41)</f>
        <v>0</v>
      </c>
      <c r="E42" s="18">
        <f>SUM(E29:E41)</f>
        <v>8531383588.3559017</v>
      </c>
      <c r="F42" s="29"/>
      <c r="G42" s="29"/>
    </row>
    <row r="43" spans="1:12" x14ac:dyDescent="0.3">
      <c r="A43" s="16"/>
      <c r="B43" s="16"/>
      <c r="C43" s="16"/>
      <c r="D43" s="16"/>
      <c r="E43" s="16"/>
      <c r="F43" s="16"/>
      <c r="G43" s="16"/>
    </row>
    <row r="44" spans="1:12" x14ac:dyDescent="0.3">
      <c r="A44" s="17" t="s">
        <v>14</v>
      </c>
      <c r="B44" s="19">
        <f>B42+B14</f>
        <v>15706713233.241634</v>
      </c>
      <c r="C44" s="19"/>
      <c r="D44" s="19">
        <f>D42+D14</f>
        <v>0</v>
      </c>
      <c r="E44" s="19">
        <f>E42+E14</f>
        <v>15706713233.241634</v>
      </c>
      <c r="F44" s="33"/>
      <c r="G44" s="33"/>
    </row>
  </sheetData>
  <mergeCells count="4">
    <mergeCell ref="A6:E6"/>
    <mergeCell ref="S7:U7"/>
    <mergeCell ref="A21:E21"/>
    <mergeCell ref="H21:L21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&amp;"Tahoma,Bold"2023 Collection Snapshot&amp;R&amp;"Tahoma,Regular"&amp;10&amp;D</oddHeader>
    <oddFooter>&amp;L&amp;"Tahoma,Regular"&amp;10Collections&amp;R&amp;"Tahoma,Regular"&amp;10&amp;P/&amp;N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D209-2B4D-4557-966E-952E24E1B93E}">
  <sheetPr>
    <pageSetUpPr fitToPage="1"/>
  </sheetPr>
  <dimension ref="A1:N29"/>
  <sheetViews>
    <sheetView view="pageBreakPreview" topLeftCell="A14" zoomScale="130" zoomScaleNormal="100" zoomScaleSheetLayoutView="130" workbookViewId="0">
      <selection activeCell="B26" sqref="B26"/>
    </sheetView>
  </sheetViews>
  <sheetFormatPr defaultRowHeight="14.4" x14ac:dyDescent="0.3"/>
  <cols>
    <col min="1" max="1" width="33.21875" style="1" bestFit="1" customWidth="1"/>
    <col min="2" max="2" width="22" style="1" bestFit="1" customWidth="1"/>
    <col min="3" max="3" width="18.77734375" style="1" bestFit="1" customWidth="1"/>
    <col min="4" max="4" width="22" style="1" bestFit="1" customWidth="1"/>
    <col min="5" max="5" width="16.6640625" bestFit="1" customWidth="1"/>
    <col min="6" max="6" width="14.109375" bestFit="1" customWidth="1"/>
    <col min="14" max="14" width="11.109375" bestFit="1" customWidth="1"/>
    <col min="16" max="16" width="10" bestFit="1" customWidth="1"/>
  </cols>
  <sheetData>
    <row r="1" spans="1:14" x14ac:dyDescent="0.3">
      <c r="A1" s="40" t="s">
        <v>23</v>
      </c>
      <c r="B1" s="40"/>
      <c r="C1" s="40"/>
      <c r="D1" s="40"/>
    </row>
    <row r="2" spans="1:14" x14ac:dyDescent="0.3">
      <c r="A2" s="4">
        <v>2024</v>
      </c>
      <c r="B2" s="5" t="s">
        <v>0</v>
      </c>
      <c r="C2" s="5" t="s">
        <v>1</v>
      </c>
      <c r="D2" s="5" t="s">
        <v>2</v>
      </c>
    </row>
    <row r="3" spans="1:14" x14ac:dyDescent="0.3">
      <c r="A3" s="6" t="s">
        <v>3</v>
      </c>
      <c r="B3" s="7">
        <v>5445129521.1610003</v>
      </c>
      <c r="C3" s="7">
        <v>84883982.324161053</v>
      </c>
      <c r="D3" s="7">
        <f t="shared" ref="D3:D11" si="0">B3-C3</f>
        <v>5360245538.8368397</v>
      </c>
      <c r="E3" s="2"/>
      <c r="F3" s="2"/>
    </row>
    <row r="4" spans="1:14" x14ac:dyDescent="0.3">
      <c r="A4" s="6" t="s">
        <v>4</v>
      </c>
      <c r="B4" s="7">
        <v>1462389107.277</v>
      </c>
      <c r="C4" s="7">
        <v>39360761.074321225</v>
      </c>
      <c r="D4" s="7">
        <f t="shared" si="0"/>
        <v>1423028346.2026787</v>
      </c>
      <c r="E4" s="2"/>
      <c r="F4" s="2"/>
    </row>
    <row r="5" spans="1:14" x14ac:dyDescent="0.3">
      <c r="A5" s="8" t="s">
        <v>5</v>
      </c>
      <c r="B5" s="9">
        <v>633151396.83700001</v>
      </c>
      <c r="C5" s="9">
        <f>C4-C6</f>
        <v>13542427.484321229</v>
      </c>
      <c r="D5" s="9">
        <f t="shared" si="0"/>
        <v>619608969.35267878</v>
      </c>
    </row>
    <row r="6" spans="1:14" x14ac:dyDescent="0.3">
      <c r="A6" s="8" t="s">
        <v>6</v>
      </c>
      <c r="B6" s="9">
        <v>829237710.43999994</v>
      </c>
      <c r="C6" s="9">
        <v>25818333.589999996</v>
      </c>
      <c r="D6" s="9">
        <f t="shared" si="0"/>
        <v>803419376.8499999</v>
      </c>
      <c r="N6" s="3"/>
    </row>
    <row r="7" spans="1:14" x14ac:dyDescent="0.3">
      <c r="A7" s="10" t="s">
        <v>7</v>
      </c>
      <c r="B7" s="11">
        <v>6901518628.4379997</v>
      </c>
      <c r="C7" s="11">
        <f>C3+C4</f>
        <v>124244743.39848228</v>
      </c>
      <c r="D7" s="11">
        <f t="shared" si="0"/>
        <v>6777273885.0395174</v>
      </c>
    </row>
    <row r="8" spans="1:14" x14ac:dyDescent="0.3">
      <c r="A8" s="10" t="s">
        <v>8</v>
      </c>
      <c r="B8" s="11">
        <v>3260726528.3123798</v>
      </c>
      <c r="C8" s="11">
        <v>558579902.11867762</v>
      </c>
      <c r="D8" s="11">
        <f t="shared" si="0"/>
        <v>2702146626.1937022</v>
      </c>
    </row>
    <row r="9" spans="1:14" x14ac:dyDescent="0.3">
      <c r="A9" s="14" t="s">
        <v>9</v>
      </c>
      <c r="B9" s="18">
        <f>SUM(B7:B8)</f>
        <v>10162245156.75038</v>
      </c>
      <c r="C9" s="18">
        <f>SUM(C7:C8)</f>
        <v>682824645.51715994</v>
      </c>
      <c r="D9" s="18">
        <f t="shared" si="0"/>
        <v>9479420511.2332191</v>
      </c>
    </row>
    <row r="10" spans="1:14" hidden="1" x14ac:dyDescent="0.3">
      <c r="A10" s="6" t="s">
        <v>10</v>
      </c>
      <c r="B10" s="7">
        <v>650781702</v>
      </c>
      <c r="C10" s="7"/>
      <c r="D10" s="7">
        <f t="shared" si="0"/>
        <v>650781702</v>
      </c>
    </row>
    <row r="11" spans="1:14" hidden="1" x14ac:dyDescent="0.3">
      <c r="A11" s="6" t="s">
        <v>11</v>
      </c>
      <c r="B11" s="7">
        <v>37851533</v>
      </c>
      <c r="C11" s="7">
        <v>1256243</v>
      </c>
      <c r="D11" s="7">
        <f t="shared" si="0"/>
        <v>36595290</v>
      </c>
    </row>
    <row r="12" spans="1:14" hidden="1" x14ac:dyDescent="0.3">
      <c r="A12" s="14" t="s">
        <v>12</v>
      </c>
      <c r="B12" s="15">
        <v>10850878391.750385</v>
      </c>
      <c r="C12" s="15">
        <v>684080888.51715994</v>
      </c>
      <c r="D12" s="15">
        <f>B12-C12</f>
        <v>10166797503.233225</v>
      </c>
      <c r="N12" s="3"/>
    </row>
    <row r="13" spans="1:14" hidden="1" x14ac:dyDescent="0.3">
      <c r="A13" s="14" t="s">
        <v>12</v>
      </c>
      <c r="B13" s="15">
        <v>10850878391.750385</v>
      </c>
      <c r="C13" s="15">
        <v>684080888.51715994</v>
      </c>
      <c r="D13" s="15">
        <f>B13-C13</f>
        <v>10166797503.233225</v>
      </c>
    </row>
    <row r="14" spans="1:14" x14ac:dyDescent="0.3">
      <c r="A14" s="16"/>
      <c r="B14" s="16"/>
      <c r="C14" s="16"/>
      <c r="D14" s="16"/>
    </row>
    <row r="15" spans="1:14" x14ac:dyDescent="0.3">
      <c r="A15" s="16"/>
      <c r="B15" s="16"/>
      <c r="C15" s="16"/>
      <c r="D15" s="16"/>
    </row>
    <row r="16" spans="1:14" x14ac:dyDescent="0.3">
      <c r="A16" s="40" t="s">
        <v>24</v>
      </c>
      <c r="B16" s="40"/>
      <c r="C16" s="40"/>
      <c r="D16" s="40"/>
    </row>
    <row r="17" spans="1:4" x14ac:dyDescent="0.3">
      <c r="A17" s="4" t="s">
        <v>13</v>
      </c>
      <c r="B17" s="5" t="s">
        <v>0</v>
      </c>
      <c r="C17" s="5" t="s">
        <v>1</v>
      </c>
      <c r="D17" s="5" t="s">
        <v>2</v>
      </c>
    </row>
    <row r="18" spans="1:4" x14ac:dyDescent="0.3">
      <c r="A18" s="6" t="s">
        <v>15</v>
      </c>
      <c r="B18" s="7">
        <v>9880573.9500000011</v>
      </c>
      <c r="C18" s="7">
        <f>B18-D18</f>
        <v>6991</v>
      </c>
      <c r="D18" s="7">
        <v>9873582.9500000011</v>
      </c>
    </row>
    <row r="19" spans="1:4" x14ac:dyDescent="0.3">
      <c r="A19" s="6" t="s">
        <v>17</v>
      </c>
      <c r="B19" s="7">
        <v>4485403.0999999996</v>
      </c>
      <c r="C19" s="7">
        <f>B19-D19</f>
        <v>27000</v>
      </c>
      <c r="D19" s="7">
        <v>4458403.0999999996</v>
      </c>
    </row>
    <row r="20" spans="1:4" x14ac:dyDescent="0.3">
      <c r="A20" s="6" t="s">
        <v>18</v>
      </c>
      <c r="B20" s="7">
        <v>4516810.03</v>
      </c>
      <c r="C20" s="7">
        <f>B20-D20</f>
        <v>0</v>
      </c>
      <c r="D20" s="7">
        <v>4516810.03</v>
      </c>
    </row>
    <row r="21" spans="1:4" x14ac:dyDescent="0.3">
      <c r="A21" s="6" t="s">
        <v>19</v>
      </c>
      <c r="B21" s="7">
        <v>1947656.5799999998</v>
      </c>
      <c r="C21" s="7">
        <f>B21-D21</f>
        <v>0</v>
      </c>
      <c r="D21" s="7">
        <v>1947656.5799999998</v>
      </c>
    </row>
    <row r="22" spans="1:4" x14ac:dyDescent="0.3">
      <c r="A22" s="6" t="s">
        <v>16</v>
      </c>
      <c r="B22" s="7">
        <v>29970</v>
      </c>
      <c r="C22" s="7">
        <f>B22-D22</f>
        <v>0</v>
      </c>
      <c r="D22" s="7">
        <v>29970</v>
      </c>
    </row>
    <row r="23" spans="1:4" x14ac:dyDescent="0.3">
      <c r="A23" s="12" t="s">
        <v>20</v>
      </c>
      <c r="B23" s="13">
        <f>SUM(B18:B22)</f>
        <v>20860413.66</v>
      </c>
      <c r="C23" s="13">
        <f>SUM(C18:C22)</f>
        <v>33991</v>
      </c>
      <c r="D23" s="13">
        <f>SUM(D18:D22)</f>
        <v>20826422.66</v>
      </c>
    </row>
    <row r="24" spans="1:4" x14ac:dyDescent="0.3">
      <c r="A24" s="6" t="s">
        <v>21</v>
      </c>
      <c r="B24" s="7">
        <v>27386119</v>
      </c>
      <c r="C24" s="7">
        <f>B24-D24</f>
        <v>0</v>
      </c>
      <c r="D24" s="7">
        <v>27386119</v>
      </c>
    </row>
    <row r="25" spans="1:4" x14ac:dyDescent="0.3">
      <c r="A25" s="6" t="s">
        <v>22</v>
      </c>
      <c r="B25" s="7">
        <v>14054024</v>
      </c>
      <c r="C25" s="7">
        <f>B25-D25</f>
        <v>0</v>
      </c>
      <c r="D25" s="7">
        <v>14054024</v>
      </c>
    </row>
    <row r="26" spans="1:4" x14ac:dyDescent="0.3">
      <c r="A26" s="6" t="s">
        <v>10</v>
      </c>
      <c r="B26" s="7">
        <v>650781702</v>
      </c>
      <c r="C26" s="7">
        <f>B26-D26</f>
        <v>0</v>
      </c>
      <c r="D26" s="7">
        <v>650781702</v>
      </c>
    </row>
    <row r="27" spans="1:4" x14ac:dyDescent="0.3">
      <c r="A27" s="14" t="s">
        <v>0</v>
      </c>
      <c r="B27" s="18">
        <f>SUM(B23:B26)</f>
        <v>713082258.65999997</v>
      </c>
      <c r="C27" s="18">
        <f>SUM(C23:C26)</f>
        <v>33991</v>
      </c>
      <c r="D27" s="18">
        <f t="shared" ref="D27" si="1">SUM(D23:D26)</f>
        <v>713048267.65999997</v>
      </c>
    </row>
    <row r="28" spans="1:4" x14ac:dyDescent="0.3">
      <c r="A28" s="16"/>
      <c r="B28" s="16"/>
      <c r="C28" s="16"/>
      <c r="D28" s="16"/>
    </row>
    <row r="29" spans="1:4" x14ac:dyDescent="0.3">
      <c r="A29" s="17" t="s">
        <v>14</v>
      </c>
      <c r="B29" s="19">
        <f>B27+B9</f>
        <v>10875327415.410379</v>
      </c>
      <c r="C29" s="19">
        <f>C27+C9</f>
        <v>682858636.51715994</v>
      </c>
      <c r="D29" s="19">
        <f>D27+D9</f>
        <v>10192468778.893219</v>
      </c>
    </row>
  </sheetData>
  <mergeCells count="2">
    <mergeCell ref="A1:D1"/>
    <mergeCell ref="A16:D16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&amp;"Tahoma,Bold"2024 Collection Snapshot&amp;R&amp;"Tahoma,Regular"&amp;10&amp;D</oddHeader>
    <oddFooter>&amp;L&amp;"Tahoma,Regular"&amp;10Collections&amp;R&amp;"Tahoma,Regular"&amp;10&amp;P/&amp;N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EF45-A7A9-4985-B13C-39F01A35C0B0}">
  <sheetPr>
    <pageSetUpPr fitToPage="1"/>
  </sheetPr>
  <dimension ref="A1:S38"/>
  <sheetViews>
    <sheetView view="pageBreakPreview" zoomScale="130" zoomScaleNormal="100" zoomScaleSheetLayoutView="130" workbookViewId="0">
      <selection activeCell="B4" sqref="B4"/>
    </sheetView>
  </sheetViews>
  <sheetFormatPr defaultRowHeight="14.4" x14ac:dyDescent="0.3"/>
  <cols>
    <col min="1" max="1" width="33.21875" style="1" bestFit="1" customWidth="1"/>
    <col min="2" max="2" width="18.77734375" style="1" bestFit="1" customWidth="1"/>
    <col min="3" max="3" width="16.5546875" style="1" bestFit="1" customWidth="1"/>
    <col min="4" max="4" width="17.33203125" style="1" bestFit="1" customWidth="1"/>
    <col min="5" max="5" width="18.77734375" style="1" bestFit="1" customWidth="1"/>
    <col min="6" max="6" width="14.109375" bestFit="1" customWidth="1"/>
    <col min="7" max="7" width="16.6640625" bestFit="1" customWidth="1"/>
    <col min="8" max="8" width="17.33203125" bestFit="1" customWidth="1"/>
    <col min="9" max="9" width="15.109375" bestFit="1" customWidth="1"/>
    <col min="10" max="12" width="16.6640625" bestFit="1" customWidth="1"/>
    <col min="13" max="13" width="13.109375" bestFit="1" customWidth="1"/>
    <col min="14" max="14" width="11.44140625" bestFit="1" customWidth="1"/>
    <col min="15" max="16" width="13.109375" bestFit="1" customWidth="1"/>
    <col min="17" max="17" width="15.109375" bestFit="1" customWidth="1"/>
    <col min="18" max="18" width="16.6640625" bestFit="1" customWidth="1"/>
    <col min="19" max="19" width="17.77734375" bestFit="1" customWidth="1"/>
  </cols>
  <sheetData>
    <row r="1" spans="1:19" x14ac:dyDescent="0.3">
      <c r="A1" s="40" t="s">
        <v>23</v>
      </c>
      <c r="B1" s="40"/>
      <c r="C1" s="40"/>
      <c r="D1" s="40"/>
      <c r="E1" s="40"/>
    </row>
    <row r="2" spans="1:19" x14ac:dyDescent="0.3">
      <c r="A2" s="4">
        <v>2025</v>
      </c>
      <c r="B2" s="5" t="s">
        <v>0</v>
      </c>
      <c r="C2" s="5" t="s">
        <v>25</v>
      </c>
      <c r="D2" s="5" t="s">
        <v>1</v>
      </c>
      <c r="E2" s="5" t="s">
        <v>2</v>
      </c>
      <c r="F2" s="2"/>
      <c r="G2" s="2"/>
      <c r="H2" s="2"/>
      <c r="Q2" s="41" t="s">
        <v>26</v>
      </c>
      <c r="R2" s="41"/>
      <c r="S2" s="41"/>
    </row>
    <row r="3" spans="1:19" x14ac:dyDescent="0.3">
      <c r="A3" s="6" t="s">
        <v>3</v>
      </c>
      <c r="B3" s="7">
        <v>9684903897</v>
      </c>
      <c r="C3" s="7">
        <v>74837122.682981178</v>
      </c>
      <c r="D3" s="7">
        <v>1195570050.3541272</v>
      </c>
      <c r="E3" s="7">
        <v>8414496723.9628916</v>
      </c>
      <c r="F3" s="20">
        <f>C3/$B3</f>
        <v>7.7271931119691087E-3</v>
      </c>
      <c r="G3" s="20">
        <f t="shared" ref="G3:H3" si="0">D3/$B3</f>
        <v>0.12344676447687493</v>
      </c>
      <c r="H3" s="20">
        <f t="shared" si="0"/>
        <v>0.86882604241115591</v>
      </c>
      <c r="I3" s="2">
        <f>F3*$B3</f>
        <v>74837122.682981178</v>
      </c>
      <c r="J3" s="2">
        <f t="shared" ref="J3:K3" si="1">G3*$B3</f>
        <v>1195570050.3541272</v>
      </c>
      <c r="K3" s="2">
        <f t="shared" si="1"/>
        <v>8414496723.9628916</v>
      </c>
      <c r="L3" s="2">
        <f>SUM(I3:K3)</f>
        <v>9684903897</v>
      </c>
      <c r="M3" s="2">
        <f>L3-B3</f>
        <v>0</v>
      </c>
      <c r="N3" s="2">
        <f>$M3*F3</f>
        <v>0</v>
      </c>
      <c r="O3" s="2">
        <f>$M3*G3</f>
        <v>0</v>
      </c>
      <c r="P3" s="2">
        <f>$M3*H3</f>
        <v>0</v>
      </c>
      <c r="Q3" s="2">
        <f>I3-N3</f>
        <v>74837122.682981178</v>
      </c>
      <c r="R3" s="2">
        <f>J3-O3</f>
        <v>1195570050.3541272</v>
      </c>
      <c r="S3" s="2">
        <f>K3-P3</f>
        <v>8414496723.9628916</v>
      </c>
    </row>
    <row r="4" spans="1:19" x14ac:dyDescent="0.3">
      <c r="A4" s="6" t="s">
        <v>4</v>
      </c>
      <c r="B4" s="7">
        <v>3181233572</v>
      </c>
      <c r="C4" s="7">
        <v>24785936.359157369</v>
      </c>
      <c r="D4" s="7">
        <v>366375064.61588377</v>
      </c>
      <c r="E4" s="7">
        <v>2790072571.0249586</v>
      </c>
      <c r="F4" s="20">
        <f t="shared" ref="F4:F9" si="2">C4/$B4</f>
        <v>7.791297243092645E-3</v>
      </c>
      <c r="G4" s="20">
        <f t="shared" ref="G4:G9" si="3">D4/$B4</f>
        <v>0.11516760914400527</v>
      </c>
      <c r="H4" s="20">
        <f t="shared" ref="H4:H9" si="4">E4/$B4</f>
        <v>0.87704109361290195</v>
      </c>
      <c r="I4" s="2">
        <f t="shared" ref="I4:I9" si="5">F4*$B4</f>
        <v>24785936.359157369</v>
      </c>
      <c r="J4" s="2">
        <f t="shared" ref="J4:J9" si="6">G4*$B4</f>
        <v>366375064.61588377</v>
      </c>
      <c r="K4" s="2">
        <f t="shared" ref="K4:K9" si="7">H4*$B4</f>
        <v>2790072571.0249586</v>
      </c>
      <c r="L4" s="2">
        <f t="shared" ref="L4:L9" si="8">SUM(I4:K4)</f>
        <v>3181233572</v>
      </c>
      <c r="M4" s="2">
        <f t="shared" ref="M4:M9" si="9">L4-B4</f>
        <v>0</v>
      </c>
      <c r="N4" s="2">
        <f t="shared" ref="N4:N9" si="10">$M4*F4</f>
        <v>0</v>
      </c>
      <c r="O4" s="2">
        <f t="shared" ref="O4:O9" si="11">$M4*G4</f>
        <v>0</v>
      </c>
      <c r="P4" s="2">
        <f t="shared" ref="P4:P9" si="12">$M4*H4</f>
        <v>0</v>
      </c>
      <c r="Q4" s="2">
        <f t="shared" ref="Q4:Q9" si="13">I4-N4</f>
        <v>24785936.359157369</v>
      </c>
      <c r="R4" s="2">
        <f t="shared" ref="R4:R9" si="14">J4-O4</f>
        <v>366375064.61588377</v>
      </c>
      <c r="S4" s="2">
        <f t="shared" ref="S4:S9" si="15">K4-P4</f>
        <v>2790072571.0249586</v>
      </c>
    </row>
    <row r="5" spans="1:19" x14ac:dyDescent="0.3">
      <c r="A5" s="8" t="s">
        <v>5</v>
      </c>
      <c r="B5" s="9">
        <v>1114003521.3800001</v>
      </c>
      <c r="C5" s="9">
        <v>6390663.8081928212</v>
      </c>
      <c r="D5" s="9">
        <v>130083491.71152756</v>
      </c>
      <c r="E5" s="9">
        <v>977529365.8602798</v>
      </c>
      <c r="F5" s="20">
        <f t="shared" si="2"/>
        <v>5.7366639203045109E-3</v>
      </c>
      <c r="G5" s="20">
        <f t="shared" si="3"/>
        <v>0.11677116742897126</v>
      </c>
      <c r="H5" s="20">
        <f t="shared" si="4"/>
        <v>0.87749216865072432</v>
      </c>
      <c r="I5" s="2">
        <f t="shared" si="5"/>
        <v>6390663.8081928212</v>
      </c>
      <c r="J5" s="2">
        <f t="shared" si="6"/>
        <v>130083491.71152756</v>
      </c>
      <c r="K5" s="2">
        <f t="shared" si="7"/>
        <v>977529365.8602798</v>
      </c>
      <c r="L5" s="2">
        <f t="shared" si="8"/>
        <v>1114003521.3800001</v>
      </c>
      <c r="M5" s="2">
        <f t="shared" si="9"/>
        <v>0</v>
      </c>
      <c r="N5" s="2">
        <f t="shared" si="10"/>
        <v>0</v>
      </c>
      <c r="O5" s="2">
        <f t="shared" si="11"/>
        <v>0</v>
      </c>
      <c r="P5" s="2">
        <f t="shared" si="12"/>
        <v>0</v>
      </c>
      <c r="Q5" s="2">
        <f t="shared" si="13"/>
        <v>6390663.8081928212</v>
      </c>
      <c r="R5" s="2">
        <f t="shared" si="14"/>
        <v>130083491.71152756</v>
      </c>
      <c r="S5" s="2">
        <f t="shared" si="15"/>
        <v>977529365.8602798</v>
      </c>
    </row>
    <row r="6" spans="1:19" x14ac:dyDescent="0.3">
      <c r="A6" s="8" t="s">
        <v>6</v>
      </c>
      <c r="B6" s="9">
        <v>2067230050.21</v>
      </c>
      <c r="C6" s="9">
        <v>18393526.85991554</v>
      </c>
      <c r="D6" s="9">
        <v>236292935.34955114</v>
      </c>
      <c r="E6" s="9">
        <v>1812543588.0005333</v>
      </c>
      <c r="F6" s="20">
        <f t="shared" si="2"/>
        <v>8.8976680936149466E-3</v>
      </c>
      <c r="G6" s="20">
        <f t="shared" si="3"/>
        <v>0.11430413142724356</v>
      </c>
      <c r="H6" s="20">
        <f t="shared" si="4"/>
        <v>0.87679820047914148</v>
      </c>
      <c r="I6" s="2">
        <f t="shared" si="5"/>
        <v>18393526.85991554</v>
      </c>
      <c r="J6" s="2">
        <f t="shared" si="6"/>
        <v>236292935.34955114</v>
      </c>
      <c r="K6" s="2">
        <f t="shared" si="7"/>
        <v>1812543588.0005333</v>
      </c>
      <c r="L6" s="2">
        <f t="shared" si="8"/>
        <v>2067230050.21</v>
      </c>
      <c r="M6" s="2">
        <f t="shared" si="9"/>
        <v>0</v>
      </c>
      <c r="N6" s="2">
        <f t="shared" si="10"/>
        <v>0</v>
      </c>
      <c r="O6" s="2">
        <f t="shared" si="11"/>
        <v>0</v>
      </c>
      <c r="P6" s="2">
        <f t="shared" si="12"/>
        <v>0</v>
      </c>
      <c r="Q6" s="2">
        <f t="shared" si="13"/>
        <v>18393526.85991554</v>
      </c>
      <c r="R6" s="2">
        <f t="shared" si="14"/>
        <v>236292935.34955114</v>
      </c>
      <c r="S6" s="2">
        <f t="shared" si="15"/>
        <v>1812543588.0005333</v>
      </c>
    </row>
    <row r="7" spans="1:19" x14ac:dyDescent="0.3">
      <c r="A7" s="10" t="s">
        <v>7</v>
      </c>
      <c r="B7" s="11">
        <f>B3+B4</f>
        <v>12866137469</v>
      </c>
      <c r="C7" s="11">
        <f>C3+C4</f>
        <v>99623059.042138547</v>
      </c>
      <c r="D7" s="11">
        <f t="shared" ref="D7:E7" si="16">D3+D4</f>
        <v>1561945114.970011</v>
      </c>
      <c r="E7" s="11">
        <f t="shared" si="16"/>
        <v>11204569294.98785</v>
      </c>
      <c r="F7" s="20">
        <f t="shared" si="2"/>
        <v>7.7430432623755881E-3</v>
      </c>
      <c r="G7" s="20">
        <f t="shared" si="3"/>
        <v>0.12139969114533414</v>
      </c>
      <c r="H7" s="20">
        <f t="shared" si="4"/>
        <v>0.87085726559229026</v>
      </c>
      <c r="I7" s="2">
        <f t="shared" si="5"/>
        <v>99623059.042138547</v>
      </c>
      <c r="J7" s="2">
        <f t="shared" si="6"/>
        <v>1561945114.970011</v>
      </c>
      <c r="K7" s="2">
        <f t="shared" si="7"/>
        <v>11204569294.98785</v>
      </c>
      <c r="L7" s="2">
        <f t="shared" si="8"/>
        <v>12866137469</v>
      </c>
      <c r="M7" s="2">
        <f t="shared" si="9"/>
        <v>0</v>
      </c>
      <c r="N7" s="2">
        <f t="shared" si="10"/>
        <v>0</v>
      </c>
      <c r="O7" s="2">
        <f t="shared" si="11"/>
        <v>0</v>
      </c>
      <c r="P7" s="2">
        <f t="shared" si="12"/>
        <v>0</v>
      </c>
      <c r="Q7" s="2">
        <f t="shared" si="13"/>
        <v>99623059.042138547</v>
      </c>
      <c r="R7" s="2">
        <f t="shared" si="14"/>
        <v>1561945114.970011</v>
      </c>
      <c r="S7" s="2">
        <f t="shared" si="15"/>
        <v>11204569294.98785</v>
      </c>
    </row>
    <row r="8" spans="1:19" x14ac:dyDescent="0.3">
      <c r="A8" s="10" t="s">
        <v>8</v>
      </c>
      <c r="B8" s="11">
        <v>3864557619</v>
      </c>
      <c r="C8" s="11">
        <v>145811861.80804381</v>
      </c>
      <c r="D8" s="11">
        <v>937268538.62557995</v>
      </c>
      <c r="E8" s="11">
        <v>2781477218.5663757</v>
      </c>
      <c r="F8" s="20">
        <f t="shared" si="2"/>
        <v>3.7730544135546967E-2</v>
      </c>
      <c r="G8" s="20">
        <f t="shared" si="3"/>
        <v>0.2425293218601588</v>
      </c>
      <c r="H8" s="20">
        <f t="shared" si="4"/>
        <v>0.71974013400429415</v>
      </c>
      <c r="I8" s="2">
        <f t="shared" si="5"/>
        <v>145811861.80804381</v>
      </c>
      <c r="J8" s="2">
        <f t="shared" si="6"/>
        <v>937268538.62557995</v>
      </c>
      <c r="K8" s="2">
        <f t="shared" si="7"/>
        <v>2781477218.5663757</v>
      </c>
      <c r="L8" s="2">
        <f t="shared" si="8"/>
        <v>3864557618.9999995</v>
      </c>
      <c r="M8" s="2">
        <f t="shared" si="9"/>
        <v>0</v>
      </c>
      <c r="N8" s="2">
        <f t="shared" si="10"/>
        <v>0</v>
      </c>
      <c r="O8" s="2">
        <f t="shared" si="11"/>
        <v>0</v>
      </c>
      <c r="P8" s="2">
        <f t="shared" si="12"/>
        <v>0</v>
      </c>
      <c r="Q8" s="2">
        <f t="shared" si="13"/>
        <v>145811861.80804381</v>
      </c>
      <c r="R8" s="2">
        <f t="shared" si="14"/>
        <v>937268538.62557995</v>
      </c>
      <c r="S8" s="2">
        <f t="shared" si="15"/>
        <v>2781477218.5663757</v>
      </c>
    </row>
    <row r="9" spans="1:19" x14ac:dyDescent="0.3">
      <c r="A9" s="14" t="s">
        <v>9</v>
      </c>
      <c r="B9" s="18">
        <f>SUM(B7:B8)</f>
        <v>16730695088</v>
      </c>
      <c r="C9" s="18">
        <f t="shared" ref="C9" si="17">SUM(C7:C8)</f>
        <v>245434920.85018235</v>
      </c>
      <c r="D9" s="18">
        <f>SUM(D7:D8)</f>
        <v>2499213653.5955911</v>
      </c>
      <c r="E9" s="18">
        <f>SUM(E7:E8)</f>
        <v>13986046513.554226</v>
      </c>
      <c r="F9" s="20">
        <f t="shared" si="2"/>
        <v>1.4669738439392109E-2</v>
      </c>
      <c r="G9" s="20">
        <f t="shared" si="3"/>
        <v>0.14937894931742188</v>
      </c>
      <c r="H9" s="20">
        <f t="shared" si="4"/>
        <v>0.83595131224318597</v>
      </c>
      <c r="I9" s="2">
        <f t="shared" si="5"/>
        <v>245434920.85018235</v>
      </c>
      <c r="J9" s="2">
        <f t="shared" si="6"/>
        <v>2499213653.5955911</v>
      </c>
      <c r="K9" s="2">
        <f t="shared" si="7"/>
        <v>13986046513.554226</v>
      </c>
      <c r="L9" s="2">
        <f t="shared" si="8"/>
        <v>16730695088</v>
      </c>
      <c r="M9" s="2">
        <f t="shared" si="9"/>
        <v>0</v>
      </c>
      <c r="N9" s="2">
        <f t="shared" si="10"/>
        <v>0</v>
      </c>
      <c r="O9" s="2">
        <f t="shared" si="11"/>
        <v>0</v>
      </c>
      <c r="P9" s="2">
        <f t="shared" si="12"/>
        <v>0</v>
      </c>
      <c r="Q9" s="2">
        <f t="shared" si="13"/>
        <v>245434920.85018235</v>
      </c>
      <c r="R9" s="2">
        <f t="shared" si="14"/>
        <v>2499213653.5955911</v>
      </c>
      <c r="S9" s="2">
        <f t="shared" si="15"/>
        <v>13986046513.554226</v>
      </c>
    </row>
    <row r="10" spans="1:19" hidden="1" x14ac:dyDescent="0.3">
      <c r="A10" s="6" t="s">
        <v>10</v>
      </c>
      <c r="B10" s="7">
        <v>650781702</v>
      </c>
      <c r="C10" s="7"/>
      <c r="D10" s="7"/>
      <c r="E10" s="7">
        <f t="shared" ref="E10:E11" si="18">B10-D10</f>
        <v>650781702</v>
      </c>
      <c r="F10" s="20">
        <f t="shared" ref="F10:F13" si="19">C10/$B10</f>
        <v>0</v>
      </c>
      <c r="G10" s="20">
        <f t="shared" ref="G10:G13" si="20">D10/$B10</f>
        <v>0</v>
      </c>
      <c r="H10" s="20">
        <f t="shared" ref="H10:H13" si="21">E10/$B10</f>
        <v>1</v>
      </c>
      <c r="I10" s="2">
        <f t="shared" ref="I10:I13" si="22">F10*$B10</f>
        <v>0</v>
      </c>
      <c r="J10" s="2">
        <f t="shared" ref="J10:J13" si="23">G10*$B10</f>
        <v>0</v>
      </c>
      <c r="K10" s="2">
        <f t="shared" ref="K10:K13" si="24">H10*$B10</f>
        <v>650781702</v>
      </c>
      <c r="L10" s="2">
        <f t="shared" ref="L10:L13" si="25">SUM(I10:K10)</f>
        <v>650781702</v>
      </c>
      <c r="M10" s="2">
        <f t="shared" ref="M10:M13" si="26">L10-B10</f>
        <v>0</v>
      </c>
      <c r="N10" s="2">
        <f t="shared" ref="N10:N13" si="27">$M$3*F10</f>
        <v>0</v>
      </c>
      <c r="O10" s="2">
        <f t="shared" ref="O10:O13" si="28">$M$3*G10</f>
        <v>0</v>
      </c>
      <c r="P10" s="2">
        <f t="shared" ref="P10:P13" si="29">$M$3*H10</f>
        <v>0</v>
      </c>
      <c r="Q10" s="2">
        <f t="shared" ref="Q10:Q13" si="30">I10-N10</f>
        <v>0</v>
      </c>
      <c r="R10" s="2">
        <f t="shared" ref="R10:R13" si="31">J10-O10</f>
        <v>0</v>
      </c>
      <c r="S10" s="2">
        <f t="shared" ref="S10:S13" si="32">K10-P10</f>
        <v>650781702</v>
      </c>
    </row>
    <row r="11" spans="1:19" hidden="1" x14ac:dyDescent="0.3">
      <c r="A11" s="6" t="s">
        <v>11</v>
      </c>
      <c r="B11" s="7">
        <v>37851533</v>
      </c>
      <c r="C11" s="7"/>
      <c r="D11" s="7">
        <v>1256243</v>
      </c>
      <c r="E11" s="7">
        <f t="shared" si="18"/>
        <v>36595290</v>
      </c>
      <c r="F11" s="20">
        <f t="shared" si="19"/>
        <v>0</v>
      </c>
      <c r="G11" s="20">
        <f t="shared" si="20"/>
        <v>3.3188695422190696E-2</v>
      </c>
      <c r="H11" s="20">
        <f t="shared" si="21"/>
        <v>0.96681130457780928</v>
      </c>
      <c r="I11" s="2">
        <f t="shared" si="22"/>
        <v>0</v>
      </c>
      <c r="J11" s="2">
        <f t="shared" si="23"/>
        <v>1256243</v>
      </c>
      <c r="K11" s="2">
        <f t="shared" si="24"/>
        <v>36595290</v>
      </c>
      <c r="L11" s="2">
        <f t="shared" si="25"/>
        <v>37851533</v>
      </c>
      <c r="M11" s="2">
        <f t="shared" si="26"/>
        <v>0</v>
      </c>
      <c r="N11" s="2">
        <f t="shared" si="27"/>
        <v>0</v>
      </c>
      <c r="O11" s="2">
        <f t="shared" si="28"/>
        <v>0</v>
      </c>
      <c r="P11" s="2">
        <f t="shared" si="29"/>
        <v>0</v>
      </c>
      <c r="Q11" s="2">
        <f t="shared" si="30"/>
        <v>0</v>
      </c>
      <c r="R11" s="2">
        <f t="shared" si="31"/>
        <v>1256243</v>
      </c>
      <c r="S11" s="2">
        <f t="shared" si="32"/>
        <v>36595290</v>
      </c>
    </row>
    <row r="12" spans="1:19" hidden="1" x14ac:dyDescent="0.3">
      <c r="A12" s="14" t="s">
        <v>12</v>
      </c>
      <c r="B12" s="15">
        <v>10850878391.750385</v>
      </c>
      <c r="C12" s="15"/>
      <c r="D12" s="15">
        <v>684080888.51715994</v>
      </c>
      <c r="E12" s="15">
        <f>B12-D12</f>
        <v>10166797503.233225</v>
      </c>
      <c r="F12" s="20">
        <f t="shared" si="19"/>
        <v>0</v>
      </c>
      <c r="G12" s="20">
        <f t="shared" si="20"/>
        <v>6.3043825930004641E-2</v>
      </c>
      <c r="H12" s="20">
        <f t="shared" si="21"/>
        <v>0.93695617406999532</v>
      </c>
      <c r="I12" s="2">
        <f t="shared" si="22"/>
        <v>0</v>
      </c>
      <c r="J12" s="2">
        <f t="shared" si="23"/>
        <v>684080888.51715994</v>
      </c>
      <c r="K12" s="2">
        <f t="shared" si="24"/>
        <v>10166797503.233225</v>
      </c>
      <c r="L12" s="2">
        <f t="shared" si="25"/>
        <v>10850878391.750385</v>
      </c>
      <c r="M12" s="2">
        <f t="shared" si="26"/>
        <v>0</v>
      </c>
      <c r="N12" s="2">
        <f t="shared" si="27"/>
        <v>0</v>
      </c>
      <c r="O12" s="2">
        <f t="shared" si="28"/>
        <v>0</v>
      </c>
      <c r="P12" s="2">
        <f t="shared" si="29"/>
        <v>0</v>
      </c>
      <c r="Q12" s="2">
        <f t="shared" si="30"/>
        <v>0</v>
      </c>
      <c r="R12" s="2">
        <f t="shared" si="31"/>
        <v>684080888.51715994</v>
      </c>
      <c r="S12" s="2">
        <f t="shared" si="32"/>
        <v>10166797503.233225</v>
      </c>
    </row>
    <row r="13" spans="1:19" hidden="1" x14ac:dyDescent="0.3">
      <c r="A13" s="14" t="s">
        <v>12</v>
      </c>
      <c r="B13" s="15">
        <v>10850878391.750385</v>
      </c>
      <c r="C13" s="15"/>
      <c r="D13" s="15">
        <v>684080888.51715994</v>
      </c>
      <c r="E13" s="15">
        <f>B13-D13</f>
        <v>10166797503.233225</v>
      </c>
      <c r="F13" s="20">
        <f t="shared" si="19"/>
        <v>0</v>
      </c>
      <c r="G13" s="20">
        <f t="shared" si="20"/>
        <v>6.3043825930004641E-2</v>
      </c>
      <c r="H13" s="20">
        <f t="shared" si="21"/>
        <v>0.93695617406999532</v>
      </c>
      <c r="I13" s="2">
        <f t="shared" si="22"/>
        <v>0</v>
      </c>
      <c r="J13" s="2">
        <f t="shared" si="23"/>
        <v>684080888.51715994</v>
      </c>
      <c r="K13" s="2">
        <f t="shared" si="24"/>
        <v>10166797503.233225</v>
      </c>
      <c r="L13" s="2">
        <f t="shared" si="25"/>
        <v>10850878391.750385</v>
      </c>
      <c r="M13" s="2">
        <f t="shared" si="26"/>
        <v>0</v>
      </c>
      <c r="N13" s="2">
        <f t="shared" si="27"/>
        <v>0</v>
      </c>
      <c r="O13" s="2">
        <f t="shared" si="28"/>
        <v>0</v>
      </c>
      <c r="P13" s="2">
        <f t="shared" si="29"/>
        <v>0</v>
      </c>
      <c r="Q13" s="2">
        <f t="shared" si="30"/>
        <v>0</v>
      </c>
      <c r="R13" s="2">
        <f t="shared" si="31"/>
        <v>684080888.51715994</v>
      </c>
      <c r="S13" s="2">
        <f t="shared" si="32"/>
        <v>10166797503.233225</v>
      </c>
    </row>
    <row r="14" spans="1:19" x14ac:dyDescent="0.3">
      <c r="A14" s="16"/>
      <c r="B14" s="16"/>
      <c r="C14" s="16"/>
      <c r="D14" s="16"/>
      <c r="E14" s="16"/>
      <c r="F14" s="20"/>
      <c r="G14" s="20"/>
      <c r="H14" s="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16"/>
      <c r="B15" s="16"/>
      <c r="C15" s="16"/>
      <c r="D15" s="16"/>
      <c r="E15" s="16"/>
    </row>
    <row r="16" spans="1:19" x14ac:dyDescent="0.3">
      <c r="A16" s="40" t="s">
        <v>24</v>
      </c>
      <c r="B16" s="40"/>
      <c r="C16" s="40"/>
      <c r="D16" s="40"/>
      <c r="E16" s="40"/>
      <c r="F16" s="25"/>
    </row>
    <row r="17" spans="1:10" x14ac:dyDescent="0.3">
      <c r="A17" s="4" t="s">
        <v>13</v>
      </c>
      <c r="B17" s="5" t="s">
        <v>0</v>
      </c>
      <c r="C17" s="5" t="s">
        <v>25</v>
      </c>
      <c r="D17" s="5" t="s">
        <v>1</v>
      </c>
      <c r="E17" s="5" t="s">
        <v>2</v>
      </c>
    </row>
    <row r="18" spans="1:10" x14ac:dyDescent="0.3">
      <c r="A18" s="6" t="s">
        <v>15</v>
      </c>
      <c r="B18" s="7">
        <f>SUM(C18:E18)</f>
        <v>34597748.131552123</v>
      </c>
      <c r="C18" s="7">
        <v>6186.0578645497926</v>
      </c>
      <c r="D18" s="7">
        <v>260412.95388195565</v>
      </c>
      <c r="E18" s="7">
        <v>34331149.119805619</v>
      </c>
      <c r="H18" s="24"/>
      <c r="I18" s="3"/>
    </row>
    <row r="19" spans="1:10" x14ac:dyDescent="0.3">
      <c r="A19" s="6" t="s">
        <v>17</v>
      </c>
      <c r="B19" s="7">
        <f t="shared" ref="B19:B23" si="33">SUM(C19:E19)</f>
        <v>7021029.288557183</v>
      </c>
      <c r="C19" s="7">
        <v>15352.78231575023</v>
      </c>
      <c r="D19" s="7">
        <v>401471.05929104565</v>
      </c>
      <c r="E19" s="7">
        <v>6604205.4469503872</v>
      </c>
      <c r="H19" s="21"/>
    </row>
    <row r="20" spans="1:10" x14ac:dyDescent="0.3">
      <c r="A20" s="6" t="s">
        <v>18</v>
      </c>
      <c r="B20" s="7">
        <f t="shared" si="33"/>
        <v>6356215.8971009292</v>
      </c>
      <c r="C20" s="7">
        <v>0</v>
      </c>
      <c r="D20" s="7">
        <v>0</v>
      </c>
      <c r="E20" s="7">
        <v>6356215.8971009292</v>
      </c>
      <c r="H20" s="21"/>
    </row>
    <row r="21" spans="1:10" x14ac:dyDescent="0.3">
      <c r="A21" s="6" t="s">
        <v>27</v>
      </c>
      <c r="B21" s="7">
        <f>SUM(C21:E21)</f>
        <v>5254078.8588970853</v>
      </c>
      <c r="C21" s="7">
        <v>0</v>
      </c>
      <c r="D21" s="7">
        <v>0</v>
      </c>
      <c r="E21" s="7">
        <v>5254078.8588970853</v>
      </c>
      <c r="H21" s="21"/>
    </row>
    <row r="22" spans="1:10" x14ac:dyDescent="0.3">
      <c r="A22" s="6" t="s">
        <v>19</v>
      </c>
      <c r="B22" s="7">
        <f t="shared" si="33"/>
        <v>1211875.0897427327</v>
      </c>
      <c r="C22" s="7">
        <v>0</v>
      </c>
      <c r="D22" s="7">
        <v>0</v>
      </c>
      <c r="E22" s="7">
        <v>1211875.0897427327</v>
      </c>
      <c r="H22" s="21"/>
      <c r="I22" s="21"/>
      <c r="J22" s="21"/>
    </row>
    <row r="23" spans="1:10" x14ac:dyDescent="0.3">
      <c r="A23" s="6" t="s">
        <v>16</v>
      </c>
      <c r="B23" s="7">
        <f t="shared" si="33"/>
        <v>105508.39576255411</v>
      </c>
      <c r="C23" s="7">
        <v>0</v>
      </c>
      <c r="D23" s="7">
        <v>0</v>
      </c>
      <c r="E23" s="7">
        <v>105508.39576255411</v>
      </c>
      <c r="H23" s="24"/>
    </row>
    <row r="24" spans="1:10" x14ac:dyDescent="0.3">
      <c r="A24" s="12" t="s">
        <v>20</v>
      </c>
      <c r="B24" s="13">
        <f>SUM(B18:B23)</f>
        <v>54546455.6616126</v>
      </c>
      <c r="C24" s="13">
        <f t="shared" ref="C24:E24" si="34">SUM(C18:C23)</f>
        <v>21538.840180300023</v>
      </c>
      <c r="D24" s="13">
        <f t="shared" si="34"/>
        <v>661884.01317300135</v>
      </c>
      <c r="E24" s="13">
        <f t="shared" si="34"/>
        <v>53863032.808259308</v>
      </c>
      <c r="H24" s="21"/>
    </row>
    <row r="25" spans="1:10" x14ac:dyDescent="0.3">
      <c r="A25" s="16"/>
      <c r="B25" s="16"/>
      <c r="C25" s="16"/>
      <c r="D25" s="16"/>
      <c r="E25" s="16"/>
    </row>
    <row r="26" spans="1:10" x14ac:dyDescent="0.3">
      <c r="A26" s="23" t="s">
        <v>10</v>
      </c>
      <c r="B26" s="22">
        <v>805972912</v>
      </c>
      <c r="C26" s="22">
        <v>67850</v>
      </c>
      <c r="D26" s="22">
        <v>44781</v>
      </c>
      <c r="E26" s="22">
        <v>805860281</v>
      </c>
    </row>
    <row r="27" spans="1:10" x14ac:dyDescent="0.3">
      <c r="A27" s="16"/>
      <c r="B27" s="16"/>
      <c r="C27" s="16"/>
      <c r="D27" s="16"/>
      <c r="E27" s="16"/>
    </row>
    <row r="28" spans="1:10" x14ac:dyDescent="0.3">
      <c r="A28" s="17" t="s">
        <v>14</v>
      </c>
      <c r="B28" s="19">
        <f>B24+B9</f>
        <v>16785241543.661613</v>
      </c>
      <c r="C28" s="19">
        <f t="shared" ref="C28:E28" si="35">C24+C9</f>
        <v>245456459.69036266</v>
      </c>
      <c r="D28" s="19">
        <f t="shared" si="35"/>
        <v>2499875537.6087642</v>
      </c>
      <c r="E28" s="19">
        <f t="shared" si="35"/>
        <v>14039909546.362486</v>
      </c>
    </row>
    <row r="29" spans="1:10" x14ac:dyDescent="0.3">
      <c r="A29" s="16"/>
      <c r="B29" s="16"/>
      <c r="C29" s="16"/>
      <c r="D29" s="16"/>
      <c r="E29" s="16"/>
    </row>
    <row r="30" spans="1:10" x14ac:dyDescent="0.3">
      <c r="A30" s="16"/>
      <c r="B30" s="16"/>
      <c r="C30" s="16"/>
      <c r="D30" s="16"/>
      <c r="E30" s="16"/>
    </row>
    <row r="31" spans="1:10" x14ac:dyDescent="0.3">
      <c r="A31" s="16"/>
      <c r="B31" s="16"/>
      <c r="C31" s="16"/>
      <c r="D31" s="16"/>
      <c r="E31" s="16"/>
    </row>
    <row r="32" spans="1:10" x14ac:dyDescent="0.3">
      <c r="A32" s="16"/>
      <c r="B32" s="16"/>
      <c r="C32" s="16"/>
      <c r="D32" s="16"/>
      <c r="E32" s="16"/>
    </row>
    <row r="33" spans="1:5" x14ac:dyDescent="0.3">
      <c r="A33" s="6" t="s">
        <v>21</v>
      </c>
      <c r="B33" s="7">
        <v>27386119</v>
      </c>
      <c r="C33" s="7"/>
      <c r="D33" s="7">
        <f>B33-E33</f>
        <v>0</v>
      </c>
      <c r="E33" s="7">
        <v>27386119</v>
      </c>
    </row>
    <row r="34" spans="1:5" x14ac:dyDescent="0.3">
      <c r="A34" s="6" t="s">
        <v>22</v>
      </c>
      <c r="B34" s="7">
        <v>14054024</v>
      </c>
      <c r="C34" s="7"/>
      <c r="D34" s="7">
        <f>B34-E34</f>
        <v>0</v>
      </c>
      <c r="E34" s="7">
        <v>14054024</v>
      </c>
    </row>
    <row r="35" spans="1:5" x14ac:dyDescent="0.3">
      <c r="A35" s="6" t="s">
        <v>10</v>
      </c>
      <c r="B35" s="7">
        <v>650781702</v>
      </c>
      <c r="C35" s="7"/>
      <c r="D35" s="7">
        <f>B35-E35</f>
        <v>0</v>
      </c>
      <c r="E35" s="7">
        <v>650781702</v>
      </c>
    </row>
    <row r="36" spans="1:5" x14ac:dyDescent="0.3">
      <c r="A36" s="14" t="s">
        <v>0</v>
      </c>
      <c r="B36" s="18">
        <f>SUM(B24:B35)</f>
        <v>18337982756.323227</v>
      </c>
      <c r="C36" s="18"/>
      <c r="D36" s="18">
        <f>SUM(D24:D35)</f>
        <v>2500582202.6219373</v>
      </c>
      <c r="E36" s="18">
        <f>SUM(E24:E35)</f>
        <v>15591854705.170746</v>
      </c>
    </row>
    <row r="37" spans="1:5" x14ac:dyDescent="0.3">
      <c r="A37" s="16"/>
      <c r="B37" s="16"/>
      <c r="C37" s="16"/>
      <c r="D37" s="16"/>
      <c r="E37" s="16"/>
    </row>
    <row r="38" spans="1:5" x14ac:dyDescent="0.3">
      <c r="A38" s="17" t="s">
        <v>14</v>
      </c>
      <c r="B38" s="19">
        <f>B36+B9</f>
        <v>35068677844.323227</v>
      </c>
      <c r="C38" s="19"/>
      <c r="D38" s="19">
        <f>D36+D9</f>
        <v>4999795856.2175283</v>
      </c>
      <c r="E38" s="19">
        <f>E36+E9</f>
        <v>29577901218.724972</v>
      </c>
    </row>
  </sheetData>
  <mergeCells count="3">
    <mergeCell ref="A1:E1"/>
    <mergeCell ref="A16:E16"/>
    <mergeCell ref="Q2:S2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&amp;"Tahoma,Bold"2025 Collection Snapshot&amp;R&amp;"Tahoma,Regular"&amp;10&amp;D</oddHeader>
    <oddFooter>&amp;L&amp;"Tahoma,Regular"&amp;10Collections&amp;R&amp;"Tahoma,Regular"&amp;10&amp;P/&amp;N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71A1-DBF9-4FC9-A26A-2A8D15B1D30E}">
  <sheetPr>
    <tabColor rgb="FFFFFF00"/>
    <pageSetUpPr fitToPage="1"/>
  </sheetPr>
  <dimension ref="A1:U38"/>
  <sheetViews>
    <sheetView view="pageBreakPreview" zoomScaleNormal="100" zoomScaleSheetLayoutView="100" workbookViewId="0">
      <selection activeCell="A24" sqref="A24"/>
    </sheetView>
  </sheetViews>
  <sheetFormatPr defaultRowHeight="14.4" x14ac:dyDescent="0.3"/>
  <cols>
    <col min="1" max="1" width="43.21875" style="1" customWidth="1"/>
    <col min="2" max="2" width="19.5546875" style="1" customWidth="1"/>
    <col min="3" max="3" width="18" style="1" customWidth="1"/>
    <col min="4" max="4" width="18.6640625" style="1" customWidth="1"/>
    <col min="5" max="5" width="20.77734375" style="1" customWidth="1"/>
    <col min="6" max="6" width="26.88671875" style="1" customWidth="1"/>
    <col min="7" max="7" width="21.6640625" style="1" bestFit="1" customWidth="1"/>
    <col min="8" max="8" width="14.109375" bestFit="1" customWidth="1"/>
    <col min="9" max="9" width="16.6640625" bestFit="1" customWidth="1"/>
    <col min="10" max="10" width="17.33203125" bestFit="1" customWidth="1"/>
    <col min="11" max="11" width="15.109375" bestFit="1" customWidth="1"/>
    <col min="12" max="12" width="16.6640625" bestFit="1" customWidth="1"/>
    <col min="13" max="14" width="17.77734375" bestFit="1" customWidth="1"/>
    <col min="15" max="18" width="13.109375" bestFit="1" customWidth="1"/>
    <col min="19" max="19" width="15.109375" bestFit="1" customWidth="1"/>
    <col min="20" max="20" width="16.6640625" bestFit="1" customWidth="1"/>
    <col min="21" max="21" width="17.77734375" bestFit="1" customWidth="1"/>
  </cols>
  <sheetData>
    <row r="1" spans="1:21" x14ac:dyDescent="0.3">
      <c r="A1" s="40" t="s">
        <v>23</v>
      </c>
      <c r="B1" s="40"/>
      <c r="C1" s="40"/>
      <c r="D1" s="40"/>
      <c r="E1" s="40"/>
      <c r="F1" s="26"/>
      <c r="G1" s="26"/>
    </row>
    <row r="2" spans="1:21" x14ac:dyDescent="0.3">
      <c r="A2" s="4">
        <v>2024</v>
      </c>
      <c r="B2" s="5" t="s">
        <v>0</v>
      </c>
      <c r="C2" s="5" t="s">
        <v>25</v>
      </c>
      <c r="D2" s="5" t="s">
        <v>1</v>
      </c>
      <c r="E2" s="5" t="s">
        <v>2</v>
      </c>
      <c r="F2" s="27"/>
      <c r="G2" s="27"/>
      <c r="H2" s="2"/>
      <c r="I2" s="2"/>
      <c r="J2" s="2"/>
      <c r="P2" s="2">
        <f>SUM(P3:R3)</f>
        <v>0</v>
      </c>
      <c r="Q2" s="2"/>
      <c r="S2" s="46" t="s">
        <v>26</v>
      </c>
      <c r="T2" s="46"/>
      <c r="U2" s="46"/>
    </row>
    <row r="3" spans="1:21" x14ac:dyDescent="0.3">
      <c r="A3" s="6" t="s">
        <v>3</v>
      </c>
      <c r="B3" s="7">
        <v>5543995838.8033476</v>
      </c>
      <c r="C3" s="42">
        <v>0</v>
      </c>
      <c r="D3" s="7">
        <v>89873536.33501339</v>
      </c>
      <c r="E3" s="7">
        <v>5454122302.4683342</v>
      </c>
      <c r="F3" s="28">
        <f>SUM(C3:E3)</f>
        <v>5543995838.8033476</v>
      </c>
      <c r="G3" s="28">
        <f>F3-B3</f>
        <v>0</v>
      </c>
      <c r="H3" s="20">
        <f>C3/$F3</f>
        <v>0</v>
      </c>
      <c r="I3" s="20">
        <f t="shared" ref="I3:J9" si="0">D3/$F3</f>
        <v>1.621096749495618E-2</v>
      </c>
      <c r="J3" s="20">
        <f t="shared" si="0"/>
        <v>0.98378903250504379</v>
      </c>
      <c r="K3" s="2">
        <f>H3*$B3</f>
        <v>0</v>
      </c>
      <c r="L3" s="2">
        <f t="shared" ref="L3:M13" si="1">I3*$B3</f>
        <v>89873536.33501339</v>
      </c>
      <c r="M3" s="2">
        <f t="shared" si="1"/>
        <v>5454122302.4683342</v>
      </c>
      <c r="N3" s="2">
        <f>SUM(K3:M3)</f>
        <v>5543995838.8033476</v>
      </c>
      <c r="O3" s="2">
        <f t="shared" ref="O3:O13" si="2">N3-B3</f>
        <v>0</v>
      </c>
      <c r="P3" s="2">
        <f>$O3*H3</f>
        <v>0</v>
      </c>
      <c r="Q3" s="2">
        <f>$O3*I3</f>
        <v>0</v>
      </c>
      <c r="R3" s="2">
        <f>$O3*J3</f>
        <v>0</v>
      </c>
      <c r="S3" s="47">
        <f>K3-P3</f>
        <v>0</v>
      </c>
      <c r="T3" s="47">
        <f>L3-Q3</f>
        <v>89873536.33501339</v>
      </c>
      <c r="U3" s="47">
        <f>M3-R3</f>
        <v>5454122302.4683342</v>
      </c>
    </row>
    <row r="4" spans="1:21" x14ac:dyDescent="0.3">
      <c r="A4" s="6" t="s">
        <v>4</v>
      </c>
      <c r="B4" s="7">
        <v>1455103625.7084122</v>
      </c>
      <c r="C4" s="42">
        <v>0</v>
      </c>
      <c r="D4" s="7">
        <v>33995732.902783163</v>
      </c>
      <c r="E4" s="7">
        <v>1421107892.805629</v>
      </c>
      <c r="F4" s="28">
        <f t="shared" ref="F4:F9" si="3">SUM(C4:E4)</f>
        <v>1455103625.7084122</v>
      </c>
      <c r="G4" s="28">
        <f t="shared" ref="G4:G9" si="4">F4-B4</f>
        <v>0</v>
      </c>
      <c r="H4" s="20">
        <f t="shared" ref="H4:H9" si="5">C4/$F4</f>
        <v>0</v>
      </c>
      <c r="I4" s="20">
        <f t="shared" si="0"/>
        <v>2.3363100951818781E-2</v>
      </c>
      <c r="J4" s="20">
        <f t="shared" si="0"/>
        <v>0.97663689904818118</v>
      </c>
      <c r="K4" s="2">
        <f t="shared" ref="K4:K13" si="6">H4*$B4</f>
        <v>0</v>
      </c>
      <c r="L4" s="2">
        <f t="shared" si="1"/>
        <v>33995732.902783163</v>
      </c>
      <c r="M4" s="2">
        <f t="shared" si="1"/>
        <v>1421107892.805629</v>
      </c>
      <c r="N4" s="2">
        <f t="shared" ref="N4:N13" si="7">SUM(K4:M4)</f>
        <v>1455103625.7084122</v>
      </c>
      <c r="O4" s="2">
        <f t="shared" si="2"/>
        <v>0</v>
      </c>
      <c r="P4" s="2">
        <f t="shared" ref="P4:R9" si="8">$O4*H4</f>
        <v>0</v>
      </c>
      <c r="Q4" s="2">
        <f t="shared" si="8"/>
        <v>0</v>
      </c>
      <c r="R4" s="2">
        <f t="shared" si="8"/>
        <v>0</v>
      </c>
      <c r="S4" s="47">
        <f t="shared" ref="S4:U13" si="9">K4-P4</f>
        <v>0</v>
      </c>
      <c r="T4" s="47">
        <f t="shared" si="9"/>
        <v>33995732.902783163</v>
      </c>
      <c r="U4" s="47">
        <f t="shared" si="9"/>
        <v>1421107892.805629</v>
      </c>
    </row>
    <row r="5" spans="1:21" x14ac:dyDescent="0.3">
      <c r="A5" s="8" t="s">
        <v>5</v>
      </c>
      <c r="B5" s="9">
        <v>574572739.15539312</v>
      </c>
      <c r="C5" s="43">
        <v>0</v>
      </c>
      <c r="D5" s="9">
        <v>26540544.733488165</v>
      </c>
      <c r="E5" s="9">
        <v>548032194.42190492</v>
      </c>
      <c r="F5" s="28">
        <f t="shared" si="3"/>
        <v>574572739.15539312</v>
      </c>
      <c r="G5" s="28">
        <f t="shared" si="4"/>
        <v>0</v>
      </c>
      <c r="H5" s="20">
        <f t="shared" si="5"/>
        <v>0</v>
      </c>
      <c r="I5" s="20">
        <f t="shared" si="0"/>
        <v>4.6191792483058054E-2</v>
      </c>
      <c r="J5" s="20">
        <f t="shared" si="0"/>
        <v>0.95380820751694184</v>
      </c>
      <c r="K5" s="2">
        <f t="shared" si="6"/>
        <v>0</v>
      </c>
      <c r="L5" s="2">
        <f t="shared" si="1"/>
        <v>26540544.733488165</v>
      </c>
      <c r="M5" s="2">
        <f t="shared" si="1"/>
        <v>548032194.42190492</v>
      </c>
      <c r="N5" s="2">
        <f t="shared" si="7"/>
        <v>574572739.15539312</v>
      </c>
      <c r="O5" s="2">
        <f t="shared" si="2"/>
        <v>0</v>
      </c>
      <c r="P5" s="2">
        <f t="shared" si="8"/>
        <v>0</v>
      </c>
      <c r="Q5" s="2">
        <f t="shared" si="8"/>
        <v>0</v>
      </c>
      <c r="R5" s="2">
        <f t="shared" si="8"/>
        <v>0</v>
      </c>
      <c r="S5" s="47">
        <f t="shared" si="9"/>
        <v>0</v>
      </c>
      <c r="T5" s="47">
        <f t="shared" si="9"/>
        <v>26540544.733488165</v>
      </c>
      <c r="U5" s="47">
        <f t="shared" si="9"/>
        <v>548032194.42190492</v>
      </c>
    </row>
    <row r="6" spans="1:21" x14ac:dyDescent="0.3">
      <c r="A6" s="8" t="s">
        <v>6</v>
      </c>
      <c r="B6" s="9">
        <v>880530886.55301893</v>
      </c>
      <c r="C6" s="43">
        <v>0</v>
      </c>
      <c r="D6" s="9">
        <v>33058307.819758993</v>
      </c>
      <c r="E6" s="9">
        <v>847472578.73325992</v>
      </c>
      <c r="F6" s="28">
        <f t="shared" si="3"/>
        <v>880530886.55301893</v>
      </c>
      <c r="G6" s="28">
        <f t="shared" si="4"/>
        <v>0</v>
      </c>
      <c r="H6" s="20">
        <f t="shared" si="5"/>
        <v>0</v>
      </c>
      <c r="I6" s="20">
        <f t="shared" si="0"/>
        <v>3.7543609570779631E-2</v>
      </c>
      <c r="J6" s="20">
        <f t="shared" si="0"/>
        <v>0.96245639042922038</v>
      </c>
      <c r="K6" s="2">
        <f t="shared" si="6"/>
        <v>0</v>
      </c>
      <c r="L6" s="2">
        <f t="shared" si="1"/>
        <v>33058307.819758993</v>
      </c>
      <c r="M6" s="2">
        <f t="shared" si="1"/>
        <v>847472578.73325992</v>
      </c>
      <c r="N6" s="2">
        <f t="shared" si="7"/>
        <v>880530886.55301893</v>
      </c>
      <c r="O6" s="2">
        <f t="shared" si="2"/>
        <v>0</v>
      </c>
      <c r="P6" s="2">
        <f t="shared" si="8"/>
        <v>0</v>
      </c>
      <c r="Q6" s="2">
        <f t="shared" si="8"/>
        <v>0</v>
      </c>
      <c r="R6" s="2">
        <f t="shared" si="8"/>
        <v>0</v>
      </c>
      <c r="S6" s="47">
        <f t="shared" si="9"/>
        <v>0</v>
      </c>
      <c r="T6" s="47">
        <f t="shared" si="9"/>
        <v>33058307.819758993</v>
      </c>
      <c r="U6" s="47">
        <f t="shared" si="9"/>
        <v>847472578.73325992</v>
      </c>
    </row>
    <row r="7" spans="1:21" x14ac:dyDescent="0.3">
      <c r="A7" s="10" t="s">
        <v>7</v>
      </c>
      <c r="B7" s="11">
        <f>B3+B4</f>
        <v>6999099464.5117598</v>
      </c>
      <c r="C7" s="44">
        <f>C3+C4</f>
        <v>0</v>
      </c>
      <c r="D7" s="11">
        <v>123857051.56806913</v>
      </c>
      <c r="E7" s="11">
        <v>6875242412.9436903</v>
      </c>
      <c r="F7" s="28">
        <f t="shared" si="3"/>
        <v>6999099464.5117598</v>
      </c>
      <c r="G7" s="28">
        <f>F7-B7</f>
        <v>0</v>
      </c>
      <c r="H7" s="20">
        <f t="shared" si="5"/>
        <v>0</v>
      </c>
      <c r="I7" s="20">
        <f t="shared" si="0"/>
        <v>1.7696141081588287E-2</v>
      </c>
      <c r="J7" s="20">
        <f t="shared" si="0"/>
        <v>0.98230385891841165</v>
      </c>
      <c r="K7" s="2">
        <f t="shared" si="6"/>
        <v>0</v>
      </c>
      <c r="L7" s="2">
        <f t="shared" si="1"/>
        <v>123857051.56806913</v>
      </c>
      <c r="M7" s="2">
        <f>J7*$B7</f>
        <v>6875242412.9436903</v>
      </c>
      <c r="N7" s="2">
        <f>SUM(K7:M7)</f>
        <v>6999099464.5117598</v>
      </c>
      <c r="O7" s="2">
        <f t="shared" si="2"/>
        <v>0</v>
      </c>
      <c r="P7" s="2">
        <f t="shared" si="8"/>
        <v>0</v>
      </c>
      <c r="Q7" s="2">
        <f t="shared" si="8"/>
        <v>0</v>
      </c>
      <c r="R7" s="2">
        <f t="shared" si="8"/>
        <v>0</v>
      </c>
      <c r="S7" s="47">
        <f t="shared" si="9"/>
        <v>0</v>
      </c>
      <c r="T7" s="47">
        <f t="shared" si="9"/>
        <v>123857051.56806913</v>
      </c>
      <c r="U7" s="47">
        <f t="shared" si="9"/>
        <v>6875242412.9436903</v>
      </c>
    </row>
    <row r="8" spans="1:21" x14ac:dyDescent="0.3">
      <c r="A8" s="10" t="s">
        <v>8</v>
      </c>
      <c r="B8" s="11">
        <v>3230956694.7949657</v>
      </c>
      <c r="C8" s="44">
        <f>C4+C5</f>
        <v>0</v>
      </c>
      <c r="D8" s="11">
        <v>567906484.62916529</v>
      </c>
      <c r="E8" s="11">
        <v>2663050210.1658006</v>
      </c>
      <c r="F8" s="28">
        <f t="shared" si="3"/>
        <v>3230956694.7949657</v>
      </c>
      <c r="G8" s="28">
        <f>F8-B8</f>
        <v>0</v>
      </c>
      <c r="H8" s="20">
        <f t="shared" si="5"/>
        <v>0</v>
      </c>
      <c r="I8" s="20">
        <f t="shared" si="0"/>
        <v>0.17577037957334932</v>
      </c>
      <c r="J8" s="20">
        <f t="shared" si="0"/>
        <v>0.82422962042665071</v>
      </c>
      <c r="K8" s="2">
        <f t="shared" si="6"/>
        <v>0</v>
      </c>
      <c r="L8" s="2">
        <f t="shared" si="1"/>
        <v>567906484.62916529</v>
      </c>
      <c r="M8" s="2">
        <f t="shared" si="1"/>
        <v>2663050210.1658006</v>
      </c>
      <c r="N8" s="2">
        <f t="shared" si="7"/>
        <v>3230956694.7949657</v>
      </c>
      <c r="O8" s="2">
        <f t="shared" si="2"/>
        <v>0</v>
      </c>
      <c r="P8" s="2">
        <f t="shared" si="8"/>
        <v>0</v>
      </c>
      <c r="Q8" s="2">
        <f t="shared" si="8"/>
        <v>0</v>
      </c>
      <c r="R8" s="2">
        <f t="shared" si="8"/>
        <v>0</v>
      </c>
      <c r="S8" s="47">
        <f t="shared" si="9"/>
        <v>0</v>
      </c>
      <c r="T8" s="47">
        <f t="shared" si="9"/>
        <v>567906484.62916529</v>
      </c>
      <c r="U8" s="47">
        <f t="shared" si="9"/>
        <v>2663050210.1658006</v>
      </c>
    </row>
    <row r="9" spans="1:21" x14ac:dyDescent="0.3">
      <c r="A9" s="14" t="s">
        <v>9</v>
      </c>
      <c r="B9" s="18">
        <f>SUM(B7:B8)</f>
        <v>10230056159.306725</v>
      </c>
      <c r="C9" s="45">
        <f t="shared" ref="C9:D11" si="10">SUM(C7:C8)</f>
        <v>0</v>
      </c>
      <c r="D9" s="18">
        <f>SUM(D7:D8)</f>
        <v>691763536.19723439</v>
      </c>
      <c r="E9" s="18">
        <f>SUM(E7:E8)</f>
        <v>9538292623.1094913</v>
      </c>
      <c r="F9" s="28">
        <f t="shared" si="3"/>
        <v>10230056159.306726</v>
      </c>
      <c r="G9" s="28">
        <f t="shared" si="4"/>
        <v>0</v>
      </c>
      <c r="H9" s="20">
        <f t="shared" si="5"/>
        <v>0</v>
      </c>
      <c r="I9" s="20">
        <f t="shared" si="0"/>
        <v>6.7620697816786382E-2</v>
      </c>
      <c r="J9" s="20">
        <f t="shared" si="0"/>
        <v>0.93237930218321352</v>
      </c>
      <c r="K9" s="2">
        <f t="shared" si="6"/>
        <v>0</v>
      </c>
      <c r="L9" s="2">
        <f t="shared" si="1"/>
        <v>691763536.19723427</v>
      </c>
      <c r="M9" s="2">
        <f t="shared" si="1"/>
        <v>9538292623.1094894</v>
      </c>
      <c r="N9" s="2">
        <f t="shared" si="7"/>
        <v>10230056159.306725</v>
      </c>
      <c r="O9" s="2">
        <f t="shared" si="2"/>
        <v>0</v>
      </c>
      <c r="P9" s="2">
        <f t="shared" si="8"/>
        <v>0</v>
      </c>
      <c r="Q9" s="2">
        <f t="shared" si="8"/>
        <v>0</v>
      </c>
      <c r="R9" s="2">
        <f t="shared" si="8"/>
        <v>0</v>
      </c>
      <c r="S9" s="47">
        <f t="shared" si="9"/>
        <v>0</v>
      </c>
      <c r="T9" s="47">
        <f t="shared" si="9"/>
        <v>691763536.19723427</v>
      </c>
      <c r="U9" s="47">
        <f t="shared" si="9"/>
        <v>9538292623.1094894</v>
      </c>
    </row>
    <row r="10" spans="1:21" hidden="1" x14ac:dyDescent="0.3">
      <c r="A10" s="6" t="s">
        <v>10</v>
      </c>
      <c r="B10" s="7">
        <v>805972912</v>
      </c>
      <c r="C10" s="7">
        <v>67850</v>
      </c>
      <c r="D10" s="7">
        <v>44781</v>
      </c>
      <c r="E10" s="48">
        <v>805860281</v>
      </c>
      <c r="F10" s="28"/>
      <c r="G10" s="28"/>
      <c r="H10" s="20">
        <f t="shared" ref="H10:J13" si="11">C10/$B10</f>
        <v>8.418397068907944E-5</v>
      </c>
      <c r="I10" s="20">
        <f t="shared" si="11"/>
        <v>5.5561420654792431E-5</v>
      </c>
      <c r="J10" s="20">
        <f t="shared" si="11"/>
        <v>0.99986025460865613</v>
      </c>
      <c r="K10" s="2">
        <f t="shared" si="6"/>
        <v>67850</v>
      </c>
      <c r="L10" s="2">
        <f t="shared" si="1"/>
        <v>44781</v>
      </c>
      <c r="M10" s="2">
        <f t="shared" si="1"/>
        <v>805860281</v>
      </c>
      <c r="N10" s="2">
        <f t="shared" si="7"/>
        <v>805972912</v>
      </c>
      <c r="O10" s="2">
        <f t="shared" si="2"/>
        <v>0</v>
      </c>
      <c r="P10" s="2">
        <f t="shared" ref="P10:R13" si="12">$O$3*H10</f>
        <v>0</v>
      </c>
      <c r="Q10" s="2">
        <f t="shared" si="12"/>
        <v>0</v>
      </c>
      <c r="R10" s="2">
        <f t="shared" si="12"/>
        <v>0</v>
      </c>
      <c r="S10" s="2">
        <f t="shared" si="9"/>
        <v>67850</v>
      </c>
      <c r="T10" s="2">
        <f t="shared" si="9"/>
        <v>44781</v>
      </c>
      <c r="U10" s="2">
        <f t="shared" si="9"/>
        <v>805860281</v>
      </c>
    </row>
    <row r="11" spans="1:21" hidden="1" x14ac:dyDescent="0.3">
      <c r="A11" s="6" t="s">
        <v>11</v>
      </c>
      <c r="B11" s="7">
        <v>54546455.6616126</v>
      </c>
      <c r="C11" s="7">
        <v>21538.840180300023</v>
      </c>
      <c r="D11" s="7">
        <v>661884.01317300135</v>
      </c>
      <c r="E11" s="48">
        <v>53863032.808259308</v>
      </c>
      <c r="F11" s="28"/>
      <c r="G11" s="28"/>
      <c r="H11" s="20">
        <f t="shared" si="11"/>
        <v>3.9487148924798266E-4</v>
      </c>
      <c r="I11" s="20">
        <f t="shared" si="11"/>
        <v>1.2134317530713664E-2</v>
      </c>
      <c r="J11" s="20">
        <f t="shared" si="11"/>
        <v>0.98747081098003853</v>
      </c>
      <c r="K11" s="2">
        <f t="shared" si="6"/>
        <v>21538.840180300023</v>
      </c>
      <c r="L11" s="2">
        <f t="shared" si="1"/>
        <v>661884.01317300135</v>
      </c>
      <c r="M11" s="2">
        <f t="shared" si="1"/>
        <v>53863032.808259308</v>
      </c>
      <c r="N11" s="2">
        <f t="shared" si="7"/>
        <v>54546455.661612608</v>
      </c>
      <c r="O11" s="2">
        <f t="shared" si="2"/>
        <v>0</v>
      </c>
      <c r="P11" s="2">
        <f t="shared" si="12"/>
        <v>0</v>
      </c>
      <c r="Q11" s="2">
        <f t="shared" si="12"/>
        <v>0</v>
      </c>
      <c r="R11" s="2">
        <f t="shared" si="12"/>
        <v>0</v>
      </c>
      <c r="S11" s="2">
        <f t="shared" si="9"/>
        <v>21538.840180300023</v>
      </c>
      <c r="T11" s="2">
        <f t="shared" si="9"/>
        <v>661884.01317300135</v>
      </c>
      <c r="U11" s="2">
        <f t="shared" si="9"/>
        <v>53863032.808259308</v>
      </c>
    </row>
    <row r="12" spans="1:21" hidden="1" x14ac:dyDescent="0.3">
      <c r="A12" s="14" t="s">
        <v>12</v>
      </c>
      <c r="B12" s="15">
        <v>17626360639.127609</v>
      </c>
      <c r="C12" s="15">
        <v>177421822.88999999</v>
      </c>
      <c r="D12" s="15">
        <v>2500271083.7502003</v>
      </c>
      <c r="E12" s="15">
        <v>14948667732.487404</v>
      </c>
      <c r="F12" s="30"/>
      <c r="G12" s="30"/>
      <c r="H12" s="20">
        <f t="shared" si="11"/>
        <v>1.0065709338554713E-2</v>
      </c>
      <c r="I12" s="20">
        <f t="shared" si="11"/>
        <v>0.14184840166040921</v>
      </c>
      <c r="J12" s="20">
        <f t="shared" si="11"/>
        <v>0.84808588900103576</v>
      </c>
      <c r="K12" s="2">
        <f t="shared" si="6"/>
        <v>177421822.88999999</v>
      </c>
      <c r="L12" s="2">
        <f t="shared" si="1"/>
        <v>2500271083.7502003</v>
      </c>
      <c r="M12" s="2">
        <f t="shared" si="1"/>
        <v>14948667732.487404</v>
      </c>
      <c r="N12" s="2">
        <f t="shared" si="7"/>
        <v>17626360639.127605</v>
      </c>
      <c r="O12" s="2">
        <f t="shared" si="2"/>
        <v>0</v>
      </c>
      <c r="P12" s="2">
        <f t="shared" si="12"/>
        <v>0</v>
      </c>
      <c r="Q12" s="2">
        <f t="shared" si="12"/>
        <v>0</v>
      </c>
      <c r="R12" s="2">
        <f t="shared" si="12"/>
        <v>0</v>
      </c>
      <c r="S12" s="2">
        <f t="shared" si="9"/>
        <v>177421822.88999999</v>
      </c>
      <c r="T12" s="2">
        <f t="shared" si="9"/>
        <v>2500271083.7502003</v>
      </c>
      <c r="U12" s="2">
        <f t="shared" si="9"/>
        <v>14948667732.487404</v>
      </c>
    </row>
    <row r="13" spans="1:21" hidden="1" x14ac:dyDescent="0.3">
      <c r="A13" s="14" t="s">
        <v>12</v>
      </c>
      <c r="B13" s="15"/>
      <c r="C13" s="15"/>
      <c r="D13" s="15"/>
      <c r="E13" s="15"/>
      <c r="F13" s="30"/>
      <c r="G13" s="30"/>
      <c r="H13" s="20" t="e">
        <f t="shared" si="11"/>
        <v>#DIV/0!</v>
      </c>
      <c r="I13" s="20" t="e">
        <f t="shared" si="11"/>
        <v>#DIV/0!</v>
      </c>
      <c r="J13" s="20" t="e">
        <f t="shared" si="11"/>
        <v>#DIV/0!</v>
      </c>
      <c r="K13" s="2" t="e">
        <f t="shared" si="6"/>
        <v>#DIV/0!</v>
      </c>
      <c r="L13" s="2" t="e">
        <f t="shared" si="1"/>
        <v>#DIV/0!</v>
      </c>
      <c r="M13" s="2" t="e">
        <f t="shared" si="1"/>
        <v>#DIV/0!</v>
      </c>
      <c r="N13" s="2" t="e">
        <f t="shared" si="7"/>
        <v>#DIV/0!</v>
      </c>
      <c r="O13" s="2" t="e">
        <f t="shared" si="2"/>
        <v>#DIV/0!</v>
      </c>
      <c r="P13" s="2" t="e">
        <f t="shared" si="12"/>
        <v>#DIV/0!</v>
      </c>
      <c r="Q13" s="2" t="e">
        <f t="shared" si="12"/>
        <v>#DIV/0!</v>
      </c>
      <c r="R13" s="2" t="e">
        <f t="shared" si="12"/>
        <v>#DIV/0!</v>
      </c>
      <c r="S13" s="2" t="e">
        <f t="shared" si="9"/>
        <v>#DIV/0!</v>
      </c>
      <c r="T13" s="2" t="e">
        <f t="shared" si="9"/>
        <v>#DIV/0!</v>
      </c>
      <c r="U13" s="2" t="e">
        <f t="shared" si="9"/>
        <v>#DIV/0!</v>
      </c>
    </row>
    <row r="14" spans="1:21" x14ac:dyDescent="0.3">
      <c r="A14" s="16"/>
      <c r="B14" s="38"/>
      <c r="C14" s="38"/>
      <c r="D14" s="38"/>
      <c r="E14" s="38"/>
      <c r="F14" s="16"/>
      <c r="G14" s="16"/>
      <c r="H14" s="20"/>
      <c r="I14" s="20"/>
      <c r="J14" s="2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">
      <c r="A15" s="16"/>
      <c r="B15" s="35"/>
      <c r="C15" s="35"/>
      <c r="D15" s="35"/>
      <c r="E15" s="35"/>
      <c r="F15" s="16"/>
      <c r="G15" s="16">
        <v>16786600016</v>
      </c>
    </row>
    <row r="16" spans="1:21" x14ac:dyDescent="0.3">
      <c r="A16" s="40" t="s">
        <v>24</v>
      </c>
      <c r="B16" s="40"/>
      <c r="C16" s="40"/>
      <c r="D16" s="40"/>
      <c r="E16" s="40"/>
      <c r="F16" s="26"/>
      <c r="G16" s="26">
        <v>16787454168.1105</v>
      </c>
      <c r="H16" s="40"/>
      <c r="I16" s="40"/>
      <c r="J16" s="40"/>
      <c r="K16" s="40"/>
      <c r="L16" s="40"/>
    </row>
    <row r="17" spans="1:12" x14ac:dyDescent="0.3">
      <c r="A17" s="4" t="s">
        <v>13</v>
      </c>
      <c r="B17" s="5" t="s">
        <v>0</v>
      </c>
      <c r="C17" s="5" t="s">
        <v>25</v>
      </c>
      <c r="D17" s="5" t="s">
        <v>1</v>
      </c>
      <c r="E17" s="5" t="s">
        <v>2</v>
      </c>
      <c r="F17" s="27"/>
      <c r="G17" s="27">
        <f>G15-G16</f>
        <v>-854152.11050033569</v>
      </c>
      <c r="H17" s="4">
        <v>2025</v>
      </c>
      <c r="I17" s="5"/>
      <c r="J17" s="5"/>
      <c r="K17" s="5"/>
      <c r="L17" s="5"/>
    </row>
    <row r="18" spans="1:12" x14ac:dyDescent="0.3">
      <c r="A18" s="6" t="s">
        <v>15</v>
      </c>
      <c r="B18" s="7">
        <f t="shared" ref="B18:B23" si="13">SUM(C18:E18)</f>
        <v>15254252.140000001</v>
      </c>
      <c r="C18" s="7">
        <v>0</v>
      </c>
      <c r="D18" s="7">
        <v>6991</v>
      </c>
      <c r="E18" s="7">
        <v>15247261.140000001</v>
      </c>
      <c r="F18" s="28"/>
      <c r="G18" s="28"/>
      <c r="H18" s="6" t="s">
        <v>3</v>
      </c>
      <c r="I18" s="7">
        <f ca="1">B3-'2025 Collection'!B8</f>
        <v>-4168228884.0266523</v>
      </c>
      <c r="J18" s="7">
        <f ca="1">C3-'2025 Collection'!C8</f>
        <v>-78865421.180369735</v>
      </c>
      <c r="K18" s="7">
        <f ca="1">D3-'2025 Collection'!D8</f>
        <v>-1114548533.3505716</v>
      </c>
      <c r="L18" s="7">
        <f ca="1">E3-'2025 Collection'!E8</f>
        <v>-3082850048.0960846</v>
      </c>
    </row>
    <row r="19" spans="1:12" x14ac:dyDescent="0.3">
      <c r="A19" s="6" t="s">
        <v>17</v>
      </c>
      <c r="B19" s="7">
        <f t="shared" si="13"/>
        <v>4504556.0999999996</v>
      </c>
      <c r="C19" s="7">
        <v>0</v>
      </c>
      <c r="D19" s="7">
        <v>18000</v>
      </c>
      <c r="E19" s="7">
        <v>4486556.0999999996</v>
      </c>
      <c r="F19" s="28"/>
      <c r="G19" s="28"/>
      <c r="H19" s="6" t="s">
        <v>4</v>
      </c>
      <c r="I19" s="7">
        <f>B4-'2025 Collection'!B9</f>
        <v>-1804779061.4615879</v>
      </c>
      <c r="J19" s="7">
        <f ca="1">C4-'2025 Collection'!C9</f>
        <v>-24960155.819630258</v>
      </c>
      <c r="K19" s="7">
        <f ca="1">D4-'2025 Collection'!D9</f>
        <v>-334569776.4116317</v>
      </c>
      <c r="L19" s="7">
        <f ca="1">E4-'2025 Collection'!E9</f>
        <v>-1337214010.6299527</v>
      </c>
    </row>
    <row r="20" spans="1:12" x14ac:dyDescent="0.3">
      <c r="A20" s="6" t="s">
        <v>18</v>
      </c>
      <c r="B20" s="7">
        <f t="shared" si="13"/>
        <v>3360007.5300000003</v>
      </c>
      <c r="C20" s="7">
        <v>0</v>
      </c>
      <c r="D20" s="7">
        <v>0</v>
      </c>
      <c r="E20" s="7">
        <v>3360007.5300000003</v>
      </c>
      <c r="F20" s="28"/>
      <c r="G20" s="28"/>
      <c r="H20" s="8" t="s">
        <v>5</v>
      </c>
      <c r="I20" s="7">
        <f ca="1">B5-'2025 Collection'!B10</f>
        <v>-533739733.84259248</v>
      </c>
      <c r="J20" s="7">
        <f ca="1">C5-'2025 Collection'!C10</f>
        <v>-6294106.8806801038</v>
      </c>
      <c r="K20" s="7">
        <f ca="1">D5-'2025 Collection'!D10</f>
        <v>-103896442.88357192</v>
      </c>
      <c r="L20" s="7">
        <f ca="1">E5-'2025 Collection'!E10</f>
        <v>-416433638.589836</v>
      </c>
    </row>
    <row r="21" spans="1:12" x14ac:dyDescent="0.3">
      <c r="A21" s="6" t="s">
        <v>27</v>
      </c>
      <c r="B21" s="7">
        <f t="shared" si="13"/>
        <v>1932637.5</v>
      </c>
      <c r="C21" s="7">
        <v>0</v>
      </c>
      <c r="D21" s="7">
        <v>0</v>
      </c>
      <c r="E21" s="7">
        <v>1932637.5</v>
      </c>
      <c r="F21" s="28"/>
      <c r="G21" s="28"/>
      <c r="H21" s="8" t="s">
        <v>6</v>
      </c>
      <c r="I21" s="7">
        <f ca="1">B6-'2025 Collection'!B11</f>
        <v>-1269783014.8083353</v>
      </c>
      <c r="J21" s="7">
        <f ca="1">C6-'2025 Collection'!C11</f>
        <v>-18666048.938950155</v>
      </c>
      <c r="K21" s="7">
        <f ca="1">D6-'2025 Collection'!D11</f>
        <v>-205070213.87759578</v>
      </c>
      <c r="L21" s="7">
        <f ca="1">E6-'2025 Collection'!E11</f>
        <v>-946383491.69058084</v>
      </c>
    </row>
    <row r="22" spans="1:12" x14ac:dyDescent="0.3">
      <c r="A22" s="6" t="s">
        <v>19</v>
      </c>
      <c r="B22" s="7">
        <f t="shared" si="13"/>
        <v>2104931.13</v>
      </c>
      <c r="C22" s="7">
        <v>0</v>
      </c>
      <c r="D22" s="7">
        <v>0</v>
      </c>
      <c r="E22" s="7">
        <v>2104931.13</v>
      </c>
      <c r="F22" s="28"/>
      <c r="G22" s="28"/>
      <c r="H22" s="10" t="s">
        <v>7</v>
      </c>
      <c r="I22" s="7">
        <f ca="1">B7-'2025 Collection'!B12</f>
        <v>-5973007945.4882402</v>
      </c>
      <c r="J22" s="7">
        <f ca="1">C7-'2025 Collection'!C12</f>
        <v>-103825577</v>
      </c>
      <c r="K22" s="7">
        <f ca="1">D7-'2025 Collection'!D12</f>
        <v>-1449130527.4319308</v>
      </c>
      <c r="L22" s="7">
        <f ca="1">E7-'2025 Collection'!E12</f>
        <v>-4420051841.0563097</v>
      </c>
    </row>
    <row r="23" spans="1:12" x14ac:dyDescent="0.3">
      <c r="A23" s="6" t="s">
        <v>16</v>
      </c>
      <c r="B23" s="7">
        <f t="shared" si="13"/>
        <v>35970</v>
      </c>
      <c r="C23" s="7">
        <v>0</v>
      </c>
      <c r="D23" s="7">
        <v>0</v>
      </c>
      <c r="E23" s="7">
        <v>35970</v>
      </c>
      <c r="F23" s="28"/>
      <c r="G23" s="28"/>
      <c r="H23" s="10" t="s">
        <v>8</v>
      </c>
      <c r="I23" s="7">
        <f>B8-'2025 Collection'!B13</f>
        <v>-621958794.20503426</v>
      </c>
      <c r="J23" s="7">
        <f>C8-'2025 Collection'!C13</f>
        <v>-146145602.98662409</v>
      </c>
      <c r="K23" s="7">
        <f>D8-'2025 Collection'!D13</f>
        <v>-365062435.31515539</v>
      </c>
      <c r="L23" s="7">
        <f>E8-'2025 Collection'!E13</f>
        <v>-110750755.90325451</v>
      </c>
    </row>
    <row r="24" spans="1:12" x14ac:dyDescent="0.3">
      <c r="A24" s="12" t="s">
        <v>20</v>
      </c>
      <c r="B24" s="13">
        <f>SUM(B18:B23)</f>
        <v>27192354.400000002</v>
      </c>
      <c r="C24" s="13">
        <f>SUM(C18:C23)</f>
        <v>0</v>
      </c>
      <c r="D24" s="13">
        <f>SUM(D18:D23)</f>
        <v>24991</v>
      </c>
      <c r="E24" s="13">
        <f>SUM(E18:E23)</f>
        <v>27167363.400000002</v>
      </c>
      <c r="F24" s="31"/>
      <c r="G24" s="31"/>
      <c r="H24" s="14" t="s">
        <v>9</v>
      </c>
      <c r="I24" s="7">
        <f ca="1">B9-'2025 Collection'!B14</f>
        <v>-6594966739.6932755</v>
      </c>
      <c r="J24" s="7">
        <f ca="1">C9-'2025 Collection'!C14</f>
        <v>-249971179.98662409</v>
      </c>
      <c r="K24" s="7">
        <f ca="1">D9-'2025 Collection'!D14</f>
        <v>-1814192962.7470863</v>
      </c>
      <c r="L24" s="7">
        <f ca="1">E9-'2025 Collection'!E14</f>
        <v>-4530802596.9595642</v>
      </c>
    </row>
    <row r="25" spans="1:12" x14ac:dyDescent="0.3">
      <c r="A25" s="16"/>
      <c r="B25" s="16"/>
      <c r="C25" s="16"/>
      <c r="D25" s="16"/>
      <c r="E25" s="16"/>
      <c r="F25" s="16"/>
      <c r="G25" s="16"/>
      <c r="I25" s="21"/>
      <c r="J25" s="21"/>
      <c r="K25" s="21"/>
      <c r="L25" s="21"/>
    </row>
    <row r="26" spans="1:12" x14ac:dyDescent="0.3">
      <c r="A26" s="23" t="s">
        <v>10</v>
      </c>
      <c r="B26" s="22">
        <v>637972393</v>
      </c>
      <c r="C26" s="22">
        <v>0</v>
      </c>
      <c r="D26" s="22">
        <v>12</v>
      </c>
      <c r="E26" s="22">
        <v>637972381</v>
      </c>
      <c r="F26" s="32"/>
      <c r="G26" s="32"/>
      <c r="I26" s="21"/>
      <c r="J26" s="21"/>
      <c r="K26" s="21"/>
      <c r="L26" s="21"/>
    </row>
    <row r="27" spans="1:12" x14ac:dyDescent="0.3">
      <c r="A27" s="16"/>
      <c r="B27" s="16"/>
      <c r="C27" s="16"/>
      <c r="D27" s="16"/>
      <c r="E27" s="16"/>
      <c r="F27" s="16"/>
      <c r="G27" s="16"/>
      <c r="I27" s="21"/>
      <c r="J27" s="21"/>
      <c r="K27" s="21"/>
      <c r="L27" s="21"/>
    </row>
    <row r="28" spans="1:12" x14ac:dyDescent="0.3">
      <c r="A28" s="17" t="s">
        <v>14</v>
      </c>
      <c r="B28" s="19">
        <f>B24+B9</f>
        <v>10257248513.706724</v>
      </c>
      <c r="C28" s="19">
        <f>C24+C9</f>
        <v>0</v>
      </c>
      <c r="D28" s="19">
        <f>D24+D9</f>
        <v>691788527.19723439</v>
      </c>
      <c r="E28" s="19">
        <f>E24+E9</f>
        <v>9565459986.509491</v>
      </c>
      <c r="F28" s="33"/>
      <c r="G28" s="33"/>
      <c r="I28" s="21"/>
      <c r="J28" s="21"/>
      <c r="K28" s="21"/>
      <c r="L28" s="21"/>
    </row>
    <row r="29" spans="1:12" x14ac:dyDescent="0.3">
      <c r="A29" s="16"/>
      <c r="B29" s="16"/>
      <c r="C29" s="16"/>
      <c r="D29" s="16"/>
      <c r="E29" s="16"/>
      <c r="F29" s="16"/>
      <c r="G29" s="16"/>
      <c r="I29" s="21"/>
      <c r="J29" s="21"/>
      <c r="K29" s="21"/>
      <c r="L29" s="21"/>
    </row>
    <row r="30" spans="1:12" x14ac:dyDescent="0.3">
      <c r="A30" s="34" t="s">
        <v>30</v>
      </c>
      <c r="B30" s="16"/>
      <c r="C30" s="16"/>
      <c r="D30" s="16"/>
      <c r="E30" s="16"/>
      <c r="F30" s="16"/>
      <c r="G30" s="16"/>
      <c r="I30" s="21"/>
      <c r="J30" s="21"/>
      <c r="K30" s="21"/>
      <c r="L30" s="21"/>
    </row>
    <row r="31" spans="1:12" x14ac:dyDescent="0.3">
      <c r="A31" s="16"/>
      <c r="B31" s="16"/>
      <c r="C31" s="16"/>
      <c r="D31" s="16"/>
      <c r="E31" s="16"/>
      <c r="F31" s="16"/>
      <c r="G31" s="16"/>
      <c r="I31" s="21"/>
      <c r="J31" s="21"/>
      <c r="K31" s="21"/>
      <c r="L31" s="21"/>
    </row>
    <row r="32" spans="1:12" x14ac:dyDescent="0.3">
      <c r="A32" s="16"/>
      <c r="B32" s="16"/>
      <c r="C32" s="16"/>
      <c r="D32" s="16"/>
      <c r="E32" s="16"/>
      <c r="F32" s="16"/>
      <c r="G32" s="16"/>
      <c r="I32" s="21"/>
      <c r="J32" s="21"/>
      <c r="K32" s="21"/>
      <c r="L32" s="21"/>
    </row>
    <row r="33" spans="1:12" x14ac:dyDescent="0.3">
      <c r="A33" s="6" t="s">
        <v>21</v>
      </c>
      <c r="B33" s="7">
        <v>27386119</v>
      </c>
      <c r="C33" s="7"/>
      <c r="D33" s="7">
        <f>B33-E33</f>
        <v>0</v>
      </c>
      <c r="E33" s="7">
        <v>27386119</v>
      </c>
      <c r="F33" s="28"/>
      <c r="G33" s="28"/>
      <c r="I33" s="21"/>
      <c r="J33" s="21"/>
      <c r="K33" s="21"/>
      <c r="L33" s="21"/>
    </row>
    <row r="34" spans="1:12" x14ac:dyDescent="0.3">
      <c r="A34" s="6" t="s">
        <v>22</v>
      </c>
      <c r="B34" s="7">
        <v>14054024</v>
      </c>
      <c r="C34" s="7"/>
      <c r="D34" s="7">
        <f>B34-E34</f>
        <v>0</v>
      </c>
      <c r="E34" s="7">
        <v>14054024</v>
      </c>
      <c r="F34" s="28"/>
      <c r="G34" s="28"/>
    </row>
    <row r="35" spans="1:12" x14ac:dyDescent="0.3">
      <c r="A35" s="6" t="s">
        <v>10</v>
      </c>
      <c r="B35" s="7">
        <v>650781702</v>
      </c>
      <c r="C35" s="7"/>
      <c r="D35" s="7">
        <f>B35-E35</f>
        <v>0</v>
      </c>
      <c r="E35" s="7">
        <v>650781702</v>
      </c>
      <c r="F35" s="28"/>
      <c r="G35" s="28"/>
    </row>
    <row r="36" spans="1:12" x14ac:dyDescent="0.3">
      <c r="A36" s="14" t="s">
        <v>0</v>
      </c>
      <c r="B36" s="18">
        <f>SUM(B24:B35)</f>
        <v>11614635106.106724</v>
      </c>
      <c r="C36" s="18"/>
      <c r="D36" s="18">
        <f>SUM(D24:D35)</f>
        <v>691813530.19723439</v>
      </c>
      <c r="E36" s="18">
        <f>SUM(E24:E35)</f>
        <v>10922821575.909491</v>
      </c>
      <c r="F36" s="29"/>
      <c r="G36" s="29"/>
    </row>
    <row r="37" spans="1:12" x14ac:dyDescent="0.3">
      <c r="A37" s="16"/>
      <c r="B37" s="16"/>
      <c r="C37" s="16"/>
      <c r="D37" s="16"/>
      <c r="E37" s="16"/>
      <c r="F37" s="16"/>
      <c r="G37" s="16"/>
    </row>
    <row r="38" spans="1:12" x14ac:dyDescent="0.3">
      <c r="A38" s="17" t="s">
        <v>14</v>
      </c>
      <c r="B38" s="19">
        <f>B36+B9</f>
        <v>21844691265.413448</v>
      </c>
      <c r="C38" s="19"/>
      <c r="D38" s="19">
        <f>D36+D9</f>
        <v>1383577066.3944688</v>
      </c>
      <c r="E38" s="19">
        <f>E36+E9</f>
        <v>20461114199.018982</v>
      </c>
      <c r="F38" s="33"/>
      <c r="G38" s="33"/>
    </row>
  </sheetData>
  <mergeCells count="4">
    <mergeCell ref="A1:E1"/>
    <mergeCell ref="S2:U2"/>
    <mergeCell ref="A16:E16"/>
    <mergeCell ref="H16:L16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&amp;"Tahoma,Bold"2024 Collection Snapshot&amp;R&amp;"Tahoma,Regular"&amp;10&amp;D</oddHeader>
    <oddFooter>&amp;L&amp;"Tahoma,Regular"&amp;10Collections&amp;R&amp;"Tahoma,Regular"&amp;10&amp;P/&amp;N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6768-855F-4C10-8FF9-002B2CAB8D2F}">
  <sheetPr>
    <tabColor rgb="FFFF0000"/>
    <pageSetUpPr fitToPage="1"/>
  </sheetPr>
  <dimension ref="A1:U44"/>
  <sheetViews>
    <sheetView view="pageBreakPreview" topLeftCell="A6" zoomScaleNormal="100" zoomScaleSheetLayoutView="100" workbookViewId="0">
      <selection activeCell="A24" sqref="A24"/>
    </sheetView>
  </sheetViews>
  <sheetFormatPr defaultRowHeight="14.4" x14ac:dyDescent="0.3"/>
  <cols>
    <col min="1" max="1" width="43.21875" style="1" customWidth="1"/>
    <col min="2" max="2" width="18.77734375" style="1" bestFit="1" customWidth="1"/>
    <col min="3" max="3" width="16.5546875" style="1" bestFit="1" customWidth="1"/>
    <col min="4" max="4" width="17.88671875" style="1" bestFit="1" customWidth="1"/>
    <col min="5" max="5" width="18.77734375" style="1" bestFit="1" customWidth="1"/>
    <col min="6" max="6" width="26.88671875" style="1" customWidth="1"/>
    <col min="7" max="7" width="18.77734375" style="1" customWidth="1"/>
    <col min="8" max="8" width="14.109375" bestFit="1" customWidth="1"/>
    <col min="9" max="9" width="16.6640625" bestFit="1" customWidth="1"/>
    <col min="10" max="10" width="17.33203125" bestFit="1" customWidth="1"/>
    <col min="11" max="11" width="15.109375" bestFit="1" customWidth="1"/>
    <col min="12" max="14" width="16.6640625" bestFit="1" customWidth="1"/>
    <col min="15" max="18" width="13.109375" bestFit="1" customWidth="1"/>
    <col min="19" max="19" width="15.109375" bestFit="1" customWidth="1"/>
    <col min="20" max="20" width="16.6640625" bestFit="1" customWidth="1"/>
    <col min="21" max="21" width="17.77734375" bestFit="1" customWidth="1"/>
  </cols>
  <sheetData>
    <row r="1" spans="1:21" hidden="1" x14ac:dyDescent="0.3">
      <c r="B1" s="36">
        <f ca="1">B3/'2025 Collection Dynamic'!B$4</f>
        <v>0.33998538578090498</v>
      </c>
      <c r="C1" s="36">
        <f ca="1">C3/'2025 Collection Dynamic'!C$4</f>
        <v>0.24657297721809229</v>
      </c>
      <c r="D1" s="36">
        <f ca="1">D3/'2025 Collection Dynamic'!D$4</f>
        <v>0.35197649814129039</v>
      </c>
      <c r="E1" s="36">
        <f ca="1">E3/'2025 Collection Dynamic'!E$4</f>
        <v>0.33928687108002104</v>
      </c>
    </row>
    <row r="2" spans="1:21" hidden="1" x14ac:dyDescent="0.3">
      <c r="B2" s="36">
        <f ca="1">B4/'2025 Collection Dynamic'!B$4</f>
        <v>0.65962922832296922</v>
      </c>
      <c r="C2" s="36">
        <f ca="1">C4/'2025 Collection Dynamic'!C$4</f>
        <v>0.76183081810171083</v>
      </c>
      <c r="D2" s="36">
        <f ca="1">D4/'2025 Collection Dynamic'!D$4</f>
        <v>0.66945145976583942</v>
      </c>
      <c r="E2" s="36">
        <f ca="1">E4/'2025 Collection Dynamic'!E$4</f>
        <v>0.65744976362305385</v>
      </c>
    </row>
    <row r="3" spans="1:21" hidden="1" x14ac:dyDescent="0.3">
      <c r="A3" s="8" t="s">
        <v>5</v>
      </c>
      <c r="B3" s="9" cm="1">
        <f t="array" ref="B3:E4">'2025 Collection Dynamic'!B5:E6</f>
        <v>1120097561.1199999</v>
      </c>
      <c r="C3" s="9">
        <v>6423771.9691028651</v>
      </c>
      <c r="D3" s="9">
        <v>130828465.52716497</v>
      </c>
      <c r="E3" s="9">
        <v>982845323.62373197</v>
      </c>
    </row>
    <row r="4" spans="1:21" hidden="1" x14ac:dyDescent="0.3">
      <c r="A4" s="8" t="s">
        <v>6</v>
      </c>
      <c r="B4" s="9">
        <v>2173178968.2399998</v>
      </c>
      <c r="C4" s="9">
        <v>19847379.504980844</v>
      </c>
      <c r="D4" s="9">
        <v>248832827.44329056</v>
      </c>
      <c r="E4" s="9">
        <v>1904498761.2917285</v>
      </c>
      <c r="F4" s="1" t="s">
        <v>29</v>
      </c>
    </row>
    <row r="5" spans="1:21" hidden="1" x14ac:dyDescent="0.3">
      <c r="A5" s="1" t="s">
        <v>28</v>
      </c>
      <c r="B5" s="9">
        <f>'2025 Collection Dynamic'!B4-'2025 Collection'!B9</f>
        <v>34663513.829999924</v>
      </c>
      <c r="C5" s="9">
        <f>'2025 Collection Dynamic'!C4-'2025 Collection'!C9</f>
        <v>151290.77848004922</v>
      </c>
      <c r="D5" s="9">
        <f>'2025 Collection Dynamic'!D4-'2025 Collection'!D9</f>
        <v>0</v>
      </c>
      <c r="E5" s="9">
        <f>'2025 Collection Dynamic'!E4-'2025 Collection'!E9</f>
        <v>34512223.091951847</v>
      </c>
    </row>
    <row r="6" spans="1:21" x14ac:dyDescent="0.3">
      <c r="A6" s="40" t="s">
        <v>23</v>
      </c>
      <c r="B6" s="40"/>
      <c r="C6" s="40"/>
      <c r="D6" s="40"/>
      <c r="E6" s="40"/>
      <c r="F6" s="26"/>
      <c r="G6" s="26"/>
    </row>
    <row r="7" spans="1:21" x14ac:dyDescent="0.3">
      <c r="A7" s="4">
        <v>2025</v>
      </c>
      <c r="B7" s="5" t="s">
        <v>0</v>
      </c>
      <c r="C7" s="5" t="s">
        <v>25</v>
      </c>
      <c r="D7" s="5" t="s">
        <v>1</v>
      </c>
      <c r="E7" s="5" t="s">
        <v>2</v>
      </c>
      <c r="F7" s="27"/>
      <c r="G7" s="27"/>
      <c r="H7" s="2"/>
      <c r="I7" s="2"/>
      <c r="J7" s="2"/>
      <c r="P7" s="2">
        <f ca="1">SUM(P8:R8)</f>
        <v>0</v>
      </c>
      <c r="Q7" s="2"/>
      <c r="S7" s="41" t="s">
        <v>26</v>
      </c>
      <c r="T7" s="41"/>
      <c r="U7" s="41"/>
    </row>
    <row r="8" spans="1:21" x14ac:dyDescent="0.3">
      <c r="A8" s="6" t="s">
        <v>3</v>
      </c>
      <c r="B8" s="7">
        <f ca="1">'2025 Collection Dynamic'!B3+'2025 Collection'!B5-5825509.74545313</f>
        <v>9706399213.084547</v>
      </c>
      <c r="C8" s="7">
        <v>77877913.629224718</v>
      </c>
      <c r="D8" s="7">
        <v>1200570436.1465192</v>
      </c>
      <c r="E8" s="7">
        <v>8427950863.3088026</v>
      </c>
      <c r="F8" s="28">
        <f>SUM(C8:E8)</f>
        <v>9706399213.084547</v>
      </c>
      <c r="G8" s="28">
        <f ca="1">F8-B8</f>
        <v>0</v>
      </c>
      <c r="H8" s="20">
        <f>C8/$F8</f>
        <v>8.0233577786747862E-3</v>
      </c>
      <c r="I8" s="20">
        <f t="shared" ref="I8:J8" si="0">D8/$F8</f>
        <v>0.12368854915096739</v>
      </c>
      <c r="J8" s="20">
        <f t="shared" si="0"/>
        <v>0.86828809307035781</v>
      </c>
      <c r="K8" s="2">
        <f ca="1">H8*$B8</f>
        <v>77877913.629224718</v>
      </c>
      <c r="L8" s="2">
        <f t="shared" ref="L8:M18" ca="1" si="1">I8*$B8</f>
        <v>1200570436.1465192</v>
      </c>
      <c r="M8" s="2">
        <f t="shared" ca="1" si="1"/>
        <v>8427950863.3088026</v>
      </c>
      <c r="N8" s="2">
        <f ca="1">SUM(K8:M8)</f>
        <v>9706399213.084547</v>
      </c>
      <c r="O8" s="2">
        <f t="shared" ref="O8:O18" ca="1" si="2">N8-B8</f>
        <v>0</v>
      </c>
      <c r="P8" s="2">
        <f ca="1">$O8*H8</f>
        <v>0</v>
      </c>
      <c r="Q8" s="2">
        <f ca="1">$O8*I8</f>
        <v>0</v>
      </c>
      <c r="R8" s="2">
        <f ca="1">$O8*J8</f>
        <v>0</v>
      </c>
      <c r="S8" s="2">
        <f ca="1">K8-P8</f>
        <v>77877913.629224718</v>
      </c>
      <c r="T8" s="2">
        <f ca="1">L8-Q8</f>
        <v>1200570436.1465192</v>
      </c>
      <c r="U8" s="2">
        <f ca="1">M8-R8</f>
        <v>8427950863.3088026</v>
      </c>
    </row>
    <row r="9" spans="1:21" x14ac:dyDescent="0.3">
      <c r="A9" s="6" t="s">
        <v>4</v>
      </c>
      <c r="B9" s="7">
        <v>3259882687.1700001</v>
      </c>
      <c r="C9" s="7">
        <v>25900923.221519951</v>
      </c>
      <c r="D9" s="7">
        <v>371696594</v>
      </c>
      <c r="E9" s="7">
        <v>2862285169.9080482</v>
      </c>
      <c r="F9" s="28">
        <f t="shared" ref="F9:F14" si="3">SUM(C9:E9)</f>
        <v>3259882687.1295681</v>
      </c>
      <c r="G9" s="28">
        <f t="shared" ref="G9:G14" si="4">F9-B9</f>
        <v>-4.0431976318359375E-2</v>
      </c>
      <c r="H9" s="20">
        <f t="shared" ref="H9:H14" si="5">C9/$F9</f>
        <v>7.9453543907515734E-3</v>
      </c>
      <c r="I9" s="20">
        <f t="shared" ref="I9:I14" si="6">D9/$F9</f>
        <v>0.11402146324697679</v>
      </c>
      <c r="J9" s="20">
        <f t="shared" ref="J9:J14" si="7">E9/$F9</f>
        <v>0.87803318236227168</v>
      </c>
      <c r="K9" s="2">
        <f t="shared" ref="K9:K18" si="8">H9*$B9</f>
        <v>25900923.221841197</v>
      </c>
      <c r="L9" s="2">
        <f t="shared" si="1"/>
        <v>371696594.00461012</v>
      </c>
      <c r="M9" s="2">
        <f t="shared" si="1"/>
        <v>2862285169.9435492</v>
      </c>
      <c r="N9" s="2">
        <f t="shared" ref="N9:N18" si="9">SUM(K9:M9)</f>
        <v>3259882687.1700006</v>
      </c>
      <c r="O9" s="2">
        <f t="shared" si="2"/>
        <v>0</v>
      </c>
      <c r="P9" s="2">
        <f t="shared" ref="P9:R14" si="10">$O9*H9</f>
        <v>0</v>
      </c>
      <c r="Q9" s="2">
        <f t="shared" si="10"/>
        <v>0</v>
      </c>
      <c r="R9" s="2">
        <f t="shared" si="10"/>
        <v>0</v>
      </c>
      <c r="S9" s="2">
        <f t="shared" ref="S9:U18" si="11">K9-P9</f>
        <v>25900923.221841197</v>
      </c>
      <c r="T9" s="2">
        <f t="shared" si="11"/>
        <v>371696594.00461012</v>
      </c>
      <c r="U9" s="2">
        <f t="shared" si="11"/>
        <v>2862285169.9435492</v>
      </c>
    </row>
    <row r="10" spans="1:21" x14ac:dyDescent="0.3">
      <c r="A10" s="8" t="s">
        <v>5</v>
      </c>
      <c r="B10" s="9">
        <f ca="1">B9-B11</f>
        <v>1109568785.8086457</v>
      </c>
      <c r="C10" s="9">
        <v>6169135.1355714528</v>
      </c>
      <c r="D10" s="9">
        <v>122870705.21941257</v>
      </c>
      <c r="E10" s="48">
        <v>980528945.45366168</v>
      </c>
      <c r="F10" s="28">
        <f t="shared" si="3"/>
        <v>1109568785.8086457</v>
      </c>
      <c r="G10" s="28">
        <f t="shared" ca="1" si="4"/>
        <v>0</v>
      </c>
      <c r="H10" s="20">
        <f t="shared" si="5"/>
        <v>5.5599393336172769E-3</v>
      </c>
      <c r="I10" s="20">
        <f t="shared" si="6"/>
        <v>0.11073734841041448</v>
      </c>
      <c r="J10" s="20">
        <f t="shared" si="7"/>
        <v>0.88370271225596819</v>
      </c>
      <c r="K10" s="2">
        <f t="shared" ca="1" si="8"/>
        <v>6169135.1355714528</v>
      </c>
      <c r="L10" s="2">
        <f t="shared" ca="1" si="1"/>
        <v>122870705.21941257</v>
      </c>
      <c r="M10" s="2">
        <f t="shared" ca="1" si="1"/>
        <v>980528945.45366168</v>
      </c>
      <c r="N10" s="2">
        <f t="shared" ca="1" si="9"/>
        <v>1109568785.8086457</v>
      </c>
      <c r="O10" s="2">
        <f t="shared" ca="1" si="2"/>
        <v>0</v>
      </c>
      <c r="P10" s="2">
        <f t="shared" ca="1" si="10"/>
        <v>0</v>
      </c>
      <c r="Q10" s="2">
        <f t="shared" ca="1" si="10"/>
        <v>0</v>
      </c>
      <c r="R10" s="2">
        <f t="shared" ca="1" si="10"/>
        <v>0</v>
      </c>
      <c r="S10" s="2">
        <f t="shared" ca="1" si="11"/>
        <v>6169135.1355714528</v>
      </c>
      <c r="T10" s="2">
        <f t="shared" ca="1" si="11"/>
        <v>122870705.21941257</v>
      </c>
      <c r="U10" s="2">
        <f t="shared" ca="1" si="11"/>
        <v>980528945.45366168</v>
      </c>
    </row>
    <row r="11" spans="1:21" x14ac:dyDescent="0.3">
      <c r="A11" s="8" t="s">
        <v>6</v>
      </c>
      <c r="B11" s="9">
        <f ca="1">B9*B2</f>
        <v>2150313901.3613544</v>
      </c>
      <c r="C11" s="9">
        <v>19731573.1983638</v>
      </c>
      <c r="D11" s="9">
        <v>248825912.71421564</v>
      </c>
      <c r="E11" s="48">
        <v>1881756415.4487751</v>
      </c>
      <c r="F11" s="28">
        <f t="shared" si="3"/>
        <v>2150313901.3613544</v>
      </c>
      <c r="G11" s="28">
        <f t="shared" ca="1" si="4"/>
        <v>0</v>
      </c>
      <c r="H11" s="20">
        <f t="shared" si="5"/>
        <v>9.1761361845225601E-3</v>
      </c>
      <c r="I11" s="20">
        <f t="shared" si="6"/>
        <v>0.11571608803565146</v>
      </c>
      <c r="J11" s="20">
        <f t="shared" si="7"/>
        <v>0.87510777577982601</v>
      </c>
      <c r="K11" s="2">
        <f t="shared" ca="1" si="8"/>
        <v>19731573.1983638</v>
      </c>
      <c r="L11" s="2">
        <f t="shared" ca="1" si="1"/>
        <v>248825912.71421564</v>
      </c>
      <c r="M11" s="2">
        <f t="shared" ca="1" si="1"/>
        <v>1881756415.4487751</v>
      </c>
      <c r="N11" s="2">
        <f t="shared" ca="1" si="9"/>
        <v>2150313901.3613544</v>
      </c>
      <c r="O11" s="2">
        <f t="shared" ca="1" si="2"/>
        <v>0</v>
      </c>
      <c r="P11" s="2">
        <f t="shared" ca="1" si="10"/>
        <v>0</v>
      </c>
      <c r="Q11" s="2">
        <f t="shared" ca="1" si="10"/>
        <v>0</v>
      </c>
      <c r="R11" s="2">
        <f t="shared" ca="1" si="10"/>
        <v>0</v>
      </c>
      <c r="S11" s="2">
        <f t="shared" ca="1" si="11"/>
        <v>19731573.1983638</v>
      </c>
      <c r="T11" s="2">
        <f t="shared" ca="1" si="11"/>
        <v>248825912.71421564</v>
      </c>
      <c r="U11" s="2">
        <f t="shared" ca="1" si="11"/>
        <v>1881756415.4487751</v>
      </c>
    </row>
    <row r="12" spans="1:21" x14ac:dyDescent="0.3">
      <c r="A12" s="10" t="s">
        <v>7</v>
      </c>
      <c r="B12" s="11">
        <f ca="1">B8+B9</f>
        <v>12966281900.254547</v>
      </c>
      <c r="C12" s="11">
        <f>C8+C9</f>
        <v>103778836.85074466</v>
      </c>
      <c r="D12" s="11">
        <f>D8+D9</f>
        <v>1572267030.1465192</v>
      </c>
      <c r="E12" s="11">
        <f t="shared" ref="E12" si="12">E8+E9</f>
        <v>11290236033.21685</v>
      </c>
      <c r="F12" s="28">
        <f>SUM(C12:E12)</f>
        <v>12966281900.214115</v>
      </c>
      <c r="G12" s="28">
        <f ca="1">F12-B12</f>
        <v>-4.0431976318359375E-2</v>
      </c>
      <c r="H12" s="20">
        <f t="shared" si="5"/>
        <v>8.0037467679174041E-3</v>
      </c>
      <c r="I12" s="20">
        <f t="shared" si="6"/>
        <v>0.12125812490013471</v>
      </c>
      <c r="J12" s="20">
        <f t="shared" si="7"/>
        <v>0.87073812833194786</v>
      </c>
      <c r="K12" s="2">
        <f t="shared" ca="1" si="8"/>
        <v>103778836.85106827</v>
      </c>
      <c r="L12" s="2">
        <f t="shared" ca="1" si="1"/>
        <v>1572267030.151422</v>
      </c>
      <c r="M12" s="2">
        <f t="shared" ca="1" si="1"/>
        <v>11290236033.252056</v>
      </c>
      <c r="N12" s="2">
        <f t="shared" ca="1" si="9"/>
        <v>12966281900.254547</v>
      </c>
      <c r="O12" s="2">
        <f t="shared" ca="1" si="2"/>
        <v>0</v>
      </c>
      <c r="P12" s="2">
        <f t="shared" ca="1" si="10"/>
        <v>0</v>
      </c>
      <c r="Q12" s="2">
        <f t="shared" ca="1" si="10"/>
        <v>0</v>
      </c>
      <c r="R12" s="2">
        <f t="shared" ca="1" si="10"/>
        <v>0</v>
      </c>
      <c r="S12" s="2">
        <f t="shared" ca="1" si="11"/>
        <v>103778836.85106827</v>
      </c>
      <c r="T12" s="2">
        <f t="shared" ca="1" si="11"/>
        <v>1572267030.151422</v>
      </c>
      <c r="U12" s="2">
        <f t="shared" ca="1" si="11"/>
        <v>11290236033.252056</v>
      </c>
    </row>
    <row r="13" spans="1:21" x14ac:dyDescent="0.3">
      <c r="A13" s="10" t="s">
        <v>8</v>
      </c>
      <c r="B13" s="11">
        <f>'2025 Collection Dynamic'!B8</f>
        <v>3852915489</v>
      </c>
      <c r="C13" s="11">
        <f>'2025 Collection Dynamic'!C8</f>
        <v>146145602.98662409</v>
      </c>
      <c r="D13" s="11">
        <f>'2025 Collection Dynamic'!D8</f>
        <v>932968919.94432068</v>
      </c>
      <c r="E13" s="11">
        <f>'2025 Collection Dynamic'!E8</f>
        <v>2773800966.0690551</v>
      </c>
      <c r="F13" s="28">
        <f>SUM(C13:E13)</f>
        <v>3852915489</v>
      </c>
      <c r="G13" s="28">
        <f>F13-B13</f>
        <v>0</v>
      </c>
      <c r="H13" s="20">
        <f t="shared" si="5"/>
        <v>3.7931172745383851E-2</v>
      </c>
      <c r="I13" s="20">
        <f t="shared" si="6"/>
        <v>0.24214621955968904</v>
      </c>
      <c r="J13" s="20">
        <f t="shared" si="7"/>
        <v>0.71992260769492711</v>
      </c>
      <c r="K13" s="2">
        <f t="shared" si="8"/>
        <v>146145602.98662409</v>
      </c>
      <c r="L13" s="2">
        <f t="shared" si="1"/>
        <v>932968919.94432068</v>
      </c>
      <c r="M13" s="2">
        <f t="shared" si="1"/>
        <v>2773800966.0690551</v>
      </c>
      <c r="N13" s="2">
        <f t="shared" si="9"/>
        <v>3852915489</v>
      </c>
      <c r="O13" s="2">
        <f t="shared" si="2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1"/>
        <v>146145602.98662409</v>
      </c>
      <c r="T13" s="2">
        <f t="shared" si="11"/>
        <v>932968919.94432068</v>
      </c>
      <c r="U13" s="2">
        <f t="shared" si="11"/>
        <v>2773800966.0690551</v>
      </c>
    </row>
    <row r="14" spans="1:21" x14ac:dyDescent="0.3">
      <c r="A14" s="14" t="s">
        <v>9</v>
      </c>
      <c r="B14" s="18">
        <f ca="1">SUM(B12:B13)</f>
        <v>16819197389.254547</v>
      </c>
      <c r="C14" s="18">
        <f>SUM(C12:C13)</f>
        <v>249924439.83736876</v>
      </c>
      <c r="D14" s="18">
        <f>SUM(D12:D13)</f>
        <v>2505235950.0908399</v>
      </c>
      <c r="E14" s="18">
        <f>SUM(E12:E13)</f>
        <v>14064036999.285906</v>
      </c>
      <c r="F14" s="28">
        <f t="shared" si="3"/>
        <v>16819197389.214115</v>
      </c>
      <c r="G14" s="28">
        <f t="shared" ca="1" si="4"/>
        <v>-4.0431976318359375E-2</v>
      </c>
      <c r="H14" s="20">
        <f t="shared" si="5"/>
        <v>1.4859474804525532E-2</v>
      </c>
      <c r="I14" s="20">
        <f t="shared" si="6"/>
        <v>0.14895098096044748</v>
      </c>
      <c r="J14" s="20">
        <f t="shared" si="7"/>
        <v>0.83618954423502689</v>
      </c>
      <c r="K14" s="2">
        <f t="shared" ca="1" si="8"/>
        <v>249924439.83796954</v>
      </c>
      <c r="L14" s="2">
        <f t="shared" ca="1" si="1"/>
        <v>2505235950.0968618</v>
      </c>
      <c r="M14" s="2">
        <f t="shared" ca="1" si="1"/>
        <v>14064036999.319714</v>
      </c>
      <c r="N14" s="2">
        <f t="shared" ca="1" si="9"/>
        <v>16819197389.254545</v>
      </c>
      <c r="O14" s="2">
        <f t="shared" ca="1" si="2"/>
        <v>0</v>
      </c>
      <c r="P14" s="2">
        <f t="shared" ca="1" si="10"/>
        <v>0</v>
      </c>
      <c r="Q14" s="2">
        <f t="shared" ca="1" si="10"/>
        <v>0</v>
      </c>
      <c r="R14" s="2">
        <f t="shared" ca="1" si="10"/>
        <v>0</v>
      </c>
      <c r="S14" s="2">
        <f t="shared" ca="1" si="11"/>
        <v>249924439.83796954</v>
      </c>
      <c r="T14" s="2">
        <f t="shared" ca="1" si="11"/>
        <v>2505235950.0968618</v>
      </c>
      <c r="U14" s="2">
        <f t="shared" ca="1" si="11"/>
        <v>14064036999.319714</v>
      </c>
    </row>
    <row r="15" spans="1:21" hidden="1" x14ac:dyDescent="0.3">
      <c r="A15" s="6" t="s">
        <v>10</v>
      </c>
      <c r="B15" s="7">
        <v>805972912</v>
      </c>
      <c r="C15" s="7">
        <v>67850</v>
      </c>
      <c r="D15" s="7">
        <v>44781</v>
      </c>
      <c r="E15" s="7">
        <v>805860281</v>
      </c>
      <c r="F15" s="28"/>
      <c r="G15" s="28"/>
      <c r="H15" s="20">
        <f t="shared" ref="H15:J18" si="13">C15/$B15</f>
        <v>8.418397068907944E-5</v>
      </c>
      <c r="I15" s="20">
        <f t="shared" si="13"/>
        <v>5.5561420654792431E-5</v>
      </c>
      <c r="J15" s="20">
        <f t="shared" si="13"/>
        <v>0.99986025460865613</v>
      </c>
      <c r="K15" s="2">
        <f t="shared" si="8"/>
        <v>67850</v>
      </c>
      <c r="L15" s="2">
        <f t="shared" si="1"/>
        <v>44781</v>
      </c>
      <c r="M15" s="2">
        <f t="shared" si="1"/>
        <v>805860281</v>
      </c>
      <c r="N15" s="2">
        <f t="shared" si="9"/>
        <v>805972912</v>
      </c>
      <c r="O15" s="2">
        <f t="shared" si="2"/>
        <v>0</v>
      </c>
      <c r="P15" s="2">
        <f t="shared" ref="P15:R18" ca="1" si="14">$O$8*H15</f>
        <v>0</v>
      </c>
      <c r="Q15" s="2">
        <f t="shared" ca="1" si="14"/>
        <v>0</v>
      </c>
      <c r="R15" s="2">
        <f t="shared" ca="1" si="14"/>
        <v>0</v>
      </c>
      <c r="S15" s="2">
        <f t="shared" ca="1" si="11"/>
        <v>67850</v>
      </c>
      <c r="T15" s="2">
        <f t="shared" ca="1" si="11"/>
        <v>44781</v>
      </c>
      <c r="U15" s="2">
        <f t="shared" ca="1" si="11"/>
        <v>805860281</v>
      </c>
    </row>
    <row r="16" spans="1:21" hidden="1" x14ac:dyDescent="0.3">
      <c r="A16" s="6" t="s">
        <v>11</v>
      </c>
      <c r="B16" s="7">
        <v>54546455.6616126</v>
      </c>
      <c r="C16" s="7">
        <v>21538.840180300023</v>
      </c>
      <c r="D16" s="7">
        <v>661884.01317300135</v>
      </c>
      <c r="E16" s="7">
        <v>53863032.808259308</v>
      </c>
      <c r="F16" s="28"/>
      <c r="G16" s="28"/>
      <c r="H16" s="20">
        <f t="shared" si="13"/>
        <v>3.9487148924798266E-4</v>
      </c>
      <c r="I16" s="20">
        <f t="shared" si="13"/>
        <v>1.2134317530713664E-2</v>
      </c>
      <c r="J16" s="20">
        <f t="shared" si="13"/>
        <v>0.98747081098003853</v>
      </c>
      <c r="K16" s="2">
        <f t="shared" si="8"/>
        <v>21538.840180300023</v>
      </c>
      <c r="L16" s="2">
        <f t="shared" si="1"/>
        <v>661884.01317300135</v>
      </c>
      <c r="M16" s="2">
        <f t="shared" si="1"/>
        <v>53863032.808259308</v>
      </c>
      <c r="N16" s="2">
        <f t="shared" si="9"/>
        <v>54546455.661612608</v>
      </c>
      <c r="O16" s="2">
        <f t="shared" si="2"/>
        <v>0</v>
      </c>
      <c r="P16" s="2">
        <f t="shared" ca="1" si="14"/>
        <v>0</v>
      </c>
      <c r="Q16" s="2">
        <f t="shared" ca="1" si="14"/>
        <v>0</v>
      </c>
      <c r="R16" s="2">
        <f t="shared" ca="1" si="14"/>
        <v>0</v>
      </c>
      <c r="S16" s="2">
        <f t="shared" ca="1" si="11"/>
        <v>21538.840180300023</v>
      </c>
      <c r="T16" s="2">
        <f t="shared" ca="1" si="11"/>
        <v>661884.01317300135</v>
      </c>
      <c r="U16" s="2">
        <f t="shared" ca="1" si="11"/>
        <v>53863032.808259308</v>
      </c>
    </row>
    <row r="17" spans="1:21" hidden="1" x14ac:dyDescent="0.3">
      <c r="A17" s="14" t="s">
        <v>12</v>
      </c>
      <c r="B17" s="15">
        <v>17626360639.127609</v>
      </c>
      <c r="C17" s="15">
        <v>177421822.88999999</v>
      </c>
      <c r="D17" s="15">
        <v>2500271083.7502003</v>
      </c>
      <c r="E17" s="15">
        <v>14948667732.487404</v>
      </c>
      <c r="F17" s="30"/>
      <c r="G17" s="30"/>
      <c r="H17" s="20">
        <f t="shared" si="13"/>
        <v>1.0065709338554713E-2</v>
      </c>
      <c r="I17" s="20">
        <f t="shared" si="13"/>
        <v>0.14184840166040921</v>
      </c>
      <c r="J17" s="20">
        <f t="shared" si="13"/>
        <v>0.84808588900103576</v>
      </c>
      <c r="K17" s="2">
        <f t="shared" si="8"/>
        <v>177421822.88999999</v>
      </c>
      <c r="L17" s="2">
        <f t="shared" si="1"/>
        <v>2500271083.7502003</v>
      </c>
      <c r="M17" s="2">
        <f t="shared" si="1"/>
        <v>14948667732.487404</v>
      </c>
      <c r="N17" s="2">
        <f t="shared" si="9"/>
        <v>17626360639.127605</v>
      </c>
      <c r="O17" s="2">
        <f t="shared" si="2"/>
        <v>0</v>
      </c>
      <c r="P17" s="2">
        <f t="shared" ca="1" si="14"/>
        <v>0</v>
      </c>
      <c r="Q17" s="2">
        <f t="shared" ca="1" si="14"/>
        <v>0</v>
      </c>
      <c r="R17" s="2">
        <f t="shared" ca="1" si="14"/>
        <v>0</v>
      </c>
      <c r="S17" s="2">
        <f t="shared" ca="1" si="11"/>
        <v>177421822.88999999</v>
      </c>
      <c r="T17" s="2">
        <f t="shared" ca="1" si="11"/>
        <v>2500271083.7502003</v>
      </c>
      <c r="U17" s="2">
        <f t="shared" ca="1" si="11"/>
        <v>14948667732.487404</v>
      </c>
    </row>
    <row r="18" spans="1:21" hidden="1" x14ac:dyDescent="0.3">
      <c r="A18" s="14" t="s">
        <v>12</v>
      </c>
      <c r="B18" s="15"/>
      <c r="C18" s="15"/>
      <c r="D18" s="15"/>
      <c r="E18" s="15"/>
      <c r="F18" s="30"/>
      <c r="G18" s="30"/>
      <c r="H18" s="20" t="e">
        <f t="shared" si="13"/>
        <v>#DIV/0!</v>
      </c>
      <c r="I18" s="20" t="e">
        <f t="shared" si="13"/>
        <v>#DIV/0!</v>
      </c>
      <c r="J18" s="20" t="e">
        <f t="shared" si="13"/>
        <v>#DIV/0!</v>
      </c>
      <c r="K18" s="2" t="e">
        <f t="shared" si="8"/>
        <v>#DIV/0!</v>
      </c>
      <c r="L18" s="2" t="e">
        <f t="shared" si="1"/>
        <v>#DIV/0!</v>
      </c>
      <c r="M18" s="2" t="e">
        <f t="shared" si="1"/>
        <v>#DIV/0!</v>
      </c>
      <c r="N18" s="2" t="e">
        <f t="shared" si="9"/>
        <v>#DIV/0!</v>
      </c>
      <c r="O18" s="2" t="e">
        <f t="shared" si="2"/>
        <v>#DIV/0!</v>
      </c>
      <c r="P18" s="2" t="e">
        <f t="shared" ca="1" si="14"/>
        <v>#DIV/0!</v>
      </c>
      <c r="Q18" s="2" t="e">
        <f t="shared" ca="1" si="14"/>
        <v>#DIV/0!</v>
      </c>
      <c r="R18" s="2" t="e">
        <f t="shared" ca="1" si="14"/>
        <v>#DIV/0!</v>
      </c>
      <c r="S18" s="2" t="e">
        <f t="shared" ca="1" si="11"/>
        <v>#DIV/0!</v>
      </c>
      <c r="T18" s="2" t="e">
        <f t="shared" ca="1" si="11"/>
        <v>#DIV/0!</v>
      </c>
      <c r="U18" s="2" t="e">
        <f t="shared" ca="1" si="11"/>
        <v>#DIV/0!</v>
      </c>
    </row>
    <row r="19" spans="1:21" x14ac:dyDescent="0.3">
      <c r="A19" s="16"/>
      <c r="B19" s="37"/>
      <c r="C19" s="37"/>
      <c r="D19" s="37"/>
      <c r="E19" s="37"/>
      <c r="F19" s="16"/>
      <c r="G19" s="16"/>
      <c r="H19" s="20"/>
      <c r="I19" s="20"/>
      <c r="J19" s="2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16"/>
      <c r="B20" s="3"/>
      <c r="C20" s="38"/>
      <c r="D20" s="37"/>
      <c r="E20" s="37"/>
      <c r="F20" s="16"/>
      <c r="G20" s="16"/>
    </row>
    <row r="21" spans="1:21" x14ac:dyDescent="0.3">
      <c r="A21" s="40" t="s">
        <v>24</v>
      </c>
      <c r="B21" s="40"/>
      <c r="C21" s="40"/>
      <c r="D21" s="40"/>
      <c r="E21" s="40"/>
      <c r="F21" s="26"/>
      <c r="G21" s="26"/>
      <c r="H21" s="40"/>
      <c r="I21" s="40"/>
      <c r="J21" s="40"/>
      <c r="K21" s="40"/>
      <c r="L21" s="40"/>
    </row>
    <row r="22" spans="1:21" x14ac:dyDescent="0.3">
      <c r="A22" s="4" t="s">
        <v>13</v>
      </c>
      <c r="B22" s="5" t="s">
        <v>0</v>
      </c>
      <c r="C22" s="5" t="s">
        <v>25</v>
      </c>
      <c r="D22" s="5" t="s">
        <v>1</v>
      </c>
      <c r="E22" s="5" t="s">
        <v>2</v>
      </c>
      <c r="F22" s="27"/>
      <c r="G22" s="27"/>
      <c r="H22" s="4"/>
      <c r="I22" s="5"/>
      <c r="J22" s="5"/>
      <c r="K22" s="5"/>
      <c r="L22" s="5"/>
    </row>
    <row r="23" spans="1:21" x14ac:dyDescent="0.3">
      <c r="A23" s="6" t="s">
        <v>15</v>
      </c>
      <c r="B23" s="7">
        <f>+SUM(C23:E23)</f>
        <v>34818692.930000015</v>
      </c>
      <c r="C23" s="7">
        <v>6056</v>
      </c>
      <c r="D23" s="7">
        <v>265591.94000000006</v>
      </c>
      <c r="E23" s="7">
        <v>34547044.990000017</v>
      </c>
      <c r="F23" s="28"/>
      <c r="G23" s="28"/>
      <c r="H23" s="6"/>
      <c r="I23" s="7"/>
      <c r="J23" s="7"/>
      <c r="K23" s="7"/>
      <c r="L23" s="7"/>
    </row>
    <row r="24" spans="1:21" x14ac:dyDescent="0.3">
      <c r="A24" s="6" t="s">
        <v>17</v>
      </c>
      <c r="B24" s="7">
        <f>+SUM(C24:E24)</f>
        <v>6944240.2999999989</v>
      </c>
      <c r="C24" s="7">
        <v>15030</v>
      </c>
      <c r="D24" s="7">
        <v>408030.39</v>
      </c>
      <c r="E24" s="7">
        <v>6521179.9099999992</v>
      </c>
      <c r="F24" s="28"/>
      <c r="G24" s="28"/>
      <c r="H24" s="6"/>
      <c r="I24" s="7"/>
      <c r="J24" s="7"/>
      <c r="K24" s="7"/>
      <c r="L24" s="7"/>
    </row>
    <row r="25" spans="1:21" x14ac:dyDescent="0.3">
      <c r="A25" s="6" t="s">
        <v>18</v>
      </c>
      <c r="B25" s="7">
        <f>+SUM(C25:E25)</f>
        <v>6232378.5699999994</v>
      </c>
      <c r="C25" s="7">
        <v>0</v>
      </c>
      <c r="D25" s="7">
        <v>0</v>
      </c>
      <c r="E25" s="7">
        <v>6232378.5699999994</v>
      </c>
      <c r="F25" s="28"/>
      <c r="G25" s="28"/>
      <c r="H25" s="8"/>
      <c r="I25" s="9"/>
      <c r="J25" s="9"/>
      <c r="K25" s="9"/>
      <c r="L25" s="9"/>
    </row>
    <row r="26" spans="1:21" x14ac:dyDescent="0.3">
      <c r="A26" s="6" t="s">
        <v>27</v>
      </c>
      <c r="B26" s="7">
        <f>+SUM(C26:E26)</f>
        <v>5143615.25</v>
      </c>
      <c r="C26" s="7">
        <v>0</v>
      </c>
      <c r="D26" s="7">
        <v>0</v>
      </c>
      <c r="E26" s="7">
        <v>5143615.25</v>
      </c>
      <c r="F26" s="28"/>
      <c r="G26" s="28"/>
      <c r="H26" s="8"/>
      <c r="I26" s="9"/>
      <c r="J26" s="9"/>
      <c r="K26" s="9"/>
      <c r="L26" s="9"/>
    </row>
    <row r="27" spans="1:21" x14ac:dyDescent="0.3">
      <c r="A27" s="6" t="s">
        <v>19</v>
      </c>
      <c r="B27" s="7">
        <f>+SUM(C27:E27)</f>
        <v>1213396.2</v>
      </c>
      <c r="C27" s="7">
        <v>0</v>
      </c>
      <c r="D27" s="7">
        <v>0</v>
      </c>
      <c r="E27" s="7">
        <v>1213396.2</v>
      </c>
      <c r="F27" s="28"/>
      <c r="G27" s="28"/>
      <c r="H27" s="10"/>
      <c r="I27" s="11"/>
      <c r="J27" s="11"/>
      <c r="K27" s="11"/>
      <c r="L27" s="11"/>
    </row>
    <row r="28" spans="1:21" x14ac:dyDescent="0.3">
      <c r="A28" s="6" t="s">
        <v>16</v>
      </c>
      <c r="B28" s="7">
        <f>+SUM(C28:E28)</f>
        <v>108290.15</v>
      </c>
      <c r="C28" s="7">
        <v>0</v>
      </c>
      <c r="D28" s="7">
        <v>0</v>
      </c>
      <c r="E28" s="7">
        <v>108290.15</v>
      </c>
      <c r="F28" s="28"/>
      <c r="G28" s="28"/>
      <c r="H28" s="10"/>
      <c r="I28" s="11"/>
      <c r="J28" s="11"/>
      <c r="K28" s="11"/>
      <c r="L28" s="11"/>
    </row>
    <row r="29" spans="1:21" x14ac:dyDescent="0.3">
      <c r="A29" s="12" t="s">
        <v>20</v>
      </c>
      <c r="B29" s="13">
        <f>SUM(B23:B28)</f>
        <v>54460613.400000013</v>
      </c>
      <c r="C29" s="13">
        <f>SUM(C23:C28)</f>
        <v>21086</v>
      </c>
      <c r="D29" s="13">
        <f>SUM(D23:D28)</f>
        <v>673622.33000000007</v>
      </c>
      <c r="E29" s="13">
        <f>SUM(E23:E28)</f>
        <v>53765905.070000015</v>
      </c>
      <c r="F29" s="31"/>
      <c r="G29" s="31"/>
      <c r="H29" s="14"/>
      <c r="I29" s="18"/>
      <c r="J29" s="18"/>
      <c r="K29" s="18"/>
      <c r="L29" s="18"/>
    </row>
    <row r="30" spans="1:21" x14ac:dyDescent="0.3">
      <c r="A30" s="16"/>
      <c r="B30" s="16"/>
      <c r="C30" s="16"/>
      <c r="D30" s="16"/>
      <c r="E30" s="16"/>
      <c r="F30" s="16"/>
      <c r="G30" s="16"/>
      <c r="I30" s="21"/>
      <c r="J30" s="21"/>
      <c r="K30" s="21"/>
      <c r="L30" s="21"/>
    </row>
    <row r="31" spans="1:21" x14ac:dyDescent="0.3">
      <c r="A31" s="23" t="s">
        <v>10</v>
      </c>
      <c r="B31" s="22">
        <v>811344633</v>
      </c>
      <c r="C31" s="22">
        <v>67850</v>
      </c>
      <c r="D31" s="22">
        <v>44781</v>
      </c>
      <c r="E31" s="22">
        <v>811232002</v>
      </c>
      <c r="F31" s="32"/>
      <c r="G31" s="32"/>
      <c r="I31" s="21"/>
      <c r="J31" s="21"/>
      <c r="K31" s="21"/>
      <c r="L31" s="21"/>
    </row>
    <row r="32" spans="1:21" x14ac:dyDescent="0.3">
      <c r="A32" s="16"/>
      <c r="B32" s="16"/>
      <c r="C32" s="16"/>
      <c r="D32" s="16"/>
      <c r="E32" s="16"/>
      <c r="F32" s="16"/>
      <c r="G32" s="16"/>
      <c r="I32" s="21"/>
      <c r="J32" s="21"/>
      <c r="K32" s="21"/>
      <c r="L32" s="21"/>
    </row>
    <row r="33" spans="1:12" x14ac:dyDescent="0.3">
      <c r="A33" s="17" t="s">
        <v>14</v>
      </c>
      <c r="B33" s="19">
        <f ca="1">+B14+B29</f>
        <v>16873658002.654547</v>
      </c>
      <c r="C33" s="19">
        <f t="shared" ref="C33:E33" si="15">+C14+C29</f>
        <v>249945525.83736876</v>
      </c>
      <c r="D33" s="19">
        <f t="shared" si="15"/>
        <v>2505909572.4208398</v>
      </c>
      <c r="E33" s="19">
        <f t="shared" si="15"/>
        <v>14117802904.355906</v>
      </c>
      <c r="F33" s="33"/>
      <c r="G33" s="33"/>
      <c r="I33" s="21"/>
      <c r="J33" s="21"/>
      <c r="K33" s="21"/>
      <c r="L33" s="21"/>
    </row>
    <row r="34" spans="1:12" x14ac:dyDescent="0.3">
      <c r="A34" s="16"/>
      <c r="B34" s="16"/>
      <c r="C34" s="16"/>
      <c r="D34" s="16"/>
      <c r="E34" s="16"/>
      <c r="F34" s="16"/>
      <c r="G34" s="16"/>
      <c r="I34" s="21"/>
      <c r="J34" s="21"/>
      <c r="K34" s="21"/>
      <c r="L34" s="21"/>
    </row>
    <row r="35" spans="1:12" x14ac:dyDescent="0.3">
      <c r="A35" s="39" t="s">
        <v>31</v>
      </c>
      <c r="B35" s="16"/>
      <c r="C35" s="16"/>
      <c r="D35" s="16"/>
      <c r="E35" s="16"/>
      <c r="F35" s="16"/>
      <c r="G35" s="16"/>
      <c r="I35" s="21"/>
      <c r="J35" s="21"/>
      <c r="K35" s="21"/>
      <c r="L35" s="21"/>
    </row>
    <row r="36" spans="1:12" x14ac:dyDescent="0.3">
      <c r="A36" s="39" t="s">
        <v>32</v>
      </c>
      <c r="B36" s="16"/>
      <c r="C36" s="16"/>
      <c r="D36" s="16"/>
      <c r="E36" s="16"/>
      <c r="F36" s="16"/>
      <c r="G36" s="16"/>
      <c r="I36" s="21"/>
      <c r="J36" s="21"/>
      <c r="K36" s="21"/>
      <c r="L36" s="21"/>
    </row>
    <row r="37" spans="1:12" x14ac:dyDescent="0.3">
      <c r="A37" s="16"/>
      <c r="B37" s="16"/>
      <c r="C37" s="16"/>
      <c r="D37" s="16"/>
      <c r="E37" s="16"/>
      <c r="F37" s="16"/>
      <c r="G37" s="16"/>
      <c r="I37" s="21"/>
      <c r="J37" s="21"/>
      <c r="K37" s="21"/>
      <c r="L37" s="21"/>
    </row>
    <row r="38" spans="1:12" x14ac:dyDescent="0.3">
      <c r="A38" s="16"/>
      <c r="B38" s="16"/>
      <c r="C38" s="16"/>
      <c r="D38" s="16"/>
      <c r="E38" s="16"/>
      <c r="F38" s="16"/>
      <c r="G38" s="16"/>
      <c r="I38" s="21"/>
      <c r="J38" s="21"/>
      <c r="K38" s="21"/>
      <c r="L38" s="21"/>
    </row>
    <row r="39" spans="1:12" x14ac:dyDescent="0.3">
      <c r="A39" s="6" t="s">
        <v>21</v>
      </c>
      <c r="B39" s="7">
        <v>27386119</v>
      </c>
      <c r="C39" s="7"/>
      <c r="D39" s="7">
        <f>B39-E39</f>
        <v>0</v>
      </c>
      <c r="E39" s="7">
        <v>27386119</v>
      </c>
      <c r="F39" s="28"/>
      <c r="G39" s="28"/>
      <c r="I39" s="21"/>
      <c r="J39" s="21"/>
      <c r="K39" s="21"/>
      <c r="L39" s="21"/>
    </row>
    <row r="40" spans="1:12" x14ac:dyDescent="0.3">
      <c r="A40" s="6" t="s">
        <v>22</v>
      </c>
      <c r="B40" s="7">
        <v>14054024</v>
      </c>
      <c r="C40" s="7"/>
      <c r="D40" s="7">
        <f>B40-E40</f>
        <v>0</v>
      </c>
      <c r="E40" s="7">
        <v>14054024</v>
      </c>
      <c r="F40" s="28"/>
      <c r="G40" s="28"/>
    </row>
    <row r="41" spans="1:12" x14ac:dyDescent="0.3">
      <c r="A41" s="6" t="s">
        <v>10</v>
      </c>
      <c r="B41" s="7">
        <v>650781702</v>
      </c>
      <c r="C41" s="7"/>
      <c r="D41" s="7">
        <f>B41-E41</f>
        <v>0</v>
      </c>
      <c r="E41" s="7">
        <v>650781702</v>
      </c>
      <c r="F41" s="28"/>
      <c r="G41" s="28"/>
    </row>
    <row r="42" spans="1:12" x14ac:dyDescent="0.3">
      <c r="A42" s="14" t="s">
        <v>0</v>
      </c>
      <c r="B42" s="18">
        <f ca="1">SUM(B29:B41)</f>
        <v>18431685094.054546</v>
      </c>
      <c r="C42" s="18"/>
      <c r="D42" s="18">
        <f>SUM(D29:D41)</f>
        <v>2506627975.7508397</v>
      </c>
      <c r="E42" s="18">
        <f>SUM(E29:E41)</f>
        <v>15675022656.425905</v>
      </c>
      <c r="F42" s="29"/>
      <c r="G42" s="29"/>
    </row>
    <row r="43" spans="1:12" x14ac:dyDescent="0.3">
      <c r="A43" s="16"/>
      <c r="B43" s="16"/>
      <c r="C43" s="16"/>
      <c r="D43" s="16"/>
      <c r="E43" s="16"/>
      <c r="F43" s="16"/>
      <c r="G43" s="16"/>
    </row>
    <row r="44" spans="1:12" x14ac:dyDescent="0.3">
      <c r="A44" s="17" t="s">
        <v>14</v>
      </c>
      <c r="B44" s="19">
        <f ca="1">B42+B14</f>
        <v>35250882483.309097</v>
      </c>
      <c r="C44" s="19"/>
      <c r="D44" s="19">
        <f>D42+D14</f>
        <v>5011863925.8416796</v>
      </c>
      <c r="E44" s="19">
        <f>E42+E14</f>
        <v>29739059655.711811</v>
      </c>
      <c r="F44" s="33"/>
      <c r="G44" s="33"/>
    </row>
  </sheetData>
  <mergeCells count="4">
    <mergeCell ref="A6:E6"/>
    <mergeCell ref="S7:U7"/>
    <mergeCell ref="A21:E21"/>
    <mergeCell ref="H21:L21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&amp;"Tahoma,Bold"2025 Collection Snapshot&amp;R&amp;"Tahoma,Regular"&amp;10&amp;D</oddHeader>
    <oddFooter>&amp;L&amp;"Tahoma,Regular"&amp;10Collections&amp;R&amp;"Tahoma,Regular"&amp;10&amp;P/&amp;N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B27D-BA2A-4CE6-8F4E-C9890348095C}">
  <sheetPr>
    <tabColor rgb="FFFFFF00"/>
    <pageSetUpPr fitToPage="1"/>
  </sheetPr>
  <dimension ref="A1:U38"/>
  <sheetViews>
    <sheetView view="pageBreakPreview" zoomScaleNormal="100" zoomScaleSheetLayoutView="100" workbookViewId="0">
      <selection activeCell="D4" sqref="D4"/>
    </sheetView>
  </sheetViews>
  <sheetFormatPr defaultRowHeight="14.4" x14ac:dyDescent="0.3"/>
  <cols>
    <col min="1" max="1" width="43.21875" style="1" customWidth="1"/>
    <col min="2" max="2" width="19.5546875" style="1" customWidth="1"/>
    <col min="3" max="3" width="18" style="1" customWidth="1"/>
    <col min="4" max="4" width="18.6640625" style="1" customWidth="1"/>
    <col min="5" max="5" width="20.77734375" style="1" customWidth="1"/>
    <col min="6" max="6" width="26.88671875" style="1" customWidth="1"/>
    <col min="7" max="7" width="21.6640625" style="1" bestFit="1" customWidth="1"/>
    <col min="8" max="8" width="14.109375" bestFit="1" customWidth="1"/>
    <col min="9" max="9" width="16.6640625" bestFit="1" customWidth="1"/>
    <col min="10" max="10" width="17.33203125" bestFit="1" customWidth="1"/>
    <col min="11" max="11" width="15.109375" bestFit="1" customWidth="1"/>
    <col min="12" max="12" width="16.6640625" bestFit="1" customWidth="1"/>
    <col min="13" max="14" width="17.77734375" bestFit="1" customWidth="1"/>
    <col min="15" max="18" width="13.109375" bestFit="1" customWidth="1"/>
    <col min="19" max="19" width="15.109375" bestFit="1" customWidth="1"/>
    <col min="20" max="20" width="16.6640625" bestFit="1" customWidth="1"/>
    <col min="21" max="21" width="17.77734375" bestFit="1" customWidth="1"/>
  </cols>
  <sheetData>
    <row r="1" spans="1:21" x14ac:dyDescent="0.3">
      <c r="A1" s="40" t="s">
        <v>23</v>
      </c>
      <c r="B1" s="40"/>
      <c r="C1" s="40"/>
      <c r="D1" s="40"/>
      <c r="E1" s="40"/>
      <c r="F1" s="26"/>
      <c r="G1" s="26"/>
    </row>
    <row r="2" spans="1:21" x14ac:dyDescent="0.3">
      <c r="A2" s="4">
        <v>2025</v>
      </c>
      <c r="B2" s="5" t="s">
        <v>0</v>
      </c>
      <c r="C2" s="5" t="s">
        <v>25</v>
      </c>
      <c r="D2" s="5" t="s">
        <v>1</v>
      </c>
      <c r="E2" s="5" t="s">
        <v>2</v>
      </c>
      <c r="F2" s="27"/>
      <c r="G2" s="27"/>
      <c r="H2" s="2"/>
      <c r="I2" s="2"/>
      <c r="J2" s="2"/>
      <c r="P2" s="2">
        <f>SUM(P3:R3)</f>
        <v>0</v>
      </c>
      <c r="Q2" s="2"/>
      <c r="S2" s="41" t="s">
        <v>26</v>
      </c>
      <c r="T2" s="41"/>
      <c r="U2" s="41"/>
    </row>
    <row r="3" spans="1:21" x14ac:dyDescent="0.3">
      <c r="A3" s="6" t="s">
        <v>3</v>
      </c>
      <c r="B3" s="7">
        <f>+SUM(C3:E3)</f>
        <v>9677561209</v>
      </c>
      <c r="C3" s="7">
        <v>77773363</v>
      </c>
      <c r="D3" s="7">
        <v>1201290985</v>
      </c>
      <c r="E3" s="7">
        <v>8398496861</v>
      </c>
      <c r="F3" s="28">
        <f>SUM(C3:E3)</f>
        <v>9677561209</v>
      </c>
      <c r="G3" s="28">
        <f>F3-B3</f>
        <v>0</v>
      </c>
      <c r="H3" s="20">
        <f>C3/$F3</f>
        <v>8.0364630427417847E-3</v>
      </c>
      <c r="I3" s="20">
        <f t="shared" ref="I3:J9" si="0">D3/$F3</f>
        <v>0.12413158222991302</v>
      </c>
      <c r="J3" s="20">
        <f t="shared" si="0"/>
        <v>0.8678319547273452</v>
      </c>
      <c r="K3" s="2">
        <f>H3*$B3</f>
        <v>77773363</v>
      </c>
      <c r="L3" s="2">
        <f t="shared" ref="L3:M13" si="1">I3*$B3</f>
        <v>1201290985</v>
      </c>
      <c r="M3" s="2">
        <f t="shared" si="1"/>
        <v>8398496861</v>
      </c>
      <c r="N3" s="2">
        <f>SUM(K3:M3)</f>
        <v>9677561209</v>
      </c>
      <c r="O3" s="2">
        <f t="shared" ref="O3:O13" si="2">N3-B3</f>
        <v>0</v>
      </c>
      <c r="P3" s="2">
        <f>$O3*H3</f>
        <v>0</v>
      </c>
      <c r="Q3" s="2">
        <f>$O3*I3</f>
        <v>0</v>
      </c>
      <c r="R3" s="2">
        <f>$O3*J3</f>
        <v>0</v>
      </c>
      <c r="S3" s="2">
        <f>K3-P3</f>
        <v>77773363</v>
      </c>
      <c r="T3" s="2">
        <f>L3-Q3</f>
        <v>1201290985</v>
      </c>
      <c r="U3" s="2">
        <f>M3-R3</f>
        <v>8398496861</v>
      </c>
    </row>
    <row r="4" spans="1:21" x14ac:dyDescent="0.3">
      <c r="A4" s="6" t="s">
        <v>4</v>
      </c>
      <c r="B4" s="7">
        <f>+SUM(C4:E4)</f>
        <v>3294546201</v>
      </c>
      <c r="C4" s="7">
        <v>26052214</v>
      </c>
      <c r="D4" s="7">
        <v>371696594</v>
      </c>
      <c r="E4" s="7">
        <v>2896797393</v>
      </c>
      <c r="F4" s="28">
        <f t="shared" ref="F4:F9" si="3">SUM(C4:E4)</f>
        <v>3294546201</v>
      </c>
      <c r="G4" s="28">
        <f>F4-B4</f>
        <v>0</v>
      </c>
      <c r="H4" s="20">
        <f t="shared" ref="H4:H9" si="4">C4/$F4</f>
        <v>7.9076790582242613E-3</v>
      </c>
      <c r="I4" s="20">
        <f t="shared" si="0"/>
        <v>0.11282178828974328</v>
      </c>
      <c r="J4" s="20">
        <f t="shared" si="0"/>
        <v>0.87927053265203248</v>
      </c>
      <c r="K4" s="2">
        <f>H4*$B4</f>
        <v>26052213.999999996</v>
      </c>
      <c r="L4" s="2">
        <f>I4*$B4</f>
        <v>371696594</v>
      </c>
      <c r="M4" s="2">
        <f>J4*$B4</f>
        <v>2896797393</v>
      </c>
      <c r="N4" s="2">
        <f t="shared" ref="N4:N13" si="5">SUM(K4:M4)</f>
        <v>3294546201</v>
      </c>
      <c r="O4" s="2">
        <f>N4-B4</f>
        <v>0</v>
      </c>
      <c r="P4" s="2">
        <f t="shared" ref="P4:R9" si="6">$O4*H4</f>
        <v>0</v>
      </c>
      <c r="Q4" s="2">
        <f t="shared" si="6"/>
        <v>0</v>
      </c>
      <c r="R4" s="2">
        <f t="shared" si="6"/>
        <v>0</v>
      </c>
      <c r="S4" s="2">
        <f t="shared" ref="S4:U13" si="7">K4-P4</f>
        <v>26052213.999999996</v>
      </c>
      <c r="T4" s="2">
        <f t="shared" si="7"/>
        <v>371696594</v>
      </c>
      <c r="U4" s="2">
        <f t="shared" si="7"/>
        <v>2896797393</v>
      </c>
    </row>
    <row r="5" spans="1:21" x14ac:dyDescent="0.3">
      <c r="A5" s="8" t="s">
        <v>5</v>
      </c>
      <c r="B5" s="9">
        <v>1120097561.1199999</v>
      </c>
      <c r="C5" s="9">
        <v>6423771.9691028651</v>
      </c>
      <c r="D5" s="9">
        <v>130828465.52716497</v>
      </c>
      <c r="E5" s="9">
        <v>982845323.62373197</v>
      </c>
      <c r="F5" s="28">
        <f t="shared" si="3"/>
        <v>1120097561.1199999</v>
      </c>
      <c r="G5" s="28">
        <f t="shared" ref="G5:G9" si="8">F5-B5</f>
        <v>0</v>
      </c>
      <c r="H5" s="20">
        <f t="shared" si="4"/>
        <v>5.735011120531013E-3</v>
      </c>
      <c r="I5" s="20">
        <f t="shared" si="0"/>
        <v>0.11680095562064068</v>
      </c>
      <c r="J5" s="20">
        <f t="shared" si="0"/>
        <v>0.87746403325882827</v>
      </c>
      <c r="K5" s="2">
        <f t="shared" ref="K5:K13" si="9">H5*$B5</f>
        <v>6423771.9691028651</v>
      </c>
      <c r="L5" s="2">
        <f t="shared" si="1"/>
        <v>130828465.52716497</v>
      </c>
      <c r="M5" s="2">
        <f t="shared" si="1"/>
        <v>982845323.62373197</v>
      </c>
      <c r="N5" s="2">
        <f t="shared" si="5"/>
        <v>1120097561.1199999</v>
      </c>
      <c r="O5" s="2">
        <f t="shared" si="2"/>
        <v>0</v>
      </c>
      <c r="P5" s="2">
        <f t="shared" si="6"/>
        <v>0</v>
      </c>
      <c r="Q5" s="2">
        <f t="shared" si="6"/>
        <v>0</v>
      </c>
      <c r="R5" s="2">
        <f t="shared" si="6"/>
        <v>0</v>
      </c>
      <c r="S5" s="2">
        <f t="shared" si="7"/>
        <v>6423771.9691028651</v>
      </c>
      <c r="T5" s="2">
        <f t="shared" si="7"/>
        <v>130828465.52716497</v>
      </c>
      <c r="U5" s="2">
        <f t="shared" si="7"/>
        <v>982845323.62373197</v>
      </c>
    </row>
    <row r="6" spans="1:21" x14ac:dyDescent="0.3">
      <c r="A6" s="8" t="s">
        <v>6</v>
      </c>
      <c r="B6" s="9">
        <v>2173178968.2399998</v>
      </c>
      <c r="C6" s="9">
        <v>19847379.504980844</v>
      </c>
      <c r="D6" s="9">
        <v>248832827.44329056</v>
      </c>
      <c r="E6" s="9">
        <v>1904498761.2917285</v>
      </c>
      <c r="F6" s="28">
        <f t="shared" si="3"/>
        <v>2173178968.2399998</v>
      </c>
      <c r="G6" s="28">
        <f t="shared" si="8"/>
        <v>0</v>
      </c>
      <c r="H6" s="20">
        <f t="shared" si="4"/>
        <v>9.1328785134777522E-3</v>
      </c>
      <c r="I6" s="20">
        <f t="shared" si="0"/>
        <v>0.11450176496269596</v>
      </c>
      <c r="J6" s="20">
        <f t="shared" si="0"/>
        <v>0.8763653565238263</v>
      </c>
      <c r="K6" s="2">
        <f t="shared" si="9"/>
        <v>19847379.504980844</v>
      </c>
      <c r="L6" s="2">
        <f t="shared" si="1"/>
        <v>248832827.44329056</v>
      </c>
      <c r="M6" s="2">
        <f t="shared" si="1"/>
        <v>1904498761.2917285</v>
      </c>
      <c r="N6" s="2">
        <f t="shared" si="5"/>
        <v>2173178968.2399998</v>
      </c>
      <c r="O6" s="2">
        <f t="shared" si="2"/>
        <v>0</v>
      </c>
      <c r="P6" s="2">
        <f t="shared" si="6"/>
        <v>0</v>
      </c>
      <c r="Q6" s="2">
        <f t="shared" si="6"/>
        <v>0</v>
      </c>
      <c r="R6" s="2">
        <f t="shared" si="6"/>
        <v>0</v>
      </c>
      <c r="S6" s="2">
        <f t="shared" si="7"/>
        <v>19847379.504980844</v>
      </c>
      <c r="T6" s="2">
        <f t="shared" si="7"/>
        <v>248832827.44329056</v>
      </c>
      <c r="U6" s="2">
        <f t="shared" si="7"/>
        <v>1904498761.2917285</v>
      </c>
    </row>
    <row r="7" spans="1:21" x14ac:dyDescent="0.3">
      <c r="A7" s="10" t="s">
        <v>7</v>
      </c>
      <c r="B7" s="11">
        <f>B3+B4</f>
        <v>12972107410</v>
      </c>
      <c r="C7" s="11">
        <f>C3+C4</f>
        <v>103825577</v>
      </c>
      <c r="D7" s="11">
        <f t="shared" ref="D7:E7" si="10">D3+D4</f>
        <v>1572987579</v>
      </c>
      <c r="E7" s="11">
        <f t="shared" si="10"/>
        <v>11295294254</v>
      </c>
      <c r="F7" s="28">
        <f t="shared" si="3"/>
        <v>12972107410</v>
      </c>
      <c r="G7" s="28">
        <f>F7-B7</f>
        <v>0</v>
      </c>
      <c r="H7" s="20">
        <f t="shared" si="4"/>
        <v>8.0037555748237524E-3</v>
      </c>
      <c r="I7" s="20">
        <f t="shared" si="0"/>
        <v>0.12125921635426853</v>
      </c>
      <c r="J7" s="20">
        <f t="shared" si="0"/>
        <v>0.87073702807090769</v>
      </c>
      <c r="K7" s="2">
        <f t="shared" si="9"/>
        <v>103825577.00000001</v>
      </c>
      <c r="L7" s="2">
        <f t="shared" si="1"/>
        <v>1572987579</v>
      </c>
      <c r="M7" s="2">
        <f>J7*$B7</f>
        <v>11295294254</v>
      </c>
      <c r="N7" s="2">
        <f>SUM(K7:M7)</f>
        <v>12972107410</v>
      </c>
      <c r="O7" s="2">
        <f t="shared" si="2"/>
        <v>0</v>
      </c>
      <c r="P7" s="2">
        <f t="shared" si="6"/>
        <v>0</v>
      </c>
      <c r="Q7" s="2">
        <f t="shared" si="6"/>
        <v>0</v>
      </c>
      <c r="R7" s="2">
        <f t="shared" si="6"/>
        <v>0</v>
      </c>
      <c r="S7" s="2">
        <f t="shared" si="7"/>
        <v>103825577.00000001</v>
      </c>
      <c r="T7" s="2">
        <f t="shared" si="7"/>
        <v>1572987579</v>
      </c>
      <c r="U7" s="2">
        <f t="shared" si="7"/>
        <v>11295294254</v>
      </c>
    </row>
    <row r="8" spans="1:21" x14ac:dyDescent="0.3">
      <c r="A8" s="10" t="s">
        <v>8</v>
      </c>
      <c r="B8" s="11">
        <v>3852915489</v>
      </c>
      <c r="C8" s="11">
        <v>146145602.98662409</v>
      </c>
      <c r="D8" s="11">
        <v>932968919.94432068</v>
      </c>
      <c r="E8" s="11">
        <v>2773800966.0690551</v>
      </c>
      <c r="F8" s="28">
        <f t="shared" si="3"/>
        <v>3852915489</v>
      </c>
      <c r="G8" s="28">
        <f>F8-B8</f>
        <v>0</v>
      </c>
      <c r="H8" s="20">
        <f t="shared" si="4"/>
        <v>3.7931172745383851E-2</v>
      </c>
      <c r="I8" s="20">
        <f t="shared" si="0"/>
        <v>0.24214621955968904</v>
      </c>
      <c r="J8" s="20">
        <f t="shared" si="0"/>
        <v>0.71992260769492711</v>
      </c>
      <c r="K8" s="2">
        <f t="shared" si="9"/>
        <v>146145602.98662409</v>
      </c>
      <c r="L8" s="2">
        <f t="shared" si="1"/>
        <v>932968919.94432068</v>
      </c>
      <c r="M8" s="2">
        <f t="shared" si="1"/>
        <v>2773800966.0690551</v>
      </c>
      <c r="N8" s="2">
        <f t="shared" si="5"/>
        <v>3852915489</v>
      </c>
      <c r="O8" s="2">
        <f t="shared" si="2"/>
        <v>0</v>
      </c>
      <c r="P8" s="2">
        <f t="shared" si="6"/>
        <v>0</v>
      </c>
      <c r="Q8" s="2">
        <f t="shared" si="6"/>
        <v>0</v>
      </c>
      <c r="R8" s="2">
        <f t="shared" si="6"/>
        <v>0</v>
      </c>
      <c r="S8" s="2">
        <f t="shared" si="7"/>
        <v>146145602.98662409</v>
      </c>
      <c r="T8" s="2">
        <f t="shared" si="7"/>
        <v>932968919.94432068</v>
      </c>
      <c r="U8" s="2">
        <f t="shared" si="7"/>
        <v>2773800966.0690551</v>
      </c>
    </row>
    <row r="9" spans="1:21" x14ac:dyDescent="0.3">
      <c r="A9" s="14" t="s">
        <v>9</v>
      </c>
      <c r="B9" s="18">
        <f>SUM(B7:B8)</f>
        <v>16825022899</v>
      </c>
      <c r="C9" s="18">
        <f t="shared" ref="C9" si="11">SUM(C7:C8)</f>
        <v>249971179.98662409</v>
      </c>
      <c r="D9" s="18">
        <f>SUM(D7:D8)</f>
        <v>2505956498.9443207</v>
      </c>
      <c r="E9" s="18">
        <f>SUM(E7:E8)</f>
        <v>14069095220.069056</v>
      </c>
      <c r="F9" s="28">
        <f t="shared" si="3"/>
        <v>16825022899</v>
      </c>
      <c r="G9" s="28">
        <f t="shared" si="8"/>
        <v>0</v>
      </c>
      <c r="H9" s="20">
        <f t="shared" si="4"/>
        <v>1.4857107861736177E-2</v>
      </c>
      <c r="I9" s="20">
        <f t="shared" si="0"/>
        <v>0.14894223407525126</v>
      </c>
      <c r="J9" s="20">
        <f t="shared" si="0"/>
        <v>0.83620065806301258</v>
      </c>
      <c r="K9" s="2">
        <f t="shared" si="9"/>
        <v>249971179.98662409</v>
      </c>
      <c r="L9" s="2">
        <f t="shared" si="1"/>
        <v>2505956498.9443207</v>
      </c>
      <c r="M9" s="2">
        <f t="shared" si="1"/>
        <v>14069095220.069056</v>
      </c>
      <c r="N9" s="2">
        <f t="shared" si="5"/>
        <v>16825022899</v>
      </c>
      <c r="O9" s="2">
        <f t="shared" si="2"/>
        <v>0</v>
      </c>
      <c r="P9" s="2">
        <f t="shared" si="6"/>
        <v>0</v>
      </c>
      <c r="Q9" s="2">
        <f t="shared" si="6"/>
        <v>0</v>
      </c>
      <c r="R9" s="2">
        <f t="shared" si="6"/>
        <v>0</v>
      </c>
      <c r="S9" s="2">
        <f t="shared" si="7"/>
        <v>249971179.98662409</v>
      </c>
      <c r="T9" s="2">
        <f t="shared" si="7"/>
        <v>2505956498.9443207</v>
      </c>
      <c r="U9" s="2">
        <f t="shared" si="7"/>
        <v>14069095220.069056</v>
      </c>
    </row>
    <row r="10" spans="1:21" hidden="1" x14ac:dyDescent="0.3">
      <c r="A10" s="6" t="s">
        <v>10</v>
      </c>
      <c r="B10" s="7">
        <v>805972912</v>
      </c>
      <c r="C10" s="7">
        <v>67850</v>
      </c>
      <c r="D10" s="7">
        <v>44781</v>
      </c>
      <c r="E10" s="7">
        <v>805860281</v>
      </c>
      <c r="F10" s="28"/>
      <c r="G10" s="28"/>
      <c r="H10" s="20">
        <f t="shared" ref="H10:J13" si="12">C10/$B10</f>
        <v>8.418397068907944E-5</v>
      </c>
      <c r="I10" s="20">
        <f t="shared" si="12"/>
        <v>5.5561420654792431E-5</v>
      </c>
      <c r="J10" s="20">
        <f t="shared" si="12"/>
        <v>0.99986025460865613</v>
      </c>
      <c r="K10" s="2">
        <f t="shared" si="9"/>
        <v>67850</v>
      </c>
      <c r="L10" s="2">
        <f t="shared" si="1"/>
        <v>44781</v>
      </c>
      <c r="M10" s="2">
        <f t="shared" si="1"/>
        <v>805860281</v>
      </c>
      <c r="N10" s="2">
        <f t="shared" si="5"/>
        <v>805972912</v>
      </c>
      <c r="O10" s="2">
        <f t="shared" si="2"/>
        <v>0</v>
      </c>
      <c r="P10" s="2">
        <f t="shared" ref="P10:R13" si="13">$O$3*H10</f>
        <v>0</v>
      </c>
      <c r="Q10" s="2">
        <f t="shared" si="13"/>
        <v>0</v>
      </c>
      <c r="R10" s="2">
        <f t="shared" si="13"/>
        <v>0</v>
      </c>
      <c r="S10" s="2">
        <f t="shared" si="7"/>
        <v>67850</v>
      </c>
      <c r="T10" s="2">
        <f t="shared" si="7"/>
        <v>44781</v>
      </c>
      <c r="U10" s="2">
        <f t="shared" si="7"/>
        <v>805860281</v>
      </c>
    </row>
    <row r="11" spans="1:21" hidden="1" x14ac:dyDescent="0.3">
      <c r="A11" s="6" t="s">
        <v>11</v>
      </c>
      <c r="B11" s="7">
        <v>54546455.6616126</v>
      </c>
      <c r="C11" s="7">
        <v>21538.840180300023</v>
      </c>
      <c r="D11" s="7">
        <v>661884.01317300135</v>
      </c>
      <c r="E11" s="7">
        <v>53863032.808259308</v>
      </c>
      <c r="F11" s="28"/>
      <c r="G11" s="28"/>
      <c r="H11" s="20">
        <f t="shared" si="12"/>
        <v>3.9487148924798266E-4</v>
      </c>
      <c r="I11" s="20">
        <f t="shared" si="12"/>
        <v>1.2134317530713664E-2</v>
      </c>
      <c r="J11" s="20">
        <f t="shared" si="12"/>
        <v>0.98747081098003853</v>
      </c>
      <c r="K11" s="2">
        <f t="shared" si="9"/>
        <v>21538.840180300023</v>
      </c>
      <c r="L11" s="2">
        <f t="shared" si="1"/>
        <v>661884.01317300135</v>
      </c>
      <c r="M11" s="2">
        <f t="shared" si="1"/>
        <v>53863032.808259308</v>
      </c>
      <c r="N11" s="2">
        <f t="shared" si="5"/>
        <v>54546455.661612608</v>
      </c>
      <c r="O11" s="2">
        <f t="shared" si="2"/>
        <v>0</v>
      </c>
      <c r="P11" s="2">
        <f t="shared" si="13"/>
        <v>0</v>
      </c>
      <c r="Q11" s="2">
        <f t="shared" si="13"/>
        <v>0</v>
      </c>
      <c r="R11" s="2">
        <f t="shared" si="13"/>
        <v>0</v>
      </c>
      <c r="S11" s="2">
        <f t="shared" si="7"/>
        <v>21538.840180300023</v>
      </c>
      <c r="T11" s="2">
        <f t="shared" si="7"/>
        <v>661884.01317300135</v>
      </c>
      <c r="U11" s="2">
        <f t="shared" si="7"/>
        <v>53863032.808259308</v>
      </c>
    </row>
    <row r="12" spans="1:21" hidden="1" x14ac:dyDescent="0.3">
      <c r="A12" s="14" t="s">
        <v>12</v>
      </c>
      <c r="B12" s="15">
        <v>17626360639.127609</v>
      </c>
      <c r="C12" s="15">
        <v>177421822.88999999</v>
      </c>
      <c r="D12" s="15">
        <v>2500271083.7502003</v>
      </c>
      <c r="E12" s="15">
        <v>14948667732.487404</v>
      </c>
      <c r="F12" s="30"/>
      <c r="G12" s="30"/>
      <c r="H12" s="20">
        <f t="shared" si="12"/>
        <v>1.0065709338554713E-2</v>
      </c>
      <c r="I12" s="20">
        <f t="shared" si="12"/>
        <v>0.14184840166040921</v>
      </c>
      <c r="J12" s="20">
        <f t="shared" si="12"/>
        <v>0.84808588900103576</v>
      </c>
      <c r="K12" s="2">
        <f t="shared" si="9"/>
        <v>177421822.88999999</v>
      </c>
      <c r="L12" s="2">
        <f t="shared" si="1"/>
        <v>2500271083.7502003</v>
      </c>
      <c r="M12" s="2">
        <f t="shared" si="1"/>
        <v>14948667732.487404</v>
      </c>
      <c r="N12" s="2">
        <f t="shared" si="5"/>
        <v>17626360639.127605</v>
      </c>
      <c r="O12" s="2">
        <f t="shared" si="2"/>
        <v>0</v>
      </c>
      <c r="P12" s="2">
        <f t="shared" si="13"/>
        <v>0</v>
      </c>
      <c r="Q12" s="2">
        <f t="shared" si="13"/>
        <v>0</v>
      </c>
      <c r="R12" s="2">
        <f t="shared" si="13"/>
        <v>0</v>
      </c>
      <c r="S12" s="2">
        <f t="shared" si="7"/>
        <v>177421822.88999999</v>
      </c>
      <c r="T12" s="2">
        <f t="shared" si="7"/>
        <v>2500271083.7502003</v>
      </c>
      <c r="U12" s="2">
        <f t="shared" si="7"/>
        <v>14948667732.487404</v>
      </c>
    </row>
    <row r="13" spans="1:21" hidden="1" x14ac:dyDescent="0.3">
      <c r="A13" s="14" t="s">
        <v>12</v>
      </c>
      <c r="B13" s="15"/>
      <c r="C13" s="15"/>
      <c r="D13" s="15"/>
      <c r="E13" s="15"/>
      <c r="F13" s="30"/>
      <c r="G13" s="30"/>
      <c r="H13" s="20" t="e">
        <f t="shared" si="12"/>
        <v>#DIV/0!</v>
      </c>
      <c r="I13" s="20" t="e">
        <f t="shared" si="12"/>
        <v>#DIV/0!</v>
      </c>
      <c r="J13" s="20" t="e">
        <f t="shared" si="12"/>
        <v>#DIV/0!</v>
      </c>
      <c r="K13" s="2" t="e">
        <f t="shared" si="9"/>
        <v>#DIV/0!</v>
      </c>
      <c r="L13" s="2" t="e">
        <f t="shared" si="1"/>
        <v>#DIV/0!</v>
      </c>
      <c r="M13" s="2" t="e">
        <f t="shared" si="1"/>
        <v>#DIV/0!</v>
      </c>
      <c r="N13" s="2" t="e">
        <f t="shared" si="5"/>
        <v>#DIV/0!</v>
      </c>
      <c r="O13" s="2" t="e">
        <f t="shared" si="2"/>
        <v>#DIV/0!</v>
      </c>
      <c r="P13" s="2" t="e">
        <f t="shared" si="13"/>
        <v>#DIV/0!</v>
      </c>
      <c r="Q13" s="2" t="e">
        <f t="shared" si="13"/>
        <v>#DIV/0!</v>
      </c>
      <c r="R13" s="2" t="e">
        <f t="shared" si="13"/>
        <v>#DIV/0!</v>
      </c>
      <c r="S13" s="2" t="e">
        <f t="shared" si="7"/>
        <v>#DIV/0!</v>
      </c>
      <c r="T13" s="2" t="e">
        <f t="shared" si="7"/>
        <v>#DIV/0!</v>
      </c>
      <c r="U13" s="2" t="e">
        <f t="shared" si="7"/>
        <v>#DIV/0!</v>
      </c>
    </row>
    <row r="14" spans="1:21" x14ac:dyDescent="0.3">
      <c r="A14" s="16"/>
      <c r="B14" s="38"/>
      <c r="C14" s="38"/>
      <c r="D14" s="38"/>
      <c r="E14" s="38"/>
      <c r="F14" s="16"/>
      <c r="G14" s="16"/>
      <c r="H14" s="20"/>
      <c r="I14" s="20"/>
      <c r="J14" s="2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">
      <c r="A15" s="16"/>
      <c r="B15" s="35"/>
      <c r="C15" s="35"/>
      <c r="D15" s="35"/>
      <c r="E15" s="35"/>
      <c r="F15" s="16"/>
      <c r="G15" s="16">
        <v>16786600016</v>
      </c>
    </row>
    <row r="16" spans="1:21" x14ac:dyDescent="0.3">
      <c r="A16" s="40" t="s">
        <v>24</v>
      </c>
      <c r="B16" s="40"/>
      <c r="C16" s="40"/>
      <c r="D16" s="40"/>
      <c r="E16" s="40"/>
      <c r="F16" s="26"/>
      <c r="G16" s="26">
        <v>16787454168.1105</v>
      </c>
      <c r="H16" s="40"/>
      <c r="I16" s="40"/>
      <c r="J16" s="40"/>
      <c r="K16" s="40"/>
      <c r="L16" s="40"/>
    </row>
    <row r="17" spans="1:12" x14ac:dyDescent="0.3">
      <c r="A17" s="4" t="s">
        <v>13</v>
      </c>
      <c r="B17" s="5" t="s">
        <v>0</v>
      </c>
      <c r="C17" s="5" t="s">
        <v>25</v>
      </c>
      <c r="D17" s="5" t="s">
        <v>1</v>
      </c>
      <c r="E17" s="5" t="s">
        <v>2</v>
      </c>
      <c r="F17" s="27"/>
      <c r="G17" s="27">
        <f>G15-G16</f>
        <v>-854152.11050033569</v>
      </c>
      <c r="H17" s="4">
        <v>2025</v>
      </c>
      <c r="I17" s="5"/>
      <c r="J17" s="5"/>
      <c r="K17" s="5"/>
      <c r="L17" s="5"/>
    </row>
    <row r="18" spans="1:12" x14ac:dyDescent="0.3">
      <c r="A18" s="6" t="s">
        <v>15</v>
      </c>
      <c r="B18" s="7">
        <f t="shared" ref="B18:B23" si="14">SUM(C18:E18)</f>
        <v>35060660.493281052</v>
      </c>
      <c r="C18" s="7">
        <v>6121.6376236040869</v>
      </c>
      <c r="D18" s="7">
        <v>268470.54366413469</v>
      </c>
      <c r="E18" s="7">
        <v>34786068.311993316</v>
      </c>
      <c r="F18" s="28"/>
      <c r="G18" s="28">
        <v>-5825509.7454531342</v>
      </c>
      <c r="H18" s="6" t="s">
        <v>3</v>
      </c>
      <c r="I18" s="7">
        <f ca="1">B3-'2025 Collection'!B8</f>
        <v>-34663513.829999924</v>
      </c>
      <c r="J18" s="7">
        <f ca="1">C3-'2025 Collection'!C8</f>
        <v>-1092058.1803697348</v>
      </c>
      <c r="K18" s="7">
        <f ca="1">D3-'2025 Collection'!D8</f>
        <v>-3131084.685585022</v>
      </c>
      <c r="L18" s="7">
        <f ca="1">E3-'2025 Collection'!E8</f>
        <v>-138475489.56441879</v>
      </c>
    </row>
    <row r="19" spans="1:12" x14ac:dyDescent="0.3">
      <c r="A19" s="6" t="s">
        <v>17</v>
      </c>
      <c r="B19" s="7">
        <f t="shared" si="14"/>
        <v>7009396.6828916259</v>
      </c>
      <c r="C19" s="7">
        <v>15192.901830047793</v>
      </c>
      <c r="D19" s="7">
        <v>412452.80498643476</v>
      </c>
      <c r="E19" s="7">
        <v>6581750.9760751436</v>
      </c>
      <c r="F19" s="28"/>
      <c r="G19" s="28"/>
      <c r="H19" s="6" t="s">
        <v>4</v>
      </c>
      <c r="I19" s="7">
        <f>B4-'2025 Collection'!B9</f>
        <v>34663513.829999924</v>
      </c>
      <c r="J19" s="7">
        <f ca="1">C4-'2025 Collection'!C9</f>
        <v>1092058.1803697422</v>
      </c>
      <c r="K19" s="7">
        <f ca="1">D4-'2025 Collection'!D9</f>
        <v>3131084.6855851412</v>
      </c>
      <c r="L19" s="7">
        <f ca="1">E4-'2025 Collection'!E9</f>
        <v>138475489.56441832</v>
      </c>
    </row>
    <row r="20" spans="1:12" x14ac:dyDescent="0.3">
      <c r="A20" s="6" t="s">
        <v>18</v>
      </c>
      <c r="B20" s="7">
        <f t="shared" si="14"/>
        <v>6290023.6679689167</v>
      </c>
      <c r="C20" s="7">
        <v>0</v>
      </c>
      <c r="D20" s="7">
        <v>0</v>
      </c>
      <c r="E20" s="7">
        <v>6290023.6679689167</v>
      </c>
      <c r="F20" s="28"/>
      <c r="G20" s="28"/>
      <c r="H20" s="8" t="s">
        <v>5</v>
      </c>
      <c r="I20" s="7">
        <f ca="1">B5-'2025 Collection'!B10</f>
        <v>11785088.122014284</v>
      </c>
      <c r="J20" s="7">
        <f ca="1">C5-'2025 Collection'!C10</f>
        <v>129665.0884227613</v>
      </c>
      <c r="K20" s="7">
        <f ca="1">D5-'2025 Collection'!D10</f>
        <v>391477.9101048857</v>
      </c>
      <c r="L20" s="7">
        <f ca="1">E5-'2025 Collection'!E10</f>
        <v>18379490.611991048</v>
      </c>
    </row>
    <row r="21" spans="1:12" x14ac:dyDescent="0.3">
      <c r="A21" s="6" t="s">
        <v>27</v>
      </c>
      <c r="B21" s="7">
        <f t="shared" si="14"/>
        <v>5232976.6666876981</v>
      </c>
      <c r="C21" s="7">
        <v>0</v>
      </c>
      <c r="D21" s="7">
        <v>0</v>
      </c>
      <c r="E21" s="7">
        <v>5232976.6666876981</v>
      </c>
      <c r="F21" s="28"/>
      <c r="G21" s="28"/>
      <c r="H21" s="8" t="s">
        <v>6</v>
      </c>
      <c r="I21" s="7">
        <f ca="1">B6-'2025 Collection'!B11</f>
        <v>22865066.87864542</v>
      </c>
      <c r="J21" s="7">
        <f ca="1">C6-'2025 Collection'!C11</f>
        <v>1181330.5660306886</v>
      </c>
      <c r="K21" s="7">
        <f ca="1">D6-'2025 Collection'!D11</f>
        <v>10704305.745935798</v>
      </c>
      <c r="L21" s="7">
        <f ca="1">E6-'2025 Collection'!E11</f>
        <v>110642690.86788774</v>
      </c>
    </row>
    <row r="22" spans="1:12" x14ac:dyDescent="0.3">
      <c r="A22" s="6" t="s">
        <v>19</v>
      </c>
      <c r="B22" s="7">
        <f t="shared" si="14"/>
        <v>1226547.5281139745</v>
      </c>
      <c r="C22" s="7">
        <v>0</v>
      </c>
      <c r="D22" s="7">
        <v>0</v>
      </c>
      <c r="E22" s="7">
        <v>1226547.5281139745</v>
      </c>
      <c r="F22" s="28"/>
      <c r="G22" s="28"/>
      <c r="H22" s="10" t="s">
        <v>7</v>
      </c>
      <c r="I22" s="7">
        <f ca="1">B7-'2025 Collection'!B12</f>
        <v>0</v>
      </c>
      <c r="J22" s="7">
        <f ca="1">C7-'2025 Collection'!C12</f>
        <v>0</v>
      </c>
      <c r="K22" s="7">
        <f ca="1">D7-'2025 Collection'!D12</f>
        <v>0</v>
      </c>
      <c r="L22" s="7">
        <f ca="1">E7-'2025 Collection'!E12</f>
        <v>0</v>
      </c>
    </row>
    <row r="23" spans="1:12" x14ac:dyDescent="0.3">
      <c r="A23" s="6" t="s">
        <v>16</v>
      </c>
      <c r="B23" s="7">
        <f t="shared" si="14"/>
        <v>109463.84684704922</v>
      </c>
      <c r="C23" s="7">
        <v>0</v>
      </c>
      <c r="D23" s="7">
        <v>0</v>
      </c>
      <c r="E23" s="7">
        <v>109463.84684704922</v>
      </c>
      <c r="F23" s="28"/>
      <c r="G23" s="28"/>
      <c r="H23" s="10" t="s">
        <v>8</v>
      </c>
      <c r="I23" s="7">
        <f>B8-'2025 Collection'!B13</f>
        <v>0</v>
      </c>
      <c r="J23" s="7">
        <f>C8-'2025 Collection'!C13</f>
        <v>0</v>
      </c>
      <c r="K23" s="7">
        <f>D8-'2025 Collection'!D13</f>
        <v>0</v>
      </c>
      <c r="L23" s="7">
        <f>E8-'2025 Collection'!E13</f>
        <v>0</v>
      </c>
    </row>
    <row r="24" spans="1:12" x14ac:dyDescent="0.3">
      <c r="A24" s="12" t="s">
        <v>20</v>
      </c>
      <c r="B24" s="13">
        <f>SUM(B18:B23)</f>
        <v>54929068.885790311</v>
      </c>
      <c r="C24" s="13">
        <f>SUM(C18:C23)</f>
        <v>21314.53945365188</v>
      </c>
      <c r="D24" s="13">
        <f>SUM(D18:D23)</f>
        <v>680923.34865056945</v>
      </c>
      <c r="E24" s="13">
        <f>SUM(E18:E23)</f>
        <v>54226830.997686096</v>
      </c>
      <c r="F24" s="31"/>
      <c r="G24" s="31"/>
      <c r="H24" s="14" t="s">
        <v>9</v>
      </c>
      <c r="I24" s="7">
        <f ca="1">B9-'2025 Collection'!B14</f>
        <v>0</v>
      </c>
      <c r="J24" s="7">
        <f ca="1">C9-'2025 Collection'!C14</f>
        <v>0</v>
      </c>
      <c r="K24" s="7">
        <f ca="1">D9-'2025 Collection'!D14</f>
        <v>0</v>
      </c>
      <c r="L24" s="7">
        <f ca="1">E9-'2025 Collection'!E14</f>
        <v>0</v>
      </c>
    </row>
    <row r="25" spans="1:12" x14ac:dyDescent="0.3">
      <c r="A25" s="16"/>
      <c r="B25" s="16"/>
      <c r="C25" s="16"/>
      <c r="D25" s="16"/>
      <c r="E25" s="16"/>
      <c r="F25" s="16"/>
      <c r="G25" s="16"/>
      <c r="I25" s="21"/>
      <c r="J25" s="21"/>
      <c r="K25" s="21"/>
      <c r="L25" s="21"/>
    </row>
    <row r="26" spans="1:12" x14ac:dyDescent="0.3">
      <c r="A26" s="23" t="s">
        <v>10</v>
      </c>
      <c r="B26" s="22">
        <v>812306356</v>
      </c>
      <c r="C26" s="22">
        <v>54350</v>
      </c>
      <c r="D26" s="22">
        <v>41781</v>
      </c>
      <c r="E26" s="22">
        <v>812210225</v>
      </c>
      <c r="F26" s="32"/>
      <c r="G26" s="32"/>
      <c r="I26" s="21"/>
      <c r="J26" s="21"/>
      <c r="K26" s="21"/>
      <c r="L26" s="21"/>
    </row>
    <row r="27" spans="1:12" x14ac:dyDescent="0.3">
      <c r="A27" s="16"/>
      <c r="B27" s="16"/>
      <c r="C27" s="16"/>
      <c r="D27" s="16"/>
      <c r="E27" s="16"/>
      <c r="F27" s="16"/>
      <c r="G27" s="16"/>
      <c r="I27" s="21"/>
      <c r="J27" s="21"/>
      <c r="K27" s="21"/>
      <c r="L27" s="21"/>
    </row>
    <row r="28" spans="1:12" x14ac:dyDescent="0.3">
      <c r="A28" s="17" t="s">
        <v>14</v>
      </c>
      <c r="B28" s="19">
        <f>B24+B9</f>
        <v>16879951967.88579</v>
      </c>
      <c r="C28" s="19">
        <f>C24+C9</f>
        <v>249992494.52607775</v>
      </c>
      <c r="D28" s="19">
        <f>D24+D9</f>
        <v>2506637422.2929711</v>
      </c>
      <c r="E28" s="19">
        <f>E24+E9</f>
        <v>14123322051.066742</v>
      </c>
      <c r="F28" s="33"/>
      <c r="G28" s="33"/>
      <c r="I28" s="21"/>
      <c r="J28" s="21"/>
      <c r="K28" s="21"/>
      <c r="L28" s="21"/>
    </row>
    <row r="29" spans="1:12" x14ac:dyDescent="0.3">
      <c r="A29" s="16"/>
      <c r="B29" s="16"/>
      <c r="C29" s="16"/>
      <c r="D29" s="16"/>
      <c r="E29" s="16"/>
      <c r="F29" s="16"/>
      <c r="G29" s="16"/>
      <c r="I29" s="21"/>
      <c r="J29" s="21"/>
      <c r="K29" s="21"/>
      <c r="L29" s="21"/>
    </row>
    <row r="30" spans="1:12" x14ac:dyDescent="0.3">
      <c r="A30" s="34" t="s">
        <v>30</v>
      </c>
      <c r="B30" s="16"/>
      <c r="C30" s="16"/>
      <c r="D30" s="16"/>
      <c r="E30" s="16"/>
      <c r="F30" s="16"/>
      <c r="G30" s="16"/>
      <c r="I30" s="21"/>
      <c r="J30" s="21"/>
      <c r="K30" s="21"/>
      <c r="L30" s="21"/>
    </row>
    <row r="31" spans="1:12" x14ac:dyDescent="0.3">
      <c r="A31" s="16"/>
      <c r="B31" s="16"/>
      <c r="C31" s="16"/>
      <c r="D31" s="16"/>
      <c r="E31" s="16"/>
      <c r="F31" s="16"/>
      <c r="G31" s="16"/>
      <c r="I31" s="21"/>
      <c r="J31" s="21"/>
      <c r="K31" s="21"/>
      <c r="L31" s="21"/>
    </row>
    <row r="32" spans="1:12" x14ac:dyDescent="0.3">
      <c r="A32" s="16"/>
      <c r="B32" s="16"/>
      <c r="C32" s="16"/>
      <c r="D32" s="16"/>
      <c r="E32" s="16"/>
      <c r="F32" s="16"/>
      <c r="G32" s="16"/>
      <c r="I32" s="21"/>
      <c r="J32" s="21"/>
      <c r="K32" s="21"/>
      <c r="L32" s="21"/>
    </row>
    <row r="33" spans="1:12" x14ac:dyDescent="0.3">
      <c r="A33" s="6" t="s">
        <v>21</v>
      </c>
      <c r="B33" s="7">
        <v>27386119</v>
      </c>
      <c r="C33" s="7"/>
      <c r="D33" s="7">
        <f>B33-E33</f>
        <v>0</v>
      </c>
      <c r="E33" s="7">
        <v>27386119</v>
      </c>
      <c r="F33" s="28"/>
      <c r="G33" s="28"/>
      <c r="I33" s="21"/>
      <c r="J33" s="21"/>
      <c r="K33" s="21"/>
      <c r="L33" s="21"/>
    </row>
    <row r="34" spans="1:12" x14ac:dyDescent="0.3">
      <c r="A34" s="6" t="s">
        <v>22</v>
      </c>
      <c r="B34" s="7">
        <v>14054024</v>
      </c>
      <c r="C34" s="7"/>
      <c r="D34" s="7">
        <f>B34-E34</f>
        <v>0</v>
      </c>
      <c r="E34" s="7">
        <v>14054024</v>
      </c>
      <c r="F34" s="28"/>
      <c r="G34" s="28"/>
    </row>
    <row r="35" spans="1:12" x14ac:dyDescent="0.3">
      <c r="A35" s="6" t="s">
        <v>10</v>
      </c>
      <c r="B35" s="7">
        <v>650781702</v>
      </c>
      <c r="C35" s="7"/>
      <c r="D35" s="7">
        <f>B35-E35</f>
        <v>0</v>
      </c>
      <c r="E35" s="7">
        <v>650781702</v>
      </c>
      <c r="F35" s="28"/>
      <c r="G35" s="28"/>
    </row>
    <row r="36" spans="1:12" x14ac:dyDescent="0.3">
      <c r="A36" s="14" t="s">
        <v>0</v>
      </c>
      <c r="B36" s="18">
        <f>SUM(B24:B35)</f>
        <v>18439409237.77158</v>
      </c>
      <c r="C36" s="18"/>
      <c r="D36" s="18">
        <f>SUM(D24:D35)</f>
        <v>2507360126.6416216</v>
      </c>
      <c r="E36" s="18">
        <f>SUM(E24:E35)</f>
        <v>15681980952.064428</v>
      </c>
      <c r="F36" s="29"/>
      <c r="G36" s="29"/>
    </row>
    <row r="37" spans="1:12" x14ac:dyDescent="0.3">
      <c r="A37" s="16"/>
      <c r="B37" s="16"/>
      <c r="C37" s="16"/>
      <c r="D37" s="16"/>
      <c r="E37" s="16"/>
      <c r="F37" s="16"/>
      <c r="G37" s="16"/>
    </row>
    <row r="38" spans="1:12" x14ac:dyDescent="0.3">
      <c r="A38" s="17" t="s">
        <v>14</v>
      </c>
      <c r="B38" s="19">
        <f>B36+B9</f>
        <v>35264432136.771576</v>
      </c>
      <c r="C38" s="19"/>
      <c r="D38" s="19">
        <f>D36+D9</f>
        <v>5013316625.5859423</v>
      </c>
      <c r="E38" s="19">
        <f>E36+E9</f>
        <v>29751076172.133484</v>
      </c>
      <c r="F38" s="33"/>
      <c r="G38" s="33"/>
    </row>
  </sheetData>
  <mergeCells count="4">
    <mergeCell ref="A1:E1"/>
    <mergeCell ref="S2:U2"/>
    <mergeCell ref="A16:E16"/>
    <mergeCell ref="H16:L16"/>
  </mergeCells>
  <printOptions horizontalCentered="1"/>
  <pageMargins left="0.98425196850393704" right="0.98425196850393704" top="0.98425196850393704" bottom="0.98425196850393704" header="0.51181102362204722" footer="0.51181102362204722"/>
  <pageSetup paperSize="9" orientation="landscape" r:id="rId1"/>
  <headerFooter>
    <oddHeader>&amp;L&amp;"Tahoma,Regular"&amp;10Sobha LLC&amp;C&amp;"Tahoma,Regular"&amp;14 &amp;"Tahoma,Bold"2025 Collection Snapshot&amp;R&amp;"Tahoma,Regular"&amp;10&amp;D</oddHeader>
    <oddFooter>&amp;L&amp;"Tahoma,Regular"&amp;10Collections&amp;R&amp;"Tahoma,Regular"&amp;10&amp;P/&amp;N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2021 Collection </vt:lpstr>
      <vt:lpstr>2022 Collection </vt:lpstr>
      <vt:lpstr>2023 Collection</vt:lpstr>
      <vt:lpstr>2024 Collection</vt:lpstr>
      <vt:lpstr>2024 Collection Snap</vt:lpstr>
      <vt:lpstr>2024 Collection New</vt:lpstr>
      <vt:lpstr>2025 Collection</vt:lpstr>
      <vt:lpstr>2025 Collection Dynamic</vt:lpstr>
      <vt:lpstr>'2021 Collection '!Print_Area</vt:lpstr>
      <vt:lpstr>'2022 Collection '!Print_Area</vt:lpstr>
      <vt:lpstr>'2023 Collection'!Print_Area</vt:lpstr>
      <vt:lpstr>'2024 Collection'!Print_Area</vt:lpstr>
      <vt:lpstr>'2024 Collection New'!Print_Area</vt:lpstr>
      <vt:lpstr>'2024 Collection Snap'!Print_Area</vt:lpstr>
      <vt:lpstr>'2025 Collection'!Print_Area</vt:lpstr>
      <vt:lpstr>'2025 Collection Dynamic'!Print_Area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Salvador Fernandes</dc:creator>
  <cp:lastModifiedBy>Rajesh Kumar Sharma</cp:lastModifiedBy>
  <cp:lastPrinted>2026-03-13T11:05:20Z</cp:lastPrinted>
  <dcterms:created xsi:type="dcterms:W3CDTF">2025-01-02T10:40:03Z</dcterms:created>
  <dcterms:modified xsi:type="dcterms:W3CDTF">2026-03-13T11:05:40Z</dcterms:modified>
</cp:coreProperties>
</file>