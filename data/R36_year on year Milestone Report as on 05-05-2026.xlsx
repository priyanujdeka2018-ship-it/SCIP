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uj.deka\AppData\Local\Microsoft\Olk\Attachments\ooa-2de4070c-98f4-4dd8-bb34-62fff0b6a1a2\6b52e8dc3f4a95d283d8d0e5188fe1d86d9d3743d315a4f7d4fd630a81cd7edf\"/>
    </mc:Choice>
  </mc:AlternateContent>
  <xr:revisionPtr revIDLastSave="0" documentId="8_{E001D5FA-16A3-4F72-9E50-7B22ECDDA8CB}" xr6:coauthVersionLast="47" xr6:coauthVersionMax="47" xr10:uidLastSave="{00000000-0000-0000-0000-000000000000}"/>
  <bookViews>
    <workbookView xWindow="-110" yWindow="-110" windowWidth="19420" windowHeight="11500" xr2:uid="{F355141C-9BA5-4EB4-A97D-3060FBBDFFFC}"/>
  </bookViews>
  <sheets>
    <sheet name="Total" sheetId="1" r:id="rId1"/>
    <sheet name="Active" sheetId="2" r:id="rId2"/>
    <sheet name="Sobha" sheetId="3" r:id="rId3"/>
    <sheet name="Siniya" sheetId="4" r:id="rId4"/>
    <sheet name="DT" sheetId="5" r:id="rId5"/>
  </sheets>
  <definedNames>
    <definedName name="_xlnm.Print_Area" localSheetId="1">Active!$F$29:$X$69</definedName>
    <definedName name="_xlnm.Print_Area" localSheetId="4">DT!$F$29:$X$69</definedName>
    <definedName name="_xlnm.Print_Area" localSheetId="3">Siniya!$F$29:$X$69</definedName>
    <definedName name="_xlnm.Print_Area" localSheetId="2">Sobha!$F$29:$X$69</definedName>
    <definedName name="_xlnm.Print_Area" localSheetId="0">Total!$F$29:$X$69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5" l="1"/>
  <c r="W45" i="5" a="1"/>
  <c r="V45" i="5"/>
  <c r="Q45" i="5"/>
  <c r="U44" i="5"/>
  <c r="U43" i="5" a="1"/>
  <c r="T43" i="5"/>
  <c r="G43" i="5"/>
  <c r="S42" i="5"/>
  <c r="S41" i="5" a="1"/>
  <c r="S41" i="5" s="1"/>
  <c r="R41" i="5"/>
  <c r="R40" i="5"/>
  <c r="R40" i="5" a="1"/>
  <c r="Q40" i="5"/>
  <c r="G40" i="5"/>
  <c r="Q39" i="5" a="1"/>
  <c r="Q39" i="5" s="1"/>
  <c r="P39" i="5"/>
  <c r="G39" i="5"/>
  <c r="P38" i="5" a="1"/>
  <c r="O38" i="5"/>
  <c r="G38" i="5"/>
  <c r="O37" i="5" a="1"/>
  <c r="N37" i="5"/>
  <c r="G37" i="5"/>
  <c r="M36" i="5"/>
  <c r="G36" i="5"/>
  <c r="L35" i="5"/>
  <c r="G35" i="5"/>
  <c r="L34" i="5" a="1"/>
  <c r="K34" i="5"/>
  <c r="G34" i="5"/>
  <c r="K33" i="5" a="1"/>
  <c r="J33" i="5"/>
  <c r="G33" i="5"/>
  <c r="F33" i="5"/>
  <c r="G32" i="5"/>
  <c r="F32" i="5"/>
  <c r="X31" i="5"/>
  <c r="W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H55" i="5" s="1" a="1"/>
  <c r="H55" i="5" s="1"/>
  <c r="X24" i="5"/>
  <c r="X23" i="5"/>
  <c r="V44" i="5" s="1" a="1"/>
  <c r="E23" i="5"/>
  <c r="E24" i="5" s="1"/>
  <c r="G24" i="5" s="1"/>
  <c r="G45" i="5" s="1"/>
  <c r="X22" i="5"/>
  <c r="X21" i="5"/>
  <c r="T42" i="5" s="1" a="1"/>
  <c r="E21" i="5"/>
  <c r="E22" i="5" s="1"/>
  <c r="G22" i="5" s="1"/>
  <c r="X20" i="5"/>
  <c r="E20" i="5"/>
  <c r="G20" i="5" s="1"/>
  <c r="G41" i="5" s="1"/>
  <c r="X19" i="5"/>
  <c r="X18" i="5"/>
  <c r="X17" i="5"/>
  <c r="X16" i="5"/>
  <c r="X15" i="5"/>
  <c r="N36" i="5" s="1" a="1"/>
  <c r="X14" i="5"/>
  <c r="M35" i="5" s="1" a="1"/>
  <c r="X13" i="5"/>
  <c r="X12" i="5"/>
  <c r="F12" i="5"/>
  <c r="F13" i="5" s="1"/>
  <c r="F14" i="5" s="1"/>
  <c r="X11" i="5"/>
  <c r="T10" i="5"/>
  <c r="T31" i="5" s="1"/>
  <c r="U68" i="4"/>
  <c r="T68" i="4"/>
  <c r="S68" i="4"/>
  <c r="R68" i="4"/>
  <c r="Q68" i="4"/>
  <c r="O68" i="4"/>
  <c r="N68" i="4"/>
  <c r="M68" i="4"/>
  <c r="L68" i="4"/>
  <c r="K68" i="4"/>
  <c r="J68" i="4"/>
  <c r="I68" i="4"/>
  <c r="U67" i="4"/>
  <c r="T67" i="4"/>
  <c r="S67" i="4"/>
  <c r="R67" i="4"/>
  <c r="Q67" i="4"/>
  <c r="M67" i="4"/>
  <c r="L67" i="4"/>
  <c r="K67" i="4"/>
  <c r="J67" i="4"/>
  <c r="I67" i="4"/>
  <c r="S66" i="4"/>
  <c r="R66" i="4"/>
  <c r="Q66" i="4"/>
  <c r="P66" i="4"/>
  <c r="O66" i="4"/>
  <c r="N66" i="4"/>
  <c r="M66" i="4"/>
  <c r="L66" i="4"/>
  <c r="K66" i="4"/>
  <c r="J66" i="4"/>
  <c r="I66" i="4"/>
  <c r="R65" i="4"/>
  <c r="Q65" i="4"/>
  <c r="O65" i="4"/>
  <c r="N65" i="4"/>
  <c r="M65" i="4"/>
  <c r="L65" i="4"/>
  <c r="K65" i="4"/>
  <c r="J65" i="4"/>
  <c r="I65" i="4"/>
  <c r="V64" i="4"/>
  <c r="U64" i="4"/>
  <c r="T64" i="4"/>
  <c r="R64" i="4"/>
  <c r="Q64" i="4"/>
  <c r="M64" i="4"/>
  <c r="L64" i="4"/>
  <c r="K64" i="4"/>
  <c r="J64" i="4"/>
  <c r="I64" i="4"/>
  <c r="Q63" i="4"/>
  <c r="P63" i="4"/>
  <c r="O63" i="4"/>
  <c r="N63" i="4"/>
  <c r="M63" i="4"/>
  <c r="L63" i="4"/>
  <c r="K63" i="4"/>
  <c r="J63" i="4"/>
  <c r="I63" i="4"/>
  <c r="U62" i="4"/>
  <c r="T62" i="4"/>
  <c r="S62" i="4"/>
  <c r="R62" i="4"/>
  <c r="Q62" i="4"/>
  <c r="O62" i="4"/>
  <c r="N62" i="4"/>
  <c r="M62" i="4"/>
  <c r="L62" i="4"/>
  <c r="K62" i="4"/>
  <c r="J62" i="4"/>
  <c r="I62" i="4"/>
  <c r="T61" i="4"/>
  <c r="S61" i="4"/>
  <c r="R61" i="4"/>
  <c r="M61" i="4"/>
  <c r="L61" i="4"/>
  <c r="K61" i="4"/>
  <c r="J61" i="4"/>
  <c r="I61" i="4"/>
  <c r="M60" i="4"/>
  <c r="L60" i="4"/>
  <c r="K60" i="4"/>
  <c r="J60" i="4"/>
  <c r="I60" i="4"/>
  <c r="T59" i="4"/>
  <c r="S59" i="4"/>
  <c r="L59" i="4"/>
  <c r="K59" i="4"/>
  <c r="J59" i="4"/>
  <c r="I59" i="4"/>
  <c r="W58" i="4"/>
  <c r="S58" i="4"/>
  <c r="L58" i="4"/>
  <c r="K58" i="4"/>
  <c r="J58" i="4"/>
  <c r="I58" i="4"/>
  <c r="K57" i="4"/>
  <c r="J57" i="4"/>
  <c r="I57" i="4"/>
  <c r="I56" i="4"/>
  <c r="F52" i="4"/>
  <c r="W45" i="4" a="1"/>
  <c r="X68" i="4" s="1"/>
  <c r="V45" i="4"/>
  <c r="V68" i="4" s="1"/>
  <c r="Q45" i="4"/>
  <c r="U44" i="4"/>
  <c r="U43" i="4" a="1"/>
  <c r="T43" i="4"/>
  <c r="T66" i="4" s="1"/>
  <c r="G43" i="4"/>
  <c r="T42" i="4" a="1"/>
  <c r="S42" i="4"/>
  <c r="S65" i="4" s="1"/>
  <c r="R41" i="4"/>
  <c r="G41" i="4"/>
  <c r="R40" i="4" a="1"/>
  <c r="R40" i="4" s="1"/>
  <c r="R63" i="4" s="1"/>
  <c r="Q40" i="4"/>
  <c r="G40" i="4"/>
  <c r="Q39" i="4"/>
  <c r="Q39" i="4" a="1"/>
  <c r="W62" i="4" s="1"/>
  <c r="P39" i="4"/>
  <c r="P62" i="4" s="1"/>
  <c r="G39" i="4"/>
  <c r="P38" i="4" a="1"/>
  <c r="P38" i="4" s="1"/>
  <c r="P61" i="4" s="1"/>
  <c r="O38" i="4"/>
  <c r="O61" i="4" s="1"/>
  <c r="G38" i="4"/>
  <c r="O37" i="4" a="1"/>
  <c r="O37" i="4" s="1"/>
  <c r="O60" i="4" s="1"/>
  <c r="N37" i="4"/>
  <c r="N60" i="4" s="1"/>
  <c r="G37" i="4"/>
  <c r="M36" i="4"/>
  <c r="M59" i="4" s="1"/>
  <c r="G36" i="4"/>
  <c r="L35" i="4"/>
  <c r="G35" i="4"/>
  <c r="K34" i="4"/>
  <c r="G34" i="4"/>
  <c r="K33" i="4"/>
  <c r="K56" i="4" s="1"/>
  <c r="K33" i="4" a="1"/>
  <c r="J33" i="4"/>
  <c r="J56" i="4" s="1"/>
  <c r="G33" i="4"/>
  <c r="F33" i="4"/>
  <c r="I32" i="4" a="1"/>
  <c r="H32" i="4" a="1"/>
  <c r="P67" i="4" s="1"/>
  <c r="G32" i="4"/>
  <c r="F32" i="4"/>
  <c r="X31" i="4"/>
  <c r="W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H55" i="4" s="1" a="1"/>
  <c r="H55" i="4" s="1"/>
  <c r="X24" i="4"/>
  <c r="X23" i="4"/>
  <c r="V44" i="4" s="1" a="1"/>
  <c r="X22" i="4"/>
  <c r="X21" i="4"/>
  <c r="E21" i="4"/>
  <c r="E22" i="4" s="1"/>
  <c r="G22" i="4" s="1"/>
  <c r="X20" i="4"/>
  <c r="S41" i="4" s="1" a="1"/>
  <c r="W64" i="4" s="1"/>
  <c r="E20" i="4"/>
  <c r="G20" i="4" s="1"/>
  <c r="X19" i="4"/>
  <c r="X18" i="4"/>
  <c r="X17" i="4"/>
  <c r="X16" i="4"/>
  <c r="X15" i="4"/>
  <c r="N36" i="4" s="1" a="1"/>
  <c r="X14" i="4"/>
  <c r="M35" i="4" s="1" a="1"/>
  <c r="X13" i="4"/>
  <c r="X12" i="4"/>
  <c r="F12" i="4"/>
  <c r="F13" i="4" s="1"/>
  <c r="F34" i="4" s="1"/>
  <c r="X11" i="4"/>
  <c r="T10" i="4"/>
  <c r="T31" i="4" s="1"/>
  <c r="T68" i="3"/>
  <c r="S68" i="3"/>
  <c r="R68" i="3"/>
  <c r="Q68" i="3"/>
  <c r="P68" i="3"/>
  <c r="N68" i="3"/>
  <c r="M68" i="3"/>
  <c r="L68" i="3"/>
  <c r="J68" i="3"/>
  <c r="I68" i="3"/>
  <c r="U67" i="3"/>
  <c r="T67" i="3"/>
  <c r="S67" i="3"/>
  <c r="R67" i="3"/>
  <c r="Q67" i="3"/>
  <c r="P67" i="3"/>
  <c r="L67" i="3"/>
  <c r="K67" i="3"/>
  <c r="J67" i="3"/>
  <c r="I67" i="3"/>
  <c r="R66" i="3"/>
  <c r="Q66" i="3"/>
  <c r="P66" i="3"/>
  <c r="O66" i="3"/>
  <c r="N66" i="3"/>
  <c r="M66" i="3"/>
  <c r="L66" i="3"/>
  <c r="K66" i="3"/>
  <c r="J66" i="3"/>
  <c r="I66" i="3"/>
  <c r="X65" i="3"/>
  <c r="T65" i="3"/>
  <c r="S65" i="3"/>
  <c r="R65" i="3"/>
  <c r="Q65" i="3"/>
  <c r="P65" i="3"/>
  <c r="N65" i="3"/>
  <c r="M65" i="3"/>
  <c r="L65" i="3"/>
  <c r="J65" i="3"/>
  <c r="I65" i="3"/>
  <c r="W64" i="3"/>
  <c r="V64" i="3"/>
  <c r="U64" i="3"/>
  <c r="T64" i="3"/>
  <c r="R64" i="3"/>
  <c r="Q64" i="3"/>
  <c r="P64" i="3"/>
  <c r="L64" i="3"/>
  <c r="K64" i="3"/>
  <c r="J64" i="3"/>
  <c r="I64" i="3"/>
  <c r="X63" i="3"/>
  <c r="P63" i="3"/>
  <c r="O63" i="3"/>
  <c r="N63" i="3"/>
  <c r="M63" i="3"/>
  <c r="L63" i="3"/>
  <c r="K63" i="3"/>
  <c r="J63" i="3"/>
  <c r="I63" i="3"/>
  <c r="X62" i="3"/>
  <c r="T62" i="3"/>
  <c r="S62" i="3"/>
  <c r="R62" i="3"/>
  <c r="P62" i="3"/>
  <c r="N62" i="3"/>
  <c r="M62" i="3"/>
  <c r="L62" i="3"/>
  <c r="J62" i="3"/>
  <c r="I62" i="3"/>
  <c r="S61" i="3"/>
  <c r="R61" i="3"/>
  <c r="Q61" i="3"/>
  <c r="L61" i="3"/>
  <c r="K61" i="3"/>
  <c r="J61" i="3"/>
  <c r="I61" i="3"/>
  <c r="N60" i="3"/>
  <c r="M60" i="3"/>
  <c r="L60" i="3"/>
  <c r="K60" i="3"/>
  <c r="J60" i="3"/>
  <c r="I60" i="3"/>
  <c r="X59" i="3"/>
  <c r="P59" i="3"/>
  <c r="L59" i="3"/>
  <c r="K59" i="3"/>
  <c r="J59" i="3"/>
  <c r="I59" i="3"/>
  <c r="L58" i="3"/>
  <c r="K58" i="3"/>
  <c r="J58" i="3"/>
  <c r="I58" i="3"/>
  <c r="O57" i="3"/>
  <c r="N57" i="3"/>
  <c r="M57" i="3"/>
  <c r="K57" i="3"/>
  <c r="J57" i="3"/>
  <c r="I57" i="3"/>
  <c r="T56" i="3"/>
  <c r="S56" i="3"/>
  <c r="R56" i="3"/>
  <c r="Q56" i="3"/>
  <c r="P56" i="3"/>
  <c r="I56" i="3"/>
  <c r="P55" i="3"/>
  <c r="F52" i="3"/>
  <c r="W45" i="3" a="1"/>
  <c r="X68" i="3" s="1"/>
  <c r="V45" i="3"/>
  <c r="V68" i="3" s="1"/>
  <c r="Q45" i="3"/>
  <c r="U44" i="3"/>
  <c r="T43" i="3"/>
  <c r="T66" i="3" s="1"/>
  <c r="T42" i="3"/>
  <c r="T42" i="3" a="1"/>
  <c r="S42" i="3"/>
  <c r="G42" i="3"/>
  <c r="R41" i="3"/>
  <c r="G41" i="3"/>
  <c r="R40" i="3" a="1"/>
  <c r="Q40" i="3"/>
  <c r="Q63" i="3" s="1"/>
  <c r="G40" i="3"/>
  <c r="Q39" i="3" a="1"/>
  <c r="W62" i="3" s="1"/>
  <c r="P39" i="3"/>
  <c r="G39" i="3"/>
  <c r="P38" i="3" a="1"/>
  <c r="U61" i="3" s="1"/>
  <c r="O38" i="3"/>
  <c r="O61" i="3" s="1"/>
  <c r="G38" i="3"/>
  <c r="N37" i="3"/>
  <c r="G37" i="3"/>
  <c r="M36" i="3"/>
  <c r="M59" i="3" s="1"/>
  <c r="G36" i="3"/>
  <c r="M35" i="3" a="1"/>
  <c r="U58" i="3" s="1"/>
  <c r="L35" i="3"/>
  <c r="G35" i="3"/>
  <c r="K34" i="3"/>
  <c r="G34" i="3"/>
  <c r="K33" i="3" a="1"/>
  <c r="J33" i="3"/>
  <c r="J56" i="3" s="1"/>
  <c r="G33" i="3"/>
  <c r="F33" i="3"/>
  <c r="I32" i="3" a="1"/>
  <c r="H32" i="3"/>
  <c r="H46" i="3" s="1"/>
  <c r="H32" i="3" a="1"/>
  <c r="O67" i="3" s="1"/>
  <c r="G32" i="3"/>
  <c r="F32" i="3"/>
  <c r="X31" i="3"/>
  <c r="W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H55" i="3" s="1" a="1"/>
  <c r="H55" i="3" s="1"/>
  <c r="X24" i="3"/>
  <c r="X23" i="3"/>
  <c r="V44" i="3" s="1" a="1"/>
  <c r="W67" i="3" s="1"/>
  <c r="E23" i="3"/>
  <c r="E24" i="3" s="1"/>
  <c r="G24" i="3" s="1"/>
  <c r="G45" i="3" s="1"/>
  <c r="X22" i="3"/>
  <c r="U43" i="3" s="1" a="1"/>
  <c r="G22" i="3"/>
  <c r="G43" i="3" s="1"/>
  <c r="X21" i="3"/>
  <c r="G21" i="3"/>
  <c r="E21" i="3"/>
  <c r="E22" i="3" s="1"/>
  <c r="X20" i="3"/>
  <c r="S41" i="3" s="1" a="1"/>
  <c r="G20" i="3"/>
  <c r="E20" i="3"/>
  <c r="X19" i="3"/>
  <c r="X18" i="3"/>
  <c r="X17" i="3"/>
  <c r="X16" i="3"/>
  <c r="O37" i="3" s="1" a="1"/>
  <c r="X15" i="3"/>
  <c r="N36" i="3" s="1" a="1"/>
  <c r="X14" i="3"/>
  <c r="X13" i="3"/>
  <c r="L34" i="3" s="1" a="1"/>
  <c r="F13" i="3"/>
  <c r="F34" i="3" s="1"/>
  <c r="X12" i="3"/>
  <c r="F12" i="3"/>
  <c r="X11" i="3"/>
  <c r="V10" i="3"/>
  <c r="V31" i="3" s="1"/>
  <c r="U10" i="3"/>
  <c r="U31" i="3" s="1"/>
  <c r="T10" i="3"/>
  <c r="T31" i="3" s="1"/>
  <c r="P67" i="2"/>
  <c r="O67" i="2"/>
  <c r="R61" i="2"/>
  <c r="Q61" i="2"/>
  <c r="H55" i="2" a="1"/>
  <c r="H55" i="2" s="1"/>
  <c r="F52" i="2"/>
  <c r="W45" i="2" a="1"/>
  <c r="V45" i="2"/>
  <c r="Q45" i="2"/>
  <c r="U44" i="2"/>
  <c r="T43" i="2"/>
  <c r="T42" i="2" a="1"/>
  <c r="T42" i="2" s="1"/>
  <c r="S42" i="2"/>
  <c r="R41" i="2"/>
  <c r="R40" i="2"/>
  <c r="R40" i="2" a="1"/>
  <c r="Q40" i="2"/>
  <c r="G40" i="2"/>
  <c r="Q39" i="2" a="1"/>
  <c r="V62" i="2" s="1"/>
  <c r="P39" i="2"/>
  <c r="G39" i="2"/>
  <c r="P38" i="2"/>
  <c r="P38" i="2" a="1"/>
  <c r="O38" i="2"/>
  <c r="G38" i="2"/>
  <c r="O37" i="2" a="1"/>
  <c r="N37" i="2"/>
  <c r="G37" i="2"/>
  <c r="M36" i="2"/>
  <c r="G36" i="2"/>
  <c r="L35" i="2"/>
  <c r="G35" i="2"/>
  <c r="K34" i="2"/>
  <c r="G34" i="2"/>
  <c r="J33" i="2"/>
  <c r="G33" i="2"/>
  <c r="F33" i="2"/>
  <c r="I32" i="2" a="1"/>
  <c r="H32" i="2" a="1"/>
  <c r="R65" i="2" s="1"/>
  <c r="G32" i="2"/>
  <c r="F32" i="2"/>
  <c r="X31" i="2"/>
  <c r="W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X24" i="2"/>
  <c r="X23" i="2"/>
  <c r="V44" i="2" s="1" a="1"/>
  <c r="X22" i="2"/>
  <c r="U43" i="2" s="1" a="1"/>
  <c r="X21" i="2"/>
  <c r="E21" i="2"/>
  <c r="X20" i="2"/>
  <c r="S41" i="2" s="1" a="1"/>
  <c r="G20" i="2"/>
  <c r="G41" i="2" s="1"/>
  <c r="E20" i="2"/>
  <c r="X19" i="2"/>
  <c r="X18" i="2"/>
  <c r="X17" i="2"/>
  <c r="X16" i="2"/>
  <c r="X15" i="2"/>
  <c r="N36" i="2" s="1" a="1"/>
  <c r="X14" i="2"/>
  <c r="M35" i="2" s="1" a="1"/>
  <c r="F14" i="2"/>
  <c r="X13" i="2"/>
  <c r="L34" i="2" s="1" a="1"/>
  <c r="F13" i="2"/>
  <c r="F34" i="2" s="1"/>
  <c r="X12" i="2"/>
  <c r="K33" i="2" s="1" a="1"/>
  <c r="F12" i="2"/>
  <c r="X11" i="2"/>
  <c r="T10" i="2"/>
  <c r="T31" i="2" s="1"/>
  <c r="O67" i="1"/>
  <c r="N67" i="1"/>
  <c r="J67" i="1"/>
  <c r="O61" i="1"/>
  <c r="H55" i="1" a="1"/>
  <c r="H55" i="1" s="1"/>
  <c r="W45" i="1"/>
  <c r="V45" i="1"/>
  <c r="Q45" i="1"/>
  <c r="V44" i="1" a="1"/>
  <c r="U44" i="1"/>
  <c r="T43" i="1"/>
  <c r="S42" i="1"/>
  <c r="S41" i="1" a="1"/>
  <c r="S41" i="1" s="1"/>
  <c r="R41" i="1"/>
  <c r="R40" i="1" a="1"/>
  <c r="R40" i="1" s="1"/>
  <c r="Q40" i="1"/>
  <c r="G40" i="1"/>
  <c r="Q39" i="1"/>
  <c r="Q39" i="1" a="1"/>
  <c r="P39" i="1"/>
  <c r="G39" i="1"/>
  <c r="O38" i="1"/>
  <c r="G38" i="1"/>
  <c r="O37" i="1" a="1"/>
  <c r="N37" i="1"/>
  <c r="G37" i="1"/>
  <c r="N36" i="1"/>
  <c r="N59" i="1" s="1"/>
  <c r="N36" i="1" a="1"/>
  <c r="M36" i="1"/>
  <c r="G36" i="1"/>
  <c r="L35" i="1"/>
  <c r="G35" i="1"/>
  <c r="L34" i="1"/>
  <c r="L46" i="1" s="1"/>
  <c r="L69" i="1" s="1"/>
  <c r="K34" i="1"/>
  <c r="G34" i="1"/>
  <c r="J33" i="1"/>
  <c r="G33" i="1"/>
  <c r="F33" i="1"/>
  <c r="H32" i="1" a="1"/>
  <c r="P65" i="1" s="1"/>
  <c r="G32" i="1"/>
  <c r="F32" i="1"/>
  <c r="X31" i="1"/>
  <c r="W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X24" i="1"/>
  <c r="W45" i="1" s="1" a="1"/>
  <c r="X23" i="1"/>
  <c r="X22" i="1"/>
  <c r="U43" i="1" s="1" a="1"/>
  <c r="U43" i="1" s="1"/>
  <c r="X21" i="1"/>
  <c r="T42" i="1" s="1" a="1"/>
  <c r="X20" i="1"/>
  <c r="E20" i="1"/>
  <c r="E21" i="1" s="1"/>
  <c r="G21" i="1" s="1"/>
  <c r="G42" i="1" s="1"/>
  <c r="X19" i="1"/>
  <c r="X25" i="1" s="1"/>
  <c r="X18" i="1"/>
  <c r="X17" i="1"/>
  <c r="P38" i="1" s="1" a="1"/>
  <c r="T61" i="1" s="1"/>
  <c r="X16" i="1"/>
  <c r="X15" i="1"/>
  <c r="X14" i="1"/>
  <c r="M35" i="1" s="1" a="1"/>
  <c r="X13" i="1"/>
  <c r="L34" i="1" s="1" a="1"/>
  <c r="X12" i="1"/>
  <c r="K33" i="1" s="1" a="1"/>
  <c r="F12" i="1"/>
  <c r="F13" i="1" s="1"/>
  <c r="X11" i="1"/>
  <c r="I32" i="1" s="1" a="1"/>
  <c r="V10" i="1"/>
  <c r="V31" i="1" s="1"/>
  <c r="U10" i="1"/>
  <c r="U31" i="1" s="1"/>
  <c r="T10" i="1"/>
  <c r="P67" i="1" l="1"/>
  <c r="T61" i="2"/>
  <c r="I32" i="3"/>
  <c r="N56" i="1"/>
  <c r="F14" i="4"/>
  <c r="Q62" i="1"/>
  <c r="O62" i="2"/>
  <c r="P58" i="4"/>
  <c r="O58" i="4"/>
  <c r="N58" i="4"/>
  <c r="X58" i="4"/>
  <c r="V58" i="4"/>
  <c r="T58" i="4"/>
  <c r="U58" i="4"/>
  <c r="R58" i="4"/>
  <c r="Q58" i="4"/>
  <c r="G20" i="1"/>
  <c r="G41" i="1" s="1"/>
  <c r="P56" i="1"/>
  <c r="R62" i="1"/>
  <c r="W62" i="2"/>
  <c r="S56" i="2"/>
  <c r="X62" i="2"/>
  <c r="W66" i="3"/>
  <c r="V66" i="3"/>
  <c r="U43" i="3"/>
  <c r="U66" i="3" s="1"/>
  <c r="X66" i="3"/>
  <c r="S64" i="1"/>
  <c r="X63" i="1"/>
  <c r="K57" i="2"/>
  <c r="K63" i="2"/>
  <c r="I32" i="5" a="1"/>
  <c r="X25" i="5"/>
  <c r="I46" i="5" s="1" a="1"/>
  <c r="X61" i="5"/>
  <c r="W61" i="5"/>
  <c r="V61" i="5"/>
  <c r="R61" i="5"/>
  <c r="Q61" i="5"/>
  <c r="P38" i="5"/>
  <c r="P61" i="5" s="1"/>
  <c r="E22" i="1"/>
  <c r="L57" i="1"/>
  <c r="I64" i="1"/>
  <c r="T65" i="2"/>
  <c r="K64" i="2"/>
  <c r="F35" i="5"/>
  <c r="F15" i="5"/>
  <c r="L34" i="4" a="1"/>
  <c r="X25" i="4"/>
  <c r="J56" i="1"/>
  <c r="X25" i="2"/>
  <c r="R56" i="2"/>
  <c r="W56" i="3"/>
  <c r="V56" i="3"/>
  <c r="U56" i="3"/>
  <c r="O56" i="3"/>
  <c r="N56" i="3"/>
  <c r="M56" i="3"/>
  <c r="L56" i="3"/>
  <c r="K33" i="3"/>
  <c r="K56" i="3" s="1"/>
  <c r="X56" i="3"/>
  <c r="X56" i="1"/>
  <c r="X62" i="1"/>
  <c r="U65" i="1"/>
  <c r="T42" i="1"/>
  <c r="T65" i="1" s="1"/>
  <c r="W65" i="1"/>
  <c r="X65" i="1"/>
  <c r="I57" i="1"/>
  <c r="T66" i="1"/>
  <c r="O58" i="1"/>
  <c r="J64" i="1"/>
  <c r="V66" i="2"/>
  <c r="U43" i="2"/>
  <c r="U66" i="2" s="1"/>
  <c r="X66" i="2"/>
  <c r="W66" i="2"/>
  <c r="L58" i="2"/>
  <c r="W57" i="2"/>
  <c r="O64" i="2"/>
  <c r="G23" i="3"/>
  <c r="G44" i="3" s="1"/>
  <c r="S61" i="2"/>
  <c r="R61" i="1"/>
  <c r="W63" i="3"/>
  <c r="V63" i="3"/>
  <c r="U63" i="3"/>
  <c r="T63" i="3"/>
  <c r="S63" i="3"/>
  <c r="R40" i="3"/>
  <c r="R63" i="3" s="1"/>
  <c r="S67" i="2"/>
  <c r="P56" i="2"/>
  <c r="R64" i="2"/>
  <c r="S41" i="4"/>
  <c r="S64" i="4" s="1"/>
  <c r="X64" i="4"/>
  <c r="N36" i="5"/>
  <c r="U59" i="5"/>
  <c r="T59" i="5"/>
  <c r="Q59" i="5"/>
  <c r="S59" i="5"/>
  <c r="R59" i="5"/>
  <c r="X68" i="1"/>
  <c r="S58" i="1"/>
  <c r="Q64" i="1"/>
  <c r="U58" i="2"/>
  <c r="X56" i="4"/>
  <c r="U56" i="4"/>
  <c r="W56" i="4"/>
  <c r="V56" i="4"/>
  <c r="P56" i="4"/>
  <c r="O56" i="4"/>
  <c r="N56" i="4"/>
  <c r="M56" i="4"/>
  <c r="L56" i="4"/>
  <c r="R56" i="4"/>
  <c r="Q56" i="4"/>
  <c r="T56" i="4"/>
  <c r="S56" i="4"/>
  <c r="X64" i="2"/>
  <c r="W64" i="2"/>
  <c r="S41" i="2"/>
  <c r="S64" i="2" s="1"/>
  <c r="V64" i="2"/>
  <c r="N64" i="1"/>
  <c r="R58" i="2"/>
  <c r="X67" i="1"/>
  <c r="W67" i="1"/>
  <c r="V44" i="1"/>
  <c r="V67" i="1" s="1"/>
  <c r="V58" i="2"/>
  <c r="U58" i="1"/>
  <c r="O65" i="1"/>
  <c r="W45" i="2"/>
  <c r="W68" i="2" s="1"/>
  <c r="X68" i="2"/>
  <c r="O59" i="2"/>
  <c r="U64" i="2"/>
  <c r="M46" i="3"/>
  <c r="M69" i="3" s="1"/>
  <c r="T61" i="3"/>
  <c r="J56" i="5"/>
  <c r="W46" i="1"/>
  <c r="W69" i="1" s="1"/>
  <c r="U46" i="1"/>
  <c r="U69" i="1" s="1"/>
  <c r="S46" i="1"/>
  <c r="S69" i="1" s="1"/>
  <c r="R46" i="1"/>
  <c r="R69" i="1" s="1"/>
  <c r="Q46" i="1"/>
  <c r="Q69" i="1" s="1"/>
  <c r="P46" i="1"/>
  <c r="P69" i="1" s="1"/>
  <c r="O46" i="1"/>
  <c r="O69" i="1" s="1"/>
  <c r="N46" i="1"/>
  <c r="N69" i="1" s="1"/>
  <c r="K46" i="1"/>
  <c r="K69" i="1" s="1"/>
  <c r="J46" i="1"/>
  <c r="J69" i="1" s="1"/>
  <c r="I32" i="1"/>
  <c r="N60" i="1"/>
  <c r="J46" i="2"/>
  <c r="P59" i="2"/>
  <c r="X56" i="5"/>
  <c r="S56" i="5"/>
  <c r="R56" i="5"/>
  <c r="Q56" i="5"/>
  <c r="L56" i="5"/>
  <c r="K33" i="5"/>
  <c r="K56" i="5" s="1"/>
  <c r="V59" i="5"/>
  <c r="N67" i="2"/>
  <c r="N64" i="2"/>
  <c r="N61" i="2"/>
  <c r="U68" i="2"/>
  <c r="M67" i="2"/>
  <c r="M64" i="2"/>
  <c r="M61" i="2"/>
  <c r="T68" i="2"/>
  <c r="L67" i="2"/>
  <c r="L64" i="2"/>
  <c r="L61" i="2"/>
  <c r="N68" i="2"/>
  <c r="N65" i="2"/>
  <c r="N62" i="2"/>
  <c r="M68" i="2"/>
  <c r="M65" i="2"/>
  <c r="M62" i="2"/>
  <c r="M59" i="2"/>
  <c r="L68" i="2"/>
  <c r="L65" i="2"/>
  <c r="L62" i="2"/>
  <c r="L59" i="2"/>
  <c r="K59" i="2"/>
  <c r="K68" i="2"/>
  <c r="S66" i="2"/>
  <c r="K65" i="2"/>
  <c r="K62" i="2"/>
  <c r="J68" i="2"/>
  <c r="R66" i="2"/>
  <c r="J65" i="2"/>
  <c r="J62" i="2"/>
  <c r="J59" i="2"/>
  <c r="I68" i="2"/>
  <c r="Q66" i="2"/>
  <c r="I65" i="2"/>
  <c r="I62" i="2"/>
  <c r="I59" i="2"/>
  <c r="I56" i="2"/>
  <c r="P66" i="2"/>
  <c r="P63" i="2"/>
  <c r="O66" i="2"/>
  <c r="O63" i="2"/>
  <c r="J64" i="2"/>
  <c r="N63" i="2"/>
  <c r="J58" i="2"/>
  <c r="J66" i="2"/>
  <c r="I64" i="2"/>
  <c r="K61" i="2"/>
  <c r="L66" i="2"/>
  <c r="K66" i="2"/>
  <c r="M63" i="2"/>
  <c r="W60" i="2"/>
  <c r="I58" i="2"/>
  <c r="N66" i="2"/>
  <c r="X63" i="2"/>
  <c r="J61" i="2"/>
  <c r="X60" i="2"/>
  <c r="L63" i="2"/>
  <c r="N60" i="2"/>
  <c r="M66" i="2"/>
  <c r="I61" i="2"/>
  <c r="K58" i="2"/>
  <c r="X57" i="2"/>
  <c r="S68" i="2"/>
  <c r="J63" i="2"/>
  <c r="L60" i="2"/>
  <c r="R68" i="2"/>
  <c r="W65" i="2"/>
  <c r="I63" i="2"/>
  <c r="K60" i="2"/>
  <c r="O68" i="2"/>
  <c r="Q65" i="2"/>
  <c r="S62" i="2"/>
  <c r="X59" i="2"/>
  <c r="J57" i="2"/>
  <c r="P65" i="2"/>
  <c r="R62" i="2"/>
  <c r="I57" i="2"/>
  <c r="U67" i="2"/>
  <c r="O65" i="2"/>
  <c r="S59" i="2"/>
  <c r="T67" i="2"/>
  <c r="P62" i="2"/>
  <c r="R59" i="2"/>
  <c r="Q67" i="2"/>
  <c r="U68" i="1"/>
  <c r="M67" i="1"/>
  <c r="M64" i="1"/>
  <c r="M61" i="1"/>
  <c r="T68" i="1"/>
  <c r="L67" i="1"/>
  <c r="L64" i="1"/>
  <c r="L61" i="1"/>
  <c r="S68" i="1"/>
  <c r="K67" i="1"/>
  <c r="K64" i="1"/>
  <c r="K61" i="1"/>
  <c r="K58" i="1"/>
  <c r="M68" i="1"/>
  <c r="M65" i="1"/>
  <c r="M62" i="1"/>
  <c r="L68" i="1"/>
  <c r="L65" i="1"/>
  <c r="L62" i="1"/>
  <c r="L59" i="1"/>
  <c r="K68" i="1"/>
  <c r="S66" i="1"/>
  <c r="K65" i="1"/>
  <c r="S63" i="1"/>
  <c r="K62" i="1"/>
  <c r="K59" i="1"/>
  <c r="J68" i="1"/>
  <c r="J59" i="1"/>
  <c r="R66" i="1"/>
  <c r="J65" i="1"/>
  <c r="J62" i="1"/>
  <c r="O63" i="1"/>
  <c r="I68" i="1"/>
  <c r="Q66" i="1"/>
  <c r="I65" i="1"/>
  <c r="I62" i="1"/>
  <c r="I59" i="1"/>
  <c r="I56" i="1"/>
  <c r="P66" i="1"/>
  <c r="P63" i="1"/>
  <c r="O66" i="1"/>
  <c r="N66" i="1"/>
  <c r="N63" i="1"/>
  <c r="M66" i="1"/>
  <c r="W63" i="1"/>
  <c r="I61" i="1"/>
  <c r="L66" i="1"/>
  <c r="J58" i="1"/>
  <c r="I66" i="1"/>
  <c r="V63" i="1"/>
  <c r="K63" i="1"/>
  <c r="V68" i="1"/>
  <c r="L60" i="1"/>
  <c r="V57" i="1"/>
  <c r="K66" i="1"/>
  <c r="M63" i="1"/>
  <c r="I58" i="1"/>
  <c r="W57" i="1"/>
  <c r="R68" i="1"/>
  <c r="I63" i="1"/>
  <c r="K60" i="1"/>
  <c r="M57" i="1"/>
  <c r="J66" i="1"/>
  <c r="L63" i="1"/>
  <c r="M60" i="1"/>
  <c r="J63" i="1"/>
  <c r="P68" i="1"/>
  <c r="R65" i="1"/>
  <c r="W62" i="1"/>
  <c r="I60" i="1"/>
  <c r="K57" i="1"/>
  <c r="Q65" i="1"/>
  <c r="V62" i="1"/>
  <c r="X59" i="1"/>
  <c r="J57" i="1"/>
  <c r="O68" i="1"/>
  <c r="T67" i="1"/>
  <c r="N65" i="1"/>
  <c r="P62" i="1"/>
  <c r="R59" i="1"/>
  <c r="W56" i="1"/>
  <c r="O59" i="1"/>
  <c r="Q56" i="1"/>
  <c r="H32" i="1"/>
  <c r="V55" i="1" s="1"/>
  <c r="S67" i="1"/>
  <c r="O62" i="1"/>
  <c r="Q59" i="1"/>
  <c r="R67" i="1"/>
  <c r="T64" i="1"/>
  <c r="N62" i="1"/>
  <c r="P59" i="1"/>
  <c r="R56" i="1"/>
  <c r="Q67" i="1"/>
  <c r="O56" i="2"/>
  <c r="N68" i="1"/>
  <c r="P68" i="2"/>
  <c r="P38" i="1"/>
  <c r="P61" i="1" s="1"/>
  <c r="X61" i="1"/>
  <c r="W61" i="1"/>
  <c r="V61" i="1"/>
  <c r="U61" i="1"/>
  <c r="H32" i="2"/>
  <c r="W55" i="2" s="1"/>
  <c r="O55" i="3"/>
  <c r="J46" i="3"/>
  <c r="J69" i="3" s="1"/>
  <c r="N55" i="3"/>
  <c r="M55" i="3"/>
  <c r="X46" i="3"/>
  <c r="X69" i="3" s="1"/>
  <c r="W46" i="3"/>
  <c r="W69" i="3" s="1"/>
  <c r="V46" i="3"/>
  <c r="V69" i="3" s="1"/>
  <c r="U46" i="3"/>
  <c r="U69" i="3" s="1"/>
  <c r="T46" i="3"/>
  <c r="T69" i="3" s="1"/>
  <c r="X55" i="3"/>
  <c r="S46" i="3"/>
  <c r="S69" i="3" s="1"/>
  <c r="W55" i="3"/>
  <c r="R55" i="3"/>
  <c r="V55" i="3"/>
  <c r="U55" i="3"/>
  <c r="S55" i="3"/>
  <c r="Q55" i="3"/>
  <c r="T55" i="3"/>
  <c r="L55" i="3"/>
  <c r="K55" i="3"/>
  <c r="Q46" i="3"/>
  <c r="Q69" i="3" s="1"/>
  <c r="V61" i="2"/>
  <c r="O37" i="5"/>
  <c r="O60" i="5" s="1"/>
  <c r="Q68" i="2"/>
  <c r="V44" i="3"/>
  <c r="V67" i="3" s="1"/>
  <c r="X67" i="3"/>
  <c r="P64" i="1"/>
  <c r="W45" i="3"/>
  <c r="W68" i="3" s="1"/>
  <c r="R64" i="1"/>
  <c r="W59" i="5"/>
  <c r="O61" i="2"/>
  <c r="Q60" i="5"/>
  <c r="X57" i="1"/>
  <c r="J60" i="1"/>
  <c r="W66" i="1"/>
  <c r="W59" i="2"/>
  <c r="X61" i="2"/>
  <c r="J60" i="2"/>
  <c r="I67" i="2"/>
  <c r="W60" i="3"/>
  <c r="V60" i="3"/>
  <c r="U60" i="3"/>
  <c r="T60" i="3"/>
  <c r="S60" i="3"/>
  <c r="R60" i="3"/>
  <c r="Q60" i="3"/>
  <c r="P60" i="3"/>
  <c r="O37" i="3"/>
  <c r="O60" i="3" s="1"/>
  <c r="X60" i="3"/>
  <c r="R60" i="5"/>
  <c r="X65" i="5"/>
  <c r="T42" i="5"/>
  <c r="T65" i="5" s="1"/>
  <c r="W65" i="5"/>
  <c r="U65" i="5"/>
  <c r="Q61" i="1"/>
  <c r="X46" i="2"/>
  <c r="U46" i="2"/>
  <c r="T46" i="2"/>
  <c r="S46" i="2"/>
  <c r="R46" i="2"/>
  <c r="O55" i="2"/>
  <c r="P46" i="2"/>
  <c r="N46" i="2"/>
  <c r="U67" i="1"/>
  <c r="U61" i="2"/>
  <c r="W45" i="5"/>
  <c r="Q68" i="1"/>
  <c r="P58" i="1"/>
  <c r="P64" i="2"/>
  <c r="O58" i="3"/>
  <c r="N58" i="3"/>
  <c r="X58" i="3"/>
  <c r="T58" i="3"/>
  <c r="P58" i="3"/>
  <c r="S58" i="3"/>
  <c r="R58" i="3"/>
  <c r="Q58" i="3"/>
  <c r="M35" i="3"/>
  <c r="M58" i="3" s="1"/>
  <c r="Q58" i="1"/>
  <c r="U10" i="2"/>
  <c r="Q64" i="2"/>
  <c r="W63" i="4"/>
  <c r="V63" i="4"/>
  <c r="U63" i="4"/>
  <c r="T63" i="4"/>
  <c r="S63" i="4"/>
  <c r="R58" i="1"/>
  <c r="V56" i="2"/>
  <c r="U56" i="2"/>
  <c r="T56" i="2"/>
  <c r="N56" i="2"/>
  <c r="M56" i="2"/>
  <c r="L56" i="2"/>
  <c r="K33" i="2"/>
  <c r="K56" i="2" s="1"/>
  <c r="X56" i="2"/>
  <c r="W56" i="2"/>
  <c r="T64" i="2"/>
  <c r="V59" i="1"/>
  <c r="V56" i="1"/>
  <c r="W59" i="1"/>
  <c r="V66" i="1"/>
  <c r="I60" i="2"/>
  <c r="W59" i="3"/>
  <c r="V59" i="3"/>
  <c r="N36" i="3"/>
  <c r="N59" i="3" s="1"/>
  <c r="U59" i="3"/>
  <c r="O59" i="3"/>
  <c r="T59" i="3"/>
  <c r="S59" i="3"/>
  <c r="R59" i="3"/>
  <c r="Q59" i="3"/>
  <c r="M35" i="1"/>
  <c r="M58" i="1" s="1"/>
  <c r="X58" i="1"/>
  <c r="W58" i="1"/>
  <c r="V58" i="1"/>
  <c r="N58" i="1"/>
  <c r="J61" i="1"/>
  <c r="M60" i="2"/>
  <c r="M35" i="4"/>
  <c r="M58" i="4" s="1"/>
  <c r="S60" i="5"/>
  <c r="R67" i="2"/>
  <c r="X67" i="5"/>
  <c r="V44" i="5"/>
  <c r="V67" i="5" s="1"/>
  <c r="S61" i="1"/>
  <c r="I32" i="2"/>
  <c r="O56" i="1"/>
  <c r="E22" i="2"/>
  <c r="G21" i="2"/>
  <c r="G42" i="2" s="1"/>
  <c r="Q56" i="2"/>
  <c r="O64" i="1"/>
  <c r="S58" i="2"/>
  <c r="T58" i="2"/>
  <c r="T58" i="1"/>
  <c r="V68" i="2"/>
  <c r="F34" i="1"/>
  <c r="F14" i="1"/>
  <c r="U60" i="1"/>
  <c r="T60" i="1"/>
  <c r="S60" i="1"/>
  <c r="R60" i="1"/>
  <c r="Q60" i="1"/>
  <c r="P60" i="1"/>
  <c r="X60" i="1"/>
  <c r="W60" i="1"/>
  <c r="V60" i="1"/>
  <c r="W68" i="1"/>
  <c r="V65" i="1"/>
  <c r="F35" i="2"/>
  <c r="F15" i="2"/>
  <c r="K46" i="2"/>
  <c r="Q59" i="2"/>
  <c r="S65" i="2"/>
  <c r="X61" i="3"/>
  <c r="P38" i="3"/>
  <c r="P61" i="3" s="1"/>
  <c r="W61" i="3"/>
  <c r="O46" i="3"/>
  <c r="O69" i="3" s="1"/>
  <c r="V58" i="3"/>
  <c r="V61" i="3"/>
  <c r="X67" i="4"/>
  <c r="V44" i="4"/>
  <c r="V67" i="4" s="1"/>
  <c r="W67" i="4"/>
  <c r="O37" i="1"/>
  <c r="O60" i="1" s="1"/>
  <c r="N58" i="2"/>
  <c r="X58" i="2"/>
  <c r="W58" i="2"/>
  <c r="Q58" i="2"/>
  <c r="P58" i="2"/>
  <c r="O58" i="2"/>
  <c r="M35" i="2"/>
  <c r="M58" i="2" s="1"/>
  <c r="L46" i="2"/>
  <c r="I66" i="2"/>
  <c r="W58" i="3"/>
  <c r="K57" i="5"/>
  <c r="X46" i="1"/>
  <c r="X69" i="1" s="1"/>
  <c r="X66" i="1"/>
  <c r="J67" i="2"/>
  <c r="N61" i="1"/>
  <c r="I67" i="1"/>
  <c r="P61" i="2"/>
  <c r="K67" i="2"/>
  <c r="J55" i="3"/>
  <c r="U43" i="5"/>
  <c r="T60" i="5"/>
  <c r="J56" i="2"/>
  <c r="X59" i="4"/>
  <c r="U59" i="4"/>
  <c r="W59" i="4"/>
  <c r="V59" i="4"/>
  <c r="N36" i="4"/>
  <c r="N59" i="4" s="1"/>
  <c r="P59" i="4"/>
  <c r="O59" i="4"/>
  <c r="Q63" i="2"/>
  <c r="W57" i="3"/>
  <c r="V57" i="3"/>
  <c r="U57" i="3"/>
  <c r="L34" i="3"/>
  <c r="L57" i="3" s="1"/>
  <c r="T57" i="3"/>
  <c r="S57" i="3"/>
  <c r="R57" i="3"/>
  <c r="Q57" i="3"/>
  <c r="P57" i="3"/>
  <c r="X65" i="4"/>
  <c r="W65" i="4"/>
  <c r="V65" i="4"/>
  <c r="U65" i="4"/>
  <c r="P60" i="4"/>
  <c r="U62" i="1"/>
  <c r="T62" i="1"/>
  <c r="S62" i="1"/>
  <c r="U64" i="1"/>
  <c r="V44" i="2"/>
  <c r="V67" i="2" s="1"/>
  <c r="X67" i="2"/>
  <c r="W67" i="2"/>
  <c r="V63" i="2"/>
  <c r="U63" i="2"/>
  <c r="T63" i="2"/>
  <c r="S63" i="2"/>
  <c r="F14" i="3"/>
  <c r="T42" i="4"/>
  <c r="T65" i="4" s="1"/>
  <c r="R55" i="4"/>
  <c r="G21" i="5"/>
  <c r="G42" i="5" s="1"/>
  <c r="P62" i="5"/>
  <c r="V57" i="2"/>
  <c r="U57" i="2"/>
  <c r="T57" i="2"/>
  <c r="L34" i="2"/>
  <c r="L57" i="2" s="1"/>
  <c r="S57" i="2"/>
  <c r="R57" i="2"/>
  <c r="Q57" i="2"/>
  <c r="P57" i="2"/>
  <c r="O57" i="2"/>
  <c r="R63" i="2"/>
  <c r="M57" i="2"/>
  <c r="X57" i="3"/>
  <c r="X66" i="4"/>
  <c r="W66" i="4"/>
  <c r="V66" i="4"/>
  <c r="U43" i="4"/>
  <c r="U66" i="4" s="1"/>
  <c r="U10" i="5"/>
  <c r="F34" i="5"/>
  <c r="W63" i="5"/>
  <c r="X60" i="4"/>
  <c r="W60" i="4"/>
  <c r="V60" i="4"/>
  <c r="U60" i="4"/>
  <c r="T60" i="4"/>
  <c r="S60" i="4"/>
  <c r="R60" i="4"/>
  <c r="Q60" i="4"/>
  <c r="Q63" i="1"/>
  <c r="U66" i="1"/>
  <c r="R63" i="1"/>
  <c r="V59" i="2"/>
  <c r="N36" i="2"/>
  <c r="N59" i="2" s="1"/>
  <c r="U59" i="2"/>
  <c r="T59" i="2"/>
  <c r="N57" i="2"/>
  <c r="X65" i="2"/>
  <c r="W65" i="3"/>
  <c r="V65" i="3"/>
  <c r="U65" i="3"/>
  <c r="Q61" i="4"/>
  <c r="G23" i="5"/>
  <c r="G44" i="5" s="1"/>
  <c r="U61" i="4"/>
  <c r="S64" i="5"/>
  <c r="W63" i="2"/>
  <c r="I32" i="4"/>
  <c r="V61" i="4"/>
  <c r="X57" i="5"/>
  <c r="R64" i="5"/>
  <c r="G21" i="4"/>
  <c r="G42" i="4" s="1"/>
  <c r="U57" i="1"/>
  <c r="T57" i="1"/>
  <c r="S57" i="1"/>
  <c r="R57" i="1"/>
  <c r="Q57" i="1"/>
  <c r="P57" i="1"/>
  <c r="O57" i="1"/>
  <c r="N57" i="1"/>
  <c r="S41" i="3"/>
  <c r="S64" i="3" s="1"/>
  <c r="X64" i="3"/>
  <c r="W61" i="4"/>
  <c r="X58" i="5"/>
  <c r="M35" i="5"/>
  <c r="M58" i="5" s="1"/>
  <c r="V58" i="5"/>
  <c r="P58" i="5"/>
  <c r="U58" i="5"/>
  <c r="T58" i="5"/>
  <c r="S58" i="5"/>
  <c r="R58" i="5"/>
  <c r="Q58" i="5"/>
  <c r="X64" i="1"/>
  <c r="W64" i="1"/>
  <c r="V64" i="1"/>
  <c r="V65" i="2"/>
  <c r="U65" i="2"/>
  <c r="U56" i="1"/>
  <c r="T56" i="1"/>
  <c r="S56" i="1"/>
  <c r="M56" i="1"/>
  <c r="L56" i="1"/>
  <c r="K33" i="1"/>
  <c r="K56" i="1" s="1"/>
  <c r="L58" i="1"/>
  <c r="M59" i="1"/>
  <c r="V60" i="2"/>
  <c r="U60" i="2"/>
  <c r="T60" i="2"/>
  <c r="S60" i="2"/>
  <c r="R60" i="2"/>
  <c r="Q60" i="2"/>
  <c r="P60" i="2"/>
  <c r="T66" i="2"/>
  <c r="E23" i="4"/>
  <c r="Q59" i="4"/>
  <c r="X61" i="4"/>
  <c r="M59" i="5"/>
  <c r="K46" i="4"/>
  <c r="J46" i="4"/>
  <c r="X46" i="4"/>
  <c r="V46" i="4"/>
  <c r="T46" i="4"/>
  <c r="W45" i="4"/>
  <c r="W68" i="4" s="1"/>
  <c r="S65" i="1"/>
  <c r="U59" i="1"/>
  <c r="T59" i="1"/>
  <c r="S59" i="1"/>
  <c r="O37" i="2"/>
  <c r="O60" i="2" s="1"/>
  <c r="U10" i="4"/>
  <c r="O46" i="4"/>
  <c r="R59" i="4"/>
  <c r="W61" i="2"/>
  <c r="L34" i="5"/>
  <c r="L57" i="5" s="1"/>
  <c r="K62" i="3"/>
  <c r="K65" i="3"/>
  <c r="S66" i="3"/>
  <c r="K68" i="3"/>
  <c r="Q39" i="3"/>
  <c r="Q62" i="3" s="1"/>
  <c r="T63" i="1"/>
  <c r="Q39" i="2"/>
  <c r="Q62" i="2" s="1"/>
  <c r="O57" i="5"/>
  <c r="W64" i="5"/>
  <c r="U63" i="1"/>
  <c r="O62" i="3"/>
  <c r="O65" i="3"/>
  <c r="O68" i="3"/>
  <c r="X63" i="4"/>
  <c r="P65" i="4"/>
  <c r="P68" i="4"/>
  <c r="P57" i="5"/>
  <c r="X64" i="5"/>
  <c r="T62" i="2"/>
  <c r="M61" i="3"/>
  <c r="U62" i="3"/>
  <c r="M64" i="3"/>
  <c r="M67" i="3"/>
  <c r="U68" i="3"/>
  <c r="N61" i="4"/>
  <c r="V62" i="4"/>
  <c r="N64" i="4"/>
  <c r="N67" i="4"/>
  <c r="H32" i="5" a="1"/>
  <c r="U61" i="5" s="1"/>
  <c r="V57" i="5"/>
  <c r="V63" i="5"/>
  <c r="U62" i="2"/>
  <c r="N61" i="3"/>
  <c r="V62" i="3"/>
  <c r="N64" i="3"/>
  <c r="N67" i="3"/>
  <c r="O64" i="4"/>
  <c r="O67" i="4"/>
  <c r="W57" i="5"/>
  <c r="U57" i="5"/>
  <c r="O64" i="3"/>
  <c r="H32" i="4"/>
  <c r="P55" i="4" s="1"/>
  <c r="X62" i="4"/>
  <c r="P64" i="4"/>
  <c r="X69" i="5" l="1"/>
  <c r="I46" i="5"/>
  <c r="I69" i="5" s="1"/>
  <c r="W69" i="5"/>
  <c r="V69" i="5"/>
  <c r="U69" i="5"/>
  <c r="P69" i="5"/>
  <c r="O69" i="5"/>
  <c r="N69" i="5"/>
  <c r="M69" i="5"/>
  <c r="L69" i="5"/>
  <c r="K69" i="5"/>
  <c r="J69" i="5"/>
  <c r="T69" i="5"/>
  <c r="S69" i="5"/>
  <c r="R69" i="5"/>
  <c r="Q69" i="5"/>
  <c r="L46" i="3"/>
  <c r="L69" i="3" s="1"/>
  <c r="K69" i="4"/>
  <c r="J69" i="2"/>
  <c r="M55" i="1"/>
  <c r="M46" i="2"/>
  <c r="M69" i="2" s="1"/>
  <c r="N69" i="2"/>
  <c r="V55" i="2"/>
  <c r="O46" i="2"/>
  <c r="O69" i="2" s="1"/>
  <c r="V65" i="5"/>
  <c r="I55" i="1"/>
  <c r="I46" i="1"/>
  <c r="I69" i="1" s="1"/>
  <c r="E23" i="2"/>
  <c r="G22" i="2"/>
  <c r="G43" i="2" s="1"/>
  <c r="P55" i="2"/>
  <c r="E24" i="4"/>
  <c r="G24" i="4" s="1"/>
  <c r="G45" i="4" s="1"/>
  <c r="G23" i="4"/>
  <c r="G44" i="4" s="1"/>
  <c r="F35" i="3"/>
  <c r="F15" i="3"/>
  <c r="F16" i="2"/>
  <c r="F36" i="2"/>
  <c r="V10" i="4"/>
  <c r="V31" i="4" s="1"/>
  <c r="U31" i="4"/>
  <c r="R55" i="2"/>
  <c r="N55" i="1"/>
  <c r="S61" i="5"/>
  <c r="J55" i="2"/>
  <c r="O69" i="4"/>
  <c r="I46" i="2"/>
  <c r="I69" i="2" s="1"/>
  <c r="I55" i="2"/>
  <c r="J55" i="1"/>
  <c r="O55" i="1"/>
  <c r="K46" i="3"/>
  <c r="K69" i="3" s="1"/>
  <c r="T61" i="5"/>
  <c r="G22" i="1"/>
  <c r="G43" i="1" s="1"/>
  <c r="E23" i="1"/>
  <c r="H46" i="4"/>
  <c r="V69" i="4" s="1"/>
  <c r="W55" i="4"/>
  <c r="U55" i="4"/>
  <c r="V55" i="4"/>
  <c r="S55" i="4"/>
  <c r="Q55" i="4"/>
  <c r="L55" i="4"/>
  <c r="X55" i="4"/>
  <c r="T55" i="4"/>
  <c r="K55" i="4"/>
  <c r="J55" i="4"/>
  <c r="I46" i="4"/>
  <c r="I69" i="4" s="1"/>
  <c r="I55" i="4"/>
  <c r="V10" i="2"/>
  <c r="V31" i="2" s="1"/>
  <c r="U31" i="2"/>
  <c r="Q55" i="2"/>
  <c r="K55" i="2"/>
  <c r="W58" i="5"/>
  <c r="U31" i="5"/>
  <c r="V10" i="5"/>
  <c r="V31" i="5" s="1"/>
  <c r="W67" i="5"/>
  <c r="S55" i="2"/>
  <c r="P55" i="1"/>
  <c r="N46" i="4"/>
  <c r="N69" i="4" s="1"/>
  <c r="H46" i="2"/>
  <c r="L69" i="2" s="1"/>
  <c r="T55" i="2"/>
  <c r="U55" i="2"/>
  <c r="R55" i="1"/>
  <c r="Q55" i="1"/>
  <c r="U55" i="1"/>
  <c r="S55" i="1"/>
  <c r="T55" i="1"/>
  <c r="Q55" i="5"/>
  <c r="I32" i="5"/>
  <c r="R46" i="3"/>
  <c r="R69" i="3" s="1"/>
  <c r="W55" i="1"/>
  <c r="X55" i="2"/>
  <c r="X55" i="1"/>
  <c r="V46" i="2"/>
  <c r="P68" i="5"/>
  <c r="P65" i="5"/>
  <c r="X63" i="5"/>
  <c r="M65" i="5"/>
  <c r="M62" i="5"/>
  <c r="O68" i="5"/>
  <c r="O65" i="5"/>
  <c r="O62" i="5"/>
  <c r="H32" i="5"/>
  <c r="N55" i="5" s="1"/>
  <c r="M68" i="5"/>
  <c r="N68" i="5"/>
  <c r="N65" i="5"/>
  <c r="N62" i="5"/>
  <c r="U63" i="5"/>
  <c r="P66" i="5"/>
  <c r="P63" i="5"/>
  <c r="O66" i="5"/>
  <c r="O63" i="5"/>
  <c r="N63" i="5"/>
  <c r="N60" i="5"/>
  <c r="X62" i="5"/>
  <c r="N66" i="5"/>
  <c r="P67" i="5"/>
  <c r="U67" i="5"/>
  <c r="M66" i="5"/>
  <c r="U64" i="5"/>
  <c r="M63" i="5"/>
  <c r="M60" i="5"/>
  <c r="T67" i="5"/>
  <c r="L66" i="5"/>
  <c r="L63" i="5"/>
  <c r="L60" i="5"/>
  <c r="S67" i="5"/>
  <c r="K66" i="5"/>
  <c r="K63" i="5"/>
  <c r="K60" i="5"/>
  <c r="R67" i="5"/>
  <c r="J66" i="5"/>
  <c r="J63" i="5"/>
  <c r="J60" i="5"/>
  <c r="J57" i="5"/>
  <c r="Q67" i="5"/>
  <c r="I66" i="5"/>
  <c r="Q64" i="5"/>
  <c r="I63" i="5"/>
  <c r="I60" i="5"/>
  <c r="I57" i="5"/>
  <c r="P64" i="5"/>
  <c r="R66" i="5"/>
  <c r="W62" i="5"/>
  <c r="S62" i="5"/>
  <c r="K59" i="5"/>
  <c r="Q66" i="5"/>
  <c r="V62" i="5"/>
  <c r="R62" i="5"/>
  <c r="U68" i="5"/>
  <c r="U62" i="5"/>
  <c r="Q62" i="5"/>
  <c r="I56" i="5"/>
  <c r="T62" i="5"/>
  <c r="L59" i="5"/>
  <c r="S65" i="5"/>
  <c r="S68" i="5"/>
  <c r="Q65" i="5"/>
  <c r="K62" i="5"/>
  <c r="I59" i="5"/>
  <c r="Q68" i="5"/>
  <c r="I62" i="5"/>
  <c r="N58" i="5"/>
  <c r="R68" i="5"/>
  <c r="L65" i="5"/>
  <c r="J62" i="5"/>
  <c r="O58" i="5"/>
  <c r="K65" i="5"/>
  <c r="K68" i="5"/>
  <c r="I65" i="5"/>
  <c r="N61" i="5"/>
  <c r="L58" i="5"/>
  <c r="J68" i="5"/>
  <c r="O64" i="5"/>
  <c r="M61" i="5"/>
  <c r="K58" i="5"/>
  <c r="I68" i="5"/>
  <c r="N64" i="5"/>
  <c r="L61" i="5"/>
  <c r="J58" i="5"/>
  <c r="O67" i="5"/>
  <c r="M64" i="5"/>
  <c r="K61" i="5"/>
  <c r="I58" i="5"/>
  <c r="T68" i="5"/>
  <c r="M67" i="5"/>
  <c r="S57" i="5"/>
  <c r="Q57" i="5"/>
  <c r="R63" i="5"/>
  <c r="L68" i="5"/>
  <c r="L67" i="5"/>
  <c r="R57" i="5"/>
  <c r="I61" i="5"/>
  <c r="N67" i="5"/>
  <c r="R65" i="5"/>
  <c r="L62" i="5"/>
  <c r="K67" i="5"/>
  <c r="J67" i="5"/>
  <c r="J59" i="5"/>
  <c r="I67" i="5"/>
  <c r="J65" i="5"/>
  <c r="T66" i="5"/>
  <c r="T57" i="5"/>
  <c r="S66" i="5"/>
  <c r="Q63" i="5"/>
  <c r="L64" i="5"/>
  <c r="W56" i="5"/>
  <c r="T56" i="5"/>
  <c r="T63" i="5"/>
  <c r="J61" i="5"/>
  <c r="K64" i="5"/>
  <c r="V56" i="5"/>
  <c r="J64" i="5"/>
  <c r="U56" i="5"/>
  <c r="I64" i="5"/>
  <c r="S63" i="5"/>
  <c r="O61" i="5"/>
  <c r="V64" i="5"/>
  <c r="M46" i="4"/>
  <c r="M69" i="4" s="1"/>
  <c r="T69" i="4"/>
  <c r="U46" i="4"/>
  <c r="U69" i="4" s="1"/>
  <c r="T46" i="1"/>
  <c r="T69" i="1" s="1"/>
  <c r="X69" i="4"/>
  <c r="I46" i="3"/>
  <c r="I69" i="3" s="1"/>
  <c r="I55" i="3"/>
  <c r="N55" i="4"/>
  <c r="L55" i="2"/>
  <c r="N56" i="5"/>
  <c r="N59" i="5"/>
  <c r="J69" i="4"/>
  <c r="W66" i="5"/>
  <c r="W68" i="5"/>
  <c r="M55" i="2"/>
  <c r="W60" i="5"/>
  <c r="O56" i="5"/>
  <c r="O59" i="5"/>
  <c r="X68" i="5"/>
  <c r="M57" i="5"/>
  <c r="O55" i="4"/>
  <c r="X66" i="5"/>
  <c r="P46" i="3"/>
  <c r="P69" i="3" s="1"/>
  <c r="N55" i="2"/>
  <c r="U60" i="5"/>
  <c r="P56" i="5"/>
  <c r="K55" i="1"/>
  <c r="P59" i="5"/>
  <c r="F36" i="5"/>
  <c r="F16" i="5"/>
  <c r="N46" i="3"/>
  <c r="N69" i="3" s="1"/>
  <c r="F35" i="4"/>
  <c r="F15" i="4"/>
  <c r="W46" i="4"/>
  <c r="W69" i="4" s="1"/>
  <c r="W46" i="2"/>
  <c r="W69" i="2" s="1"/>
  <c r="U66" i="5"/>
  <c r="P60" i="5"/>
  <c r="M56" i="5"/>
  <c r="X59" i="5"/>
  <c r="N57" i="5"/>
  <c r="V66" i="5"/>
  <c r="F15" i="1"/>
  <c r="F35" i="1"/>
  <c r="V60" i="5"/>
  <c r="V46" i="1"/>
  <c r="V69" i="1" s="1"/>
  <c r="X57" i="4"/>
  <c r="W57" i="4"/>
  <c r="V57" i="4"/>
  <c r="U57" i="4"/>
  <c r="T57" i="4"/>
  <c r="L34" i="4"/>
  <c r="S57" i="4"/>
  <c r="R57" i="4"/>
  <c r="Q57" i="4"/>
  <c r="N57" i="4"/>
  <c r="M57" i="4"/>
  <c r="P57" i="4"/>
  <c r="P46" i="4"/>
  <c r="P69" i="4" s="1"/>
  <c r="O57" i="4"/>
  <c r="Q46" i="4"/>
  <c r="S46" i="4"/>
  <c r="R46" i="4"/>
  <c r="T64" i="5"/>
  <c r="M55" i="4"/>
  <c r="V68" i="5"/>
  <c r="M46" i="1"/>
  <c r="M69" i="1" s="1"/>
  <c r="X60" i="5"/>
  <c r="L55" i="1"/>
  <c r="Q46" i="2"/>
  <c r="Q69" i="2" s="1"/>
  <c r="F36" i="1" l="1"/>
  <c r="F16" i="1"/>
  <c r="U69" i="2"/>
  <c r="F17" i="2"/>
  <c r="F37" i="2"/>
  <c r="P55" i="5"/>
  <c r="V55" i="5"/>
  <c r="W55" i="5"/>
  <c r="V69" i="2"/>
  <c r="T69" i="2"/>
  <c r="F36" i="3"/>
  <c r="F16" i="3"/>
  <c r="T55" i="5"/>
  <c r="R69" i="4"/>
  <c r="S69" i="4"/>
  <c r="R69" i="2"/>
  <c r="K69" i="2"/>
  <c r="L57" i="4"/>
  <c r="L46" i="4"/>
  <c r="L69" i="4" s="1"/>
  <c r="U55" i="5"/>
  <c r="X55" i="5"/>
  <c r="S69" i="2"/>
  <c r="Q69" i="4"/>
  <c r="X69" i="2"/>
  <c r="J55" i="5"/>
  <c r="P69" i="2"/>
  <c r="R55" i="5"/>
  <c r="F16" i="4"/>
  <c r="F36" i="4"/>
  <c r="I55" i="5"/>
  <c r="M55" i="5"/>
  <c r="L55" i="5"/>
  <c r="S55" i="5"/>
  <c r="O55" i="5"/>
  <c r="K55" i="5"/>
  <c r="E24" i="1"/>
  <c r="G24" i="1" s="1"/>
  <c r="G45" i="1" s="1"/>
  <c r="G23" i="1"/>
  <c r="G44" i="1" s="1"/>
  <c r="E24" i="2"/>
  <c r="G24" i="2" s="1"/>
  <c r="G45" i="2" s="1"/>
  <c r="G23" i="2"/>
  <c r="G44" i="2" s="1"/>
  <c r="F37" i="5"/>
  <c r="F17" i="5"/>
  <c r="F18" i="5" l="1"/>
  <c r="F38" i="5"/>
  <c r="F37" i="4"/>
  <c r="F17" i="4"/>
  <c r="F18" i="2"/>
  <c r="F38" i="2"/>
  <c r="F37" i="3"/>
  <c r="F17" i="3"/>
  <c r="F17" i="1"/>
  <c r="F37" i="1"/>
  <c r="F18" i="1" l="1"/>
  <c r="F38" i="1"/>
  <c r="F18" i="3"/>
  <c r="F38" i="3"/>
  <c r="F19" i="2"/>
  <c r="F39" i="2"/>
  <c r="F18" i="4"/>
  <c r="F38" i="4"/>
  <c r="F39" i="5"/>
  <c r="F19" i="5"/>
  <c r="F40" i="2" l="1"/>
  <c r="F20" i="2"/>
  <c r="F19" i="4"/>
  <c r="F39" i="4"/>
  <c r="F19" i="3"/>
  <c r="F39" i="3"/>
  <c r="F39" i="1"/>
  <c r="F19" i="1"/>
  <c r="F20" i="5"/>
  <c r="F40" i="5"/>
  <c r="F20" i="4" l="1"/>
  <c r="F40" i="4"/>
  <c r="F21" i="5"/>
  <c r="F41" i="5"/>
  <c r="F41" i="2"/>
  <c r="F21" i="2"/>
  <c r="F20" i="1"/>
  <c r="F40" i="1"/>
  <c r="F20" i="3"/>
  <c r="F40" i="3"/>
  <c r="F41" i="1" l="1"/>
  <c r="F21" i="1"/>
  <c r="F42" i="2"/>
  <c r="F22" i="2"/>
  <c r="F21" i="3"/>
  <c r="F41" i="3"/>
  <c r="F42" i="5"/>
  <c r="F22" i="5"/>
  <c r="F21" i="4"/>
  <c r="F41" i="4"/>
  <c r="F22" i="3" l="1"/>
  <c r="F42" i="3"/>
  <c r="F42" i="4"/>
  <c r="F22" i="4"/>
  <c r="F42" i="1"/>
  <c r="F22" i="1"/>
  <c r="F43" i="5"/>
  <c r="F23" i="5"/>
  <c r="F43" i="2"/>
  <c r="F23" i="2"/>
  <c r="F44" i="5" l="1"/>
  <c r="F24" i="5"/>
  <c r="F45" i="5" s="1"/>
  <c r="F43" i="1"/>
  <c r="F23" i="1"/>
  <c r="F44" i="2"/>
  <c r="F24" i="2"/>
  <c r="F45" i="2" s="1"/>
  <c r="F23" i="4"/>
  <c r="F43" i="4"/>
  <c r="F43" i="3"/>
  <c r="F23" i="3"/>
  <c r="F44" i="3" l="1"/>
  <c r="F24" i="3"/>
  <c r="F45" i="3" s="1"/>
  <c r="F44" i="4"/>
  <c r="F24" i="4"/>
  <c r="F45" i="4" s="1"/>
  <c r="F44" i="1"/>
  <c r="F24" i="1"/>
  <c r="F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<sst xmlns="http://schemas.openxmlformats.org/spreadsheetml/2006/main" count="131" uniqueCount="13">
  <si>
    <t>Total</t>
  </si>
  <si>
    <t>Sales</t>
  </si>
  <si>
    <t>Collection</t>
  </si>
  <si>
    <t>Sr No.</t>
  </si>
  <si>
    <t>Year</t>
  </si>
  <si>
    <t>Purchase price</t>
  </si>
  <si>
    <t>Before 2022</t>
  </si>
  <si>
    <t>beyond 2035</t>
  </si>
  <si>
    <t>Before 2021 and 2021</t>
  </si>
  <si>
    <t>Year On Year Active Total</t>
  </si>
  <si>
    <t>Sobha Year On Year Active Total</t>
  </si>
  <si>
    <t>Siniya Year On Year Active Total</t>
  </si>
  <si>
    <t>DT Year On Year Active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</si>
</sst>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right" indent="1"/>
    </xf>
    <xf numFmtId="49" fontId="4" fillId="0" borderId="1" xfId="0" applyNumberFormat="1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indent="1"/>
    </xf>
    <xf numFmtId="164" fontId="4" fillId="0" borderId="1" xfId="1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indent="1"/>
    </xf>
    <xf numFmtId="0" fontId="3" fillId="4" borderId="7" xfId="0" applyFont="1" applyFill="1" applyBorder="1" applyAlignment="1">
      <alignment horizontal="left" vertical="center" indent="1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left" vertical="center"/>
    </xf>
    <xf numFmtId="164" fontId="3" fillId="4" borderId="19" xfId="0" applyNumberFormat="1" applyFont="1" applyFill="1" applyBorder="1" applyAlignment="1">
      <alignment horizontal="left" vertical="center" indent="1"/>
    </xf>
    <xf numFmtId="164" fontId="4" fillId="0" borderId="1" xfId="1" applyNumberFormat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9" fontId="4" fillId="0" borderId="20" xfId="2" applyFont="1" applyBorder="1" applyAlignment="1">
      <alignment horizontal="center" vertical="center"/>
    </xf>
    <xf numFmtId="9" fontId="3" fillId="4" borderId="19" xfId="2" applyFont="1" applyFill="1" applyBorder="1" applyAlignment="1">
      <alignment horizontal="center" vertical="center"/>
    </xf>
    <xf numFmtId="9" fontId="3" fillId="4" borderId="22" xfId="2" applyFont="1" applyFill="1" applyBorder="1" applyAlignment="1">
      <alignment horizontal="center" vertical="center"/>
    </xf>
    <xf numFmtId="164" fontId="2" fillId="0" borderId="0" xfId="0" applyNumberFormat="1" applyFont="1"/>
    <xf numFmtId="49" fontId="6" fillId="0" borderId="1" xfId="0" applyNumberFormat="1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top" indent="1"/>
    </xf>
    <xf numFmtId="0" fontId="3" fillId="4" borderId="21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B6A-688B-4D58-8E79-019B3E198CCB}">
  <sheetPr>
    <tabColor rgb="FF00B050"/>
    <pageSetUpPr fitToPage="1"/>
  </sheetPr>
  <dimension ref="E1:X70"/>
  <sheetViews>
    <sheetView tabSelected="1" view="pageBreakPreview" topLeftCell="H28" zoomScale="85" zoomScaleNormal="85" zoomScaleSheetLayoutView="85" workbookViewId="0">
      <selection activeCell="M46" sqref="M46"/>
    </sheetView>
  </sheetViews>
  <sheetFormatPr defaultColWidth="9.1796875" defaultRowHeight="14.5" x14ac:dyDescent="0.35"/>
  <cols>
    <col min="1" max="4" width="0" hidden="1" customWidth="1"/>
    <col min="6" max="6" width="8.26953125" bestFit="1" customWidth="1"/>
    <col min="7" max="7" width="23.453125" bestFit="1" customWidth="1"/>
    <col min="8" max="8" width="22.7265625" bestFit="1" customWidth="1"/>
    <col min="9" max="11" width="18.7265625" bestFit="1" customWidth="1"/>
    <col min="12" max="15" width="20.1796875" bestFit="1" customWidth="1"/>
    <col min="16" max="17" width="18.7265625" bestFit="1" customWidth="1"/>
    <col min="18" max="19" width="20.1796875" bestFit="1" customWidth="1"/>
    <col min="20" max="22" width="18.7265625" bestFit="1" customWidth="1"/>
    <col min="23" max="23" width="14.1796875" bestFit="1" customWidth="1"/>
    <col min="24" max="24" width="21.453125" bestFit="1" customWidth="1"/>
  </cols>
  <sheetData>
    <row r="1" spans="5:24" hidden="1" x14ac:dyDescent="0.3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5:24" hidden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5:24" hidden="1" x14ac:dyDescent="0.3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5:24" hidden="1" x14ac:dyDescent="0.3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5:24" hidden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5:24" hidden="1" x14ac:dyDescent="0.3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5:24" hidden="1" x14ac:dyDescent="0.3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5:24" hidden="1" x14ac:dyDescent="0.35">
      <c r="E8" s="1"/>
      <c r="F8" s="50" t="s">
        <v>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5:24" hidden="1" x14ac:dyDescent="0.35">
      <c r="E9" s="1"/>
      <c r="F9" s="51" t="s">
        <v>1</v>
      </c>
      <c r="G9" s="52"/>
      <c r="H9" s="53"/>
      <c r="I9" s="2"/>
      <c r="J9" s="54" t="s">
        <v>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5:24" hidden="1" x14ac:dyDescent="0.35">
      <c r="E10" s="1"/>
      <c r="F10" s="3" t="s">
        <v>3</v>
      </c>
      <c r="G10" s="4" t="s">
        <v>4</v>
      </c>
      <c r="H10" s="5" t="s">
        <v>5</v>
      </c>
      <c r="I10" s="5" t="s">
        <v>6</v>
      </c>
      <c r="J10" s="6">
        <v>2022</v>
      </c>
      <c r="K10" s="7">
        <v>2023</v>
      </c>
      <c r="L10" s="7">
        <v>2024</v>
      </c>
      <c r="M10" s="7">
        <v>2025</v>
      </c>
      <c r="N10" s="7">
        <v>2026</v>
      </c>
      <c r="O10" s="7">
        <v>2027</v>
      </c>
      <c r="P10" s="7">
        <v>2028</v>
      </c>
      <c r="Q10" s="8">
        <v>2029</v>
      </c>
      <c r="R10" s="8">
        <v>2030</v>
      </c>
      <c r="S10" s="8">
        <v>2031</v>
      </c>
      <c r="T10" s="8">
        <f>+S10+1</f>
        <v>2032</v>
      </c>
      <c r="U10" s="8">
        <f>+T10+1</f>
        <v>2033</v>
      </c>
      <c r="V10" s="8">
        <f>+U10+1</f>
        <v>2034</v>
      </c>
      <c r="W10" s="9" t="s">
        <v>7</v>
      </c>
      <c r="X10" s="9" t="s">
        <v>0</v>
      </c>
    </row>
    <row r="11" spans="5:24" hidden="1" x14ac:dyDescent="0.35">
      <c r="E11" s="10">
        <v>2021</v>
      </c>
      <c r="F11" s="11">
        <v>1</v>
      </c>
      <c r="G11" s="12" t="s">
        <v>8</v>
      </c>
      <c r="H11" s="13">
        <v>11347967085.580086</v>
      </c>
      <c r="I11" s="13">
        <v>5725161116.3299742</v>
      </c>
      <c r="J11" s="13">
        <v>2131069069.400002</v>
      </c>
      <c r="K11" s="13">
        <v>1803079573.5499966</v>
      </c>
      <c r="L11" s="13">
        <v>943765682.24999726</v>
      </c>
      <c r="M11" s="13">
        <v>679656806.11999977</v>
      </c>
      <c r="N11" s="13">
        <v>65003335.879999988</v>
      </c>
      <c r="O11" s="13">
        <v>147966.65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83535.399999999994</v>
      </c>
      <c r="X11" s="13">
        <f>SUM(I11:W11)</f>
        <v>11347967085.579969</v>
      </c>
    </row>
    <row r="12" spans="5:24" hidden="1" x14ac:dyDescent="0.35">
      <c r="E12" s="10">
        <v>2022</v>
      </c>
      <c r="F12" s="11">
        <f>+F11+1</f>
        <v>2</v>
      </c>
      <c r="G12" s="14">
        <v>2022</v>
      </c>
      <c r="H12" s="13">
        <v>15273871949.64031</v>
      </c>
      <c r="I12" s="13">
        <v>857706.56</v>
      </c>
      <c r="J12" s="13">
        <v>3667250810.4600062</v>
      </c>
      <c r="K12" s="13">
        <v>2701368558.7299862</v>
      </c>
      <c r="L12" s="13">
        <v>2030441779.2299995</v>
      </c>
      <c r="M12" s="13">
        <v>2339372062.4300089</v>
      </c>
      <c r="N12" s="13">
        <v>3476289786.1400404</v>
      </c>
      <c r="O12" s="13">
        <v>890445538.93000507</v>
      </c>
      <c r="P12" s="13">
        <v>167845707.15999976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f t="shared" ref="X12:X24" si="0">SUM(I12:W12)</f>
        <v>15273871949.640045</v>
      </c>
    </row>
    <row r="13" spans="5:24" hidden="1" x14ac:dyDescent="0.35">
      <c r="E13" s="10">
        <v>2023</v>
      </c>
      <c r="F13" s="11">
        <f t="shared" ref="F13:F24" si="1">+F12+1</f>
        <v>3</v>
      </c>
      <c r="G13" s="14">
        <v>2023</v>
      </c>
      <c r="H13" s="13">
        <v>21759628392.11998</v>
      </c>
      <c r="I13" s="13">
        <v>1050000</v>
      </c>
      <c r="J13" s="13">
        <v>0</v>
      </c>
      <c r="K13" s="13">
        <v>5070286159.2499676</v>
      </c>
      <c r="L13" s="13">
        <v>4214048130.6200109</v>
      </c>
      <c r="M13" s="13">
        <v>4979623600.750001</v>
      </c>
      <c r="N13" s="13">
        <v>5844775648.1100416</v>
      </c>
      <c r="O13" s="13">
        <v>1637216126.9700046</v>
      </c>
      <c r="P13" s="13">
        <v>12628726.420000002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f t="shared" si="0"/>
        <v>21759628392.120026</v>
      </c>
    </row>
    <row r="14" spans="5:24" hidden="1" x14ac:dyDescent="0.35">
      <c r="E14" s="10">
        <v>2024</v>
      </c>
      <c r="F14" s="11">
        <f t="shared" si="1"/>
        <v>4</v>
      </c>
      <c r="G14" s="14">
        <v>2024</v>
      </c>
      <c r="H14" s="13">
        <v>27282377048.110008</v>
      </c>
      <c r="I14" s="13">
        <v>4005728</v>
      </c>
      <c r="J14" s="13">
        <v>0</v>
      </c>
      <c r="K14" s="13">
        <v>0</v>
      </c>
      <c r="L14" s="13">
        <v>6098429662.6099691</v>
      </c>
      <c r="M14" s="13">
        <v>5289581742.0000172</v>
      </c>
      <c r="N14" s="13">
        <v>7169283209.2200623</v>
      </c>
      <c r="O14" s="13">
        <v>6312183546.209981</v>
      </c>
      <c r="P14" s="13">
        <v>2113152943.849998</v>
      </c>
      <c r="Q14" s="13">
        <v>295740216.22000021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27282377048.110027</v>
      </c>
    </row>
    <row r="15" spans="5:24" hidden="1" x14ac:dyDescent="0.35">
      <c r="E15" s="10">
        <v>2025</v>
      </c>
      <c r="F15" s="11">
        <f t="shared" si="1"/>
        <v>5</v>
      </c>
      <c r="G15" s="14">
        <v>2025</v>
      </c>
      <c r="H15" s="13">
        <v>35300426914.229973</v>
      </c>
      <c r="I15" s="13">
        <v>5736197.5999999996</v>
      </c>
      <c r="J15" s="13">
        <v>0</v>
      </c>
      <c r="K15" s="13">
        <v>0</v>
      </c>
      <c r="L15" s="13">
        <v>0</v>
      </c>
      <c r="M15" s="13">
        <v>8045606638.1099949</v>
      </c>
      <c r="N15" s="13">
        <v>7272173809.109992</v>
      </c>
      <c r="O15" s="13">
        <v>7676983697.8699875</v>
      </c>
      <c r="P15" s="13">
        <v>5536221579.4100113</v>
      </c>
      <c r="Q15" s="13">
        <v>5659333465.1299572</v>
      </c>
      <c r="R15" s="13">
        <v>853815944.4000001</v>
      </c>
      <c r="S15" s="13">
        <v>249886126.60000002</v>
      </c>
      <c r="T15" s="13">
        <v>168000</v>
      </c>
      <c r="U15" s="13">
        <v>168000</v>
      </c>
      <c r="V15" s="13">
        <v>168000</v>
      </c>
      <c r="W15" s="13">
        <v>165456</v>
      </c>
      <c r="X15" s="13">
        <f t="shared" si="0"/>
        <v>35300426914.229942</v>
      </c>
    </row>
    <row r="16" spans="5:24" hidden="1" x14ac:dyDescent="0.35">
      <c r="E16" s="10">
        <v>2026</v>
      </c>
      <c r="F16" s="11">
        <f t="shared" si="1"/>
        <v>6</v>
      </c>
      <c r="G16" s="14">
        <v>2026</v>
      </c>
      <c r="H16" s="13">
        <v>7709978089.0399799</v>
      </c>
      <c r="I16" s="13">
        <v>923894</v>
      </c>
      <c r="J16" s="13">
        <v>0</v>
      </c>
      <c r="K16" s="13">
        <v>0</v>
      </c>
      <c r="L16" s="13">
        <v>0</v>
      </c>
      <c r="M16" s="13">
        <v>0</v>
      </c>
      <c r="N16" s="13">
        <v>2265572702.5399947</v>
      </c>
      <c r="O16" s="13">
        <v>1256041418.8199937</v>
      </c>
      <c r="P16" s="13">
        <v>1180835321.4099982</v>
      </c>
      <c r="Q16" s="13">
        <v>2148467143.9099998</v>
      </c>
      <c r="R16" s="13">
        <v>821505312.11999953</v>
      </c>
      <c r="S16" s="13">
        <v>36632296.240000002</v>
      </c>
      <c r="T16" s="13">
        <v>0</v>
      </c>
      <c r="U16" s="13">
        <v>0</v>
      </c>
      <c r="V16" s="13">
        <v>0</v>
      </c>
      <c r="W16" s="13">
        <v>0</v>
      </c>
      <c r="X16" s="13">
        <f t="shared" si="0"/>
        <v>7709978089.0399857</v>
      </c>
    </row>
    <row r="17" spans="5:24" hidden="1" x14ac:dyDescent="0.35">
      <c r="E17" s="10">
        <v>2027</v>
      </c>
      <c r="F17" s="11">
        <f t="shared" si="1"/>
        <v>7</v>
      </c>
      <c r="G17" s="14">
        <v>2027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f t="shared" si="0"/>
        <v>0</v>
      </c>
    </row>
    <row r="18" spans="5:24" hidden="1" x14ac:dyDescent="0.35">
      <c r="E18" s="10">
        <v>2028</v>
      </c>
      <c r="F18" s="11">
        <f t="shared" si="1"/>
        <v>8</v>
      </c>
      <c r="G18" s="14">
        <v>2028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</row>
    <row r="19" spans="5:24" hidden="1" x14ac:dyDescent="0.35">
      <c r="E19" s="10">
        <v>2029</v>
      </c>
      <c r="F19" s="11">
        <f t="shared" si="1"/>
        <v>9</v>
      </c>
      <c r="G19" s="14">
        <v>2029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f t="shared" si="0"/>
        <v>0</v>
      </c>
    </row>
    <row r="20" spans="5:24" hidden="1" x14ac:dyDescent="0.35">
      <c r="E20" s="10">
        <f>+E19+1</f>
        <v>2030</v>
      </c>
      <c r="F20" s="11">
        <f t="shared" si="1"/>
        <v>10</v>
      </c>
      <c r="G20" s="14">
        <f>E20</f>
        <v>2030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f t="shared" si="0"/>
        <v>0</v>
      </c>
    </row>
    <row r="21" spans="5:24" hidden="1" x14ac:dyDescent="0.35">
      <c r="E21" s="10">
        <f>+E20+1</f>
        <v>2031</v>
      </c>
      <c r="F21" s="11">
        <f t="shared" si="1"/>
        <v>11</v>
      </c>
      <c r="G21" s="14">
        <f>E21</f>
        <v>2031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f t="shared" si="0"/>
        <v>0</v>
      </c>
    </row>
    <row r="22" spans="5:24" hidden="1" x14ac:dyDescent="0.35">
      <c r="E22" s="10">
        <f>+E21+1</f>
        <v>2032</v>
      </c>
      <c r="F22" s="11">
        <f t="shared" si="1"/>
        <v>12</v>
      </c>
      <c r="G22" s="14">
        <f>E22</f>
        <v>2032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f t="shared" si="0"/>
        <v>0</v>
      </c>
    </row>
    <row r="23" spans="5:24" hidden="1" x14ac:dyDescent="0.35">
      <c r="E23" s="10">
        <f>+E22+1</f>
        <v>2033</v>
      </c>
      <c r="F23" s="11">
        <f t="shared" si="1"/>
        <v>13</v>
      </c>
      <c r="G23" s="14">
        <f>E23</f>
        <v>2033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f t="shared" si="0"/>
        <v>0</v>
      </c>
    </row>
    <row r="24" spans="5:24" hidden="1" x14ac:dyDescent="0.35">
      <c r="E24" s="10">
        <f>+E23+1</f>
        <v>2034</v>
      </c>
      <c r="F24" s="11">
        <f t="shared" si="1"/>
        <v>14</v>
      </c>
      <c r="G24" s="14">
        <f>E24</f>
        <v>2034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f t="shared" si="0"/>
        <v>0</v>
      </c>
    </row>
    <row r="25" spans="5:24" hidden="1" x14ac:dyDescent="0.35">
      <c r="E25" s="1"/>
      <c r="F25" s="57" t="s">
        <v>0</v>
      </c>
      <c r="G25" s="57"/>
      <c r="H25" s="16">
        <f>SUM(H11:H24)</f>
        <v>118674249478.72034</v>
      </c>
      <c r="I25" s="16">
        <f>SUM(I11:I24)</f>
        <v>5737734642.489975</v>
      </c>
      <c r="J25" s="16">
        <f t="shared" ref="J25:X25" si="2">SUM(J11:J24)</f>
        <v>5798319879.8600082</v>
      </c>
      <c r="K25" s="16">
        <f t="shared" si="2"/>
        <v>9574734291.5299492</v>
      </c>
      <c r="L25" s="16">
        <f t="shared" si="2"/>
        <v>13286685254.709976</v>
      </c>
      <c r="M25" s="16">
        <f t="shared" si="2"/>
        <v>21333840849.410019</v>
      </c>
      <c r="N25" s="16">
        <f t="shared" si="2"/>
        <v>26093098491.00013</v>
      </c>
      <c r="O25" s="16">
        <f t="shared" si="2"/>
        <v>17773018295.44997</v>
      </c>
      <c r="P25" s="16">
        <f t="shared" si="2"/>
        <v>9010684278.2500076</v>
      </c>
      <c r="Q25" s="16">
        <f t="shared" si="2"/>
        <v>8103540825.2599573</v>
      </c>
      <c r="R25" s="16">
        <f t="shared" si="2"/>
        <v>1675321256.5199995</v>
      </c>
      <c r="S25" s="16">
        <f t="shared" si="2"/>
        <v>286518422.84000003</v>
      </c>
      <c r="T25" s="16">
        <f t="shared" si="2"/>
        <v>168000</v>
      </c>
      <c r="U25" s="16">
        <f t="shared" si="2"/>
        <v>168000</v>
      </c>
      <c r="V25" s="16">
        <f t="shared" si="2"/>
        <v>168000</v>
      </c>
      <c r="W25" s="16">
        <f t="shared" si="2"/>
        <v>248991.4</v>
      </c>
      <c r="X25" s="16">
        <f t="shared" si="2"/>
        <v>118674249478.72</v>
      </c>
    </row>
    <row r="26" spans="5:24" hidden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5:24" hidden="1" x14ac:dyDescent="0.35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5:24" ht="15" thickBot="1" x14ac:dyDescent="0.4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5:24" x14ac:dyDescent="0.35">
      <c r="E29" s="1"/>
      <c r="F29" s="41" t="s">
        <v>0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</row>
    <row r="30" spans="5:24" x14ac:dyDescent="0.35">
      <c r="E30" s="1"/>
      <c r="F30" s="44" t="s">
        <v>1</v>
      </c>
      <c r="G30" s="45"/>
      <c r="H30" s="46"/>
      <c r="I30" s="17"/>
      <c r="J30" s="47" t="s">
        <v>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</row>
    <row r="31" spans="5:24" x14ac:dyDescent="0.35">
      <c r="E31" s="1"/>
      <c r="F31" s="18" t="s">
        <v>3</v>
      </c>
      <c r="G31" s="18" t="str">
        <f>G10</f>
        <v>Year</v>
      </c>
      <c r="H31" s="19" t="str">
        <f t="shared" ref="H31:X31" si="3">H10</f>
        <v>Purchase price</v>
      </c>
      <c r="I31" s="20" t="str">
        <f t="shared" si="3"/>
        <v>Before 2022</v>
      </c>
      <c r="J31" s="21">
        <f t="shared" si="3"/>
        <v>2022</v>
      </c>
      <c r="K31" s="22">
        <f t="shared" si="3"/>
        <v>2023</v>
      </c>
      <c r="L31" s="22">
        <f t="shared" si="3"/>
        <v>2024</v>
      </c>
      <c r="M31" s="22">
        <f t="shared" si="3"/>
        <v>2025</v>
      </c>
      <c r="N31" s="22">
        <f t="shared" si="3"/>
        <v>2026</v>
      </c>
      <c r="O31" s="22">
        <f t="shared" si="3"/>
        <v>2027</v>
      </c>
      <c r="P31" s="22">
        <f t="shared" si="3"/>
        <v>2028</v>
      </c>
      <c r="Q31" s="23">
        <f t="shared" si="3"/>
        <v>2029</v>
      </c>
      <c r="R31" s="23">
        <f t="shared" si="3"/>
        <v>2030</v>
      </c>
      <c r="S31" s="23">
        <f t="shared" si="3"/>
        <v>2031</v>
      </c>
      <c r="T31" s="23">
        <f t="shared" si="3"/>
        <v>2032</v>
      </c>
      <c r="U31" s="23">
        <f t="shared" si="3"/>
        <v>2033</v>
      </c>
      <c r="V31" s="23">
        <f t="shared" si="3"/>
        <v>2034</v>
      </c>
      <c r="W31" s="24" t="str">
        <f t="shared" si="3"/>
        <v>beyond 2035</v>
      </c>
      <c r="X31" s="25" t="str">
        <f t="shared" si="3"/>
        <v>Total</v>
      </c>
    </row>
    <row r="32" spans="5:24" ht="15.75" customHeight="1" x14ac:dyDescent="0.35">
      <c r="E32" s="1"/>
      <c r="F32" s="11">
        <f>F11</f>
        <v>1</v>
      </c>
      <c r="G32" s="15" t="str">
        <f>G11</f>
        <v>Before 2021 and 2021</v>
      </c>
      <c r="H32" s="26" cm="1">
        <f t="array" ref="H32:H46">H11:H25</f>
        <v>11347967085.580086</v>
      </c>
      <c r="I32" s="28" cm="1">
        <f t="array" ref="I32:X32">I11:X11</f>
        <v>5725161116.3299742</v>
      </c>
      <c r="J32" s="28">
        <v>2131069069.400002</v>
      </c>
      <c r="K32" s="28">
        <v>1803079573.5499966</v>
      </c>
      <c r="L32" s="28">
        <v>943765682.24999726</v>
      </c>
      <c r="M32" s="28">
        <v>679656806.11999977</v>
      </c>
      <c r="N32" s="28">
        <v>65003335.879999988</v>
      </c>
      <c r="O32" s="28">
        <v>147966.65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83535.399999999994</v>
      </c>
      <c r="X32" s="29">
        <v>11347967085.579969</v>
      </c>
    </row>
    <row r="33" spans="6:24" x14ac:dyDescent="0.35">
      <c r="F33" s="11">
        <f t="shared" ref="F33:G45" si="4">F12</f>
        <v>2</v>
      </c>
      <c r="G33" s="15">
        <f t="shared" si="4"/>
        <v>2022</v>
      </c>
      <c r="H33" s="13">
        <v>15273871949.64031</v>
      </c>
      <c r="I33" s="28"/>
      <c r="J33" s="28">
        <f>SUM(I12:J12)</f>
        <v>3668108517.0200062</v>
      </c>
      <c r="K33" s="28" cm="1">
        <f t="array" ref="K33:X33">K12:X12</f>
        <v>2701368558.7299862</v>
      </c>
      <c r="L33" s="28">
        <v>2030441779.2299995</v>
      </c>
      <c r="M33" s="28">
        <v>2339372062.4300089</v>
      </c>
      <c r="N33" s="28">
        <v>3476289786.1400404</v>
      </c>
      <c r="O33" s="28">
        <v>890445538.93000507</v>
      </c>
      <c r="P33" s="28">
        <v>167845707.15999976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9">
        <v>15273871949.640045</v>
      </c>
    </row>
    <row r="34" spans="6:24" x14ac:dyDescent="0.35">
      <c r="F34" s="11">
        <f t="shared" si="4"/>
        <v>3</v>
      </c>
      <c r="G34" s="15">
        <f t="shared" si="4"/>
        <v>2023</v>
      </c>
      <c r="H34" s="13">
        <v>21759628392.11998</v>
      </c>
      <c r="I34" s="28"/>
      <c r="J34" s="28"/>
      <c r="K34" s="28">
        <f>SUM(I13:K13)</f>
        <v>5071336159.2499676</v>
      </c>
      <c r="L34" s="28" cm="1">
        <f t="array" ref="L34:X34">L13:X13</f>
        <v>4214048130.6200109</v>
      </c>
      <c r="M34" s="28">
        <v>4979623600.750001</v>
      </c>
      <c r="N34" s="28">
        <v>5844775648.1100416</v>
      </c>
      <c r="O34" s="28">
        <v>1637216126.9700046</v>
      </c>
      <c r="P34" s="28">
        <v>12628726.420000002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9">
        <v>21759628392.120026</v>
      </c>
    </row>
    <row r="35" spans="6:24" x14ac:dyDescent="0.35">
      <c r="F35" s="11">
        <f t="shared" si="4"/>
        <v>4</v>
      </c>
      <c r="G35" s="15">
        <f t="shared" si="4"/>
        <v>2024</v>
      </c>
      <c r="H35" s="13">
        <v>27282377048.110008</v>
      </c>
      <c r="I35" s="28"/>
      <c r="J35" s="28"/>
      <c r="K35" s="28"/>
      <c r="L35" s="28">
        <f>SUM(I14:L14)</f>
        <v>6102435390.6099691</v>
      </c>
      <c r="M35" s="28" cm="1">
        <f t="array" ref="M35:X35">M14:X14</f>
        <v>5289581742.0000172</v>
      </c>
      <c r="N35" s="28">
        <v>7169283209.2200623</v>
      </c>
      <c r="O35" s="28">
        <v>6312183546.209981</v>
      </c>
      <c r="P35" s="28">
        <v>2113152943.849998</v>
      </c>
      <c r="Q35" s="28">
        <v>295740216.22000021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9">
        <v>27282377048.110027</v>
      </c>
    </row>
    <row r="36" spans="6:24" x14ac:dyDescent="0.35">
      <c r="F36" s="11">
        <f t="shared" si="4"/>
        <v>5</v>
      </c>
      <c r="G36" s="15">
        <f t="shared" si="4"/>
        <v>2025</v>
      </c>
      <c r="H36" s="13">
        <v>35300426914.229973</v>
      </c>
      <c r="I36" s="28"/>
      <c r="J36" s="28"/>
      <c r="K36" s="28"/>
      <c r="L36" s="28"/>
      <c r="M36" s="28">
        <f>SUM(I15:M15)</f>
        <v>8051342835.7099953</v>
      </c>
      <c r="N36" s="28" cm="1">
        <f t="array" ref="N36:X36">N15:X15</f>
        <v>7272173809.109992</v>
      </c>
      <c r="O36" s="28">
        <v>7676983697.8699875</v>
      </c>
      <c r="P36" s="28">
        <v>5536221579.4100113</v>
      </c>
      <c r="Q36" s="28">
        <v>5659333465.1299572</v>
      </c>
      <c r="R36" s="28">
        <v>853815944.4000001</v>
      </c>
      <c r="S36" s="28">
        <v>249886126.60000002</v>
      </c>
      <c r="T36" s="28">
        <v>168000</v>
      </c>
      <c r="U36" s="28">
        <v>168000</v>
      </c>
      <c r="V36" s="28">
        <v>168000</v>
      </c>
      <c r="W36" s="28">
        <v>165456</v>
      </c>
      <c r="X36" s="29">
        <v>35300426914.229942</v>
      </c>
    </row>
    <row r="37" spans="6:24" x14ac:dyDescent="0.35">
      <c r="F37" s="11">
        <f t="shared" si="4"/>
        <v>6</v>
      </c>
      <c r="G37" s="15">
        <f t="shared" si="4"/>
        <v>2026</v>
      </c>
      <c r="H37" s="13">
        <v>7709978089.0399799</v>
      </c>
      <c r="I37" s="28"/>
      <c r="J37" s="28"/>
      <c r="K37" s="28"/>
      <c r="L37" s="28"/>
      <c r="M37" s="28"/>
      <c r="N37" s="28">
        <f>SUM(I16:N16)</f>
        <v>2266496596.5399947</v>
      </c>
      <c r="O37" s="28" cm="1">
        <f t="array" ref="O37:X37">O16:X16</f>
        <v>1256041418.8199937</v>
      </c>
      <c r="P37" s="28">
        <v>1180835321.4099982</v>
      </c>
      <c r="Q37" s="28">
        <v>2148467143.9099998</v>
      </c>
      <c r="R37" s="28">
        <v>821505312.11999953</v>
      </c>
      <c r="S37" s="28">
        <v>36632296.240000002</v>
      </c>
      <c r="T37" s="28">
        <v>0</v>
      </c>
      <c r="U37" s="28">
        <v>0</v>
      </c>
      <c r="V37" s="28">
        <v>0</v>
      </c>
      <c r="W37" s="28">
        <v>0</v>
      </c>
      <c r="X37" s="29">
        <v>7709978089.0399857</v>
      </c>
    </row>
    <row r="38" spans="6:24" x14ac:dyDescent="0.35">
      <c r="F38" s="11">
        <f t="shared" si="4"/>
        <v>7</v>
      </c>
      <c r="G38" s="15">
        <f t="shared" si="4"/>
        <v>2027</v>
      </c>
      <c r="H38" s="13">
        <v>0</v>
      </c>
      <c r="I38" s="28"/>
      <c r="J38" s="28"/>
      <c r="K38" s="28"/>
      <c r="L38" s="28"/>
      <c r="M38" s="28"/>
      <c r="N38" s="28"/>
      <c r="O38" s="28">
        <f>SUM(I17:O17)</f>
        <v>0</v>
      </c>
      <c r="P38" s="28" cm="1">
        <f t="array" ref="P38:X38">P17:X17</f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9">
        <v>0</v>
      </c>
    </row>
    <row r="39" spans="6:24" x14ac:dyDescent="0.35">
      <c r="F39" s="11">
        <f t="shared" si="4"/>
        <v>8</v>
      </c>
      <c r="G39" s="15">
        <f t="shared" si="4"/>
        <v>2028</v>
      </c>
      <c r="H39" s="13">
        <v>0</v>
      </c>
      <c r="I39" s="28"/>
      <c r="J39" s="28"/>
      <c r="K39" s="28"/>
      <c r="L39" s="28"/>
      <c r="M39" s="28"/>
      <c r="N39" s="28"/>
      <c r="O39" s="28"/>
      <c r="P39" s="28">
        <f>SUM(I18:P18)</f>
        <v>0</v>
      </c>
      <c r="Q39" s="28" cm="1">
        <f t="array" ref="Q39:W39">Q19:W19</f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9"/>
    </row>
    <row r="40" spans="6:24" x14ac:dyDescent="0.35">
      <c r="F40" s="11">
        <f t="shared" si="4"/>
        <v>9</v>
      </c>
      <c r="G40" s="15">
        <f t="shared" si="4"/>
        <v>2029</v>
      </c>
      <c r="H40" s="13">
        <v>0</v>
      </c>
      <c r="I40" s="28"/>
      <c r="J40" s="28"/>
      <c r="K40" s="28"/>
      <c r="L40" s="28"/>
      <c r="M40" s="28"/>
      <c r="N40" s="28"/>
      <c r="O40" s="28"/>
      <c r="P40" s="28"/>
      <c r="Q40" s="28">
        <f>SUM(I19:Q19)</f>
        <v>0</v>
      </c>
      <c r="R40" s="28" cm="1">
        <f t="array" ref="R40:W40">R20:W20</f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9"/>
    </row>
    <row r="41" spans="6:24" x14ac:dyDescent="0.35">
      <c r="F41" s="11">
        <f t="shared" si="4"/>
        <v>10</v>
      </c>
      <c r="G41" s="15">
        <f t="shared" si="4"/>
        <v>2030</v>
      </c>
      <c r="H41" s="13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>
        <f>SUM(I20:R20)</f>
        <v>0</v>
      </c>
      <c r="S41" s="28" cm="1">
        <f t="array" ref="S41:X41">S20:X20</f>
        <v>0</v>
      </c>
      <c r="T41" s="28">
        <v>0</v>
      </c>
      <c r="U41" s="28">
        <v>0</v>
      </c>
      <c r="V41" s="28">
        <v>0</v>
      </c>
      <c r="W41" s="28">
        <v>0</v>
      </c>
      <c r="X41" s="29">
        <v>0</v>
      </c>
    </row>
    <row r="42" spans="6:24" x14ac:dyDescent="0.35">
      <c r="F42" s="11">
        <f t="shared" si="4"/>
        <v>11</v>
      </c>
      <c r="G42" s="15">
        <f t="shared" si="4"/>
        <v>2031</v>
      </c>
      <c r="H42" s="13">
        <v>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>
        <f>SUM(I21:S21)</f>
        <v>0</v>
      </c>
      <c r="T42" s="28" cm="1">
        <f t="array" ref="T42:X42">T21:X21</f>
        <v>0</v>
      </c>
      <c r="U42" s="28">
        <v>0</v>
      </c>
      <c r="V42" s="28">
        <v>0</v>
      </c>
      <c r="W42" s="28">
        <v>0</v>
      </c>
      <c r="X42" s="29">
        <v>0</v>
      </c>
    </row>
    <row r="43" spans="6:24" x14ac:dyDescent="0.35">
      <c r="F43" s="11">
        <f t="shared" si="4"/>
        <v>12</v>
      </c>
      <c r="G43" s="15">
        <f t="shared" si="4"/>
        <v>2032</v>
      </c>
      <c r="H43" s="13"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>SUM(I22:T22)</f>
        <v>0</v>
      </c>
      <c r="U43" s="28" cm="1">
        <f t="array" ref="U43:X43">U22:X22</f>
        <v>0</v>
      </c>
      <c r="V43" s="28">
        <v>0</v>
      </c>
      <c r="W43" s="28">
        <v>0</v>
      </c>
      <c r="X43" s="29">
        <v>0</v>
      </c>
    </row>
    <row r="44" spans="6:24" x14ac:dyDescent="0.35">
      <c r="F44" s="11">
        <f t="shared" si="4"/>
        <v>13</v>
      </c>
      <c r="G44" s="15">
        <f t="shared" si="4"/>
        <v>2033</v>
      </c>
      <c r="H44" s="13">
        <v>0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>
        <f>SUM(I24:U24)</f>
        <v>0</v>
      </c>
      <c r="V44" s="28" cm="1">
        <f t="array" ref="V44:X44">V23:X23</f>
        <v>0</v>
      </c>
      <c r="W44" s="28">
        <v>0</v>
      </c>
      <c r="X44" s="29">
        <v>0</v>
      </c>
    </row>
    <row r="45" spans="6:24" x14ac:dyDescent="0.35">
      <c r="F45" s="11">
        <f t="shared" si="4"/>
        <v>14</v>
      </c>
      <c r="G45" s="15">
        <f t="shared" si="4"/>
        <v>2034</v>
      </c>
      <c r="H45" s="13">
        <v>0</v>
      </c>
      <c r="I45" s="28"/>
      <c r="J45" s="28"/>
      <c r="K45" s="28"/>
      <c r="L45" s="28"/>
      <c r="M45" s="28"/>
      <c r="N45" s="28"/>
      <c r="O45" s="28"/>
      <c r="P45" s="28"/>
      <c r="Q45" s="28">
        <f>SUM(I24:Q24)</f>
        <v>0</v>
      </c>
      <c r="R45" s="28"/>
      <c r="S45" s="28"/>
      <c r="T45" s="28"/>
      <c r="U45" s="28"/>
      <c r="V45" s="28">
        <f>SUM(I24:V24)</f>
        <v>0</v>
      </c>
      <c r="W45" s="28" cm="1">
        <f t="array" ref="W45:X45">W24:X24</f>
        <v>0</v>
      </c>
      <c r="X45" s="29">
        <v>0</v>
      </c>
    </row>
    <row r="46" spans="6:24" ht="15" thickBot="1" x14ac:dyDescent="0.4">
      <c r="F46" s="39" t="s">
        <v>0</v>
      </c>
      <c r="G46" s="40"/>
      <c r="H46" s="27">
        <v>118674249478.72034</v>
      </c>
      <c r="I46" s="30">
        <f>SUM(I32:I45)</f>
        <v>5725161116.3299742</v>
      </c>
      <c r="J46" s="30">
        <f t="shared" ref="J46:W46" si="5">SUM(J32:J45)</f>
        <v>5799177586.4200077</v>
      </c>
      <c r="K46" s="30">
        <f t="shared" si="5"/>
        <v>9575784291.5299492</v>
      </c>
      <c r="L46" s="30">
        <f t="shared" si="5"/>
        <v>13290690982.709976</v>
      </c>
      <c r="M46" s="30">
        <f t="shared" si="5"/>
        <v>21339577047.010021</v>
      </c>
      <c r="N46" s="30">
        <f t="shared" si="5"/>
        <v>26094022385.00013</v>
      </c>
      <c r="O46" s="30">
        <f t="shared" si="5"/>
        <v>17773018295.44997</v>
      </c>
      <c r="P46" s="30">
        <f t="shared" si="5"/>
        <v>9010684278.2500076</v>
      </c>
      <c r="Q46" s="30">
        <f t="shared" si="5"/>
        <v>8103540825.2599573</v>
      </c>
      <c r="R46" s="30">
        <f t="shared" si="5"/>
        <v>1675321256.5199995</v>
      </c>
      <c r="S46" s="30">
        <f t="shared" si="5"/>
        <v>286518422.84000003</v>
      </c>
      <c r="T46" s="30">
        <f t="shared" si="5"/>
        <v>168000</v>
      </c>
      <c r="U46" s="30">
        <f t="shared" si="5"/>
        <v>168000</v>
      </c>
      <c r="V46" s="30">
        <f>SUM(V32:V45)</f>
        <v>168000</v>
      </c>
      <c r="W46" s="30">
        <f t="shared" si="5"/>
        <v>248991.4</v>
      </c>
      <c r="X46" s="31">
        <f>SUM(X32:X45)</f>
        <v>118674249478.72</v>
      </c>
    </row>
    <row r="47" spans="6:24" ht="15" thickBot="1" x14ac:dyDescent="0.4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6:24" ht="15" hidden="1" thickBot="1" x14ac:dyDescent="0.4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6:24" ht="15" hidden="1" thickBot="1" x14ac:dyDescent="0.4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6:24" ht="15" hidden="1" thickBot="1" x14ac:dyDescent="0.4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6:24" ht="15" hidden="1" thickBot="1" x14ac:dyDescent="0.4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6:24" x14ac:dyDescent="0.35">
      <c r="F52" s="41" t="s">
        <v>0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3"/>
    </row>
    <row r="53" spans="6:24" x14ac:dyDescent="0.35">
      <c r="F53" s="44" t="s">
        <v>1</v>
      </c>
      <c r="G53" s="45"/>
      <c r="H53" s="46"/>
      <c r="I53" s="17"/>
      <c r="J53" s="47" t="s">
        <v>2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9"/>
    </row>
    <row r="54" spans="6:24" x14ac:dyDescent="0.35">
      <c r="F54" s="18" t="s">
        <v>3</v>
      </c>
      <c r="G54" s="18" t="s">
        <v>4</v>
      </c>
      <c r="H54" s="19" t="s">
        <v>5</v>
      </c>
      <c r="I54" s="20" t="s">
        <v>6</v>
      </c>
      <c r="J54" s="21">
        <v>2022</v>
      </c>
      <c r="K54" s="22">
        <v>2023</v>
      </c>
      <c r="L54" s="22">
        <v>2024</v>
      </c>
      <c r="M54" s="22">
        <v>2025</v>
      </c>
      <c r="N54" s="22">
        <v>2026</v>
      </c>
      <c r="O54" s="22">
        <v>2027</v>
      </c>
      <c r="P54" s="22">
        <v>2028</v>
      </c>
      <c r="Q54" s="23">
        <v>2029</v>
      </c>
      <c r="R54" s="23">
        <v>2030</v>
      </c>
      <c r="S54" s="23">
        <v>2031</v>
      </c>
      <c r="T54" s="23">
        <v>2032</v>
      </c>
      <c r="U54" s="23">
        <v>2033</v>
      </c>
      <c r="V54" s="23">
        <v>2034</v>
      </c>
      <c r="W54" s="24" t="s">
        <v>7</v>
      </c>
      <c r="X54" s="25" t="s">
        <v>0</v>
      </c>
    </row>
    <row r="55" spans="6:24" x14ac:dyDescent="0.35">
      <c r="F55" s="11">
        <v>1</v>
      </c>
      <c r="G55" s="15" t="s">
        <v>8</v>
      </c>
      <c r="H55" s="13" cm="1">
        <f t="array" ref="H55:H69">H11:H25</f>
        <v>11347967085.580086</v>
      </c>
      <c r="I55" s="32">
        <f>IFERROR(I32/$H32,0)</f>
        <v>0.50450984508097163</v>
      </c>
      <c r="J55" s="32">
        <f t="shared" ref="J55:X55" si="6">IFERROR(J32/$H32,0)</f>
        <v>0.18779302524660663</v>
      </c>
      <c r="K55" s="32">
        <f t="shared" si="6"/>
        <v>0.15889009546398652</v>
      </c>
      <c r="L55" s="32">
        <f t="shared" si="6"/>
        <v>8.3166057420914152E-2</v>
      </c>
      <c r="M55" s="32">
        <f t="shared" si="6"/>
        <v>5.9892384335837809E-2</v>
      </c>
      <c r="N55" s="32">
        <f t="shared" si="6"/>
        <v>5.7281921413571977E-3</v>
      </c>
      <c r="O55" s="32">
        <f t="shared" si="6"/>
        <v>1.3039044692685257E-5</v>
      </c>
      <c r="P55" s="32">
        <f t="shared" si="6"/>
        <v>0</v>
      </c>
      <c r="Q55" s="32">
        <f t="shared" si="6"/>
        <v>0</v>
      </c>
      <c r="R55" s="32">
        <f t="shared" si="6"/>
        <v>0</v>
      </c>
      <c r="S55" s="32">
        <f t="shared" si="6"/>
        <v>0</v>
      </c>
      <c r="T55" s="32">
        <f t="shared" si="6"/>
        <v>0</v>
      </c>
      <c r="U55" s="32">
        <f t="shared" si="6"/>
        <v>0</v>
      </c>
      <c r="V55" s="32">
        <f t="shared" si="6"/>
        <v>0</v>
      </c>
      <c r="W55" s="32">
        <f t="shared" si="6"/>
        <v>7.3612656231748162E-6</v>
      </c>
      <c r="X55" s="33">
        <f t="shared" si="6"/>
        <v>0.99999999999998979</v>
      </c>
    </row>
    <row r="56" spans="6:24" x14ac:dyDescent="0.35">
      <c r="F56" s="11">
        <v>2</v>
      </c>
      <c r="G56" s="15">
        <v>2022</v>
      </c>
      <c r="H56" s="13">
        <v>15273871949.64031</v>
      </c>
      <c r="I56" s="32">
        <f t="shared" ref="I56:X67" si="7">IFERROR(I33/$H33,0)</f>
        <v>0</v>
      </c>
      <c r="J56" s="32">
        <f t="shared" si="7"/>
        <v>0.24015577249267089</v>
      </c>
      <c r="K56" s="32">
        <f t="shared" si="7"/>
        <v>0.17686206664797929</v>
      </c>
      <c r="L56" s="32">
        <f t="shared" si="7"/>
        <v>0.132935629284087</v>
      </c>
      <c r="M56" s="32">
        <f t="shared" si="7"/>
        <v>0.15316169142593208</v>
      </c>
      <c r="N56" s="32">
        <f t="shared" si="7"/>
        <v>0.22759715398962113</v>
      </c>
      <c r="O56" s="32">
        <f t="shared" si="7"/>
        <v>5.8298612288089434E-2</v>
      </c>
      <c r="P56" s="32">
        <f t="shared" si="7"/>
        <v>1.0989073871602834E-2</v>
      </c>
      <c r="Q56" s="32">
        <f t="shared" si="7"/>
        <v>0</v>
      </c>
      <c r="R56" s="32">
        <f t="shared" si="7"/>
        <v>0</v>
      </c>
      <c r="S56" s="32">
        <f t="shared" si="7"/>
        <v>0</v>
      </c>
      <c r="T56" s="32">
        <f t="shared" si="7"/>
        <v>0</v>
      </c>
      <c r="U56" s="32">
        <f t="shared" si="7"/>
        <v>0</v>
      </c>
      <c r="V56" s="32">
        <f t="shared" si="7"/>
        <v>0</v>
      </c>
      <c r="W56" s="32">
        <f t="shared" si="7"/>
        <v>0</v>
      </c>
      <c r="X56" s="33">
        <f t="shared" si="7"/>
        <v>0.99999999999998268</v>
      </c>
    </row>
    <row r="57" spans="6:24" x14ac:dyDescent="0.35">
      <c r="F57" s="11">
        <v>3</v>
      </c>
      <c r="G57" s="15">
        <v>2023</v>
      </c>
      <c r="H57" s="13">
        <v>21759628392.11998</v>
      </c>
      <c r="I57" s="32">
        <f t="shared" si="7"/>
        <v>0</v>
      </c>
      <c r="J57" s="32">
        <f t="shared" si="7"/>
        <v>0</v>
      </c>
      <c r="K57" s="32">
        <f t="shared" si="7"/>
        <v>0.23306170803387885</v>
      </c>
      <c r="L57" s="32">
        <f t="shared" si="7"/>
        <v>0.19366360742383285</v>
      </c>
      <c r="M57" s="32">
        <f t="shared" si="7"/>
        <v>0.22884690450657325</v>
      </c>
      <c r="N57" s="32">
        <f t="shared" si="7"/>
        <v>0.26860640920810325</v>
      </c>
      <c r="O57" s="32">
        <f t="shared" si="7"/>
        <v>7.5240996650609404E-2</v>
      </c>
      <c r="P57" s="32">
        <f t="shared" si="7"/>
        <v>5.803741770044824E-4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3">
        <f t="shared" si="7"/>
        <v>1.000000000000002</v>
      </c>
    </row>
    <row r="58" spans="6:24" x14ac:dyDescent="0.35">
      <c r="F58" s="11">
        <v>4</v>
      </c>
      <c r="G58" s="15">
        <v>2024</v>
      </c>
      <c r="H58" s="13">
        <v>27282377048.110008</v>
      </c>
      <c r="I58" s="32">
        <f t="shared" si="7"/>
        <v>0</v>
      </c>
      <c r="J58" s="32">
        <f t="shared" si="7"/>
        <v>0</v>
      </c>
      <c r="K58" s="32">
        <f t="shared" si="7"/>
        <v>0</v>
      </c>
      <c r="L58" s="32">
        <f t="shared" si="7"/>
        <v>0.22367682184909604</v>
      </c>
      <c r="M58" s="32">
        <f t="shared" si="7"/>
        <v>0.19388272996419328</v>
      </c>
      <c r="N58" s="32">
        <f t="shared" si="7"/>
        <v>0.26278073925075074</v>
      </c>
      <c r="O58" s="32">
        <f t="shared" si="7"/>
        <v>0.23136486733098863</v>
      </c>
      <c r="P58" s="32">
        <f t="shared" si="7"/>
        <v>7.7454869131221363E-2</v>
      </c>
      <c r="Q58" s="32">
        <f t="shared" si="7"/>
        <v>1.0839972473750695E-2</v>
      </c>
      <c r="R58" s="32">
        <f t="shared" si="7"/>
        <v>0</v>
      </c>
      <c r="S58" s="32">
        <f t="shared" si="7"/>
        <v>0</v>
      </c>
      <c r="T58" s="32">
        <f t="shared" si="7"/>
        <v>0</v>
      </c>
      <c r="U58" s="32">
        <f t="shared" si="7"/>
        <v>0</v>
      </c>
      <c r="V58" s="32">
        <f t="shared" si="7"/>
        <v>0</v>
      </c>
      <c r="W58" s="32">
        <f t="shared" si="7"/>
        <v>0</v>
      </c>
      <c r="X58" s="33">
        <f t="shared" si="7"/>
        <v>1.0000000000000007</v>
      </c>
    </row>
    <row r="59" spans="6:24" x14ac:dyDescent="0.35">
      <c r="F59" s="11">
        <v>5</v>
      </c>
      <c r="G59" s="15">
        <v>2025</v>
      </c>
      <c r="H59" s="13">
        <v>35300426914.229973</v>
      </c>
      <c r="I59" s="32">
        <f t="shared" si="7"/>
        <v>0</v>
      </c>
      <c r="J59" s="32">
        <f t="shared" si="7"/>
        <v>0</v>
      </c>
      <c r="K59" s="32">
        <f t="shared" si="7"/>
        <v>0</v>
      </c>
      <c r="L59" s="32">
        <f t="shared" si="7"/>
        <v>0</v>
      </c>
      <c r="M59" s="32">
        <f t="shared" si="7"/>
        <v>0.22808060806948527</v>
      </c>
      <c r="N59" s="32">
        <f t="shared" si="7"/>
        <v>0.20600809805443182</v>
      </c>
      <c r="O59" s="32">
        <f t="shared" si="7"/>
        <v>0.21747566159816936</v>
      </c>
      <c r="P59" s="32">
        <f t="shared" si="7"/>
        <v>0.15683157580109328</v>
      </c>
      <c r="Q59" s="32">
        <f t="shared" si="7"/>
        <v>0.16031912245368965</v>
      </c>
      <c r="R59" s="32">
        <f t="shared" si="7"/>
        <v>2.4187128004840585E-2</v>
      </c>
      <c r="S59" s="32">
        <f t="shared" si="7"/>
        <v>7.078841488437306E-3</v>
      </c>
      <c r="T59" s="32">
        <f t="shared" si="7"/>
        <v>4.7591492422511592E-6</v>
      </c>
      <c r="U59" s="32">
        <f t="shared" si="7"/>
        <v>4.7591492422511592E-6</v>
      </c>
      <c r="V59" s="32">
        <f t="shared" si="7"/>
        <v>4.7591492422511592E-6</v>
      </c>
      <c r="W59" s="32">
        <f t="shared" si="7"/>
        <v>4.6870821251542132E-6</v>
      </c>
      <c r="X59" s="33">
        <f t="shared" si="7"/>
        <v>0.99999999999999911</v>
      </c>
    </row>
    <row r="60" spans="6:24" x14ac:dyDescent="0.35">
      <c r="F60" s="11">
        <v>6</v>
      </c>
      <c r="G60" s="15">
        <v>2026</v>
      </c>
      <c r="H60" s="13">
        <v>7709978089.0399799</v>
      </c>
      <c r="I60" s="32">
        <f t="shared" si="7"/>
        <v>0</v>
      </c>
      <c r="J60" s="32">
        <f t="shared" si="7"/>
        <v>0</v>
      </c>
      <c r="K60" s="32">
        <f t="shared" si="7"/>
        <v>0</v>
      </c>
      <c r="L60" s="32">
        <f t="shared" si="7"/>
        <v>0</v>
      </c>
      <c r="M60" s="32">
        <f t="shared" si="7"/>
        <v>0</v>
      </c>
      <c r="N60" s="32">
        <f t="shared" si="7"/>
        <v>0.29396926558869263</v>
      </c>
      <c r="O60" s="32">
        <f t="shared" si="7"/>
        <v>0.16291115283524649</v>
      </c>
      <c r="P60" s="32">
        <f t="shared" si="7"/>
        <v>0.15315676747364554</v>
      </c>
      <c r="Q60" s="32">
        <f t="shared" si="7"/>
        <v>0.27866060306502372</v>
      </c>
      <c r="R60" s="32">
        <f t="shared" si="7"/>
        <v>0.10655092694592735</v>
      </c>
      <c r="S60" s="32">
        <f t="shared" si="7"/>
        <v>4.7512840914650809E-3</v>
      </c>
      <c r="T60" s="32">
        <f t="shared" si="7"/>
        <v>0</v>
      </c>
      <c r="U60" s="32">
        <f t="shared" si="7"/>
        <v>0</v>
      </c>
      <c r="V60" s="32">
        <f t="shared" si="7"/>
        <v>0</v>
      </c>
      <c r="W60" s="32">
        <f t="shared" si="7"/>
        <v>0</v>
      </c>
      <c r="X60" s="33">
        <f t="shared" si="7"/>
        <v>1.0000000000000007</v>
      </c>
    </row>
    <row r="61" spans="6:24" x14ac:dyDescent="0.35">
      <c r="F61" s="11">
        <v>7</v>
      </c>
      <c r="G61" s="15">
        <v>2027</v>
      </c>
      <c r="H61" s="13">
        <v>0</v>
      </c>
      <c r="I61" s="32">
        <f t="shared" si="7"/>
        <v>0</v>
      </c>
      <c r="J61" s="32">
        <f t="shared" si="7"/>
        <v>0</v>
      </c>
      <c r="K61" s="32">
        <f t="shared" si="7"/>
        <v>0</v>
      </c>
      <c r="L61" s="32">
        <f t="shared" si="7"/>
        <v>0</v>
      </c>
      <c r="M61" s="32">
        <f t="shared" si="7"/>
        <v>0</v>
      </c>
      <c r="N61" s="32">
        <f t="shared" si="7"/>
        <v>0</v>
      </c>
      <c r="O61" s="32">
        <f t="shared" si="7"/>
        <v>0</v>
      </c>
      <c r="P61" s="32">
        <f t="shared" si="7"/>
        <v>0</v>
      </c>
      <c r="Q61" s="32">
        <f t="shared" si="7"/>
        <v>0</v>
      </c>
      <c r="R61" s="32">
        <f t="shared" si="7"/>
        <v>0</v>
      </c>
      <c r="S61" s="32">
        <f t="shared" si="7"/>
        <v>0</v>
      </c>
      <c r="T61" s="32">
        <f t="shared" si="7"/>
        <v>0</v>
      </c>
      <c r="U61" s="32">
        <f t="shared" si="7"/>
        <v>0</v>
      </c>
      <c r="V61" s="32">
        <f t="shared" si="7"/>
        <v>0</v>
      </c>
      <c r="W61" s="32">
        <f t="shared" si="7"/>
        <v>0</v>
      </c>
      <c r="X61" s="33">
        <f t="shared" si="7"/>
        <v>0</v>
      </c>
    </row>
    <row r="62" spans="6:24" x14ac:dyDescent="0.35">
      <c r="F62" s="11">
        <v>8</v>
      </c>
      <c r="G62" s="15">
        <v>2028</v>
      </c>
      <c r="H62" s="13">
        <v>0</v>
      </c>
      <c r="I62" s="32">
        <f t="shared" si="7"/>
        <v>0</v>
      </c>
      <c r="J62" s="32">
        <f t="shared" si="7"/>
        <v>0</v>
      </c>
      <c r="K62" s="32">
        <f t="shared" si="7"/>
        <v>0</v>
      </c>
      <c r="L62" s="32">
        <f t="shared" si="7"/>
        <v>0</v>
      </c>
      <c r="M62" s="32">
        <f t="shared" si="7"/>
        <v>0</v>
      </c>
      <c r="N62" s="32">
        <f t="shared" si="7"/>
        <v>0</v>
      </c>
      <c r="O62" s="32">
        <f t="shared" si="7"/>
        <v>0</v>
      </c>
      <c r="P62" s="32">
        <f t="shared" si="7"/>
        <v>0</v>
      </c>
      <c r="Q62" s="32">
        <f t="shared" si="7"/>
        <v>0</v>
      </c>
      <c r="R62" s="32">
        <f t="shared" si="7"/>
        <v>0</v>
      </c>
      <c r="S62" s="32">
        <f t="shared" si="7"/>
        <v>0</v>
      </c>
      <c r="T62" s="32">
        <f t="shared" si="7"/>
        <v>0</v>
      </c>
      <c r="U62" s="32">
        <f t="shared" si="7"/>
        <v>0</v>
      </c>
      <c r="V62" s="32">
        <f t="shared" si="7"/>
        <v>0</v>
      </c>
      <c r="W62" s="32">
        <f t="shared" si="7"/>
        <v>0</v>
      </c>
      <c r="X62" s="33">
        <f t="shared" si="7"/>
        <v>0</v>
      </c>
    </row>
    <row r="63" spans="6:24" x14ac:dyDescent="0.35">
      <c r="F63" s="11">
        <v>9</v>
      </c>
      <c r="G63" s="15">
        <v>2029</v>
      </c>
      <c r="H63" s="13">
        <v>0</v>
      </c>
      <c r="I63" s="32">
        <f t="shared" si="7"/>
        <v>0</v>
      </c>
      <c r="J63" s="32">
        <f t="shared" si="7"/>
        <v>0</v>
      </c>
      <c r="K63" s="32">
        <f t="shared" si="7"/>
        <v>0</v>
      </c>
      <c r="L63" s="32">
        <f t="shared" si="7"/>
        <v>0</v>
      </c>
      <c r="M63" s="32">
        <f t="shared" si="7"/>
        <v>0</v>
      </c>
      <c r="N63" s="32">
        <f t="shared" si="7"/>
        <v>0</v>
      </c>
      <c r="O63" s="32">
        <f t="shared" si="7"/>
        <v>0</v>
      </c>
      <c r="P63" s="32">
        <f t="shared" si="7"/>
        <v>0</v>
      </c>
      <c r="Q63" s="32">
        <f t="shared" si="7"/>
        <v>0</v>
      </c>
      <c r="R63" s="32">
        <f t="shared" si="7"/>
        <v>0</v>
      </c>
      <c r="S63" s="32">
        <f t="shared" si="7"/>
        <v>0</v>
      </c>
      <c r="T63" s="32">
        <f t="shared" si="7"/>
        <v>0</v>
      </c>
      <c r="U63" s="32">
        <f t="shared" si="7"/>
        <v>0</v>
      </c>
      <c r="V63" s="32">
        <f t="shared" si="7"/>
        <v>0</v>
      </c>
      <c r="W63" s="32">
        <f t="shared" si="7"/>
        <v>0</v>
      </c>
      <c r="X63" s="33">
        <f t="shared" si="7"/>
        <v>0</v>
      </c>
    </row>
    <row r="64" spans="6:24" x14ac:dyDescent="0.35">
      <c r="F64" s="11">
        <v>10</v>
      </c>
      <c r="G64" s="15">
        <v>2030</v>
      </c>
      <c r="H64" s="13">
        <v>0</v>
      </c>
      <c r="I64" s="32">
        <f t="shared" si="7"/>
        <v>0</v>
      </c>
      <c r="J64" s="32">
        <f t="shared" si="7"/>
        <v>0</v>
      </c>
      <c r="K64" s="32">
        <f t="shared" si="7"/>
        <v>0</v>
      </c>
      <c r="L64" s="32">
        <f t="shared" si="7"/>
        <v>0</v>
      </c>
      <c r="M64" s="32">
        <f t="shared" si="7"/>
        <v>0</v>
      </c>
      <c r="N64" s="32">
        <f t="shared" si="7"/>
        <v>0</v>
      </c>
      <c r="O64" s="32">
        <f t="shared" si="7"/>
        <v>0</v>
      </c>
      <c r="P64" s="32">
        <f t="shared" si="7"/>
        <v>0</v>
      </c>
      <c r="Q64" s="32">
        <f t="shared" si="7"/>
        <v>0</v>
      </c>
      <c r="R64" s="32">
        <f t="shared" si="7"/>
        <v>0</v>
      </c>
      <c r="S64" s="32">
        <f t="shared" si="7"/>
        <v>0</v>
      </c>
      <c r="T64" s="32">
        <f t="shared" si="7"/>
        <v>0</v>
      </c>
      <c r="U64" s="32">
        <f t="shared" si="7"/>
        <v>0</v>
      </c>
      <c r="V64" s="32">
        <f t="shared" si="7"/>
        <v>0</v>
      </c>
      <c r="W64" s="32">
        <f t="shared" si="7"/>
        <v>0</v>
      </c>
      <c r="X64" s="33">
        <f t="shared" si="7"/>
        <v>0</v>
      </c>
    </row>
    <row r="65" spans="6:24" x14ac:dyDescent="0.35">
      <c r="F65" s="11">
        <v>11</v>
      </c>
      <c r="G65" s="15">
        <v>2031</v>
      </c>
      <c r="H65" s="13">
        <v>0</v>
      </c>
      <c r="I65" s="32">
        <f t="shared" si="7"/>
        <v>0</v>
      </c>
      <c r="J65" s="32">
        <f t="shared" si="7"/>
        <v>0</v>
      </c>
      <c r="K65" s="32">
        <f t="shared" si="7"/>
        <v>0</v>
      </c>
      <c r="L65" s="32">
        <f t="shared" si="7"/>
        <v>0</v>
      </c>
      <c r="M65" s="32">
        <f t="shared" si="7"/>
        <v>0</v>
      </c>
      <c r="N65" s="32">
        <f t="shared" si="7"/>
        <v>0</v>
      </c>
      <c r="O65" s="32">
        <f t="shared" si="7"/>
        <v>0</v>
      </c>
      <c r="P65" s="32">
        <f t="shared" si="7"/>
        <v>0</v>
      </c>
      <c r="Q65" s="32">
        <f t="shared" si="7"/>
        <v>0</v>
      </c>
      <c r="R65" s="32">
        <f t="shared" si="7"/>
        <v>0</v>
      </c>
      <c r="S65" s="32">
        <f t="shared" si="7"/>
        <v>0</v>
      </c>
      <c r="T65" s="32">
        <f t="shared" si="7"/>
        <v>0</v>
      </c>
      <c r="U65" s="32">
        <f t="shared" si="7"/>
        <v>0</v>
      </c>
      <c r="V65" s="32">
        <f t="shared" si="7"/>
        <v>0</v>
      </c>
      <c r="W65" s="32">
        <f t="shared" si="7"/>
        <v>0</v>
      </c>
      <c r="X65" s="33">
        <f t="shared" si="7"/>
        <v>0</v>
      </c>
    </row>
    <row r="66" spans="6:24" x14ac:dyDescent="0.35">
      <c r="F66" s="11">
        <v>12</v>
      </c>
      <c r="G66" s="15">
        <v>2032</v>
      </c>
      <c r="H66" s="13">
        <v>0</v>
      </c>
      <c r="I66" s="32">
        <f t="shared" si="7"/>
        <v>0</v>
      </c>
      <c r="J66" s="32">
        <f t="shared" si="7"/>
        <v>0</v>
      </c>
      <c r="K66" s="32">
        <f t="shared" si="7"/>
        <v>0</v>
      </c>
      <c r="L66" s="32">
        <f t="shared" si="7"/>
        <v>0</v>
      </c>
      <c r="M66" s="32">
        <f t="shared" si="7"/>
        <v>0</v>
      </c>
      <c r="N66" s="32">
        <f t="shared" si="7"/>
        <v>0</v>
      </c>
      <c r="O66" s="32">
        <f t="shared" si="7"/>
        <v>0</v>
      </c>
      <c r="P66" s="32">
        <f t="shared" si="7"/>
        <v>0</v>
      </c>
      <c r="Q66" s="32">
        <f t="shared" si="7"/>
        <v>0</v>
      </c>
      <c r="R66" s="32">
        <f t="shared" si="7"/>
        <v>0</v>
      </c>
      <c r="S66" s="32">
        <f t="shared" si="7"/>
        <v>0</v>
      </c>
      <c r="T66" s="32">
        <f t="shared" si="7"/>
        <v>0</v>
      </c>
      <c r="U66" s="32">
        <f t="shared" si="7"/>
        <v>0</v>
      </c>
      <c r="V66" s="32">
        <f t="shared" si="7"/>
        <v>0</v>
      </c>
      <c r="W66" s="32">
        <f t="shared" si="7"/>
        <v>0</v>
      </c>
      <c r="X66" s="33">
        <f t="shared" si="7"/>
        <v>0</v>
      </c>
    </row>
    <row r="67" spans="6:24" x14ac:dyDescent="0.35">
      <c r="F67" s="11">
        <v>13</v>
      </c>
      <c r="G67" s="15">
        <v>2033</v>
      </c>
      <c r="H67" s="13">
        <v>0</v>
      </c>
      <c r="I67" s="32">
        <f>IFERROR(I44/$H44,0)</f>
        <v>0</v>
      </c>
      <c r="J67" s="32">
        <f t="shared" si="7"/>
        <v>0</v>
      </c>
      <c r="K67" s="32">
        <f t="shared" si="7"/>
        <v>0</v>
      </c>
      <c r="L67" s="32">
        <f t="shared" si="7"/>
        <v>0</v>
      </c>
      <c r="M67" s="32">
        <f t="shared" si="7"/>
        <v>0</v>
      </c>
      <c r="N67" s="32">
        <f t="shared" si="7"/>
        <v>0</v>
      </c>
      <c r="O67" s="32">
        <f t="shared" si="7"/>
        <v>0</v>
      </c>
      <c r="P67" s="32">
        <f t="shared" si="7"/>
        <v>0</v>
      </c>
      <c r="Q67" s="32">
        <f t="shared" si="7"/>
        <v>0</v>
      </c>
      <c r="R67" s="32">
        <f t="shared" si="7"/>
        <v>0</v>
      </c>
      <c r="S67" s="32">
        <f t="shared" si="7"/>
        <v>0</v>
      </c>
      <c r="T67" s="32">
        <f t="shared" si="7"/>
        <v>0</v>
      </c>
      <c r="U67" s="32">
        <f t="shared" si="7"/>
        <v>0</v>
      </c>
      <c r="V67" s="32">
        <f t="shared" si="7"/>
        <v>0</v>
      </c>
      <c r="W67" s="32">
        <f t="shared" si="7"/>
        <v>0</v>
      </c>
      <c r="X67" s="33">
        <f t="shared" si="7"/>
        <v>0</v>
      </c>
    </row>
    <row r="68" spans="6:24" x14ac:dyDescent="0.35">
      <c r="F68" s="11">
        <v>14</v>
      </c>
      <c r="G68" s="15">
        <v>2034</v>
      </c>
      <c r="H68" s="13">
        <v>0</v>
      </c>
      <c r="I68" s="32">
        <f t="shared" ref="I68:X69" si="8">IFERROR(I45/$H45,0)</f>
        <v>0</v>
      </c>
      <c r="J68" s="32">
        <f t="shared" si="8"/>
        <v>0</v>
      </c>
      <c r="K68" s="32">
        <f t="shared" si="8"/>
        <v>0</v>
      </c>
      <c r="L68" s="32">
        <f t="shared" si="8"/>
        <v>0</v>
      </c>
      <c r="M68" s="32">
        <f t="shared" si="8"/>
        <v>0</v>
      </c>
      <c r="N68" s="32">
        <f t="shared" si="8"/>
        <v>0</v>
      </c>
      <c r="O68" s="32">
        <f t="shared" si="8"/>
        <v>0</v>
      </c>
      <c r="P68" s="32">
        <f t="shared" si="8"/>
        <v>0</v>
      </c>
      <c r="Q68" s="32">
        <f t="shared" si="8"/>
        <v>0</v>
      </c>
      <c r="R68" s="32">
        <f t="shared" si="8"/>
        <v>0</v>
      </c>
      <c r="S68" s="32">
        <f t="shared" si="8"/>
        <v>0</v>
      </c>
      <c r="T68" s="32">
        <f t="shared" si="8"/>
        <v>0</v>
      </c>
      <c r="U68" s="32">
        <f t="shared" si="8"/>
        <v>0</v>
      </c>
      <c r="V68" s="32">
        <f t="shared" si="8"/>
        <v>0</v>
      </c>
      <c r="W68" s="32">
        <f t="shared" si="8"/>
        <v>0</v>
      </c>
      <c r="X68" s="33">
        <f t="shared" si="8"/>
        <v>0</v>
      </c>
    </row>
    <row r="69" spans="6:24" ht="15" thickBot="1" x14ac:dyDescent="0.4">
      <c r="F69" s="39" t="s">
        <v>0</v>
      </c>
      <c r="G69" s="40"/>
      <c r="H69" s="27">
        <v>118674249478.72034</v>
      </c>
      <c r="I69" s="34">
        <f t="shared" si="8"/>
        <v>4.8242657033668972E-2</v>
      </c>
      <c r="J69" s="34">
        <f t="shared" si="8"/>
        <v>4.8866351478042143E-2</v>
      </c>
      <c r="K69" s="34">
        <f t="shared" si="8"/>
        <v>8.0689655368302943E-2</v>
      </c>
      <c r="L69" s="34">
        <f t="shared" si="8"/>
        <v>0.11199304854329963</v>
      </c>
      <c r="M69" s="34">
        <f t="shared" si="8"/>
        <v>0.17981640617694788</v>
      </c>
      <c r="N69" s="34">
        <f t="shared" si="8"/>
        <v>0.21987939674882115</v>
      </c>
      <c r="O69" s="34">
        <f t="shared" si="8"/>
        <v>0.14976305621074837</v>
      </c>
      <c r="P69" s="34">
        <f t="shared" si="8"/>
        <v>7.5927880882581247E-2</v>
      </c>
      <c r="Q69" s="34">
        <f t="shared" si="8"/>
        <v>6.8283902033128216E-2</v>
      </c>
      <c r="R69" s="34">
        <f t="shared" si="8"/>
        <v>1.4116973681138838E-2</v>
      </c>
      <c r="S69" s="34">
        <f t="shared" si="8"/>
        <v>2.4143268156195594E-3</v>
      </c>
      <c r="T69" s="34">
        <f t="shared" si="8"/>
        <v>1.4156398775466816E-6</v>
      </c>
      <c r="U69" s="34">
        <f t="shared" si="8"/>
        <v>1.4156398775466816E-6</v>
      </c>
      <c r="V69" s="34">
        <f t="shared" si="8"/>
        <v>1.4156398775466816E-6</v>
      </c>
      <c r="W69" s="34">
        <f t="shared" si="8"/>
        <v>2.098108065512957E-6</v>
      </c>
      <c r="X69" s="35">
        <f t="shared" si="8"/>
        <v>0.99999999999999722</v>
      </c>
    </row>
    <row r="70" spans="6:24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12">
    <mergeCell ref="F30:H30"/>
    <mergeCell ref="J30:X30"/>
    <mergeCell ref="F8:X8"/>
    <mergeCell ref="F9:H9"/>
    <mergeCell ref="J9:X9"/>
    <mergeCell ref="F25:G25"/>
    <mergeCell ref="F29:X29"/>
    <mergeCell ref="F46:G46"/>
    <mergeCell ref="F52:X52"/>
    <mergeCell ref="F53:H53"/>
    <mergeCell ref="J53:X53"/>
    <mergeCell ref="F69:G69"/>
  </mergeCells>
  <printOptions horizontalCentered="1"/>
  <pageMargins left="0.7" right="0.7" top="0.75" bottom="0.75" header="0.3" footer="0.3"/>
  <pageSetup scale="33" pageOrder="overThenDown" orientation="landscape" r:id="rId1"/>
  <colBreaks count="1" manualBreakCount="1">
    <brk id="9" min="28" max="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3FE3-E2FA-49CF-BF1B-AFA307B5C491}">
  <sheetPr>
    <tabColor rgb="FF00B050"/>
    <pageSetUpPr fitToPage="1"/>
  </sheetPr>
  <dimension ref="E1:AA70"/>
  <sheetViews>
    <sheetView view="pageBreakPreview" topLeftCell="E28" zoomScale="85" zoomScaleNormal="85" zoomScaleSheetLayoutView="85" workbookViewId="0">
      <selection activeCell="K34" sqref="K34"/>
    </sheetView>
  </sheetViews>
  <sheetFormatPr defaultColWidth="9.1796875" defaultRowHeight="14.5" x14ac:dyDescent="0.35"/>
  <cols>
    <col min="1" max="4" width="0" hidden="1" customWidth="1"/>
    <col min="6" max="6" width="8.26953125" bestFit="1" customWidth="1"/>
    <col min="7" max="7" width="23.453125" bestFit="1" customWidth="1"/>
    <col min="8" max="8" width="20.1796875" bestFit="1" customWidth="1"/>
    <col min="9" max="12" width="18.7265625" bestFit="1" customWidth="1"/>
    <col min="13" max="15" width="20.1796875" bestFit="1" customWidth="1"/>
    <col min="16" max="17" width="18.7265625" bestFit="1" customWidth="1"/>
    <col min="18" max="19" width="20.1796875" bestFit="1" customWidth="1"/>
    <col min="20" max="21" width="18.7265625" bestFit="1" customWidth="1"/>
    <col min="22" max="22" width="16.81640625" bestFit="1" customWidth="1"/>
    <col min="23" max="23" width="14.1796875" bestFit="1" customWidth="1"/>
    <col min="24" max="24" width="21.453125" bestFit="1" customWidth="1"/>
    <col min="26" max="26" width="12" bestFit="1" customWidth="1"/>
  </cols>
  <sheetData>
    <row r="1" spans="5:24" hidden="1" x14ac:dyDescent="0.3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5:24" hidden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5:24" hidden="1" x14ac:dyDescent="0.3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5:24" hidden="1" x14ac:dyDescent="0.3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5:24" hidden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5:24" hidden="1" x14ac:dyDescent="0.3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5:24" hidden="1" x14ac:dyDescent="0.3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5:24" hidden="1" x14ac:dyDescent="0.35">
      <c r="E8" s="1"/>
      <c r="F8" s="50" t="s">
        <v>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5:24" hidden="1" x14ac:dyDescent="0.35">
      <c r="E9" s="1"/>
      <c r="F9" s="51" t="s">
        <v>1</v>
      </c>
      <c r="G9" s="52"/>
      <c r="H9" s="53"/>
      <c r="I9" s="2"/>
      <c r="J9" s="54" t="s">
        <v>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5:24" hidden="1" x14ac:dyDescent="0.35">
      <c r="E10" s="1"/>
      <c r="F10" s="3" t="s">
        <v>3</v>
      </c>
      <c r="G10" s="4" t="s">
        <v>4</v>
      </c>
      <c r="H10" s="5" t="s">
        <v>5</v>
      </c>
      <c r="I10" s="5" t="s">
        <v>6</v>
      </c>
      <c r="J10" s="6">
        <v>2022</v>
      </c>
      <c r="K10" s="7">
        <v>2023</v>
      </c>
      <c r="L10" s="7">
        <v>2024</v>
      </c>
      <c r="M10" s="7">
        <v>2025</v>
      </c>
      <c r="N10" s="7">
        <v>2026</v>
      </c>
      <c r="O10" s="7">
        <v>2027</v>
      </c>
      <c r="P10" s="7">
        <v>2028</v>
      </c>
      <c r="Q10" s="8">
        <v>2029</v>
      </c>
      <c r="R10" s="8">
        <v>2030</v>
      </c>
      <c r="S10" s="8">
        <v>2031</v>
      </c>
      <c r="T10" s="8">
        <f>+S10+1</f>
        <v>2032</v>
      </c>
      <c r="U10" s="8">
        <f>+T10+1</f>
        <v>2033</v>
      </c>
      <c r="V10" s="8">
        <f>+U10+1</f>
        <v>2034</v>
      </c>
      <c r="W10" s="9" t="s">
        <v>7</v>
      </c>
      <c r="X10" s="9" t="s">
        <v>0</v>
      </c>
    </row>
    <row r="11" spans="5:24" hidden="1" x14ac:dyDescent="0.35">
      <c r="E11" s="10">
        <v>2021</v>
      </c>
      <c r="F11" s="11">
        <v>1</v>
      </c>
      <c r="G11" s="12" t="s">
        <v>8</v>
      </c>
      <c r="H11" s="13">
        <v>6847518116.0100212</v>
      </c>
      <c r="I11" s="13">
        <v>3499768387.7099938</v>
      </c>
      <c r="J11" s="13">
        <v>1200129245.6399982</v>
      </c>
      <c r="K11" s="13">
        <v>1089693791.8699985</v>
      </c>
      <c r="L11" s="13">
        <v>572886832.40999949</v>
      </c>
      <c r="M11" s="13">
        <v>443033758.36999983</v>
      </c>
      <c r="N11" s="13">
        <v>42006100.010000005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f>SUM(I11:W11)</f>
        <v>6847518116.0099897</v>
      </c>
    </row>
    <row r="12" spans="5:24" hidden="1" x14ac:dyDescent="0.35">
      <c r="E12" s="10">
        <v>2022</v>
      </c>
      <c r="F12" s="11">
        <f>+F11+1</f>
        <v>2</v>
      </c>
      <c r="G12" s="14">
        <v>2022</v>
      </c>
      <c r="H12" s="13">
        <v>10507892623.29998</v>
      </c>
      <c r="I12" s="13">
        <v>0</v>
      </c>
      <c r="J12" s="13">
        <v>2471005067.4700112</v>
      </c>
      <c r="K12" s="13">
        <v>1869643603.6899965</v>
      </c>
      <c r="L12" s="13">
        <v>1402640076.4200039</v>
      </c>
      <c r="M12" s="13">
        <v>1566402763.2600045</v>
      </c>
      <c r="N12" s="13">
        <v>2445021181.8100028</v>
      </c>
      <c r="O12" s="13">
        <v>585334223.49000001</v>
      </c>
      <c r="P12" s="13">
        <v>167845707.15999976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f t="shared" ref="X12:X24" si="0">SUM(I12:W12)</f>
        <v>10507892623.300018</v>
      </c>
    </row>
    <row r="13" spans="5:24" hidden="1" x14ac:dyDescent="0.35">
      <c r="E13" s="10">
        <v>2023</v>
      </c>
      <c r="F13" s="11">
        <f t="shared" ref="F13:F24" si="1">+F12+1</f>
        <v>3</v>
      </c>
      <c r="G13" s="14">
        <v>2023</v>
      </c>
      <c r="H13" s="13">
        <v>15486039102.690033</v>
      </c>
      <c r="I13" s="13">
        <v>0</v>
      </c>
      <c r="J13" s="13">
        <v>0</v>
      </c>
      <c r="K13" s="13">
        <v>3672582446.7100005</v>
      </c>
      <c r="L13" s="13">
        <v>2944496752.5599923</v>
      </c>
      <c r="M13" s="13">
        <v>3306026081.9199939</v>
      </c>
      <c r="N13" s="13">
        <v>4391179075.3399982</v>
      </c>
      <c r="O13" s="13">
        <v>1168273770.990001</v>
      </c>
      <c r="P13" s="13">
        <v>3480975.17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f t="shared" si="0"/>
        <v>15486039102.689987</v>
      </c>
    </row>
    <row r="14" spans="5:24" hidden="1" x14ac:dyDescent="0.35">
      <c r="E14" s="10">
        <v>2024</v>
      </c>
      <c r="F14" s="11">
        <f t="shared" si="1"/>
        <v>4</v>
      </c>
      <c r="G14" s="14">
        <v>2024</v>
      </c>
      <c r="H14" s="13">
        <v>21548247510.460155</v>
      </c>
      <c r="I14" s="13">
        <v>4005728</v>
      </c>
      <c r="J14" s="13">
        <v>0</v>
      </c>
      <c r="K14" s="13">
        <v>0</v>
      </c>
      <c r="L14" s="13">
        <v>4862809380.6499844</v>
      </c>
      <c r="M14" s="13">
        <v>3991751120.9300299</v>
      </c>
      <c r="N14" s="13">
        <v>5672452402.8400345</v>
      </c>
      <c r="O14" s="13">
        <v>5047614771.4399986</v>
      </c>
      <c r="P14" s="13">
        <v>1705448341.1600015</v>
      </c>
      <c r="Q14" s="13">
        <v>264165765.44000003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21548247510.460045</v>
      </c>
    </row>
    <row r="15" spans="5:24" hidden="1" x14ac:dyDescent="0.35">
      <c r="E15" s="10">
        <v>2025</v>
      </c>
      <c r="F15" s="11">
        <f t="shared" si="1"/>
        <v>5</v>
      </c>
      <c r="G15" s="14">
        <v>2025</v>
      </c>
      <c r="H15" s="13">
        <v>27966619430.880154</v>
      </c>
      <c r="I15" s="13">
        <v>0</v>
      </c>
      <c r="J15" s="13">
        <v>0</v>
      </c>
      <c r="K15" s="13">
        <v>0</v>
      </c>
      <c r="L15" s="13">
        <v>0</v>
      </c>
      <c r="M15" s="13">
        <v>6256137400.0200071</v>
      </c>
      <c r="N15" s="13">
        <v>5656406464.8700113</v>
      </c>
      <c r="O15" s="13">
        <v>6235294923.3200254</v>
      </c>
      <c r="P15" s="13">
        <v>4438538510.2000017</v>
      </c>
      <c r="Q15" s="13">
        <v>4595326944.1899843</v>
      </c>
      <c r="R15" s="13">
        <v>638156753.2900002</v>
      </c>
      <c r="S15" s="13">
        <v>146088978.98999998</v>
      </c>
      <c r="T15" s="13">
        <v>168000</v>
      </c>
      <c r="U15" s="13">
        <v>168000</v>
      </c>
      <c r="V15" s="13">
        <v>168000</v>
      </c>
      <c r="W15" s="13">
        <v>165456</v>
      </c>
      <c r="X15" s="13">
        <f t="shared" si="0"/>
        <v>27966619430.880032</v>
      </c>
    </row>
    <row r="16" spans="5:24" hidden="1" x14ac:dyDescent="0.35">
      <c r="E16" s="10">
        <v>2026</v>
      </c>
      <c r="F16" s="11">
        <f t="shared" si="1"/>
        <v>6</v>
      </c>
      <c r="G16" s="14">
        <v>2026</v>
      </c>
      <c r="H16" s="13">
        <v>5978827214.6699762</v>
      </c>
      <c r="I16" s="13">
        <v>923894</v>
      </c>
      <c r="J16" s="13">
        <v>0</v>
      </c>
      <c r="K16" s="13">
        <v>0</v>
      </c>
      <c r="L16" s="13">
        <v>0</v>
      </c>
      <c r="M16" s="13">
        <v>0</v>
      </c>
      <c r="N16" s="13">
        <v>1707050351.1199987</v>
      </c>
      <c r="O16" s="13">
        <v>984045305.24999309</v>
      </c>
      <c r="P16" s="13">
        <v>913900467.51000106</v>
      </c>
      <c r="Q16" s="13">
        <v>1715126024.23</v>
      </c>
      <c r="R16" s="13">
        <v>627651743.16999948</v>
      </c>
      <c r="S16" s="13">
        <v>30129429.390000001</v>
      </c>
      <c r="T16" s="13">
        <v>0</v>
      </c>
      <c r="U16" s="13">
        <v>0</v>
      </c>
      <c r="V16" s="13">
        <v>0</v>
      </c>
      <c r="W16" s="13">
        <v>0</v>
      </c>
      <c r="X16" s="13">
        <f t="shared" si="0"/>
        <v>5978827214.6699924</v>
      </c>
    </row>
    <row r="17" spans="5:27" hidden="1" x14ac:dyDescent="0.35">
      <c r="E17" s="10">
        <v>2027</v>
      </c>
      <c r="F17" s="11">
        <f t="shared" si="1"/>
        <v>7</v>
      </c>
      <c r="G17" s="14">
        <v>2027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f t="shared" si="0"/>
        <v>0</v>
      </c>
      <c r="Y17" s="1"/>
      <c r="Z17" s="1"/>
      <c r="AA17" s="1"/>
    </row>
    <row r="18" spans="5:27" hidden="1" x14ac:dyDescent="0.35">
      <c r="E18" s="10">
        <v>2028</v>
      </c>
      <c r="F18" s="11">
        <f t="shared" si="1"/>
        <v>8</v>
      </c>
      <c r="G18" s="14">
        <v>2028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  <c r="Y18" s="1"/>
      <c r="Z18" s="1"/>
      <c r="AA18" s="1"/>
    </row>
    <row r="19" spans="5:27" hidden="1" x14ac:dyDescent="0.35">
      <c r="E19" s="10">
        <v>2029</v>
      </c>
      <c r="F19" s="11">
        <f t="shared" si="1"/>
        <v>9</v>
      </c>
      <c r="G19" s="14">
        <v>2029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f t="shared" si="0"/>
        <v>0</v>
      </c>
      <c r="Y19" s="1"/>
      <c r="Z19" s="1"/>
      <c r="AA19" s="1"/>
    </row>
    <row r="20" spans="5:27" hidden="1" x14ac:dyDescent="0.35">
      <c r="E20" s="10">
        <f>+E19+1</f>
        <v>2030</v>
      </c>
      <c r="F20" s="11">
        <f t="shared" si="1"/>
        <v>10</v>
      </c>
      <c r="G20" s="14">
        <f>E20</f>
        <v>2030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f t="shared" si="0"/>
        <v>0</v>
      </c>
      <c r="Y20" s="1"/>
      <c r="Z20" s="1"/>
      <c r="AA20" s="1"/>
    </row>
    <row r="21" spans="5:27" hidden="1" x14ac:dyDescent="0.35">
      <c r="E21" s="10">
        <f>+E20+1</f>
        <v>2031</v>
      </c>
      <c r="F21" s="11">
        <f t="shared" si="1"/>
        <v>11</v>
      </c>
      <c r="G21" s="14">
        <f>E21</f>
        <v>2031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f t="shared" si="0"/>
        <v>0</v>
      </c>
      <c r="Y21" s="1"/>
      <c r="Z21" s="1"/>
      <c r="AA21" s="1"/>
    </row>
    <row r="22" spans="5:27" hidden="1" x14ac:dyDescent="0.35">
      <c r="E22" s="10">
        <f>+E21+1</f>
        <v>2032</v>
      </c>
      <c r="F22" s="11">
        <f t="shared" si="1"/>
        <v>12</v>
      </c>
      <c r="G22" s="14">
        <f>E22</f>
        <v>2032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f t="shared" si="0"/>
        <v>0</v>
      </c>
      <c r="Y22" s="1"/>
      <c r="Z22" s="1"/>
      <c r="AA22" s="1"/>
    </row>
    <row r="23" spans="5:27" hidden="1" x14ac:dyDescent="0.35">
      <c r="E23" s="10">
        <f>+E22+1</f>
        <v>2033</v>
      </c>
      <c r="F23" s="11">
        <f t="shared" si="1"/>
        <v>13</v>
      </c>
      <c r="G23" s="14">
        <f>E23</f>
        <v>2033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f t="shared" si="0"/>
        <v>0</v>
      </c>
      <c r="Y23" s="1"/>
      <c r="Z23" s="1"/>
      <c r="AA23" s="1"/>
    </row>
    <row r="24" spans="5:27" hidden="1" x14ac:dyDescent="0.35">
      <c r="E24" s="10">
        <f>+E23+1</f>
        <v>2034</v>
      </c>
      <c r="F24" s="11">
        <f t="shared" si="1"/>
        <v>14</v>
      </c>
      <c r="G24" s="14">
        <f>E24</f>
        <v>2034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f t="shared" si="0"/>
        <v>0</v>
      </c>
      <c r="Y24" s="1"/>
      <c r="Z24" s="1"/>
      <c r="AA24" s="1"/>
    </row>
    <row r="25" spans="5:27" hidden="1" x14ac:dyDescent="0.35">
      <c r="E25" s="1"/>
      <c r="F25" s="57" t="s">
        <v>0</v>
      </c>
      <c r="G25" s="57"/>
      <c r="H25" s="16">
        <f>SUM(H11:H24)</f>
        <v>88335143998.01033</v>
      </c>
      <c r="I25" s="16">
        <f t="shared" ref="I25:X25" si="2">SUM(I11:I24)</f>
        <v>3504698009.7099938</v>
      </c>
      <c r="J25" s="16">
        <f t="shared" si="2"/>
        <v>3671134313.1100092</v>
      </c>
      <c r="K25" s="16">
        <f t="shared" si="2"/>
        <v>6631919842.2699947</v>
      </c>
      <c r="L25" s="16">
        <f t="shared" si="2"/>
        <v>9782833042.0399799</v>
      </c>
      <c r="M25" s="16">
        <f t="shared" si="2"/>
        <v>15563351124.500034</v>
      </c>
      <c r="N25" s="16">
        <f t="shared" si="2"/>
        <v>19914115575.990047</v>
      </c>
      <c r="O25" s="16">
        <f t="shared" si="2"/>
        <v>14020562994.490017</v>
      </c>
      <c r="P25" s="16">
        <f t="shared" si="2"/>
        <v>7229214001.2000036</v>
      </c>
      <c r="Q25" s="16">
        <f t="shared" si="2"/>
        <v>6574618733.8599834</v>
      </c>
      <c r="R25" s="16">
        <f t="shared" si="2"/>
        <v>1265808496.4599996</v>
      </c>
      <c r="S25" s="16">
        <f t="shared" si="2"/>
        <v>176218408.38</v>
      </c>
      <c r="T25" s="16">
        <f t="shared" si="2"/>
        <v>168000</v>
      </c>
      <c r="U25" s="16">
        <f t="shared" si="2"/>
        <v>168000</v>
      </c>
      <c r="V25" s="16">
        <f t="shared" si="2"/>
        <v>168000</v>
      </c>
      <c r="W25" s="16">
        <f t="shared" si="2"/>
        <v>165456</v>
      </c>
      <c r="X25" s="16">
        <f t="shared" si="2"/>
        <v>88335143998.010071</v>
      </c>
      <c r="Y25" s="1"/>
      <c r="Z25" s="1"/>
      <c r="AA25" s="36"/>
    </row>
    <row r="26" spans="5:27" hidden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8" spans="5:27" ht="15" thickBot="1" x14ac:dyDescent="0.4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5:27" x14ac:dyDescent="0.35">
      <c r="E29" s="1"/>
      <c r="F29" s="41" t="s">
        <v>9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  <c r="Y29" s="1"/>
      <c r="Z29" s="1"/>
      <c r="AA29" s="1"/>
    </row>
    <row r="30" spans="5:27" x14ac:dyDescent="0.35">
      <c r="E30" s="1"/>
      <c r="F30" s="44" t="s">
        <v>1</v>
      </c>
      <c r="G30" s="45"/>
      <c r="H30" s="46"/>
      <c r="I30" s="17"/>
      <c r="J30" s="47" t="s">
        <v>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  <c r="Y30" s="1"/>
      <c r="Z30" s="1"/>
      <c r="AA30" s="1"/>
    </row>
    <row r="31" spans="5:27" x14ac:dyDescent="0.35">
      <c r="E31" s="1"/>
      <c r="F31" s="18" t="s">
        <v>3</v>
      </c>
      <c r="G31" s="18" t="str">
        <f>G10</f>
        <v>Year</v>
      </c>
      <c r="H31" s="19" t="str">
        <f t="shared" ref="H31:X31" si="3">H10</f>
        <v>Purchase price</v>
      </c>
      <c r="I31" s="20" t="str">
        <f t="shared" si="3"/>
        <v>Before 2022</v>
      </c>
      <c r="J31" s="21">
        <f t="shared" si="3"/>
        <v>2022</v>
      </c>
      <c r="K31" s="22">
        <f t="shared" si="3"/>
        <v>2023</v>
      </c>
      <c r="L31" s="22">
        <f t="shared" si="3"/>
        <v>2024</v>
      </c>
      <c r="M31" s="22">
        <f t="shared" si="3"/>
        <v>2025</v>
      </c>
      <c r="N31" s="22">
        <f t="shared" si="3"/>
        <v>2026</v>
      </c>
      <c r="O31" s="22">
        <f t="shared" si="3"/>
        <v>2027</v>
      </c>
      <c r="P31" s="22">
        <f t="shared" si="3"/>
        <v>2028</v>
      </c>
      <c r="Q31" s="23">
        <f t="shared" si="3"/>
        <v>2029</v>
      </c>
      <c r="R31" s="23">
        <f t="shared" si="3"/>
        <v>2030</v>
      </c>
      <c r="S31" s="23">
        <f t="shared" si="3"/>
        <v>2031</v>
      </c>
      <c r="T31" s="23">
        <f t="shared" si="3"/>
        <v>2032</v>
      </c>
      <c r="U31" s="23">
        <f t="shared" si="3"/>
        <v>2033</v>
      </c>
      <c r="V31" s="23">
        <f t="shared" si="3"/>
        <v>2034</v>
      </c>
      <c r="W31" s="24" t="str">
        <f t="shared" si="3"/>
        <v>beyond 2035</v>
      </c>
      <c r="X31" s="25" t="str">
        <f t="shared" si="3"/>
        <v>Total</v>
      </c>
      <c r="Y31" s="1"/>
      <c r="Z31" s="1"/>
      <c r="AA31" s="1"/>
    </row>
    <row r="32" spans="5:27" ht="15.75" customHeight="1" x14ac:dyDescent="0.35">
      <c r="E32" s="1"/>
      <c r="F32" s="37">
        <f>F11</f>
        <v>1</v>
      </c>
      <c r="G32" s="15" t="str">
        <f>G11</f>
        <v>Before 2021 and 2021</v>
      </c>
      <c r="H32" s="26" cm="1">
        <f t="array" ref="H32:H45">H11:H24</f>
        <v>6847518116.0100212</v>
      </c>
      <c r="I32" s="28" cm="1">
        <f t="array" ref="I32:X32">I11:X11</f>
        <v>3499768387.7099938</v>
      </c>
      <c r="J32" s="28">
        <v>1200129245.6399982</v>
      </c>
      <c r="K32" s="28">
        <v>1089693791.8699985</v>
      </c>
      <c r="L32" s="28">
        <v>572886832.40999949</v>
      </c>
      <c r="M32" s="28">
        <v>443033758.36999983</v>
      </c>
      <c r="N32" s="28">
        <v>42006100.010000005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9">
        <v>6847518116.0099897</v>
      </c>
      <c r="Y32" s="1"/>
      <c r="Z32" s="1"/>
      <c r="AA32" s="1"/>
    </row>
    <row r="33" spans="6:24" x14ac:dyDescent="0.35">
      <c r="F33" s="37">
        <f t="shared" ref="F33:G45" si="4">F12</f>
        <v>2</v>
      </c>
      <c r="G33" s="15">
        <f t="shared" si="4"/>
        <v>2022</v>
      </c>
      <c r="H33" s="13">
        <v>10507892623.29998</v>
      </c>
      <c r="I33" s="28"/>
      <c r="J33" s="28">
        <f>SUM(I12:J12)</f>
        <v>2471005067.4700112</v>
      </c>
      <c r="K33" s="28" cm="1">
        <f t="array" ref="K33:X33">K12:X12</f>
        <v>1869643603.6899965</v>
      </c>
      <c r="L33" s="28">
        <v>1402640076.4200039</v>
      </c>
      <c r="M33" s="28">
        <v>1566402763.2600045</v>
      </c>
      <c r="N33" s="28">
        <v>2445021181.8100028</v>
      </c>
      <c r="O33" s="28">
        <v>585334223.49000001</v>
      </c>
      <c r="P33" s="28">
        <v>167845707.15999976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9">
        <v>10507892623.300018</v>
      </c>
    </row>
    <row r="34" spans="6:24" x14ac:dyDescent="0.35">
      <c r="F34" s="37">
        <f t="shared" si="4"/>
        <v>3</v>
      </c>
      <c r="G34" s="15">
        <f t="shared" si="4"/>
        <v>2023</v>
      </c>
      <c r="H34" s="13">
        <v>15486039102.690033</v>
      </c>
      <c r="I34" s="28"/>
      <c r="J34" s="28"/>
      <c r="K34" s="28">
        <f>SUM(I13:K13)</f>
        <v>3672582446.7100005</v>
      </c>
      <c r="L34" s="28" cm="1">
        <f t="array" ref="L34:X34">L13:X13</f>
        <v>2944496752.5599923</v>
      </c>
      <c r="M34" s="28">
        <v>3306026081.9199939</v>
      </c>
      <c r="N34" s="28">
        <v>4391179075.3399982</v>
      </c>
      <c r="O34" s="28">
        <v>1168273770.990001</v>
      </c>
      <c r="P34" s="28">
        <v>3480975.17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9">
        <v>15486039102.689987</v>
      </c>
    </row>
    <row r="35" spans="6:24" x14ac:dyDescent="0.35">
      <c r="F35" s="37">
        <f t="shared" si="4"/>
        <v>4</v>
      </c>
      <c r="G35" s="15">
        <f t="shared" si="4"/>
        <v>2024</v>
      </c>
      <c r="H35" s="13">
        <v>21548247510.460155</v>
      </c>
      <c r="I35" s="28"/>
      <c r="J35" s="28"/>
      <c r="K35" s="28"/>
      <c r="L35" s="28">
        <f>SUM(I14:L14)</f>
        <v>4866815108.6499844</v>
      </c>
      <c r="M35" s="28" cm="1">
        <f t="array" ref="M35:X35">M14:X14</f>
        <v>3991751120.9300299</v>
      </c>
      <c r="N35" s="28">
        <v>5672452402.8400345</v>
      </c>
      <c r="O35" s="28">
        <v>5047614771.4399986</v>
      </c>
      <c r="P35" s="28">
        <v>1705448341.1600015</v>
      </c>
      <c r="Q35" s="28">
        <v>264165765.44000003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9">
        <v>21548247510.460045</v>
      </c>
    </row>
    <row r="36" spans="6:24" x14ac:dyDescent="0.35">
      <c r="F36" s="37">
        <f t="shared" si="4"/>
        <v>5</v>
      </c>
      <c r="G36" s="15">
        <f t="shared" si="4"/>
        <v>2025</v>
      </c>
      <c r="H36" s="13">
        <v>27966619430.880154</v>
      </c>
      <c r="I36" s="28"/>
      <c r="J36" s="28"/>
      <c r="K36" s="28"/>
      <c r="L36" s="28"/>
      <c r="M36" s="28">
        <f>SUM(I15:M15)</f>
        <v>6256137400.0200071</v>
      </c>
      <c r="N36" s="28" cm="1">
        <f t="array" ref="N36:X36">N15:X15</f>
        <v>5656406464.8700113</v>
      </c>
      <c r="O36" s="28">
        <v>6235294923.3200254</v>
      </c>
      <c r="P36" s="28">
        <v>4438538510.2000017</v>
      </c>
      <c r="Q36" s="28">
        <v>4595326944.1899843</v>
      </c>
      <c r="R36" s="28">
        <v>638156753.2900002</v>
      </c>
      <c r="S36" s="28">
        <v>146088978.98999998</v>
      </c>
      <c r="T36" s="28">
        <v>168000</v>
      </c>
      <c r="U36" s="28">
        <v>168000</v>
      </c>
      <c r="V36" s="28">
        <v>168000</v>
      </c>
      <c r="W36" s="28">
        <v>165456</v>
      </c>
      <c r="X36" s="29">
        <v>27966619430.880032</v>
      </c>
    </row>
    <row r="37" spans="6:24" x14ac:dyDescent="0.35">
      <c r="F37" s="37">
        <f t="shared" si="4"/>
        <v>6</v>
      </c>
      <c r="G37" s="15">
        <f t="shared" si="4"/>
        <v>2026</v>
      </c>
      <c r="H37" s="13">
        <v>5978827214.6699762</v>
      </c>
      <c r="I37" s="28"/>
      <c r="J37" s="28"/>
      <c r="K37" s="28"/>
      <c r="L37" s="28"/>
      <c r="M37" s="28"/>
      <c r="N37" s="28">
        <f>SUM(I16:N16)</f>
        <v>1707974245.1199987</v>
      </c>
      <c r="O37" s="28" cm="1">
        <f t="array" ref="O37:X37">O16:X16</f>
        <v>984045305.24999309</v>
      </c>
      <c r="P37" s="28">
        <v>913900467.51000106</v>
      </c>
      <c r="Q37" s="28">
        <v>1715126024.23</v>
      </c>
      <c r="R37" s="28">
        <v>627651743.16999948</v>
      </c>
      <c r="S37" s="28">
        <v>30129429.390000001</v>
      </c>
      <c r="T37" s="28">
        <v>0</v>
      </c>
      <c r="U37" s="28">
        <v>0</v>
      </c>
      <c r="V37" s="28">
        <v>0</v>
      </c>
      <c r="W37" s="28">
        <v>0</v>
      </c>
      <c r="X37" s="29">
        <v>5978827214.6699924</v>
      </c>
    </row>
    <row r="38" spans="6:24" x14ac:dyDescent="0.35">
      <c r="F38" s="37">
        <f t="shared" si="4"/>
        <v>7</v>
      </c>
      <c r="G38" s="15">
        <f t="shared" si="4"/>
        <v>2027</v>
      </c>
      <c r="H38" s="13">
        <v>0</v>
      </c>
      <c r="I38" s="28"/>
      <c r="J38" s="28"/>
      <c r="K38" s="28"/>
      <c r="L38" s="28"/>
      <c r="M38" s="28"/>
      <c r="N38" s="28"/>
      <c r="O38" s="28">
        <f>SUM(I17:O17)</f>
        <v>0</v>
      </c>
      <c r="P38" s="28" cm="1">
        <f t="array" ref="P38:X38">P17:X17</f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9">
        <v>0</v>
      </c>
    </row>
    <row r="39" spans="6:24" x14ac:dyDescent="0.35">
      <c r="F39" s="37">
        <f t="shared" si="4"/>
        <v>8</v>
      </c>
      <c r="G39" s="15">
        <f t="shared" si="4"/>
        <v>2028</v>
      </c>
      <c r="H39" s="13">
        <v>0</v>
      </c>
      <c r="I39" s="28"/>
      <c r="J39" s="28"/>
      <c r="K39" s="28"/>
      <c r="L39" s="28"/>
      <c r="M39" s="28"/>
      <c r="N39" s="28"/>
      <c r="O39" s="28"/>
      <c r="P39" s="28">
        <f>SUM(I18:P18)</f>
        <v>0</v>
      </c>
      <c r="Q39" s="28" cm="1">
        <f t="array" ref="Q39:W39">Q19:W19</f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9"/>
    </row>
    <row r="40" spans="6:24" x14ac:dyDescent="0.35">
      <c r="F40" s="37">
        <f t="shared" si="4"/>
        <v>9</v>
      </c>
      <c r="G40" s="15">
        <f t="shared" si="4"/>
        <v>2029</v>
      </c>
      <c r="H40" s="13">
        <v>0</v>
      </c>
      <c r="I40" s="28"/>
      <c r="J40" s="28"/>
      <c r="K40" s="28"/>
      <c r="L40" s="28"/>
      <c r="M40" s="28"/>
      <c r="N40" s="28"/>
      <c r="O40" s="28"/>
      <c r="P40" s="28"/>
      <c r="Q40" s="28">
        <f>SUM(I19:Q19)</f>
        <v>0</v>
      </c>
      <c r="R40" s="28" cm="1">
        <f t="array" ref="R40:W40">R20:W20</f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9"/>
    </row>
    <row r="41" spans="6:24" x14ac:dyDescent="0.35">
      <c r="F41" s="37">
        <f t="shared" si="4"/>
        <v>10</v>
      </c>
      <c r="G41" s="15">
        <f t="shared" si="4"/>
        <v>2030</v>
      </c>
      <c r="H41" s="13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>
        <f>SUM(I20:R20)</f>
        <v>0</v>
      </c>
      <c r="S41" s="28" cm="1">
        <f t="array" ref="S41:X41">S20:X20</f>
        <v>0</v>
      </c>
      <c r="T41" s="28">
        <v>0</v>
      </c>
      <c r="U41" s="28">
        <v>0</v>
      </c>
      <c r="V41" s="28">
        <v>0</v>
      </c>
      <c r="W41" s="28">
        <v>0</v>
      </c>
      <c r="X41" s="29">
        <v>0</v>
      </c>
    </row>
    <row r="42" spans="6:24" x14ac:dyDescent="0.35">
      <c r="F42" s="37">
        <f t="shared" si="4"/>
        <v>11</v>
      </c>
      <c r="G42" s="15">
        <f t="shared" si="4"/>
        <v>2031</v>
      </c>
      <c r="H42" s="13">
        <v>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>
        <f>SUM(I21:S21)</f>
        <v>0</v>
      </c>
      <c r="T42" s="28" cm="1">
        <f t="array" ref="T42:X42">T21:X21</f>
        <v>0</v>
      </c>
      <c r="U42" s="28">
        <v>0</v>
      </c>
      <c r="V42" s="28">
        <v>0</v>
      </c>
      <c r="W42" s="28">
        <v>0</v>
      </c>
      <c r="X42" s="29">
        <v>0</v>
      </c>
    </row>
    <row r="43" spans="6:24" x14ac:dyDescent="0.35">
      <c r="F43" s="37">
        <f t="shared" si="4"/>
        <v>12</v>
      </c>
      <c r="G43" s="15">
        <f t="shared" si="4"/>
        <v>2032</v>
      </c>
      <c r="H43" s="13"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>SUM(I22:T22)</f>
        <v>0</v>
      </c>
      <c r="U43" s="28" cm="1">
        <f t="array" ref="U43:X43">U22:X22</f>
        <v>0</v>
      </c>
      <c r="V43" s="28">
        <v>0</v>
      </c>
      <c r="W43" s="28">
        <v>0</v>
      </c>
      <c r="X43" s="29">
        <v>0</v>
      </c>
    </row>
    <row r="44" spans="6:24" x14ac:dyDescent="0.35">
      <c r="F44" s="37">
        <f t="shared" si="4"/>
        <v>13</v>
      </c>
      <c r="G44" s="15">
        <f t="shared" si="4"/>
        <v>2033</v>
      </c>
      <c r="H44" s="13">
        <v>0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>
        <f>SUM(I24:U24)</f>
        <v>0</v>
      </c>
      <c r="V44" s="28" cm="1">
        <f t="array" ref="V44:X44">V23:X23</f>
        <v>0</v>
      </c>
      <c r="W44" s="28">
        <v>0</v>
      </c>
      <c r="X44" s="29">
        <v>0</v>
      </c>
    </row>
    <row r="45" spans="6:24" x14ac:dyDescent="0.35">
      <c r="F45" s="37">
        <f t="shared" si="4"/>
        <v>14</v>
      </c>
      <c r="G45" s="15">
        <f t="shared" si="4"/>
        <v>2034</v>
      </c>
      <c r="H45" s="13">
        <v>0</v>
      </c>
      <c r="I45" s="28"/>
      <c r="J45" s="28"/>
      <c r="K45" s="28"/>
      <c r="L45" s="28"/>
      <c r="M45" s="28"/>
      <c r="N45" s="28"/>
      <c r="O45" s="28"/>
      <c r="P45" s="28"/>
      <c r="Q45" s="28">
        <f>SUM(I24:Q24)</f>
        <v>0</v>
      </c>
      <c r="R45" s="28"/>
      <c r="S45" s="28"/>
      <c r="T45" s="28"/>
      <c r="U45" s="28"/>
      <c r="V45" s="28">
        <f>SUM(I24:V24)</f>
        <v>0</v>
      </c>
      <c r="W45" s="28" cm="1">
        <f t="array" ref="W45:X45">W24:X24</f>
        <v>0</v>
      </c>
      <c r="X45" s="29">
        <v>0</v>
      </c>
    </row>
    <row r="46" spans="6:24" ht="15" thickBot="1" x14ac:dyDescent="0.4">
      <c r="F46" s="39" t="s">
        <v>0</v>
      </c>
      <c r="G46" s="40"/>
      <c r="H46" s="27">
        <f>SUM(H32:H45)</f>
        <v>88335143998.01033</v>
      </c>
      <c r="I46" s="30">
        <f t="shared" ref="I46:X46" si="5">SUM(I32:I45)</f>
        <v>3499768387.7099938</v>
      </c>
      <c r="J46" s="30">
        <f t="shared" si="5"/>
        <v>3671134313.1100092</v>
      </c>
      <c r="K46" s="30">
        <f t="shared" si="5"/>
        <v>6631919842.2699947</v>
      </c>
      <c r="L46" s="30">
        <f t="shared" si="5"/>
        <v>9786838770.0399799</v>
      </c>
      <c r="M46" s="30">
        <f t="shared" si="5"/>
        <v>15563351124.500034</v>
      </c>
      <c r="N46" s="30">
        <f t="shared" si="5"/>
        <v>19915039469.990047</v>
      </c>
      <c r="O46" s="30">
        <f t="shared" si="5"/>
        <v>14020562994.490017</v>
      </c>
      <c r="P46" s="30">
        <f t="shared" si="5"/>
        <v>7229214001.2000036</v>
      </c>
      <c r="Q46" s="30">
        <f t="shared" si="5"/>
        <v>6574618733.8599834</v>
      </c>
      <c r="R46" s="30">
        <f t="shared" si="5"/>
        <v>1265808496.4599996</v>
      </c>
      <c r="S46" s="30">
        <f t="shared" si="5"/>
        <v>176218408.38</v>
      </c>
      <c r="T46" s="30">
        <f t="shared" si="5"/>
        <v>168000</v>
      </c>
      <c r="U46" s="30">
        <f t="shared" si="5"/>
        <v>168000</v>
      </c>
      <c r="V46" s="30">
        <f t="shared" si="5"/>
        <v>168000</v>
      </c>
      <c r="W46" s="30">
        <f t="shared" si="5"/>
        <v>165456</v>
      </c>
      <c r="X46" s="31">
        <f t="shared" si="5"/>
        <v>88335143998.010071</v>
      </c>
    </row>
    <row r="47" spans="6:24" ht="15" thickBot="1" x14ac:dyDescent="0.4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6:24" ht="15" hidden="1" thickBot="1" x14ac:dyDescent="0.4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6:24" ht="15" hidden="1" thickBot="1" x14ac:dyDescent="0.4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6:24" ht="15" hidden="1" thickBot="1" x14ac:dyDescent="0.4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6:24" ht="15" hidden="1" thickBot="1" x14ac:dyDescent="0.4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6:24" x14ac:dyDescent="0.35">
      <c r="F52" s="41" t="str">
        <f>F29&amp;" %"</f>
        <v>Year On Year Active Total %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3"/>
    </row>
    <row r="53" spans="6:24" x14ac:dyDescent="0.35">
      <c r="F53" s="44" t="s">
        <v>1</v>
      </c>
      <c r="G53" s="45"/>
      <c r="H53" s="46"/>
      <c r="I53" s="17"/>
      <c r="J53" s="47" t="s">
        <v>2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9"/>
    </row>
    <row r="54" spans="6:24" x14ac:dyDescent="0.35">
      <c r="F54" s="18" t="s">
        <v>3</v>
      </c>
      <c r="G54" s="18" t="s">
        <v>4</v>
      </c>
      <c r="H54" s="19" t="s">
        <v>5</v>
      </c>
      <c r="I54" s="20" t="s">
        <v>6</v>
      </c>
      <c r="J54" s="21">
        <v>2022</v>
      </c>
      <c r="K54" s="22">
        <v>2023</v>
      </c>
      <c r="L54" s="22">
        <v>2024</v>
      </c>
      <c r="M54" s="22">
        <v>2025</v>
      </c>
      <c r="N54" s="22">
        <v>2026</v>
      </c>
      <c r="O54" s="22">
        <v>2027</v>
      </c>
      <c r="P54" s="22">
        <v>2028</v>
      </c>
      <c r="Q54" s="23">
        <v>2029</v>
      </c>
      <c r="R54" s="23">
        <v>2030</v>
      </c>
      <c r="S54" s="23">
        <v>2031</v>
      </c>
      <c r="T54" s="23">
        <v>2032</v>
      </c>
      <c r="U54" s="23">
        <v>2033</v>
      </c>
      <c r="V54" s="23">
        <v>2034</v>
      </c>
      <c r="W54" s="24" t="s">
        <v>7</v>
      </c>
      <c r="X54" s="25" t="s">
        <v>0</v>
      </c>
    </row>
    <row r="55" spans="6:24" x14ac:dyDescent="0.35">
      <c r="F55" s="37">
        <v>1</v>
      </c>
      <c r="G55" s="15" t="s">
        <v>8</v>
      </c>
      <c r="H55" s="13" cm="1">
        <f t="array" ref="H55:H69">H11:H25</f>
        <v>6847518116.0100212</v>
      </c>
      <c r="I55" s="32">
        <f>IFERROR(I32/$H32,0)</f>
        <v>0.51110027435009886</v>
      </c>
      <c r="J55" s="32">
        <f t="shared" ref="J55:X55" si="6">IFERROR(J32/$H32,0)</f>
        <v>0.17526485148451149</v>
      </c>
      <c r="K55" s="32">
        <f t="shared" si="6"/>
        <v>0.15913704402215614</v>
      </c>
      <c r="L55" s="32">
        <f t="shared" si="6"/>
        <v>8.3663427055497119E-2</v>
      </c>
      <c r="M55" s="32">
        <f t="shared" si="6"/>
        <v>6.4699903069135811E-2</v>
      </c>
      <c r="N55" s="32">
        <f t="shared" si="6"/>
        <v>6.1345000185960121E-3</v>
      </c>
      <c r="O55" s="32">
        <f t="shared" si="6"/>
        <v>0</v>
      </c>
      <c r="P55" s="32">
        <f t="shared" si="6"/>
        <v>0</v>
      </c>
      <c r="Q55" s="32">
        <f t="shared" si="6"/>
        <v>0</v>
      </c>
      <c r="R55" s="32">
        <f t="shared" si="6"/>
        <v>0</v>
      </c>
      <c r="S55" s="32">
        <f t="shared" si="6"/>
        <v>0</v>
      </c>
      <c r="T55" s="32">
        <f t="shared" si="6"/>
        <v>0</v>
      </c>
      <c r="U55" s="32">
        <f t="shared" si="6"/>
        <v>0</v>
      </c>
      <c r="V55" s="32">
        <f t="shared" si="6"/>
        <v>0</v>
      </c>
      <c r="W55" s="32">
        <f t="shared" si="6"/>
        <v>0</v>
      </c>
      <c r="X55" s="33">
        <f t="shared" si="6"/>
        <v>0.99999999999999545</v>
      </c>
    </row>
    <row r="56" spans="6:24" x14ac:dyDescent="0.35">
      <c r="F56" s="37">
        <v>2</v>
      </c>
      <c r="G56" s="15">
        <v>2022</v>
      </c>
      <c r="H56" s="13">
        <v>10507892623.29998</v>
      </c>
      <c r="I56" s="32">
        <f t="shared" ref="I56:X67" si="7">IFERROR(I33/$H33,0)</f>
        <v>0</v>
      </c>
      <c r="J56" s="32">
        <f t="shared" si="7"/>
        <v>0.23515705346958499</v>
      </c>
      <c r="K56" s="32">
        <f t="shared" si="7"/>
        <v>0.1779275512907591</v>
      </c>
      <c r="L56" s="32">
        <f t="shared" si="7"/>
        <v>0.13348443181745304</v>
      </c>
      <c r="M56" s="32">
        <f t="shared" si="7"/>
        <v>0.14906916347686081</v>
      </c>
      <c r="N56" s="32">
        <f t="shared" si="7"/>
        <v>0.23268425644057916</v>
      </c>
      <c r="O56" s="32">
        <f t="shared" si="7"/>
        <v>5.5704244844688666E-2</v>
      </c>
      <c r="P56" s="32">
        <f t="shared" si="7"/>
        <v>1.5973298660077875E-2</v>
      </c>
      <c r="Q56" s="32">
        <f t="shared" si="7"/>
        <v>0</v>
      </c>
      <c r="R56" s="32">
        <f t="shared" si="7"/>
        <v>0</v>
      </c>
      <c r="S56" s="32">
        <f t="shared" si="7"/>
        <v>0</v>
      </c>
      <c r="T56" s="32">
        <f t="shared" si="7"/>
        <v>0</v>
      </c>
      <c r="U56" s="32">
        <f t="shared" si="7"/>
        <v>0</v>
      </c>
      <c r="V56" s="32">
        <f t="shared" si="7"/>
        <v>0</v>
      </c>
      <c r="W56" s="32">
        <f t="shared" si="7"/>
        <v>0</v>
      </c>
      <c r="X56" s="33">
        <f t="shared" si="7"/>
        <v>1.0000000000000036</v>
      </c>
    </row>
    <row r="57" spans="6:24" x14ac:dyDescent="0.35">
      <c r="F57" s="37">
        <v>3</v>
      </c>
      <c r="G57" s="15">
        <v>2023</v>
      </c>
      <c r="H57" s="13">
        <v>15486039102.690033</v>
      </c>
      <c r="I57" s="32">
        <f t="shared" si="7"/>
        <v>0</v>
      </c>
      <c r="J57" s="32">
        <f t="shared" si="7"/>
        <v>0</v>
      </c>
      <c r="K57" s="32">
        <f t="shared" si="7"/>
        <v>0.23715440871333246</v>
      </c>
      <c r="L57" s="32">
        <f t="shared" si="7"/>
        <v>0.19013879101264264</v>
      </c>
      <c r="M57" s="32">
        <f t="shared" si="7"/>
        <v>0.21348429123788756</v>
      </c>
      <c r="N57" s="32">
        <f t="shared" si="7"/>
        <v>0.28355727673302983</v>
      </c>
      <c r="O57" s="32">
        <f t="shared" si="7"/>
        <v>7.5440450798491376E-2</v>
      </c>
      <c r="P57" s="32">
        <f t="shared" si="7"/>
        <v>2.2478150461310216E-4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3">
        <f t="shared" si="7"/>
        <v>0.999999999999997</v>
      </c>
    </row>
    <row r="58" spans="6:24" x14ac:dyDescent="0.35">
      <c r="F58" s="37">
        <v>4</v>
      </c>
      <c r="G58" s="15">
        <v>2024</v>
      </c>
      <c r="H58" s="13">
        <v>21548247510.460155</v>
      </c>
      <c r="I58" s="32">
        <f t="shared" si="7"/>
        <v>0</v>
      </c>
      <c r="J58" s="32">
        <f t="shared" si="7"/>
        <v>0</v>
      </c>
      <c r="K58" s="32">
        <f t="shared" si="7"/>
        <v>0</v>
      </c>
      <c r="L58" s="32">
        <f t="shared" si="7"/>
        <v>0.22585665522393358</v>
      </c>
      <c r="M58" s="32">
        <f t="shared" si="7"/>
        <v>0.18524713524811315</v>
      </c>
      <c r="N58" s="32">
        <f t="shared" si="7"/>
        <v>0.26324425687455366</v>
      </c>
      <c r="O58" s="32">
        <f t="shared" si="7"/>
        <v>0.23424711308841878</v>
      </c>
      <c r="P58" s="32">
        <f t="shared" si="7"/>
        <v>7.9145570438251489E-2</v>
      </c>
      <c r="Q58" s="32">
        <f t="shared" si="7"/>
        <v>1.2259269126724396E-2</v>
      </c>
      <c r="R58" s="32">
        <f t="shared" si="7"/>
        <v>0</v>
      </c>
      <c r="S58" s="32">
        <f t="shared" si="7"/>
        <v>0</v>
      </c>
      <c r="T58" s="32">
        <f t="shared" si="7"/>
        <v>0</v>
      </c>
      <c r="U58" s="32">
        <f t="shared" si="7"/>
        <v>0</v>
      </c>
      <c r="V58" s="32">
        <f t="shared" si="7"/>
        <v>0</v>
      </c>
      <c r="W58" s="32">
        <f t="shared" si="7"/>
        <v>0</v>
      </c>
      <c r="X58" s="33">
        <f t="shared" si="7"/>
        <v>0.99999999999999489</v>
      </c>
    </row>
    <row r="59" spans="6:24" x14ac:dyDescent="0.35">
      <c r="F59" s="37">
        <v>5</v>
      </c>
      <c r="G59" s="15">
        <v>2025</v>
      </c>
      <c r="H59" s="13">
        <v>27966619430.880154</v>
      </c>
      <c r="I59" s="32">
        <f t="shared" si="7"/>
        <v>0</v>
      </c>
      <c r="J59" s="32">
        <f t="shared" si="7"/>
        <v>0</v>
      </c>
      <c r="K59" s="32">
        <f t="shared" si="7"/>
        <v>0</v>
      </c>
      <c r="L59" s="32">
        <f t="shared" si="7"/>
        <v>0</v>
      </c>
      <c r="M59" s="32">
        <f t="shared" si="7"/>
        <v>0.22370016567365705</v>
      </c>
      <c r="N59" s="32">
        <f t="shared" si="7"/>
        <v>0.20225563832803925</v>
      </c>
      <c r="O59" s="32">
        <f t="shared" si="7"/>
        <v>0.22295490303111659</v>
      </c>
      <c r="P59" s="32">
        <f t="shared" si="7"/>
        <v>0.15870843886476535</v>
      </c>
      <c r="Q59" s="32">
        <f t="shared" si="7"/>
        <v>0.1643147093822831</v>
      </c>
      <c r="R59" s="32">
        <f t="shared" si="7"/>
        <v>2.2818516012177034E-2</v>
      </c>
      <c r="S59" s="32">
        <f t="shared" si="7"/>
        <v>5.2236910274786946E-3</v>
      </c>
      <c r="T59" s="32">
        <f t="shared" si="7"/>
        <v>6.0071615167937652E-6</v>
      </c>
      <c r="U59" s="32">
        <f t="shared" si="7"/>
        <v>6.0071615167937652E-6</v>
      </c>
      <c r="V59" s="32">
        <f t="shared" si="7"/>
        <v>6.0071615167937652E-6</v>
      </c>
      <c r="W59" s="32">
        <f t="shared" si="7"/>
        <v>5.9161959281108875E-6</v>
      </c>
      <c r="X59" s="33">
        <f t="shared" si="7"/>
        <v>0.99999999999999567</v>
      </c>
    </row>
    <row r="60" spans="6:24" x14ac:dyDescent="0.35">
      <c r="F60" s="37">
        <v>6</v>
      </c>
      <c r="G60" s="15">
        <v>2026</v>
      </c>
      <c r="H60" s="13">
        <v>5978827214.6699762</v>
      </c>
      <c r="I60" s="32">
        <f t="shared" si="7"/>
        <v>0</v>
      </c>
      <c r="J60" s="32">
        <f t="shared" si="7"/>
        <v>0</v>
      </c>
      <c r="K60" s="32">
        <f t="shared" si="7"/>
        <v>0</v>
      </c>
      <c r="L60" s="32">
        <f t="shared" si="7"/>
        <v>0</v>
      </c>
      <c r="M60" s="32">
        <f t="shared" si="7"/>
        <v>0</v>
      </c>
      <c r="N60" s="32">
        <f t="shared" si="7"/>
        <v>0.2856704473628574</v>
      </c>
      <c r="O60" s="32">
        <f t="shared" si="7"/>
        <v>0.16458834984150167</v>
      </c>
      <c r="P60" s="32">
        <f t="shared" si="7"/>
        <v>0.15285614296857503</v>
      </c>
      <c r="Q60" s="32">
        <f t="shared" si="7"/>
        <v>0.28686663164001014</v>
      </c>
      <c r="R60" s="32">
        <f t="shared" si="7"/>
        <v>0.10497907376047914</v>
      </c>
      <c r="S60" s="32">
        <f t="shared" si="7"/>
        <v>5.0393544265793112E-3</v>
      </c>
      <c r="T60" s="32">
        <f t="shared" si="7"/>
        <v>0</v>
      </c>
      <c r="U60" s="32">
        <f t="shared" si="7"/>
        <v>0</v>
      </c>
      <c r="V60" s="32">
        <f t="shared" si="7"/>
        <v>0</v>
      </c>
      <c r="W60" s="32">
        <f t="shared" si="7"/>
        <v>0</v>
      </c>
      <c r="X60" s="33">
        <f t="shared" si="7"/>
        <v>1.0000000000000027</v>
      </c>
    </row>
    <row r="61" spans="6:24" x14ac:dyDescent="0.35">
      <c r="F61" s="37">
        <v>7</v>
      </c>
      <c r="G61" s="15">
        <v>2027</v>
      </c>
      <c r="H61" s="13">
        <v>0</v>
      </c>
      <c r="I61" s="32">
        <f t="shared" si="7"/>
        <v>0</v>
      </c>
      <c r="J61" s="32">
        <f t="shared" si="7"/>
        <v>0</v>
      </c>
      <c r="K61" s="32">
        <f t="shared" si="7"/>
        <v>0</v>
      </c>
      <c r="L61" s="32">
        <f t="shared" si="7"/>
        <v>0</v>
      </c>
      <c r="M61" s="32">
        <f t="shared" si="7"/>
        <v>0</v>
      </c>
      <c r="N61" s="32">
        <f t="shared" si="7"/>
        <v>0</v>
      </c>
      <c r="O61" s="32">
        <f t="shared" si="7"/>
        <v>0</v>
      </c>
      <c r="P61" s="32">
        <f t="shared" si="7"/>
        <v>0</v>
      </c>
      <c r="Q61" s="32">
        <f t="shared" si="7"/>
        <v>0</v>
      </c>
      <c r="R61" s="32">
        <f t="shared" si="7"/>
        <v>0</v>
      </c>
      <c r="S61" s="32">
        <f t="shared" si="7"/>
        <v>0</v>
      </c>
      <c r="T61" s="32">
        <f t="shared" si="7"/>
        <v>0</v>
      </c>
      <c r="U61" s="32">
        <f t="shared" si="7"/>
        <v>0</v>
      </c>
      <c r="V61" s="32">
        <f t="shared" si="7"/>
        <v>0</v>
      </c>
      <c r="W61" s="32">
        <f t="shared" si="7"/>
        <v>0</v>
      </c>
      <c r="X61" s="33">
        <f t="shared" si="7"/>
        <v>0</v>
      </c>
    </row>
    <row r="62" spans="6:24" x14ac:dyDescent="0.35">
      <c r="F62" s="37">
        <v>8</v>
      </c>
      <c r="G62" s="15">
        <v>2028</v>
      </c>
      <c r="H62" s="13">
        <v>0</v>
      </c>
      <c r="I62" s="32">
        <f t="shared" si="7"/>
        <v>0</v>
      </c>
      <c r="J62" s="32">
        <f t="shared" si="7"/>
        <v>0</v>
      </c>
      <c r="K62" s="32">
        <f t="shared" si="7"/>
        <v>0</v>
      </c>
      <c r="L62" s="32">
        <f t="shared" si="7"/>
        <v>0</v>
      </c>
      <c r="M62" s="32">
        <f t="shared" si="7"/>
        <v>0</v>
      </c>
      <c r="N62" s="32">
        <f t="shared" si="7"/>
        <v>0</v>
      </c>
      <c r="O62" s="32">
        <f t="shared" si="7"/>
        <v>0</v>
      </c>
      <c r="P62" s="32">
        <f t="shared" si="7"/>
        <v>0</v>
      </c>
      <c r="Q62" s="32">
        <f t="shared" si="7"/>
        <v>0</v>
      </c>
      <c r="R62" s="32">
        <f t="shared" si="7"/>
        <v>0</v>
      </c>
      <c r="S62" s="32">
        <f t="shared" si="7"/>
        <v>0</v>
      </c>
      <c r="T62" s="32">
        <f t="shared" si="7"/>
        <v>0</v>
      </c>
      <c r="U62" s="32">
        <f t="shared" si="7"/>
        <v>0</v>
      </c>
      <c r="V62" s="32">
        <f t="shared" si="7"/>
        <v>0</v>
      </c>
      <c r="W62" s="32">
        <f t="shared" si="7"/>
        <v>0</v>
      </c>
      <c r="X62" s="33">
        <f t="shared" si="7"/>
        <v>0</v>
      </c>
    </row>
    <row r="63" spans="6:24" x14ac:dyDescent="0.35">
      <c r="F63" s="37">
        <v>9</v>
      </c>
      <c r="G63" s="15">
        <v>2029</v>
      </c>
      <c r="H63" s="13">
        <v>0</v>
      </c>
      <c r="I63" s="32">
        <f t="shared" si="7"/>
        <v>0</v>
      </c>
      <c r="J63" s="32">
        <f t="shared" si="7"/>
        <v>0</v>
      </c>
      <c r="K63" s="32">
        <f t="shared" si="7"/>
        <v>0</v>
      </c>
      <c r="L63" s="32">
        <f t="shared" si="7"/>
        <v>0</v>
      </c>
      <c r="M63" s="32">
        <f t="shared" si="7"/>
        <v>0</v>
      </c>
      <c r="N63" s="32">
        <f t="shared" si="7"/>
        <v>0</v>
      </c>
      <c r="O63" s="32">
        <f t="shared" si="7"/>
        <v>0</v>
      </c>
      <c r="P63" s="32">
        <f t="shared" si="7"/>
        <v>0</v>
      </c>
      <c r="Q63" s="32">
        <f t="shared" si="7"/>
        <v>0</v>
      </c>
      <c r="R63" s="32">
        <f t="shared" si="7"/>
        <v>0</v>
      </c>
      <c r="S63" s="32">
        <f t="shared" si="7"/>
        <v>0</v>
      </c>
      <c r="T63" s="32">
        <f t="shared" si="7"/>
        <v>0</v>
      </c>
      <c r="U63" s="32">
        <f t="shared" si="7"/>
        <v>0</v>
      </c>
      <c r="V63" s="32">
        <f t="shared" si="7"/>
        <v>0</v>
      </c>
      <c r="W63" s="32">
        <f t="shared" si="7"/>
        <v>0</v>
      </c>
      <c r="X63" s="33">
        <f t="shared" si="7"/>
        <v>0</v>
      </c>
    </row>
    <row r="64" spans="6:24" x14ac:dyDescent="0.35">
      <c r="F64" s="37">
        <v>10</v>
      </c>
      <c r="G64" s="15">
        <v>2030</v>
      </c>
      <c r="H64" s="13">
        <v>0</v>
      </c>
      <c r="I64" s="32">
        <f t="shared" si="7"/>
        <v>0</v>
      </c>
      <c r="J64" s="32">
        <f t="shared" si="7"/>
        <v>0</v>
      </c>
      <c r="K64" s="32">
        <f t="shared" si="7"/>
        <v>0</v>
      </c>
      <c r="L64" s="32">
        <f t="shared" si="7"/>
        <v>0</v>
      </c>
      <c r="M64" s="32">
        <f t="shared" si="7"/>
        <v>0</v>
      </c>
      <c r="N64" s="32">
        <f t="shared" si="7"/>
        <v>0</v>
      </c>
      <c r="O64" s="32">
        <f t="shared" si="7"/>
        <v>0</v>
      </c>
      <c r="P64" s="32">
        <f t="shared" si="7"/>
        <v>0</v>
      </c>
      <c r="Q64" s="32">
        <f t="shared" si="7"/>
        <v>0</v>
      </c>
      <c r="R64" s="32">
        <f t="shared" si="7"/>
        <v>0</v>
      </c>
      <c r="S64" s="32">
        <f t="shared" si="7"/>
        <v>0</v>
      </c>
      <c r="T64" s="32">
        <f t="shared" si="7"/>
        <v>0</v>
      </c>
      <c r="U64" s="32">
        <f t="shared" si="7"/>
        <v>0</v>
      </c>
      <c r="V64" s="32">
        <f t="shared" si="7"/>
        <v>0</v>
      </c>
      <c r="W64" s="32">
        <f t="shared" si="7"/>
        <v>0</v>
      </c>
      <c r="X64" s="33">
        <f t="shared" si="7"/>
        <v>0</v>
      </c>
    </row>
    <row r="65" spans="6:24" x14ac:dyDescent="0.35">
      <c r="F65" s="37">
        <v>11</v>
      </c>
      <c r="G65" s="15">
        <v>2031</v>
      </c>
      <c r="H65" s="13">
        <v>0</v>
      </c>
      <c r="I65" s="32">
        <f t="shared" si="7"/>
        <v>0</v>
      </c>
      <c r="J65" s="32">
        <f t="shared" si="7"/>
        <v>0</v>
      </c>
      <c r="K65" s="32">
        <f t="shared" si="7"/>
        <v>0</v>
      </c>
      <c r="L65" s="32">
        <f t="shared" si="7"/>
        <v>0</v>
      </c>
      <c r="M65" s="32">
        <f t="shared" si="7"/>
        <v>0</v>
      </c>
      <c r="N65" s="32">
        <f t="shared" si="7"/>
        <v>0</v>
      </c>
      <c r="O65" s="32">
        <f t="shared" si="7"/>
        <v>0</v>
      </c>
      <c r="P65" s="32">
        <f t="shared" si="7"/>
        <v>0</v>
      </c>
      <c r="Q65" s="32">
        <f t="shared" si="7"/>
        <v>0</v>
      </c>
      <c r="R65" s="32">
        <f t="shared" si="7"/>
        <v>0</v>
      </c>
      <c r="S65" s="32">
        <f t="shared" si="7"/>
        <v>0</v>
      </c>
      <c r="T65" s="32">
        <f t="shared" si="7"/>
        <v>0</v>
      </c>
      <c r="U65" s="32">
        <f t="shared" si="7"/>
        <v>0</v>
      </c>
      <c r="V65" s="32">
        <f t="shared" si="7"/>
        <v>0</v>
      </c>
      <c r="W65" s="32">
        <f t="shared" si="7"/>
        <v>0</v>
      </c>
      <c r="X65" s="33">
        <f t="shared" si="7"/>
        <v>0</v>
      </c>
    </row>
    <row r="66" spans="6:24" x14ac:dyDescent="0.35">
      <c r="F66" s="37">
        <v>12</v>
      </c>
      <c r="G66" s="15">
        <v>2032</v>
      </c>
      <c r="H66" s="13">
        <v>0</v>
      </c>
      <c r="I66" s="32">
        <f t="shared" si="7"/>
        <v>0</v>
      </c>
      <c r="J66" s="32">
        <f t="shared" si="7"/>
        <v>0</v>
      </c>
      <c r="K66" s="32">
        <f t="shared" si="7"/>
        <v>0</v>
      </c>
      <c r="L66" s="32">
        <f t="shared" si="7"/>
        <v>0</v>
      </c>
      <c r="M66" s="32">
        <f t="shared" si="7"/>
        <v>0</v>
      </c>
      <c r="N66" s="32">
        <f t="shared" si="7"/>
        <v>0</v>
      </c>
      <c r="O66" s="32">
        <f t="shared" si="7"/>
        <v>0</v>
      </c>
      <c r="P66" s="32">
        <f t="shared" si="7"/>
        <v>0</v>
      </c>
      <c r="Q66" s="32">
        <f t="shared" si="7"/>
        <v>0</v>
      </c>
      <c r="R66" s="32">
        <f t="shared" si="7"/>
        <v>0</v>
      </c>
      <c r="S66" s="32">
        <f t="shared" si="7"/>
        <v>0</v>
      </c>
      <c r="T66" s="32">
        <f t="shared" si="7"/>
        <v>0</v>
      </c>
      <c r="U66" s="32">
        <f t="shared" si="7"/>
        <v>0</v>
      </c>
      <c r="V66" s="32">
        <f t="shared" si="7"/>
        <v>0</v>
      </c>
      <c r="W66" s="32">
        <f t="shared" si="7"/>
        <v>0</v>
      </c>
      <c r="X66" s="33">
        <f t="shared" si="7"/>
        <v>0</v>
      </c>
    </row>
    <row r="67" spans="6:24" x14ac:dyDescent="0.35">
      <c r="F67" s="37">
        <v>13</v>
      </c>
      <c r="G67" s="15">
        <v>2033</v>
      </c>
      <c r="H67" s="13">
        <v>0</v>
      </c>
      <c r="I67" s="32">
        <f>IFERROR(I44/$H44,0)</f>
        <v>0</v>
      </c>
      <c r="J67" s="32">
        <f t="shared" si="7"/>
        <v>0</v>
      </c>
      <c r="K67" s="32">
        <f t="shared" si="7"/>
        <v>0</v>
      </c>
      <c r="L67" s="32">
        <f t="shared" si="7"/>
        <v>0</v>
      </c>
      <c r="M67" s="32">
        <f t="shared" si="7"/>
        <v>0</v>
      </c>
      <c r="N67" s="32">
        <f t="shared" si="7"/>
        <v>0</v>
      </c>
      <c r="O67" s="32">
        <f t="shared" si="7"/>
        <v>0</v>
      </c>
      <c r="P67" s="32">
        <f t="shared" si="7"/>
        <v>0</v>
      </c>
      <c r="Q67" s="32">
        <f t="shared" si="7"/>
        <v>0</v>
      </c>
      <c r="R67" s="32">
        <f t="shared" si="7"/>
        <v>0</v>
      </c>
      <c r="S67" s="32">
        <f t="shared" si="7"/>
        <v>0</v>
      </c>
      <c r="T67" s="32">
        <f t="shared" si="7"/>
        <v>0</v>
      </c>
      <c r="U67" s="32">
        <f t="shared" si="7"/>
        <v>0</v>
      </c>
      <c r="V67" s="32">
        <f t="shared" si="7"/>
        <v>0</v>
      </c>
      <c r="W67" s="32">
        <f t="shared" si="7"/>
        <v>0</v>
      </c>
      <c r="X67" s="33">
        <f t="shared" si="7"/>
        <v>0</v>
      </c>
    </row>
    <row r="68" spans="6:24" x14ac:dyDescent="0.35">
      <c r="F68" s="37">
        <v>14</v>
      </c>
      <c r="G68" s="15">
        <v>2034</v>
      </c>
      <c r="H68" s="13">
        <v>0</v>
      </c>
      <c r="I68" s="32">
        <f t="shared" ref="I68:X69" si="8">IFERROR(I45/$H45,0)</f>
        <v>0</v>
      </c>
      <c r="J68" s="32">
        <f t="shared" si="8"/>
        <v>0</v>
      </c>
      <c r="K68" s="32">
        <f t="shared" si="8"/>
        <v>0</v>
      </c>
      <c r="L68" s="32">
        <f t="shared" si="8"/>
        <v>0</v>
      </c>
      <c r="M68" s="32">
        <f t="shared" si="8"/>
        <v>0</v>
      </c>
      <c r="N68" s="32">
        <f t="shared" si="8"/>
        <v>0</v>
      </c>
      <c r="O68" s="32">
        <f t="shared" si="8"/>
        <v>0</v>
      </c>
      <c r="P68" s="32">
        <f t="shared" si="8"/>
        <v>0</v>
      </c>
      <c r="Q68" s="32">
        <f t="shared" si="8"/>
        <v>0</v>
      </c>
      <c r="R68" s="32">
        <f t="shared" si="8"/>
        <v>0</v>
      </c>
      <c r="S68" s="32">
        <f t="shared" si="8"/>
        <v>0</v>
      </c>
      <c r="T68" s="32">
        <f t="shared" si="8"/>
        <v>0</v>
      </c>
      <c r="U68" s="32">
        <f t="shared" si="8"/>
        <v>0</v>
      </c>
      <c r="V68" s="32">
        <f t="shared" si="8"/>
        <v>0</v>
      </c>
      <c r="W68" s="32">
        <f t="shared" si="8"/>
        <v>0</v>
      </c>
      <c r="X68" s="33">
        <f t="shared" si="8"/>
        <v>0</v>
      </c>
    </row>
    <row r="69" spans="6:24" ht="15" thickBot="1" x14ac:dyDescent="0.4">
      <c r="F69" s="39" t="s">
        <v>0</v>
      </c>
      <c r="G69" s="40"/>
      <c r="H69" s="27">
        <v>88335143998.01033</v>
      </c>
      <c r="I69" s="34">
        <f t="shared" si="8"/>
        <v>3.9619207365404002E-2</v>
      </c>
      <c r="J69" s="34">
        <f t="shared" si="8"/>
        <v>4.1559159208397263E-2</v>
      </c>
      <c r="K69" s="34">
        <f t="shared" si="8"/>
        <v>7.5076798905986647E-2</v>
      </c>
      <c r="L69" s="34">
        <f t="shared" si="8"/>
        <v>0.11079213014313329</v>
      </c>
      <c r="M69" s="34">
        <f t="shared" si="8"/>
        <v>0.17618526919309244</v>
      </c>
      <c r="N69" s="34">
        <f t="shared" si="8"/>
        <v>0.22544865575176529</v>
      </c>
      <c r="O69" s="34">
        <f t="shared" si="8"/>
        <v>0.15872010119557645</v>
      </c>
      <c r="P69" s="34">
        <f t="shared" si="8"/>
        <v>8.1838480971546668E-2</v>
      </c>
      <c r="Q69" s="34">
        <f t="shared" si="8"/>
        <v>7.4428120409336412E-2</v>
      </c>
      <c r="R69" s="34">
        <f t="shared" si="8"/>
        <v>1.4329613777371674E-2</v>
      </c>
      <c r="S69" s="34">
        <f t="shared" si="8"/>
        <v>1.9948844865636849E-3</v>
      </c>
      <c r="T69" s="34">
        <f t="shared" si="8"/>
        <v>1.9018478082039924E-6</v>
      </c>
      <c r="U69" s="34">
        <f t="shared" si="8"/>
        <v>1.9018478082039924E-6</v>
      </c>
      <c r="V69" s="34">
        <f t="shared" si="8"/>
        <v>1.9018478082039924E-6</v>
      </c>
      <c r="W69" s="34">
        <f t="shared" si="8"/>
        <v>1.8730483985369034E-6</v>
      </c>
      <c r="X69" s="35">
        <f t="shared" si="8"/>
        <v>0.99999999999999711</v>
      </c>
    </row>
    <row r="70" spans="6:24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12">
    <mergeCell ref="F30:H30"/>
    <mergeCell ref="J30:X30"/>
    <mergeCell ref="F8:X8"/>
    <mergeCell ref="F9:H9"/>
    <mergeCell ref="J9:X9"/>
    <mergeCell ref="F25:G25"/>
    <mergeCell ref="F29:X29"/>
    <mergeCell ref="F46:G46"/>
    <mergeCell ref="F52:X52"/>
    <mergeCell ref="F53:H53"/>
    <mergeCell ref="J53:X53"/>
    <mergeCell ref="F69:G69"/>
  </mergeCells>
  <pageMargins left="0.7" right="0.7" top="0.75" bottom="0.75" header="0.3" footer="0.3"/>
  <pageSetup scale="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6C5A-AB2D-4E3F-95AC-D754E89715CD}">
  <sheetPr>
    <tabColor rgb="FF00B050"/>
    <pageSetUpPr fitToPage="1"/>
  </sheetPr>
  <dimension ref="E1:X70"/>
  <sheetViews>
    <sheetView view="pageBreakPreview" topLeftCell="I27" zoomScale="85" zoomScaleNormal="85" zoomScaleSheetLayoutView="85" workbookViewId="0">
      <selection activeCell="O65" sqref="O65"/>
    </sheetView>
  </sheetViews>
  <sheetFormatPr defaultColWidth="9.1796875" defaultRowHeight="14.5" x14ac:dyDescent="0.35"/>
  <cols>
    <col min="1" max="4" width="0" hidden="1" customWidth="1"/>
    <col min="6" max="6" width="8.26953125" bestFit="1" customWidth="1"/>
    <col min="7" max="7" width="23.453125" bestFit="1" customWidth="1"/>
    <col min="8" max="8" width="20.1796875" bestFit="1" customWidth="1"/>
    <col min="9" max="12" width="18.7265625" bestFit="1" customWidth="1"/>
    <col min="13" max="15" width="20.1796875" bestFit="1" customWidth="1"/>
    <col min="16" max="17" width="18.7265625" bestFit="1" customWidth="1"/>
    <col min="18" max="19" width="20.1796875" bestFit="1" customWidth="1"/>
    <col min="20" max="21" width="18.7265625" bestFit="1" customWidth="1"/>
    <col min="22" max="22" width="16.81640625" bestFit="1" customWidth="1"/>
    <col min="23" max="23" width="14.1796875" bestFit="1" customWidth="1"/>
    <col min="24" max="24" width="21.453125" bestFit="1" customWidth="1"/>
  </cols>
  <sheetData>
    <row r="1" spans="5:24" hidden="1" x14ac:dyDescent="0.3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5:24" hidden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5:24" hidden="1" x14ac:dyDescent="0.3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5:24" hidden="1" x14ac:dyDescent="0.3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5:24" hidden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5:24" hidden="1" x14ac:dyDescent="0.3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5:24" hidden="1" x14ac:dyDescent="0.3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5:24" hidden="1" x14ac:dyDescent="0.35">
      <c r="E8" s="1"/>
      <c r="F8" s="50" t="s">
        <v>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5:24" hidden="1" x14ac:dyDescent="0.35">
      <c r="E9" s="1"/>
      <c r="F9" s="51" t="s">
        <v>1</v>
      </c>
      <c r="G9" s="52"/>
      <c r="H9" s="53"/>
      <c r="I9" s="2"/>
      <c r="J9" s="54" t="s">
        <v>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5:24" hidden="1" x14ac:dyDescent="0.35">
      <c r="E10" s="1"/>
      <c r="F10" s="3" t="s">
        <v>3</v>
      </c>
      <c r="G10" s="4" t="s">
        <v>4</v>
      </c>
      <c r="H10" s="5" t="s">
        <v>5</v>
      </c>
      <c r="I10" s="5" t="s">
        <v>6</v>
      </c>
      <c r="J10" s="6">
        <v>2022</v>
      </c>
      <c r="K10" s="7">
        <v>2023</v>
      </c>
      <c r="L10" s="7">
        <v>2024</v>
      </c>
      <c r="M10" s="7">
        <v>2025</v>
      </c>
      <c r="N10" s="7">
        <v>2026</v>
      </c>
      <c r="O10" s="7">
        <v>2027</v>
      </c>
      <c r="P10" s="7">
        <v>2028</v>
      </c>
      <c r="Q10" s="8">
        <v>2029</v>
      </c>
      <c r="R10" s="8">
        <v>2030</v>
      </c>
      <c r="S10" s="8">
        <v>2031</v>
      </c>
      <c r="T10" s="8">
        <f>+S10+1</f>
        <v>2032</v>
      </c>
      <c r="U10" s="8">
        <f>+T10+1</f>
        <v>2033</v>
      </c>
      <c r="V10" s="8">
        <f>+U10+1</f>
        <v>2034</v>
      </c>
      <c r="W10" s="9" t="s">
        <v>7</v>
      </c>
      <c r="X10" s="9" t="s">
        <v>0</v>
      </c>
    </row>
    <row r="11" spans="5:24" hidden="1" x14ac:dyDescent="0.35">
      <c r="E11" s="10">
        <v>2021</v>
      </c>
      <c r="F11" s="11">
        <v>1</v>
      </c>
      <c r="G11" s="38" t="s">
        <v>8</v>
      </c>
      <c r="H11" s="13">
        <v>6847518116.0100212</v>
      </c>
      <c r="I11" s="13">
        <v>3499768387.7099938</v>
      </c>
      <c r="J11" s="13">
        <v>1200129245.6399982</v>
      </c>
      <c r="K11" s="13">
        <v>1089693791.8699985</v>
      </c>
      <c r="L11" s="13">
        <v>572886832.40999949</v>
      </c>
      <c r="M11" s="13">
        <v>443033758.36999983</v>
      </c>
      <c r="N11" s="13">
        <v>42006100.010000005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f>SUM(I11:W11)</f>
        <v>6847518116.0099897</v>
      </c>
    </row>
    <row r="12" spans="5:24" hidden="1" x14ac:dyDescent="0.35">
      <c r="E12" s="10">
        <v>2022</v>
      </c>
      <c r="F12" s="11">
        <f>+F11+1</f>
        <v>2</v>
      </c>
      <c r="G12" s="14">
        <v>2022</v>
      </c>
      <c r="H12" s="13">
        <v>10507892623.29998</v>
      </c>
      <c r="I12" s="13">
        <v>0</v>
      </c>
      <c r="J12" s="13">
        <v>2471005067.4700112</v>
      </c>
      <c r="K12" s="13">
        <v>1869643603.6899965</v>
      </c>
      <c r="L12" s="13">
        <v>1402640076.4200039</v>
      </c>
      <c r="M12" s="13">
        <v>1566402763.2600045</v>
      </c>
      <c r="N12" s="13">
        <v>2445021181.8100028</v>
      </c>
      <c r="O12" s="13">
        <v>585334223.49000001</v>
      </c>
      <c r="P12" s="13">
        <v>167845707.15999976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f t="shared" ref="X12:X24" si="0">SUM(I12:W12)</f>
        <v>10507892623.300018</v>
      </c>
    </row>
    <row r="13" spans="5:24" hidden="1" x14ac:dyDescent="0.35">
      <c r="E13" s="10">
        <v>2023</v>
      </c>
      <c r="F13" s="11">
        <f t="shared" ref="F13:F24" si="1">+F12+1</f>
        <v>3</v>
      </c>
      <c r="G13" s="14">
        <v>2023</v>
      </c>
      <c r="H13" s="13">
        <v>15486039102.690033</v>
      </c>
      <c r="I13" s="13">
        <v>0</v>
      </c>
      <c r="J13" s="13">
        <v>0</v>
      </c>
      <c r="K13" s="13">
        <v>3672582446.7100005</v>
      </c>
      <c r="L13" s="13">
        <v>2944496752.5599923</v>
      </c>
      <c r="M13" s="13">
        <v>3306026081.9199939</v>
      </c>
      <c r="N13" s="13">
        <v>4391179075.3399982</v>
      </c>
      <c r="O13" s="13">
        <v>1168273770.990001</v>
      </c>
      <c r="P13" s="13">
        <v>3480975.17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f t="shared" si="0"/>
        <v>15486039102.689987</v>
      </c>
    </row>
    <row r="14" spans="5:24" hidden="1" x14ac:dyDescent="0.35">
      <c r="E14" s="10">
        <v>2024</v>
      </c>
      <c r="F14" s="11">
        <f t="shared" si="1"/>
        <v>4</v>
      </c>
      <c r="G14" s="14">
        <v>2024</v>
      </c>
      <c r="H14" s="13">
        <v>17532159266.21014</v>
      </c>
      <c r="I14" s="13">
        <v>4005728</v>
      </c>
      <c r="J14" s="13">
        <v>0</v>
      </c>
      <c r="K14" s="13">
        <v>0</v>
      </c>
      <c r="L14" s="13">
        <v>4173252468.4999995</v>
      </c>
      <c r="M14" s="13">
        <v>3202307028.6100049</v>
      </c>
      <c r="N14" s="13">
        <v>4929967909.8500042</v>
      </c>
      <c r="O14" s="13">
        <v>4060453100.590004</v>
      </c>
      <c r="P14" s="13">
        <v>898007265.22000039</v>
      </c>
      <c r="Q14" s="13">
        <v>264165765.44000003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17532159266.210011</v>
      </c>
    </row>
    <row r="15" spans="5:24" hidden="1" x14ac:dyDescent="0.35">
      <c r="E15" s="10">
        <v>2025</v>
      </c>
      <c r="F15" s="11">
        <f t="shared" si="1"/>
        <v>5</v>
      </c>
      <c r="G15" s="14">
        <v>2025</v>
      </c>
      <c r="H15" s="13">
        <v>20224684808.930283</v>
      </c>
      <c r="I15" s="13">
        <v>0</v>
      </c>
      <c r="J15" s="13">
        <v>0</v>
      </c>
      <c r="K15" s="13">
        <v>0</v>
      </c>
      <c r="L15" s="13">
        <v>0</v>
      </c>
      <c r="M15" s="13">
        <v>4487656181.2600098</v>
      </c>
      <c r="N15" s="13">
        <v>4206239998.3200192</v>
      </c>
      <c r="O15" s="13">
        <v>5063544959.7900419</v>
      </c>
      <c r="P15" s="13">
        <v>2566098218.8299866</v>
      </c>
      <c r="Q15" s="13">
        <v>3157442774.4400077</v>
      </c>
      <c r="R15" s="13">
        <v>596944241.29999959</v>
      </c>
      <c r="S15" s="13">
        <v>146088978.98999998</v>
      </c>
      <c r="T15" s="13">
        <v>168000</v>
      </c>
      <c r="U15" s="13">
        <v>168000</v>
      </c>
      <c r="V15" s="13">
        <v>168000</v>
      </c>
      <c r="W15" s="13">
        <v>165456</v>
      </c>
      <c r="X15" s="13">
        <f t="shared" si="0"/>
        <v>20224684808.930065</v>
      </c>
    </row>
    <row r="16" spans="5:24" hidden="1" x14ac:dyDescent="0.35">
      <c r="E16" s="10">
        <v>2026</v>
      </c>
      <c r="F16" s="11">
        <f t="shared" si="1"/>
        <v>6</v>
      </c>
      <c r="G16" s="14">
        <v>2026</v>
      </c>
      <c r="H16" s="13">
        <v>4256111978.150001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1273331248.1499982</v>
      </c>
      <c r="O16" s="13">
        <v>661351945.26999986</v>
      </c>
      <c r="P16" s="13">
        <v>642794714.67000091</v>
      </c>
      <c r="Q16" s="13">
        <v>1082678944.5899999</v>
      </c>
      <c r="R16" s="13">
        <v>565825696.07999992</v>
      </c>
      <c r="S16" s="13">
        <v>30129429.390000001</v>
      </c>
      <c r="T16" s="13">
        <v>0</v>
      </c>
      <c r="U16" s="13">
        <v>0</v>
      </c>
      <c r="V16" s="13">
        <v>0</v>
      </c>
      <c r="W16" s="13">
        <v>0</v>
      </c>
      <c r="X16" s="13">
        <f t="shared" si="0"/>
        <v>4256111978.1499991</v>
      </c>
    </row>
    <row r="17" spans="5:24" hidden="1" x14ac:dyDescent="0.35">
      <c r="E17" s="10">
        <v>2027</v>
      </c>
      <c r="F17" s="11">
        <f t="shared" si="1"/>
        <v>7</v>
      </c>
      <c r="G17" s="14">
        <v>2027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f t="shared" si="0"/>
        <v>0</v>
      </c>
    </row>
    <row r="18" spans="5:24" hidden="1" x14ac:dyDescent="0.35">
      <c r="E18" s="10">
        <v>2028</v>
      </c>
      <c r="F18" s="11">
        <f t="shared" si="1"/>
        <v>8</v>
      </c>
      <c r="G18" s="14">
        <v>2028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</row>
    <row r="19" spans="5:24" hidden="1" x14ac:dyDescent="0.35">
      <c r="E19" s="10">
        <v>2029</v>
      </c>
      <c r="F19" s="11">
        <f t="shared" si="1"/>
        <v>9</v>
      </c>
      <c r="G19" s="14">
        <v>2029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f t="shared" si="0"/>
        <v>0</v>
      </c>
    </row>
    <row r="20" spans="5:24" hidden="1" x14ac:dyDescent="0.35">
      <c r="E20" s="10">
        <f>+E19+1</f>
        <v>2030</v>
      </c>
      <c r="F20" s="11">
        <f t="shared" si="1"/>
        <v>10</v>
      </c>
      <c r="G20" s="14">
        <f>E20</f>
        <v>2030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f t="shared" si="0"/>
        <v>0</v>
      </c>
    </row>
    <row r="21" spans="5:24" hidden="1" x14ac:dyDescent="0.35">
      <c r="E21" s="10">
        <f>+E20+1</f>
        <v>2031</v>
      </c>
      <c r="F21" s="11">
        <f t="shared" si="1"/>
        <v>11</v>
      </c>
      <c r="G21" s="14">
        <f>E21</f>
        <v>2031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f t="shared" si="0"/>
        <v>0</v>
      </c>
    </row>
    <row r="22" spans="5:24" hidden="1" x14ac:dyDescent="0.35">
      <c r="E22" s="10">
        <f>+E21+1</f>
        <v>2032</v>
      </c>
      <c r="F22" s="11">
        <f t="shared" si="1"/>
        <v>12</v>
      </c>
      <c r="G22" s="14">
        <f>E22</f>
        <v>2032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f t="shared" si="0"/>
        <v>0</v>
      </c>
    </row>
    <row r="23" spans="5:24" hidden="1" x14ac:dyDescent="0.35">
      <c r="E23" s="10">
        <f>+E22+1</f>
        <v>2033</v>
      </c>
      <c r="F23" s="11">
        <f t="shared" si="1"/>
        <v>13</v>
      </c>
      <c r="G23" s="14">
        <f>E23</f>
        <v>2033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f t="shared" si="0"/>
        <v>0</v>
      </c>
    </row>
    <row r="24" spans="5:24" hidden="1" x14ac:dyDescent="0.35">
      <c r="E24" s="10">
        <f>+E23+1</f>
        <v>2034</v>
      </c>
      <c r="F24" s="11">
        <f t="shared" si="1"/>
        <v>14</v>
      </c>
      <c r="G24" s="14">
        <f>E24</f>
        <v>2034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f t="shared" si="0"/>
        <v>0</v>
      </c>
    </row>
    <row r="25" spans="5:24" hidden="1" x14ac:dyDescent="0.35">
      <c r="E25" s="1"/>
      <c r="F25" s="57" t="s">
        <v>0</v>
      </c>
      <c r="G25" s="57"/>
      <c r="H25" s="16">
        <f>SUM(H11:H24)</f>
        <v>74854405895.290451</v>
      </c>
      <c r="I25" s="16">
        <f t="shared" ref="I25:X25" si="2">SUM(I11:I24)</f>
        <v>3503774115.7099938</v>
      </c>
      <c r="J25" s="16">
        <f t="shared" si="2"/>
        <v>3671134313.1100092</v>
      </c>
      <c r="K25" s="16">
        <f t="shared" si="2"/>
        <v>6631919842.2699947</v>
      </c>
      <c r="L25" s="16">
        <f t="shared" si="2"/>
        <v>9093276129.8899956</v>
      </c>
      <c r="M25" s="16">
        <f t="shared" si="2"/>
        <v>13005425813.420013</v>
      </c>
      <c r="N25" s="16">
        <f t="shared" si="2"/>
        <v>17287745513.480022</v>
      </c>
      <c r="O25" s="16">
        <f t="shared" si="2"/>
        <v>11538958000.130047</v>
      </c>
      <c r="P25" s="16">
        <f t="shared" si="2"/>
        <v>4278226881.0499878</v>
      </c>
      <c r="Q25" s="16">
        <f t="shared" si="2"/>
        <v>4504287484.4700079</v>
      </c>
      <c r="R25" s="16">
        <f t="shared" si="2"/>
        <v>1162769937.3799996</v>
      </c>
      <c r="S25" s="16">
        <f t="shared" si="2"/>
        <v>176218408.38</v>
      </c>
      <c r="T25" s="16">
        <f t="shared" si="2"/>
        <v>168000</v>
      </c>
      <c r="U25" s="16">
        <f t="shared" si="2"/>
        <v>168000</v>
      </c>
      <c r="V25" s="16">
        <f t="shared" si="2"/>
        <v>168000</v>
      </c>
      <c r="W25" s="16">
        <f t="shared" si="2"/>
        <v>165456</v>
      </c>
      <c r="X25" s="16">
        <f t="shared" si="2"/>
        <v>74854405895.29007</v>
      </c>
    </row>
    <row r="26" spans="5:24" hidden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8" spans="5:24" ht="15" thickBot="1" x14ac:dyDescent="0.4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5:24" x14ac:dyDescent="0.35">
      <c r="E29" s="1"/>
      <c r="F29" s="41" t="s">
        <v>10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</row>
    <row r="30" spans="5:24" x14ac:dyDescent="0.35">
      <c r="E30" s="1"/>
      <c r="F30" s="44" t="s">
        <v>1</v>
      </c>
      <c r="G30" s="45"/>
      <c r="H30" s="46"/>
      <c r="I30" s="17"/>
      <c r="J30" s="47" t="s">
        <v>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</row>
    <row r="31" spans="5:24" x14ac:dyDescent="0.35">
      <c r="E31" s="1"/>
      <c r="F31" s="18" t="s">
        <v>3</v>
      </c>
      <c r="G31" s="18" t="str">
        <f>G10</f>
        <v>Year</v>
      </c>
      <c r="H31" s="19" t="str">
        <f t="shared" ref="H31:X31" si="3">H10</f>
        <v>Purchase price</v>
      </c>
      <c r="I31" s="20" t="str">
        <f t="shared" si="3"/>
        <v>Before 2022</v>
      </c>
      <c r="J31" s="21">
        <f t="shared" si="3"/>
        <v>2022</v>
      </c>
      <c r="K31" s="22">
        <f t="shared" si="3"/>
        <v>2023</v>
      </c>
      <c r="L31" s="22">
        <f t="shared" si="3"/>
        <v>2024</v>
      </c>
      <c r="M31" s="22">
        <f t="shared" si="3"/>
        <v>2025</v>
      </c>
      <c r="N31" s="22">
        <f t="shared" si="3"/>
        <v>2026</v>
      </c>
      <c r="O31" s="22">
        <f t="shared" si="3"/>
        <v>2027</v>
      </c>
      <c r="P31" s="22">
        <f t="shared" si="3"/>
        <v>2028</v>
      </c>
      <c r="Q31" s="23">
        <f t="shared" si="3"/>
        <v>2029</v>
      </c>
      <c r="R31" s="23">
        <f t="shared" si="3"/>
        <v>2030</v>
      </c>
      <c r="S31" s="23">
        <f t="shared" si="3"/>
        <v>2031</v>
      </c>
      <c r="T31" s="23">
        <f t="shared" si="3"/>
        <v>2032</v>
      </c>
      <c r="U31" s="23">
        <f t="shared" si="3"/>
        <v>2033</v>
      </c>
      <c r="V31" s="23">
        <f t="shared" si="3"/>
        <v>2034</v>
      </c>
      <c r="W31" s="24" t="str">
        <f t="shared" si="3"/>
        <v>beyond 2035</v>
      </c>
      <c r="X31" s="25" t="str">
        <f t="shared" si="3"/>
        <v>Total</v>
      </c>
    </row>
    <row r="32" spans="5:24" ht="15.75" customHeight="1" x14ac:dyDescent="0.35">
      <c r="E32" s="1"/>
      <c r="F32" s="37">
        <f>F11</f>
        <v>1</v>
      </c>
      <c r="G32" s="15" t="str">
        <f>G11</f>
        <v>Before 2021 and 2021</v>
      </c>
      <c r="H32" s="26" cm="1">
        <f t="array" ref="H32:H45">H11:H24</f>
        <v>6847518116.0100212</v>
      </c>
      <c r="I32" s="28" cm="1">
        <f t="array" ref="I32:X32">I11:X11</f>
        <v>3499768387.7099938</v>
      </c>
      <c r="J32" s="28">
        <v>1200129245.6399982</v>
      </c>
      <c r="K32" s="28">
        <v>1089693791.8699985</v>
      </c>
      <c r="L32" s="28">
        <v>572886832.40999949</v>
      </c>
      <c r="M32" s="28">
        <v>443033758.36999983</v>
      </c>
      <c r="N32" s="28">
        <v>42006100.010000005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9">
        <v>6847518116.0099897</v>
      </c>
    </row>
    <row r="33" spans="6:24" x14ac:dyDescent="0.35">
      <c r="F33" s="37">
        <f t="shared" ref="F33:G45" si="4">F12</f>
        <v>2</v>
      </c>
      <c r="G33" s="15">
        <f t="shared" si="4"/>
        <v>2022</v>
      </c>
      <c r="H33" s="13">
        <v>10507892623.29998</v>
      </c>
      <c r="I33" s="28"/>
      <c r="J33" s="28">
        <f>SUM(I12:J12)</f>
        <v>2471005067.4700112</v>
      </c>
      <c r="K33" s="28" cm="1">
        <f t="array" ref="K33:X33">K12:X12</f>
        <v>1869643603.6899965</v>
      </c>
      <c r="L33" s="28">
        <v>1402640076.4200039</v>
      </c>
      <c r="M33" s="28">
        <v>1566402763.2600045</v>
      </c>
      <c r="N33" s="28">
        <v>2445021181.8100028</v>
      </c>
      <c r="O33" s="28">
        <v>585334223.49000001</v>
      </c>
      <c r="P33" s="28">
        <v>167845707.15999976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9">
        <v>10507892623.300018</v>
      </c>
    </row>
    <row r="34" spans="6:24" x14ac:dyDescent="0.35">
      <c r="F34" s="37">
        <f t="shared" si="4"/>
        <v>3</v>
      </c>
      <c r="G34" s="15">
        <f t="shared" si="4"/>
        <v>2023</v>
      </c>
      <c r="H34" s="13">
        <v>15486039102.690033</v>
      </c>
      <c r="I34" s="28"/>
      <c r="J34" s="28"/>
      <c r="K34" s="28">
        <f>SUM(I13:K13)</f>
        <v>3672582446.7100005</v>
      </c>
      <c r="L34" s="28" cm="1">
        <f t="array" ref="L34:X34">L13:X13</f>
        <v>2944496752.5599923</v>
      </c>
      <c r="M34" s="28">
        <v>3306026081.9199939</v>
      </c>
      <c r="N34" s="28">
        <v>4391179075.3399982</v>
      </c>
      <c r="O34" s="28">
        <v>1168273770.990001</v>
      </c>
      <c r="P34" s="28">
        <v>3480975.17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9">
        <v>15486039102.689987</v>
      </c>
    </row>
    <row r="35" spans="6:24" x14ac:dyDescent="0.35">
      <c r="F35" s="37">
        <f t="shared" si="4"/>
        <v>4</v>
      </c>
      <c r="G35" s="15">
        <f t="shared" si="4"/>
        <v>2024</v>
      </c>
      <c r="H35" s="13">
        <v>17532159266.21014</v>
      </c>
      <c r="I35" s="28"/>
      <c r="J35" s="28"/>
      <c r="K35" s="28"/>
      <c r="L35" s="28">
        <f>SUM(I14:L14)</f>
        <v>4177258196.4999995</v>
      </c>
      <c r="M35" s="28" cm="1">
        <f t="array" ref="M35:X35">M14:X14</f>
        <v>3202307028.6100049</v>
      </c>
      <c r="N35" s="28">
        <v>4929967909.8500042</v>
      </c>
      <c r="O35" s="28">
        <v>4060453100.590004</v>
      </c>
      <c r="P35" s="28">
        <v>898007265.22000039</v>
      </c>
      <c r="Q35" s="28">
        <v>264165765.44000003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9">
        <v>17532159266.210011</v>
      </c>
    </row>
    <row r="36" spans="6:24" x14ac:dyDescent="0.35">
      <c r="F36" s="37">
        <f t="shared" si="4"/>
        <v>5</v>
      </c>
      <c r="G36" s="15">
        <f t="shared" si="4"/>
        <v>2025</v>
      </c>
      <c r="H36" s="13">
        <v>20224684808.930283</v>
      </c>
      <c r="I36" s="28"/>
      <c r="J36" s="28"/>
      <c r="K36" s="28"/>
      <c r="L36" s="28"/>
      <c r="M36" s="28">
        <f>SUM(I15:M15)</f>
        <v>4487656181.2600098</v>
      </c>
      <c r="N36" s="28" cm="1">
        <f t="array" ref="N36:X36">N15:X15</f>
        <v>4206239998.3200192</v>
      </c>
      <c r="O36" s="28">
        <v>5063544959.7900419</v>
      </c>
      <c r="P36" s="28">
        <v>2566098218.8299866</v>
      </c>
      <c r="Q36" s="28">
        <v>3157442774.4400077</v>
      </c>
      <c r="R36" s="28">
        <v>596944241.29999959</v>
      </c>
      <c r="S36" s="28">
        <v>146088978.98999998</v>
      </c>
      <c r="T36" s="28">
        <v>168000</v>
      </c>
      <c r="U36" s="28">
        <v>168000</v>
      </c>
      <c r="V36" s="28">
        <v>168000</v>
      </c>
      <c r="W36" s="28">
        <v>165456</v>
      </c>
      <c r="X36" s="29">
        <v>20224684808.930065</v>
      </c>
    </row>
    <row r="37" spans="6:24" x14ac:dyDescent="0.35">
      <c r="F37" s="37">
        <f t="shared" si="4"/>
        <v>6</v>
      </c>
      <c r="G37" s="15">
        <f t="shared" si="4"/>
        <v>2026</v>
      </c>
      <c r="H37" s="13">
        <v>4256111978.150001</v>
      </c>
      <c r="I37" s="28"/>
      <c r="J37" s="28"/>
      <c r="K37" s="28"/>
      <c r="L37" s="28"/>
      <c r="M37" s="28"/>
      <c r="N37" s="28">
        <f>SUM(I16:N16)</f>
        <v>1273331248.1499982</v>
      </c>
      <c r="O37" s="28" cm="1">
        <f t="array" ref="O37:X37">O16:X16</f>
        <v>661351945.26999986</v>
      </c>
      <c r="P37" s="28">
        <v>642794714.67000091</v>
      </c>
      <c r="Q37" s="28">
        <v>1082678944.5899999</v>
      </c>
      <c r="R37" s="28">
        <v>565825696.07999992</v>
      </c>
      <c r="S37" s="28">
        <v>30129429.390000001</v>
      </c>
      <c r="T37" s="28">
        <v>0</v>
      </c>
      <c r="U37" s="28">
        <v>0</v>
      </c>
      <c r="V37" s="28">
        <v>0</v>
      </c>
      <c r="W37" s="28">
        <v>0</v>
      </c>
      <c r="X37" s="29">
        <v>4256111978.1499991</v>
      </c>
    </row>
    <row r="38" spans="6:24" x14ac:dyDescent="0.35">
      <c r="F38" s="37">
        <f t="shared" si="4"/>
        <v>7</v>
      </c>
      <c r="G38" s="15">
        <f t="shared" si="4"/>
        <v>2027</v>
      </c>
      <c r="H38" s="13">
        <v>0</v>
      </c>
      <c r="I38" s="28"/>
      <c r="J38" s="28"/>
      <c r="K38" s="28"/>
      <c r="L38" s="28"/>
      <c r="M38" s="28"/>
      <c r="N38" s="28"/>
      <c r="O38" s="28">
        <f>SUM(I17:O17)</f>
        <v>0</v>
      </c>
      <c r="P38" s="28" cm="1">
        <f t="array" ref="P38:X38">P17:X17</f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9">
        <v>0</v>
      </c>
    </row>
    <row r="39" spans="6:24" x14ac:dyDescent="0.35">
      <c r="F39" s="37">
        <f t="shared" si="4"/>
        <v>8</v>
      </c>
      <c r="G39" s="15">
        <f t="shared" si="4"/>
        <v>2028</v>
      </c>
      <c r="H39" s="13">
        <v>0</v>
      </c>
      <c r="I39" s="28"/>
      <c r="J39" s="28"/>
      <c r="K39" s="28"/>
      <c r="L39" s="28"/>
      <c r="M39" s="28"/>
      <c r="N39" s="28"/>
      <c r="O39" s="28"/>
      <c r="P39" s="28">
        <f>SUM(I18:P18)</f>
        <v>0</v>
      </c>
      <c r="Q39" s="28" cm="1">
        <f t="array" ref="Q39:W39">Q19:W19</f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9"/>
    </row>
    <row r="40" spans="6:24" x14ac:dyDescent="0.35">
      <c r="F40" s="37">
        <f t="shared" si="4"/>
        <v>9</v>
      </c>
      <c r="G40" s="15">
        <f t="shared" si="4"/>
        <v>2029</v>
      </c>
      <c r="H40" s="13">
        <v>0</v>
      </c>
      <c r="I40" s="28"/>
      <c r="J40" s="28"/>
      <c r="K40" s="28"/>
      <c r="L40" s="28"/>
      <c r="M40" s="28"/>
      <c r="N40" s="28"/>
      <c r="O40" s="28"/>
      <c r="P40" s="28"/>
      <c r="Q40" s="28">
        <f>SUM(I19:Q19)</f>
        <v>0</v>
      </c>
      <c r="R40" s="28" cm="1">
        <f t="array" ref="R40:W40">R20:W20</f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9"/>
    </row>
    <row r="41" spans="6:24" x14ac:dyDescent="0.35">
      <c r="F41" s="37">
        <f t="shared" si="4"/>
        <v>10</v>
      </c>
      <c r="G41" s="15">
        <f t="shared" si="4"/>
        <v>2030</v>
      </c>
      <c r="H41" s="13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>
        <f>SUM(I20:R20)</f>
        <v>0</v>
      </c>
      <c r="S41" s="28" cm="1">
        <f t="array" ref="S41:X41">S20:X20</f>
        <v>0</v>
      </c>
      <c r="T41" s="28">
        <v>0</v>
      </c>
      <c r="U41" s="28">
        <v>0</v>
      </c>
      <c r="V41" s="28">
        <v>0</v>
      </c>
      <c r="W41" s="28">
        <v>0</v>
      </c>
      <c r="X41" s="29">
        <v>0</v>
      </c>
    </row>
    <row r="42" spans="6:24" x14ac:dyDescent="0.35">
      <c r="F42" s="37">
        <f t="shared" si="4"/>
        <v>11</v>
      </c>
      <c r="G42" s="15">
        <f t="shared" si="4"/>
        <v>2031</v>
      </c>
      <c r="H42" s="13">
        <v>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>
        <f>SUM(I21:S21)</f>
        <v>0</v>
      </c>
      <c r="T42" s="28" cm="1">
        <f t="array" ref="T42:X42">T21:X21</f>
        <v>0</v>
      </c>
      <c r="U42" s="28">
        <v>0</v>
      </c>
      <c r="V42" s="28">
        <v>0</v>
      </c>
      <c r="W42" s="28">
        <v>0</v>
      </c>
      <c r="X42" s="29">
        <v>0</v>
      </c>
    </row>
    <row r="43" spans="6:24" x14ac:dyDescent="0.35">
      <c r="F43" s="37">
        <f t="shared" si="4"/>
        <v>12</v>
      </c>
      <c r="G43" s="15">
        <f t="shared" si="4"/>
        <v>2032</v>
      </c>
      <c r="H43" s="13"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>SUM(I22:T22)</f>
        <v>0</v>
      </c>
      <c r="U43" s="28" cm="1">
        <f t="array" ref="U43:X43">U22:X22</f>
        <v>0</v>
      </c>
      <c r="V43" s="28">
        <v>0</v>
      </c>
      <c r="W43" s="28">
        <v>0</v>
      </c>
      <c r="X43" s="29">
        <v>0</v>
      </c>
    </row>
    <row r="44" spans="6:24" x14ac:dyDescent="0.35">
      <c r="F44" s="37">
        <f t="shared" si="4"/>
        <v>13</v>
      </c>
      <c r="G44" s="15">
        <f t="shared" si="4"/>
        <v>2033</v>
      </c>
      <c r="H44" s="13">
        <v>0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>
        <f>SUM(I24:U24)</f>
        <v>0</v>
      </c>
      <c r="V44" s="28" cm="1">
        <f t="array" ref="V44:X44">V23:X23</f>
        <v>0</v>
      </c>
      <c r="W44" s="28">
        <v>0</v>
      </c>
      <c r="X44" s="29">
        <v>0</v>
      </c>
    </row>
    <row r="45" spans="6:24" x14ac:dyDescent="0.35">
      <c r="F45" s="37">
        <f t="shared" si="4"/>
        <v>14</v>
      </c>
      <c r="G45" s="15">
        <f t="shared" si="4"/>
        <v>2034</v>
      </c>
      <c r="H45" s="13">
        <v>0</v>
      </c>
      <c r="I45" s="28"/>
      <c r="J45" s="28"/>
      <c r="K45" s="28"/>
      <c r="L45" s="28"/>
      <c r="M45" s="28"/>
      <c r="N45" s="28"/>
      <c r="O45" s="28"/>
      <c r="P45" s="28"/>
      <c r="Q45" s="28">
        <f>SUM(I24:Q24)</f>
        <v>0</v>
      </c>
      <c r="R45" s="28"/>
      <c r="S45" s="28"/>
      <c r="T45" s="28"/>
      <c r="U45" s="28"/>
      <c r="V45" s="28">
        <f>SUM(I24:V24)</f>
        <v>0</v>
      </c>
      <c r="W45" s="28" cm="1">
        <f t="array" ref="W45:X45">W24:X24</f>
        <v>0</v>
      </c>
      <c r="X45" s="29">
        <v>0</v>
      </c>
    </row>
    <row r="46" spans="6:24" ht="15" thickBot="1" x14ac:dyDescent="0.4">
      <c r="F46" s="39" t="s">
        <v>0</v>
      </c>
      <c r="G46" s="40"/>
      <c r="H46" s="27">
        <f>SUM(H32:H45)</f>
        <v>74854405895.290451</v>
      </c>
      <c r="I46" s="30">
        <f t="shared" ref="I46:X46" si="5">SUM(I32:I45)</f>
        <v>3499768387.7099938</v>
      </c>
      <c r="J46" s="30">
        <f t="shared" si="5"/>
        <v>3671134313.1100092</v>
      </c>
      <c r="K46" s="30">
        <f t="shared" si="5"/>
        <v>6631919842.2699947</v>
      </c>
      <c r="L46" s="30">
        <f t="shared" si="5"/>
        <v>9097281857.8899956</v>
      </c>
      <c r="M46" s="30">
        <f t="shared" si="5"/>
        <v>13005425813.420013</v>
      </c>
      <c r="N46" s="30">
        <f t="shared" si="5"/>
        <v>17287745513.480022</v>
      </c>
      <c r="O46" s="30">
        <f t="shared" si="5"/>
        <v>11538958000.130047</v>
      </c>
      <c r="P46" s="30">
        <f t="shared" si="5"/>
        <v>4278226881.0499878</v>
      </c>
      <c r="Q46" s="30">
        <f t="shared" si="5"/>
        <v>4504287484.4700079</v>
      </c>
      <c r="R46" s="30">
        <f t="shared" si="5"/>
        <v>1162769937.3799996</v>
      </c>
      <c r="S46" s="30">
        <f t="shared" si="5"/>
        <v>176218408.38</v>
      </c>
      <c r="T46" s="30">
        <f t="shared" si="5"/>
        <v>168000</v>
      </c>
      <c r="U46" s="30">
        <f t="shared" si="5"/>
        <v>168000</v>
      </c>
      <c r="V46" s="30">
        <f t="shared" si="5"/>
        <v>168000</v>
      </c>
      <c r="W46" s="30">
        <f t="shared" si="5"/>
        <v>165456</v>
      </c>
      <c r="X46" s="31">
        <f t="shared" si="5"/>
        <v>74854405895.29007</v>
      </c>
    </row>
    <row r="47" spans="6:24" ht="15" thickBot="1" x14ac:dyDescent="0.4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6:24" ht="15" hidden="1" thickBot="1" x14ac:dyDescent="0.4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6:24" ht="15" hidden="1" thickBot="1" x14ac:dyDescent="0.4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6:24" ht="15" hidden="1" thickBot="1" x14ac:dyDescent="0.4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6:24" ht="15" hidden="1" thickBot="1" x14ac:dyDescent="0.4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6:24" x14ac:dyDescent="0.35">
      <c r="F52" s="41" t="str">
        <f>F29&amp;" %"</f>
        <v>Sobha Year On Year Active Total %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3"/>
    </row>
    <row r="53" spans="6:24" x14ac:dyDescent="0.35">
      <c r="F53" s="44" t="s">
        <v>1</v>
      </c>
      <c r="G53" s="45"/>
      <c r="H53" s="46"/>
      <c r="I53" s="17"/>
      <c r="J53" s="47" t="s">
        <v>2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9"/>
    </row>
    <row r="54" spans="6:24" x14ac:dyDescent="0.35">
      <c r="F54" s="18" t="s">
        <v>3</v>
      </c>
      <c r="G54" s="18" t="s">
        <v>4</v>
      </c>
      <c r="H54" s="19" t="s">
        <v>5</v>
      </c>
      <c r="I54" s="20" t="s">
        <v>6</v>
      </c>
      <c r="J54" s="21">
        <v>2022</v>
      </c>
      <c r="K54" s="22">
        <v>2023</v>
      </c>
      <c r="L54" s="22">
        <v>2024</v>
      </c>
      <c r="M54" s="22">
        <v>2025</v>
      </c>
      <c r="N54" s="22">
        <v>2026</v>
      </c>
      <c r="O54" s="22">
        <v>2027</v>
      </c>
      <c r="P54" s="22">
        <v>2028</v>
      </c>
      <c r="Q54" s="23">
        <v>2029</v>
      </c>
      <c r="R54" s="23">
        <v>2030</v>
      </c>
      <c r="S54" s="23">
        <v>2031</v>
      </c>
      <c r="T54" s="23">
        <v>2032</v>
      </c>
      <c r="U54" s="23">
        <v>2033</v>
      </c>
      <c r="V54" s="23">
        <v>2034</v>
      </c>
      <c r="W54" s="24" t="s">
        <v>7</v>
      </c>
      <c r="X54" s="25" t="s">
        <v>0</v>
      </c>
    </row>
    <row r="55" spans="6:24" x14ac:dyDescent="0.35">
      <c r="F55" s="37">
        <v>1</v>
      </c>
      <c r="G55" s="15" t="s">
        <v>8</v>
      </c>
      <c r="H55" s="13" cm="1">
        <f t="array" ref="H55:H69">H11:H25</f>
        <v>6847518116.0100212</v>
      </c>
      <c r="I55" s="32">
        <f>IFERROR(I32/$H32,0)</f>
        <v>0.51110027435009886</v>
      </c>
      <c r="J55" s="32">
        <f t="shared" ref="J55:X55" si="6">IFERROR(J32/$H32,0)</f>
        <v>0.17526485148451149</v>
      </c>
      <c r="K55" s="32">
        <f t="shared" si="6"/>
        <v>0.15913704402215614</v>
      </c>
      <c r="L55" s="32">
        <f t="shared" si="6"/>
        <v>8.3663427055497119E-2</v>
      </c>
      <c r="M55" s="32">
        <f t="shared" si="6"/>
        <v>6.4699903069135811E-2</v>
      </c>
      <c r="N55" s="32">
        <f t="shared" si="6"/>
        <v>6.1345000185960121E-3</v>
      </c>
      <c r="O55" s="32">
        <f t="shared" si="6"/>
        <v>0</v>
      </c>
      <c r="P55" s="32">
        <f t="shared" si="6"/>
        <v>0</v>
      </c>
      <c r="Q55" s="32">
        <f t="shared" si="6"/>
        <v>0</v>
      </c>
      <c r="R55" s="32">
        <f t="shared" si="6"/>
        <v>0</v>
      </c>
      <c r="S55" s="32">
        <f t="shared" si="6"/>
        <v>0</v>
      </c>
      <c r="T55" s="32">
        <f t="shared" si="6"/>
        <v>0</v>
      </c>
      <c r="U55" s="32">
        <f t="shared" si="6"/>
        <v>0</v>
      </c>
      <c r="V55" s="32">
        <f t="shared" si="6"/>
        <v>0</v>
      </c>
      <c r="W55" s="32">
        <f t="shared" si="6"/>
        <v>0</v>
      </c>
      <c r="X55" s="33">
        <f t="shared" si="6"/>
        <v>0.99999999999999545</v>
      </c>
    </row>
    <row r="56" spans="6:24" x14ac:dyDescent="0.35">
      <c r="F56" s="37">
        <v>2</v>
      </c>
      <c r="G56" s="15">
        <v>2022</v>
      </c>
      <c r="H56" s="13">
        <v>10507892623.29998</v>
      </c>
      <c r="I56" s="32">
        <f t="shared" ref="I56:X67" si="7">IFERROR(I33/$H33,0)</f>
        <v>0</v>
      </c>
      <c r="J56" s="32">
        <f t="shared" si="7"/>
        <v>0.23515705346958499</v>
      </c>
      <c r="K56" s="32">
        <f t="shared" si="7"/>
        <v>0.1779275512907591</v>
      </c>
      <c r="L56" s="32">
        <f t="shared" si="7"/>
        <v>0.13348443181745304</v>
      </c>
      <c r="M56" s="32">
        <f t="shared" si="7"/>
        <v>0.14906916347686081</v>
      </c>
      <c r="N56" s="32">
        <f t="shared" si="7"/>
        <v>0.23268425644057916</v>
      </c>
      <c r="O56" s="32">
        <f t="shared" si="7"/>
        <v>5.5704244844688666E-2</v>
      </c>
      <c r="P56" s="32">
        <f t="shared" si="7"/>
        <v>1.5973298660077875E-2</v>
      </c>
      <c r="Q56" s="32">
        <f t="shared" si="7"/>
        <v>0</v>
      </c>
      <c r="R56" s="32">
        <f t="shared" si="7"/>
        <v>0</v>
      </c>
      <c r="S56" s="32">
        <f t="shared" si="7"/>
        <v>0</v>
      </c>
      <c r="T56" s="32">
        <f t="shared" si="7"/>
        <v>0</v>
      </c>
      <c r="U56" s="32">
        <f t="shared" si="7"/>
        <v>0</v>
      </c>
      <c r="V56" s="32">
        <f t="shared" si="7"/>
        <v>0</v>
      </c>
      <c r="W56" s="32">
        <f t="shared" si="7"/>
        <v>0</v>
      </c>
      <c r="X56" s="33">
        <f t="shared" si="7"/>
        <v>1.0000000000000036</v>
      </c>
    </row>
    <row r="57" spans="6:24" x14ac:dyDescent="0.35">
      <c r="F57" s="37">
        <v>3</v>
      </c>
      <c r="G57" s="15">
        <v>2023</v>
      </c>
      <c r="H57" s="13">
        <v>15486039102.690033</v>
      </c>
      <c r="I57" s="32">
        <f t="shared" si="7"/>
        <v>0</v>
      </c>
      <c r="J57" s="32">
        <f t="shared" si="7"/>
        <v>0</v>
      </c>
      <c r="K57" s="32">
        <f t="shared" si="7"/>
        <v>0.23715440871333246</v>
      </c>
      <c r="L57" s="32">
        <f t="shared" si="7"/>
        <v>0.19013879101264264</v>
      </c>
      <c r="M57" s="32">
        <f t="shared" si="7"/>
        <v>0.21348429123788756</v>
      </c>
      <c r="N57" s="32">
        <f t="shared" si="7"/>
        <v>0.28355727673302983</v>
      </c>
      <c r="O57" s="32">
        <f t="shared" si="7"/>
        <v>7.5440450798491376E-2</v>
      </c>
      <c r="P57" s="32">
        <f t="shared" si="7"/>
        <v>2.2478150461310216E-4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3">
        <f t="shared" si="7"/>
        <v>0.999999999999997</v>
      </c>
    </row>
    <row r="58" spans="6:24" x14ac:dyDescent="0.35">
      <c r="F58" s="37">
        <v>4</v>
      </c>
      <c r="G58" s="15">
        <v>2024</v>
      </c>
      <c r="H58" s="13">
        <v>17532159266.21014</v>
      </c>
      <c r="I58" s="32">
        <f t="shared" si="7"/>
        <v>0</v>
      </c>
      <c r="J58" s="32">
        <f t="shared" si="7"/>
        <v>0</v>
      </c>
      <c r="K58" s="32">
        <f t="shared" si="7"/>
        <v>0</v>
      </c>
      <c r="L58" s="32">
        <f t="shared" si="7"/>
        <v>0.23826261974193105</v>
      </c>
      <c r="M58" s="32">
        <f t="shared" si="7"/>
        <v>0.18265331611388191</v>
      </c>
      <c r="N58" s="32">
        <f t="shared" si="7"/>
        <v>0.28119570641544239</v>
      </c>
      <c r="O58" s="32">
        <f t="shared" si="7"/>
        <v>0.23160028601928942</v>
      </c>
      <c r="P58" s="32">
        <f t="shared" si="7"/>
        <v>5.1220574236439685E-2</v>
      </c>
      <c r="Q58" s="32">
        <f t="shared" si="7"/>
        <v>1.5067497473008283E-2</v>
      </c>
      <c r="R58" s="32">
        <f t="shared" si="7"/>
        <v>0</v>
      </c>
      <c r="S58" s="32">
        <f t="shared" si="7"/>
        <v>0</v>
      </c>
      <c r="T58" s="32">
        <f t="shared" si="7"/>
        <v>0</v>
      </c>
      <c r="U58" s="32">
        <f t="shared" si="7"/>
        <v>0</v>
      </c>
      <c r="V58" s="32">
        <f t="shared" si="7"/>
        <v>0</v>
      </c>
      <c r="W58" s="32">
        <f t="shared" si="7"/>
        <v>0</v>
      </c>
      <c r="X58" s="33">
        <f t="shared" si="7"/>
        <v>0.99999999999999256</v>
      </c>
    </row>
    <row r="59" spans="6:24" x14ac:dyDescent="0.35">
      <c r="F59" s="37">
        <v>5</v>
      </c>
      <c r="G59" s="15">
        <v>2025</v>
      </c>
      <c r="H59" s="13">
        <v>20224684808.930283</v>
      </c>
      <c r="I59" s="32">
        <f t="shared" si="7"/>
        <v>0</v>
      </c>
      <c r="J59" s="32">
        <f t="shared" si="7"/>
        <v>0</v>
      </c>
      <c r="K59" s="32">
        <f t="shared" si="7"/>
        <v>0</v>
      </c>
      <c r="L59" s="32">
        <f t="shared" si="7"/>
        <v>0</v>
      </c>
      <c r="M59" s="32">
        <f t="shared" si="7"/>
        <v>0.22189004296761494</v>
      </c>
      <c r="N59" s="32">
        <f t="shared" si="7"/>
        <v>0.20797555255163921</v>
      </c>
      <c r="O59" s="32">
        <f t="shared" si="7"/>
        <v>0.25036459196408417</v>
      </c>
      <c r="P59" s="32">
        <f t="shared" si="7"/>
        <v>0.12687951595156216</v>
      </c>
      <c r="Q59" s="32">
        <f t="shared" si="7"/>
        <v>0.1561182685549605</v>
      </c>
      <c r="R59" s="32">
        <f t="shared" si="7"/>
        <v>2.951562642085857E-2</v>
      </c>
      <c r="S59" s="32">
        <f t="shared" si="7"/>
        <v>7.2233006531451042E-3</v>
      </c>
      <c r="T59" s="32">
        <f t="shared" si="7"/>
        <v>8.3066807511293815E-6</v>
      </c>
      <c r="U59" s="32">
        <f t="shared" si="7"/>
        <v>8.3066807511293815E-6</v>
      </c>
      <c r="V59" s="32">
        <f t="shared" si="7"/>
        <v>8.3066807511293815E-6</v>
      </c>
      <c r="W59" s="32">
        <f t="shared" si="7"/>
        <v>8.1808938711837089E-6</v>
      </c>
      <c r="X59" s="33">
        <f t="shared" si="7"/>
        <v>0.99999999999998923</v>
      </c>
    </row>
    <row r="60" spans="6:24" x14ac:dyDescent="0.35">
      <c r="F60" s="37">
        <v>6</v>
      </c>
      <c r="G60" s="15">
        <v>2026</v>
      </c>
      <c r="H60" s="13">
        <v>4256111978.150001</v>
      </c>
      <c r="I60" s="32">
        <f t="shared" si="7"/>
        <v>0</v>
      </c>
      <c r="J60" s="32">
        <f t="shared" si="7"/>
        <v>0</v>
      </c>
      <c r="K60" s="32">
        <f t="shared" si="7"/>
        <v>0</v>
      </c>
      <c r="L60" s="32">
        <f t="shared" si="7"/>
        <v>0</v>
      </c>
      <c r="M60" s="32">
        <f t="shared" si="7"/>
        <v>0</v>
      </c>
      <c r="N60" s="32">
        <f t="shared" si="7"/>
        <v>0.29917710217377214</v>
      </c>
      <c r="O60" s="32">
        <f t="shared" si="7"/>
        <v>0.15538875590333243</v>
      </c>
      <c r="P60" s="32">
        <f t="shared" si="7"/>
        <v>0.15102861907063914</v>
      </c>
      <c r="Q60" s="32">
        <f t="shared" si="7"/>
        <v>0.25438215680138349</v>
      </c>
      <c r="R60" s="32">
        <f t="shared" si="7"/>
        <v>0.13294426908521959</v>
      </c>
      <c r="S60" s="32">
        <f t="shared" si="7"/>
        <v>7.0790969656527513E-3</v>
      </c>
      <c r="T60" s="32">
        <f t="shared" si="7"/>
        <v>0</v>
      </c>
      <c r="U60" s="32">
        <f t="shared" si="7"/>
        <v>0</v>
      </c>
      <c r="V60" s="32">
        <f t="shared" si="7"/>
        <v>0</v>
      </c>
      <c r="W60" s="32">
        <f t="shared" si="7"/>
        <v>0</v>
      </c>
      <c r="X60" s="33">
        <f t="shared" si="7"/>
        <v>0.99999999999999956</v>
      </c>
    </row>
    <row r="61" spans="6:24" x14ac:dyDescent="0.35">
      <c r="F61" s="37">
        <v>7</v>
      </c>
      <c r="G61" s="15">
        <v>2027</v>
      </c>
      <c r="H61" s="13">
        <v>0</v>
      </c>
      <c r="I61" s="32">
        <f t="shared" si="7"/>
        <v>0</v>
      </c>
      <c r="J61" s="32">
        <f t="shared" si="7"/>
        <v>0</v>
      </c>
      <c r="K61" s="32">
        <f t="shared" si="7"/>
        <v>0</v>
      </c>
      <c r="L61" s="32">
        <f t="shared" si="7"/>
        <v>0</v>
      </c>
      <c r="M61" s="32">
        <f t="shared" si="7"/>
        <v>0</v>
      </c>
      <c r="N61" s="32">
        <f t="shared" si="7"/>
        <v>0</v>
      </c>
      <c r="O61" s="32">
        <f t="shared" si="7"/>
        <v>0</v>
      </c>
      <c r="P61" s="32">
        <f t="shared" si="7"/>
        <v>0</v>
      </c>
      <c r="Q61" s="32">
        <f t="shared" si="7"/>
        <v>0</v>
      </c>
      <c r="R61" s="32">
        <f t="shared" si="7"/>
        <v>0</v>
      </c>
      <c r="S61" s="32">
        <f t="shared" si="7"/>
        <v>0</v>
      </c>
      <c r="T61" s="32">
        <f t="shared" si="7"/>
        <v>0</v>
      </c>
      <c r="U61" s="32">
        <f t="shared" si="7"/>
        <v>0</v>
      </c>
      <c r="V61" s="32">
        <f t="shared" si="7"/>
        <v>0</v>
      </c>
      <c r="W61" s="32">
        <f t="shared" si="7"/>
        <v>0</v>
      </c>
      <c r="X61" s="33">
        <f t="shared" si="7"/>
        <v>0</v>
      </c>
    </row>
    <row r="62" spans="6:24" x14ac:dyDescent="0.35">
      <c r="F62" s="37">
        <v>8</v>
      </c>
      <c r="G62" s="15">
        <v>2028</v>
      </c>
      <c r="H62" s="13">
        <v>0</v>
      </c>
      <c r="I62" s="32">
        <f t="shared" si="7"/>
        <v>0</v>
      </c>
      <c r="J62" s="32">
        <f t="shared" si="7"/>
        <v>0</v>
      </c>
      <c r="K62" s="32">
        <f t="shared" si="7"/>
        <v>0</v>
      </c>
      <c r="L62" s="32">
        <f t="shared" si="7"/>
        <v>0</v>
      </c>
      <c r="M62" s="32">
        <f t="shared" si="7"/>
        <v>0</v>
      </c>
      <c r="N62" s="32">
        <f t="shared" si="7"/>
        <v>0</v>
      </c>
      <c r="O62" s="32">
        <f t="shared" si="7"/>
        <v>0</v>
      </c>
      <c r="P62" s="32">
        <f t="shared" si="7"/>
        <v>0</v>
      </c>
      <c r="Q62" s="32">
        <f t="shared" si="7"/>
        <v>0</v>
      </c>
      <c r="R62" s="32">
        <f t="shared" si="7"/>
        <v>0</v>
      </c>
      <c r="S62" s="32">
        <f t="shared" si="7"/>
        <v>0</v>
      </c>
      <c r="T62" s="32">
        <f t="shared" si="7"/>
        <v>0</v>
      </c>
      <c r="U62" s="32">
        <f t="shared" si="7"/>
        <v>0</v>
      </c>
      <c r="V62" s="32">
        <f t="shared" si="7"/>
        <v>0</v>
      </c>
      <c r="W62" s="32">
        <f t="shared" si="7"/>
        <v>0</v>
      </c>
      <c r="X62" s="33">
        <f t="shared" si="7"/>
        <v>0</v>
      </c>
    </row>
    <row r="63" spans="6:24" x14ac:dyDescent="0.35">
      <c r="F63" s="37">
        <v>9</v>
      </c>
      <c r="G63" s="15">
        <v>2029</v>
      </c>
      <c r="H63" s="13">
        <v>0</v>
      </c>
      <c r="I63" s="32">
        <f t="shared" si="7"/>
        <v>0</v>
      </c>
      <c r="J63" s="32">
        <f t="shared" si="7"/>
        <v>0</v>
      </c>
      <c r="K63" s="32">
        <f t="shared" si="7"/>
        <v>0</v>
      </c>
      <c r="L63" s="32">
        <f t="shared" si="7"/>
        <v>0</v>
      </c>
      <c r="M63" s="32">
        <f t="shared" si="7"/>
        <v>0</v>
      </c>
      <c r="N63" s="32">
        <f t="shared" si="7"/>
        <v>0</v>
      </c>
      <c r="O63" s="32">
        <f t="shared" si="7"/>
        <v>0</v>
      </c>
      <c r="P63" s="32">
        <f t="shared" si="7"/>
        <v>0</v>
      </c>
      <c r="Q63" s="32">
        <f t="shared" si="7"/>
        <v>0</v>
      </c>
      <c r="R63" s="32">
        <f t="shared" si="7"/>
        <v>0</v>
      </c>
      <c r="S63" s="32">
        <f t="shared" si="7"/>
        <v>0</v>
      </c>
      <c r="T63" s="32">
        <f t="shared" si="7"/>
        <v>0</v>
      </c>
      <c r="U63" s="32">
        <f t="shared" si="7"/>
        <v>0</v>
      </c>
      <c r="V63" s="32">
        <f t="shared" si="7"/>
        <v>0</v>
      </c>
      <c r="W63" s="32">
        <f t="shared" si="7"/>
        <v>0</v>
      </c>
      <c r="X63" s="33">
        <f t="shared" si="7"/>
        <v>0</v>
      </c>
    </row>
    <row r="64" spans="6:24" x14ac:dyDescent="0.35">
      <c r="F64" s="37">
        <v>10</v>
      </c>
      <c r="G64" s="15">
        <v>2030</v>
      </c>
      <c r="H64" s="13">
        <v>0</v>
      </c>
      <c r="I64" s="32">
        <f t="shared" si="7"/>
        <v>0</v>
      </c>
      <c r="J64" s="32">
        <f t="shared" si="7"/>
        <v>0</v>
      </c>
      <c r="K64" s="32">
        <f t="shared" si="7"/>
        <v>0</v>
      </c>
      <c r="L64" s="32">
        <f t="shared" si="7"/>
        <v>0</v>
      </c>
      <c r="M64" s="32">
        <f t="shared" si="7"/>
        <v>0</v>
      </c>
      <c r="N64" s="32">
        <f t="shared" si="7"/>
        <v>0</v>
      </c>
      <c r="O64" s="32">
        <f t="shared" si="7"/>
        <v>0</v>
      </c>
      <c r="P64" s="32">
        <f t="shared" si="7"/>
        <v>0</v>
      </c>
      <c r="Q64" s="32">
        <f t="shared" si="7"/>
        <v>0</v>
      </c>
      <c r="R64" s="32">
        <f t="shared" si="7"/>
        <v>0</v>
      </c>
      <c r="S64" s="32">
        <f t="shared" si="7"/>
        <v>0</v>
      </c>
      <c r="T64" s="32">
        <f t="shared" si="7"/>
        <v>0</v>
      </c>
      <c r="U64" s="32">
        <f t="shared" si="7"/>
        <v>0</v>
      </c>
      <c r="V64" s="32">
        <f t="shared" si="7"/>
        <v>0</v>
      </c>
      <c r="W64" s="32">
        <f t="shared" si="7"/>
        <v>0</v>
      </c>
      <c r="X64" s="33">
        <f t="shared" si="7"/>
        <v>0</v>
      </c>
    </row>
    <row r="65" spans="6:24" x14ac:dyDescent="0.35">
      <c r="F65" s="37">
        <v>11</v>
      </c>
      <c r="G65" s="15">
        <v>2031</v>
      </c>
      <c r="H65" s="13">
        <v>0</v>
      </c>
      <c r="I65" s="32">
        <f t="shared" si="7"/>
        <v>0</v>
      </c>
      <c r="J65" s="32">
        <f t="shared" si="7"/>
        <v>0</v>
      </c>
      <c r="K65" s="32">
        <f t="shared" si="7"/>
        <v>0</v>
      </c>
      <c r="L65" s="32">
        <f t="shared" si="7"/>
        <v>0</v>
      </c>
      <c r="M65" s="32">
        <f t="shared" si="7"/>
        <v>0</v>
      </c>
      <c r="N65" s="32">
        <f t="shared" si="7"/>
        <v>0</v>
      </c>
      <c r="O65" s="32">
        <f t="shared" si="7"/>
        <v>0</v>
      </c>
      <c r="P65" s="32">
        <f t="shared" si="7"/>
        <v>0</v>
      </c>
      <c r="Q65" s="32">
        <f t="shared" si="7"/>
        <v>0</v>
      </c>
      <c r="R65" s="32">
        <f t="shared" si="7"/>
        <v>0</v>
      </c>
      <c r="S65" s="32">
        <f t="shared" si="7"/>
        <v>0</v>
      </c>
      <c r="T65" s="32">
        <f t="shared" si="7"/>
        <v>0</v>
      </c>
      <c r="U65" s="32">
        <f t="shared" si="7"/>
        <v>0</v>
      </c>
      <c r="V65" s="32">
        <f t="shared" si="7"/>
        <v>0</v>
      </c>
      <c r="W65" s="32">
        <f t="shared" si="7"/>
        <v>0</v>
      </c>
      <c r="X65" s="33">
        <f t="shared" si="7"/>
        <v>0</v>
      </c>
    </row>
    <row r="66" spans="6:24" x14ac:dyDescent="0.35">
      <c r="F66" s="37">
        <v>12</v>
      </c>
      <c r="G66" s="15">
        <v>2032</v>
      </c>
      <c r="H66" s="13">
        <v>0</v>
      </c>
      <c r="I66" s="32">
        <f t="shared" si="7"/>
        <v>0</v>
      </c>
      <c r="J66" s="32">
        <f t="shared" si="7"/>
        <v>0</v>
      </c>
      <c r="K66" s="32">
        <f t="shared" si="7"/>
        <v>0</v>
      </c>
      <c r="L66" s="32">
        <f t="shared" si="7"/>
        <v>0</v>
      </c>
      <c r="M66" s="32">
        <f t="shared" si="7"/>
        <v>0</v>
      </c>
      <c r="N66" s="32">
        <f t="shared" si="7"/>
        <v>0</v>
      </c>
      <c r="O66" s="32">
        <f t="shared" si="7"/>
        <v>0</v>
      </c>
      <c r="P66" s="32">
        <f t="shared" si="7"/>
        <v>0</v>
      </c>
      <c r="Q66" s="32">
        <f t="shared" si="7"/>
        <v>0</v>
      </c>
      <c r="R66" s="32">
        <f t="shared" si="7"/>
        <v>0</v>
      </c>
      <c r="S66" s="32">
        <f t="shared" si="7"/>
        <v>0</v>
      </c>
      <c r="T66" s="32">
        <f t="shared" si="7"/>
        <v>0</v>
      </c>
      <c r="U66" s="32">
        <f t="shared" si="7"/>
        <v>0</v>
      </c>
      <c r="V66" s="32">
        <f t="shared" si="7"/>
        <v>0</v>
      </c>
      <c r="W66" s="32">
        <f t="shared" si="7"/>
        <v>0</v>
      </c>
      <c r="X66" s="33">
        <f t="shared" si="7"/>
        <v>0</v>
      </c>
    </row>
    <row r="67" spans="6:24" x14ac:dyDescent="0.35">
      <c r="F67" s="37">
        <v>13</v>
      </c>
      <c r="G67" s="15">
        <v>2033</v>
      </c>
      <c r="H67" s="13">
        <v>0</v>
      </c>
      <c r="I67" s="32">
        <f>IFERROR(I44/$H44,0)</f>
        <v>0</v>
      </c>
      <c r="J67" s="32">
        <f t="shared" si="7"/>
        <v>0</v>
      </c>
      <c r="K67" s="32">
        <f t="shared" si="7"/>
        <v>0</v>
      </c>
      <c r="L67" s="32">
        <f t="shared" si="7"/>
        <v>0</v>
      </c>
      <c r="M67" s="32">
        <f t="shared" si="7"/>
        <v>0</v>
      </c>
      <c r="N67" s="32">
        <f t="shared" si="7"/>
        <v>0</v>
      </c>
      <c r="O67" s="32">
        <f t="shared" si="7"/>
        <v>0</v>
      </c>
      <c r="P67" s="32">
        <f t="shared" si="7"/>
        <v>0</v>
      </c>
      <c r="Q67" s="32">
        <f t="shared" si="7"/>
        <v>0</v>
      </c>
      <c r="R67" s="32">
        <f t="shared" si="7"/>
        <v>0</v>
      </c>
      <c r="S67" s="32">
        <f t="shared" si="7"/>
        <v>0</v>
      </c>
      <c r="T67" s="32">
        <f t="shared" si="7"/>
        <v>0</v>
      </c>
      <c r="U67" s="32">
        <f t="shared" si="7"/>
        <v>0</v>
      </c>
      <c r="V67" s="32">
        <f t="shared" si="7"/>
        <v>0</v>
      </c>
      <c r="W67" s="32">
        <f t="shared" si="7"/>
        <v>0</v>
      </c>
      <c r="X67" s="33">
        <f t="shared" si="7"/>
        <v>0</v>
      </c>
    </row>
    <row r="68" spans="6:24" x14ac:dyDescent="0.35">
      <c r="F68" s="37">
        <v>14</v>
      </c>
      <c r="G68" s="15">
        <v>2034</v>
      </c>
      <c r="H68" s="13">
        <v>0</v>
      </c>
      <c r="I68" s="32">
        <f t="shared" ref="I68:X69" si="8">IFERROR(I45/$H45,0)</f>
        <v>0</v>
      </c>
      <c r="J68" s="32">
        <f t="shared" si="8"/>
        <v>0</v>
      </c>
      <c r="K68" s="32">
        <f t="shared" si="8"/>
        <v>0</v>
      </c>
      <c r="L68" s="32">
        <f t="shared" si="8"/>
        <v>0</v>
      </c>
      <c r="M68" s="32">
        <f t="shared" si="8"/>
        <v>0</v>
      </c>
      <c r="N68" s="32">
        <f t="shared" si="8"/>
        <v>0</v>
      </c>
      <c r="O68" s="32">
        <f t="shared" si="8"/>
        <v>0</v>
      </c>
      <c r="P68" s="32">
        <f t="shared" si="8"/>
        <v>0</v>
      </c>
      <c r="Q68" s="32">
        <f t="shared" si="8"/>
        <v>0</v>
      </c>
      <c r="R68" s="32">
        <f t="shared" si="8"/>
        <v>0</v>
      </c>
      <c r="S68" s="32">
        <f t="shared" si="8"/>
        <v>0</v>
      </c>
      <c r="T68" s="32">
        <f t="shared" si="8"/>
        <v>0</v>
      </c>
      <c r="U68" s="32">
        <f t="shared" si="8"/>
        <v>0</v>
      </c>
      <c r="V68" s="32">
        <f t="shared" si="8"/>
        <v>0</v>
      </c>
      <c r="W68" s="32">
        <f t="shared" si="8"/>
        <v>0</v>
      </c>
      <c r="X68" s="33">
        <f t="shared" si="8"/>
        <v>0</v>
      </c>
    </row>
    <row r="69" spans="6:24" ht="15" thickBot="1" x14ac:dyDescent="0.4">
      <c r="F69" s="39" t="s">
        <v>0</v>
      </c>
      <c r="G69" s="40"/>
      <c r="H69" s="27">
        <v>74854405895.290451</v>
      </c>
      <c r="I69" s="34">
        <f t="shared" si="8"/>
        <v>4.6754340587588386E-2</v>
      </c>
      <c r="J69" s="34">
        <f t="shared" si="8"/>
        <v>4.9043663752342773E-2</v>
      </c>
      <c r="K69" s="34">
        <f t="shared" si="8"/>
        <v>8.8597588384403292E-2</v>
      </c>
      <c r="L69" s="34">
        <f t="shared" si="8"/>
        <v>0.12153301798448128</v>
      </c>
      <c r="M69" s="34">
        <f t="shared" si="8"/>
        <v>0.17374295684896038</v>
      </c>
      <c r="N69" s="34">
        <f t="shared" si="8"/>
        <v>0.2309516094171245</v>
      </c>
      <c r="O69" s="34">
        <f t="shared" si="8"/>
        <v>0.15415202167620215</v>
      </c>
      <c r="P69" s="34">
        <f t="shared" si="8"/>
        <v>5.715397550592486E-2</v>
      </c>
      <c r="Q69" s="34">
        <f t="shared" si="8"/>
        <v>6.0173979481859735E-2</v>
      </c>
      <c r="R69" s="34">
        <f t="shared" si="8"/>
        <v>1.5533754138754798E-2</v>
      </c>
      <c r="S69" s="34">
        <f t="shared" si="8"/>
        <v>2.3541487808546881E-3</v>
      </c>
      <c r="T69" s="34">
        <f t="shared" si="8"/>
        <v>2.2443568683853507E-6</v>
      </c>
      <c r="U69" s="34">
        <f t="shared" si="8"/>
        <v>2.2443568683853507E-6</v>
      </c>
      <c r="V69" s="34">
        <f t="shared" si="8"/>
        <v>2.2443568683853507E-6</v>
      </c>
      <c r="W69" s="34">
        <f t="shared" si="8"/>
        <v>2.2103708929498008E-6</v>
      </c>
      <c r="X69" s="35">
        <f t="shared" si="8"/>
        <v>0.99999999999999489</v>
      </c>
    </row>
    <row r="70" spans="6:24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12">
    <mergeCell ref="F30:H30"/>
    <mergeCell ref="J30:X30"/>
    <mergeCell ref="F8:X8"/>
    <mergeCell ref="F9:H9"/>
    <mergeCell ref="J9:X9"/>
    <mergeCell ref="F25:G25"/>
    <mergeCell ref="F29:X29"/>
    <mergeCell ref="F46:G46"/>
    <mergeCell ref="F52:X52"/>
    <mergeCell ref="F53:H53"/>
    <mergeCell ref="J53:X53"/>
    <mergeCell ref="F69:G69"/>
  </mergeCells>
  <pageMargins left="0.7" right="0.7" top="0.75" bottom="0.75" header="0.3" footer="0.3"/>
  <pageSetup scale="2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0331-01D1-4CFC-BACC-0FD51DE49D19}">
  <sheetPr>
    <tabColor rgb="FF00B050"/>
  </sheetPr>
  <dimension ref="E1:X70"/>
  <sheetViews>
    <sheetView view="pageBreakPreview" topLeftCell="H27" zoomScale="85" zoomScaleNormal="85" zoomScaleSheetLayoutView="85" workbookViewId="0">
      <selection activeCell="O65" sqref="O65"/>
    </sheetView>
  </sheetViews>
  <sheetFormatPr defaultColWidth="9.1796875" defaultRowHeight="14.5" x14ac:dyDescent="0.35"/>
  <cols>
    <col min="1" max="4" width="0" hidden="1" customWidth="1"/>
    <col min="6" max="6" width="8.26953125" bestFit="1" customWidth="1"/>
    <col min="7" max="7" width="23.453125" bestFit="1" customWidth="1"/>
    <col min="8" max="8" width="20.1796875" bestFit="1" customWidth="1"/>
    <col min="9" max="9" width="14.54296875" bestFit="1" customWidth="1"/>
    <col min="10" max="11" width="7.26953125" bestFit="1" customWidth="1"/>
    <col min="12" max="12" width="16.81640625" bestFit="1" customWidth="1"/>
    <col min="13" max="21" width="18.7265625" bestFit="1" customWidth="1"/>
    <col min="22" max="22" width="15.54296875" bestFit="1" customWidth="1"/>
    <col min="23" max="23" width="14.1796875" bestFit="1" customWidth="1"/>
    <col min="24" max="24" width="20.1796875" bestFit="1" customWidth="1"/>
  </cols>
  <sheetData>
    <row r="1" spans="5:24" hidden="1" x14ac:dyDescent="0.3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5:24" hidden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5:24" hidden="1" x14ac:dyDescent="0.3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5:24" hidden="1" x14ac:dyDescent="0.3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5:24" hidden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5:24" hidden="1" x14ac:dyDescent="0.3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5:24" hidden="1" x14ac:dyDescent="0.3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5:24" hidden="1" x14ac:dyDescent="0.35">
      <c r="E8" s="1"/>
      <c r="F8" s="50" t="s">
        <v>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5:24" hidden="1" x14ac:dyDescent="0.35">
      <c r="E9" s="1"/>
      <c r="F9" s="51" t="s">
        <v>1</v>
      </c>
      <c r="G9" s="52"/>
      <c r="H9" s="53"/>
      <c r="I9" s="2"/>
      <c r="J9" s="54" t="s">
        <v>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5:24" hidden="1" x14ac:dyDescent="0.35">
      <c r="E10" s="1"/>
      <c r="F10" s="3" t="s">
        <v>3</v>
      </c>
      <c r="G10" s="4" t="s">
        <v>4</v>
      </c>
      <c r="H10" s="5" t="s">
        <v>5</v>
      </c>
      <c r="I10" s="5" t="s">
        <v>6</v>
      </c>
      <c r="J10" s="6">
        <v>2022</v>
      </c>
      <c r="K10" s="7">
        <v>2023</v>
      </c>
      <c r="L10" s="7">
        <v>2024</v>
      </c>
      <c r="M10" s="7">
        <v>2025</v>
      </c>
      <c r="N10" s="7">
        <v>2026</v>
      </c>
      <c r="O10" s="7">
        <v>2027</v>
      </c>
      <c r="P10" s="7">
        <v>2028</v>
      </c>
      <c r="Q10" s="8">
        <v>2029</v>
      </c>
      <c r="R10" s="8">
        <v>2030</v>
      </c>
      <c r="S10" s="8">
        <v>2031</v>
      </c>
      <c r="T10" s="8">
        <f>+S10+1</f>
        <v>2032</v>
      </c>
      <c r="U10" s="8">
        <f>+T10+1</f>
        <v>2033</v>
      </c>
      <c r="V10" s="8">
        <f>+U10+1</f>
        <v>2034</v>
      </c>
      <c r="W10" s="9" t="s">
        <v>7</v>
      </c>
      <c r="X10" s="9" t="s">
        <v>0</v>
      </c>
    </row>
    <row r="11" spans="5:24" hidden="1" x14ac:dyDescent="0.35">
      <c r="E11" s="10">
        <v>2021</v>
      </c>
      <c r="F11" s="11">
        <v>1</v>
      </c>
      <c r="G11" s="12" t="s">
        <v>8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f>SUM(I11:W11)</f>
        <v>0</v>
      </c>
    </row>
    <row r="12" spans="5:24" hidden="1" x14ac:dyDescent="0.35">
      <c r="E12" s="10">
        <v>2022</v>
      </c>
      <c r="F12" s="11">
        <f>+F11+1</f>
        <v>2</v>
      </c>
      <c r="G12" s="14">
        <v>2022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f t="shared" ref="X12:X24" si="0">SUM(I12:W12)</f>
        <v>0</v>
      </c>
    </row>
    <row r="13" spans="5:24" hidden="1" x14ac:dyDescent="0.35">
      <c r="E13" s="10">
        <v>2023</v>
      </c>
      <c r="F13" s="11">
        <f t="shared" ref="F13:F24" si="1">+F12+1</f>
        <v>3</v>
      </c>
      <c r="G13" s="14">
        <v>2023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f t="shared" si="0"/>
        <v>0</v>
      </c>
    </row>
    <row r="14" spans="5:24" hidden="1" x14ac:dyDescent="0.35">
      <c r="E14" s="10">
        <v>2024</v>
      </c>
      <c r="F14" s="11">
        <f t="shared" si="1"/>
        <v>4</v>
      </c>
      <c r="G14" s="14">
        <v>2024</v>
      </c>
      <c r="H14" s="13">
        <v>4016088244.2500048</v>
      </c>
      <c r="I14" s="13">
        <v>0</v>
      </c>
      <c r="J14" s="13">
        <v>0</v>
      </c>
      <c r="K14" s="13">
        <v>0</v>
      </c>
      <c r="L14" s="13">
        <v>689556912.1499989</v>
      </c>
      <c r="M14" s="13">
        <v>789444092.32000005</v>
      </c>
      <c r="N14" s="13">
        <v>742484492.98999834</v>
      </c>
      <c r="O14" s="13">
        <v>987161670.8500005</v>
      </c>
      <c r="P14" s="13">
        <v>807441075.94000173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4016088244.249999</v>
      </c>
    </row>
    <row r="15" spans="5:24" hidden="1" x14ac:dyDescent="0.35">
      <c r="E15" s="10">
        <v>2025</v>
      </c>
      <c r="F15" s="11">
        <f t="shared" si="1"/>
        <v>5</v>
      </c>
      <c r="G15" s="14">
        <v>2025</v>
      </c>
      <c r="H15" s="13">
        <v>6702342415.9700108</v>
      </c>
      <c r="I15" s="13">
        <v>0</v>
      </c>
      <c r="J15" s="13">
        <v>0</v>
      </c>
      <c r="K15" s="13">
        <v>0</v>
      </c>
      <c r="L15" s="13">
        <v>0</v>
      </c>
      <c r="M15" s="13">
        <v>1530164672.9700022</v>
      </c>
      <c r="N15" s="13">
        <v>1245444000.1599948</v>
      </c>
      <c r="O15" s="13">
        <v>1027507867.3599991</v>
      </c>
      <c r="P15" s="13">
        <v>1469764030.7400002</v>
      </c>
      <c r="Q15" s="13">
        <v>1388249332.7500052</v>
      </c>
      <c r="R15" s="13">
        <v>41212511.990000002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f t="shared" si="0"/>
        <v>6702342415.9700012</v>
      </c>
    </row>
    <row r="16" spans="5:24" hidden="1" x14ac:dyDescent="0.35">
      <c r="E16" s="10">
        <v>2026</v>
      </c>
      <c r="F16" s="11">
        <f t="shared" si="1"/>
        <v>6</v>
      </c>
      <c r="G16" s="14">
        <v>2026</v>
      </c>
      <c r="H16" s="13">
        <v>601644229.46999931</v>
      </c>
      <c r="I16" s="13">
        <v>923894</v>
      </c>
      <c r="J16" s="13">
        <v>0</v>
      </c>
      <c r="K16" s="13">
        <v>0</v>
      </c>
      <c r="L16" s="13">
        <v>0</v>
      </c>
      <c r="M16" s="13">
        <v>0</v>
      </c>
      <c r="N16" s="13">
        <v>163184123.77999991</v>
      </c>
      <c r="O16" s="13">
        <v>119074168.02</v>
      </c>
      <c r="P16" s="13">
        <v>119260577.6799999</v>
      </c>
      <c r="Q16" s="13">
        <v>137375418.90000001</v>
      </c>
      <c r="R16" s="13">
        <v>61826047.090000004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f t="shared" si="0"/>
        <v>601644229.46999979</v>
      </c>
    </row>
    <row r="17" spans="5:24" hidden="1" x14ac:dyDescent="0.35">
      <c r="E17" s="10">
        <v>2027</v>
      </c>
      <c r="F17" s="11">
        <f t="shared" si="1"/>
        <v>7</v>
      </c>
      <c r="G17" s="14">
        <v>2027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f t="shared" si="0"/>
        <v>0</v>
      </c>
    </row>
    <row r="18" spans="5:24" hidden="1" x14ac:dyDescent="0.35">
      <c r="E18" s="10">
        <v>2028</v>
      </c>
      <c r="F18" s="11">
        <f t="shared" si="1"/>
        <v>8</v>
      </c>
      <c r="G18" s="14">
        <v>2028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</row>
    <row r="19" spans="5:24" hidden="1" x14ac:dyDescent="0.35">
      <c r="E19" s="10">
        <v>2029</v>
      </c>
      <c r="F19" s="11">
        <f t="shared" si="1"/>
        <v>9</v>
      </c>
      <c r="G19" s="14">
        <v>2029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f t="shared" si="0"/>
        <v>0</v>
      </c>
    </row>
    <row r="20" spans="5:24" hidden="1" x14ac:dyDescent="0.35">
      <c r="E20" s="10">
        <f>+E19+1</f>
        <v>2030</v>
      </c>
      <c r="F20" s="11">
        <f t="shared" si="1"/>
        <v>10</v>
      </c>
      <c r="G20" s="14">
        <f>E20</f>
        <v>2030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f t="shared" si="0"/>
        <v>0</v>
      </c>
    </row>
    <row r="21" spans="5:24" hidden="1" x14ac:dyDescent="0.35">
      <c r="E21" s="10">
        <f>+E20+1</f>
        <v>2031</v>
      </c>
      <c r="F21" s="11">
        <f t="shared" si="1"/>
        <v>11</v>
      </c>
      <c r="G21" s="14">
        <f>E21</f>
        <v>2031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f t="shared" si="0"/>
        <v>0</v>
      </c>
    </row>
    <row r="22" spans="5:24" hidden="1" x14ac:dyDescent="0.35">
      <c r="E22" s="10">
        <f>+E21+1</f>
        <v>2032</v>
      </c>
      <c r="F22" s="11">
        <f t="shared" si="1"/>
        <v>12</v>
      </c>
      <c r="G22" s="14">
        <f>E22</f>
        <v>2032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f t="shared" si="0"/>
        <v>0</v>
      </c>
    </row>
    <row r="23" spans="5:24" hidden="1" x14ac:dyDescent="0.35">
      <c r="E23" s="10">
        <f>+E22+1</f>
        <v>2033</v>
      </c>
      <c r="F23" s="11">
        <f t="shared" si="1"/>
        <v>13</v>
      </c>
      <c r="G23" s="14">
        <f>E23</f>
        <v>2033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f t="shared" si="0"/>
        <v>0</v>
      </c>
    </row>
    <row r="24" spans="5:24" hidden="1" x14ac:dyDescent="0.35">
      <c r="E24" s="10">
        <f>+E23+1</f>
        <v>2034</v>
      </c>
      <c r="F24" s="11">
        <f t="shared" si="1"/>
        <v>14</v>
      </c>
      <c r="G24" s="14">
        <f>E24</f>
        <v>2034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f t="shared" si="0"/>
        <v>0</v>
      </c>
    </row>
    <row r="25" spans="5:24" hidden="1" x14ac:dyDescent="0.35">
      <c r="E25" s="1"/>
      <c r="F25" s="57" t="s">
        <v>0</v>
      </c>
      <c r="G25" s="57"/>
      <c r="H25" s="16">
        <f>SUM(H11:H24)</f>
        <v>11320074889.690016</v>
      </c>
      <c r="I25" s="16">
        <f t="shared" ref="I25:X25" si="2">SUM(I11:I24)</f>
        <v>923894</v>
      </c>
      <c r="J25" s="16">
        <f t="shared" si="2"/>
        <v>0</v>
      </c>
      <c r="K25" s="16">
        <f t="shared" si="2"/>
        <v>0</v>
      </c>
      <c r="L25" s="16">
        <f t="shared" si="2"/>
        <v>689556912.1499989</v>
      </c>
      <c r="M25" s="16">
        <f t="shared" si="2"/>
        <v>2319608765.2900023</v>
      </c>
      <c r="N25" s="16">
        <f t="shared" si="2"/>
        <v>2151112616.9299932</v>
      </c>
      <c r="O25" s="16">
        <f t="shared" si="2"/>
        <v>2133743706.2299995</v>
      </c>
      <c r="P25" s="16">
        <f t="shared" si="2"/>
        <v>2396465684.360002</v>
      </c>
      <c r="Q25" s="16">
        <f t="shared" si="2"/>
        <v>1525624751.6500053</v>
      </c>
      <c r="R25" s="16">
        <f t="shared" si="2"/>
        <v>103038559.08000001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11320074889.690001</v>
      </c>
    </row>
    <row r="26" spans="5:24" hidden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8" spans="5:24" ht="15" thickBot="1" x14ac:dyDescent="0.4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5:24" x14ac:dyDescent="0.35">
      <c r="E29" s="1"/>
      <c r="F29" s="41" t="s">
        <v>11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</row>
    <row r="30" spans="5:24" x14ac:dyDescent="0.35">
      <c r="E30" s="1"/>
      <c r="F30" s="44" t="s">
        <v>1</v>
      </c>
      <c r="G30" s="45"/>
      <c r="H30" s="46"/>
      <c r="I30" s="17"/>
      <c r="J30" s="47" t="s">
        <v>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</row>
    <row r="31" spans="5:24" x14ac:dyDescent="0.35">
      <c r="E31" s="1"/>
      <c r="F31" s="18" t="s">
        <v>3</v>
      </c>
      <c r="G31" s="18" t="str">
        <f>G10</f>
        <v>Year</v>
      </c>
      <c r="H31" s="19" t="str">
        <f t="shared" ref="H31:X31" si="3">H10</f>
        <v>Purchase price</v>
      </c>
      <c r="I31" s="20" t="str">
        <f t="shared" si="3"/>
        <v>Before 2022</v>
      </c>
      <c r="J31" s="21">
        <f t="shared" si="3"/>
        <v>2022</v>
      </c>
      <c r="K31" s="22">
        <f t="shared" si="3"/>
        <v>2023</v>
      </c>
      <c r="L31" s="22">
        <f t="shared" si="3"/>
        <v>2024</v>
      </c>
      <c r="M31" s="22">
        <f t="shared" si="3"/>
        <v>2025</v>
      </c>
      <c r="N31" s="22">
        <f t="shared" si="3"/>
        <v>2026</v>
      </c>
      <c r="O31" s="22">
        <f t="shared" si="3"/>
        <v>2027</v>
      </c>
      <c r="P31" s="22">
        <f t="shared" si="3"/>
        <v>2028</v>
      </c>
      <c r="Q31" s="23">
        <f t="shared" si="3"/>
        <v>2029</v>
      </c>
      <c r="R31" s="23">
        <f t="shared" si="3"/>
        <v>2030</v>
      </c>
      <c r="S31" s="23">
        <f t="shared" si="3"/>
        <v>2031</v>
      </c>
      <c r="T31" s="23">
        <f t="shared" si="3"/>
        <v>2032</v>
      </c>
      <c r="U31" s="23">
        <f t="shared" si="3"/>
        <v>2033</v>
      </c>
      <c r="V31" s="23">
        <f t="shared" si="3"/>
        <v>2034</v>
      </c>
      <c r="W31" s="24" t="str">
        <f t="shared" si="3"/>
        <v>beyond 2035</v>
      </c>
      <c r="X31" s="25" t="str">
        <f t="shared" si="3"/>
        <v>Total</v>
      </c>
    </row>
    <row r="32" spans="5:24" ht="15.75" customHeight="1" x14ac:dyDescent="0.35">
      <c r="E32" s="1"/>
      <c r="F32" s="37">
        <f>F11</f>
        <v>1</v>
      </c>
      <c r="G32" s="15" t="str">
        <f>G11</f>
        <v>Before 2021 and 2021</v>
      </c>
      <c r="H32" s="26" cm="1">
        <f t="array" ref="H32:H45">H11:H24</f>
        <v>0</v>
      </c>
      <c r="I32" s="28" cm="1">
        <f t="array" ref="I32:X32">I11:X11</f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9">
        <v>0</v>
      </c>
    </row>
    <row r="33" spans="6:24" x14ac:dyDescent="0.35">
      <c r="F33" s="37">
        <f t="shared" ref="F33:G45" si="4">F12</f>
        <v>2</v>
      </c>
      <c r="G33" s="15">
        <f t="shared" si="4"/>
        <v>2022</v>
      </c>
      <c r="H33" s="13">
        <v>0</v>
      </c>
      <c r="I33" s="28"/>
      <c r="J33" s="28">
        <f>SUM(I12:J12)</f>
        <v>0</v>
      </c>
      <c r="K33" s="28" cm="1">
        <f t="array" ref="K33:X33">K12:X12</f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9">
        <v>0</v>
      </c>
    </row>
    <row r="34" spans="6:24" x14ac:dyDescent="0.35">
      <c r="F34" s="37">
        <f t="shared" si="4"/>
        <v>3</v>
      </c>
      <c r="G34" s="15">
        <f t="shared" si="4"/>
        <v>2023</v>
      </c>
      <c r="H34" s="13">
        <v>0</v>
      </c>
      <c r="I34" s="28"/>
      <c r="J34" s="28"/>
      <c r="K34" s="28">
        <f>SUM(I13:K13)</f>
        <v>0</v>
      </c>
      <c r="L34" s="28" cm="1">
        <f t="array" ref="L34:X34">L13:X13</f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9">
        <v>0</v>
      </c>
    </row>
    <row r="35" spans="6:24" x14ac:dyDescent="0.35">
      <c r="F35" s="37">
        <f t="shared" si="4"/>
        <v>4</v>
      </c>
      <c r="G35" s="15">
        <f t="shared" si="4"/>
        <v>2024</v>
      </c>
      <c r="H35" s="13">
        <v>4016088244.2500048</v>
      </c>
      <c r="I35" s="28"/>
      <c r="J35" s="28"/>
      <c r="K35" s="28"/>
      <c r="L35" s="28">
        <f>SUM(I14:L14)</f>
        <v>689556912.1499989</v>
      </c>
      <c r="M35" s="28" cm="1">
        <f t="array" ref="M35:X35">M14:X14</f>
        <v>789444092.32000005</v>
      </c>
      <c r="N35" s="28">
        <v>742484492.98999834</v>
      </c>
      <c r="O35" s="28">
        <v>987161670.8500005</v>
      </c>
      <c r="P35" s="28">
        <v>807441075.94000173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9">
        <v>4016088244.249999</v>
      </c>
    </row>
    <row r="36" spans="6:24" x14ac:dyDescent="0.35">
      <c r="F36" s="37">
        <f t="shared" si="4"/>
        <v>5</v>
      </c>
      <c r="G36" s="15">
        <f t="shared" si="4"/>
        <v>2025</v>
      </c>
      <c r="H36" s="13">
        <v>6702342415.9700108</v>
      </c>
      <c r="I36" s="28"/>
      <c r="J36" s="28"/>
      <c r="K36" s="28"/>
      <c r="L36" s="28"/>
      <c r="M36" s="28">
        <f>SUM(I15:M15)</f>
        <v>1530164672.9700022</v>
      </c>
      <c r="N36" s="28" cm="1">
        <f t="array" ref="N36:X36">N15:X15</f>
        <v>1245444000.1599948</v>
      </c>
      <c r="O36" s="28">
        <v>1027507867.3599991</v>
      </c>
      <c r="P36" s="28">
        <v>1469764030.7400002</v>
      </c>
      <c r="Q36" s="28">
        <v>1388249332.7500052</v>
      </c>
      <c r="R36" s="28">
        <v>41212511.990000002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9">
        <v>6702342415.9700012</v>
      </c>
    </row>
    <row r="37" spans="6:24" x14ac:dyDescent="0.35">
      <c r="F37" s="37">
        <f t="shared" si="4"/>
        <v>6</v>
      </c>
      <c r="G37" s="15">
        <f t="shared" si="4"/>
        <v>2026</v>
      </c>
      <c r="H37" s="13">
        <v>601644229.46999931</v>
      </c>
      <c r="I37" s="28"/>
      <c r="J37" s="28"/>
      <c r="K37" s="28"/>
      <c r="L37" s="28"/>
      <c r="M37" s="28"/>
      <c r="N37" s="28">
        <f>SUM(I16:N16)</f>
        <v>164108017.77999991</v>
      </c>
      <c r="O37" s="28" cm="1">
        <f t="array" ref="O37:X37">O16:X16</f>
        <v>119074168.02</v>
      </c>
      <c r="P37" s="28">
        <v>119260577.6799999</v>
      </c>
      <c r="Q37" s="28">
        <v>137375418.90000001</v>
      </c>
      <c r="R37" s="28">
        <v>61826047.090000004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9">
        <v>601644229.46999979</v>
      </c>
    </row>
    <row r="38" spans="6:24" x14ac:dyDescent="0.35">
      <c r="F38" s="37">
        <f t="shared" si="4"/>
        <v>7</v>
      </c>
      <c r="G38" s="15">
        <f t="shared" si="4"/>
        <v>2027</v>
      </c>
      <c r="H38" s="13">
        <v>0</v>
      </c>
      <c r="I38" s="28"/>
      <c r="J38" s="28"/>
      <c r="K38" s="28"/>
      <c r="L38" s="28"/>
      <c r="M38" s="28"/>
      <c r="N38" s="28"/>
      <c r="O38" s="28">
        <f>SUM(I17:O17)</f>
        <v>0</v>
      </c>
      <c r="P38" s="28" cm="1">
        <f t="array" ref="P38:X38">P17:X17</f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9">
        <v>0</v>
      </c>
    </row>
    <row r="39" spans="6:24" x14ac:dyDescent="0.35">
      <c r="F39" s="37">
        <f t="shared" si="4"/>
        <v>8</v>
      </c>
      <c r="G39" s="15">
        <f t="shared" si="4"/>
        <v>2028</v>
      </c>
      <c r="H39" s="13">
        <v>0</v>
      </c>
      <c r="I39" s="28"/>
      <c r="J39" s="28"/>
      <c r="K39" s="28"/>
      <c r="L39" s="28"/>
      <c r="M39" s="28"/>
      <c r="N39" s="28"/>
      <c r="O39" s="28"/>
      <c r="P39" s="28">
        <f>SUM(I18:P18)</f>
        <v>0</v>
      </c>
      <c r="Q39" s="28" cm="1">
        <f t="array" ref="Q39:W39">Q19:W19</f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9"/>
    </row>
    <row r="40" spans="6:24" x14ac:dyDescent="0.35">
      <c r="F40" s="37">
        <f t="shared" si="4"/>
        <v>9</v>
      </c>
      <c r="G40" s="15">
        <f t="shared" si="4"/>
        <v>2029</v>
      </c>
      <c r="H40" s="13">
        <v>0</v>
      </c>
      <c r="I40" s="28"/>
      <c r="J40" s="28"/>
      <c r="K40" s="28"/>
      <c r="L40" s="28"/>
      <c r="M40" s="28"/>
      <c r="N40" s="28"/>
      <c r="O40" s="28"/>
      <c r="P40" s="28"/>
      <c r="Q40" s="28">
        <f>SUM(I19:Q19)</f>
        <v>0</v>
      </c>
      <c r="R40" s="28" cm="1">
        <f t="array" ref="R40:W40">R20:W20</f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9"/>
    </row>
    <row r="41" spans="6:24" x14ac:dyDescent="0.35">
      <c r="F41" s="37">
        <f t="shared" si="4"/>
        <v>10</v>
      </c>
      <c r="G41" s="15">
        <f t="shared" si="4"/>
        <v>2030</v>
      </c>
      <c r="H41" s="13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>
        <f>SUM(I20:R20)</f>
        <v>0</v>
      </c>
      <c r="S41" s="28" cm="1">
        <f t="array" ref="S41:X41">S20:X20</f>
        <v>0</v>
      </c>
      <c r="T41" s="28">
        <v>0</v>
      </c>
      <c r="U41" s="28">
        <v>0</v>
      </c>
      <c r="V41" s="28">
        <v>0</v>
      </c>
      <c r="W41" s="28">
        <v>0</v>
      </c>
      <c r="X41" s="29">
        <v>0</v>
      </c>
    </row>
    <row r="42" spans="6:24" x14ac:dyDescent="0.35">
      <c r="F42" s="37">
        <f t="shared" si="4"/>
        <v>11</v>
      </c>
      <c r="G42" s="15">
        <f t="shared" si="4"/>
        <v>2031</v>
      </c>
      <c r="H42" s="13">
        <v>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>
        <f>SUM(I21:S21)</f>
        <v>0</v>
      </c>
      <c r="T42" s="28" cm="1">
        <f t="array" ref="T42:X42">T21:X21</f>
        <v>0</v>
      </c>
      <c r="U42" s="28">
        <v>0</v>
      </c>
      <c r="V42" s="28">
        <v>0</v>
      </c>
      <c r="W42" s="28">
        <v>0</v>
      </c>
      <c r="X42" s="29">
        <v>0</v>
      </c>
    </row>
    <row r="43" spans="6:24" x14ac:dyDescent="0.35">
      <c r="F43" s="37">
        <f t="shared" si="4"/>
        <v>12</v>
      </c>
      <c r="G43" s="15">
        <f t="shared" si="4"/>
        <v>2032</v>
      </c>
      <c r="H43" s="13"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>SUM(I22:T22)</f>
        <v>0</v>
      </c>
      <c r="U43" s="28" cm="1">
        <f t="array" ref="U43:X43">U22:X22</f>
        <v>0</v>
      </c>
      <c r="V43" s="28">
        <v>0</v>
      </c>
      <c r="W43" s="28">
        <v>0</v>
      </c>
      <c r="X43" s="29">
        <v>0</v>
      </c>
    </row>
    <row r="44" spans="6:24" x14ac:dyDescent="0.35">
      <c r="F44" s="37">
        <f t="shared" si="4"/>
        <v>13</v>
      </c>
      <c r="G44" s="15">
        <f t="shared" si="4"/>
        <v>2033</v>
      </c>
      <c r="H44" s="13">
        <v>0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>
        <f>SUM(I24:U24)</f>
        <v>0</v>
      </c>
      <c r="V44" s="28" cm="1">
        <f t="array" ref="V44:X44">V23:X23</f>
        <v>0</v>
      </c>
      <c r="W44" s="28">
        <v>0</v>
      </c>
      <c r="X44" s="29">
        <v>0</v>
      </c>
    </row>
    <row r="45" spans="6:24" x14ac:dyDescent="0.35">
      <c r="F45" s="37">
        <f t="shared" si="4"/>
        <v>14</v>
      </c>
      <c r="G45" s="15">
        <f t="shared" si="4"/>
        <v>2034</v>
      </c>
      <c r="H45" s="13">
        <v>0</v>
      </c>
      <c r="I45" s="28"/>
      <c r="J45" s="28"/>
      <c r="K45" s="28"/>
      <c r="L45" s="28"/>
      <c r="M45" s="28"/>
      <c r="N45" s="28"/>
      <c r="O45" s="28"/>
      <c r="P45" s="28"/>
      <c r="Q45" s="28">
        <f>SUM(I24:Q24)</f>
        <v>0</v>
      </c>
      <c r="R45" s="28"/>
      <c r="S45" s="28"/>
      <c r="T45" s="28"/>
      <c r="U45" s="28"/>
      <c r="V45" s="28">
        <f>SUM(I24:V24)</f>
        <v>0</v>
      </c>
      <c r="W45" s="28" cm="1">
        <f t="array" ref="W45:X45">W24:X24</f>
        <v>0</v>
      </c>
      <c r="X45" s="29">
        <v>0</v>
      </c>
    </row>
    <row r="46" spans="6:24" ht="15" thickBot="1" x14ac:dyDescent="0.4">
      <c r="F46" s="39" t="s">
        <v>0</v>
      </c>
      <c r="G46" s="40"/>
      <c r="H46" s="27">
        <f>SUM(H32:H45)</f>
        <v>11320074889.690016</v>
      </c>
      <c r="I46" s="30">
        <f t="shared" ref="I46:X46" si="5">SUM(I32:I45)</f>
        <v>0</v>
      </c>
      <c r="J46" s="30">
        <f t="shared" si="5"/>
        <v>0</v>
      </c>
      <c r="K46" s="30">
        <f t="shared" si="5"/>
        <v>0</v>
      </c>
      <c r="L46" s="30">
        <f t="shared" si="5"/>
        <v>689556912.1499989</v>
      </c>
      <c r="M46" s="30">
        <f t="shared" si="5"/>
        <v>2319608765.2900023</v>
      </c>
      <c r="N46" s="30">
        <f t="shared" si="5"/>
        <v>2152036510.9299932</v>
      </c>
      <c r="O46" s="30">
        <f t="shared" si="5"/>
        <v>2133743706.2299995</v>
      </c>
      <c r="P46" s="30">
        <f t="shared" si="5"/>
        <v>2396465684.360002</v>
      </c>
      <c r="Q46" s="30">
        <f t="shared" si="5"/>
        <v>1525624751.6500053</v>
      </c>
      <c r="R46" s="30">
        <f t="shared" si="5"/>
        <v>103038559.08000001</v>
      </c>
      <c r="S46" s="30">
        <f t="shared" si="5"/>
        <v>0</v>
      </c>
      <c r="T46" s="30">
        <f t="shared" si="5"/>
        <v>0</v>
      </c>
      <c r="U46" s="30">
        <f t="shared" si="5"/>
        <v>0</v>
      </c>
      <c r="V46" s="30">
        <f t="shared" si="5"/>
        <v>0</v>
      </c>
      <c r="W46" s="30">
        <f t="shared" si="5"/>
        <v>0</v>
      </c>
      <c r="X46" s="31">
        <f t="shared" si="5"/>
        <v>11320074889.690001</v>
      </c>
    </row>
    <row r="47" spans="6:24" ht="15" thickBot="1" x14ac:dyDescent="0.4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6:24" ht="15" hidden="1" thickBot="1" x14ac:dyDescent="0.4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6:24" ht="15" hidden="1" thickBot="1" x14ac:dyDescent="0.4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6:24" ht="15" hidden="1" thickBot="1" x14ac:dyDescent="0.4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6:24" ht="15" hidden="1" thickBot="1" x14ac:dyDescent="0.4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6:24" x14ac:dyDescent="0.35">
      <c r="F52" s="41" t="str">
        <f>F29&amp;" %"</f>
        <v>Siniya Year On Year Active Total %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3"/>
    </row>
    <row r="53" spans="6:24" x14ac:dyDescent="0.35">
      <c r="F53" s="44" t="s">
        <v>1</v>
      </c>
      <c r="G53" s="45"/>
      <c r="H53" s="46"/>
      <c r="I53" s="17"/>
      <c r="J53" s="47" t="s">
        <v>2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9"/>
    </row>
    <row r="54" spans="6:24" x14ac:dyDescent="0.35">
      <c r="F54" s="18" t="s">
        <v>3</v>
      </c>
      <c r="G54" s="18" t="s">
        <v>4</v>
      </c>
      <c r="H54" s="19" t="s">
        <v>5</v>
      </c>
      <c r="I54" s="20" t="s">
        <v>6</v>
      </c>
      <c r="J54" s="21">
        <v>2022</v>
      </c>
      <c r="K54" s="22">
        <v>2023</v>
      </c>
      <c r="L54" s="22">
        <v>2024</v>
      </c>
      <c r="M54" s="22">
        <v>2025</v>
      </c>
      <c r="N54" s="22">
        <v>2026</v>
      </c>
      <c r="O54" s="22">
        <v>2027</v>
      </c>
      <c r="P54" s="22">
        <v>2028</v>
      </c>
      <c r="Q54" s="23">
        <v>2029</v>
      </c>
      <c r="R54" s="23">
        <v>2030</v>
      </c>
      <c r="S54" s="23">
        <v>2031</v>
      </c>
      <c r="T54" s="23">
        <v>2032</v>
      </c>
      <c r="U54" s="23">
        <v>2033</v>
      </c>
      <c r="V54" s="23">
        <v>2034</v>
      </c>
      <c r="W54" s="24" t="s">
        <v>7</v>
      </c>
      <c r="X54" s="25" t="s">
        <v>0</v>
      </c>
    </row>
    <row r="55" spans="6:24" x14ac:dyDescent="0.35">
      <c r="F55" s="37">
        <v>1</v>
      </c>
      <c r="G55" s="15" t="s">
        <v>8</v>
      </c>
      <c r="H55" s="13" cm="1">
        <f t="array" ref="H55:H69">H11:H25</f>
        <v>0</v>
      </c>
      <c r="I55" s="32">
        <f>IFERROR(I32/$H32,0)</f>
        <v>0</v>
      </c>
      <c r="J55" s="32">
        <f t="shared" ref="J55:X55" si="6">IFERROR(J32/$H32,0)</f>
        <v>0</v>
      </c>
      <c r="K55" s="32">
        <f t="shared" si="6"/>
        <v>0</v>
      </c>
      <c r="L55" s="32">
        <f t="shared" si="6"/>
        <v>0</v>
      </c>
      <c r="M55" s="32">
        <f t="shared" si="6"/>
        <v>0</v>
      </c>
      <c r="N55" s="32">
        <f t="shared" si="6"/>
        <v>0</v>
      </c>
      <c r="O55" s="32">
        <f t="shared" si="6"/>
        <v>0</v>
      </c>
      <c r="P55" s="32">
        <f t="shared" si="6"/>
        <v>0</v>
      </c>
      <c r="Q55" s="32">
        <f t="shared" si="6"/>
        <v>0</v>
      </c>
      <c r="R55" s="32">
        <f t="shared" si="6"/>
        <v>0</v>
      </c>
      <c r="S55" s="32">
        <f t="shared" si="6"/>
        <v>0</v>
      </c>
      <c r="T55" s="32">
        <f t="shared" si="6"/>
        <v>0</v>
      </c>
      <c r="U55" s="32">
        <f t="shared" si="6"/>
        <v>0</v>
      </c>
      <c r="V55" s="32">
        <f t="shared" si="6"/>
        <v>0</v>
      </c>
      <c r="W55" s="32">
        <f t="shared" si="6"/>
        <v>0</v>
      </c>
      <c r="X55" s="33">
        <f t="shared" si="6"/>
        <v>0</v>
      </c>
    </row>
    <row r="56" spans="6:24" x14ac:dyDescent="0.35">
      <c r="F56" s="37">
        <v>2</v>
      </c>
      <c r="G56" s="15">
        <v>2022</v>
      </c>
      <c r="H56" s="13">
        <v>0</v>
      </c>
      <c r="I56" s="32">
        <f t="shared" ref="I56:X67" si="7">IFERROR(I33/$H33,0)</f>
        <v>0</v>
      </c>
      <c r="J56" s="32">
        <f t="shared" si="7"/>
        <v>0</v>
      </c>
      <c r="K56" s="32">
        <f t="shared" si="7"/>
        <v>0</v>
      </c>
      <c r="L56" s="32">
        <f t="shared" si="7"/>
        <v>0</v>
      </c>
      <c r="M56" s="32">
        <f t="shared" si="7"/>
        <v>0</v>
      </c>
      <c r="N56" s="32">
        <f t="shared" si="7"/>
        <v>0</v>
      </c>
      <c r="O56" s="32">
        <f t="shared" si="7"/>
        <v>0</v>
      </c>
      <c r="P56" s="32">
        <f t="shared" si="7"/>
        <v>0</v>
      </c>
      <c r="Q56" s="32">
        <f t="shared" si="7"/>
        <v>0</v>
      </c>
      <c r="R56" s="32">
        <f t="shared" si="7"/>
        <v>0</v>
      </c>
      <c r="S56" s="32">
        <f t="shared" si="7"/>
        <v>0</v>
      </c>
      <c r="T56" s="32">
        <f t="shared" si="7"/>
        <v>0</v>
      </c>
      <c r="U56" s="32">
        <f t="shared" si="7"/>
        <v>0</v>
      </c>
      <c r="V56" s="32">
        <f t="shared" si="7"/>
        <v>0</v>
      </c>
      <c r="W56" s="32">
        <f t="shared" si="7"/>
        <v>0</v>
      </c>
      <c r="X56" s="33">
        <f t="shared" si="7"/>
        <v>0</v>
      </c>
    </row>
    <row r="57" spans="6:24" x14ac:dyDescent="0.35">
      <c r="F57" s="37">
        <v>3</v>
      </c>
      <c r="G57" s="15">
        <v>2023</v>
      </c>
      <c r="H57" s="13"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3">
        <f t="shared" si="7"/>
        <v>0</v>
      </c>
    </row>
    <row r="58" spans="6:24" x14ac:dyDescent="0.35">
      <c r="F58" s="37">
        <v>4</v>
      </c>
      <c r="G58" s="15">
        <v>2024</v>
      </c>
      <c r="H58" s="13">
        <v>4016088244.2500048</v>
      </c>
      <c r="I58" s="32">
        <f t="shared" si="7"/>
        <v>0</v>
      </c>
      <c r="J58" s="32">
        <f t="shared" si="7"/>
        <v>0</v>
      </c>
      <c r="K58" s="32">
        <f t="shared" si="7"/>
        <v>0</v>
      </c>
      <c r="L58" s="32">
        <f t="shared" si="7"/>
        <v>0.17169864560054557</v>
      </c>
      <c r="M58" s="32">
        <f t="shared" si="7"/>
        <v>0.19657040490837793</v>
      </c>
      <c r="N58" s="32">
        <f t="shared" si="7"/>
        <v>0.18487753451459721</v>
      </c>
      <c r="O58" s="32">
        <f t="shared" si="7"/>
        <v>0.24580178791224511</v>
      </c>
      <c r="P58" s="32">
        <f t="shared" si="7"/>
        <v>0.20105162706423288</v>
      </c>
      <c r="Q58" s="32">
        <f t="shared" si="7"/>
        <v>0</v>
      </c>
      <c r="R58" s="32">
        <f t="shared" si="7"/>
        <v>0</v>
      </c>
      <c r="S58" s="32">
        <f t="shared" si="7"/>
        <v>0</v>
      </c>
      <c r="T58" s="32">
        <f t="shared" si="7"/>
        <v>0</v>
      </c>
      <c r="U58" s="32">
        <f t="shared" si="7"/>
        <v>0</v>
      </c>
      <c r="V58" s="32">
        <f t="shared" si="7"/>
        <v>0</v>
      </c>
      <c r="W58" s="32">
        <f t="shared" si="7"/>
        <v>0</v>
      </c>
      <c r="X58" s="33">
        <f t="shared" si="7"/>
        <v>0.99999999999999856</v>
      </c>
    </row>
    <row r="59" spans="6:24" x14ac:dyDescent="0.35">
      <c r="F59" s="37">
        <v>5</v>
      </c>
      <c r="G59" s="15">
        <v>2025</v>
      </c>
      <c r="H59" s="13">
        <v>6702342415.9700108</v>
      </c>
      <c r="I59" s="32">
        <f t="shared" si="7"/>
        <v>0</v>
      </c>
      <c r="J59" s="32">
        <f t="shared" si="7"/>
        <v>0</v>
      </c>
      <c r="K59" s="32">
        <f t="shared" si="7"/>
        <v>0</v>
      </c>
      <c r="L59" s="32">
        <f t="shared" si="7"/>
        <v>0</v>
      </c>
      <c r="M59" s="32">
        <f t="shared" si="7"/>
        <v>0.22830296902229305</v>
      </c>
      <c r="N59" s="32">
        <f t="shared" si="7"/>
        <v>0.18582219810083297</v>
      </c>
      <c r="O59" s="32">
        <f t="shared" si="7"/>
        <v>0.15330578528958833</v>
      </c>
      <c r="P59" s="32">
        <f t="shared" si="7"/>
        <v>0.21929109847296357</v>
      </c>
      <c r="Q59" s="32">
        <f t="shared" si="7"/>
        <v>0.20712897769027039</v>
      </c>
      <c r="R59" s="32">
        <f t="shared" si="7"/>
        <v>6.1489714240503231E-3</v>
      </c>
      <c r="S59" s="32">
        <f t="shared" si="7"/>
        <v>0</v>
      </c>
      <c r="T59" s="32">
        <f t="shared" si="7"/>
        <v>0</v>
      </c>
      <c r="U59" s="32">
        <f t="shared" si="7"/>
        <v>0</v>
      </c>
      <c r="V59" s="32">
        <f t="shared" si="7"/>
        <v>0</v>
      </c>
      <c r="W59" s="32">
        <f t="shared" si="7"/>
        <v>0</v>
      </c>
      <c r="X59" s="33">
        <f t="shared" si="7"/>
        <v>0.99999999999999856</v>
      </c>
    </row>
    <row r="60" spans="6:24" x14ac:dyDescent="0.35">
      <c r="F60" s="37">
        <v>6</v>
      </c>
      <c r="G60" s="15">
        <v>2026</v>
      </c>
      <c r="H60" s="13">
        <v>601644229.46999931</v>
      </c>
      <c r="I60" s="32">
        <f t="shared" si="7"/>
        <v>0</v>
      </c>
      <c r="J60" s="32">
        <f t="shared" si="7"/>
        <v>0</v>
      </c>
      <c r="K60" s="32">
        <f t="shared" si="7"/>
        <v>0</v>
      </c>
      <c r="L60" s="32">
        <f t="shared" si="7"/>
        <v>0</v>
      </c>
      <c r="M60" s="32">
        <f t="shared" si="7"/>
        <v>0</v>
      </c>
      <c r="N60" s="32">
        <f t="shared" si="7"/>
        <v>0.2727658801357839</v>
      </c>
      <c r="O60" s="32">
        <f t="shared" si="7"/>
        <v>0.19791458504454512</v>
      </c>
      <c r="P60" s="32">
        <f t="shared" si="7"/>
        <v>0.19822441874836724</v>
      </c>
      <c r="Q60" s="32">
        <f t="shared" si="7"/>
        <v>0.22833331090205389</v>
      </c>
      <c r="R60" s="32">
        <f t="shared" si="7"/>
        <v>0.10276180516925065</v>
      </c>
      <c r="S60" s="32">
        <f t="shared" si="7"/>
        <v>0</v>
      </c>
      <c r="T60" s="32">
        <f t="shared" si="7"/>
        <v>0</v>
      </c>
      <c r="U60" s="32">
        <f t="shared" si="7"/>
        <v>0</v>
      </c>
      <c r="V60" s="32">
        <f t="shared" si="7"/>
        <v>0</v>
      </c>
      <c r="W60" s="32">
        <f t="shared" si="7"/>
        <v>0</v>
      </c>
      <c r="X60" s="33">
        <f t="shared" si="7"/>
        <v>1.0000000000000009</v>
      </c>
    </row>
    <row r="61" spans="6:24" x14ac:dyDescent="0.35">
      <c r="F61" s="37">
        <v>7</v>
      </c>
      <c r="G61" s="15">
        <v>2027</v>
      </c>
      <c r="H61" s="13">
        <v>0</v>
      </c>
      <c r="I61" s="32">
        <f t="shared" si="7"/>
        <v>0</v>
      </c>
      <c r="J61" s="32">
        <f t="shared" si="7"/>
        <v>0</v>
      </c>
      <c r="K61" s="32">
        <f t="shared" si="7"/>
        <v>0</v>
      </c>
      <c r="L61" s="32">
        <f t="shared" si="7"/>
        <v>0</v>
      </c>
      <c r="M61" s="32">
        <f t="shared" si="7"/>
        <v>0</v>
      </c>
      <c r="N61" s="32">
        <f t="shared" si="7"/>
        <v>0</v>
      </c>
      <c r="O61" s="32">
        <f t="shared" si="7"/>
        <v>0</v>
      </c>
      <c r="P61" s="32">
        <f t="shared" si="7"/>
        <v>0</v>
      </c>
      <c r="Q61" s="32">
        <f t="shared" si="7"/>
        <v>0</v>
      </c>
      <c r="R61" s="32">
        <f t="shared" si="7"/>
        <v>0</v>
      </c>
      <c r="S61" s="32">
        <f t="shared" si="7"/>
        <v>0</v>
      </c>
      <c r="T61" s="32">
        <f t="shared" si="7"/>
        <v>0</v>
      </c>
      <c r="U61" s="32">
        <f t="shared" si="7"/>
        <v>0</v>
      </c>
      <c r="V61" s="32">
        <f t="shared" si="7"/>
        <v>0</v>
      </c>
      <c r="W61" s="32">
        <f t="shared" si="7"/>
        <v>0</v>
      </c>
      <c r="X61" s="33">
        <f t="shared" si="7"/>
        <v>0</v>
      </c>
    </row>
    <row r="62" spans="6:24" x14ac:dyDescent="0.35">
      <c r="F62" s="37">
        <v>8</v>
      </c>
      <c r="G62" s="15">
        <v>2028</v>
      </c>
      <c r="H62" s="13">
        <v>0</v>
      </c>
      <c r="I62" s="32">
        <f t="shared" si="7"/>
        <v>0</v>
      </c>
      <c r="J62" s="32">
        <f t="shared" si="7"/>
        <v>0</v>
      </c>
      <c r="K62" s="32">
        <f t="shared" si="7"/>
        <v>0</v>
      </c>
      <c r="L62" s="32">
        <f t="shared" si="7"/>
        <v>0</v>
      </c>
      <c r="M62" s="32">
        <f t="shared" si="7"/>
        <v>0</v>
      </c>
      <c r="N62" s="32">
        <f t="shared" si="7"/>
        <v>0</v>
      </c>
      <c r="O62" s="32">
        <f t="shared" si="7"/>
        <v>0</v>
      </c>
      <c r="P62" s="32">
        <f t="shared" si="7"/>
        <v>0</v>
      </c>
      <c r="Q62" s="32">
        <f t="shared" si="7"/>
        <v>0</v>
      </c>
      <c r="R62" s="32">
        <f t="shared" si="7"/>
        <v>0</v>
      </c>
      <c r="S62" s="32">
        <f t="shared" si="7"/>
        <v>0</v>
      </c>
      <c r="T62" s="32">
        <f t="shared" si="7"/>
        <v>0</v>
      </c>
      <c r="U62" s="32">
        <f t="shared" si="7"/>
        <v>0</v>
      </c>
      <c r="V62" s="32">
        <f t="shared" si="7"/>
        <v>0</v>
      </c>
      <c r="W62" s="32">
        <f t="shared" si="7"/>
        <v>0</v>
      </c>
      <c r="X62" s="33">
        <f t="shared" si="7"/>
        <v>0</v>
      </c>
    </row>
    <row r="63" spans="6:24" x14ac:dyDescent="0.35">
      <c r="F63" s="37">
        <v>9</v>
      </c>
      <c r="G63" s="15">
        <v>2029</v>
      </c>
      <c r="H63" s="13">
        <v>0</v>
      </c>
      <c r="I63" s="32">
        <f t="shared" si="7"/>
        <v>0</v>
      </c>
      <c r="J63" s="32">
        <f t="shared" si="7"/>
        <v>0</v>
      </c>
      <c r="K63" s="32">
        <f t="shared" si="7"/>
        <v>0</v>
      </c>
      <c r="L63" s="32">
        <f t="shared" si="7"/>
        <v>0</v>
      </c>
      <c r="M63" s="32">
        <f t="shared" si="7"/>
        <v>0</v>
      </c>
      <c r="N63" s="32">
        <f t="shared" si="7"/>
        <v>0</v>
      </c>
      <c r="O63" s="32">
        <f t="shared" si="7"/>
        <v>0</v>
      </c>
      <c r="P63" s="32">
        <f t="shared" si="7"/>
        <v>0</v>
      </c>
      <c r="Q63" s="32">
        <f t="shared" si="7"/>
        <v>0</v>
      </c>
      <c r="R63" s="32">
        <f t="shared" si="7"/>
        <v>0</v>
      </c>
      <c r="S63" s="32">
        <f t="shared" si="7"/>
        <v>0</v>
      </c>
      <c r="T63" s="32">
        <f t="shared" si="7"/>
        <v>0</v>
      </c>
      <c r="U63" s="32">
        <f t="shared" si="7"/>
        <v>0</v>
      </c>
      <c r="V63" s="32">
        <f t="shared" si="7"/>
        <v>0</v>
      </c>
      <c r="W63" s="32">
        <f t="shared" si="7"/>
        <v>0</v>
      </c>
      <c r="X63" s="33">
        <f t="shared" si="7"/>
        <v>0</v>
      </c>
    </row>
    <row r="64" spans="6:24" x14ac:dyDescent="0.35">
      <c r="F64" s="37">
        <v>10</v>
      </c>
      <c r="G64" s="15">
        <v>2030</v>
      </c>
      <c r="H64" s="13">
        <v>0</v>
      </c>
      <c r="I64" s="32">
        <f t="shared" si="7"/>
        <v>0</v>
      </c>
      <c r="J64" s="32">
        <f t="shared" si="7"/>
        <v>0</v>
      </c>
      <c r="K64" s="32">
        <f t="shared" si="7"/>
        <v>0</v>
      </c>
      <c r="L64" s="32">
        <f t="shared" si="7"/>
        <v>0</v>
      </c>
      <c r="M64" s="32">
        <f t="shared" si="7"/>
        <v>0</v>
      </c>
      <c r="N64" s="32">
        <f t="shared" si="7"/>
        <v>0</v>
      </c>
      <c r="O64" s="32">
        <f t="shared" si="7"/>
        <v>0</v>
      </c>
      <c r="P64" s="32">
        <f t="shared" si="7"/>
        <v>0</v>
      </c>
      <c r="Q64" s="32">
        <f t="shared" si="7"/>
        <v>0</v>
      </c>
      <c r="R64" s="32">
        <f t="shared" si="7"/>
        <v>0</v>
      </c>
      <c r="S64" s="32">
        <f t="shared" si="7"/>
        <v>0</v>
      </c>
      <c r="T64" s="32">
        <f t="shared" si="7"/>
        <v>0</v>
      </c>
      <c r="U64" s="32">
        <f t="shared" si="7"/>
        <v>0</v>
      </c>
      <c r="V64" s="32">
        <f t="shared" si="7"/>
        <v>0</v>
      </c>
      <c r="W64" s="32">
        <f t="shared" si="7"/>
        <v>0</v>
      </c>
      <c r="X64" s="33">
        <f t="shared" si="7"/>
        <v>0</v>
      </c>
    </row>
    <row r="65" spans="6:24" x14ac:dyDescent="0.35">
      <c r="F65" s="37">
        <v>11</v>
      </c>
      <c r="G65" s="15">
        <v>2031</v>
      </c>
      <c r="H65" s="13">
        <v>0</v>
      </c>
      <c r="I65" s="32">
        <f t="shared" si="7"/>
        <v>0</v>
      </c>
      <c r="J65" s="32">
        <f t="shared" si="7"/>
        <v>0</v>
      </c>
      <c r="K65" s="32">
        <f t="shared" si="7"/>
        <v>0</v>
      </c>
      <c r="L65" s="32">
        <f t="shared" si="7"/>
        <v>0</v>
      </c>
      <c r="M65" s="32">
        <f t="shared" si="7"/>
        <v>0</v>
      </c>
      <c r="N65" s="32">
        <f t="shared" si="7"/>
        <v>0</v>
      </c>
      <c r="O65" s="32">
        <f t="shared" si="7"/>
        <v>0</v>
      </c>
      <c r="P65" s="32">
        <f t="shared" si="7"/>
        <v>0</v>
      </c>
      <c r="Q65" s="32">
        <f t="shared" si="7"/>
        <v>0</v>
      </c>
      <c r="R65" s="32">
        <f t="shared" si="7"/>
        <v>0</v>
      </c>
      <c r="S65" s="32">
        <f t="shared" si="7"/>
        <v>0</v>
      </c>
      <c r="T65" s="32">
        <f t="shared" si="7"/>
        <v>0</v>
      </c>
      <c r="U65" s="32">
        <f t="shared" si="7"/>
        <v>0</v>
      </c>
      <c r="V65" s="32">
        <f t="shared" si="7"/>
        <v>0</v>
      </c>
      <c r="W65" s="32">
        <f t="shared" si="7"/>
        <v>0</v>
      </c>
      <c r="X65" s="33">
        <f t="shared" si="7"/>
        <v>0</v>
      </c>
    </row>
    <row r="66" spans="6:24" x14ac:dyDescent="0.35">
      <c r="F66" s="37">
        <v>12</v>
      </c>
      <c r="G66" s="15">
        <v>2032</v>
      </c>
      <c r="H66" s="13">
        <v>0</v>
      </c>
      <c r="I66" s="32">
        <f t="shared" si="7"/>
        <v>0</v>
      </c>
      <c r="J66" s="32">
        <f t="shared" si="7"/>
        <v>0</v>
      </c>
      <c r="K66" s="32">
        <f t="shared" si="7"/>
        <v>0</v>
      </c>
      <c r="L66" s="32">
        <f t="shared" si="7"/>
        <v>0</v>
      </c>
      <c r="M66" s="32">
        <f t="shared" si="7"/>
        <v>0</v>
      </c>
      <c r="N66" s="32">
        <f t="shared" si="7"/>
        <v>0</v>
      </c>
      <c r="O66" s="32">
        <f t="shared" si="7"/>
        <v>0</v>
      </c>
      <c r="P66" s="32">
        <f t="shared" si="7"/>
        <v>0</v>
      </c>
      <c r="Q66" s="32">
        <f t="shared" si="7"/>
        <v>0</v>
      </c>
      <c r="R66" s="32">
        <f t="shared" si="7"/>
        <v>0</v>
      </c>
      <c r="S66" s="32">
        <f t="shared" si="7"/>
        <v>0</v>
      </c>
      <c r="T66" s="32">
        <f t="shared" si="7"/>
        <v>0</v>
      </c>
      <c r="U66" s="32">
        <f t="shared" si="7"/>
        <v>0</v>
      </c>
      <c r="V66" s="32">
        <f t="shared" si="7"/>
        <v>0</v>
      </c>
      <c r="W66" s="32">
        <f t="shared" si="7"/>
        <v>0</v>
      </c>
      <c r="X66" s="33">
        <f t="shared" si="7"/>
        <v>0</v>
      </c>
    </row>
    <row r="67" spans="6:24" x14ac:dyDescent="0.35">
      <c r="F67" s="37">
        <v>13</v>
      </c>
      <c r="G67" s="15">
        <v>2033</v>
      </c>
      <c r="H67" s="13">
        <v>0</v>
      </c>
      <c r="I67" s="32">
        <f>IFERROR(I44/$H44,0)</f>
        <v>0</v>
      </c>
      <c r="J67" s="32">
        <f t="shared" si="7"/>
        <v>0</v>
      </c>
      <c r="K67" s="32">
        <f t="shared" si="7"/>
        <v>0</v>
      </c>
      <c r="L67" s="32">
        <f t="shared" si="7"/>
        <v>0</v>
      </c>
      <c r="M67" s="32">
        <f t="shared" si="7"/>
        <v>0</v>
      </c>
      <c r="N67" s="32">
        <f t="shared" si="7"/>
        <v>0</v>
      </c>
      <c r="O67" s="32">
        <f t="shared" si="7"/>
        <v>0</v>
      </c>
      <c r="P67" s="32">
        <f t="shared" si="7"/>
        <v>0</v>
      </c>
      <c r="Q67" s="32">
        <f t="shared" si="7"/>
        <v>0</v>
      </c>
      <c r="R67" s="32">
        <f t="shared" si="7"/>
        <v>0</v>
      </c>
      <c r="S67" s="32">
        <f t="shared" si="7"/>
        <v>0</v>
      </c>
      <c r="T67" s="32">
        <f t="shared" si="7"/>
        <v>0</v>
      </c>
      <c r="U67" s="32">
        <f t="shared" si="7"/>
        <v>0</v>
      </c>
      <c r="V67" s="32">
        <f t="shared" si="7"/>
        <v>0</v>
      </c>
      <c r="W67" s="32">
        <f t="shared" si="7"/>
        <v>0</v>
      </c>
      <c r="X67" s="33">
        <f t="shared" si="7"/>
        <v>0</v>
      </c>
    </row>
    <row r="68" spans="6:24" x14ac:dyDescent="0.35">
      <c r="F68" s="37">
        <v>14</v>
      </c>
      <c r="G68" s="15">
        <v>2034</v>
      </c>
      <c r="H68" s="13">
        <v>0</v>
      </c>
      <c r="I68" s="32">
        <f t="shared" ref="I68:X69" si="8">IFERROR(I45/$H45,0)</f>
        <v>0</v>
      </c>
      <c r="J68" s="32">
        <f t="shared" si="8"/>
        <v>0</v>
      </c>
      <c r="K68" s="32">
        <f t="shared" si="8"/>
        <v>0</v>
      </c>
      <c r="L68" s="32">
        <f t="shared" si="8"/>
        <v>0</v>
      </c>
      <c r="M68" s="32">
        <f t="shared" si="8"/>
        <v>0</v>
      </c>
      <c r="N68" s="32">
        <f t="shared" si="8"/>
        <v>0</v>
      </c>
      <c r="O68" s="32">
        <f t="shared" si="8"/>
        <v>0</v>
      </c>
      <c r="P68" s="32">
        <f t="shared" si="8"/>
        <v>0</v>
      </c>
      <c r="Q68" s="32">
        <f t="shared" si="8"/>
        <v>0</v>
      </c>
      <c r="R68" s="32">
        <f t="shared" si="8"/>
        <v>0</v>
      </c>
      <c r="S68" s="32">
        <f t="shared" si="8"/>
        <v>0</v>
      </c>
      <c r="T68" s="32">
        <f t="shared" si="8"/>
        <v>0</v>
      </c>
      <c r="U68" s="32">
        <f t="shared" si="8"/>
        <v>0</v>
      </c>
      <c r="V68" s="32">
        <f t="shared" si="8"/>
        <v>0</v>
      </c>
      <c r="W68" s="32">
        <f t="shared" si="8"/>
        <v>0</v>
      </c>
      <c r="X68" s="33">
        <f t="shared" si="8"/>
        <v>0</v>
      </c>
    </row>
    <row r="69" spans="6:24" ht="15" thickBot="1" x14ac:dyDescent="0.4">
      <c r="F69" s="39" t="s">
        <v>0</v>
      </c>
      <c r="G69" s="40"/>
      <c r="H69" s="27">
        <v>11320074889.690016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6.0914518576023438E-2</v>
      </c>
      <c r="M69" s="34">
        <f t="shared" si="8"/>
        <v>0.20491107946667669</v>
      </c>
      <c r="N69" s="34">
        <f t="shared" si="8"/>
        <v>0.19010797471755275</v>
      </c>
      <c r="O69" s="34">
        <f t="shared" si="8"/>
        <v>0.18849201326162154</v>
      </c>
      <c r="P69" s="34">
        <f t="shared" si="8"/>
        <v>0.21170051503304374</v>
      </c>
      <c r="Q69" s="34">
        <f t="shared" si="8"/>
        <v>0.13477161295456611</v>
      </c>
      <c r="R69" s="34">
        <f t="shared" si="8"/>
        <v>9.1022859905144655E-3</v>
      </c>
      <c r="S69" s="34">
        <f t="shared" si="8"/>
        <v>0</v>
      </c>
      <c r="T69" s="34">
        <f t="shared" si="8"/>
        <v>0</v>
      </c>
      <c r="U69" s="34">
        <f t="shared" si="8"/>
        <v>0</v>
      </c>
      <c r="V69" s="34">
        <f t="shared" si="8"/>
        <v>0</v>
      </c>
      <c r="W69" s="34">
        <f t="shared" si="8"/>
        <v>0</v>
      </c>
      <c r="X69" s="35">
        <f t="shared" si="8"/>
        <v>0.99999999999999867</v>
      </c>
    </row>
    <row r="70" spans="6:24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12">
    <mergeCell ref="F30:H30"/>
    <mergeCell ref="J30:X30"/>
    <mergeCell ref="F8:X8"/>
    <mergeCell ref="F9:H9"/>
    <mergeCell ref="J9:X9"/>
    <mergeCell ref="F25:G25"/>
    <mergeCell ref="F29:X29"/>
    <mergeCell ref="F46:G46"/>
    <mergeCell ref="F52:X52"/>
    <mergeCell ref="F53:H53"/>
    <mergeCell ref="J53:X53"/>
    <mergeCell ref="F69:G69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4107-3A53-4409-8C4B-BCCDCDD1F3A4}">
  <sheetPr>
    <tabColor rgb="FF00B050"/>
    <pageSetUpPr fitToPage="1"/>
  </sheetPr>
  <dimension ref="E1:X70"/>
  <sheetViews>
    <sheetView view="pageBreakPreview" topLeftCell="K27" zoomScale="85" zoomScaleNormal="85" zoomScaleSheetLayoutView="85" workbookViewId="0">
      <selection activeCell="O65" sqref="O65"/>
    </sheetView>
  </sheetViews>
  <sheetFormatPr defaultColWidth="9.1796875" defaultRowHeight="14.5" x14ac:dyDescent="0.35"/>
  <cols>
    <col min="1" max="4" width="0" hidden="1" customWidth="1"/>
    <col min="6" max="6" width="8.26953125" bestFit="1" customWidth="1"/>
    <col min="7" max="7" width="23.453125" bestFit="1" customWidth="1"/>
    <col min="8" max="8" width="18.7265625" bestFit="1" customWidth="1"/>
    <col min="9" max="24" width="20.7265625" customWidth="1"/>
  </cols>
  <sheetData>
    <row r="1" spans="5:24" hidden="1" x14ac:dyDescent="0.3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5:24" hidden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5:24" hidden="1" x14ac:dyDescent="0.3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5:24" hidden="1" x14ac:dyDescent="0.3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5:24" hidden="1" x14ac:dyDescent="0.3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5:24" hidden="1" x14ac:dyDescent="0.3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5:24" hidden="1" x14ac:dyDescent="0.3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5:24" hidden="1" x14ac:dyDescent="0.35">
      <c r="E8" s="1"/>
      <c r="F8" s="50" t="s">
        <v>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5:24" hidden="1" x14ac:dyDescent="0.35">
      <c r="E9" s="1"/>
      <c r="F9" s="51" t="s">
        <v>1</v>
      </c>
      <c r="G9" s="52"/>
      <c r="H9" s="53"/>
      <c r="I9" s="2"/>
      <c r="J9" s="54" t="s">
        <v>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5:24" hidden="1" x14ac:dyDescent="0.35">
      <c r="E10" s="1"/>
      <c r="F10" s="3" t="s">
        <v>3</v>
      </c>
      <c r="G10" s="4" t="s">
        <v>4</v>
      </c>
      <c r="H10" s="5" t="s">
        <v>5</v>
      </c>
      <c r="I10" s="5" t="s">
        <v>6</v>
      </c>
      <c r="J10" s="6">
        <v>2022</v>
      </c>
      <c r="K10" s="7">
        <v>2023</v>
      </c>
      <c r="L10" s="7">
        <v>2024</v>
      </c>
      <c r="M10" s="7">
        <v>2025</v>
      </c>
      <c r="N10" s="7">
        <v>2026</v>
      </c>
      <c r="O10" s="7">
        <v>2027</v>
      </c>
      <c r="P10" s="7">
        <v>2028</v>
      </c>
      <c r="Q10" s="8">
        <v>2029</v>
      </c>
      <c r="R10" s="8">
        <v>2030</v>
      </c>
      <c r="S10" s="8">
        <v>2031</v>
      </c>
      <c r="T10" s="8">
        <f>+S10+1</f>
        <v>2032</v>
      </c>
      <c r="U10" s="8">
        <f>+T10+1</f>
        <v>2033</v>
      </c>
      <c r="V10" s="8">
        <f>+U10+1</f>
        <v>2034</v>
      </c>
      <c r="W10" s="9" t="s">
        <v>7</v>
      </c>
      <c r="X10" s="9" t="s">
        <v>0</v>
      </c>
    </row>
    <row r="11" spans="5:24" hidden="1" x14ac:dyDescent="0.35">
      <c r="E11" s="10">
        <v>2021</v>
      </c>
      <c r="F11" s="11">
        <v>1</v>
      </c>
      <c r="G11" s="12" t="s">
        <v>8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f>SUM(I11:W11)</f>
        <v>0</v>
      </c>
    </row>
    <row r="12" spans="5:24" hidden="1" x14ac:dyDescent="0.35">
      <c r="E12" s="10">
        <v>2022</v>
      </c>
      <c r="F12" s="11">
        <f>+F11+1</f>
        <v>2</v>
      </c>
      <c r="G12" s="14">
        <v>2022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f t="shared" ref="X12:X24" si="0">SUM(I12:W12)</f>
        <v>0</v>
      </c>
    </row>
    <row r="13" spans="5:24" hidden="1" x14ac:dyDescent="0.35">
      <c r="E13" s="10">
        <v>2023</v>
      </c>
      <c r="F13" s="11">
        <f t="shared" ref="F13:F24" si="1">+F12+1</f>
        <v>3</v>
      </c>
      <c r="G13" s="14">
        <v>2023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f t="shared" si="0"/>
        <v>0</v>
      </c>
    </row>
    <row r="14" spans="5:24" hidden="1" x14ac:dyDescent="0.35">
      <c r="E14" s="10">
        <v>2024</v>
      </c>
      <c r="F14" s="11">
        <f t="shared" si="1"/>
        <v>4</v>
      </c>
      <c r="G14" s="14">
        <v>2024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0</v>
      </c>
    </row>
    <row r="15" spans="5:24" hidden="1" x14ac:dyDescent="0.35">
      <c r="E15" s="10">
        <v>2025</v>
      </c>
      <c r="F15" s="11">
        <f t="shared" si="1"/>
        <v>5</v>
      </c>
      <c r="G15" s="14">
        <v>2025</v>
      </c>
      <c r="H15" s="13">
        <v>1039592205.9799985</v>
      </c>
      <c r="I15" s="13">
        <v>0</v>
      </c>
      <c r="J15" s="13">
        <v>0</v>
      </c>
      <c r="K15" s="13">
        <v>0</v>
      </c>
      <c r="L15" s="13">
        <v>0</v>
      </c>
      <c r="M15" s="13">
        <v>238316545.78999981</v>
      </c>
      <c r="N15" s="13">
        <v>204722466.38999996</v>
      </c>
      <c r="O15" s="13">
        <v>144242096.16999999</v>
      </c>
      <c r="P15" s="13">
        <v>402676260.62999988</v>
      </c>
      <c r="Q15" s="13">
        <v>49634836.999999985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f t="shared" si="0"/>
        <v>1039592205.9799997</v>
      </c>
    </row>
    <row r="16" spans="5:24" hidden="1" x14ac:dyDescent="0.35">
      <c r="E16" s="10">
        <v>2026</v>
      </c>
      <c r="F16" s="11">
        <f t="shared" si="1"/>
        <v>6</v>
      </c>
      <c r="G16" s="14">
        <v>2026</v>
      </c>
      <c r="H16" s="13">
        <v>130538596.23999998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36976317.420000009</v>
      </c>
      <c r="O16" s="13">
        <v>22999196.609999999</v>
      </c>
      <c r="P16" s="13">
        <v>39433527.470000014</v>
      </c>
      <c r="Q16" s="13">
        <v>31129554.739999995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f t="shared" si="0"/>
        <v>130538596.24000002</v>
      </c>
    </row>
    <row r="17" spans="5:24" hidden="1" x14ac:dyDescent="0.35">
      <c r="E17" s="10">
        <v>2027</v>
      </c>
      <c r="F17" s="11">
        <f t="shared" si="1"/>
        <v>7</v>
      </c>
      <c r="G17" s="14">
        <v>2027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f t="shared" si="0"/>
        <v>0</v>
      </c>
    </row>
    <row r="18" spans="5:24" hidden="1" x14ac:dyDescent="0.35">
      <c r="E18" s="10">
        <v>2028</v>
      </c>
      <c r="F18" s="11">
        <f t="shared" si="1"/>
        <v>8</v>
      </c>
      <c r="G18" s="14">
        <v>2028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</row>
    <row r="19" spans="5:24" hidden="1" x14ac:dyDescent="0.35">
      <c r="E19" s="10">
        <v>2029</v>
      </c>
      <c r="F19" s="11">
        <f t="shared" si="1"/>
        <v>9</v>
      </c>
      <c r="G19" s="14">
        <v>2029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f t="shared" si="0"/>
        <v>0</v>
      </c>
    </row>
    <row r="20" spans="5:24" hidden="1" x14ac:dyDescent="0.35">
      <c r="E20" s="10">
        <f>+E19+1</f>
        <v>2030</v>
      </c>
      <c r="F20" s="11">
        <f t="shared" si="1"/>
        <v>10</v>
      </c>
      <c r="G20" s="14">
        <f>E20</f>
        <v>2030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f t="shared" si="0"/>
        <v>0</v>
      </c>
    </row>
    <row r="21" spans="5:24" hidden="1" x14ac:dyDescent="0.35">
      <c r="E21" s="10">
        <f>+E20+1</f>
        <v>2031</v>
      </c>
      <c r="F21" s="11">
        <f t="shared" si="1"/>
        <v>11</v>
      </c>
      <c r="G21" s="14">
        <f>E21</f>
        <v>2031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f t="shared" si="0"/>
        <v>0</v>
      </c>
    </row>
    <row r="22" spans="5:24" hidden="1" x14ac:dyDescent="0.35">
      <c r="E22" s="10">
        <f>+E21+1</f>
        <v>2032</v>
      </c>
      <c r="F22" s="11">
        <f t="shared" si="1"/>
        <v>12</v>
      </c>
      <c r="G22" s="14">
        <f>E22</f>
        <v>2032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f t="shared" si="0"/>
        <v>0</v>
      </c>
    </row>
    <row r="23" spans="5:24" hidden="1" x14ac:dyDescent="0.35">
      <c r="E23" s="10">
        <f>+E22+1</f>
        <v>2033</v>
      </c>
      <c r="F23" s="11">
        <f t="shared" si="1"/>
        <v>13</v>
      </c>
      <c r="G23" s="14">
        <f>E23</f>
        <v>2033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f t="shared" si="0"/>
        <v>0</v>
      </c>
    </row>
    <row r="24" spans="5:24" hidden="1" x14ac:dyDescent="0.35">
      <c r="E24" s="10">
        <f>+E23+1</f>
        <v>2034</v>
      </c>
      <c r="F24" s="11">
        <f t="shared" si="1"/>
        <v>14</v>
      </c>
      <c r="G24" s="14">
        <f>E24</f>
        <v>2034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f t="shared" si="0"/>
        <v>0</v>
      </c>
    </row>
    <row r="25" spans="5:24" hidden="1" x14ac:dyDescent="0.35">
      <c r="E25" s="1"/>
      <c r="F25" s="57" t="s">
        <v>0</v>
      </c>
      <c r="G25" s="57"/>
      <c r="H25" s="16">
        <f>SUM(H11:H24)</f>
        <v>1170130802.2199984</v>
      </c>
      <c r="I25" s="16">
        <f t="shared" ref="I25:X25" si="2">SUM(I11:I24)</f>
        <v>0</v>
      </c>
      <c r="J25" s="16">
        <f t="shared" si="2"/>
        <v>0</v>
      </c>
      <c r="K25" s="16">
        <f t="shared" si="2"/>
        <v>0</v>
      </c>
      <c r="L25" s="16">
        <f t="shared" si="2"/>
        <v>0</v>
      </c>
      <c r="M25" s="16">
        <f t="shared" si="2"/>
        <v>238316545.78999981</v>
      </c>
      <c r="N25" s="16">
        <f t="shared" si="2"/>
        <v>241698783.80999997</v>
      </c>
      <c r="O25" s="16">
        <f t="shared" si="2"/>
        <v>167241292.77999997</v>
      </c>
      <c r="P25" s="16">
        <f t="shared" si="2"/>
        <v>442109788.0999999</v>
      </c>
      <c r="Q25" s="16">
        <f t="shared" si="2"/>
        <v>80764391.73999998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1170130802.2199998</v>
      </c>
    </row>
    <row r="26" spans="5:24" hidden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8" spans="5:24" ht="15" thickBot="1" x14ac:dyDescent="0.4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5:24" x14ac:dyDescent="0.35">
      <c r="E29" s="1"/>
      <c r="F29" s="41" t="s">
        <v>12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</row>
    <row r="30" spans="5:24" x14ac:dyDescent="0.35">
      <c r="E30" s="1"/>
      <c r="F30" s="44" t="s">
        <v>1</v>
      </c>
      <c r="G30" s="45"/>
      <c r="H30" s="46"/>
      <c r="I30" s="17"/>
      <c r="J30" s="47" t="s">
        <v>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</row>
    <row r="31" spans="5:24" x14ac:dyDescent="0.35">
      <c r="E31" s="1"/>
      <c r="F31" s="18" t="s">
        <v>3</v>
      </c>
      <c r="G31" s="18" t="str">
        <f>G10</f>
        <v>Year</v>
      </c>
      <c r="H31" s="19" t="str">
        <f t="shared" ref="H31:X31" si="3">H10</f>
        <v>Purchase price</v>
      </c>
      <c r="I31" s="20" t="str">
        <f t="shared" si="3"/>
        <v>Before 2022</v>
      </c>
      <c r="J31" s="21">
        <f t="shared" si="3"/>
        <v>2022</v>
      </c>
      <c r="K31" s="22">
        <f t="shared" si="3"/>
        <v>2023</v>
      </c>
      <c r="L31" s="22">
        <f t="shared" si="3"/>
        <v>2024</v>
      </c>
      <c r="M31" s="22">
        <f t="shared" si="3"/>
        <v>2025</v>
      </c>
      <c r="N31" s="22">
        <f t="shared" si="3"/>
        <v>2026</v>
      </c>
      <c r="O31" s="22">
        <f t="shared" si="3"/>
        <v>2027</v>
      </c>
      <c r="P31" s="22">
        <f t="shared" si="3"/>
        <v>2028</v>
      </c>
      <c r="Q31" s="23">
        <f t="shared" si="3"/>
        <v>2029</v>
      </c>
      <c r="R31" s="23">
        <f t="shared" si="3"/>
        <v>2030</v>
      </c>
      <c r="S31" s="23">
        <f t="shared" si="3"/>
        <v>2031</v>
      </c>
      <c r="T31" s="23">
        <f t="shared" si="3"/>
        <v>2032</v>
      </c>
      <c r="U31" s="23">
        <f t="shared" si="3"/>
        <v>2033</v>
      </c>
      <c r="V31" s="23">
        <f t="shared" si="3"/>
        <v>2034</v>
      </c>
      <c r="W31" s="24" t="str">
        <f t="shared" si="3"/>
        <v>beyond 2035</v>
      </c>
      <c r="X31" s="25" t="str">
        <f t="shared" si="3"/>
        <v>Total</v>
      </c>
    </row>
    <row r="32" spans="5:24" ht="15.75" customHeight="1" x14ac:dyDescent="0.35">
      <c r="E32" s="1"/>
      <c r="F32" s="37">
        <f>F11</f>
        <v>1</v>
      </c>
      <c r="G32" s="15" t="str">
        <f>G11</f>
        <v>Before 2021 and 2021</v>
      </c>
      <c r="H32" s="26" cm="1">
        <f t="array" ref="H32:H46">H11:H25</f>
        <v>0</v>
      </c>
      <c r="I32" s="28" cm="1">
        <f t="array" ref="I32:X32">I11:X11</f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9">
        <v>0</v>
      </c>
    </row>
    <row r="33" spans="6:24" x14ac:dyDescent="0.35">
      <c r="F33" s="37">
        <f t="shared" ref="F33:G45" si="4">F12</f>
        <v>2</v>
      </c>
      <c r="G33" s="15">
        <f t="shared" si="4"/>
        <v>2022</v>
      </c>
      <c r="H33" s="13">
        <v>0</v>
      </c>
      <c r="I33" s="28"/>
      <c r="J33" s="28">
        <f>SUM(I12:J12)</f>
        <v>0</v>
      </c>
      <c r="K33" s="28" cm="1">
        <f t="array" ref="K33:X33">K12:X12</f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9">
        <v>0</v>
      </c>
    </row>
    <row r="34" spans="6:24" x14ac:dyDescent="0.35">
      <c r="F34" s="37">
        <f t="shared" si="4"/>
        <v>3</v>
      </c>
      <c r="G34" s="15">
        <f t="shared" si="4"/>
        <v>2023</v>
      </c>
      <c r="H34" s="13">
        <v>0</v>
      </c>
      <c r="I34" s="28"/>
      <c r="J34" s="28"/>
      <c r="K34" s="28">
        <f>SUM(I13:K13)</f>
        <v>0</v>
      </c>
      <c r="L34" s="28" cm="1">
        <f t="array" ref="L34:X34">L13:X13</f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9">
        <v>0</v>
      </c>
    </row>
    <row r="35" spans="6:24" x14ac:dyDescent="0.35">
      <c r="F35" s="37">
        <f t="shared" si="4"/>
        <v>4</v>
      </c>
      <c r="G35" s="15">
        <f t="shared" si="4"/>
        <v>2024</v>
      </c>
      <c r="H35" s="13">
        <v>0</v>
      </c>
      <c r="I35" s="28"/>
      <c r="J35" s="28"/>
      <c r="K35" s="28"/>
      <c r="L35" s="28">
        <f>SUM(I14:L14)</f>
        <v>0</v>
      </c>
      <c r="M35" s="28" cm="1">
        <f t="array" ref="M35:X35">M14:X14</f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9">
        <v>0</v>
      </c>
    </row>
    <row r="36" spans="6:24" x14ac:dyDescent="0.35">
      <c r="F36" s="37">
        <f t="shared" si="4"/>
        <v>5</v>
      </c>
      <c r="G36" s="15">
        <f t="shared" si="4"/>
        <v>2025</v>
      </c>
      <c r="H36" s="13">
        <v>1039592205.9799985</v>
      </c>
      <c r="I36" s="28"/>
      <c r="J36" s="28"/>
      <c r="K36" s="28"/>
      <c r="L36" s="28"/>
      <c r="M36" s="28">
        <f>SUM(I15:M15)</f>
        <v>238316545.78999981</v>
      </c>
      <c r="N36" s="28" cm="1">
        <f t="array" ref="N36:X36">N15:X15</f>
        <v>204722466.38999996</v>
      </c>
      <c r="O36" s="28">
        <v>144242096.16999999</v>
      </c>
      <c r="P36" s="28">
        <v>402676260.62999988</v>
      </c>
      <c r="Q36" s="28">
        <v>49634836.999999985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9">
        <v>1039592205.9799997</v>
      </c>
    </row>
    <row r="37" spans="6:24" x14ac:dyDescent="0.35">
      <c r="F37" s="37">
        <f t="shared" si="4"/>
        <v>6</v>
      </c>
      <c r="G37" s="15">
        <f t="shared" si="4"/>
        <v>2026</v>
      </c>
      <c r="H37" s="13">
        <v>130538596.23999998</v>
      </c>
      <c r="I37" s="28"/>
      <c r="J37" s="28"/>
      <c r="K37" s="28"/>
      <c r="L37" s="28"/>
      <c r="M37" s="28"/>
      <c r="N37" s="28">
        <f>SUM(I16:N16)</f>
        <v>36976317.420000009</v>
      </c>
      <c r="O37" s="28" cm="1">
        <f t="array" ref="O37:X37">O16:X16</f>
        <v>22999196.609999999</v>
      </c>
      <c r="P37" s="28">
        <v>39433527.470000014</v>
      </c>
      <c r="Q37" s="28">
        <v>31129554.739999995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9">
        <v>130538596.24000002</v>
      </c>
    </row>
    <row r="38" spans="6:24" x14ac:dyDescent="0.35">
      <c r="F38" s="37">
        <f t="shared" si="4"/>
        <v>7</v>
      </c>
      <c r="G38" s="15">
        <f t="shared" si="4"/>
        <v>2027</v>
      </c>
      <c r="H38" s="13">
        <v>0</v>
      </c>
      <c r="I38" s="28"/>
      <c r="J38" s="28"/>
      <c r="K38" s="28"/>
      <c r="L38" s="28"/>
      <c r="M38" s="28"/>
      <c r="N38" s="28"/>
      <c r="O38" s="28">
        <f>SUM(I17:O17)</f>
        <v>0</v>
      </c>
      <c r="P38" s="28" cm="1">
        <f t="array" ref="P38:X38">P17:X17</f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9">
        <v>0</v>
      </c>
    </row>
    <row r="39" spans="6:24" x14ac:dyDescent="0.35">
      <c r="F39" s="37">
        <f t="shared" si="4"/>
        <v>8</v>
      </c>
      <c r="G39" s="15">
        <f t="shared" si="4"/>
        <v>2028</v>
      </c>
      <c r="H39" s="13">
        <v>0</v>
      </c>
      <c r="I39" s="28"/>
      <c r="J39" s="28"/>
      <c r="K39" s="28"/>
      <c r="L39" s="28"/>
      <c r="M39" s="28"/>
      <c r="N39" s="28"/>
      <c r="O39" s="28"/>
      <c r="P39" s="28">
        <f>SUM(I18:P18)</f>
        <v>0</v>
      </c>
      <c r="Q39" s="28" cm="1">
        <f t="array" ref="Q39:W39">Q19:W19</f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9"/>
    </row>
    <row r="40" spans="6:24" x14ac:dyDescent="0.35">
      <c r="F40" s="37">
        <f t="shared" si="4"/>
        <v>9</v>
      </c>
      <c r="G40" s="15">
        <f t="shared" si="4"/>
        <v>2029</v>
      </c>
      <c r="H40" s="13">
        <v>0</v>
      </c>
      <c r="I40" s="28"/>
      <c r="J40" s="28"/>
      <c r="K40" s="28"/>
      <c r="L40" s="28"/>
      <c r="M40" s="28"/>
      <c r="N40" s="28"/>
      <c r="O40" s="28"/>
      <c r="P40" s="28"/>
      <c r="Q40" s="28">
        <f>SUM(I19:Q19)</f>
        <v>0</v>
      </c>
      <c r="R40" s="28" cm="1">
        <f t="array" ref="R40:W40">R20:W20</f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9"/>
    </row>
    <row r="41" spans="6:24" x14ac:dyDescent="0.35">
      <c r="F41" s="37">
        <f t="shared" si="4"/>
        <v>10</v>
      </c>
      <c r="G41" s="15">
        <f t="shared" si="4"/>
        <v>2030</v>
      </c>
      <c r="H41" s="13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>
        <f>SUM(I20:R20)</f>
        <v>0</v>
      </c>
      <c r="S41" s="28" cm="1">
        <f t="array" ref="S41:X41">S20:X20</f>
        <v>0</v>
      </c>
      <c r="T41" s="28">
        <v>0</v>
      </c>
      <c r="U41" s="28">
        <v>0</v>
      </c>
      <c r="V41" s="28">
        <v>0</v>
      </c>
      <c r="W41" s="28">
        <v>0</v>
      </c>
      <c r="X41" s="29">
        <v>0</v>
      </c>
    </row>
    <row r="42" spans="6:24" x14ac:dyDescent="0.35">
      <c r="F42" s="37">
        <f t="shared" si="4"/>
        <v>11</v>
      </c>
      <c r="G42" s="15">
        <f t="shared" si="4"/>
        <v>2031</v>
      </c>
      <c r="H42" s="13">
        <v>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>
        <f>SUM(I21:S21)</f>
        <v>0</v>
      </c>
      <c r="T42" s="28" cm="1">
        <f t="array" ref="T42:X42">T21:X21</f>
        <v>0</v>
      </c>
      <c r="U42" s="28">
        <v>0</v>
      </c>
      <c r="V42" s="28">
        <v>0</v>
      </c>
      <c r="W42" s="28">
        <v>0</v>
      </c>
      <c r="X42" s="29">
        <v>0</v>
      </c>
    </row>
    <row r="43" spans="6:24" x14ac:dyDescent="0.35">
      <c r="F43" s="37">
        <f t="shared" si="4"/>
        <v>12</v>
      </c>
      <c r="G43" s="15">
        <f t="shared" si="4"/>
        <v>2032</v>
      </c>
      <c r="H43" s="13"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>SUM(I22:T22)</f>
        <v>0</v>
      </c>
      <c r="U43" s="28" cm="1">
        <f t="array" ref="U43:X43">U22:X22</f>
        <v>0</v>
      </c>
      <c r="V43" s="28">
        <v>0</v>
      </c>
      <c r="W43" s="28">
        <v>0</v>
      </c>
      <c r="X43" s="29">
        <v>0</v>
      </c>
    </row>
    <row r="44" spans="6:24" x14ac:dyDescent="0.35">
      <c r="F44" s="37">
        <f t="shared" si="4"/>
        <v>13</v>
      </c>
      <c r="G44" s="15">
        <f t="shared" si="4"/>
        <v>2033</v>
      </c>
      <c r="H44" s="13">
        <v>0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>
        <f>SUM(I24:U24)</f>
        <v>0</v>
      </c>
      <c r="V44" s="28" cm="1">
        <f t="array" ref="V44:X44">V23:X23</f>
        <v>0</v>
      </c>
      <c r="W44" s="28">
        <v>0</v>
      </c>
      <c r="X44" s="29">
        <v>0</v>
      </c>
    </row>
    <row r="45" spans="6:24" x14ac:dyDescent="0.35">
      <c r="F45" s="37">
        <f t="shared" si="4"/>
        <v>14</v>
      </c>
      <c r="G45" s="15">
        <f t="shared" si="4"/>
        <v>2034</v>
      </c>
      <c r="H45" s="13">
        <v>0</v>
      </c>
      <c r="I45" s="28"/>
      <c r="J45" s="28"/>
      <c r="K45" s="28"/>
      <c r="L45" s="28"/>
      <c r="M45" s="28"/>
      <c r="N45" s="28"/>
      <c r="O45" s="28"/>
      <c r="P45" s="28"/>
      <c r="Q45" s="28">
        <f>SUM(I24:Q24)</f>
        <v>0</v>
      </c>
      <c r="R45" s="28"/>
      <c r="S45" s="28"/>
      <c r="T45" s="28"/>
      <c r="U45" s="28"/>
      <c r="V45" s="28">
        <f>SUM(I24:V24)</f>
        <v>0</v>
      </c>
      <c r="W45" s="28" cm="1">
        <f t="array" ref="W45:X45">W24:X24</f>
        <v>0</v>
      </c>
      <c r="X45" s="29">
        <v>0</v>
      </c>
    </row>
    <row r="46" spans="6:24" ht="15" thickBot="1" x14ac:dyDescent="0.4">
      <c r="F46" s="39" t="s">
        <v>0</v>
      </c>
      <c r="G46" s="40"/>
      <c r="H46" s="27">
        <v>1170130802.2199984</v>
      </c>
      <c r="I46" s="30" cm="1">
        <f t="array" ref="I46:X46">I25:X25</f>
        <v>0</v>
      </c>
      <c r="J46" s="30">
        <v>0</v>
      </c>
      <c r="K46" s="30">
        <v>0</v>
      </c>
      <c r="L46" s="30">
        <v>0</v>
      </c>
      <c r="M46" s="30">
        <v>238316545.78999981</v>
      </c>
      <c r="N46" s="30">
        <v>241698783.80999997</v>
      </c>
      <c r="O46" s="30">
        <v>167241292.77999997</v>
      </c>
      <c r="P46" s="30">
        <v>442109788.0999999</v>
      </c>
      <c r="Q46" s="30">
        <v>80764391.73999998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1">
        <v>1170130802.2199998</v>
      </c>
    </row>
    <row r="47" spans="6:24" ht="15" thickBot="1" x14ac:dyDescent="0.4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6:24" ht="15" hidden="1" thickBot="1" x14ac:dyDescent="0.4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6:24" ht="15" hidden="1" thickBot="1" x14ac:dyDescent="0.4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6:24" ht="15" hidden="1" thickBot="1" x14ac:dyDescent="0.4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6:24" ht="15" hidden="1" thickBot="1" x14ac:dyDescent="0.4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6:24" x14ac:dyDescent="0.35">
      <c r="F52" s="41" t="str">
        <f>F29&amp;" %"</f>
        <v>DT Year On Year Active Total %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3"/>
    </row>
    <row r="53" spans="6:24" x14ac:dyDescent="0.35">
      <c r="F53" s="44" t="s">
        <v>1</v>
      </c>
      <c r="G53" s="45"/>
      <c r="H53" s="46"/>
      <c r="I53" s="17"/>
      <c r="J53" s="47" t="s">
        <v>2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9"/>
    </row>
    <row r="54" spans="6:24" x14ac:dyDescent="0.35">
      <c r="F54" s="18" t="s">
        <v>3</v>
      </c>
      <c r="G54" s="18" t="s">
        <v>4</v>
      </c>
      <c r="H54" s="19" t="s">
        <v>5</v>
      </c>
      <c r="I54" s="20" t="s">
        <v>6</v>
      </c>
      <c r="J54" s="21">
        <v>2022</v>
      </c>
      <c r="K54" s="22">
        <v>2023</v>
      </c>
      <c r="L54" s="22">
        <v>2024</v>
      </c>
      <c r="M54" s="22">
        <v>2025</v>
      </c>
      <c r="N54" s="22">
        <v>2026</v>
      </c>
      <c r="O54" s="22">
        <v>2027</v>
      </c>
      <c r="P54" s="22">
        <v>2028</v>
      </c>
      <c r="Q54" s="23">
        <v>2029</v>
      </c>
      <c r="R54" s="23">
        <v>2030</v>
      </c>
      <c r="S54" s="23">
        <v>2031</v>
      </c>
      <c r="T54" s="23">
        <v>2032</v>
      </c>
      <c r="U54" s="23">
        <v>2033</v>
      </c>
      <c r="V54" s="23">
        <v>2034</v>
      </c>
      <c r="W54" s="24" t="s">
        <v>7</v>
      </c>
      <c r="X54" s="25" t="s">
        <v>0</v>
      </c>
    </row>
    <row r="55" spans="6:24" x14ac:dyDescent="0.35">
      <c r="F55" s="37">
        <v>1</v>
      </c>
      <c r="G55" s="15" t="s">
        <v>8</v>
      </c>
      <c r="H55" s="13" cm="1">
        <f t="array" ref="H55:H69">H11:H25</f>
        <v>0</v>
      </c>
      <c r="I55" s="32">
        <f>IFERROR(I32/$H32,0)</f>
        <v>0</v>
      </c>
      <c r="J55" s="32">
        <f t="shared" ref="J55:X55" si="5">IFERROR(J32/$H32,0)</f>
        <v>0</v>
      </c>
      <c r="K55" s="32">
        <f t="shared" si="5"/>
        <v>0</v>
      </c>
      <c r="L55" s="32">
        <f t="shared" si="5"/>
        <v>0</v>
      </c>
      <c r="M55" s="32">
        <f t="shared" si="5"/>
        <v>0</v>
      </c>
      <c r="N55" s="32">
        <f t="shared" si="5"/>
        <v>0</v>
      </c>
      <c r="O55" s="32">
        <f t="shared" si="5"/>
        <v>0</v>
      </c>
      <c r="P55" s="32">
        <f t="shared" si="5"/>
        <v>0</v>
      </c>
      <c r="Q55" s="32">
        <f t="shared" si="5"/>
        <v>0</v>
      </c>
      <c r="R55" s="32">
        <f t="shared" si="5"/>
        <v>0</v>
      </c>
      <c r="S55" s="32">
        <f t="shared" si="5"/>
        <v>0</v>
      </c>
      <c r="T55" s="32">
        <f t="shared" si="5"/>
        <v>0</v>
      </c>
      <c r="U55" s="32">
        <f t="shared" si="5"/>
        <v>0</v>
      </c>
      <c r="V55" s="32">
        <f t="shared" si="5"/>
        <v>0</v>
      </c>
      <c r="W55" s="32">
        <f t="shared" si="5"/>
        <v>0</v>
      </c>
      <c r="X55" s="33">
        <f t="shared" si="5"/>
        <v>0</v>
      </c>
    </row>
    <row r="56" spans="6:24" x14ac:dyDescent="0.35">
      <c r="F56" s="37">
        <v>2</v>
      </c>
      <c r="G56" s="15">
        <v>2022</v>
      </c>
      <c r="H56" s="13">
        <v>0</v>
      </c>
      <c r="I56" s="32">
        <f t="shared" ref="I56:X67" si="6">IFERROR(I33/$H33,0)</f>
        <v>0</v>
      </c>
      <c r="J56" s="32">
        <f t="shared" si="6"/>
        <v>0</v>
      </c>
      <c r="K56" s="32">
        <f t="shared" si="6"/>
        <v>0</v>
      </c>
      <c r="L56" s="32">
        <f t="shared" si="6"/>
        <v>0</v>
      </c>
      <c r="M56" s="32">
        <f t="shared" si="6"/>
        <v>0</v>
      </c>
      <c r="N56" s="32">
        <f t="shared" si="6"/>
        <v>0</v>
      </c>
      <c r="O56" s="32">
        <f t="shared" si="6"/>
        <v>0</v>
      </c>
      <c r="P56" s="32">
        <f t="shared" si="6"/>
        <v>0</v>
      </c>
      <c r="Q56" s="32">
        <f t="shared" si="6"/>
        <v>0</v>
      </c>
      <c r="R56" s="32">
        <f t="shared" si="6"/>
        <v>0</v>
      </c>
      <c r="S56" s="32">
        <f t="shared" si="6"/>
        <v>0</v>
      </c>
      <c r="T56" s="32">
        <f t="shared" si="6"/>
        <v>0</v>
      </c>
      <c r="U56" s="32">
        <f t="shared" si="6"/>
        <v>0</v>
      </c>
      <c r="V56" s="32">
        <f t="shared" si="6"/>
        <v>0</v>
      </c>
      <c r="W56" s="32">
        <f t="shared" si="6"/>
        <v>0</v>
      </c>
      <c r="X56" s="33">
        <f t="shared" si="6"/>
        <v>0</v>
      </c>
    </row>
    <row r="57" spans="6:24" x14ac:dyDescent="0.35">
      <c r="F57" s="37">
        <v>3</v>
      </c>
      <c r="G57" s="15">
        <v>2023</v>
      </c>
      <c r="H57" s="13">
        <v>0</v>
      </c>
      <c r="I57" s="32">
        <f t="shared" si="6"/>
        <v>0</v>
      </c>
      <c r="J57" s="32">
        <f t="shared" si="6"/>
        <v>0</v>
      </c>
      <c r="K57" s="32">
        <f t="shared" si="6"/>
        <v>0</v>
      </c>
      <c r="L57" s="32">
        <f t="shared" si="6"/>
        <v>0</v>
      </c>
      <c r="M57" s="32">
        <f t="shared" si="6"/>
        <v>0</v>
      </c>
      <c r="N57" s="32">
        <f t="shared" si="6"/>
        <v>0</v>
      </c>
      <c r="O57" s="32">
        <f t="shared" si="6"/>
        <v>0</v>
      </c>
      <c r="P57" s="32">
        <f t="shared" si="6"/>
        <v>0</v>
      </c>
      <c r="Q57" s="32">
        <f t="shared" si="6"/>
        <v>0</v>
      </c>
      <c r="R57" s="32">
        <f t="shared" si="6"/>
        <v>0</v>
      </c>
      <c r="S57" s="32">
        <f t="shared" si="6"/>
        <v>0</v>
      </c>
      <c r="T57" s="32">
        <f t="shared" si="6"/>
        <v>0</v>
      </c>
      <c r="U57" s="32">
        <f t="shared" si="6"/>
        <v>0</v>
      </c>
      <c r="V57" s="32">
        <f t="shared" si="6"/>
        <v>0</v>
      </c>
      <c r="W57" s="32">
        <f t="shared" si="6"/>
        <v>0</v>
      </c>
      <c r="X57" s="33">
        <f t="shared" si="6"/>
        <v>0</v>
      </c>
    </row>
    <row r="58" spans="6:24" x14ac:dyDescent="0.35">
      <c r="F58" s="37">
        <v>4</v>
      </c>
      <c r="G58" s="15">
        <v>2024</v>
      </c>
      <c r="H58" s="13">
        <v>0</v>
      </c>
      <c r="I58" s="32">
        <f t="shared" si="6"/>
        <v>0</v>
      </c>
      <c r="J58" s="32">
        <f t="shared" si="6"/>
        <v>0</v>
      </c>
      <c r="K58" s="32">
        <f t="shared" si="6"/>
        <v>0</v>
      </c>
      <c r="L58" s="32">
        <f t="shared" si="6"/>
        <v>0</v>
      </c>
      <c r="M58" s="32">
        <f t="shared" si="6"/>
        <v>0</v>
      </c>
      <c r="N58" s="32">
        <f t="shared" si="6"/>
        <v>0</v>
      </c>
      <c r="O58" s="32">
        <f t="shared" si="6"/>
        <v>0</v>
      </c>
      <c r="P58" s="32">
        <f t="shared" si="6"/>
        <v>0</v>
      </c>
      <c r="Q58" s="32">
        <f t="shared" si="6"/>
        <v>0</v>
      </c>
      <c r="R58" s="32">
        <f t="shared" si="6"/>
        <v>0</v>
      </c>
      <c r="S58" s="32">
        <f t="shared" si="6"/>
        <v>0</v>
      </c>
      <c r="T58" s="32">
        <f t="shared" si="6"/>
        <v>0</v>
      </c>
      <c r="U58" s="32">
        <f t="shared" si="6"/>
        <v>0</v>
      </c>
      <c r="V58" s="32">
        <f t="shared" si="6"/>
        <v>0</v>
      </c>
      <c r="W58" s="32">
        <f t="shared" si="6"/>
        <v>0</v>
      </c>
      <c r="X58" s="33">
        <f t="shared" si="6"/>
        <v>0</v>
      </c>
    </row>
    <row r="59" spans="6:24" x14ac:dyDescent="0.35">
      <c r="F59" s="37">
        <v>5</v>
      </c>
      <c r="G59" s="15">
        <v>2025</v>
      </c>
      <c r="H59" s="13">
        <v>1039592205.9799985</v>
      </c>
      <c r="I59" s="32">
        <f t="shared" si="6"/>
        <v>0</v>
      </c>
      <c r="J59" s="32">
        <f t="shared" si="6"/>
        <v>0</v>
      </c>
      <c r="K59" s="32">
        <f t="shared" si="6"/>
        <v>0</v>
      </c>
      <c r="L59" s="32">
        <f t="shared" si="6"/>
        <v>0</v>
      </c>
      <c r="M59" s="32">
        <f t="shared" si="6"/>
        <v>0.22924041217233304</v>
      </c>
      <c r="N59" s="32">
        <f t="shared" si="6"/>
        <v>0.19692574185568565</v>
      </c>
      <c r="O59" s="32">
        <f t="shared" si="6"/>
        <v>0.13874872795340595</v>
      </c>
      <c r="P59" s="32">
        <f t="shared" si="6"/>
        <v>0.38734059212228</v>
      </c>
      <c r="Q59" s="32">
        <f t="shared" si="6"/>
        <v>4.7744525896296443E-2</v>
      </c>
      <c r="R59" s="32">
        <f t="shared" si="6"/>
        <v>0</v>
      </c>
      <c r="S59" s="32">
        <f t="shared" si="6"/>
        <v>0</v>
      </c>
      <c r="T59" s="32">
        <f t="shared" si="6"/>
        <v>0</v>
      </c>
      <c r="U59" s="32">
        <f t="shared" si="6"/>
        <v>0</v>
      </c>
      <c r="V59" s="32">
        <f t="shared" si="6"/>
        <v>0</v>
      </c>
      <c r="W59" s="32">
        <f t="shared" si="6"/>
        <v>0</v>
      </c>
      <c r="X59" s="33">
        <f t="shared" si="6"/>
        <v>1.0000000000000011</v>
      </c>
    </row>
    <row r="60" spans="6:24" x14ac:dyDescent="0.35">
      <c r="F60" s="37">
        <v>6</v>
      </c>
      <c r="G60" s="15">
        <v>2026</v>
      </c>
      <c r="H60" s="13">
        <v>130538596.23999998</v>
      </c>
      <c r="I60" s="32">
        <f t="shared" si="6"/>
        <v>0</v>
      </c>
      <c r="J60" s="32">
        <f t="shared" si="6"/>
        <v>0</v>
      </c>
      <c r="K60" s="32">
        <f t="shared" si="6"/>
        <v>0</v>
      </c>
      <c r="L60" s="32">
        <f t="shared" si="6"/>
        <v>0</v>
      </c>
      <c r="M60" s="32">
        <f t="shared" si="6"/>
        <v>0</v>
      </c>
      <c r="N60" s="32">
        <f t="shared" si="6"/>
        <v>0.28325965258595015</v>
      </c>
      <c r="O60" s="32">
        <f t="shared" si="6"/>
        <v>0.17618694602564239</v>
      </c>
      <c r="P60" s="32">
        <f t="shared" si="6"/>
        <v>0.30208328115847083</v>
      </c>
      <c r="Q60" s="32">
        <f t="shared" si="6"/>
        <v>0.23847012022993699</v>
      </c>
      <c r="R60" s="32">
        <f t="shared" si="6"/>
        <v>0</v>
      </c>
      <c r="S60" s="32">
        <f t="shared" si="6"/>
        <v>0</v>
      </c>
      <c r="T60" s="32">
        <f t="shared" si="6"/>
        <v>0</v>
      </c>
      <c r="U60" s="32">
        <f t="shared" si="6"/>
        <v>0</v>
      </c>
      <c r="V60" s="32">
        <f t="shared" si="6"/>
        <v>0</v>
      </c>
      <c r="W60" s="32">
        <f t="shared" si="6"/>
        <v>0</v>
      </c>
      <c r="X60" s="33">
        <f t="shared" si="6"/>
        <v>1.0000000000000004</v>
      </c>
    </row>
    <row r="61" spans="6:24" x14ac:dyDescent="0.35">
      <c r="F61" s="37">
        <v>7</v>
      </c>
      <c r="G61" s="15">
        <v>2027</v>
      </c>
      <c r="H61" s="13">
        <v>0</v>
      </c>
      <c r="I61" s="32">
        <f t="shared" si="6"/>
        <v>0</v>
      </c>
      <c r="J61" s="32">
        <f t="shared" si="6"/>
        <v>0</v>
      </c>
      <c r="K61" s="32">
        <f t="shared" si="6"/>
        <v>0</v>
      </c>
      <c r="L61" s="32">
        <f t="shared" si="6"/>
        <v>0</v>
      </c>
      <c r="M61" s="32">
        <f t="shared" si="6"/>
        <v>0</v>
      </c>
      <c r="N61" s="32">
        <f t="shared" si="6"/>
        <v>0</v>
      </c>
      <c r="O61" s="32">
        <f t="shared" si="6"/>
        <v>0</v>
      </c>
      <c r="P61" s="32">
        <f t="shared" si="6"/>
        <v>0</v>
      </c>
      <c r="Q61" s="32">
        <f t="shared" si="6"/>
        <v>0</v>
      </c>
      <c r="R61" s="32">
        <f t="shared" si="6"/>
        <v>0</v>
      </c>
      <c r="S61" s="32">
        <f t="shared" si="6"/>
        <v>0</v>
      </c>
      <c r="T61" s="32">
        <f t="shared" si="6"/>
        <v>0</v>
      </c>
      <c r="U61" s="32">
        <f t="shared" si="6"/>
        <v>0</v>
      </c>
      <c r="V61" s="32">
        <f t="shared" si="6"/>
        <v>0</v>
      </c>
      <c r="W61" s="32">
        <f t="shared" si="6"/>
        <v>0</v>
      </c>
      <c r="X61" s="33">
        <f t="shared" si="6"/>
        <v>0</v>
      </c>
    </row>
    <row r="62" spans="6:24" x14ac:dyDescent="0.35">
      <c r="F62" s="37">
        <v>8</v>
      </c>
      <c r="G62" s="15">
        <v>2028</v>
      </c>
      <c r="H62" s="13">
        <v>0</v>
      </c>
      <c r="I62" s="32">
        <f t="shared" si="6"/>
        <v>0</v>
      </c>
      <c r="J62" s="32">
        <f t="shared" si="6"/>
        <v>0</v>
      </c>
      <c r="K62" s="32">
        <f t="shared" si="6"/>
        <v>0</v>
      </c>
      <c r="L62" s="32">
        <f t="shared" si="6"/>
        <v>0</v>
      </c>
      <c r="M62" s="32">
        <f t="shared" si="6"/>
        <v>0</v>
      </c>
      <c r="N62" s="32">
        <f t="shared" si="6"/>
        <v>0</v>
      </c>
      <c r="O62" s="32">
        <f t="shared" si="6"/>
        <v>0</v>
      </c>
      <c r="P62" s="32">
        <f t="shared" si="6"/>
        <v>0</v>
      </c>
      <c r="Q62" s="32">
        <f t="shared" si="6"/>
        <v>0</v>
      </c>
      <c r="R62" s="32">
        <f t="shared" si="6"/>
        <v>0</v>
      </c>
      <c r="S62" s="32">
        <f t="shared" si="6"/>
        <v>0</v>
      </c>
      <c r="T62" s="32">
        <f t="shared" si="6"/>
        <v>0</v>
      </c>
      <c r="U62" s="32">
        <f t="shared" si="6"/>
        <v>0</v>
      </c>
      <c r="V62" s="32">
        <f t="shared" si="6"/>
        <v>0</v>
      </c>
      <c r="W62" s="32">
        <f t="shared" si="6"/>
        <v>0</v>
      </c>
      <c r="X62" s="33">
        <f t="shared" si="6"/>
        <v>0</v>
      </c>
    </row>
    <row r="63" spans="6:24" x14ac:dyDescent="0.35">
      <c r="F63" s="37">
        <v>9</v>
      </c>
      <c r="G63" s="15">
        <v>2029</v>
      </c>
      <c r="H63" s="13">
        <v>0</v>
      </c>
      <c r="I63" s="32">
        <f t="shared" si="6"/>
        <v>0</v>
      </c>
      <c r="J63" s="32">
        <f t="shared" si="6"/>
        <v>0</v>
      </c>
      <c r="K63" s="32">
        <f t="shared" si="6"/>
        <v>0</v>
      </c>
      <c r="L63" s="32">
        <f t="shared" si="6"/>
        <v>0</v>
      </c>
      <c r="M63" s="32">
        <f t="shared" si="6"/>
        <v>0</v>
      </c>
      <c r="N63" s="32">
        <f t="shared" si="6"/>
        <v>0</v>
      </c>
      <c r="O63" s="32">
        <f t="shared" si="6"/>
        <v>0</v>
      </c>
      <c r="P63" s="32">
        <f t="shared" si="6"/>
        <v>0</v>
      </c>
      <c r="Q63" s="32">
        <f t="shared" si="6"/>
        <v>0</v>
      </c>
      <c r="R63" s="32">
        <f t="shared" si="6"/>
        <v>0</v>
      </c>
      <c r="S63" s="32">
        <f t="shared" si="6"/>
        <v>0</v>
      </c>
      <c r="T63" s="32">
        <f t="shared" si="6"/>
        <v>0</v>
      </c>
      <c r="U63" s="32">
        <f t="shared" si="6"/>
        <v>0</v>
      </c>
      <c r="V63" s="32">
        <f t="shared" si="6"/>
        <v>0</v>
      </c>
      <c r="W63" s="32">
        <f t="shared" si="6"/>
        <v>0</v>
      </c>
      <c r="X63" s="33">
        <f t="shared" si="6"/>
        <v>0</v>
      </c>
    </row>
    <row r="64" spans="6:24" x14ac:dyDescent="0.35">
      <c r="F64" s="37">
        <v>10</v>
      </c>
      <c r="G64" s="15">
        <v>2030</v>
      </c>
      <c r="H64" s="13">
        <v>0</v>
      </c>
      <c r="I64" s="32">
        <f t="shared" si="6"/>
        <v>0</v>
      </c>
      <c r="J64" s="32">
        <f t="shared" si="6"/>
        <v>0</v>
      </c>
      <c r="K64" s="32">
        <f t="shared" si="6"/>
        <v>0</v>
      </c>
      <c r="L64" s="32">
        <f t="shared" si="6"/>
        <v>0</v>
      </c>
      <c r="M64" s="32">
        <f t="shared" si="6"/>
        <v>0</v>
      </c>
      <c r="N64" s="32">
        <f t="shared" si="6"/>
        <v>0</v>
      </c>
      <c r="O64" s="32">
        <f t="shared" si="6"/>
        <v>0</v>
      </c>
      <c r="P64" s="32">
        <f t="shared" si="6"/>
        <v>0</v>
      </c>
      <c r="Q64" s="32">
        <f t="shared" si="6"/>
        <v>0</v>
      </c>
      <c r="R64" s="32">
        <f t="shared" si="6"/>
        <v>0</v>
      </c>
      <c r="S64" s="32">
        <f t="shared" si="6"/>
        <v>0</v>
      </c>
      <c r="T64" s="32">
        <f t="shared" si="6"/>
        <v>0</v>
      </c>
      <c r="U64" s="32">
        <f t="shared" si="6"/>
        <v>0</v>
      </c>
      <c r="V64" s="32">
        <f t="shared" si="6"/>
        <v>0</v>
      </c>
      <c r="W64" s="32">
        <f t="shared" si="6"/>
        <v>0</v>
      </c>
      <c r="X64" s="33">
        <f t="shared" si="6"/>
        <v>0</v>
      </c>
    </row>
    <row r="65" spans="6:24" x14ac:dyDescent="0.35">
      <c r="F65" s="37">
        <v>11</v>
      </c>
      <c r="G65" s="15">
        <v>2031</v>
      </c>
      <c r="H65" s="13">
        <v>0</v>
      </c>
      <c r="I65" s="32">
        <f t="shared" si="6"/>
        <v>0</v>
      </c>
      <c r="J65" s="32">
        <f t="shared" si="6"/>
        <v>0</v>
      </c>
      <c r="K65" s="32">
        <f t="shared" si="6"/>
        <v>0</v>
      </c>
      <c r="L65" s="32">
        <f t="shared" si="6"/>
        <v>0</v>
      </c>
      <c r="M65" s="32">
        <f t="shared" si="6"/>
        <v>0</v>
      </c>
      <c r="N65" s="32">
        <f t="shared" si="6"/>
        <v>0</v>
      </c>
      <c r="O65" s="32">
        <f t="shared" si="6"/>
        <v>0</v>
      </c>
      <c r="P65" s="32">
        <f t="shared" si="6"/>
        <v>0</v>
      </c>
      <c r="Q65" s="32">
        <f t="shared" si="6"/>
        <v>0</v>
      </c>
      <c r="R65" s="32">
        <f t="shared" si="6"/>
        <v>0</v>
      </c>
      <c r="S65" s="32">
        <f t="shared" si="6"/>
        <v>0</v>
      </c>
      <c r="T65" s="32">
        <f t="shared" si="6"/>
        <v>0</v>
      </c>
      <c r="U65" s="32">
        <f t="shared" si="6"/>
        <v>0</v>
      </c>
      <c r="V65" s="32">
        <f t="shared" si="6"/>
        <v>0</v>
      </c>
      <c r="W65" s="32">
        <f t="shared" si="6"/>
        <v>0</v>
      </c>
      <c r="X65" s="33">
        <f t="shared" si="6"/>
        <v>0</v>
      </c>
    </row>
    <row r="66" spans="6:24" x14ac:dyDescent="0.35">
      <c r="F66" s="37">
        <v>12</v>
      </c>
      <c r="G66" s="15">
        <v>2032</v>
      </c>
      <c r="H66" s="13">
        <v>0</v>
      </c>
      <c r="I66" s="32">
        <f t="shared" si="6"/>
        <v>0</v>
      </c>
      <c r="J66" s="32">
        <f t="shared" si="6"/>
        <v>0</v>
      </c>
      <c r="K66" s="32">
        <f t="shared" si="6"/>
        <v>0</v>
      </c>
      <c r="L66" s="32">
        <f t="shared" si="6"/>
        <v>0</v>
      </c>
      <c r="M66" s="32">
        <f t="shared" si="6"/>
        <v>0</v>
      </c>
      <c r="N66" s="32">
        <f t="shared" si="6"/>
        <v>0</v>
      </c>
      <c r="O66" s="32">
        <f t="shared" si="6"/>
        <v>0</v>
      </c>
      <c r="P66" s="32">
        <f t="shared" si="6"/>
        <v>0</v>
      </c>
      <c r="Q66" s="32">
        <f t="shared" si="6"/>
        <v>0</v>
      </c>
      <c r="R66" s="32">
        <f t="shared" si="6"/>
        <v>0</v>
      </c>
      <c r="S66" s="32">
        <f t="shared" si="6"/>
        <v>0</v>
      </c>
      <c r="T66" s="32">
        <f t="shared" si="6"/>
        <v>0</v>
      </c>
      <c r="U66" s="32">
        <f t="shared" si="6"/>
        <v>0</v>
      </c>
      <c r="V66" s="32">
        <f t="shared" si="6"/>
        <v>0</v>
      </c>
      <c r="W66" s="32">
        <f t="shared" si="6"/>
        <v>0</v>
      </c>
      <c r="X66" s="33">
        <f t="shared" si="6"/>
        <v>0</v>
      </c>
    </row>
    <row r="67" spans="6:24" x14ac:dyDescent="0.35">
      <c r="F67" s="37">
        <v>13</v>
      </c>
      <c r="G67" s="15">
        <v>2033</v>
      </c>
      <c r="H67" s="13">
        <v>0</v>
      </c>
      <c r="I67" s="32">
        <f>IFERROR(I44/$H44,0)</f>
        <v>0</v>
      </c>
      <c r="J67" s="32">
        <f t="shared" si="6"/>
        <v>0</v>
      </c>
      <c r="K67" s="32">
        <f t="shared" si="6"/>
        <v>0</v>
      </c>
      <c r="L67" s="32">
        <f t="shared" si="6"/>
        <v>0</v>
      </c>
      <c r="M67" s="32">
        <f t="shared" si="6"/>
        <v>0</v>
      </c>
      <c r="N67" s="32">
        <f t="shared" si="6"/>
        <v>0</v>
      </c>
      <c r="O67" s="32">
        <f t="shared" si="6"/>
        <v>0</v>
      </c>
      <c r="P67" s="32">
        <f t="shared" si="6"/>
        <v>0</v>
      </c>
      <c r="Q67" s="32">
        <f t="shared" si="6"/>
        <v>0</v>
      </c>
      <c r="R67" s="32">
        <f t="shared" si="6"/>
        <v>0</v>
      </c>
      <c r="S67" s="32">
        <f t="shared" si="6"/>
        <v>0</v>
      </c>
      <c r="T67" s="32">
        <f t="shared" si="6"/>
        <v>0</v>
      </c>
      <c r="U67" s="32">
        <f t="shared" si="6"/>
        <v>0</v>
      </c>
      <c r="V67" s="32">
        <f t="shared" si="6"/>
        <v>0</v>
      </c>
      <c r="W67" s="32">
        <f t="shared" si="6"/>
        <v>0</v>
      </c>
      <c r="X67" s="33">
        <f t="shared" si="6"/>
        <v>0</v>
      </c>
    </row>
    <row r="68" spans="6:24" x14ac:dyDescent="0.35">
      <c r="F68" s="37">
        <v>14</v>
      </c>
      <c r="G68" s="15">
        <v>2034</v>
      </c>
      <c r="H68" s="13">
        <v>0</v>
      </c>
      <c r="I68" s="32">
        <f t="shared" ref="I68:X69" si="7">IFERROR(I45/$H45,0)</f>
        <v>0</v>
      </c>
      <c r="J68" s="32">
        <f t="shared" si="7"/>
        <v>0</v>
      </c>
      <c r="K68" s="32">
        <f t="shared" si="7"/>
        <v>0</v>
      </c>
      <c r="L68" s="32">
        <f t="shared" si="7"/>
        <v>0</v>
      </c>
      <c r="M68" s="32">
        <f t="shared" si="7"/>
        <v>0</v>
      </c>
      <c r="N68" s="32">
        <f t="shared" si="7"/>
        <v>0</v>
      </c>
      <c r="O68" s="32">
        <f t="shared" si="7"/>
        <v>0</v>
      </c>
      <c r="P68" s="32">
        <f t="shared" si="7"/>
        <v>0</v>
      </c>
      <c r="Q68" s="32">
        <f t="shared" si="7"/>
        <v>0</v>
      </c>
      <c r="R68" s="32">
        <f t="shared" si="7"/>
        <v>0</v>
      </c>
      <c r="S68" s="32">
        <f t="shared" si="7"/>
        <v>0</v>
      </c>
      <c r="T68" s="32">
        <f t="shared" si="7"/>
        <v>0</v>
      </c>
      <c r="U68" s="32">
        <f t="shared" si="7"/>
        <v>0</v>
      </c>
      <c r="V68" s="32">
        <f t="shared" si="7"/>
        <v>0</v>
      </c>
      <c r="W68" s="32">
        <f t="shared" si="7"/>
        <v>0</v>
      </c>
      <c r="X68" s="33">
        <f t="shared" si="7"/>
        <v>0</v>
      </c>
    </row>
    <row r="69" spans="6:24" ht="15" thickBot="1" x14ac:dyDescent="0.4">
      <c r="F69" s="39" t="s">
        <v>0</v>
      </c>
      <c r="G69" s="40"/>
      <c r="H69" s="27">
        <v>1170130802.2199984</v>
      </c>
      <c r="I69" s="34">
        <f t="shared" si="7"/>
        <v>0</v>
      </c>
      <c r="J69" s="34">
        <f t="shared" si="7"/>
        <v>0</v>
      </c>
      <c r="K69" s="34">
        <f t="shared" si="7"/>
        <v>0</v>
      </c>
      <c r="L69" s="34">
        <f t="shared" si="7"/>
        <v>0</v>
      </c>
      <c r="M69" s="34">
        <f t="shared" si="7"/>
        <v>0.20366658610974117</v>
      </c>
      <c r="N69" s="34">
        <f t="shared" si="7"/>
        <v>0.20655706469007024</v>
      </c>
      <c r="O69" s="34">
        <f t="shared" si="7"/>
        <v>0.14292529729386325</v>
      </c>
      <c r="P69" s="34">
        <f t="shared" si="7"/>
        <v>0.37782937365738883</v>
      </c>
      <c r="Q69" s="34">
        <f t="shared" si="7"/>
        <v>6.902167824893761E-2</v>
      </c>
      <c r="R69" s="34">
        <f t="shared" si="7"/>
        <v>0</v>
      </c>
      <c r="S69" s="34">
        <f t="shared" si="7"/>
        <v>0</v>
      </c>
      <c r="T69" s="34">
        <f t="shared" si="7"/>
        <v>0</v>
      </c>
      <c r="U69" s="34">
        <f t="shared" si="7"/>
        <v>0</v>
      </c>
      <c r="V69" s="34">
        <f t="shared" si="7"/>
        <v>0</v>
      </c>
      <c r="W69" s="34">
        <f t="shared" si="7"/>
        <v>0</v>
      </c>
      <c r="X69" s="35">
        <f t="shared" si="7"/>
        <v>1.0000000000000013</v>
      </c>
    </row>
    <row r="70" spans="6:24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12">
    <mergeCell ref="F30:H30"/>
    <mergeCell ref="J30:X30"/>
    <mergeCell ref="F8:X8"/>
    <mergeCell ref="F9:H9"/>
    <mergeCell ref="J9:X9"/>
    <mergeCell ref="F25:G25"/>
    <mergeCell ref="F29:X29"/>
    <mergeCell ref="F46:G46"/>
    <mergeCell ref="F52:X52"/>
    <mergeCell ref="F53:H53"/>
    <mergeCell ref="J53:X53"/>
    <mergeCell ref="F69:G69"/>
  </mergeCells>
  <pageMargins left="0.7" right="0.7" top="0.75" bottom="0.75" header="0.3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Total</vt:lpstr>
      <vt:lpstr>Active</vt:lpstr>
      <vt:lpstr>Sobha</vt:lpstr>
      <vt:lpstr>Siniya</vt:lpstr>
      <vt:lpstr>DT</vt:lpstr>
      <vt:lpstr>Active!Print_Area</vt:lpstr>
      <vt:lpstr>DT!Print_Area</vt:lpstr>
      <vt:lpstr>Siniya!Print_Area</vt:lpstr>
      <vt:lpstr>Sobha!Print_Area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Supriyo Sikdar</dc:creator>
  <cp:lastModifiedBy>Priyanuj Deka</cp:lastModifiedBy>
  <dcterms:created xsi:type="dcterms:W3CDTF">2026-05-05T10:19:54Z</dcterms:created>
  <dcterms:modified xsi:type="dcterms:W3CDTF">2026-05-08T19:59:51Z</dcterms:modified>
</cp:coreProperties>
</file>